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'库存（父sku）'!$A$4:$AT$242</definedName>
    <definedName name="_xlnm._FilterDatabase" localSheetId="0" hidden="1">'库存（子SKU）'!$A$6:$AV$170</definedName>
  </definedNames>
  <calcPr calcId="144525" concurrentCalc="0"/>
</workbook>
</file>

<file path=xl/sharedStrings.xml><?xml version="1.0" encoding="utf-8"?>
<sst xmlns="http://schemas.openxmlformats.org/spreadsheetml/2006/main" count="591">
  <si>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</si>
  <si>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</si>
  <si>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</si>
  <si>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</si>
  <si>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</si>
  <si>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</si>
  <si>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</si>
  <si>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</si>
  <si>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</si>
  <si>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</si>
  <si>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</si>
  <si>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</si>
  <si>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</si>
  <si>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</si>
  <si>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</si>
  <si>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</si>
  <si>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</si>
  <si>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</si>
  <si>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</si>
  <si>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</si>
  <si>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</si>
  <si>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</si>
  <si>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</si>
  <si>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</si>
  <si>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</si>
  <si>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</si>
  <si>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</si>
  <si>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</si>
  <si>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</si>
  <si>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</si>
  <si>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</si>
  <si>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</si>
  <si>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</si>
  <si>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</si>
  <si>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</si>
  <si>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</si>
  <si>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</si>
  <si>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</si>
  <si>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</si>
  <si>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</si>
  <si>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</si>
  <si>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</si>
  <si>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</si>
  <si>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</si>
  <si>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</si>
  <si>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</si>
  <si>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</si>
  <si>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</si>
  <si>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</si>
  <si>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</si>
  <si>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</si>
  <si>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</si>
  <si>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</si>
  <si>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</si>
  <si>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</si>
  <si>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</si>
  <si>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</si>
  <si>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</si>
  <si>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DO-YULQ004-B7-11</t>
  </si>
  <si>
    <t>B078Y5BTZC</t>
  </si>
  <si>
    <t>DO-YULQ004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</si>
  <si>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</si>
  <si>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</si>
  <si>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</si>
  <si>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</si>
  <si>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</si>
  <si>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</si>
  <si>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</si>
  <si>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</si>
  <si>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DO-YULQ006-B7-11</t>
  </si>
  <si>
    <t>DO-YULQ006-PI-10</t>
  </si>
  <si>
    <t>B078XZR24D</t>
  </si>
  <si>
    <t>DO-YULQ006-PI-11</t>
  </si>
  <si>
    <t>DO-YULQ008-LGR-16</t>
  </si>
  <si>
    <t>B0795D6KPS</t>
  </si>
  <si>
    <t>DO-YULQ008</t>
  </si>
  <si>
    <t>DO-YULQ008-Y0-17</t>
  </si>
  <si>
    <t>B0795VRN2N</t>
  </si>
  <si>
    <t>DO-YULQ009-PI-16</t>
  </si>
  <si>
    <t>B07FDCC8ZC</t>
  </si>
  <si>
    <t>DO-YULQ009</t>
  </si>
  <si>
    <t>DO-YULQ010-P0-22</t>
  </si>
  <si>
    <t>B078X59HSZ</t>
  </si>
  <si>
    <t>DO-YULQ010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</si>
  <si>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</si>
  <si>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</si>
  <si>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</si>
  <si>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</si>
  <si>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</si>
  <si>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</si>
  <si>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</si>
  <si>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无销量广告费为53.14</t>
  </si>
  <si>
    <t>无销量广告费为4.87</t>
  </si>
  <si>
    <t>无销量广告费为5.1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</si>
  <si>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</si>
  <si>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</si>
  <si>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</si>
  <si>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</si>
  <si>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</si>
  <si>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</si>
  <si>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</si>
  <si>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</si>
  <si>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</si>
  <si>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</si>
  <si>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</si>
  <si>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</si>
  <si>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</si>
  <si>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无销量广告费为4.35</t>
  </si>
  <si>
    <t>无销量广告费为1.36</t>
  </si>
  <si>
    <t>无销量广告费为39.83</t>
  </si>
  <si>
    <t>DO-YULQ039-R0-22</t>
  </si>
  <si>
    <t>B07F73THXK</t>
  </si>
  <si>
    <t>DO-YULQ039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</si>
  <si>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</si>
  <si>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</si>
  <si>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</si>
  <si>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</si>
  <si>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</si>
  <si>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</si>
  <si>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</si>
  <si>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</si>
  <si>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</si>
  <si>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</si>
  <si>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</si>
  <si>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</si>
  <si>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</si>
  <si>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</si>
  <si>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</si>
  <si>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</si>
  <si>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</si>
  <si>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</si>
  <si>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</si>
  <si>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无销量广告费为4.11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</si>
  <si>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</si>
  <si>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</si>
  <si>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</si>
  <si>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</si>
  <si>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</si>
  <si>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</si>
  <si>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</si>
  <si>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</si>
  <si>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</si>
  <si>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无销量广告费为10.38</t>
  </si>
  <si>
    <t>无销量广告费为7.95</t>
  </si>
  <si>
    <t>DO-YULQ071-PI-16</t>
  </si>
  <si>
    <t>B07BFVXXX8</t>
  </si>
  <si>
    <t>DO-YULQ073-LGR-22</t>
  </si>
  <si>
    <t>B0792VRZ89</t>
  </si>
  <si>
    <t>DO-YULQ073</t>
  </si>
  <si>
    <t>无销量广告费为6.2</t>
  </si>
  <si>
    <t>DO-YULQ081-B7-10</t>
  </si>
  <si>
    <t>B07BLRH5BR</t>
  </si>
  <si>
    <t>DO-YULQ081</t>
  </si>
  <si>
    <t>无销量广告费为8.66</t>
  </si>
  <si>
    <t>无销量广告费为17.47</t>
  </si>
  <si>
    <t>无销量广告费为19.03</t>
  </si>
  <si>
    <t>无销量广告费为14.25</t>
  </si>
  <si>
    <t>DO-YULQ081-PI-10</t>
  </si>
  <si>
    <t>B07BLRWT2V</t>
  </si>
  <si>
    <t>无销量广告费为22.83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</si>
  <si>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</si>
  <si>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</si>
  <si>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</si>
  <si>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</si>
  <si>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</si>
  <si>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</si>
  <si>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</si>
  <si>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</si>
  <si>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</si>
  <si>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</si>
  <si>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无销量广告费为13.19</t>
  </si>
  <si>
    <t>无销量广告费为7.45</t>
  </si>
  <si>
    <t>无销量广告费为14.6</t>
  </si>
  <si>
    <t>DO-YULQ107-PI-22</t>
  </si>
  <si>
    <t>B0795PQJS1</t>
  </si>
  <si>
    <t>DO-YULQ107</t>
  </si>
  <si>
    <t>DO-YULQ111-PI-22</t>
  </si>
  <si>
    <t>B079JQ6R99</t>
  </si>
  <si>
    <t>DO-YULQ111</t>
  </si>
  <si>
    <t>无销量广告费为13.86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</si>
  <si>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</si>
  <si>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</si>
  <si>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</si>
  <si>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</si>
  <si>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</si>
  <si>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</si>
  <si>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</si>
  <si>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</si>
  <si>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无销量广告费为16.5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</si>
  <si>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</si>
  <si>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</si>
  <si>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</si>
  <si>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</si>
  <si>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</si>
  <si>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</si>
  <si>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</si>
  <si>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</si>
  <si>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无销量广告费为3.36</t>
  </si>
  <si>
    <t>DO-YULQ150-K0-22</t>
  </si>
  <si>
    <t>B07CN274MC</t>
  </si>
  <si>
    <t>无销量广告费为9.92</t>
  </si>
  <si>
    <t>DO-YULQ150-PI-20</t>
  </si>
  <si>
    <t>B07CM664M7</t>
  </si>
  <si>
    <t>DO-YULQ151-W0-16</t>
  </si>
  <si>
    <t>B07CN4J157</t>
  </si>
  <si>
    <t>DO-YULQ151</t>
  </si>
  <si>
    <t>无销量广告费为8.46</t>
  </si>
  <si>
    <t>无销量广告费为7</t>
  </si>
  <si>
    <t>无销量广告费为5.98</t>
  </si>
  <si>
    <t>无销量广告费为6.92</t>
  </si>
  <si>
    <t>DO-YULQ152-B7-22</t>
  </si>
  <si>
    <t>B079JRG1TM</t>
  </si>
  <si>
    <t>DO-YULQ152</t>
  </si>
  <si>
    <t>无销量广告费为22.99</t>
  </si>
  <si>
    <t>无销量广告费为13.09</t>
  </si>
  <si>
    <t>无销量广告费为2.69</t>
  </si>
  <si>
    <t>无销量广告费为1.38</t>
  </si>
  <si>
    <t>DO-YULQ152-Z1-22</t>
  </si>
  <si>
    <t>B07CN4J1B2</t>
  </si>
  <si>
    <t>无销量广告费为15.19</t>
  </si>
  <si>
    <t>DO-YULQ153-B7-22</t>
  </si>
  <si>
    <t>B07BDDC5WH</t>
  </si>
  <si>
    <t>DO-YULQ153</t>
  </si>
  <si>
    <t>无销量广告费为8.23</t>
  </si>
  <si>
    <t>DO-YULQ153-TW-20</t>
  </si>
  <si>
    <t>B07CLYNY71</t>
  </si>
  <si>
    <t>DO-YULQ158-W0-22</t>
  </si>
  <si>
    <t>B0795M2NML</t>
  </si>
  <si>
    <t>DO-YULQ158</t>
  </si>
  <si>
    <t>无销量广告费为9.51</t>
  </si>
  <si>
    <t>DO-YULQ159-R2-22</t>
  </si>
  <si>
    <t>B07BNCFZXN</t>
  </si>
  <si>
    <t>DO-YULQ159</t>
  </si>
  <si>
    <t>DO-YULQ161-G0-16</t>
  </si>
  <si>
    <t>B079NY4PYK</t>
  </si>
  <si>
    <t>DO-YULQ161</t>
  </si>
  <si>
    <t>DO-YULQ161-PI-22</t>
  </si>
  <si>
    <t>B078XBY1MZ</t>
  </si>
  <si>
    <t>无销量广告费为37.17</t>
  </si>
  <si>
    <t>无销量广告费为21.92</t>
  </si>
  <si>
    <t>DO-YULQ162-PI-16</t>
  </si>
  <si>
    <t>B07BFVF3GM</t>
  </si>
  <si>
    <t>DO-YULQ162</t>
  </si>
  <si>
    <t>无销量广告费为4.44</t>
  </si>
  <si>
    <t>DO-YULQ163-B7-22</t>
  </si>
  <si>
    <t>B078XBDF6J</t>
  </si>
  <si>
    <t>DO-YULQ163</t>
  </si>
  <si>
    <t>DO-YULQ163-PI-22</t>
  </si>
  <si>
    <t>DO-YULQ165-B7-16</t>
  </si>
  <si>
    <t>B07BLVB7FH</t>
  </si>
  <si>
    <t>DO-YULQ165</t>
  </si>
  <si>
    <t>DO-YULQ165-PI-16</t>
  </si>
  <si>
    <t>B07BLTPG2G</t>
  </si>
  <si>
    <t>DO-YULQ170-SH-22</t>
  </si>
  <si>
    <t>B07F72X354</t>
  </si>
  <si>
    <t>DO-YULQ170</t>
  </si>
  <si>
    <t>DO-YULQ171-B0-22</t>
  </si>
  <si>
    <t>B079NW9791</t>
  </si>
  <si>
    <t>DO-YULQ171</t>
  </si>
  <si>
    <t>DO-YULQ171-LGR-22</t>
  </si>
  <si>
    <t>B0795117ZD</t>
  </si>
  <si>
    <t>无销量广告费为6.16</t>
  </si>
  <si>
    <t>DO-YULQ172-BD-22</t>
  </si>
  <si>
    <t>B079513H1Q</t>
  </si>
  <si>
    <t>DO-YULQ172</t>
  </si>
  <si>
    <t>DO-YULQ173-B7-22</t>
  </si>
  <si>
    <t>B07BFVYCH2</t>
  </si>
  <si>
    <t>DO-YULQ173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</si>
  <si>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</si>
  <si>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</si>
  <si>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</si>
  <si>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</si>
  <si>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</si>
  <si>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</si>
  <si>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</si>
  <si>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</si>
  <si>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</si>
  <si>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</si>
  <si>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</si>
  <si>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</si>
  <si>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</si>
  <si>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</si>
  <si>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</si>
  <si>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</si>
  <si>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</si>
  <si>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</si>
  <si>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</si>
  <si>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</si>
  <si>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</si>
  <si>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</si>
  <si>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</si>
  <si>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DO-YULQ332-LGR-20</t>
  </si>
  <si>
    <t>B0792VHP6W</t>
  </si>
  <si>
    <t>DO-YULQ332</t>
  </si>
  <si>
    <t>DO-YULQ350-PI-22</t>
  </si>
  <si>
    <t>B0795M8ZGB</t>
  </si>
  <si>
    <t>DO-YULQ350</t>
  </si>
  <si>
    <t>DO-YULQ372-R0-22</t>
  </si>
  <si>
    <t>B07BSC5Q33</t>
  </si>
  <si>
    <t>DO-YULQ372</t>
  </si>
  <si>
    <t>无销量广告费为0.36</t>
  </si>
  <si>
    <t>无销量广告费为0.42</t>
  </si>
  <si>
    <t>无销量广告费为0.2</t>
  </si>
  <si>
    <t>DO-YULQ504-PI-22</t>
  </si>
  <si>
    <t>B07F71667Y</t>
  </si>
  <si>
    <t>DO-YULQ504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</si>
  <si>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</si>
  <si>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</si>
  <si>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</si>
  <si>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</si>
  <si>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</si>
  <si>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</si>
  <si>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无销量广告费为1.63</t>
  </si>
  <si>
    <t>无销量广告费为0.63</t>
  </si>
  <si>
    <t>无销量广告费为0.15</t>
  </si>
  <si>
    <t>DO-YULQ604-PI-22</t>
  </si>
  <si>
    <t>B078XB1WC9</t>
  </si>
  <si>
    <t>DO-YULQ604</t>
  </si>
  <si>
    <t>DO-YULQ605-PI-16</t>
  </si>
  <si>
    <t>B0792PFKL5</t>
  </si>
  <si>
    <t>DO-YULQ605</t>
  </si>
  <si>
    <t>DO-YULQ605-PI-22</t>
  </si>
  <si>
    <t>B07BSD41QJ</t>
  </si>
  <si>
    <t>无销量广告费为19.92</t>
  </si>
  <si>
    <t>无销量广告费为5.99</t>
  </si>
  <si>
    <t>DO-YULQ606-W0-22</t>
  </si>
  <si>
    <t>B07BSFP5QZ</t>
  </si>
  <si>
    <t>DO-YULQ606</t>
  </si>
  <si>
    <t>无销量广告费为5.51</t>
  </si>
  <si>
    <t>无销量广告费为2.35</t>
  </si>
  <si>
    <t>无销量广告费为1.62</t>
  </si>
  <si>
    <t>无销量广告费为0.52</t>
  </si>
  <si>
    <t>DO-YULQ610-R2-22</t>
  </si>
  <si>
    <t>B0793RW7P4</t>
  </si>
  <si>
    <t>DO-YULQ610</t>
  </si>
  <si>
    <t>无销量广告费为55.45</t>
  </si>
  <si>
    <t>DO-YULQ611-TW-22</t>
  </si>
  <si>
    <t>B0793RG3PM</t>
  </si>
  <si>
    <t>DO-YULQ611</t>
  </si>
  <si>
    <t>无销量广告费为12.29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</si>
  <si>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</si>
  <si>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</si>
  <si>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</si>
  <si>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</si>
  <si>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</si>
  <si>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</si>
  <si>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</si>
  <si>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</si>
  <si>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</si>
  <si>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</si>
  <si>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</si>
  <si>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无销量广告费为19.96</t>
  </si>
  <si>
    <t>无销量广告费为4.83</t>
  </si>
  <si>
    <t>DO-YULQ638-LGR-20</t>
  </si>
  <si>
    <t>B07B7G22RT</t>
  </si>
  <si>
    <t>DO-YULQ638</t>
  </si>
  <si>
    <t>DO-YULQ638-PI-20</t>
  </si>
  <si>
    <t>B07929YDZM</t>
  </si>
  <si>
    <t>无销量广告费为0.28</t>
  </si>
  <si>
    <t>无销量广告费为0.33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</si>
  <si>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</si>
  <si>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</si>
  <si>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</si>
  <si>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</si>
  <si>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</si>
  <si>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</si>
  <si>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</si>
  <si>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</si>
  <si>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</si>
  <si>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</si>
  <si>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</si>
  <si>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无销量广告费为10.41</t>
  </si>
  <si>
    <t>DO-YULQ700-PI-22</t>
  </si>
  <si>
    <t>B07CM58KHK</t>
  </si>
  <si>
    <t>DO-YULQ700</t>
  </si>
  <si>
    <t>无销量广告费为80.08</t>
  </si>
  <si>
    <t>DO-YULQ701-PI-22</t>
  </si>
  <si>
    <t>B07CM9N213</t>
  </si>
  <si>
    <t>DO-YULQ701</t>
  </si>
  <si>
    <t>无销量广告费为13.4</t>
  </si>
  <si>
    <t>DO-YULQ702-PI-22</t>
  </si>
  <si>
    <t>B07CM6R65H</t>
  </si>
  <si>
    <t>DO-YULQ702</t>
  </si>
  <si>
    <t>DO-YULQ703-PI-22</t>
  </si>
  <si>
    <t>B07CN76YH9</t>
  </si>
  <si>
    <t>DO-YULQ703</t>
  </si>
  <si>
    <t>无销量广告费为19.6</t>
  </si>
  <si>
    <t>无销量广告费为8.89</t>
  </si>
  <si>
    <t>DO-YULQ704-B0-24</t>
  </si>
  <si>
    <t>B07D4DDT41</t>
  </si>
  <si>
    <t>DO-YULQ704</t>
  </si>
  <si>
    <t>无销量广告费为1.99</t>
  </si>
  <si>
    <t>无销量广告费为1.92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</si>
  <si>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</si>
  <si>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</si>
  <si>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</si>
  <si>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</si>
  <si>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</si>
  <si>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</si>
  <si>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</si>
  <si>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</si>
  <si>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</si>
  <si>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无销量广告费为2.31</t>
  </si>
  <si>
    <t>无销量广告费为1.77</t>
  </si>
  <si>
    <t>无销量广告费为2.14</t>
  </si>
  <si>
    <t>无销量广告费为0.25</t>
  </si>
  <si>
    <t>DO-YULQ706-R0-24</t>
  </si>
  <si>
    <t>B07D4D6Q9C</t>
  </si>
  <si>
    <t>DO-YULQ706</t>
  </si>
  <si>
    <t>无销量广告费为3.76</t>
  </si>
  <si>
    <t>无销量广告费为0.51</t>
  </si>
  <si>
    <t>无销量广告费为0.27</t>
  </si>
  <si>
    <t>DO-YULQ707-PI-24</t>
  </si>
  <si>
    <t>B07D4DRFYN</t>
  </si>
  <si>
    <t>DO-YULQ707</t>
  </si>
  <si>
    <t>DO-YULQ708-W0-24</t>
  </si>
  <si>
    <t>B07D4DC72D</t>
  </si>
  <si>
    <t>DO-YULQ708</t>
  </si>
  <si>
    <t>DO-YULQ712-W0-22</t>
  </si>
  <si>
    <t>B07FD6C9T4</t>
  </si>
  <si>
    <t>DO-YULQ712</t>
  </si>
  <si>
    <t>DO-YULQ812-W0-18</t>
  </si>
  <si>
    <t>B0792VKCCR</t>
  </si>
  <si>
    <t>DO-YULQ812</t>
  </si>
  <si>
    <t>DO-YULQ904-B7-22</t>
  </si>
  <si>
    <t>B078XC1QQQ</t>
  </si>
  <si>
    <t>DO-YULQ904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</si>
  <si>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</si>
  <si>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</si>
  <si>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</si>
  <si>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</si>
  <si>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</si>
  <si>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</si>
  <si>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</si>
  <si>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</si>
  <si>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</si>
  <si>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</si>
  <si>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</si>
  <si>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</si>
  <si>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</si>
  <si>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</si>
  <si>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无销量广告费为42.21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</si>
  <si>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</si>
  <si>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</si>
  <si>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</si>
  <si>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</si>
  <si>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</si>
  <si>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</si>
  <si>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</si>
  <si>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</si>
  <si>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</si>
  <si>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</si>
  <si>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</si>
  <si>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</si>
  <si>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</si>
  <si>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无销量广告费为8.88</t>
  </si>
  <si>
    <t>无销量广告费为29.26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</si>
  <si>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</si>
  <si>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</si>
  <si>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</si>
  <si>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</si>
  <si>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</si>
  <si>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</si>
  <si>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</si>
  <si>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</si>
  <si>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</si>
  <si>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DOLL-0602-NZ-22</t>
  </si>
  <si>
    <t>B077SDPC6N</t>
  </si>
  <si>
    <t>DOLL-0602</t>
  </si>
  <si>
    <t>DOLL-0603-NZ-22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</si>
  <si>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</si>
  <si>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</si>
  <si>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</si>
  <si>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</si>
  <si>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</si>
  <si>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</si>
  <si>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</si>
  <si>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</si>
  <si>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</si>
  <si>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</si>
  <si>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</si>
  <si>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</si>
  <si>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</si>
  <si>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</si>
  <si>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</si>
  <si>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</si>
  <si>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无销量广告费为11.3</t>
  </si>
  <si>
    <t>无销量广告费为17.15</t>
  </si>
  <si>
    <t>无销量广告费为16.13</t>
  </si>
  <si>
    <t>DOLL-1613-LB-22</t>
  </si>
  <si>
    <t>B076MT3BDS</t>
  </si>
  <si>
    <t>DOLL-1613-PI-11</t>
  </si>
  <si>
    <t>B076MTPGQ1</t>
  </si>
  <si>
    <t>DOLL-1613-PI-22</t>
  </si>
  <si>
    <t>B076MW1Y4F</t>
  </si>
  <si>
    <t>无销量广告费为0.9</t>
  </si>
  <si>
    <t>无销量广告费为0.91</t>
  </si>
  <si>
    <t>无销量广告费为0.23</t>
  </si>
  <si>
    <t>无销量广告费为0.59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</si>
  <si>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</si>
  <si>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</si>
  <si>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</si>
  <si>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</si>
  <si>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</si>
  <si>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</si>
  <si>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</si>
  <si>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</si>
  <si>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</si>
  <si>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</si>
  <si>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</si>
  <si>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</si>
  <si>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</si>
  <si>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</si>
  <si>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</si>
  <si>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</si>
  <si>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</si>
  <si>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</si>
  <si>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</si>
  <si>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</si>
  <si>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</si>
  <si>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</si>
  <si>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</si>
  <si>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</si>
  <si>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</si>
  <si>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</si>
  <si>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</si>
  <si>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</si>
  <si>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</si>
  <si>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</si>
  <si>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</si>
  <si>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DOLLDRESS-003-WO-M</t>
  </si>
  <si>
    <t>B077Z6B9TS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</si>
  <si>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</si>
  <si>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</si>
  <si>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</si>
  <si>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</si>
  <si>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</si>
  <si>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</si>
  <si>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</si>
  <si>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</si>
  <si>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YF-YULQ003-W0-20</t>
  </si>
  <si>
    <t>B077T29TYP</t>
  </si>
  <si>
    <t>YF-YULQ003</t>
  </si>
  <si>
    <t>YF-YULQ007-PI-20</t>
  </si>
  <si>
    <t>B074P4D14G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</si>
  <si>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</si>
  <si>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</si>
  <si>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</si>
  <si>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</si>
  <si>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</si>
  <si>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</si>
  <si>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</si>
  <si>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</si>
  <si>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</si>
  <si>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</si>
  <si>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</si>
  <si>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</si>
  <si>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</si>
  <si>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</si>
  <si>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</si>
  <si>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</si>
  <si>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</si>
  <si>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</si>
  <si>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</si>
  <si>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DOLLDRESS-003-WO-20</t>
  </si>
  <si>
    <t>DO-YULQ161-PI-16</t>
  </si>
  <si>
    <t>B07928926Z</t>
  </si>
  <si>
    <t>DOLL-9042-01R-22</t>
  </si>
  <si>
    <t>DO-YULQ157-W0-22</t>
  </si>
  <si>
    <t>DO-YULQ101-PI-22</t>
  </si>
  <si>
    <t>DO-YULQ004-B7-10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</si>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</sst>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6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1" borderId="6" applyNumberFormat="0" applyFont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5" fillId="0" borderId="1" applyNumberFormat="0" applyFill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1" fillId="14" borderId="5" applyNumberFormat="0" applyAlignment="0" applyProtection="0">
      <alignment vertical="center"/>
    </xf>
    <xf numFmtId="0" fontId="19" fillId="14" borderId="3" applyNumberFormat="0" applyAlignment="0" applyProtection="0">
      <alignment vertical="center"/>
    </xf>
    <xf numFmtId="0" fontId="24" fillId="23" borderId="8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0" fillId="0" borderId="0" xfId="0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1053</v>
          </cell>
          <cell r="C2">
            <v>732</v>
          </cell>
          <cell r="D2">
            <v>1277</v>
          </cell>
          <cell r="E2">
            <v>1411</v>
          </cell>
        </row>
        <row r="3">
          <cell r="A3" t="str">
            <v>B06XPJWWR4</v>
          </cell>
          <cell r="B3">
            <v>1474</v>
          </cell>
          <cell r="C3">
            <v>1288</v>
          </cell>
          <cell r="D3">
            <v>1147</v>
          </cell>
          <cell r="E3">
            <v>1112</v>
          </cell>
        </row>
        <row r="4">
          <cell r="A4" t="str">
            <v>B076J6949M</v>
          </cell>
          <cell r="B4">
            <v>501</v>
          </cell>
          <cell r="C4">
            <v>476</v>
          </cell>
          <cell r="D4">
            <v>769</v>
          </cell>
          <cell r="E4">
            <v>816</v>
          </cell>
        </row>
        <row r="5">
          <cell r="A5" t="str">
            <v>B079JRPXZ8</v>
          </cell>
          <cell r="B5">
            <v>1262</v>
          </cell>
          <cell r="C5">
            <v>910</v>
          </cell>
          <cell r="D5">
            <v>1252</v>
          </cell>
          <cell r="E5">
            <v>990</v>
          </cell>
        </row>
        <row r="6">
          <cell r="A6" t="str">
            <v>B076J2TBNG</v>
          </cell>
          <cell r="B6">
            <v>382</v>
          </cell>
          <cell r="C6">
            <v>395</v>
          </cell>
          <cell r="D6">
            <v>405</v>
          </cell>
          <cell r="E6">
            <v>410</v>
          </cell>
        </row>
        <row r="7">
          <cell r="A7" t="str">
            <v>B0795M8J8G</v>
          </cell>
          <cell r="B7">
            <v>128</v>
          </cell>
          <cell r="C7">
            <v>221</v>
          </cell>
          <cell r="D7">
            <v>285</v>
          </cell>
          <cell r="E7">
            <v>362</v>
          </cell>
        </row>
        <row r="8">
          <cell r="A8" t="str">
            <v>B0792VZN9S</v>
          </cell>
          <cell r="B8">
            <v>726</v>
          </cell>
          <cell r="C8">
            <v>580</v>
          </cell>
          <cell r="D8">
            <v>393</v>
          </cell>
          <cell r="E8">
            <v>356</v>
          </cell>
        </row>
        <row r="9">
          <cell r="A9" t="str">
            <v>B079JRDT89</v>
          </cell>
          <cell r="B9">
            <v>156</v>
          </cell>
          <cell r="C9">
            <v>178</v>
          </cell>
          <cell r="D9">
            <v>222</v>
          </cell>
          <cell r="E9">
            <v>577</v>
          </cell>
        </row>
        <row r="10">
          <cell r="A10" t="str">
            <v>B06XPKHVHC</v>
          </cell>
          <cell r="B10">
            <v>755</v>
          </cell>
          <cell r="C10">
            <v>671</v>
          </cell>
          <cell r="D10">
            <v>617</v>
          </cell>
          <cell r="E10">
            <v>631</v>
          </cell>
        </row>
        <row r="11">
          <cell r="A11" t="str">
            <v>B074P4D14G</v>
          </cell>
          <cell r="B11">
            <v>174</v>
          </cell>
          <cell r="C11">
            <v>96</v>
          </cell>
          <cell r="D11">
            <v>115</v>
          </cell>
          <cell r="E11">
            <v>95</v>
          </cell>
        </row>
        <row r="12">
          <cell r="A12" t="str">
            <v>B079JQDDN7</v>
          </cell>
          <cell r="B12">
            <v>27</v>
          </cell>
          <cell r="C12">
            <v>9</v>
          </cell>
          <cell r="D12">
            <v>82</v>
          </cell>
          <cell r="E12">
            <v>115</v>
          </cell>
        </row>
        <row r="13">
          <cell r="A13" t="str">
            <v>B07BFVYCH2</v>
          </cell>
          <cell r="B13">
            <v>676</v>
          </cell>
          <cell r="C13">
            <v>678</v>
          </cell>
          <cell r="D13">
            <v>708</v>
          </cell>
          <cell r="E13">
            <v>515</v>
          </cell>
        </row>
        <row r="14">
          <cell r="A14" t="str">
            <v>B076J5RSFF</v>
          </cell>
          <cell r="B14">
            <v>48</v>
          </cell>
          <cell r="C14">
            <v>75</v>
          </cell>
          <cell r="D14">
            <v>64</v>
          </cell>
          <cell r="E14">
            <v>69</v>
          </cell>
        </row>
        <row r="15">
          <cell r="A15" t="str">
            <v>B076KQB6X1</v>
          </cell>
          <cell r="B15">
            <v>106</v>
          </cell>
          <cell r="C15">
            <v>73</v>
          </cell>
          <cell r="D15">
            <v>73</v>
          </cell>
          <cell r="E15">
            <v>48</v>
          </cell>
        </row>
        <row r="16">
          <cell r="A16" t="str">
            <v>B079NXJZ52</v>
          </cell>
          <cell r="B16">
            <v>43</v>
          </cell>
          <cell r="C16">
            <v>40</v>
          </cell>
          <cell r="D16">
            <v>18</v>
          </cell>
          <cell r="E16">
            <v>16</v>
          </cell>
        </row>
        <row r="17">
          <cell r="A17" t="str">
            <v>B07B9Q9YNG</v>
          </cell>
          <cell r="B17">
            <v>34</v>
          </cell>
          <cell r="C17">
            <v>43</v>
          </cell>
          <cell r="D17">
            <v>69</v>
          </cell>
          <cell r="E17">
            <v>56</v>
          </cell>
        </row>
        <row r="18">
          <cell r="A18" t="str">
            <v>B07CM58KHK</v>
          </cell>
          <cell r="B18">
            <v>245</v>
          </cell>
          <cell r="C18">
            <v>333</v>
          </cell>
          <cell r="D18">
            <v>709</v>
          </cell>
          <cell r="E18">
            <v>823</v>
          </cell>
        </row>
        <row r="19">
          <cell r="A19" t="str">
            <v>B07CM9N213</v>
          </cell>
          <cell r="B19">
            <v>60</v>
          </cell>
          <cell r="C19">
            <v>163</v>
          </cell>
          <cell r="D19">
            <v>180</v>
          </cell>
          <cell r="E19">
            <v>221</v>
          </cell>
        </row>
        <row r="20">
          <cell r="A20" t="str">
            <v>B076J2H7FC</v>
          </cell>
          <cell r="B20">
            <v>62</v>
          </cell>
          <cell r="C20">
            <v>44</v>
          </cell>
          <cell r="D20">
            <v>80</v>
          </cell>
          <cell r="E20">
            <v>49</v>
          </cell>
        </row>
        <row r="21">
          <cell r="A21" t="str">
            <v>B076K8YDNV</v>
          </cell>
          <cell r="B21">
            <v>30</v>
          </cell>
          <cell r="C21">
            <v>23</v>
          </cell>
          <cell r="D21">
            <v>26</v>
          </cell>
          <cell r="E21">
            <v>33</v>
          </cell>
        </row>
        <row r="22">
          <cell r="A22" t="str">
            <v>B076P99TGC</v>
          </cell>
          <cell r="B22">
            <v>110</v>
          </cell>
          <cell r="C22">
            <v>106</v>
          </cell>
          <cell r="D22">
            <v>99</v>
          </cell>
          <cell r="E22">
            <v>75</v>
          </cell>
        </row>
        <row r="23">
          <cell r="A23" t="str">
            <v>B078XBDF6J</v>
          </cell>
          <cell r="B23">
            <v>113</v>
          </cell>
          <cell r="C23">
            <v>138</v>
          </cell>
          <cell r="D23">
            <v>112</v>
          </cell>
          <cell r="E23">
            <v>115</v>
          </cell>
        </row>
        <row r="24">
          <cell r="A24" t="str">
            <v>B0794ZPQ8B</v>
          </cell>
          <cell r="B24">
            <v>85</v>
          </cell>
          <cell r="C24">
            <v>48</v>
          </cell>
          <cell r="D24">
            <v>64</v>
          </cell>
          <cell r="E24">
            <v>51</v>
          </cell>
        </row>
        <row r="25">
          <cell r="A25" t="str">
            <v>B0795PQJS1</v>
          </cell>
          <cell r="B25">
            <v>65</v>
          </cell>
          <cell r="C25">
            <v>66</v>
          </cell>
          <cell r="D25">
            <v>109</v>
          </cell>
          <cell r="E25">
            <v>245</v>
          </cell>
        </row>
        <row r="26">
          <cell r="A26" t="str">
            <v>B079JXQJSM</v>
          </cell>
          <cell r="B26">
            <v>305</v>
          </cell>
          <cell r="C26">
            <v>400</v>
          </cell>
          <cell r="D26">
            <v>203</v>
          </cell>
          <cell r="E26">
            <v>122</v>
          </cell>
        </row>
        <row r="27">
          <cell r="A27" t="str">
            <v>B079M128Y6</v>
          </cell>
          <cell r="B27">
            <v>32</v>
          </cell>
          <cell r="C27">
            <v>115</v>
          </cell>
          <cell r="D27">
            <v>171</v>
          </cell>
          <cell r="E27">
            <v>70</v>
          </cell>
        </row>
        <row r="28">
          <cell r="A28" t="str">
            <v>B079P55XYW</v>
          </cell>
          <cell r="B28">
            <v>23</v>
          </cell>
          <cell r="C28">
            <v>15</v>
          </cell>
          <cell r="D28">
            <v>37</v>
          </cell>
          <cell r="E28">
            <v>29</v>
          </cell>
        </row>
        <row r="29">
          <cell r="A29" t="str">
            <v>B07CN4J1B2</v>
          </cell>
          <cell r="B29">
            <v>102</v>
          </cell>
          <cell r="C29">
            <v>65</v>
          </cell>
          <cell r="D29">
            <v>77</v>
          </cell>
          <cell r="E29">
            <v>53</v>
          </cell>
        </row>
        <row r="30">
          <cell r="A30" t="str">
            <v>B076J4L24W</v>
          </cell>
          <cell r="B30">
            <v>358</v>
          </cell>
          <cell r="C30">
            <v>131</v>
          </cell>
          <cell r="D30">
            <v>264</v>
          </cell>
          <cell r="E30">
            <v>265</v>
          </cell>
        </row>
        <row r="31">
          <cell r="A31" t="str">
            <v>B076Q79H79</v>
          </cell>
          <cell r="B31">
            <v>45</v>
          </cell>
          <cell r="C31">
            <v>50</v>
          </cell>
          <cell r="D31">
            <v>127</v>
          </cell>
          <cell r="E31">
            <v>71</v>
          </cell>
        </row>
        <row r="32">
          <cell r="A32" t="str">
            <v>B076Q7DCP1</v>
          </cell>
          <cell r="B32">
            <v>156</v>
          </cell>
          <cell r="C32">
            <v>157</v>
          </cell>
          <cell r="D32">
            <v>326</v>
          </cell>
          <cell r="E32">
            <v>224</v>
          </cell>
        </row>
        <row r="33">
          <cell r="A33" t="str">
            <v>B076Q8RG21</v>
          </cell>
          <cell r="B33">
            <v>212</v>
          </cell>
          <cell r="C33">
            <v>126</v>
          </cell>
          <cell r="D33">
            <v>155</v>
          </cell>
          <cell r="E33">
            <v>92</v>
          </cell>
        </row>
        <row r="34">
          <cell r="A34" t="str">
            <v>B077HNP6TL</v>
          </cell>
          <cell r="B34">
            <v>374</v>
          </cell>
          <cell r="C34">
            <v>170</v>
          </cell>
          <cell r="D34">
            <v>183</v>
          </cell>
          <cell r="E34">
            <v>169</v>
          </cell>
        </row>
        <row r="35">
          <cell r="A35" t="str">
            <v>B077T29TYP</v>
          </cell>
          <cell r="B35">
            <v>51</v>
          </cell>
          <cell r="C35">
            <v>7</v>
          </cell>
          <cell r="D35">
            <v>15</v>
          </cell>
          <cell r="E35">
            <v>19</v>
          </cell>
        </row>
        <row r="36">
          <cell r="A36" t="str">
            <v>B0785S857P</v>
          </cell>
          <cell r="B36">
            <v>6</v>
          </cell>
          <cell r="C36">
            <v>10</v>
          </cell>
          <cell r="D36">
            <v>7</v>
          </cell>
          <cell r="E36">
            <v>5</v>
          </cell>
        </row>
        <row r="37">
          <cell r="A37" t="str">
            <v>B0788P8DCG</v>
          </cell>
          <cell r="B37">
            <v>45</v>
          </cell>
          <cell r="C37">
            <v>71</v>
          </cell>
          <cell r="D37">
            <v>95</v>
          </cell>
          <cell r="E37">
            <v>81</v>
          </cell>
        </row>
        <row r="38">
          <cell r="A38" t="str">
            <v>B078X59HSZ</v>
          </cell>
          <cell r="B38">
            <v>37</v>
          </cell>
          <cell r="C38">
            <v>53</v>
          </cell>
          <cell r="D38">
            <v>235</v>
          </cell>
          <cell r="E38">
            <v>241</v>
          </cell>
        </row>
        <row r="39">
          <cell r="A39" t="str">
            <v>B078X5DZRT</v>
          </cell>
          <cell r="B39">
            <v>69</v>
          </cell>
          <cell r="C39">
            <v>75</v>
          </cell>
          <cell r="D39">
            <v>83</v>
          </cell>
          <cell r="E39">
            <v>108</v>
          </cell>
        </row>
        <row r="40">
          <cell r="A40" t="str">
            <v>B078XBY1MZ</v>
          </cell>
          <cell r="B40">
            <v>262</v>
          </cell>
          <cell r="C40">
            <v>214</v>
          </cell>
          <cell r="D40">
            <v>142</v>
          </cell>
          <cell r="E40">
            <v>117</v>
          </cell>
        </row>
        <row r="41">
          <cell r="A41" t="str">
            <v>B0792VKCCR</v>
          </cell>
          <cell r="B41">
            <v>100</v>
          </cell>
          <cell r="C41">
            <v>81</v>
          </cell>
          <cell r="D41">
            <v>82</v>
          </cell>
          <cell r="E41">
            <v>47</v>
          </cell>
        </row>
        <row r="42">
          <cell r="A42" t="str">
            <v>B0793QZPK1</v>
          </cell>
          <cell r="B42">
            <v>131</v>
          </cell>
          <cell r="C42">
            <v>92</v>
          </cell>
          <cell r="D42">
            <v>76</v>
          </cell>
          <cell r="E42">
            <v>80</v>
          </cell>
        </row>
        <row r="43">
          <cell r="A43" t="str">
            <v>B0793R99F1</v>
          </cell>
          <cell r="B43">
            <v>26</v>
          </cell>
          <cell r="C43">
            <v>9</v>
          </cell>
          <cell r="D43">
            <v>7</v>
          </cell>
          <cell r="E43">
            <v>15</v>
          </cell>
        </row>
        <row r="44">
          <cell r="A44" t="str">
            <v>B079NX5R9C</v>
          </cell>
          <cell r="B44">
            <v>29</v>
          </cell>
          <cell r="C44">
            <v>21</v>
          </cell>
          <cell r="D44">
            <v>19</v>
          </cell>
          <cell r="E44">
            <v>14</v>
          </cell>
        </row>
        <row r="45">
          <cell r="A45" t="str">
            <v>B07BFVXXX8</v>
          </cell>
          <cell r="B45">
            <v>28</v>
          </cell>
          <cell r="C45">
            <v>40</v>
          </cell>
          <cell r="D45">
            <v>19</v>
          </cell>
          <cell r="E45">
            <v>23</v>
          </cell>
        </row>
        <row r="46">
          <cell r="A46" t="str">
            <v>B07CM664M7</v>
          </cell>
          <cell r="B46">
            <v>307</v>
          </cell>
          <cell r="C46">
            <v>219</v>
          </cell>
          <cell r="D46">
            <v>437</v>
          </cell>
          <cell r="E46">
            <v>264</v>
          </cell>
        </row>
        <row r="47">
          <cell r="A47" t="str">
            <v>B07CN274MC</v>
          </cell>
          <cell r="B47">
            <v>72</v>
          </cell>
          <cell r="C47">
            <v>38</v>
          </cell>
          <cell r="D47">
            <v>0</v>
          </cell>
          <cell r="E47">
            <v>31</v>
          </cell>
        </row>
        <row r="48">
          <cell r="A48" t="str">
            <v>B076MT3BDS</v>
          </cell>
          <cell r="B48">
            <v>8</v>
          </cell>
          <cell r="C48">
            <v>22</v>
          </cell>
          <cell r="D48">
            <v>53</v>
          </cell>
          <cell r="E48">
            <v>45</v>
          </cell>
        </row>
        <row r="49">
          <cell r="A49" t="str">
            <v>B076PDDZW9</v>
          </cell>
          <cell r="B49">
            <v>107</v>
          </cell>
          <cell r="C49">
            <v>100</v>
          </cell>
          <cell r="D49">
            <v>287</v>
          </cell>
          <cell r="E49">
            <v>216</v>
          </cell>
        </row>
        <row r="50">
          <cell r="A50" t="str">
            <v>B076Q71HXL</v>
          </cell>
          <cell r="B50">
            <v>15</v>
          </cell>
          <cell r="C50">
            <v>29</v>
          </cell>
          <cell r="D50">
            <v>47</v>
          </cell>
          <cell r="E50">
            <v>38</v>
          </cell>
        </row>
        <row r="51">
          <cell r="A51" t="str">
            <v>B077SGXYL6</v>
          </cell>
          <cell r="B51">
            <v>136</v>
          </cell>
          <cell r="C51">
            <v>177</v>
          </cell>
          <cell r="D51">
            <v>146</v>
          </cell>
          <cell r="E51">
            <v>177</v>
          </cell>
        </row>
        <row r="52">
          <cell r="A52" t="str">
            <v>B077Z474QH</v>
          </cell>
          <cell r="B52">
            <v>5</v>
          </cell>
          <cell r="C52">
            <v>2</v>
          </cell>
          <cell r="D52">
            <v>3</v>
          </cell>
          <cell r="E52">
            <v>6</v>
          </cell>
        </row>
        <row r="53">
          <cell r="A53" t="str">
            <v>B0788NF4TB</v>
          </cell>
          <cell r="B53">
            <v>52</v>
          </cell>
          <cell r="C53">
            <v>71</v>
          </cell>
          <cell r="D53">
            <v>109</v>
          </cell>
          <cell r="E53">
            <v>69</v>
          </cell>
        </row>
        <row r="54">
          <cell r="A54" t="str">
            <v>B078X5DJLB</v>
          </cell>
          <cell r="B54">
            <v>6</v>
          </cell>
          <cell r="C54">
            <v>6</v>
          </cell>
          <cell r="D54">
            <v>8</v>
          </cell>
          <cell r="E54">
            <v>10</v>
          </cell>
        </row>
        <row r="55">
          <cell r="A55" t="str">
            <v>B07928926Z</v>
          </cell>
          <cell r="B55">
            <v>0</v>
          </cell>
          <cell r="C55">
            <v>0</v>
          </cell>
          <cell r="D55">
            <v>0</v>
          </cell>
          <cell r="E55">
            <v>54</v>
          </cell>
        </row>
        <row r="56">
          <cell r="A56" t="str">
            <v>B0792VG6VZ</v>
          </cell>
          <cell r="B56">
            <v>86</v>
          </cell>
          <cell r="C56">
            <v>25</v>
          </cell>
          <cell r="D56">
            <v>34</v>
          </cell>
          <cell r="E56">
            <v>60</v>
          </cell>
        </row>
        <row r="57">
          <cell r="A57" t="str">
            <v>B0793PS7QX</v>
          </cell>
          <cell r="B57">
            <v>40</v>
          </cell>
          <cell r="C57">
            <v>27</v>
          </cell>
          <cell r="D57">
            <v>30</v>
          </cell>
          <cell r="E57">
            <v>36</v>
          </cell>
        </row>
        <row r="58">
          <cell r="A58" t="str">
            <v>B0793RW7P4</v>
          </cell>
          <cell r="B58">
            <v>32</v>
          </cell>
          <cell r="C58">
            <v>87</v>
          </cell>
          <cell r="D58">
            <v>399</v>
          </cell>
          <cell r="E58">
            <v>92</v>
          </cell>
        </row>
        <row r="59">
          <cell r="A59" t="str">
            <v>B079DRCQ6B</v>
          </cell>
          <cell r="B59">
            <v>63</v>
          </cell>
          <cell r="C59">
            <v>60</v>
          </cell>
          <cell r="D59">
            <v>54</v>
          </cell>
          <cell r="E59">
            <v>70</v>
          </cell>
        </row>
        <row r="60">
          <cell r="A60" t="str">
            <v>B079JWNR6Z</v>
          </cell>
          <cell r="B60">
            <v>60</v>
          </cell>
          <cell r="C60">
            <v>86</v>
          </cell>
          <cell r="D60">
            <v>60</v>
          </cell>
          <cell r="E60">
            <v>58</v>
          </cell>
        </row>
        <row r="61">
          <cell r="A61" t="str">
            <v>B079NW9791</v>
          </cell>
          <cell r="B61">
            <v>87</v>
          </cell>
          <cell r="C61">
            <v>50</v>
          </cell>
          <cell r="D61">
            <v>42</v>
          </cell>
          <cell r="E61">
            <v>36</v>
          </cell>
        </row>
        <row r="62">
          <cell r="A62" t="str">
            <v>B079NYR8GC</v>
          </cell>
          <cell r="B62">
            <v>55</v>
          </cell>
          <cell r="C62">
            <v>98</v>
          </cell>
          <cell r="D62">
            <v>147</v>
          </cell>
          <cell r="E62">
            <v>243</v>
          </cell>
        </row>
        <row r="63">
          <cell r="A63" t="str">
            <v>B079P28VV3</v>
          </cell>
          <cell r="B63">
            <v>13</v>
          </cell>
          <cell r="C63">
            <v>14</v>
          </cell>
          <cell r="D63">
            <v>7</v>
          </cell>
          <cell r="E63">
            <v>6</v>
          </cell>
        </row>
        <row r="64">
          <cell r="A64" t="str">
            <v>B079P52R76</v>
          </cell>
          <cell r="B64">
            <v>18</v>
          </cell>
          <cell r="C64">
            <v>17</v>
          </cell>
          <cell r="D64">
            <v>47</v>
          </cell>
          <cell r="E64">
            <v>113</v>
          </cell>
        </row>
        <row r="65">
          <cell r="A65" t="str">
            <v>B07BDDC5WH</v>
          </cell>
          <cell r="B65">
            <v>101</v>
          </cell>
          <cell r="C65">
            <v>117</v>
          </cell>
          <cell r="D65">
            <v>65</v>
          </cell>
          <cell r="E65">
            <v>65</v>
          </cell>
        </row>
        <row r="66">
          <cell r="A66" t="str">
            <v>B07BFVF3GM</v>
          </cell>
          <cell r="B66">
            <v>46</v>
          </cell>
          <cell r="C66">
            <v>16</v>
          </cell>
          <cell r="D66">
            <v>10</v>
          </cell>
          <cell r="E66">
            <v>20</v>
          </cell>
        </row>
        <row r="67">
          <cell r="A67" t="str">
            <v>B07BNCFZXN</v>
          </cell>
          <cell r="B67">
            <v>34</v>
          </cell>
          <cell r="C67">
            <v>26</v>
          </cell>
          <cell r="D67">
            <v>23</v>
          </cell>
          <cell r="E67">
            <v>43</v>
          </cell>
        </row>
        <row r="68">
          <cell r="A68" t="str">
            <v>B07BSHY6ZL</v>
          </cell>
          <cell r="B68">
            <v>116</v>
          </cell>
          <cell r="C68">
            <v>125</v>
          </cell>
          <cell r="D68">
            <v>74</v>
          </cell>
          <cell r="E68">
            <v>99</v>
          </cell>
        </row>
        <row r="69">
          <cell r="A69" t="str">
            <v>B07CLYNY71</v>
          </cell>
          <cell r="B69">
            <v>98</v>
          </cell>
          <cell r="C69">
            <v>25</v>
          </cell>
          <cell r="D69">
            <v>46</v>
          </cell>
          <cell r="E69">
            <v>21</v>
          </cell>
        </row>
        <row r="70">
          <cell r="A70" t="str">
            <v>B07CM347WF</v>
          </cell>
          <cell r="B70">
            <v>45</v>
          </cell>
          <cell r="C70">
            <v>142</v>
          </cell>
          <cell r="D70">
            <v>124</v>
          </cell>
          <cell r="E70">
            <v>129</v>
          </cell>
        </row>
        <row r="71">
          <cell r="A71" t="str">
            <v>B07CM6R65H</v>
          </cell>
          <cell r="B71">
            <v>256</v>
          </cell>
          <cell r="C71">
            <v>467</v>
          </cell>
          <cell r="D71">
            <v>181</v>
          </cell>
          <cell r="E71">
            <v>109</v>
          </cell>
        </row>
        <row r="72">
          <cell r="A72" t="str">
            <v>B07D4DDT41</v>
          </cell>
          <cell r="B72">
            <v>31</v>
          </cell>
          <cell r="C72">
            <v>15</v>
          </cell>
          <cell r="D72">
            <v>6</v>
          </cell>
          <cell r="E72">
            <v>10</v>
          </cell>
        </row>
        <row r="73">
          <cell r="A73" t="str">
            <v>B07D4DRFYN</v>
          </cell>
          <cell r="B73">
            <v>190</v>
          </cell>
          <cell r="C73">
            <v>120</v>
          </cell>
          <cell r="D73">
            <v>59</v>
          </cell>
          <cell r="E73">
            <v>75</v>
          </cell>
        </row>
        <row r="74">
          <cell r="A74" t="str">
            <v>B076MVRP3M</v>
          </cell>
          <cell r="B74">
            <v>38</v>
          </cell>
          <cell r="C74">
            <v>46</v>
          </cell>
          <cell r="D74">
            <v>82</v>
          </cell>
          <cell r="E74">
            <v>50</v>
          </cell>
        </row>
        <row r="75">
          <cell r="A75" t="str">
            <v>B076MW1Y4F</v>
          </cell>
          <cell r="B75">
            <v>12</v>
          </cell>
          <cell r="C75">
            <v>18</v>
          </cell>
          <cell r="D75">
            <v>91</v>
          </cell>
          <cell r="E75">
            <v>16</v>
          </cell>
        </row>
        <row r="76">
          <cell r="A76" t="str">
            <v>B0778B83P8</v>
          </cell>
          <cell r="B76">
            <v>0</v>
          </cell>
          <cell r="C76">
            <v>2</v>
          </cell>
          <cell r="D76">
            <v>2</v>
          </cell>
          <cell r="E76">
            <v>2</v>
          </cell>
        </row>
        <row r="77">
          <cell r="A77" t="str">
            <v>B077HPT67J</v>
          </cell>
          <cell r="B77">
            <v>47</v>
          </cell>
          <cell r="C77">
            <v>15</v>
          </cell>
          <cell r="D77">
            <v>7</v>
          </cell>
          <cell r="E77">
            <v>19</v>
          </cell>
        </row>
        <row r="78">
          <cell r="A78" t="str">
            <v>B077HQRC9P</v>
          </cell>
          <cell r="B78">
            <v>66</v>
          </cell>
          <cell r="C78">
            <v>37</v>
          </cell>
          <cell r="D78">
            <v>26</v>
          </cell>
          <cell r="E78">
            <v>39</v>
          </cell>
        </row>
        <row r="79">
          <cell r="A79" t="str">
            <v>B077SDPC6N</v>
          </cell>
          <cell r="B79">
            <v>33</v>
          </cell>
          <cell r="C79">
            <v>41</v>
          </cell>
          <cell r="D79">
            <v>50</v>
          </cell>
          <cell r="E79">
            <v>46</v>
          </cell>
        </row>
        <row r="80">
          <cell r="A80" t="str">
            <v>B077SHDMC8</v>
          </cell>
          <cell r="B80">
            <v>6</v>
          </cell>
          <cell r="C80">
            <v>3</v>
          </cell>
          <cell r="D80">
            <v>4</v>
          </cell>
          <cell r="E80">
            <v>1</v>
          </cell>
        </row>
        <row r="81">
          <cell r="A81" t="str">
            <v>B077SNDT1X</v>
          </cell>
          <cell r="B81">
            <v>5</v>
          </cell>
          <cell r="C81">
            <v>1</v>
          </cell>
          <cell r="D81">
            <v>4</v>
          </cell>
          <cell r="E81">
            <v>8</v>
          </cell>
        </row>
        <row r="82">
          <cell r="A82" t="str">
            <v>B077VNWLJW</v>
          </cell>
          <cell r="B82">
            <v>11</v>
          </cell>
          <cell r="C82">
            <v>22</v>
          </cell>
          <cell r="D82">
            <v>12</v>
          </cell>
          <cell r="E82">
            <v>14</v>
          </cell>
        </row>
        <row r="83">
          <cell r="A83" t="str">
            <v>B077Z6B9TS</v>
          </cell>
          <cell r="B83">
            <v>7</v>
          </cell>
          <cell r="C83">
            <v>2</v>
          </cell>
          <cell r="D83">
            <v>6</v>
          </cell>
          <cell r="E83">
            <v>3</v>
          </cell>
        </row>
        <row r="84">
          <cell r="A84" t="str">
            <v>B0784T23ZQ</v>
          </cell>
          <cell r="B84">
            <v>30</v>
          </cell>
          <cell r="C84">
            <v>46</v>
          </cell>
          <cell r="D84">
            <v>36</v>
          </cell>
          <cell r="E84">
            <v>14</v>
          </cell>
        </row>
        <row r="85">
          <cell r="A85" t="str">
            <v>B0788N4FMR</v>
          </cell>
          <cell r="B85">
            <v>12</v>
          </cell>
          <cell r="C85">
            <v>13</v>
          </cell>
          <cell r="D85">
            <v>14</v>
          </cell>
          <cell r="E85">
            <v>22</v>
          </cell>
        </row>
        <row r="86">
          <cell r="A86" t="str">
            <v>B0788N9R3H</v>
          </cell>
          <cell r="B86">
            <v>7</v>
          </cell>
          <cell r="C86">
            <v>21</v>
          </cell>
          <cell r="D86">
            <v>19</v>
          </cell>
          <cell r="E86">
            <v>18</v>
          </cell>
        </row>
        <row r="87">
          <cell r="A87" t="str">
            <v>B078X5HG51</v>
          </cell>
          <cell r="B87">
            <v>5</v>
          </cell>
          <cell r="C87">
            <v>4</v>
          </cell>
          <cell r="D87">
            <v>6</v>
          </cell>
          <cell r="E87">
            <v>2</v>
          </cell>
        </row>
        <row r="88">
          <cell r="A88" t="str">
            <v>B078X6K4KJ</v>
          </cell>
          <cell r="B88">
            <v>9</v>
          </cell>
          <cell r="C88">
            <v>11</v>
          </cell>
          <cell r="D88">
            <v>68</v>
          </cell>
          <cell r="E88">
            <v>21</v>
          </cell>
        </row>
        <row r="89">
          <cell r="A89" t="str">
            <v>B078XB1WC9</v>
          </cell>
          <cell r="B89">
            <v>28</v>
          </cell>
          <cell r="C89">
            <v>28</v>
          </cell>
          <cell r="D89">
            <v>78</v>
          </cell>
          <cell r="E89">
            <v>166</v>
          </cell>
        </row>
        <row r="90">
          <cell r="A90" t="str">
            <v>B078XC1QQQ</v>
          </cell>
          <cell r="B90">
            <v>33</v>
          </cell>
          <cell r="C90">
            <v>12</v>
          </cell>
          <cell r="D90">
            <v>21</v>
          </cell>
          <cell r="E90">
            <v>29</v>
          </cell>
        </row>
        <row r="91">
          <cell r="A91" t="str">
            <v>B078XZR24D</v>
          </cell>
          <cell r="B91">
            <v>10</v>
          </cell>
          <cell r="C91">
            <v>11</v>
          </cell>
          <cell r="D91">
            <v>11</v>
          </cell>
          <cell r="E91">
            <v>12</v>
          </cell>
        </row>
        <row r="92">
          <cell r="A92" t="str">
            <v>B078XZRP4X</v>
          </cell>
          <cell r="B92">
            <v>9</v>
          </cell>
          <cell r="C92">
            <v>8</v>
          </cell>
          <cell r="D92">
            <v>12</v>
          </cell>
          <cell r="E92">
            <v>7</v>
          </cell>
        </row>
        <row r="93">
          <cell r="A93" t="str">
            <v>B078Y2G7XW</v>
          </cell>
          <cell r="B93">
            <v>10</v>
          </cell>
          <cell r="C93">
            <v>10</v>
          </cell>
          <cell r="D93">
            <v>7</v>
          </cell>
          <cell r="E93">
            <v>7</v>
          </cell>
        </row>
        <row r="94">
          <cell r="A94" t="str">
            <v>B078Y5BTZC</v>
          </cell>
          <cell r="B94">
            <v>44</v>
          </cell>
          <cell r="C94">
            <v>20</v>
          </cell>
          <cell r="D94">
            <v>14</v>
          </cell>
          <cell r="E94">
            <v>17</v>
          </cell>
        </row>
        <row r="95">
          <cell r="A95" t="str">
            <v>B078Y8Y5F7</v>
          </cell>
          <cell r="B95">
            <v>14</v>
          </cell>
          <cell r="C95">
            <v>16</v>
          </cell>
          <cell r="D95">
            <v>15</v>
          </cell>
          <cell r="E95">
            <v>20</v>
          </cell>
        </row>
        <row r="96">
          <cell r="A96" t="str">
            <v>B078YMSFZJ</v>
          </cell>
          <cell r="B96">
            <v>0</v>
          </cell>
          <cell r="C96">
            <v>0</v>
          </cell>
          <cell r="D96">
            <v>123</v>
          </cell>
          <cell r="E96">
            <v>80</v>
          </cell>
        </row>
        <row r="97">
          <cell r="A97" t="str">
            <v>B07929YDZM</v>
          </cell>
          <cell r="B97">
            <v>39</v>
          </cell>
          <cell r="C97">
            <v>30</v>
          </cell>
          <cell r="D97">
            <v>38</v>
          </cell>
          <cell r="E97">
            <v>35</v>
          </cell>
        </row>
        <row r="98">
          <cell r="A98" t="str">
            <v>B0792PFKL5</v>
          </cell>
          <cell r="B98">
            <v>1</v>
          </cell>
          <cell r="C98">
            <v>0</v>
          </cell>
          <cell r="D98">
            <v>3</v>
          </cell>
          <cell r="E98">
            <v>11</v>
          </cell>
        </row>
        <row r="99">
          <cell r="A99" t="str">
            <v>B0792VHP6W</v>
          </cell>
          <cell r="B99">
            <v>18</v>
          </cell>
          <cell r="C99">
            <v>10</v>
          </cell>
          <cell r="D99">
            <v>16</v>
          </cell>
          <cell r="E99">
            <v>13</v>
          </cell>
        </row>
        <row r="100">
          <cell r="A100" t="str">
            <v>B0792VK5C4</v>
          </cell>
          <cell r="B100">
            <v>5</v>
          </cell>
          <cell r="C100">
            <v>0</v>
          </cell>
          <cell r="D100">
            <v>3</v>
          </cell>
          <cell r="E100">
            <v>5</v>
          </cell>
        </row>
        <row r="101">
          <cell r="A101" t="str">
            <v>B0792VRZ89</v>
          </cell>
          <cell r="B101">
            <v>98</v>
          </cell>
          <cell r="C101">
            <v>41</v>
          </cell>
          <cell r="D101">
            <v>44</v>
          </cell>
          <cell r="E101">
            <v>40</v>
          </cell>
        </row>
        <row r="102">
          <cell r="A102" t="str">
            <v>B0793QLQ3Z</v>
          </cell>
          <cell r="B102">
            <v>253</v>
          </cell>
          <cell r="C102">
            <v>177</v>
          </cell>
          <cell r="D102">
            <v>28</v>
          </cell>
          <cell r="E102">
            <v>48</v>
          </cell>
        </row>
        <row r="103">
          <cell r="A103" t="str">
            <v>B0793RG3PM</v>
          </cell>
          <cell r="B103">
            <v>34</v>
          </cell>
          <cell r="C103">
            <v>11</v>
          </cell>
          <cell r="D103">
            <v>24</v>
          </cell>
          <cell r="E103">
            <v>22</v>
          </cell>
        </row>
        <row r="104">
          <cell r="A104" t="str">
            <v>B0794XFL8V</v>
          </cell>
          <cell r="B104">
            <v>57</v>
          </cell>
          <cell r="C104">
            <v>15</v>
          </cell>
          <cell r="D104">
            <v>26</v>
          </cell>
          <cell r="E104">
            <v>22</v>
          </cell>
        </row>
        <row r="105">
          <cell r="A105" t="str">
            <v>B0794Z23LW</v>
          </cell>
          <cell r="B105">
            <v>25</v>
          </cell>
          <cell r="C105">
            <v>37</v>
          </cell>
          <cell r="D105">
            <v>34</v>
          </cell>
          <cell r="E105">
            <v>54</v>
          </cell>
        </row>
        <row r="106">
          <cell r="A106" t="str">
            <v>B0795117ZD</v>
          </cell>
          <cell r="B106">
            <v>153</v>
          </cell>
          <cell r="C106">
            <v>117</v>
          </cell>
          <cell r="D106">
            <v>63</v>
          </cell>
          <cell r="E106">
            <v>37</v>
          </cell>
        </row>
        <row r="107">
          <cell r="A107" t="str">
            <v>B079513H1Q</v>
          </cell>
          <cell r="B107">
            <v>8</v>
          </cell>
          <cell r="C107">
            <v>8</v>
          </cell>
          <cell r="D107">
            <v>2</v>
          </cell>
          <cell r="E107">
            <v>8</v>
          </cell>
        </row>
        <row r="108">
          <cell r="A108" t="str">
            <v>B0795D6KPS</v>
          </cell>
          <cell r="B108">
            <v>17</v>
          </cell>
          <cell r="C108">
            <v>13</v>
          </cell>
          <cell r="D108">
            <v>5</v>
          </cell>
          <cell r="E108">
            <v>9</v>
          </cell>
        </row>
        <row r="109">
          <cell r="A109" t="str">
            <v>B0795M2NML</v>
          </cell>
          <cell r="B109">
            <v>316</v>
          </cell>
          <cell r="C109">
            <v>252</v>
          </cell>
          <cell r="D109">
            <v>57</v>
          </cell>
          <cell r="E109">
            <v>56</v>
          </cell>
        </row>
        <row r="110">
          <cell r="A110" t="str">
            <v>B0795M8ZGB</v>
          </cell>
          <cell r="B110">
            <v>9</v>
          </cell>
          <cell r="C110">
            <v>7</v>
          </cell>
          <cell r="D110">
            <v>4</v>
          </cell>
          <cell r="E110">
            <v>10</v>
          </cell>
        </row>
        <row r="111">
          <cell r="A111" t="str">
            <v>B0795QK1TP</v>
          </cell>
          <cell r="B111">
            <v>7</v>
          </cell>
          <cell r="C111">
            <v>1</v>
          </cell>
          <cell r="D111">
            <v>6</v>
          </cell>
          <cell r="E111">
            <v>5</v>
          </cell>
        </row>
        <row r="112">
          <cell r="A112" t="str">
            <v>B0795VRN2N</v>
          </cell>
          <cell r="B112">
            <v>20</v>
          </cell>
          <cell r="C112">
            <v>11</v>
          </cell>
          <cell r="D112">
            <v>6</v>
          </cell>
          <cell r="E112">
            <v>13</v>
          </cell>
        </row>
        <row r="113">
          <cell r="A113" t="str">
            <v>B079DPVXXZ</v>
          </cell>
          <cell r="B113">
            <v>1</v>
          </cell>
          <cell r="C113">
            <v>0</v>
          </cell>
          <cell r="D113">
            <v>2</v>
          </cell>
          <cell r="E113">
            <v>1</v>
          </cell>
        </row>
        <row r="114">
          <cell r="A114" t="str">
            <v>B079JQ6R99</v>
          </cell>
          <cell r="B114">
            <v>0</v>
          </cell>
          <cell r="C114">
            <v>66</v>
          </cell>
          <cell r="D114">
            <v>194</v>
          </cell>
          <cell r="E114">
            <v>68</v>
          </cell>
        </row>
        <row r="115">
          <cell r="A115" t="str">
            <v>B079JQGCBR</v>
          </cell>
          <cell r="B115">
            <v>1</v>
          </cell>
          <cell r="C115">
            <v>1</v>
          </cell>
          <cell r="D115">
            <v>5</v>
          </cell>
          <cell r="E115">
            <v>6</v>
          </cell>
        </row>
        <row r="116">
          <cell r="A116" t="str">
            <v>B079JRG1TM</v>
          </cell>
          <cell r="B116">
            <v>124</v>
          </cell>
          <cell r="C116">
            <v>54</v>
          </cell>
          <cell r="D116">
            <v>17</v>
          </cell>
          <cell r="E116">
            <v>6</v>
          </cell>
        </row>
        <row r="117">
          <cell r="A117" t="str">
            <v>B079K3D4WY</v>
          </cell>
          <cell r="B117">
            <v>30</v>
          </cell>
          <cell r="C117">
            <v>29</v>
          </cell>
          <cell r="D117">
            <v>9</v>
          </cell>
          <cell r="E117">
            <v>15</v>
          </cell>
        </row>
        <row r="118">
          <cell r="A118" t="str">
            <v>B079NSK8NL</v>
          </cell>
          <cell r="B118">
            <v>0</v>
          </cell>
          <cell r="C118">
            <v>0</v>
          </cell>
          <cell r="D118">
            <v>2</v>
          </cell>
          <cell r="E118">
            <v>3</v>
          </cell>
        </row>
        <row r="119">
          <cell r="A119" t="str">
            <v>B079NWXG5Z</v>
          </cell>
          <cell r="B119">
            <v>4</v>
          </cell>
          <cell r="C119">
            <v>6</v>
          </cell>
          <cell r="D119">
            <v>2</v>
          </cell>
          <cell r="E119">
            <v>8</v>
          </cell>
        </row>
        <row r="120">
          <cell r="A120" t="str">
            <v>B079NY4PYK</v>
          </cell>
          <cell r="B120">
            <v>2</v>
          </cell>
          <cell r="C120">
            <v>1</v>
          </cell>
          <cell r="D120">
            <v>4</v>
          </cell>
          <cell r="E120">
            <v>10</v>
          </cell>
        </row>
        <row r="121">
          <cell r="A121" t="str">
            <v>B079NY4SZ4</v>
          </cell>
          <cell r="B121">
            <v>14</v>
          </cell>
          <cell r="C121">
            <v>11</v>
          </cell>
          <cell r="D121">
            <v>32</v>
          </cell>
          <cell r="E121">
            <v>28</v>
          </cell>
        </row>
        <row r="122">
          <cell r="A122" t="str">
            <v>B079P24VZF</v>
          </cell>
          <cell r="B122">
            <v>35</v>
          </cell>
          <cell r="C122">
            <v>20</v>
          </cell>
          <cell r="D122">
            <v>5</v>
          </cell>
          <cell r="E122">
            <v>6</v>
          </cell>
        </row>
        <row r="123">
          <cell r="A123" t="str">
            <v>B07B7G22RT</v>
          </cell>
          <cell r="B123">
            <v>54</v>
          </cell>
          <cell r="C123">
            <v>27</v>
          </cell>
          <cell r="D123">
            <v>52</v>
          </cell>
          <cell r="E123">
            <v>25</v>
          </cell>
        </row>
        <row r="124">
          <cell r="A124" t="str">
            <v>B07B94LQJR</v>
          </cell>
          <cell r="B124">
            <v>34</v>
          </cell>
          <cell r="C124">
            <v>50</v>
          </cell>
          <cell r="D124">
            <v>27</v>
          </cell>
          <cell r="E124">
            <v>35</v>
          </cell>
        </row>
        <row r="125">
          <cell r="A125" t="str">
            <v>B07B9C9WPT</v>
          </cell>
          <cell r="B125">
            <v>1</v>
          </cell>
          <cell r="C125">
            <v>2</v>
          </cell>
          <cell r="D125">
            <v>1</v>
          </cell>
          <cell r="E125">
            <v>2</v>
          </cell>
        </row>
        <row r="126">
          <cell r="A126" t="str">
            <v>B07B9Q774Z</v>
          </cell>
          <cell r="B126">
            <v>21</v>
          </cell>
          <cell r="C126">
            <v>37</v>
          </cell>
          <cell r="D126">
            <v>24</v>
          </cell>
          <cell r="E126">
            <v>33</v>
          </cell>
        </row>
        <row r="127">
          <cell r="A127" t="str">
            <v>B07B9SLG9M</v>
          </cell>
          <cell r="B127">
            <v>22</v>
          </cell>
          <cell r="C127">
            <v>17</v>
          </cell>
          <cell r="D127">
            <v>14</v>
          </cell>
          <cell r="E127">
            <v>12</v>
          </cell>
        </row>
        <row r="128">
          <cell r="A128" t="str">
            <v>B07BFV7XQM</v>
          </cell>
          <cell r="B128">
            <v>62</v>
          </cell>
          <cell r="C128">
            <v>58</v>
          </cell>
          <cell r="D128">
            <v>51</v>
          </cell>
          <cell r="E128">
            <v>41</v>
          </cell>
        </row>
        <row r="129">
          <cell r="A129" t="str">
            <v>B07BFVWCV4</v>
          </cell>
          <cell r="B129">
            <v>32</v>
          </cell>
          <cell r="C129">
            <v>23</v>
          </cell>
          <cell r="D129">
            <v>9</v>
          </cell>
          <cell r="E129">
            <v>21</v>
          </cell>
        </row>
        <row r="130">
          <cell r="A130" t="str">
            <v>B07BFVXKTL</v>
          </cell>
          <cell r="B130">
            <v>16</v>
          </cell>
          <cell r="C130">
            <v>14</v>
          </cell>
          <cell r="D130">
            <v>12</v>
          </cell>
          <cell r="E130">
            <v>15</v>
          </cell>
        </row>
        <row r="131">
          <cell r="A131" t="str">
            <v>B07BLRH5BR</v>
          </cell>
          <cell r="B131">
            <v>44</v>
          </cell>
          <cell r="C131">
            <v>68</v>
          </cell>
          <cell r="D131">
            <v>76</v>
          </cell>
          <cell r="E131">
            <v>42</v>
          </cell>
        </row>
        <row r="132">
          <cell r="A132" t="str">
            <v>B07BLRWT2V</v>
          </cell>
          <cell r="B132">
            <v>18</v>
          </cell>
          <cell r="C132">
            <v>36</v>
          </cell>
          <cell r="D132">
            <v>68</v>
          </cell>
          <cell r="E132">
            <v>88</v>
          </cell>
        </row>
        <row r="133">
          <cell r="A133" t="str">
            <v>B07BLTPG2G</v>
          </cell>
          <cell r="B133">
            <v>5</v>
          </cell>
          <cell r="C133">
            <v>6</v>
          </cell>
          <cell r="D133">
            <v>3</v>
          </cell>
          <cell r="E133">
            <v>3</v>
          </cell>
        </row>
        <row r="134">
          <cell r="A134" t="str">
            <v>B07BLVB7FH</v>
          </cell>
          <cell r="B134">
            <v>6</v>
          </cell>
          <cell r="C134">
            <v>5</v>
          </cell>
          <cell r="D134">
            <v>5</v>
          </cell>
          <cell r="E134">
            <v>3</v>
          </cell>
        </row>
        <row r="135">
          <cell r="A135" t="str">
            <v>B07BRK2R83</v>
          </cell>
          <cell r="B135">
            <v>8</v>
          </cell>
          <cell r="C135">
            <v>6</v>
          </cell>
          <cell r="D135">
            <v>4</v>
          </cell>
          <cell r="E135">
            <v>7</v>
          </cell>
        </row>
        <row r="136">
          <cell r="A136" t="str">
            <v>B07BSC5Q33</v>
          </cell>
          <cell r="B136">
            <v>6</v>
          </cell>
          <cell r="C136">
            <v>3</v>
          </cell>
          <cell r="D136">
            <v>10</v>
          </cell>
          <cell r="E136">
            <v>6</v>
          </cell>
        </row>
        <row r="137">
          <cell r="A137" t="str">
            <v>B07BSD41QJ</v>
          </cell>
          <cell r="B137">
            <v>167</v>
          </cell>
          <cell r="C137">
            <v>142</v>
          </cell>
          <cell r="D137">
            <v>75</v>
          </cell>
          <cell r="E137">
            <v>48</v>
          </cell>
        </row>
        <row r="138">
          <cell r="A138" t="str">
            <v>B07BSFP5QZ</v>
          </cell>
          <cell r="B138">
            <v>31</v>
          </cell>
          <cell r="C138">
            <v>14</v>
          </cell>
          <cell r="D138">
            <v>13</v>
          </cell>
          <cell r="E138">
            <v>9</v>
          </cell>
        </row>
        <row r="139">
          <cell r="A139" t="str">
            <v>B07BSN65PZ</v>
          </cell>
          <cell r="B139">
            <v>173</v>
          </cell>
          <cell r="C139">
            <v>128</v>
          </cell>
          <cell r="D139">
            <v>48</v>
          </cell>
          <cell r="E139">
            <v>49</v>
          </cell>
        </row>
        <row r="140">
          <cell r="A140" t="str">
            <v>B07CM52CNC</v>
          </cell>
          <cell r="B140">
            <v>1</v>
          </cell>
          <cell r="C140">
            <v>2</v>
          </cell>
          <cell r="D140">
            <v>0</v>
          </cell>
          <cell r="E140">
            <v>2</v>
          </cell>
        </row>
        <row r="141">
          <cell r="A141" t="str">
            <v>B07CM67KDW</v>
          </cell>
          <cell r="B141">
            <v>61</v>
          </cell>
          <cell r="C141">
            <v>55</v>
          </cell>
          <cell r="D141">
            <v>40</v>
          </cell>
          <cell r="E141">
            <v>37</v>
          </cell>
        </row>
        <row r="142">
          <cell r="A142" t="str">
            <v>B07CN4J157</v>
          </cell>
          <cell r="B142">
            <v>48</v>
          </cell>
          <cell r="C142">
            <v>49</v>
          </cell>
          <cell r="D142">
            <v>20</v>
          </cell>
          <cell r="E142">
            <v>33</v>
          </cell>
        </row>
        <row r="143">
          <cell r="A143" t="str">
            <v>B07CN76YH9</v>
          </cell>
          <cell r="B143">
            <v>231</v>
          </cell>
          <cell r="C143">
            <v>96</v>
          </cell>
          <cell r="D143">
            <v>59</v>
          </cell>
          <cell r="E143">
            <v>78</v>
          </cell>
        </row>
        <row r="144">
          <cell r="A144" t="str">
            <v>B07D4D4876</v>
          </cell>
          <cell r="B144">
            <v>9</v>
          </cell>
          <cell r="C144">
            <v>16</v>
          </cell>
          <cell r="D144">
            <v>4</v>
          </cell>
          <cell r="E144">
            <v>5</v>
          </cell>
        </row>
        <row r="145">
          <cell r="A145" t="str">
            <v>B07D4D6Q9C</v>
          </cell>
          <cell r="B145">
            <v>8</v>
          </cell>
          <cell r="C145">
            <v>2</v>
          </cell>
          <cell r="D145">
            <v>0</v>
          </cell>
          <cell r="E145">
            <v>3</v>
          </cell>
        </row>
        <row r="146">
          <cell r="A146" t="str">
            <v>B07DL5ZGP8</v>
          </cell>
          <cell r="B146">
            <v>53</v>
          </cell>
          <cell r="C146">
            <v>46</v>
          </cell>
          <cell r="D146">
            <v>56</v>
          </cell>
          <cell r="E146">
            <v>0</v>
          </cell>
        </row>
        <row r="147">
          <cell r="A147" t="str">
            <v>B07BFVHDDP</v>
          </cell>
          <cell r="B147">
            <v>35</v>
          </cell>
          <cell r="C147">
            <v>17</v>
          </cell>
          <cell r="D147">
            <v>1</v>
          </cell>
          <cell r="E147">
            <v>0</v>
          </cell>
        </row>
        <row r="148">
          <cell r="A148" t="str">
            <v>B07D4DC72D</v>
          </cell>
          <cell r="B148">
            <v>101</v>
          </cell>
          <cell r="C148">
            <v>17</v>
          </cell>
          <cell r="D148">
            <v>9</v>
          </cell>
          <cell r="E148">
            <v>0</v>
          </cell>
        </row>
        <row r="149">
          <cell r="A149" t="str">
            <v>B076MTPGQ1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1172.06</v>
          </cell>
        </row>
        <row r="3">
          <cell r="G3">
            <v>1058.24</v>
          </cell>
        </row>
        <row r="3">
          <cell r="J3">
            <v>1183.59</v>
          </cell>
        </row>
        <row r="3">
          <cell r="M3">
            <v>1378.11</v>
          </cell>
        </row>
        <row r="4">
          <cell r="A4" t="str">
            <v>DOLL-1613-PI-22</v>
          </cell>
          <cell r="B4">
            <v>318</v>
          </cell>
          <cell r="C4">
            <v>8</v>
          </cell>
          <cell r="D4">
            <v>0.9</v>
          </cell>
          <cell r="E4">
            <v>450</v>
          </cell>
          <cell r="F4">
            <v>6</v>
          </cell>
          <cell r="G4">
            <v>0.91</v>
          </cell>
          <cell r="H4">
            <v>353</v>
          </cell>
          <cell r="I4">
            <v>2</v>
          </cell>
          <cell r="J4">
            <v>0.23</v>
          </cell>
          <cell r="K4">
            <v>1211</v>
          </cell>
          <cell r="L4">
            <v>6</v>
          </cell>
          <cell r="M4">
            <v>0.59</v>
          </cell>
        </row>
        <row r="5">
          <cell r="A5" t="str">
            <v>DOLL-1613-LB-11</v>
          </cell>
          <cell r="B5">
            <v>4552</v>
          </cell>
          <cell r="C5">
            <v>39</v>
          </cell>
          <cell r="D5">
            <v>6.11</v>
          </cell>
          <cell r="E5">
            <v>5779</v>
          </cell>
          <cell r="F5">
            <v>72</v>
          </cell>
          <cell r="G5">
            <v>11.3</v>
          </cell>
          <cell r="H5">
            <v>7436</v>
          </cell>
          <cell r="I5">
            <v>96</v>
          </cell>
          <cell r="J5">
            <v>17.15</v>
          </cell>
          <cell r="K5">
            <v>9732</v>
          </cell>
          <cell r="L5">
            <v>96</v>
          </cell>
          <cell r="M5">
            <v>16.13</v>
          </cell>
        </row>
        <row r="6">
          <cell r="A6" t="str">
            <v>DOLL-1613-LB-22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30</v>
          </cell>
          <cell r="L6">
            <v>0</v>
          </cell>
          <cell r="M6">
            <v>0</v>
          </cell>
        </row>
        <row r="7">
          <cell r="A7" t="str">
            <v>DO-YULQ101-PI-22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19602</v>
          </cell>
          <cell r="I7">
            <v>105</v>
          </cell>
          <cell r="J7">
            <v>17.39</v>
          </cell>
          <cell r="K7">
            <v>14346</v>
          </cell>
          <cell r="L7">
            <v>115</v>
          </cell>
          <cell r="M7">
            <v>20.61</v>
          </cell>
        </row>
        <row r="8">
          <cell r="A8" t="str">
            <v>DO-YULQ161-PI-22</v>
          </cell>
          <cell r="B8">
            <v>83653</v>
          </cell>
          <cell r="C8">
            <v>286</v>
          </cell>
          <cell r="D8">
            <v>45.43</v>
          </cell>
          <cell r="E8">
            <v>56518</v>
          </cell>
          <cell r="F8">
            <v>228</v>
          </cell>
          <cell r="G8">
            <v>37.17</v>
          </cell>
          <cell r="H8">
            <v>37334</v>
          </cell>
          <cell r="I8">
            <v>129</v>
          </cell>
          <cell r="J8">
            <v>21.16</v>
          </cell>
          <cell r="K8">
            <v>36453</v>
          </cell>
          <cell r="L8">
            <v>138</v>
          </cell>
          <cell r="M8">
            <v>21.92</v>
          </cell>
        </row>
        <row r="9">
          <cell r="A9" t="str">
            <v>DO-YULQ001-PI-22</v>
          </cell>
          <cell r="B9">
            <v>33402</v>
          </cell>
          <cell r="C9">
            <v>206</v>
          </cell>
          <cell r="D9">
            <v>66.93</v>
          </cell>
          <cell r="E9">
            <v>17343</v>
          </cell>
          <cell r="F9">
            <v>76</v>
          </cell>
          <cell r="G9">
            <v>12.56</v>
          </cell>
          <cell r="H9">
            <v>121521</v>
          </cell>
          <cell r="I9">
            <v>679</v>
          </cell>
          <cell r="J9">
            <v>111.47</v>
          </cell>
          <cell r="K9">
            <v>133645</v>
          </cell>
          <cell r="L9">
            <v>816</v>
          </cell>
          <cell r="M9">
            <v>130.78</v>
          </cell>
        </row>
        <row r="10">
          <cell r="A10" t="str">
            <v>DOLL-010-PI-22</v>
          </cell>
          <cell r="B10">
            <v>99933</v>
          </cell>
          <cell r="C10">
            <v>568</v>
          </cell>
          <cell r="D10">
            <v>89.2</v>
          </cell>
          <cell r="E10">
            <v>86912</v>
          </cell>
          <cell r="F10">
            <v>458</v>
          </cell>
          <cell r="G10">
            <v>72.5</v>
          </cell>
          <cell r="H10">
            <v>45908</v>
          </cell>
          <cell r="I10">
            <v>267</v>
          </cell>
          <cell r="J10">
            <v>35.53</v>
          </cell>
          <cell r="K10">
            <v>61140</v>
          </cell>
          <cell r="L10">
            <v>390</v>
          </cell>
          <cell r="M10">
            <v>54.45</v>
          </cell>
        </row>
        <row r="11">
          <cell r="A11" t="str">
            <v>DOLL-0605-PI-22</v>
          </cell>
          <cell r="B11">
            <v>0</v>
          </cell>
          <cell r="C11">
            <v>0</v>
          </cell>
          <cell r="D11">
            <v>0</v>
          </cell>
          <cell r="E11">
            <v>25214</v>
          </cell>
          <cell r="F11">
            <v>163</v>
          </cell>
          <cell r="G11">
            <v>24.17</v>
          </cell>
          <cell r="H11">
            <v>100057</v>
          </cell>
          <cell r="I11">
            <v>502</v>
          </cell>
          <cell r="J11">
            <v>69.96</v>
          </cell>
          <cell r="K11">
            <v>114056</v>
          </cell>
          <cell r="L11">
            <v>650</v>
          </cell>
          <cell r="M11">
            <v>90.23</v>
          </cell>
        </row>
        <row r="12">
          <cell r="A12" t="str">
            <v>DOLL-020-PI-22</v>
          </cell>
          <cell r="B12">
            <v>38813</v>
          </cell>
          <cell r="C12">
            <v>442</v>
          </cell>
          <cell r="D12">
            <v>70.57</v>
          </cell>
          <cell r="E12">
            <v>38847</v>
          </cell>
          <cell r="F12">
            <v>372</v>
          </cell>
          <cell r="G12">
            <v>56.45</v>
          </cell>
          <cell r="H12">
            <v>30176</v>
          </cell>
          <cell r="I12">
            <v>266</v>
          </cell>
          <cell r="J12">
            <v>37.47</v>
          </cell>
          <cell r="K12">
            <v>38382</v>
          </cell>
          <cell r="L12">
            <v>359</v>
          </cell>
          <cell r="M12">
            <v>48.67</v>
          </cell>
        </row>
        <row r="13">
          <cell r="A13" t="str">
            <v>DO-YULQ152-B7-22</v>
          </cell>
          <cell r="B13">
            <v>69913</v>
          </cell>
          <cell r="C13">
            <v>168</v>
          </cell>
          <cell r="D13">
            <v>22.99</v>
          </cell>
          <cell r="E13">
            <v>37142</v>
          </cell>
          <cell r="F13">
            <v>92</v>
          </cell>
          <cell r="G13">
            <v>13.09</v>
          </cell>
          <cell r="H13">
            <v>4074</v>
          </cell>
          <cell r="I13">
            <v>23</v>
          </cell>
          <cell r="J13">
            <v>2.69</v>
          </cell>
          <cell r="K13">
            <v>2760</v>
          </cell>
          <cell r="L13">
            <v>11</v>
          </cell>
          <cell r="M13">
            <v>1.38</v>
          </cell>
        </row>
        <row r="14">
          <cell r="A14" t="str">
            <v>DOLL-0630-PI-22</v>
          </cell>
          <cell r="B14">
            <v>0</v>
          </cell>
          <cell r="C14">
            <v>0</v>
          </cell>
          <cell r="D14">
            <v>0</v>
          </cell>
          <cell r="E14">
            <v>18559</v>
          </cell>
          <cell r="F14">
            <v>100</v>
          </cell>
          <cell r="G14">
            <v>13.69</v>
          </cell>
          <cell r="H14">
            <v>37826</v>
          </cell>
          <cell r="I14">
            <v>188</v>
          </cell>
          <cell r="J14">
            <v>25.34</v>
          </cell>
          <cell r="K14">
            <v>52332</v>
          </cell>
          <cell r="L14">
            <v>262</v>
          </cell>
          <cell r="M14">
            <v>34.94</v>
          </cell>
        </row>
        <row r="15">
          <cell r="A15" t="str">
            <v>DOLL-008-W0-22</v>
          </cell>
          <cell r="B15">
            <v>0</v>
          </cell>
          <cell r="C15">
            <v>0</v>
          </cell>
          <cell r="D15">
            <v>0</v>
          </cell>
          <cell r="E15">
            <v>6349</v>
          </cell>
          <cell r="F15">
            <v>67</v>
          </cell>
          <cell r="G15">
            <v>8.88</v>
          </cell>
          <cell r="H15">
            <v>20591</v>
          </cell>
          <cell r="I15">
            <v>225</v>
          </cell>
          <cell r="J15">
            <v>29.26</v>
          </cell>
          <cell r="K15">
            <v>8072</v>
          </cell>
          <cell r="L15">
            <v>61</v>
          </cell>
          <cell r="M15">
            <v>8.21</v>
          </cell>
        </row>
        <row r="16">
          <cell r="A16" t="str">
            <v>DO-YULQ610-R2-22</v>
          </cell>
          <cell r="B16">
            <v>0</v>
          </cell>
          <cell r="C16">
            <v>0</v>
          </cell>
          <cell r="D16">
            <v>0</v>
          </cell>
          <cell r="E16">
            <v>8152</v>
          </cell>
          <cell r="F16">
            <v>57</v>
          </cell>
          <cell r="G16">
            <v>7.52</v>
          </cell>
          <cell r="H16">
            <v>65749</v>
          </cell>
          <cell r="I16">
            <v>391</v>
          </cell>
          <cell r="J16">
            <v>55.45</v>
          </cell>
          <cell r="K16">
            <v>19177</v>
          </cell>
          <cell r="L16">
            <v>127</v>
          </cell>
          <cell r="M16">
            <v>18.35</v>
          </cell>
        </row>
        <row r="17">
          <cell r="A17" t="str">
            <v>DO-YULQ230-PI-16</v>
          </cell>
          <cell r="B17">
            <v>5862</v>
          </cell>
          <cell r="C17">
            <v>28</v>
          </cell>
          <cell r="D17">
            <v>4.06</v>
          </cell>
          <cell r="E17">
            <v>23164</v>
          </cell>
          <cell r="F17">
            <v>112</v>
          </cell>
          <cell r="G17">
            <v>14.83</v>
          </cell>
          <cell r="H17">
            <v>41794</v>
          </cell>
          <cell r="I17">
            <v>164</v>
          </cell>
          <cell r="J17">
            <v>28.21</v>
          </cell>
          <cell r="K17">
            <v>98217</v>
          </cell>
          <cell r="L17">
            <v>269</v>
          </cell>
          <cell r="M17">
            <v>58.3</v>
          </cell>
        </row>
        <row r="18">
          <cell r="A18" t="str">
            <v>DO-YULQ153-B7-22</v>
          </cell>
          <cell r="B18">
            <v>16728</v>
          </cell>
          <cell r="C18">
            <v>85</v>
          </cell>
          <cell r="D18">
            <v>14.62</v>
          </cell>
          <cell r="E18">
            <v>18560</v>
          </cell>
          <cell r="F18">
            <v>108</v>
          </cell>
          <cell r="G18">
            <v>16.87</v>
          </cell>
          <cell r="H18">
            <v>7031</v>
          </cell>
          <cell r="I18">
            <v>61</v>
          </cell>
          <cell r="J18">
            <v>8.23</v>
          </cell>
          <cell r="K18">
            <v>8266</v>
          </cell>
          <cell r="L18">
            <v>53</v>
          </cell>
          <cell r="M18">
            <v>6.96</v>
          </cell>
        </row>
        <row r="19">
          <cell r="A19" t="str">
            <v>DO-YULQ638-LGR-20</v>
          </cell>
          <cell r="B19">
            <v>2</v>
          </cell>
          <cell r="C19">
            <v>2</v>
          </cell>
          <cell r="D19">
            <v>0.48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2</v>
          </cell>
          <cell r="L19">
            <v>0</v>
          </cell>
          <cell r="M19">
            <v>0</v>
          </cell>
        </row>
        <row r="20">
          <cell r="A20" t="str">
            <v>DOLL-1630-R0-22</v>
          </cell>
          <cell r="B20">
            <v>3</v>
          </cell>
          <cell r="C20">
            <v>0</v>
          </cell>
          <cell r="D20">
            <v>0</v>
          </cell>
          <cell r="E20">
            <v>2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5</v>
          </cell>
          <cell r="L20">
            <v>0</v>
          </cell>
          <cell r="M20">
            <v>0</v>
          </cell>
        </row>
        <row r="21">
          <cell r="A21" t="str">
            <v>DO-YULQ639-R2-22</v>
          </cell>
          <cell r="B21">
            <v>6</v>
          </cell>
          <cell r="C21">
            <v>0</v>
          </cell>
          <cell r="D21">
            <v>0</v>
          </cell>
          <cell r="E21">
            <v>2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6</v>
          </cell>
          <cell r="L21">
            <v>0</v>
          </cell>
          <cell r="M21">
            <v>0</v>
          </cell>
        </row>
        <row r="22">
          <cell r="A22" t="str">
            <v>DO-YULQ010-P0-22</v>
          </cell>
          <cell r="B22">
            <v>0</v>
          </cell>
          <cell r="C22">
            <v>0</v>
          </cell>
          <cell r="D22">
            <v>0</v>
          </cell>
          <cell r="E22">
            <v>5872</v>
          </cell>
          <cell r="F22">
            <v>43</v>
          </cell>
          <cell r="G22">
            <v>5.92</v>
          </cell>
          <cell r="H22">
            <v>37724</v>
          </cell>
          <cell r="I22">
            <v>260</v>
          </cell>
          <cell r="J22">
            <v>35.66</v>
          </cell>
          <cell r="K22">
            <v>26308</v>
          </cell>
          <cell r="L22">
            <v>244</v>
          </cell>
          <cell r="M22">
            <v>33.78</v>
          </cell>
        </row>
        <row r="23">
          <cell r="A23" t="str">
            <v>DO-YULQ011-NZ-22</v>
          </cell>
          <cell r="B23">
            <v>277733</v>
          </cell>
          <cell r="C23">
            <v>332</v>
          </cell>
          <cell r="D23">
            <v>90.58</v>
          </cell>
          <cell r="E23">
            <v>216972</v>
          </cell>
          <cell r="F23">
            <v>206</v>
          </cell>
          <cell r="G23">
            <v>53.14</v>
          </cell>
          <cell r="H23">
            <v>12201</v>
          </cell>
          <cell r="I23">
            <v>35</v>
          </cell>
          <cell r="J23">
            <v>4.87</v>
          </cell>
          <cell r="K23">
            <v>13497</v>
          </cell>
          <cell r="L23">
            <v>35</v>
          </cell>
          <cell r="M23">
            <v>5.1</v>
          </cell>
        </row>
        <row r="24">
          <cell r="A24" t="str">
            <v>DO-YULQ638-PI-20</v>
          </cell>
          <cell r="B24">
            <v>11</v>
          </cell>
          <cell r="C24">
            <v>1</v>
          </cell>
          <cell r="D24">
            <v>0.28</v>
          </cell>
          <cell r="E24">
            <v>6</v>
          </cell>
          <cell r="F24">
            <v>0</v>
          </cell>
          <cell r="G24">
            <v>0</v>
          </cell>
          <cell r="H24">
            <v>5</v>
          </cell>
          <cell r="I24">
            <v>0</v>
          </cell>
          <cell r="J24">
            <v>0</v>
          </cell>
          <cell r="K24">
            <v>10</v>
          </cell>
          <cell r="L24">
            <v>1</v>
          </cell>
          <cell r="M24">
            <v>0.33</v>
          </cell>
        </row>
        <row r="25">
          <cell r="A25" t="str">
            <v>DOLL-004-PI-10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DOLL-AD011-PI-22</v>
          </cell>
          <cell r="B26">
            <v>0</v>
          </cell>
          <cell r="C26">
            <v>0</v>
          </cell>
          <cell r="D26">
            <v>0</v>
          </cell>
          <cell r="E26">
            <v>16432</v>
          </cell>
          <cell r="F26">
            <v>115</v>
          </cell>
          <cell r="G26">
            <v>16.55</v>
          </cell>
          <cell r="H26">
            <v>24189</v>
          </cell>
          <cell r="I26">
            <v>135</v>
          </cell>
          <cell r="J26">
            <v>20.65</v>
          </cell>
          <cell r="K26">
            <v>30268</v>
          </cell>
          <cell r="L26">
            <v>208</v>
          </cell>
          <cell r="M26">
            <v>28.87</v>
          </cell>
        </row>
        <row r="27">
          <cell r="A27" t="str">
            <v>DO-YULQ157-W0-22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753</v>
          </cell>
          <cell r="I27">
            <v>8</v>
          </cell>
          <cell r="J27">
            <v>1.36</v>
          </cell>
          <cell r="K27">
            <v>5972</v>
          </cell>
          <cell r="L27">
            <v>70</v>
          </cell>
          <cell r="M27">
            <v>9.93</v>
          </cell>
        </row>
        <row r="28">
          <cell r="A28" t="str">
            <v>DO-YULQ100-R0-10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DOLL-006-PI-10</v>
          </cell>
          <cell r="B29">
            <v>0</v>
          </cell>
          <cell r="C29">
            <v>0</v>
          </cell>
          <cell r="D29">
            <v>0</v>
          </cell>
          <cell r="E29">
            <v>7461</v>
          </cell>
          <cell r="F29">
            <v>46</v>
          </cell>
          <cell r="G29">
            <v>8.01</v>
          </cell>
          <cell r="H29">
            <v>55106</v>
          </cell>
          <cell r="I29">
            <v>305</v>
          </cell>
          <cell r="J29">
            <v>52.42</v>
          </cell>
          <cell r="K29">
            <v>26899</v>
          </cell>
          <cell r="L29">
            <v>278</v>
          </cell>
          <cell r="M29">
            <v>49.92</v>
          </cell>
        </row>
        <row r="30">
          <cell r="A30" t="str">
            <v>DO-YULQ071-B7-16</v>
          </cell>
          <cell r="B30">
            <v>15511</v>
          </cell>
          <cell r="C30">
            <v>81</v>
          </cell>
          <cell r="D30">
            <v>12.21</v>
          </cell>
          <cell r="E30">
            <v>12333</v>
          </cell>
          <cell r="F30">
            <v>67</v>
          </cell>
          <cell r="G30">
            <v>10.38</v>
          </cell>
          <cell r="H30">
            <v>5541</v>
          </cell>
          <cell r="I30">
            <v>42</v>
          </cell>
          <cell r="J30">
            <v>4.83</v>
          </cell>
          <cell r="K30">
            <v>5797</v>
          </cell>
          <cell r="L30">
            <v>53</v>
          </cell>
          <cell r="M30">
            <v>7.95</v>
          </cell>
        </row>
        <row r="31">
          <cell r="A31" t="str">
            <v>DO-YULQ021-W0-22</v>
          </cell>
          <cell r="B31">
            <v>3322</v>
          </cell>
          <cell r="C31">
            <v>26</v>
          </cell>
          <cell r="D31">
            <v>4.35</v>
          </cell>
          <cell r="E31">
            <v>2886</v>
          </cell>
          <cell r="F31">
            <v>10</v>
          </cell>
          <cell r="G31">
            <v>1.36</v>
          </cell>
          <cell r="H31">
            <v>11758</v>
          </cell>
          <cell r="I31">
            <v>36</v>
          </cell>
          <cell r="J31">
            <v>6.01</v>
          </cell>
          <cell r="K31">
            <v>40891</v>
          </cell>
          <cell r="L31">
            <v>154</v>
          </cell>
          <cell r="M31">
            <v>39.83</v>
          </cell>
        </row>
        <row r="32">
          <cell r="A32" t="str">
            <v>DO-YULQ070-PI-16</v>
          </cell>
          <cell r="B32">
            <v>9958</v>
          </cell>
          <cell r="C32">
            <v>52</v>
          </cell>
          <cell r="D32">
            <v>10.17</v>
          </cell>
          <cell r="E32">
            <v>13562</v>
          </cell>
          <cell r="F32">
            <v>72</v>
          </cell>
          <cell r="G32">
            <v>12.06</v>
          </cell>
          <cell r="H32">
            <v>28780</v>
          </cell>
          <cell r="I32">
            <v>116</v>
          </cell>
          <cell r="J32">
            <v>25.87</v>
          </cell>
          <cell r="K32">
            <v>82101</v>
          </cell>
          <cell r="L32">
            <v>196</v>
          </cell>
          <cell r="M32">
            <v>53.11</v>
          </cell>
        </row>
        <row r="33">
          <cell r="A33" t="str">
            <v>DO-YULQ107-PI-22</v>
          </cell>
          <cell r="B33">
            <v>12733</v>
          </cell>
          <cell r="C33">
            <v>81</v>
          </cell>
          <cell r="D33">
            <v>14.54</v>
          </cell>
          <cell r="E33">
            <v>10184</v>
          </cell>
          <cell r="F33">
            <v>45</v>
          </cell>
          <cell r="G33">
            <v>6.7</v>
          </cell>
          <cell r="H33">
            <v>27566</v>
          </cell>
          <cell r="I33">
            <v>95</v>
          </cell>
          <cell r="J33">
            <v>22.6</v>
          </cell>
          <cell r="K33">
            <v>109409</v>
          </cell>
          <cell r="L33">
            <v>347</v>
          </cell>
          <cell r="M33">
            <v>98.76</v>
          </cell>
        </row>
        <row r="34">
          <cell r="A34" t="str">
            <v>DO-YULQ171-LGR-22</v>
          </cell>
          <cell r="B34">
            <v>36328</v>
          </cell>
          <cell r="C34">
            <v>169</v>
          </cell>
          <cell r="D34">
            <v>27.01</v>
          </cell>
          <cell r="E34">
            <v>28569</v>
          </cell>
          <cell r="F34">
            <v>131</v>
          </cell>
          <cell r="G34">
            <v>21.5</v>
          </cell>
          <cell r="H34">
            <v>9772</v>
          </cell>
          <cell r="I34">
            <v>65</v>
          </cell>
          <cell r="J34">
            <v>8.48</v>
          </cell>
          <cell r="K34">
            <v>7260</v>
          </cell>
          <cell r="L34">
            <v>46</v>
          </cell>
          <cell r="M34">
            <v>6.16</v>
          </cell>
        </row>
        <row r="35">
          <cell r="A35" t="str">
            <v>DO-YULQ105-R2-22</v>
          </cell>
          <cell r="B35">
            <v>5527</v>
          </cell>
          <cell r="C35">
            <v>35</v>
          </cell>
          <cell r="D35">
            <v>5.76</v>
          </cell>
          <cell r="E35">
            <v>12983</v>
          </cell>
          <cell r="F35">
            <v>83</v>
          </cell>
          <cell r="G35">
            <v>13.19</v>
          </cell>
          <cell r="H35">
            <v>11916</v>
          </cell>
          <cell r="I35">
            <v>55</v>
          </cell>
          <cell r="J35">
            <v>7.45</v>
          </cell>
          <cell r="K35">
            <v>25713</v>
          </cell>
          <cell r="L35">
            <v>99</v>
          </cell>
          <cell r="M35">
            <v>14.6</v>
          </cell>
        </row>
        <row r="36">
          <cell r="A36" t="str">
            <v>DO-YULQ664-AX-16</v>
          </cell>
          <cell r="B36">
            <v>26452</v>
          </cell>
          <cell r="C36">
            <v>200</v>
          </cell>
          <cell r="D36">
            <v>34.53</v>
          </cell>
          <cell r="E36">
            <v>16179</v>
          </cell>
          <cell r="F36">
            <v>152</v>
          </cell>
          <cell r="G36">
            <v>23.52</v>
          </cell>
          <cell r="H36">
            <v>5474</v>
          </cell>
          <cell r="I36">
            <v>43</v>
          </cell>
          <cell r="J36">
            <v>5.92</v>
          </cell>
          <cell r="K36">
            <v>7373</v>
          </cell>
          <cell r="L36">
            <v>67</v>
          </cell>
          <cell r="M36">
            <v>10.41</v>
          </cell>
        </row>
        <row r="37">
          <cell r="A37" t="str">
            <v>DO-YULQ606-W0-22</v>
          </cell>
          <cell r="B37">
            <v>2754</v>
          </cell>
          <cell r="C37">
            <v>35</v>
          </cell>
          <cell r="D37">
            <v>5.51</v>
          </cell>
          <cell r="E37">
            <v>2222</v>
          </cell>
          <cell r="F37">
            <v>19</v>
          </cell>
          <cell r="G37">
            <v>2.35</v>
          </cell>
          <cell r="H37">
            <v>1128</v>
          </cell>
          <cell r="I37">
            <v>12</v>
          </cell>
          <cell r="J37">
            <v>1.62</v>
          </cell>
          <cell r="K37">
            <v>821</v>
          </cell>
          <cell r="L37">
            <v>5</v>
          </cell>
          <cell r="M37">
            <v>0.52</v>
          </cell>
        </row>
        <row r="38">
          <cell r="A38" t="str">
            <v>DO-YULQ372-R0-22</v>
          </cell>
          <cell r="B38">
            <v>1454</v>
          </cell>
          <cell r="C38">
            <v>2</v>
          </cell>
          <cell r="D38">
            <v>0.36</v>
          </cell>
          <cell r="E38">
            <v>957</v>
          </cell>
          <cell r="F38">
            <v>2</v>
          </cell>
          <cell r="G38">
            <v>0.42</v>
          </cell>
          <cell r="H38">
            <v>708</v>
          </cell>
          <cell r="I38">
            <v>0</v>
          </cell>
          <cell r="J38">
            <v>0</v>
          </cell>
          <cell r="K38">
            <v>1148</v>
          </cell>
          <cell r="L38">
            <v>1</v>
          </cell>
          <cell r="M38">
            <v>0.2</v>
          </cell>
        </row>
        <row r="39">
          <cell r="A39" t="str">
            <v>DO-YULQ631-R2-22</v>
          </cell>
          <cell r="B39">
            <v>15047</v>
          </cell>
          <cell r="C39">
            <v>125</v>
          </cell>
          <cell r="D39">
            <v>19.96</v>
          </cell>
          <cell r="E39">
            <v>12235</v>
          </cell>
          <cell r="F39">
            <v>88</v>
          </cell>
          <cell r="G39">
            <v>12.24</v>
          </cell>
          <cell r="H39">
            <v>5362</v>
          </cell>
          <cell r="I39">
            <v>43</v>
          </cell>
          <cell r="J39">
            <v>4.83</v>
          </cell>
          <cell r="K39">
            <v>3265</v>
          </cell>
          <cell r="L39">
            <v>30</v>
          </cell>
          <cell r="M39">
            <v>3.7</v>
          </cell>
        </row>
        <row r="40">
          <cell r="A40" t="str">
            <v>DO-YULQ605-PI-22</v>
          </cell>
          <cell r="B40">
            <v>8077</v>
          </cell>
          <cell r="C40">
            <v>108</v>
          </cell>
          <cell r="D40">
            <v>16.58</v>
          </cell>
          <cell r="E40">
            <v>10597</v>
          </cell>
          <cell r="F40">
            <v>139</v>
          </cell>
          <cell r="G40">
            <v>19.92</v>
          </cell>
          <cell r="H40">
            <v>5295</v>
          </cell>
          <cell r="I40">
            <v>55</v>
          </cell>
          <cell r="J40">
            <v>5.94</v>
          </cell>
          <cell r="K40">
            <v>4483</v>
          </cell>
          <cell r="L40">
            <v>50</v>
          </cell>
          <cell r="M40">
            <v>5.99</v>
          </cell>
        </row>
        <row r="41">
          <cell r="A41" t="str">
            <v>DO-YULQ163-B7-22</v>
          </cell>
          <cell r="B41">
            <v>20773</v>
          </cell>
          <cell r="C41">
            <v>119</v>
          </cell>
          <cell r="D41">
            <v>18.31</v>
          </cell>
          <cell r="E41">
            <v>26863</v>
          </cell>
          <cell r="F41">
            <v>151</v>
          </cell>
          <cell r="G41">
            <v>22.5</v>
          </cell>
          <cell r="H41">
            <v>6856</v>
          </cell>
          <cell r="I41">
            <v>67</v>
          </cell>
          <cell r="J41">
            <v>8.03</v>
          </cell>
          <cell r="K41">
            <v>13960</v>
          </cell>
          <cell r="L41">
            <v>82</v>
          </cell>
          <cell r="M41">
            <v>9.72</v>
          </cell>
        </row>
        <row r="42">
          <cell r="A42" t="str">
            <v>DO-YULQ073-LGR-22</v>
          </cell>
          <cell r="B42">
            <v>11527</v>
          </cell>
          <cell r="C42">
            <v>91</v>
          </cell>
          <cell r="D42">
            <v>14.61</v>
          </cell>
          <cell r="E42">
            <v>7951</v>
          </cell>
          <cell r="F42">
            <v>41</v>
          </cell>
          <cell r="G42">
            <v>5.99</v>
          </cell>
          <cell r="H42">
            <v>4380</v>
          </cell>
          <cell r="I42">
            <v>35</v>
          </cell>
          <cell r="J42">
            <v>4.66</v>
          </cell>
          <cell r="K42">
            <v>5669</v>
          </cell>
          <cell r="L42">
            <v>45</v>
          </cell>
          <cell r="M42">
            <v>6.2</v>
          </cell>
        </row>
        <row r="43">
          <cell r="A43" t="str">
            <v>DO-YULQ012-PI-22</v>
          </cell>
          <cell r="B43">
            <v>343</v>
          </cell>
          <cell r="C43">
            <v>0</v>
          </cell>
          <cell r="D43">
            <v>0</v>
          </cell>
          <cell r="E43">
            <v>195</v>
          </cell>
          <cell r="F43">
            <v>0</v>
          </cell>
          <cell r="G43">
            <v>0</v>
          </cell>
          <cell r="H43">
            <v>253</v>
          </cell>
          <cell r="I43">
            <v>0</v>
          </cell>
          <cell r="J43">
            <v>0</v>
          </cell>
          <cell r="K43">
            <v>550</v>
          </cell>
          <cell r="L43">
            <v>1</v>
          </cell>
          <cell r="M43">
            <v>0.21</v>
          </cell>
        </row>
        <row r="44">
          <cell r="A44" t="str">
            <v>DO-YULQ123-FB-22</v>
          </cell>
          <cell r="B44">
            <v>121972</v>
          </cell>
          <cell r="C44">
            <v>768</v>
          </cell>
          <cell r="D44">
            <v>117.9</v>
          </cell>
          <cell r="E44">
            <v>73791</v>
          </cell>
          <cell r="F44">
            <v>542</v>
          </cell>
          <cell r="G44">
            <v>82.57</v>
          </cell>
          <cell r="H44">
            <v>30106</v>
          </cell>
          <cell r="I44">
            <v>317</v>
          </cell>
          <cell r="J44">
            <v>43.45</v>
          </cell>
          <cell r="K44">
            <v>27626</v>
          </cell>
          <cell r="L44">
            <v>320</v>
          </cell>
          <cell r="M44">
            <v>46.23</v>
          </cell>
        </row>
        <row r="45">
          <cell r="A45" t="str">
            <v>DO-YULQ121-PI-22</v>
          </cell>
          <cell r="B45">
            <v>0</v>
          </cell>
          <cell r="C45">
            <v>0</v>
          </cell>
          <cell r="D45">
            <v>0</v>
          </cell>
          <cell r="E45">
            <v>10008</v>
          </cell>
          <cell r="F45">
            <v>87</v>
          </cell>
          <cell r="G45">
            <v>13.03</v>
          </cell>
          <cell r="H45">
            <v>10862</v>
          </cell>
          <cell r="I45">
            <v>128</v>
          </cell>
          <cell r="J45">
            <v>16.5</v>
          </cell>
          <cell r="K45">
            <v>15420</v>
          </cell>
          <cell r="L45">
            <v>135</v>
          </cell>
          <cell r="M45">
            <v>17.65</v>
          </cell>
        </row>
        <row r="46">
          <cell r="A46" t="str">
            <v>DO-YULQ152-Z1-22</v>
          </cell>
          <cell r="B46">
            <v>15853</v>
          </cell>
          <cell r="C46">
            <v>94</v>
          </cell>
          <cell r="D46">
            <v>15.19</v>
          </cell>
          <cell r="E46">
            <v>11505</v>
          </cell>
          <cell r="F46">
            <v>79</v>
          </cell>
          <cell r="G46">
            <v>11.19</v>
          </cell>
          <cell r="H46">
            <v>4527</v>
          </cell>
          <cell r="I46">
            <v>40</v>
          </cell>
          <cell r="J46">
            <v>4.68</v>
          </cell>
          <cell r="K46">
            <v>2980</v>
          </cell>
          <cell r="L46">
            <v>50</v>
          </cell>
          <cell r="M46">
            <v>7.1</v>
          </cell>
        </row>
        <row r="47">
          <cell r="A47" t="str">
            <v>DO-YULQ150-PI-20</v>
          </cell>
          <cell r="B47">
            <v>39735</v>
          </cell>
          <cell r="C47">
            <v>257</v>
          </cell>
          <cell r="D47">
            <v>47.61</v>
          </cell>
          <cell r="E47">
            <v>5994</v>
          </cell>
          <cell r="F47">
            <v>64</v>
          </cell>
          <cell r="G47">
            <v>8.06</v>
          </cell>
          <cell r="H47">
            <v>57795</v>
          </cell>
          <cell r="I47">
            <v>431</v>
          </cell>
          <cell r="J47">
            <v>59</v>
          </cell>
          <cell r="K47">
            <v>19602</v>
          </cell>
          <cell r="L47">
            <v>274</v>
          </cell>
          <cell r="M47">
            <v>35.92</v>
          </cell>
        </row>
        <row r="48">
          <cell r="A48" t="str">
            <v>DO-YULQ150-K0-22</v>
          </cell>
          <cell r="B48">
            <v>8450</v>
          </cell>
          <cell r="C48">
            <v>65</v>
          </cell>
          <cell r="D48">
            <v>9.92</v>
          </cell>
          <cell r="E48">
            <v>4929</v>
          </cell>
          <cell r="F48">
            <v>50</v>
          </cell>
          <cell r="G48">
            <v>8.4</v>
          </cell>
          <cell r="H48">
            <v>0</v>
          </cell>
          <cell r="I48">
            <v>0</v>
          </cell>
          <cell r="J48">
            <v>0</v>
          </cell>
          <cell r="K48">
            <v>11711</v>
          </cell>
          <cell r="L48">
            <v>43</v>
          </cell>
          <cell r="M48">
            <v>5.4</v>
          </cell>
        </row>
        <row r="49">
          <cell r="A49" t="str">
            <v>DO-YULQ151-W0-16</v>
          </cell>
          <cell r="B49">
            <v>16939</v>
          </cell>
          <cell r="C49">
            <v>56</v>
          </cell>
          <cell r="D49">
            <v>8.46</v>
          </cell>
          <cell r="E49">
            <v>15790</v>
          </cell>
          <cell r="F49">
            <v>46</v>
          </cell>
          <cell r="G49">
            <v>7</v>
          </cell>
          <cell r="H49">
            <v>16898</v>
          </cell>
          <cell r="I49">
            <v>41</v>
          </cell>
          <cell r="J49">
            <v>5.98</v>
          </cell>
          <cell r="K49">
            <v>7029</v>
          </cell>
          <cell r="L49">
            <v>53</v>
          </cell>
          <cell r="M49">
            <v>6.92</v>
          </cell>
        </row>
        <row r="50">
          <cell r="A50" t="str">
            <v>DO-YULQ985-B7-20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4</v>
          </cell>
          <cell r="I50">
            <v>0</v>
          </cell>
          <cell r="J50">
            <v>0</v>
          </cell>
          <cell r="K50">
            <v>2</v>
          </cell>
          <cell r="L50">
            <v>0</v>
          </cell>
          <cell r="M50">
            <v>0</v>
          </cell>
        </row>
        <row r="51">
          <cell r="A51" t="str">
            <v>DO-YULQ701-PI-22</v>
          </cell>
          <cell r="B51">
            <v>17685</v>
          </cell>
          <cell r="C51">
            <v>84</v>
          </cell>
          <cell r="D51">
            <v>13.4</v>
          </cell>
          <cell r="E51">
            <v>34598</v>
          </cell>
          <cell r="F51">
            <v>157</v>
          </cell>
          <cell r="G51">
            <v>23.61</v>
          </cell>
          <cell r="H51">
            <v>36905</v>
          </cell>
          <cell r="I51">
            <v>140</v>
          </cell>
          <cell r="J51">
            <v>20.48</v>
          </cell>
          <cell r="K51">
            <v>27411</v>
          </cell>
          <cell r="L51">
            <v>185</v>
          </cell>
          <cell r="M51">
            <v>31.33</v>
          </cell>
        </row>
        <row r="52">
          <cell r="A52" t="str">
            <v>DO-YULQ702-PI-22</v>
          </cell>
          <cell r="B52">
            <v>52531</v>
          </cell>
          <cell r="C52">
            <v>298</v>
          </cell>
          <cell r="D52">
            <v>39.93</v>
          </cell>
          <cell r="E52">
            <v>92672</v>
          </cell>
          <cell r="F52">
            <v>479</v>
          </cell>
          <cell r="G52">
            <v>68.35</v>
          </cell>
          <cell r="H52">
            <v>10568</v>
          </cell>
          <cell r="I52">
            <v>99</v>
          </cell>
          <cell r="J52">
            <v>11.48</v>
          </cell>
          <cell r="K52">
            <v>7099</v>
          </cell>
          <cell r="L52">
            <v>105</v>
          </cell>
          <cell r="M52">
            <v>12.13</v>
          </cell>
        </row>
        <row r="53">
          <cell r="A53" t="str">
            <v>DO-YULQ703-PI-22</v>
          </cell>
          <cell r="B53">
            <v>74578</v>
          </cell>
          <cell r="C53">
            <v>265</v>
          </cell>
          <cell r="D53">
            <v>43.47</v>
          </cell>
          <cell r="E53">
            <v>32901</v>
          </cell>
          <cell r="F53">
            <v>131</v>
          </cell>
          <cell r="G53">
            <v>19.6</v>
          </cell>
          <cell r="H53">
            <v>17223</v>
          </cell>
          <cell r="I53">
            <v>59</v>
          </cell>
          <cell r="J53">
            <v>7.62</v>
          </cell>
          <cell r="K53">
            <v>12588</v>
          </cell>
          <cell r="L53">
            <v>58</v>
          </cell>
          <cell r="M53">
            <v>8.89</v>
          </cell>
        </row>
        <row r="54">
          <cell r="A54" t="str">
            <v>DO-YULQ700-PI-22</v>
          </cell>
          <cell r="B54">
            <v>0</v>
          </cell>
          <cell r="C54">
            <v>0</v>
          </cell>
          <cell r="D54">
            <v>0</v>
          </cell>
          <cell r="E54">
            <v>12479</v>
          </cell>
          <cell r="F54">
            <v>86</v>
          </cell>
          <cell r="G54">
            <v>13.54</v>
          </cell>
          <cell r="H54">
            <v>82771</v>
          </cell>
          <cell r="I54">
            <v>538</v>
          </cell>
          <cell r="J54">
            <v>80.08</v>
          </cell>
          <cell r="K54">
            <v>79221</v>
          </cell>
          <cell r="L54">
            <v>655</v>
          </cell>
          <cell r="M54">
            <v>97.36</v>
          </cell>
        </row>
        <row r="55">
          <cell r="A55" t="str">
            <v>DO-YULQ516-B0-22</v>
          </cell>
          <cell r="B55">
            <v>1267</v>
          </cell>
          <cell r="C55">
            <v>13</v>
          </cell>
          <cell r="D55">
            <v>1.63</v>
          </cell>
          <cell r="E55">
            <v>304</v>
          </cell>
          <cell r="F55">
            <v>6</v>
          </cell>
          <cell r="G55">
            <v>0.63</v>
          </cell>
          <cell r="H55">
            <v>256</v>
          </cell>
          <cell r="I55">
            <v>4</v>
          </cell>
          <cell r="J55">
            <v>0.4</v>
          </cell>
          <cell r="K55">
            <v>50</v>
          </cell>
          <cell r="L55">
            <v>1</v>
          </cell>
          <cell r="M55">
            <v>0.15</v>
          </cell>
        </row>
        <row r="56">
          <cell r="A56" t="str">
            <v>DO-YULQ611-TW-22</v>
          </cell>
          <cell r="B56">
            <v>5176</v>
          </cell>
          <cell r="C56">
            <v>48</v>
          </cell>
          <cell r="D56">
            <v>12.29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DO-YULQ161-PI-16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12047</v>
          </cell>
          <cell r="L57">
            <v>82</v>
          </cell>
          <cell r="M57">
            <v>21.9</v>
          </cell>
        </row>
        <row r="58">
          <cell r="A58" t="str">
            <v>DO-YULQ704-B0-24</v>
          </cell>
          <cell r="B58">
            <v>2176</v>
          </cell>
          <cell r="C58">
            <v>21</v>
          </cell>
          <cell r="D58">
            <v>6.18</v>
          </cell>
          <cell r="E58">
            <v>861</v>
          </cell>
          <cell r="F58">
            <v>8</v>
          </cell>
          <cell r="G58">
            <v>1.99</v>
          </cell>
          <cell r="H58">
            <v>488</v>
          </cell>
          <cell r="I58">
            <v>7</v>
          </cell>
          <cell r="J58">
            <v>1.92</v>
          </cell>
          <cell r="K58">
            <v>141</v>
          </cell>
          <cell r="L58">
            <v>5</v>
          </cell>
          <cell r="M58">
            <v>0.5</v>
          </cell>
        </row>
        <row r="59">
          <cell r="A59" t="str">
            <v>DO-YULQ707-PI-24</v>
          </cell>
          <cell r="B59">
            <v>24766</v>
          </cell>
          <cell r="C59">
            <v>107</v>
          </cell>
          <cell r="D59">
            <v>16.71</v>
          </cell>
          <cell r="E59">
            <v>20220</v>
          </cell>
          <cell r="F59">
            <v>49</v>
          </cell>
          <cell r="G59">
            <v>6.97</v>
          </cell>
          <cell r="H59">
            <v>9021</v>
          </cell>
          <cell r="I59">
            <v>29</v>
          </cell>
          <cell r="J59">
            <v>4.02</v>
          </cell>
          <cell r="K59">
            <v>10190</v>
          </cell>
          <cell r="L59">
            <v>59</v>
          </cell>
          <cell r="M59">
            <v>11.27</v>
          </cell>
        </row>
        <row r="60">
          <cell r="A60" t="str">
            <v>DO-YULQ705-W0-22</v>
          </cell>
          <cell r="B60">
            <v>457</v>
          </cell>
          <cell r="C60">
            <v>6</v>
          </cell>
          <cell r="D60">
            <v>2.31</v>
          </cell>
          <cell r="E60">
            <v>271</v>
          </cell>
          <cell r="F60">
            <v>6</v>
          </cell>
          <cell r="G60">
            <v>1.77</v>
          </cell>
          <cell r="H60">
            <v>423</v>
          </cell>
          <cell r="I60">
            <v>4</v>
          </cell>
          <cell r="J60">
            <v>2.14</v>
          </cell>
          <cell r="K60">
            <v>221</v>
          </cell>
          <cell r="L60">
            <v>2</v>
          </cell>
          <cell r="M60">
            <v>0.25</v>
          </cell>
        </row>
        <row r="61">
          <cell r="A61" t="str">
            <v>DO-YULQ706-R0-24</v>
          </cell>
          <cell r="B61">
            <v>1985</v>
          </cell>
          <cell r="C61">
            <v>9</v>
          </cell>
          <cell r="D61">
            <v>3.76</v>
          </cell>
          <cell r="E61">
            <v>553</v>
          </cell>
          <cell r="F61">
            <v>3</v>
          </cell>
          <cell r="G61">
            <v>0.51</v>
          </cell>
          <cell r="H61">
            <v>235</v>
          </cell>
          <cell r="I61">
            <v>1</v>
          </cell>
          <cell r="J61">
            <v>0.27</v>
          </cell>
          <cell r="K61">
            <v>39</v>
          </cell>
          <cell r="L61">
            <v>0</v>
          </cell>
          <cell r="M61">
            <v>0</v>
          </cell>
        </row>
        <row r="62">
          <cell r="A62" t="str">
            <v>DO-YULQ173-B7-22</v>
          </cell>
          <cell r="B62">
            <v>0</v>
          </cell>
          <cell r="C62">
            <v>0</v>
          </cell>
          <cell r="D62">
            <v>0</v>
          </cell>
          <cell r="E62">
            <v>16319</v>
          </cell>
          <cell r="F62">
            <v>100</v>
          </cell>
          <cell r="G62">
            <v>14.13</v>
          </cell>
          <cell r="H62">
            <v>49973</v>
          </cell>
          <cell r="I62">
            <v>390</v>
          </cell>
          <cell r="J62">
            <v>51.75</v>
          </cell>
          <cell r="K62">
            <v>28227</v>
          </cell>
          <cell r="L62">
            <v>387</v>
          </cell>
          <cell r="M62">
            <v>54.46</v>
          </cell>
        </row>
        <row r="63">
          <cell r="A63" t="str">
            <v>DO-YULQ081-B7-10</v>
          </cell>
          <cell r="B63">
            <v>5695</v>
          </cell>
          <cell r="C63">
            <v>68</v>
          </cell>
          <cell r="D63">
            <v>8.66</v>
          </cell>
          <cell r="E63">
            <v>20371</v>
          </cell>
          <cell r="F63">
            <v>105</v>
          </cell>
          <cell r="G63">
            <v>17.47</v>
          </cell>
          <cell r="H63">
            <v>16001</v>
          </cell>
          <cell r="I63">
            <v>107</v>
          </cell>
          <cell r="J63">
            <v>19.03</v>
          </cell>
          <cell r="K63">
            <v>10690</v>
          </cell>
          <cell r="L63">
            <v>79</v>
          </cell>
          <cell r="M63">
            <v>14.25</v>
          </cell>
        </row>
        <row r="64">
          <cell r="A64" t="str">
            <v>DO-YULQ081-PI-10</v>
          </cell>
          <cell r="B64">
            <v>0</v>
          </cell>
          <cell r="C64">
            <v>0</v>
          </cell>
          <cell r="D64">
            <v>0</v>
          </cell>
          <cell r="E64">
            <v>4382</v>
          </cell>
          <cell r="F64">
            <v>23</v>
          </cell>
          <cell r="G64">
            <v>4.35</v>
          </cell>
          <cell r="H64">
            <v>18863</v>
          </cell>
          <cell r="I64">
            <v>85</v>
          </cell>
          <cell r="J64">
            <v>14.71</v>
          </cell>
          <cell r="K64">
            <v>29603</v>
          </cell>
          <cell r="L64">
            <v>131</v>
          </cell>
          <cell r="M64">
            <v>22.83</v>
          </cell>
        </row>
        <row r="65">
          <cell r="A65" t="str">
            <v>DO-YULQ620-NZ-22</v>
          </cell>
          <cell r="B65">
            <v>101222</v>
          </cell>
          <cell r="C65">
            <v>395</v>
          </cell>
          <cell r="D65">
            <v>66.44</v>
          </cell>
          <cell r="E65">
            <v>137408</v>
          </cell>
          <cell r="F65">
            <v>589</v>
          </cell>
          <cell r="G65">
            <v>97.28</v>
          </cell>
          <cell r="H65">
            <v>41367</v>
          </cell>
          <cell r="I65">
            <v>251</v>
          </cell>
          <cell r="J65">
            <v>42.83</v>
          </cell>
          <cell r="K65">
            <v>24569</v>
          </cell>
          <cell r="L65">
            <v>197</v>
          </cell>
          <cell r="M65">
            <v>30.69</v>
          </cell>
        </row>
        <row r="66">
          <cell r="A66" t="str">
            <v>DO-YULQ111-PI-22</v>
          </cell>
          <cell r="B66">
            <v>0</v>
          </cell>
          <cell r="C66">
            <v>0</v>
          </cell>
          <cell r="D66">
            <v>0</v>
          </cell>
          <cell r="E66">
            <v>9447</v>
          </cell>
          <cell r="F66">
            <v>34</v>
          </cell>
          <cell r="G66">
            <v>5.61</v>
          </cell>
          <cell r="H66">
            <v>31775</v>
          </cell>
          <cell r="I66">
            <v>189</v>
          </cell>
          <cell r="J66">
            <v>30.97</v>
          </cell>
          <cell r="K66">
            <v>8734</v>
          </cell>
          <cell r="L66">
            <v>92</v>
          </cell>
          <cell r="M66">
            <v>13.86</v>
          </cell>
        </row>
        <row r="67">
          <cell r="A67" t="str">
            <v>DOLL-005-WO-11</v>
          </cell>
          <cell r="B67">
            <v>0</v>
          </cell>
          <cell r="C67">
            <v>0</v>
          </cell>
          <cell r="D67">
            <v>0</v>
          </cell>
          <cell r="E67">
            <v>9719</v>
          </cell>
          <cell r="F67">
            <v>58</v>
          </cell>
          <cell r="G67">
            <v>10.13</v>
          </cell>
          <cell r="H67">
            <v>84141</v>
          </cell>
          <cell r="I67">
            <v>374</v>
          </cell>
          <cell r="J67">
            <v>65.2</v>
          </cell>
          <cell r="K67">
            <v>56796</v>
          </cell>
          <cell r="L67">
            <v>242</v>
          </cell>
          <cell r="M67">
            <v>42.21</v>
          </cell>
        </row>
        <row r="68">
          <cell r="A68" t="str">
            <v>DO-YULQ158-W0-22</v>
          </cell>
          <cell r="B68">
            <v>186509</v>
          </cell>
          <cell r="C68">
            <v>430</v>
          </cell>
          <cell r="D68">
            <v>114.11</v>
          </cell>
          <cell r="E68">
            <v>137909</v>
          </cell>
          <cell r="F68">
            <v>334</v>
          </cell>
          <cell r="G68">
            <v>85.35</v>
          </cell>
          <cell r="H68">
            <v>7694</v>
          </cell>
          <cell r="I68">
            <v>66</v>
          </cell>
          <cell r="J68">
            <v>9.51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DO-YULQ232-W0-10</v>
          </cell>
          <cell r="B69">
            <v>0</v>
          </cell>
          <cell r="C69">
            <v>0</v>
          </cell>
          <cell r="D69">
            <v>0</v>
          </cell>
          <cell r="E69">
            <v>5283</v>
          </cell>
          <cell r="F69">
            <v>52</v>
          </cell>
          <cell r="G69">
            <v>9.13</v>
          </cell>
          <cell r="H69">
            <v>5288</v>
          </cell>
          <cell r="I69">
            <v>64</v>
          </cell>
          <cell r="J69">
            <v>10.83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DOLL-7056-LGR-11</v>
          </cell>
          <cell r="B70">
            <v>8414</v>
          </cell>
          <cell r="C70">
            <v>40</v>
          </cell>
          <cell r="D70">
            <v>6.6</v>
          </cell>
          <cell r="E70">
            <v>12755</v>
          </cell>
          <cell r="F70">
            <v>73</v>
          </cell>
          <cell r="G70">
            <v>13.33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DO-YULQ063-PI-22</v>
          </cell>
          <cell r="B71">
            <v>14854</v>
          </cell>
          <cell r="C71">
            <v>55</v>
          </cell>
          <cell r="D71">
            <v>8.67</v>
          </cell>
          <cell r="E71">
            <v>4452</v>
          </cell>
          <cell r="F71">
            <v>30</v>
          </cell>
          <cell r="G71">
            <v>4.11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DO-YULQ162-PI-16</v>
          </cell>
          <cell r="B72">
            <v>16494</v>
          </cell>
          <cell r="C72">
            <v>64</v>
          </cell>
          <cell r="D72">
            <v>12.54</v>
          </cell>
          <cell r="E72">
            <v>4035</v>
          </cell>
          <cell r="F72">
            <v>26</v>
          </cell>
          <cell r="G72">
            <v>4.44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DO-YULQ639-LGR-22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DO-YULQ708-W0-24</v>
          </cell>
          <cell r="B74">
            <v>27938</v>
          </cell>
          <cell r="C74">
            <v>105</v>
          </cell>
          <cell r="D74">
            <v>16.87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DO-YULQ150-B7-18</v>
          </cell>
          <cell r="B75">
            <v>1834</v>
          </cell>
          <cell r="C75">
            <v>17</v>
          </cell>
          <cell r="D75">
            <v>3.36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DO-YULQ001-PI-22</v>
          </cell>
          <cell r="B73" t="str">
            <v>DO-YULQ001</v>
          </cell>
        </row>
        <row r="74">
          <cell r="A74" t="str">
            <v>DO-YULQ002-PI-22</v>
          </cell>
          <cell r="B74" t="str">
            <v>DO-YULQ002</v>
          </cell>
        </row>
        <row r="75">
          <cell r="A75" t="str">
            <v>DO-YULQ004-B7-10</v>
          </cell>
          <cell r="B75" t="str">
            <v>DO-YULQ004</v>
          </cell>
        </row>
        <row r="76">
          <cell r="A76" t="str">
            <v>DO-YULQ004-B7-11</v>
          </cell>
          <cell r="B76" t="str">
            <v>DO-YULQ004</v>
          </cell>
        </row>
        <row r="77">
          <cell r="A77" t="str">
            <v>DO-YULQ004-PI-10</v>
          </cell>
          <cell r="B77" t="str">
            <v>DO-YULQ004</v>
          </cell>
        </row>
        <row r="78">
          <cell r="A78" t="str">
            <v>DO-YULQ004-PI-11</v>
          </cell>
          <cell r="B78" t="str">
            <v>DO-YULQ004</v>
          </cell>
        </row>
        <row r="79">
          <cell r="A79" t="str">
            <v>DO-YULQ005-W0-10</v>
          </cell>
          <cell r="B79" t="str">
            <v>DO-YULQ005</v>
          </cell>
        </row>
        <row r="80">
          <cell r="A80" t="str">
            <v>DO-YULQ005-W0-11</v>
          </cell>
          <cell r="B80" t="str">
            <v>DO-YULQ005</v>
          </cell>
        </row>
        <row r="81">
          <cell r="A81" t="str">
            <v>DO-YULQ006-B7-10</v>
          </cell>
          <cell r="B81" t="str">
            <v>DO-YULQ006</v>
          </cell>
        </row>
        <row r="82">
          <cell r="A82" t="str">
            <v>DO-YULQ006-B7-11</v>
          </cell>
          <cell r="B82" t="str">
            <v>DO-YULQ006</v>
          </cell>
        </row>
        <row r="83">
          <cell r="A83" t="str">
            <v>DO-YULQ006-PI-10</v>
          </cell>
          <cell r="B83" t="str">
            <v>DO-YULQ006</v>
          </cell>
        </row>
        <row r="84">
          <cell r="A84" t="str">
            <v>DO-YULQ006-PI-11</v>
          </cell>
          <cell r="B84" t="str">
            <v>DO-YULQ006</v>
          </cell>
        </row>
        <row r="85">
          <cell r="A85" t="str">
            <v>DO-YULQ007-LGR-16</v>
          </cell>
          <cell r="B85" t="str">
            <v>DO-YULQ007</v>
          </cell>
        </row>
        <row r="86">
          <cell r="A86" t="str">
            <v>DO-YULQ007-Y0-17</v>
          </cell>
          <cell r="B86" t="str">
            <v>DO-YULQ007</v>
          </cell>
        </row>
        <row r="87">
          <cell r="A87" t="str">
            <v>DO-YULQ008-LGR-16</v>
          </cell>
          <cell r="B87" t="str">
            <v>DO-YULQ008</v>
          </cell>
        </row>
        <row r="88">
          <cell r="A88" t="str">
            <v>DO-YULQ008-Y0-17</v>
          </cell>
          <cell r="B88" t="str">
            <v>DO-YULQ008</v>
          </cell>
        </row>
        <row r="89">
          <cell r="A89" t="str">
            <v>DO-YULQ009-PI-16</v>
          </cell>
          <cell r="B89" t="str">
            <v>DO-YULQ009</v>
          </cell>
        </row>
        <row r="90">
          <cell r="A90" t="str">
            <v>DO-YULQ010-NZ-22</v>
          </cell>
          <cell r="B90" t="str">
            <v>DO-YULQ010</v>
          </cell>
        </row>
        <row r="91">
          <cell r="A91" t="str">
            <v>DO-YULQ010-P0-22</v>
          </cell>
          <cell r="B91" t="str">
            <v>DO-YULQ010</v>
          </cell>
        </row>
        <row r="92">
          <cell r="A92" t="str">
            <v>DO-YULQ010-PI-15</v>
          </cell>
          <cell r="B92" t="str">
            <v>DO-YULQ010</v>
          </cell>
        </row>
        <row r="93">
          <cell r="A93" t="str">
            <v>DO-YULQ010-PI-22</v>
          </cell>
          <cell r="B93" t="str">
            <v>DO-YULQ010</v>
          </cell>
        </row>
        <row r="94">
          <cell r="A94" t="str">
            <v>DO-YULQ010-R2-22</v>
          </cell>
          <cell r="B94" t="str">
            <v>DO-YULQ010</v>
          </cell>
        </row>
        <row r="95">
          <cell r="A95" t="str">
            <v>DO-YULQ011-NZ-22</v>
          </cell>
          <cell r="B95" t="str">
            <v>DO-YULQ011</v>
          </cell>
        </row>
        <row r="96">
          <cell r="A96" t="str">
            <v>DO-YULQ012-PI-22</v>
          </cell>
          <cell r="B96" t="str">
            <v>DO-YULQ012</v>
          </cell>
        </row>
        <row r="97">
          <cell r="A97" t="str">
            <v>DO-YULQ017-B0-18</v>
          </cell>
          <cell r="B97" t="str">
            <v>DO-YULQ017</v>
          </cell>
        </row>
        <row r="98">
          <cell r="A98" t="str">
            <v>DO-YULQ017-P4-16</v>
          </cell>
          <cell r="B98" t="str">
            <v>DO-YULQ017</v>
          </cell>
        </row>
        <row r="99">
          <cell r="A99" t="str">
            <v>DO-YULQ018-B0-18</v>
          </cell>
          <cell r="B99" t="str">
            <v>DO-YULQ018</v>
          </cell>
        </row>
        <row r="100">
          <cell r="A100" t="str">
            <v>DO-YULQ018-P4-16</v>
          </cell>
          <cell r="B100" t="str">
            <v>DO-YULQ018</v>
          </cell>
        </row>
        <row r="101">
          <cell r="A101" t="str">
            <v>DO-YULQ021-PI-22</v>
          </cell>
          <cell r="B101" t="str">
            <v>DO-YULQ021</v>
          </cell>
        </row>
        <row r="102">
          <cell r="A102" t="str">
            <v>DO-YULQ021-W0-22</v>
          </cell>
          <cell r="B102" t="str">
            <v>DO-YULQ021</v>
          </cell>
        </row>
        <row r="103">
          <cell r="A103" t="str">
            <v>DO-YULQ039-R0-22</v>
          </cell>
          <cell r="B103" t="str">
            <v>DO-YULQ039</v>
          </cell>
        </row>
        <row r="104">
          <cell r="A104" t="str">
            <v>DO-YULQ042-W0-22</v>
          </cell>
          <cell r="B104" t="str">
            <v>DO-YULQ042</v>
          </cell>
        </row>
        <row r="105">
          <cell r="A105" t="str">
            <v>DO-YULQ057-BR-10</v>
          </cell>
          <cell r="B105" t="str">
            <v>DO-YULQ057</v>
          </cell>
        </row>
        <row r="106">
          <cell r="A106" t="str">
            <v>DO-YULQ057-SH-10</v>
          </cell>
          <cell r="B106" t="str">
            <v>DO-YULQ057</v>
          </cell>
        </row>
        <row r="107">
          <cell r="A107" t="str">
            <v>DO-YULQ058-BR-10</v>
          </cell>
          <cell r="B107" t="str">
            <v>DO-YULQ058</v>
          </cell>
        </row>
        <row r="108">
          <cell r="A108" t="str">
            <v>DO-YULQ058-SH-10</v>
          </cell>
          <cell r="B108" t="str">
            <v>DO-YULQ058</v>
          </cell>
        </row>
        <row r="109">
          <cell r="A109" t="str">
            <v>DO-YULQ060-LGR-22</v>
          </cell>
          <cell r="B109" t="str">
            <v>DO-YULQ060</v>
          </cell>
        </row>
        <row r="110">
          <cell r="A110" t="str">
            <v>DO-YULQ061-LGR-22</v>
          </cell>
          <cell r="B110" t="str">
            <v>DO-YULQ061</v>
          </cell>
        </row>
        <row r="111">
          <cell r="A111" t="str">
            <v>DO-YULQ061-W0-22</v>
          </cell>
          <cell r="B111" t="str">
            <v>DO-YULQ061</v>
          </cell>
        </row>
        <row r="112">
          <cell r="A112" t="str">
            <v>DO-YULQ062-PI-22</v>
          </cell>
          <cell r="B112" t="str">
            <v>DO-YULQ062</v>
          </cell>
        </row>
        <row r="113">
          <cell r="A113" t="str">
            <v>DO-YULQ063-PI-22</v>
          </cell>
          <cell r="B113" t="str">
            <v>DO-YULQ063</v>
          </cell>
        </row>
        <row r="114">
          <cell r="A114" t="str">
            <v>DO-YULQ064-X0-22</v>
          </cell>
          <cell r="B114" t="str">
            <v>DO-YULQ064</v>
          </cell>
        </row>
        <row r="115">
          <cell r="A115" t="str">
            <v>DO-YULQ070-PI-16</v>
          </cell>
          <cell r="B115" t="str">
            <v>DO-YULQ070</v>
          </cell>
        </row>
        <row r="116">
          <cell r="A116" t="str">
            <v>DO-YULQ071-B7-16</v>
          </cell>
          <cell r="B116" t="str">
            <v>DO-YULQ071</v>
          </cell>
        </row>
        <row r="117">
          <cell r="A117" t="str">
            <v>DO-YULQ071-PI-16</v>
          </cell>
          <cell r="B117" t="str">
            <v>DO-YULQ071</v>
          </cell>
        </row>
        <row r="118">
          <cell r="A118" t="str">
            <v>DO-YULQ072-LGR-22</v>
          </cell>
          <cell r="B118" t="str">
            <v>DO-YULQ072</v>
          </cell>
        </row>
        <row r="119">
          <cell r="A119" t="str">
            <v>DO-YULQ073-LGR-22</v>
          </cell>
          <cell r="B119" t="str">
            <v>DO-YULQ073</v>
          </cell>
        </row>
        <row r="120">
          <cell r="A120" t="str">
            <v>DO-YULQ080-B7-10</v>
          </cell>
          <cell r="B120" t="str">
            <v>DO-YULQ080</v>
          </cell>
        </row>
        <row r="121">
          <cell r="A121" t="str">
            <v>DO-YULQ080-PI-10</v>
          </cell>
          <cell r="B121" t="str">
            <v>DO-YULQ080</v>
          </cell>
        </row>
        <row r="122">
          <cell r="A122" t="str">
            <v>DO-YULQ081-B7-10</v>
          </cell>
          <cell r="B122" t="str">
            <v>DO-YULQ081</v>
          </cell>
        </row>
        <row r="123">
          <cell r="A123" t="str">
            <v>DO-YULQ081-PI-10</v>
          </cell>
          <cell r="B123" t="str">
            <v>DO-YULQ081</v>
          </cell>
        </row>
        <row r="124">
          <cell r="A124" t="str">
            <v>DO-YULQ100-B7-22</v>
          </cell>
          <cell r="B124" t="str">
            <v>DO-YULQ100</v>
          </cell>
        </row>
        <row r="125">
          <cell r="A125" t="str">
            <v>DO-YULQ100-G0-10</v>
          </cell>
          <cell r="B125" t="str">
            <v>DO-YULQ100</v>
          </cell>
        </row>
        <row r="126">
          <cell r="A126" t="str">
            <v>DO-YULQ100-R0-10</v>
          </cell>
          <cell r="B126" t="str">
            <v>DO-YULQ100</v>
          </cell>
        </row>
        <row r="127">
          <cell r="A127" t="str">
            <v>DO-YULQ101-PI-22</v>
          </cell>
          <cell r="B127" t="str">
            <v>DO-YULQ101</v>
          </cell>
        </row>
        <row r="128">
          <cell r="A128" t="str">
            <v>DO-YULQ105-PI-22</v>
          </cell>
          <cell r="B128" t="str">
            <v>DO-YULQ105</v>
          </cell>
        </row>
        <row r="129">
          <cell r="A129" t="str">
            <v>DO-YULQ105-R2-22</v>
          </cell>
          <cell r="B129" t="str">
            <v>DO-YULQ105</v>
          </cell>
        </row>
        <row r="130">
          <cell r="A130" t="str">
            <v>DO-YULQ106-PI-22</v>
          </cell>
          <cell r="B130" t="str">
            <v>DO-YULQ106</v>
          </cell>
        </row>
        <row r="131">
          <cell r="A131" t="str">
            <v>DO-YULQ107-PI-22</v>
          </cell>
          <cell r="B131" t="str">
            <v>DO-YULQ107</v>
          </cell>
        </row>
        <row r="132">
          <cell r="A132" t="str">
            <v>DO-YULQ110-R2-22</v>
          </cell>
          <cell r="B132" t="str">
            <v>DO-YULQ110</v>
          </cell>
        </row>
        <row r="133">
          <cell r="A133" t="str">
            <v>DO-YULQ111-PI-22</v>
          </cell>
          <cell r="B133" t="str">
            <v>DO-YULQ111</v>
          </cell>
        </row>
        <row r="134">
          <cell r="A134" t="str">
            <v>DO-YULQ111-R2-22</v>
          </cell>
          <cell r="B134" t="str">
            <v>DO-YULQ111</v>
          </cell>
        </row>
        <row r="135">
          <cell r="A135" t="str">
            <v>DO-YULQ115-R2-22</v>
          </cell>
          <cell r="B135" t="str">
            <v>DO-YULQ115</v>
          </cell>
        </row>
        <row r="136">
          <cell r="A136" t="str">
            <v>DO-YULQ121-PI-22</v>
          </cell>
          <cell r="B136" t="str">
            <v>DO-YULQ121</v>
          </cell>
        </row>
        <row r="137">
          <cell r="A137" t="str">
            <v>DO-YULQ122-FB-22</v>
          </cell>
          <cell r="B137" t="str">
            <v>DO-YULQ122</v>
          </cell>
        </row>
        <row r="138">
          <cell r="A138" t="str">
            <v>DO-YULQ123-FB-22</v>
          </cell>
          <cell r="B138" t="str">
            <v>DO-YULQ123</v>
          </cell>
        </row>
        <row r="139">
          <cell r="A139" t="str">
            <v>DO-YULQ123-W0-22</v>
          </cell>
          <cell r="B139" t="str">
            <v>DO-YULQ123</v>
          </cell>
        </row>
        <row r="140">
          <cell r="A140" t="str">
            <v>DO-YULQ149-B7-18</v>
          </cell>
          <cell r="B140" t="str">
            <v>DO-YULQ149</v>
          </cell>
        </row>
        <row r="141">
          <cell r="A141" t="str">
            <v>DO-YULQ150-B7-18</v>
          </cell>
          <cell r="B141" t="str">
            <v>DO-YULQ150</v>
          </cell>
        </row>
        <row r="142">
          <cell r="A142" t="str">
            <v>DO-YULQ150-B7-22</v>
          </cell>
          <cell r="B142" t="str">
            <v>DO-YULQ150</v>
          </cell>
        </row>
        <row r="143">
          <cell r="A143" t="str">
            <v>DO-YULQ150-K0-22</v>
          </cell>
          <cell r="B143" t="str">
            <v>DO-YULQ150</v>
          </cell>
        </row>
        <row r="144">
          <cell r="A144" t="str">
            <v>DO-YULQ150-PI-20</v>
          </cell>
          <cell r="B144" t="str">
            <v>DO-YULQ150</v>
          </cell>
        </row>
        <row r="145">
          <cell r="A145" t="str">
            <v>DO-YULQ150-R2-22</v>
          </cell>
          <cell r="B145" t="str">
            <v>DO-YULQ150</v>
          </cell>
        </row>
        <row r="146">
          <cell r="A146" t="str">
            <v>DO-YULQ151-W0-16</v>
          </cell>
          <cell r="B146" t="str">
            <v>DO-YULQ151</v>
          </cell>
        </row>
        <row r="147">
          <cell r="A147" t="str">
            <v>DO-YULQ152-B7-22</v>
          </cell>
          <cell r="B147" t="str">
            <v>DO-YULQ152</v>
          </cell>
        </row>
        <row r="148">
          <cell r="A148" t="str">
            <v>DO-YULQ152-Z1-22</v>
          </cell>
          <cell r="B148" t="str">
            <v>DO-YULQ152</v>
          </cell>
        </row>
        <row r="149">
          <cell r="A149" t="str">
            <v>DO-YULQ153-B7-22</v>
          </cell>
          <cell r="B149" t="str">
            <v>DO-YULQ153</v>
          </cell>
        </row>
        <row r="150">
          <cell r="A150" t="str">
            <v>DO-YULQ153-TW-20</v>
          </cell>
          <cell r="B150" t="str">
            <v>DO-YULQ153</v>
          </cell>
        </row>
        <row r="151">
          <cell r="A151" t="str">
            <v>DO-YULQ157-W0-22</v>
          </cell>
          <cell r="B151" t="str">
            <v>DO-YULQ157</v>
          </cell>
        </row>
        <row r="152">
          <cell r="A152" t="str">
            <v>DO-YULQ158-W0-22</v>
          </cell>
          <cell r="B152" t="str">
            <v>DO-YULQ158</v>
          </cell>
        </row>
        <row r="153">
          <cell r="A153" t="str">
            <v>DO-YULQ159-R2-22</v>
          </cell>
          <cell r="B153" t="str">
            <v>DO-YULQ159</v>
          </cell>
        </row>
        <row r="154">
          <cell r="A154" t="str">
            <v>DO-YULQ161-B7-16</v>
          </cell>
          <cell r="B154" t="str">
            <v>DO-YULQ161</v>
          </cell>
        </row>
        <row r="155">
          <cell r="A155" t="str">
            <v>DO-YULQ161-B7-22</v>
          </cell>
          <cell r="B155" t="str">
            <v>DO-YULQ161</v>
          </cell>
        </row>
        <row r="156">
          <cell r="A156" t="str">
            <v>DO-YULQ161-G0-16</v>
          </cell>
          <cell r="B156" t="str">
            <v>DO-YULQ161</v>
          </cell>
        </row>
        <row r="157">
          <cell r="A157" t="str">
            <v>DO-YULQ161-PI-16</v>
          </cell>
          <cell r="B157" t="str">
            <v>DO-YULQ161</v>
          </cell>
        </row>
        <row r="158">
          <cell r="A158" t="str">
            <v>DO-YULQ161-PI-22</v>
          </cell>
          <cell r="B158" t="str">
            <v>DO-YULQ161</v>
          </cell>
        </row>
        <row r="159">
          <cell r="A159" t="str">
            <v>DO-YULQ162-PI-16</v>
          </cell>
          <cell r="B159" t="str">
            <v>DO-YULQ162</v>
          </cell>
        </row>
        <row r="160">
          <cell r="A160" t="str">
            <v>DO-YULQ163-B7-22</v>
          </cell>
          <cell r="B160" t="str">
            <v>DO-YULQ163</v>
          </cell>
        </row>
        <row r="161">
          <cell r="A161" t="str">
            <v>DO-YULQ163-PI-22</v>
          </cell>
          <cell r="B161" t="str">
            <v>DO-YULQ163</v>
          </cell>
        </row>
        <row r="162">
          <cell r="A162" t="str">
            <v>DO-YULQ165-B7-16</v>
          </cell>
          <cell r="B162" t="str">
            <v>DO-YULQ165</v>
          </cell>
        </row>
        <row r="163">
          <cell r="A163" t="str">
            <v>DO-YULQ165-PI-16</v>
          </cell>
          <cell r="B163" t="str">
            <v>DO-YULQ165</v>
          </cell>
        </row>
        <row r="164">
          <cell r="A164" t="str">
            <v>DO-YULQ170-LGR-22</v>
          </cell>
          <cell r="B164" t="str">
            <v>DO-YULQ170</v>
          </cell>
        </row>
        <row r="165">
          <cell r="A165" t="str">
            <v>DO-YULQ170-SH-22</v>
          </cell>
          <cell r="B165" t="str">
            <v>DO-YULQ170</v>
          </cell>
        </row>
        <row r="166">
          <cell r="A166" t="str">
            <v>DO-YULQ171-B0-22</v>
          </cell>
          <cell r="B166" t="str">
            <v>DO-YULQ171</v>
          </cell>
        </row>
        <row r="167">
          <cell r="A167" t="str">
            <v>DO-YULQ171-BD-22</v>
          </cell>
          <cell r="B167" t="str">
            <v>DO-YULQ171</v>
          </cell>
        </row>
        <row r="168">
          <cell r="A168" t="str">
            <v>DO-YULQ171-LGR-22</v>
          </cell>
          <cell r="B168" t="str">
            <v>DO-YULQ171</v>
          </cell>
        </row>
        <row r="169">
          <cell r="A169" t="str">
            <v>DO-YULQ172-BD-22</v>
          </cell>
          <cell r="B169" t="str">
            <v>DO-YULQ172</v>
          </cell>
        </row>
        <row r="170">
          <cell r="A170" t="str">
            <v>DO-YULQ173-B7-22</v>
          </cell>
          <cell r="B170" t="str">
            <v>DO-YULQ173</v>
          </cell>
        </row>
        <row r="171">
          <cell r="A171" t="str">
            <v>DO-YULQ200-PI-10</v>
          </cell>
          <cell r="B171" t="str">
            <v>DO-YULQ200</v>
          </cell>
        </row>
        <row r="172">
          <cell r="A172" t="str">
            <v>DO-YULQ200-W0-10</v>
          </cell>
          <cell r="B172" t="str">
            <v>DO-YULQ200</v>
          </cell>
        </row>
        <row r="173">
          <cell r="A173" t="str">
            <v>DO-YULQ202-P4-22</v>
          </cell>
          <cell r="B173" t="str">
            <v>DO-YULQ202</v>
          </cell>
        </row>
        <row r="174">
          <cell r="A174" t="str">
            <v>DO-YULQ203-P4-22</v>
          </cell>
          <cell r="B174" t="str">
            <v>DO-YULQ203</v>
          </cell>
        </row>
        <row r="175">
          <cell r="A175" t="str">
            <v>DO-YULQ220-R2-22</v>
          </cell>
          <cell r="B175" t="str">
            <v>DO-YULQ220</v>
          </cell>
        </row>
        <row r="176">
          <cell r="A176" t="str">
            <v>DO-YULQ229-PI-16</v>
          </cell>
          <cell r="B176" t="str">
            <v>DO-YULQ229</v>
          </cell>
        </row>
        <row r="177">
          <cell r="A177" t="str">
            <v>DO-YULQ230-PI-16</v>
          </cell>
          <cell r="B177" t="str">
            <v>DO-YULQ230</v>
          </cell>
        </row>
        <row r="178">
          <cell r="A178" t="str">
            <v>DO-YULQ232-W0-10</v>
          </cell>
          <cell r="B178" t="str">
            <v>DO-YULQ232</v>
          </cell>
        </row>
        <row r="179">
          <cell r="A179" t="str">
            <v>DO-YULQ259-PI-20</v>
          </cell>
          <cell r="B179" t="str">
            <v>DO-YULQ259</v>
          </cell>
        </row>
        <row r="180">
          <cell r="A180" t="str">
            <v>DO-YULQ259-PI-22</v>
          </cell>
          <cell r="B180" t="str">
            <v>DO-YULQ259</v>
          </cell>
        </row>
        <row r="181">
          <cell r="A181" t="str">
            <v>DO-YULQ330-PI-18</v>
          </cell>
          <cell r="B181" t="str">
            <v>DO-YULQ330</v>
          </cell>
        </row>
        <row r="182">
          <cell r="A182" t="str">
            <v>DO-YULQ331-LGR-20</v>
          </cell>
          <cell r="B182" t="str">
            <v>DO-YULQ331</v>
          </cell>
        </row>
        <row r="183">
          <cell r="A183" t="str">
            <v>DO-YULQ332-LGR-20</v>
          </cell>
          <cell r="B183" t="str">
            <v>DO-YULQ332</v>
          </cell>
        </row>
        <row r="184">
          <cell r="A184" t="str">
            <v>DO-YULQ349-PI-22</v>
          </cell>
          <cell r="B184" t="str">
            <v>DO-YULQ349</v>
          </cell>
        </row>
        <row r="185">
          <cell r="A185" t="str">
            <v>DO-YULQ350-PI-22</v>
          </cell>
          <cell r="B185" t="str">
            <v>DO-YULQ350</v>
          </cell>
        </row>
        <row r="186">
          <cell r="A186" t="str">
            <v>DO-YULQ372-R0-22</v>
          </cell>
          <cell r="B186" t="str">
            <v>DO-YULQ372</v>
          </cell>
        </row>
        <row r="187">
          <cell r="A187" t="str">
            <v>DO-YULQ504-PI-22</v>
          </cell>
          <cell r="B187" t="str">
            <v>DO-YULQ504</v>
          </cell>
        </row>
        <row r="188">
          <cell r="A188" t="str">
            <v>DO-YULQ507-PI-24</v>
          </cell>
          <cell r="B188" t="str">
            <v>DO-YULQ507</v>
          </cell>
        </row>
        <row r="189">
          <cell r="A189" t="str">
            <v>DO-YULQ516-B0-22</v>
          </cell>
          <cell r="B189" t="str">
            <v>DO-YULQ516</v>
          </cell>
        </row>
        <row r="190">
          <cell r="A190" t="str">
            <v>DO-YULQ601-PI-22</v>
          </cell>
          <cell r="B190" t="str">
            <v>DO-YULQ601</v>
          </cell>
        </row>
        <row r="191">
          <cell r="A191" t="str">
            <v>DO-YULQ602-PI-22</v>
          </cell>
          <cell r="B191" t="str">
            <v>DO-YULQ602</v>
          </cell>
        </row>
        <row r="192">
          <cell r="A192" t="str">
            <v>DO-YULQ602-R2-15</v>
          </cell>
          <cell r="B192" t="str">
            <v>DO-YULQ602</v>
          </cell>
        </row>
        <row r="193">
          <cell r="A193" t="str">
            <v>DO-YULQ603-PI-22</v>
          </cell>
          <cell r="B193" t="str">
            <v>DO-YULQ603</v>
          </cell>
        </row>
        <row r="194">
          <cell r="A194" t="str">
            <v>DO-YULQ604-PI-22</v>
          </cell>
          <cell r="B194" t="str">
            <v>DO-YULQ604</v>
          </cell>
        </row>
        <row r="195">
          <cell r="A195" t="str">
            <v>DO-YULQ605-PI-16</v>
          </cell>
          <cell r="B195" t="str">
            <v>DO-YULQ605</v>
          </cell>
        </row>
        <row r="196">
          <cell r="A196" t="str">
            <v>DO-YULQ605-PI-22</v>
          </cell>
          <cell r="B196" t="str">
            <v>DO-YULQ605</v>
          </cell>
        </row>
        <row r="197">
          <cell r="A197" t="str">
            <v>DO-YULQ606-W0-22</v>
          </cell>
          <cell r="B197" t="str">
            <v>DO-YULQ606</v>
          </cell>
        </row>
        <row r="198">
          <cell r="A198" t="str">
            <v>DO-YULQ609-R2-22</v>
          </cell>
          <cell r="B198" t="str">
            <v>DO-YULQ609</v>
          </cell>
        </row>
        <row r="199">
          <cell r="A199" t="str">
            <v>DO-YULQ610-R2-22</v>
          </cell>
          <cell r="B199" t="str">
            <v>DO-YULQ610</v>
          </cell>
        </row>
        <row r="200">
          <cell r="A200" t="str">
            <v>DO-YULQ610-TW-22</v>
          </cell>
          <cell r="B200" t="str">
            <v>DO-YULQ610</v>
          </cell>
        </row>
        <row r="201">
          <cell r="A201" t="str">
            <v>DO-YULQ611-TW-22</v>
          </cell>
          <cell r="B201" t="str">
            <v>DO-YULQ611</v>
          </cell>
        </row>
        <row r="202">
          <cell r="A202" t="str">
            <v>DO-YULQ620-NZ-22</v>
          </cell>
          <cell r="B202" t="str">
            <v>DO-YULQ620</v>
          </cell>
        </row>
        <row r="203">
          <cell r="A203" t="str">
            <v>DO-YULQ620-PI-22</v>
          </cell>
          <cell r="B203" t="str">
            <v>DO-YULQ620</v>
          </cell>
        </row>
        <row r="204">
          <cell r="A204" t="str">
            <v>DO-YULQ630-R2-15</v>
          </cell>
          <cell r="B204" t="str">
            <v>DO-YULQ630</v>
          </cell>
        </row>
        <row r="205">
          <cell r="A205" t="str">
            <v>DO-YULQ631-R2-22</v>
          </cell>
          <cell r="B205" t="str">
            <v>DO-YULQ631</v>
          </cell>
        </row>
        <row r="206">
          <cell r="A206" t="str">
            <v>DO-YULQ637-B7-20</v>
          </cell>
          <cell r="B206" t="str">
            <v>DO-YULQ637</v>
          </cell>
        </row>
        <row r="207">
          <cell r="A207" t="str">
            <v>DO-YULQ637-PI-20</v>
          </cell>
          <cell r="B207" t="str">
            <v>DO-YULQ637</v>
          </cell>
        </row>
        <row r="208">
          <cell r="A208" t="str">
            <v>DO-YULQ638-B7-20</v>
          </cell>
          <cell r="B208" t="str">
            <v>DO-YULQ638</v>
          </cell>
        </row>
        <row r="209">
          <cell r="A209" t="str">
            <v>DO-YULQ638-LGR-20</v>
          </cell>
          <cell r="B209" t="str">
            <v>DO-YULQ638</v>
          </cell>
        </row>
        <row r="210">
          <cell r="A210" t="str">
            <v>DO-YULQ638-PI-20</v>
          </cell>
          <cell r="B210" t="str">
            <v>DO-YULQ638</v>
          </cell>
        </row>
        <row r="211">
          <cell r="A211" t="str">
            <v>DO-YULQ639-LGR-22</v>
          </cell>
          <cell r="B211" t="str">
            <v>DO-YULQ639</v>
          </cell>
        </row>
        <row r="212">
          <cell r="A212" t="str">
            <v>DO-YULQ639-R2-22</v>
          </cell>
          <cell r="B212" t="str">
            <v>DO-YULQ639</v>
          </cell>
        </row>
        <row r="213">
          <cell r="A213" t="str">
            <v>DO-YULQ662-PI-15</v>
          </cell>
          <cell r="B213" t="str">
            <v>DO-YULQ662</v>
          </cell>
        </row>
        <row r="214">
          <cell r="A214" t="str">
            <v>DO-YULQ663-PI-15</v>
          </cell>
          <cell r="B214" t="str">
            <v>DO-YULQ663</v>
          </cell>
        </row>
        <row r="215">
          <cell r="A215" t="str">
            <v>DO-YULQ664-AX-16</v>
          </cell>
          <cell r="B215" t="str">
            <v>DO-YULQ664</v>
          </cell>
        </row>
        <row r="216">
          <cell r="A216" t="str">
            <v>DO-YULQ700-PI-22</v>
          </cell>
          <cell r="B216" t="str">
            <v>DO-YULQ700</v>
          </cell>
        </row>
        <row r="217">
          <cell r="A217" t="str">
            <v>DO-YULQ700-W0-22</v>
          </cell>
          <cell r="B217" t="str">
            <v>DO-YULQ700</v>
          </cell>
        </row>
        <row r="218">
          <cell r="A218" t="str">
            <v>DO-YULQ701-PI-22</v>
          </cell>
          <cell r="B218" t="str">
            <v>DO-YULQ701</v>
          </cell>
        </row>
        <row r="219">
          <cell r="A219" t="str">
            <v>DO-YULQ702-PI-22</v>
          </cell>
          <cell r="B219" t="str">
            <v>DO-YULQ702</v>
          </cell>
        </row>
        <row r="220">
          <cell r="A220" t="str">
            <v>DO-YULQ703-PI-22</v>
          </cell>
          <cell r="B220" t="str">
            <v>DO-YULQ703</v>
          </cell>
        </row>
        <row r="221">
          <cell r="A221" t="str">
            <v>DO-YULQ704-B0-24</v>
          </cell>
          <cell r="B221" t="str">
            <v>DO-YULQ704</v>
          </cell>
        </row>
        <row r="222">
          <cell r="A222" t="str">
            <v>DO-YULQ705-0R-10</v>
          </cell>
          <cell r="B222" t="str">
            <v>DO-YULQ705</v>
          </cell>
        </row>
        <row r="223">
          <cell r="A223" t="str">
            <v>DO-YULQ705-BR-10</v>
          </cell>
          <cell r="B223" t="str">
            <v>DO-YULQ705</v>
          </cell>
        </row>
        <row r="224">
          <cell r="A224" t="str">
            <v>DO-YULQ705-BR-11</v>
          </cell>
          <cell r="B224" t="str">
            <v>DO-YULQ705</v>
          </cell>
        </row>
        <row r="225">
          <cell r="A225" t="str">
            <v>DO-YULQ705-GR-11</v>
          </cell>
          <cell r="B225" t="str">
            <v>DO-YULQ705</v>
          </cell>
        </row>
        <row r="226">
          <cell r="A226" t="str">
            <v>DO-YULQ705-W0-22</v>
          </cell>
          <cell r="B226" t="str">
            <v>DO-YULQ705</v>
          </cell>
        </row>
        <row r="227">
          <cell r="A227" t="str">
            <v>DO-YULQ706-R0-24</v>
          </cell>
          <cell r="B227" t="str">
            <v>DO-YULQ706</v>
          </cell>
        </row>
        <row r="228">
          <cell r="A228" t="str">
            <v>DO-YULQ707-PI-24</v>
          </cell>
          <cell r="B228" t="str">
            <v>DO-YULQ707</v>
          </cell>
        </row>
        <row r="229">
          <cell r="A229" t="str">
            <v>DO-YULQ708-W0-24</v>
          </cell>
          <cell r="B229" t="str">
            <v>DO-YULQ708</v>
          </cell>
        </row>
        <row r="230">
          <cell r="A230" t="str">
            <v>DO-YULQ712-W0-22</v>
          </cell>
          <cell r="B230" t="str">
            <v>DO-YULQ712</v>
          </cell>
        </row>
        <row r="231">
          <cell r="A231" t="str">
            <v>DO-YULQ811-W0-18</v>
          </cell>
          <cell r="B231" t="str">
            <v>DO-YULQ811</v>
          </cell>
        </row>
        <row r="232">
          <cell r="A232" t="str">
            <v>DO-YULQ812-W0-18</v>
          </cell>
          <cell r="B232" t="str">
            <v>DO-YULQ812</v>
          </cell>
        </row>
        <row r="233">
          <cell r="A233" t="str">
            <v>DO-YULQ904-B7-22</v>
          </cell>
          <cell r="B233" t="str">
            <v>DO-YULQ904</v>
          </cell>
        </row>
        <row r="234">
          <cell r="A234" t="str">
            <v>DO-YULQ905-B7-22</v>
          </cell>
          <cell r="B234" t="str">
            <v>DO-YULQ905</v>
          </cell>
        </row>
        <row r="235">
          <cell r="A235" t="str">
            <v>DO-YULQ985-B7-20</v>
          </cell>
          <cell r="B235" t="str">
            <v>DO-YULQ905</v>
          </cell>
        </row>
        <row r="236">
          <cell r="A236" t="str">
            <v>HF-FL1</v>
          </cell>
          <cell r="B236" t="str">
            <v>HF-FL1</v>
          </cell>
        </row>
        <row r="237">
          <cell r="A237" t="str">
            <v>JFB-FLQ55-PI-17</v>
          </cell>
          <cell r="B237" t="str">
            <v>JFB-FLQ55</v>
          </cell>
        </row>
        <row r="238">
          <cell r="A238" t="str">
            <v>LYQ-1001-B0-2XL</v>
          </cell>
          <cell r="B238" t="str">
            <v>LYQ-1001</v>
          </cell>
        </row>
        <row r="239">
          <cell r="A239" t="str">
            <v>LYQ-1001-B0-L</v>
          </cell>
          <cell r="B239" t="str">
            <v>LYQ-1001</v>
          </cell>
        </row>
        <row r="240">
          <cell r="A240" t="str">
            <v>LYQ-1001-B0-M</v>
          </cell>
          <cell r="B240" t="str">
            <v>LYQ-1001</v>
          </cell>
        </row>
        <row r="241">
          <cell r="A241" t="str">
            <v>LYQ-1001-B0-XL</v>
          </cell>
          <cell r="B241" t="str">
            <v>LYQ-1001</v>
          </cell>
        </row>
        <row r="242">
          <cell r="A242" t="str">
            <v>LYQ-1001-B0-XS</v>
          </cell>
          <cell r="B242" t="str">
            <v>LYQ-1001</v>
          </cell>
        </row>
        <row r="243">
          <cell r="A243" t="str">
            <v>LYQ-1001-G0-2XL</v>
          </cell>
          <cell r="B243" t="str">
            <v>LYQ-1001</v>
          </cell>
        </row>
        <row r="244">
          <cell r="A244" t="str">
            <v>LYQ-1001-G0-M</v>
          </cell>
          <cell r="B244" t="str">
            <v>LYQ-1001</v>
          </cell>
        </row>
        <row r="245">
          <cell r="A245" t="str">
            <v>LYQ-1001-G0-S</v>
          </cell>
          <cell r="B245" t="str">
            <v>LYQ-1001</v>
          </cell>
        </row>
        <row r="246">
          <cell r="A246" t="str">
            <v>LYQ-1001-G0-XS</v>
          </cell>
          <cell r="B246" t="str">
            <v>LYQ-1001</v>
          </cell>
        </row>
        <row r="247">
          <cell r="A247" t="str">
            <v>LYQ-1001-G7-2XL</v>
          </cell>
          <cell r="B247" t="str">
            <v>LYQ-1001</v>
          </cell>
        </row>
        <row r="248">
          <cell r="A248" t="str">
            <v>LYQ-1001-G7-M</v>
          </cell>
          <cell r="B248" t="str">
            <v>LYQ-1001</v>
          </cell>
        </row>
        <row r="249">
          <cell r="A249" t="str">
            <v>LYQ-1001-G7-S</v>
          </cell>
          <cell r="B249" t="str">
            <v>LYQ-1001</v>
          </cell>
        </row>
        <row r="250">
          <cell r="A250" t="str">
            <v>LYQ-1001-G7-XL</v>
          </cell>
          <cell r="B250" t="str">
            <v>LYQ-1001</v>
          </cell>
        </row>
        <row r="251">
          <cell r="A251" t="str">
            <v>LYQ-1001-G7-XS</v>
          </cell>
          <cell r="B251" t="str">
            <v>LYQ-1001</v>
          </cell>
        </row>
        <row r="252">
          <cell r="A252" t="str">
            <v>LYQ-1001-K0-L</v>
          </cell>
          <cell r="B252" t="str">
            <v>LYQ-1001</v>
          </cell>
        </row>
        <row r="253">
          <cell r="A253" t="str">
            <v>LYQ-1001-K0-M</v>
          </cell>
          <cell r="B253" t="str">
            <v>LYQ-1001</v>
          </cell>
        </row>
        <row r="254">
          <cell r="A254" t="str">
            <v>LYQ-1001-K0-S</v>
          </cell>
          <cell r="B254" t="str">
            <v>LYQ-1001</v>
          </cell>
        </row>
        <row r="255">
          <cell r="A255" t="str">
            <v>LYQ-1001-K0-XL</v>
          </cell>
          <cell r="B255" t="str">
            <v>LYQ-1001</v>
          </cell>
        </row>
        <row r="256">
          <cell r="A256" t="str">
            <v>LYQ-1001-N0-2XL</v>
          </cell>
          <cell r="B256" t="str">
            <v>LYQ-1001</v>
          </cell>
        </row>
        <row r="257">
          <cell r="A257" t="str">
            <v>LYQ-1001-N0-L</v>
          </cell>
          <cell r="B257" t="str">
            <v>LYQ-1001</v>
          </cell>
        </row>
        <row r="258">
          <cell r="A258" t="str">
            <v>LYQ-1001-N0-S</v>
          </cell>
          <cell r="B258" t="str">
            <v>LYQ-1001</v>
          </cell>
        </row>
        <row r="259">
          <cell r="A259" t="str">
            <v>LYQ-1001-N0-XL</v>
          </cell>
          <cell r="B259" t="str">
            <v>LYQ-1001</v>
          </cell>
        </row>
        <row r="260">
          <cell r="A260" t="str">
            <v>LYQ-1001-N0-XS</v>
          </cell>
          <cell r="B260" t="str">
            <v>LYQ-1001</v>
          </cell>
        </row>
        <row r="261">
          <cell r="A261" t="str">
            <v>LYQ-1001New-P0-2XL</v>
          </cell>
          <cell r="B261" t="str">
            <v>LYQ-1001</v>
          </cell>
        </row>
        <row r="262">
          <cell r="A262" t="str">
            <v>LYQ-1001New-P0-L</v>
          </cell>
          <cell r="B262" t="str">
            <v>LYQ-1001</v>
          </cell>
        </row>
        <row r="263">
          <cell r="A263" t="str">
            <v>LYQ-1001New-P0-M</v>
          </cell>
          <cell r="B263" t="str">
            <v>LYQ-1001</v>
          </cell>
        </row>
        <row r="264">
          <cell r="A264" t="str">
            <v>LYQ-1001New-P0-S</v>
          </cell>
          <cell r="B264" t="str">
            <v>LYQ-1001</v>
          </cell>
        </row>
        <row r="265">
          <cell r="A265" t="str">
            <v>LYQ-1001New-P0-XL</v>
          </cell>
          <cell r="B265" t="str">
            <v>LYQ-1001</v>
          </cell>
        </row>
        <row r="266">
          <cell r="A266" t="str">
            <v>LYQ-1001New-P0-XS</v>
          </cell>
          <cell r="B266" t="str">
            <v>LYQ-1001</v>
          </cell>
        </row>
        <row r="267">
          <cell r="A267" t="str">
            <v>LYQ-1001-P0-2XL</v>
          </cell>
          <cell r="B267" t="str">
            <v>LYQ-1001</v>
          </cell>
        </row>
        <row r="268">
          <cell r="A268" t="str">
            <v>LYQ-1001-P0-L</v>
          </cell>
          <cell r="B268" t="str">
            <v>LYQ-1001</v>
          </cell>
        </row>
        <row r="269">
          <cell r="A269" t="str">
            <v>LYQ-1001-P0-M</v>
          </cell>
          <cell r="B269" t="str">
            <v>LYQ-1001</v>
          </cell>
        </row>
        <row r="270">
          <cell r="A270" t="str">
            <v>LYQ-1001-P0-S</v>
          </cell>
          <cell r="B270" t="str">
            <v>LYQ-1001</v>
          </cell>
        </row>
        <row r="271">
          <cell r="A271" t="str">
            <v>LYQ-1001-P0-XL</v>
          </cell>
          <cell r="B271" t="str">
            <v>LYQ-1001</v>
          </cell>
        </row>
        <row r="272">
          <cell r="A272" t="str">
            <v>LYQ-1001-P0-XS</v>
          </cell>
          <cell r="B272" t="str">
            <v>LYQ-1001</v>
          </cell>
        </row>
        <row r="273">
          <cell r="A273" t="str">
            <v>LYQ-1001-R0-2XL</v>
          </cell>
          <cell r="B273" t="str">
            <v>LYQ-1001</v>
          </cell>
        </row>
        <row r="274">
          <cell r="A274" t="str">
            <v>LYQ-1001-R0-L</v>
          </cell>
          <cell r="B274" t="str">
            <v>LYQ-1001</v>
          </cell>
        </row>
        <row r="275">
          <cell r="A275" t="str">
            <v>LYQ-1001-R0-M</v>
          </cell>
          <cell r="B275" t="str">
            <v>LYQ-1001</v>
          </cell>
        </row>
        <row r="276">
          <cell r="A276" t="str">
            <v>LYQ-1001-R0-S</v>
          </cell>
          <cell r="B276" t="str">
            <v>LYQ-1001</v>
          </cell>
        </row>
        <row r="277">
          <cell r="A277" t="str">
            <v>LYQ-1001-R0-XL</v>
          </cell>
          <cell r="B277" t="str">
            <v>LYQ-1001</v>
          </cell>
        </row>
        <row r="278">
          <cell r="A278" t="str">
            <v>LYQ-1001-R0-XS</v>
          </cell>
          <cell r="B278" t="str">
            <v>LYQ-1001</v>
          </cell>
        </row>
        <row r="279">
          <cell r="A279" t="str">
            <v>LYQ-1001-W0-2XL</v>
          </cell>
          <cell r="B279" t="str">
            <v>LYQ-1001</v>
          </cell>
        </row>
        <row r="280">
          <cell r="A280" t="str">
            <v>LYQ-1001-W0-L</v>
          </cell>
          <cell r="B280" t="str">
            <v>LYQ-1001</v>
          </cell>
        </row>
        <row r="281">
          <cell r="A281" t="str">
            <v>LYQ-1001-W0-M</v>
          </cell>
          <cell r="B281" t="str">
            <v>LYQ-1001</v>
          </cell>
        </row>
        <row r="282">
          <cell r="A282" t="str">
            <v>LYQ-1001-W0-XL</v>
          </cell>
          <cell r="B282" t="str">
            <v>LYQ-1001</v>
          </cell>
        </row>
        <row r="283">
          <cell r="A283" t="str">
            <v>LYQ-1001-W0-XS</v>
          </cell>
          <cell r="B283" t="str">
            <v>LYQ-1001</v>
          </cell>
        </row>
        <row r="284">
          <cell r="A284" t="str">
            <v>LYQ-1001-Z0-2XL</v>
          </cell>
          <cell r="B284" t="str">
            <v>LYQ-1001</v>
          </cell>
        </row>
        <row r="285">
          <cell r="A285" t="str">
            <v>LYQ-1001-Z0-L</v>
          </cell>
          <cell r="B285" t="str">
            <v>LYQ-1001</v>
          </cell>
        </row>
        <row r="286">
          <cell r="A286" t="str">
            <v>LYQ-1001-Z0-M</v>
          </cell>
          <cell r="B286" t="str">
            <v>LYQ-1001</v>
          </cell>
        </row>
        <row r="287">
          <cell r="A287" t="str">
            <v>LYQ-1001-Z0-S</v>
          </cell>
          <cell r="B287" t="str">
            <v>LYQ-1001</v>
          </cell>
        </row>
        <row r="288">
          <cell r="A288" t="str">
            <v>LYQ-1001-Z0-XL</v>
          </cell>
          <cell r="B288" t="str">
            <v>LYQ-1001</v>
          </cell>
        </row>
        <row r="289">
          <cell r="A289" t="str">
            <v>LYQ-1001-Z0-XS</v>
          </cell>
          <cell r="B289" t="str">
            <v>LYQ-1001</v>
          </cell>
        </row>
        <row r="290">
          <cell r="A290" t="str">
            <v>LYQ-CL0045-K0-L</v>
          </cell>
          <cell r="B290" t="str">
            <v>LYQ-CL0045</v>
          </cell>
        </row>
        <row r="291">
          <cell r="A291" t="str">
            <v>LYQ-CL0045-K0-S</v>
          </cell>
          <cell r="B291" t="str">
            <v>LYQ-CL0045</v>
          </cell>
        </row>
        <row r="292">
          <cell r="A292" t="str">
            <v>LYQ-CL0045-K0-XL</v>
          </cell>
          <cell r="B292" t="str">
            <v>LYQ-CL0045</v>
          </cell>
        </row>
        <row r="293">
          <cell r="A293" t="str">
            <v>LYQ-CL0045-Y0-L</v>
          </cell>
          <cell r="B293" t="str">
            <v>LYQ-CL0045</v>
          </cell>
        </row>
        <row r="294">
          <cell r="A294" t="str">
            <v>LYQ-CL0045-Y0-M</v>
          </cell>
          <cell r="B294" t="str">
            <v>LYQ-CL0045</v>
          </cell>
        </row>
        <row r="295">
          <cell r="A295" t="str">
            <v>LYQ-CL0045-Y0-S</v>
          </cell>
          <cell r="B295" t="str">
            <v>LYQ-CL0045</v>
          </cell>
        </row>
        <row r="296">
          <cell r="A296" t="str">
            <v>LYQ-CL0045-Y0-XL</v>
          </cell>
          <cell r="B296" t="str">
            <v>LYQ-CL0045</v>
          </cell>
        </row>
        <row r="297">
          <cell r="A297" t="str">
            <v>LYQ-CL61652-R6-M</v>
          </cell>
          <cell r="B297" t="str">
            <v>LYQ-CL61652</v>
          </cell>
        </row>
        <row r="298">
          <cell r="A298" t="str">
            <v>LYQ-CL6287-B0-L</v>
          </cell>
          <cell r="B298" t="str">
            <v>LYQ-CL6287</v>
          </cell>
        </row>
        <row r="299">
          <cell r="A299" t="str">
            <v>LYQ-CL6287-FB-L</v>
          </cell>
          <cell r="B299" t="str">
            <v>LYQ-CL6287</v>
          </cell>
        </row>
        <row r="300">
          <cell r="A300" t="str">
            <v>LYQ-CL6287-G7-L</v>
          </cell>
          <cell r="B300" t="str">
            <v>LYQ-CL6287</v>
          </cell>
        </row>
        <row r="301">
          <cell r="A301" t="str">
            <v>LYQ-CL6287-G7-M</v>
          </cell>
          <cell r="B301" t="str">
            <v>LYQ-CL6287</v>
          </cell>
        </row>
        <row r="302">
          <cell r="A302" t="str">
            <v>LYQ-CL6287-K0-L</v>
          </cell>
          <cell r="B302" t="str">
            <v>LYQ-CL6287</v>
          </cell>
        </row>
        <row r="303">
          <cell r="A303" t="str">
            <v>LYQ-CL6287-K0-M</v>
          </cell>
          <cell r="B303" t="str">
            <v>LYQ-CL6287</v>
          </cell>
        </row>
        <row r="304">
          <cell r="A304" t="str">
            <v>LYQ-CL6408NO-G0-L</v>
          </cell>
          <cell r="B304" t="str">
            <v>LYQ-CL6408NO</v>
          </cell>
        </row>
        <row r="305">
          <cell r="A305" t="str">
            <v>LYQ-CL6408NO-K0-L</v>
          </cell>
          <cell r="B305" t="str">
            <v>LYQ-CL6408NO</v>
          </cell>
        </row>
        <row r="306">
          <cell r="A306" t="str">
            <v>LYQ-CL6408SL-G0XL</v>
          </cell>
          <cell r="B306" t="str">
            <v>LYQ-CL6408SL</v>
          </cell>
        </row>
        <row r="307">
          <cell r="A307" t="str">
            <v>LYQ-CL6408SL-K0XL</v>
          </cell>
          <cell r="B307" t="str">
            <v>LYQ-CL6408SL</v>
          </cell>
        </row>
        <row r="308">
          <cell r="A308" t="str">
            <v>LYQ-CLBAH002-L</v>
          </cell>
          <cell r="B308" t="str">
            <v>LYQ-CLBAH002</v>
          </cell>
        </row>
        <row r="309">
          <cell r="A309" t="str">
            <v>LYQ-CLBAH002-M</v>
          </cell>
          <cell r="B309" t="str">
            <v>LYQ-CLBAH002</v>
          </cell>
        </row>
        <row r="310">
          <cell r="A310" t="str">
            <v>LYQ-CLBAH002-S</v>
          </cell>
          <cell r="B310" t="str">
            <v>LYQ-CLBAH002</v>
          </cell>
        </row>
        <row r="311">
          <cell r="A311" t="str">
            <v>LYQ-CLBAH002-XL</v>
          </cell>
          <cell r="B311" t="str">
            <v>LYQ-CLBAH002</v>
          </cell>
        </row>
        <row r="312">
          <cell r="A312" t="str">
            <v>LYQ-CSM048-G0-L</v>
          </cell>
          <cell r="B312" t="str">
            <v>LYQ-CSM048</v>
          </cell>
        </row>
        <row r="313">
          <cell r="A313" t="str">
            <v>LYQ-CSM048-G0-S</v>
          </cell>
          <cell r="B313" t="str">
            <v>LYQ-CSM048</v>
          </cell>
        </row>
        <row r="314">
          <cell r="A314" t="str">
            <v>LYQ-CSM048-GR0-M</v>
          </cell>
          <cell r="B314" t="str">
            <v>LYQ-CSM048</v>
          </cell>
        </row>
        <row r="315">
          <cell r="A315" t="str">
            <v>LYQ-CSM048-GR1-L</v>
          </cell>
          <cell r="B315" t="str">
            <v>LYQ-CSM048</v>
          </cell>
        </row>
        <row r="316">
          <cell r="A316" t="str">
            <v>LYQ-CSM048-GR1-XL</v>
          </cell>
          <cell r="B316" t="str">
            <v>LYQ-CSM048</v>
          </cell>
        </row>
        <row r="317">
          <cell r="A317" t="str">
            <v>LYQ-CSM048-K0-S</v>
          </cell>
          <cell r="B317" t="str">
            <v>LYQ-CSM048</v>
          </cell>
        </row>
        <row r="318">
          <cell r="A318" t="str">
            <v>LYQ-CSM048-ZL-L</v>
          </cell>
          <cell r="B318" t="str">
            <v>LYQ-CSM048</v>
          </cell>
        </row>
        <row r="319">
          <cell r="A319" t="str">
            <v>LYQ-CSM048-ZL-XL</v>
          </cell>
          <cell r="B319" t="str">
            <v>LYQ-CSM048</v>
          </cell>
        </row>
        <row r="320">
          <cell r="A320" t="str">
            <v>LYQ-HM0505-W0-3XL</v>
          </cell>
          <cell r="B320" t="str">
            <v>LYQ-HM0505</v>
          </cell>
        </row>
        <row r="321">
          <cell r="A321" t="str">
            <v>LYQ-HM1205-BR-L</v>
          </cell>
          <cell r="B321" t="str">
            <v>LYQ-HM1205</v>
          </cell>
        </row>
        <row r="322">
          <cell r="A322" t="str">
            <v>LYQ-HM1205-BR-M</v>
          </cell>
          <cell r="B322" t="str">
            <v>LYQ-HM1205</v>
          </cell>
        </row>
        <row r="323">
          <cell r="A323" t="str">
            <v>LYQ-HM1205-BR-S</v>
          </cell>
          <cell r="B323" t="str">
            <v>LYQ-HM1205</v>
          </cell>
        </row>
        <row r="324">
          <cell r="A324" t="str">
            <v>LYQ-HM1205-BR-XL</v>
          </cell>
          <cell r="B324" t="str">
            <v>LYQ-HM1205</v>
          </cell>
        </row>
        <row r="325">
          <cell r="A325" t="str">
            <v>LYQ-HM1205-K0-S</v>
          </cell>
          <cell r="B325" t="str">
            <v>LYQ-HM1205</v>
          </cell>
        </row>
        <row r="326">
          <cell r="A326" t="str">
            <v>LYQ-HM1205-KH-L</v>
          </cell>
          <cell r="B326" t="str">
            <v>LYQ-HM1205</v>
          </cell>
        </row>
        <row r="327">
          <cell r="A327" t="str">
            <v>LYQ-HM1205-KH-M</v>
          </cell>
          <cell r="B327" t="str">
            <v>LYQ-HM1205</v>
          </cell>
        </row>
        <row r="328">
          <cell r="A328" t="str">
            <v>LYQ-HM1205-KH-S</v>
          </cell>
          <cell r="B328" t="str">
            <v>LYQ-HM1205</v>
          </cell>
        </row>
        <row r="329">
          <cell r="A329" t="str">
            <v>LYQ-HM1205-KH-XL</v>
          </cell>
          <cell r="B329" t="str">
            <v>LYQ-HM1205</v>
          </cell>
        </row>
        <row r="330">
          <cell r="A330" t="str">
            <v>LYQ-HM1205-OR-L</v>
          </cell>
          <cell r="B330" t="str">
            <v>LYQ-HM1205</v>
          </cell>
        </row>
        <row r="331">
          <cell r="A331" t="str">
            <v>LYQ-HM1205-OR-M</v>
          </cell>
          <cell r="B331" t="str">
            <v>LYQ-HM1205</v>
          </cell>
        </row>
        <row r="332">
          <cell r="A332" t="str">
            <v>LYQ-HM1205-OR-S</v>
          </cell>
          <cell r="B332" t="str">
            <v>LYQ-HM1205</v>
          </cell>
        </row>
        <row r="333">
          <cell r="A333" t="str">
            <v>LYQ-HM1205-W0-L</v>
          </cell>
          <cell r="B333" t="str">
            <v>LYQ-HM1205</v>
          </cell>
        </row>
        <row r="334">
          <cell r="A334" t="str">
            <v>LYQ-HM1205-W0-M</v>
          </cell>
          <cell r="B334" t="str">
            <v>LYQ-HM1205</v>
          </cell>
        </row>
        <row r="335">
          <cell r="A335" t="str">
            <v>LYQ-HM1205-W0-S</v>
          </cell>
          <cell r="B335" t="str">
            <v>LYQ-HM1205</v>
          </cell>
        </row>
        <row r="336">
          <cell r="A336" t="str">
            <v>LYQ-HM1205-W0-XL</v>
          </cell>
          <cell r="B336" t="str">
            <v>LYQ-HM1205</v>
          </cell>
        </row>
        <row r="337">
          <cell r="A337" t="str">
            <v>LYQ-HMQZZ-MOM-2XL</v>
          </cell>
          <cell r="B337" t="str">
            <v>LYQ-HMQZZ</v>
          </cell>
        </row>
        <row r="338">
          <cell r="A338" t="str">
            <v>LYQ-HMQZZ-MOM-S</v>
          </cell>
          <cell r="B338" t="str">
            <v>LYQ-HMQZZ</v>
          </cell>
        </row>
        <row r="339">
          <cell r="A339" t="str">
            <v>LYQ-LY064-B0-3XL</v>
          </cell>
          <cell r="B339" t="str">
            <v>LYQ-LY064</v>
          </cell>
        </row>
        <row r="340">
          <cell r="A340" t="str">
            <v>LYQ-LY064-B0-4XL</v>
          </cell>
          <cell r="B340" t="str">
            <v>LYQ-LY064</v>
          </cell>
        </row>
        <row r="341">
          <cell r="A341" t="str">
            <v>LYQ-LY064-B0-L</v>
          </cell>
          <cell r="B341" t="str">
            <v>LYQ-LY064</v>
          </cell>
        </row>
        <row r="342">
          <cell r="A342" t="str">
            <v>LYQ-LY064-G0-3XL</v>
          </cell>
          <cell r="B342" t="str">
            <v>LYQ-LY064</v>
          </cell>
        </row>
        <row r="343">
          <cell r="A343" t="str">
            <v>LYQ-LY064-G0-4XL</v>
          </cell>
          <cell r="B343" t="str">
            <v>LYQ-LY064</v>
          </cell>
        </row>
        <row r="344">
          <cell r="A344" t="str">
            <v>LYQ-LY064-G0-L</v>
          </cell>
          <cell r="B344" t="str">
            <v>LYQ-LY064</v>
          </cell>
        </row>
        <row r="345">
          <cell r="A345" t="str">
            <v>LYQ-LY064-G0-M</v>
          </cell>
          <cell r="B345" t="str">
            <v>LYQ-LY064</v>
          </cell>
        </row>
        <row r="346">
          <cell r="A346" t="str">
            <v>LYQ-LY064-K0-2XL</v>
          </cell>
          <cell r="B346" t="str">
            <v>LYQ-LY064</v>
          </cell>
        </row>
        <row r="347">
          <cell r="A347" t="str">
            <v>LYQ-LY064-K0-3XL</v>
          </cell>
          <cell r="B347" t="str">
            <v>LYQ-LY064</v>
          </cell>
        </row>
        <row r="348">
          <cell r="A348" t="str">
            <v>LYQ-LY064-K0-4XL</v>
          </cell>
          <cell r="B348" t="str">
            <v>LYQ-LY064</v>
          </cell>
        </row>
        <row r="349">
          <cell r="A349" t="str">
            <v>LYQ-LY064-K0-M</v>
          </cell>
          <cell r="B349" t="str">
            <v>LYQ-LY064</v>
          </cell>
        </row>
        <row r="350">
          <cell r="A350" t="str">
            <v>LYQ-LY064-K0-S</v>
          </cell>
          <cell r="B350" t="str">
            <v>LYQ-LY064</v>
          </cell>
        </row>
        <row r="351">
          <cell r="A351" t="str">
            <v>LYQ-LY064-OR-4XL</v>
          </cell>
          <cell r="B351" t="str">
            <v>LYQ-LY064</v>
          </cell>
        </row>
        <row r="352">
          <cell r="A352" t="str">
            <v>LYQ-LY064-OR-M</v>
          </cell>
          <cell r="B352" t="str">
            <v>LYQ-LY064</v>
          </cell>
        </row>
        <row r="353">
          <cell r="A353" t="str">
            <v>LYQ-WH885-ZL-L</v>
          </cell>
          <cell r="B353" t="str">
            <v>LYQ-WH885</v>
          </cell>
        </row>
        <row r="354">
          <cell r="A354" t="str">
            <v>LYQ-ZQ1052-R0-XL</v>
          </cell>
          <cell r="B354" t="str">
            <v>LYQ-ZQ1052</v>
          </cell>
        </row>
        <row r="355">
          <cell r="A355" t="str">
            <v>LYQ-ZQ1117-B0-2XL</v>
          </cell>
          <cell r="B355" t="str">
            <v>LYQ-ZQ1117</v>
          </cell>
        </row>
        <row r="356">
          <cell r="A356" t="str">
            <v>LYQ-ZQ1117-B0-L</v>
          </cell>
          <cell r="B356" t="str">
            <v>LYQ-ZQ1117</v>
          </cell>
        </row>
        <row r="357">
          <cell r="A357" t="str">
            <v>LYQ-ZQ1117-B0-M</v>
          </cell>
          <cell r="B357" t="str">
            <v>LYQ-ZQ1117</v>
          </cell>
        </row>
        <row r="358">
          <cell r="A358" t="str">
            <v>LYQ-ZQ1117-B0-S</v>
          </cell>
          <cell r="B358" t="str">
            <v>LYQ-ZQ1117</v>
          </cell>
        </row>
        <row r="359">
          <cell r="A359" t="str">
            <v>LYQ-ZQ1117-B0-XL</v>
          </cell>
          <cell r="B359" t="str">
            <v>LYQ-ZQ1117</v>
          </cell>
        </row>
        <row r="360">
          <cell r="A360" t="str">
            <v>LYQ-ZQ1117-BD-2XL</v>
          </cell>
          <cell r="B360" t="str">
            <v>LYQ-ZQ1117</v>
          </cell>
        </row>
        <row r="361">
          <cell r="A361" t="str">
            <v>LYQ-ZQ1117-BD-L</v>
          </cell>
          <cell r="B361" t="str">
            <v>LYQ-ZQ1117</v>
          </cell>
        </row>
        <row r="362">
          <cell r="A362" t="str">
            <v>LYQ-ZQ1117-BD-M</v>
          </cell>
          <cell r="B362" t="str">
            <v>LYQ-ZQ1117</v>
          </cell>
        </row>
        <row r="363">
          <cell r="A363" t="str">
            <v>LYQ-ZQ1117-BD-S</v>
          </cell>
          <cell r="B363" t="str">
            <v>LYQ-ZQ1117</v>
          </cell>
        </row>
        <row r="364">
          <cell r="A364" t="str">
            <v>LYQ-ZQ1117-BD-XL</v>
          </cell>
          <cell r="B364" t="str">
            <v>LYQ-ZQ1117</v>
          </cell>
        </row>
        <row r="365">
          <cell r="A365" t="str">
            <v>LYQ-ZQ1117-C0-2XL</v>
          </cell>
          <cell r="B365" t="str">
            <v>LYQ-ZQ1117</v>
          </cell>
        </row>
        <row r="366">
          <cell r="A366" t="str">
            <v>LYQ-ZQ1117-C0-L</v>
          </cell>
          <cell r="B366" t="str">
            <v>LYQ-ZQ1117</v>
          </cell>
        </row>
        <row r="367">
          <cell r="A367" t="str">
            <v>LYQ-ZQ1117-C0-M</v>
          </cell>
          <cell r="B367" t="str">
            <v>LYQ-ZQ1117</v>
          </cell>
        </row>
        <row r="368">
          <cell r="A368" t="str">
            <v>LYQ-ZQ1117-C0-S</v>
          </cell>
          <cell r="B368" t="str">
            <v>LYQ-ZQ1117</v>
          </cell>
        </row>
        <row r="369">
          <cell r="A369" t="str">
            <v>LYQ-ZQ1117-C0-XL</v>
          </cell>
          <cell r="B369" t="str">
            <v>LYQ-ZQ1117</v>
          </cell>
        </row>
        <row r="370">
          <cell r="A370" t="str">
            <v>LYQ-ZQ1117-E0-2XL</v>
          </cell>
          <cell r="B370" t="str">
            <v>LYQ-ZQ1117</v>
          </cell>
        </row>
        <row r="371">
          <cell r="A371" t="str">
            <v>LYQ-ZQ1117-E0-L</v>
          </cell>
          <cell r="B371" t="str">
            <v>LYQ-ZQ1117</v>
          </cell>
        </row>
        <row r="372">
          <cell r="A372" t="str">
            <v>LYQ-ZQ1117-E0-M</v>
          </cell>
          <cell r="B372" t="str">
            <v>LYQ-ZQ1117</v>
          </cell>
        </row>
        <row r="373">
          <cell r="A373" t="str">
            <v>LYQ-ZQ1117-E0-S</v>
          </cell>
          <cell r="B373" t="str">
            <v>LYQ-ZQ1117</v>
          </cell>
        </row>
        <row r="374">
          <cell r="A374" t="str">
            <v>LYQ-ZQ1117-E0-XL</v>
          </cell>
          <cell r="B374" t="str">
            <v>LYQ-ZQ1117</v>
          </cell>
        </row>
        <row r="375">
          <cell r="A375" t="str">
            <v>LYQ-ZQ1117-G7-2XL</v>
          </cell>
          <cell r="B375" t="str">
            <v>LYQ-ZQ1117</v>
          </cell>
        </row>
        <row r="376">
          <cell r="A376" t="str">
            <v>LYQ-ZQ1117-G7-L</v>
          </cell>
          <cell r="B376" t="str">
            <v>LYQ-ZQ1117</v>
          </cell>
        </row>
        <row r="377">
          <cell r="A377" t="str">
            <v>LYQ-ZQ1117-G7-M</v>
          </cell>
          <cell r="B377" t="str">
            <v>LYQ-ZQ1117</v>
          </cell>
        </row>
        <row r="378">
          <cell r="A378" t="str">
            <v>LYQ-ZQ1117-G7-S</v>
          </cell>
          <cell r="B378" t="str">
            <v>LYQ-ZQ1117</v>
          </cell>
        </row>
        <row r="379">
          <cell r="A379" t="str">
            <v>LYQ-ZQ1117-G7-XL</v>
          </cell>
          <cell r="B379" t="str">
            <v>LYQ-ZQ1117</v>
          </cell>
        </row>
        <row r="380">
          <cell r="A380" t="str">
            <v>LYQ-ZQ1117-K0-2XL</v>
          </cell>
          <cell r="B380" t="str">
            <v>LYQ-ZQ1117</v>
          </cell>
        </row>
        <row r="381">
          <cell r="A381" t="str">
            <v>LYQ-ZQ1117-K0-L</v>
          </cell>
          <cell r="B381" t="str">
            <v>LYQ-ZQ1117</v>
          </cell>
        </row>
        <row r="382">
          <cell r="A382" t="str">
            <v>LYQ-ZQ1117-K0-M</v>
          </cell>
          <cell r="B382" t="str">
            <v>LYQ-ZQ1117</v>
          </cell>
        </row>
        <row r="383">
          <cell r="A383" t="str">
            <v>LYQ-ZQ1117-K0-S</v>
          </cell>
          <cell r="B383" t="str">
            <v>LYQ-ZQ1117</v>
          </cell>
        </row>
        <row r="384">
          <cell r="A384" t="str">
            <v>LYQ-ZQ1117-K0-XL</v>
          </cell>
          <cell r="B384" t="str">
            <v>LYQ-ZQ1117</v>
          </cell>
        </row>
        <row r="385">
          <cell r="A385" t="str">
            <v>LYQ-ZQ1117-KQ-2XL</v>
          </cell>
          <cell r="B385" t="str">
            <v>LYQ-ZQ1117</v>
          </cell>
        </row>
        <row r="386">
          <cell r="A386" t="str">
            <v>LYQ-ZQ1117-KQ-L</v>
          </cell>
          <cell r="B386" t="str">
            <v>LYQ-ZQ1117</v>
          </cell>
        </row>
        <row r="387">
          <cell r="A387" t="str">
            <v>LYQ-ZQ1117-KQ-M</v>
          </cell>
          <cell r="B387" t="str">
            <v>LYQ-ZQ1117</v>
          </cell>
        </row>
        <row r="388">
          <cell r="A388" t="str">
            <v>LYQ-ZQ1117-KQ-S</v>
          </cell>
          <cell r="B388" t="str">
            <v>LYQ-ZQ1117</v>
          </cell>
        </row>
        <row r="389">
          <cell r="A389" t="str">
            <v>LYQ-ZQ1117-KQ-XL</v>
          </cell>
          <cell r="B389" t="str">
            <v>LYQ-ZQ1117</v>
          </cell>
        </row>
        <row r="390">
          <cell r="A390" t="str">
            <v>LYQ-ZQ1428-R0-M</v>
          </cell>
          <cell r="B390" t="str">
            <v>LYQ-ZQ1428</v>
          </cell>
        </row>
        <row r="391">
          <cell r="A391" t="str">
            <v>LYQ-ZQ1428-Y0-S</v>
          </cell>
          <cell r="B391" t="str">
            <v>LYQ-ZQ1428</v>
          </cell>
        </row>
        <row r="392">
          <cell r="A392" t="str">
            <v>LYQ-ZQ1669-B0-L</v>
          </cell>
          <cell r="B392" t="str">
            <v>LYQ-ZQ1669</v>
          </cell>
        </row>
        <row r="393">
          <cell r="A393" t="str">
            <v>LYQ-ZQ1669-B0-M</v>
          </cell>
          <cell r="B393" t="str">
            <v>LYQ-ZQ1669</v>
          </cell>
        </row>
        <row r="394">
          <cell r="A394" t="str">
            <v>LYQ-ZQ1669-B0-S</v>
          </cell>
          <cell r="B394" t="str">
            <v>LYQ-ZQ1669</v>
          </cell>
        </row>
        <row r="395">
          <cell r="A395" t="str">
            <v>LYQ-ZQ1669-B0-XL</v>
          </cell>
          <cell r="B395" t="str">
            <v>LYQ-ZQ1669</v>
          </cell>
        </row>
        <row r="396">
          <cell r="A396" t="str">
            <v>LYQ-ZQ1880-R0-L</v>
          </cell>
          <cell r="B396" t="str">
            <v>LYQ-ZQ1880</v>
          </cell>
        </row>
        <row r="397">
          <cell r="A397" t="str">
            <v>LYQ-ZQ1880-R0-M</v>
          </cell>
          <cell r="B397" t="str">
            <v>LYQ-ZQ1880</v>
          </cell>
        </row>
        <row r="398">
          <cell r="A398" t="str">
            <v>LYQ-ZQ1880-R0-S</v>
          </cell>
          <cell r="B398" t="str">
            <v>LYQ-ZQ1880</v>
          </cell>
        </row>
        <row r="399">
          <cell r="A399" t="str">
            <v>LYQ-ZQ1880-R0-XL</v>
          </cell>
          <cell r="B399" t="str">
            <v>LYQ-ZQ1880</v>
          </cell>
        </row>
        <row r="400">
          <cell r="A400" t="str">
            <v>LYQ-ZQ1880-Y0-M</v>
          </cell>
          <cell r="B400" t="str">
            <v>LYQ-ZQ1880</v>
          </cell>
        </row>
        <row r="401">
          <cell r="A401" t="str">
            <v>LYQ-ZQ1880-ZL-L</v>
          </cell>
          <cell r="B401" t="str">
            <v>LYQ-ZQ1880</v>
          </cell>
        </row>
        <row r="402">
          <cell r="A402" t="str">
            <v>LYQ-ZQ1880-ZL-M</v>
          </cell>
          <cell r="B402" t="str">
            <v>LYQ-ZQ1880</v>
          </cell>
        </row>
        <row r="403">
          <cell r="A403" t="str">
            <v>LYQ-ZQ1880-ZL-S</v>
          </cell>
          <cell r="B403" t="str">
            <v>LYQ-ZQ1880</v>
          </cell>
        </row>
        <row r="404">
          <cell r="A404" t="str">
            <v>LYQ-ZQ1880-ZL-XL</v>
          </cell>
          <cell r="B404" t="str">
            <v>LYQ-ZQ1880</v>
          </cell>
        </row>
        <row r="405">
          <cell r="A405" t="str">
            <v>LYQ-ZQ2973-BD-2XL</v>
          </cell>
          <cell r="B405" t="str">
            <v>LYQ-ZQ2973</v>
          </cell>
        </row>
        <row r="406">
          <cell r="A406" t="str">
            <v>LYQ-ZQ2973-BD-L</v>
          </cell>
          <cell r="B406" t="str">
            <v>LYQ-ZQ2973</v>
          </cell>
        </row>
        <row r="407">
          <cell r="A407" t="str">
            <v>LYQ-ZQ2973-BD-M</v>
          </cell>
          <cell r="B407" t="str">
            <v>LYQ-ZQ2973</v>
          </cell>
        </row>
        <row r="408">
          <cell r="A408" t="str">
            <v>LYQ-ZQ2973-BD-S</v>
          </cell>
          <cell r="B408" t="str">
            <v>LYQ-ZQ2973</v>
          </cell>
        </row>
        <row r="409">
          <cell r="A409" t="str">
            <v>LYQ-ZQ2973-BD-XL</v>
          </cell>
          <cell r="B409" t="str">
            <v>LYQ-ZQ2973</v>
          </cell>
        </row>
        <row r="410">
          <cell r="A410" t="str">
            <v>LYQ-ZQ2973-E0-2XL</v>
          </cell>
          <cell r="B410" t="str">
            <v>LYQ-ZQ2973</v>
          </cell>
        </row>
        <row r="411">
          <cell r="A411" t="str">
            <v>LYQ-ZQ2973-E0-L</v>
          </cell>
          <cell r="B411" t="str">
            <v>LYQ-ZQ2973</v>
          </cell>
        </row>
        <row r="412">
          <cell r="A412" t="str">
            <v>LYQ-ZQ2973-E0-M</v>
          </cell>
          <cell r="B412" t="str">
            <v>LYQ-ZQ2973</v>
          </cell>
        </row>
        <row r="413">
          <cell r="A413" t="str">
            <v>LYQ-ZQ2973-E0-S</v>
          </cell>
          <cell r="B413" t="str">
            <v>LYQ-ZQ2973</v>
          </cell>
        </row>
        <row r="414">
          <cell r="A414" t="str">
            <v>LYQ-ZQ2973-E0-XL</v>
          </cell>
          <cell r="B414" t="str">
            <v>LYQ-ZQ2973</v>
          </cell>
        </row>
        <row r="415">
          <cell r="A415" t="str">
            <v>LYQ-ZQ2973-G0-2XL</v>
          </cell>
          <cell r="B415" t="str">
            <v>LYQ-ZQ2973</v>
          </cell>
        </row>
        <row r="416">
          <cell r="A416" t="str">
            <v>LYQ-ZQ2973-G0-L</v>
          </cell>
          <cell r="B416" t="str">
            <v>LYQ-ZQ2973</v>
          </cell>
        </row>
        <row r="417">
          <cell r="A417" t="str">
            <v>LYQ-ZQ2973-G0-M</v>
          </cell>
          <cell r="B417" t="str">
            <v>LYQ-ZQ2973</v>
          </cell>
        </row>
        <row r="418">
          <cell r="A418" t="str">
            <v>LYQ-ZQ2973-G0-S</v>
          </cell>
          <cell r="B418" t="str">
            <v>LYQ-ZQ2973</v>
          </cell>
        </row>
        <row r="419">
          <cell r="A419" t="str">
            <v>LYQ-ZQ2973-G0-XL</v>
          </cell>
          <cell r="B419" t="str">
            <v>LYQ-ZQ2973</v>
          </cell>
        </row>
        <row r="420">
          <cell r="A420" t="str">
            <v>LYQ-ZQ2973-K0-2XL</v>
          </cell>
          <cell r="B420" t="str">
            <v>LYQ-ZQ2973</v>
          </cell>
        </row>
        <row r="421">
          <cell r="A421" t="str">
            <v>LYQ-ZQ2973-K0-L</v>
          </cell>
          <cell r="B421" t="str">
            <v>LYQ-ZQ2973</v>
          </cell>
        </row>
        <row r="422">
          <cell r="A422" t="str">
            <v>LYQ-ZQ2973-K0-M</v>
          </cell>
          <cell r="B422" t="str">
            <v>LYQ-ZQ2973</v>
          </cell>
        </row>
        <row r="423">
          <cell r="A423" t="str">
            <v>LYQ-ZQ2973-K0-S</v>
          </cell>
          <cell r="B423" t="str">
            <v>LYQ-ZQ2973</v>
          </cell>
        </row>
        <row r="424">
          <cell r="A424" t="str">
            <v>LYQ-ZQ2973-K0-XL</v>
          </cell>
          <cell r="B424" t="str">
            <v>LYQ-ZQ2973</v>
          </cell>
        </row>
        <row r="425">
          <cell r="A425" t="str">
            <v>LYQ-ZQ2973-KQ-2XL</v>
          </cell>
          <cell r="B425" t="str">
            <v>LYQ-ZQ2973</v>
          </cell>
        </row>
        <row r="426">
          <cell r="A426" t="str">
            <v>LYQ-ZQ2973-KQ-L</v>
          </cell>
          <cell r="B426" t="str">
            <v>LYQ-ZQ2973</v>
          </cell>
        </row>
        <row r="427">
          <cell r="A427" t="str">
            <v>LYQ-ZQ2973-KQ-M</v>
          </cell>
          <cell r="B427" t="str">
            <v>LYQ-ZQ2973</v>
          </cell>
        </row>
        <row r="428">
          <cell r="A428" t="str">
            <v>LYQ-ZQ2973-KQ-S</v>
          </cell>
          <cell r="B428" t="str">
            <v>LYQ-ZQ2973</v>
          </cell>
        </row>
        <row r="429">
          <cell r="A429" t="str">
            <v>LYQ-ZQ2973-KQ-XL</v>
          </cell>
          <cell r="B429" t="str">
            <v>LYQ-ZQ2973</v>
          </cell>
        </row>
        <row r="430">
          <cell r="A430" t="str">
            <v>LYQ-ZQ2973-P0-2XL</v>
          </cell>
          <cell r="B430" t="str">
            <v>LYQ-ZQ2973</v>
          </cell>
        </row>
        <row r="431">
          <cell r="A431" t="str">
            <v>LYQ-ZQ2973-P0-L</v>
          </cell>
          <cell r="B431" t="str">
            <v>LYQ-ZQ2973</v>
          </cell>
        </row>
        <row r="432">
          <cell r="A432" t="str">
            <v>LYQ-ZQ2973-P0-S</v>
          </cell>
          <cell r="B432" t="str">
            <v>LYQ-ZQ2973</v>
          </cell>
        </row>
        <row r="433">
          <cell r="A433" t="str">
            <v>LYQ-ZQ2973-P0-XL</v>
          </cell>
          <cell r="B433" t="str">
            <v>LYQ-ZQ2973</v>
          </cell>
        </row>
        <row r="434">
          <cell r="A434" t="str">
            <v>LYQ-ZQ2973-W1-2XL</v>
          </cell>
          <cell r="B434" t="str">
            <v>LYQ-ZQ2973</v>
          </cell>
        </row>
        <row r="435">
          <cell r="A435" t="str">
            <v>LYQ-ZQ2973-W1-L</v>
          </cell>
          <cell r="B435" t="str">
            <v>LYQ-ZQ2973</v>
          </cell>
        </row>
        <row r="436">
          <cell r="A436" t="str">
            <v>LYQ-ZQ2973-W1-M</v>
          </cell>
          <cell r="B436" t="str">
            <v>LYQ-ZQ2973</v>
          </cell>
        </row>
        <row r="437">
          <cell r="A437" t="str">
            <v>LYQ-ZQ2973-W1-S</v>
          </cell>
          <cell r="B437" t="str">
            <v>LYQ-ZQ2973</v>
          </cell>
        </row>
        <row r="438">
          <cell r="A438" t="str">
            <v>LYQ-ZQ2973-W1-XL</v>
          </cell>
          <cell r="B438" t="str">
            <v>LYQ-ZQ2973</v>
          </cell>
        </row>
        <row r="439">
          <cell r="A439" t="str">
            <v>LYQ-ZQ2973-ZL-2XL</v>
          </cell>
          <cell r="B439" t="str">
            <v>LYQ-ZQ2973</v>
          </cell>
        </row>
        <row r="440">
          <cell r="A440" t="str">
            <v>LYQ-ZQ2973-ZL-L</v>
          </cell>
          <cell r="B440" t="str">
            <v>LYQ-ZQ2973</v>
          </cell>
        </row>
        <row r="441">
          <cell r="A441" t="str">
            <v>LYQ-ZQ2973-ZL-M</v>
          </cell>
          <cell r="B441" t="str">
            <v>LYQ-ZQ2973</v>
          </cell>
        </row>
        <row r="442">
          <cell r="A442" t="str">
            <v>LYQ-ZQ2973-ZL-S</v>
          </cell>
          <cell r="B442" t="str">
            <v>LYQ-ZQ2973</v>
          </cell>
        </row>
        <row r="443">
          <cell r="A443" t="str">
            <v>LYQ-ZQ2973-ZL-XL</v>
          </cell>
          <cell r="B443" t="str">
            <v>LYQ-ZQ2973</v>
          </cell>
        </row>
        <row r="444">
          <cell r="A444" t="str">
            <v>LYQ-ZQ2W00-K0-L</v>
          </cell>
          <cell r="B444" t="str">
            <v>LYQ-ZQ2W00</v>
          </cell>
        </row>
        <row r="445">
          <cell r="A445" t="str">
            <v>LYQ-ZQ2W00-K0-M</v>
          </cell>
          <cell r="B445" t="str">
            <v>LYQ-ZQ2W00</v>
          </cell>
        </row>
        <row r="446">
          <cell r="A446" t="str">
            <v>LYQ-ZQ2W00-K0-XL</v>
          </cell>
          <cell r="B446" t="str">
            <v>LYQ-ZQ2W00</v>
          </cell>
        </row>
        <row r="447">
          <cell r="A447" t="str">
            <v>LYQ-ZQ3550-E0-2X</v>
          </cell>
          <cell r="B447" t="str">
            <v>LYQ-ZQ3550</v>
          </cell>
        </row>
        <row r="448">
          <cell r="A448" t="str">
            <v>LYQ-ZQ3550-E0-3X</v>
          </cell>
          <cell r="B448" t="str">
            <v>LYQ-ZQ3550</v>
          </cell>
        </row>
        <row r="449">
          <cell r="A449" t="str">
            <v>LYQ-ZQ3550-E0-4X</v>
          </cell>
          <cell r="B449" t="str">
            <v>LYQ-ZQ3550</v>
          </cell>
        </row>
        <row r="450">
          <cell r="A450" t="str">
            <v>LYQ-ZQ3550-E0-5X</v>
          </cell>
          <cell r="B450" t="str">
            <v>LYQ-ZQ3550</v>
          </cell>
        </row>
        <row r="451">
          <cell r="A451" t="str">
            <v>LYQ-ZQ3550-E0-L</v>
          </cell>
          <cell r="B451" t="str">
            <v>LYQ-ZQ3550</v>
          </cell>
        </row>
        <row r="452">
          <cell r="A452" t="str">
            <v>LYQ-ZQ3550-E0-M</v>
          </cell>
          <cell r="B452" t="str">
            <v>LYQ-ZQ3550</v>
          </cell>
        </row>
        <row r="453">
          <cell r="A453" t="str">
            <v>LYQ-ZQ3550-E0-S</v>
          </cell>
          <cell r="B453" t="str">
            <v>LYQ-ZQ3550</v>
          </cell>
        </row>
        <row r="454">
          <cell r="A454" t="str">
            <v>LYQ-ZQ3550-E0-XL</v>
          </cell>
          <cell r="B454" t="str">
            <v>LYQ-ZQ3550</v>
          </cell>
        </row>
        <row r="455">
          <cell r="A455" t="str">
            <v>LYQ-ZQ3550-PI-2X</v>
          </cell>
          <cell r="B455" t="str">
            <v>LYQ-ZQ3550</v>
          </cell>
        </row>
        <row r="456">
          <cell r="A456" t="str">
            <v>LYQ-ZQ3550-PI-3X</v>
          </cell>
          <cell r="B456" t="str">
            <v>LYQ-ZQ3550</v>
          </cell>
        </row>
        <row r="457">
          <cell r="A457" t="str">
            <v>LYQ-ZQ3550-PI-4X</v>
          </cell>
          <cell r="B457" t="str">
            <v>LYQ-ZQ3550</v>
          </cell>
        </row>
        <row r="458">
          <cell r="A458" t="str">
            <v>LYQ-ZQ3550-PI-5X</v>
          </cell>
          <cell r="B458" t="str">
            <v>LYQ-ZQ3550</v>
          </cell>
        </row>
        <row r="459">
          <cell r="A459" t="str">
            <v>LYQ-ZQ3550-PI-L</v>
          </cell>
          <cell r="B459" t="str">
            <v>LYQ-ZQ3550</v>
          </cell>
        </row>
        <row r="460">
          <cell r="A460" t="str">
            <v>LYQ-ZQ3550-PI-M</v>
          </cell>
          <cell r="B460" t="str">
            <v>LYQ-ZQ3550</v>
          </cell>
        </row>
        <row r="461">
          <cell r="A461" t="str">
            <v>LYQ-ZQ3550-PI-S</v>
          </cell>
          <cell r="B461" t="str">
            <v>LYQ-ZQ3550</v>
          </cell>
        </row>
        <row r="462">
          <cell r="A462" t="str">
            <v>LYQ-ZQ3550-PI-XL</v>
          </cell>
          <cell r="B462" t="str">
            <v>LYQ-ZQ3550</v>
          </cell>
        </row>
        <row r="463">
          <cell r="A463" t="str">
            <v>LYQ-ZQ456-E0-S</v>
          </cell>
          <cell r="B463" t="str">
            <v>LYQ-ZQ456</v>
          </cell>
        </row>
        <row r="464">
          <cell r="A464" t="str">
            <v>LYQ-ZQ6044-B0-S</v>
          </cell>
          <cell r="B464" t="str">
            <v>LYQ-ZQ6044</v>
          </cell>
        </row>
        <row r="465">
          <cell r="A465" t="str">
            <v>LYQ-ZQ7900-W0-L</v>
          </cell>
          <cell r="B465" t="str">
            <v>LYQ-ZQ7900</v>
          </cell>
        </row>
        <row r="466">
          <cell r="A466" t="str">
            <v>LYQ-ZQ7900-W0-S</v>
          </cell>
          <cell r="B466" t="str">
            <v>LYQ-ZQ7900</v>
          </cell>
        </row>
        <row r="467">
          <cell r="A467" t="str">
            <v>LYQ-ZQ7900-W0-XL</v>
          </cell>
          <cell r="B467" t="str">
            <v>LYQ-ZQ7900</v>
          </cell>
        </row>
        <row r="468">
          <cell r="A468" t="str">
            <v>LYQ-ZQ7900-W0-XXL</v>
          </cell>
          <cell r="B468" t="str">
            <v>LYQ-ZQ7900</v>
          </cell>
        </row>
        <row r="469">
          <cell r="A469" t="str">
            <v>LYQ-ZQ8200-FB-L</v>
          </cell>
          <cell r="B469" t="str">
            <v>LYQ-ZQ8200</v>
          </cell>
        </row>
        <row r="470">
          <cell r="A470" t="str">
            <v>LYQ-ZQ8200-FB-M</v>
          </cell>
          <cell r="B470" t="str">
            <v>LYQ-ZQ8200</v>
          </cell>
        </row>
        <row r="471">
          <cell r="A471" t="str">
            <v>LYQ-ZQ8200-FB-S</v>
          </cell>
          <cell r="B471" t="str">
            <v>LYQ-ZQ8200</v>
          </cell>
        </row>
        <row r="472">
          <cell r="A472" t="str">
            <v>LYQ-ZQ8200-FB-XL</v>
          </cell>
          <cell r="B472" t="str">
            <v>LYQ-ZQ8200</v>
          </cell>
        </row>
        <row r="473">
          <cell r="A473" t="str">
            <v>LYQ-ZQ8200-K0-L</v>
          </cell>
          <cell r="B473" t="str">
            <v>LYQ-ZQ8200</v>
          </cell>
        </row>
        <row r="474">
          <cell r="A474" t="str">
            <v>LYQ-ZQ8200-K0-M</v>
          </cell>
          <cell r="B474" t="str">
            <v>LYQ-ZQ8200</v>
          </cell>
        </row>
        <row r="475">
          <cell r="A475" t="str">
            <v>LYQ-ZQ8200-K0-S</v>
          </cell>
          <cell r="B475" t="str">
            <v>LYQ-ZQ8200</v>
          </cell>
        </row>
        <row r="476">
          <cell r="A476" t="str">
            <v>LYQ-ZQ8200-K0-XL</v>
          </cell>
          <cell r="B476" t="str">
            <v>LYQ-ZQ8200</v>
          </cell>
        </row>
        <row r="477">
          <cell r="A477" t="str">
            <v>LYQ-ZQ8200-P0-L</v>
          </cell>
          <cell r="B477" t="str">
            <v>LYQ-ZQ8200</v>
          </cell>
        </row>
        <row r="478">
          <cell r="A478" t="str">
            <v>LYQ-ZQ8200-P0-M</v>
          </cell>
          <cell r="B478" t="str">
            <v>LYQ-ZQ8200</v>
          </cell>
        </row>
        <row r="479">
          <cell r="A479" t="str">
            <v>LYQ-ZQ8200-P0-S</v>
          </cell>
          <cell r="B479" t="str">
            <v>LYQ-ZQ8200</v>
          </cell>
        </row>
        <row r="480">
          <cell r="A480" t="str">
            <v>LYQ-ZQ8200-P0-XL</v>
          </cell>
          <cell r="B480" t="str">
            <v>LYQ-ZQ8200</v>
          </cell>
        </row>
        <row r="481">
          <cell r="A481" t="str">
            <v>LYQ-ZQC910-K0-XL</v>
          </cell>
          <cell r="B481" t="str">
            <v>LYQ-ZQC910</v>
          </cell>
        </row>
        <row r="482">
          <cell r="A482" t="str">
            <v>LYQ-ZQD270-K0-L</v>
          </cell>
          <cell r="B482" t="str">
            <v>LYQ-ZQD270</v>
          </cell>
        </row>
        <row r="483">
          <cell r="A483" t="str">
            <v>LYQ-ZQD270-K0-XL</v>
          </cell>
          <cell r="B483" t="str">
            <v>LYQ-ZQD270</v>
          </cell>
        </row>
        <row r="484">
          <cell r="A484" t="str">
            <v>LYQ-ZQD270-P0-S</v>
          </cell>
          <cell r="B484" t="str">
            <v>LYQ-ZQD270</v>
          </cell>
        </row>
        <row r="485">
          <cell r="A485" t="str">
            <v>LYQ-ZQD270-P0-XL</v>
          </cell>
          <cell r="B485" t="str">
            <v>LYQ-ZQD270</v>
          </cell>
        </row>
        <row r="486">
          <cell r="A486" t="str">
            <v>LYQ-ZQD270-W0-S</v>
          </cell>
          <cell r="B486" t="str">
            <v>LYQ-ZQD270</v>
          </cell>
        </row>
        <row r="487">
          <cell r="A487" t="str">
            <v>LYQ-ZQD390-B0-L</v>
          </cell>
          <cell r="B487" t="str">
            <v>LYQ-ZQD390</v>
          </cell>
        </row>
        <row r="488">
          <cell r="A488" t="str">
            <v>LYQ-ZQD390-E0-S</v>
          </cell>
          <cell r="B488" t="str">
            <v>LYQ-ZQD390</v>
          </cell>
        </row>
        <row r="489">
          <cell r="A489" t="str">
            <v>LYQ-ZQD390-G0-S</v>
          </cell>
          <cell r="B489" t="str">
            <v>LYQ-ZQD390</v>
          </cell>
        </row>
        <row r="490">
          <cell r="A490" t="str">
            <v>LYQ-ZQD390-K0-S</v>
          </cell>
          <cell r="B490" t="str">
            <v>LYQ-ZQD390</v>
          </cell>
        </row>
        <row r="491">
          <cell r="A491" t="str">
            <v>LYQ-ZQLC00-K0-XL</v>
          </cell>
          <cell r="B491" t="str">
            <v>LYQ-ZQLC00</v>
          </cell>
        </row>
        <row r="492">
          <cell r="A492" t="str">
            <v>LYQ-ZQLP01-P0-M</v>
          </cell>
          <cell r="B492" t="str">
            <v>LYQ-ZQLP01</v>
          </cell>
        </row>
        <row r="493">
          <cell r="A493" t="str">
            <v>LYQ-ZQLP01-P0-S</v>
          </cell>
          <cell r="B493" t="str">
            <v>LYQ-ZQLP01</v>
          </cell>
        </row>
        <row r="494">
          <cell r="A494" t="str">
            <v>LYQ-ZQMB170005-K0-2X</v>
          </cell>
          <cell r="B494" t="str">
            <v>LYQ-ZQMB170005</v>
          </cell>
        </row>
        <row r="495">
          <cell r="A495" t="str">
            <v>LYQ-ZQMB170005-K0-XL</v>
          </cell>
          <cell r="B495" t="str">
            <v>LYQ-ZQMB170005</v>
          </cell>
        </row>
        <row r="496">
          <cell r="A496" t="str">
            <v>LYQ-ZQMB3811-E0-2X</v>
          </cell>
          <cell r="B496" t="str">
            <v>LYQ-ZQMB3811</v>
          </cell>
        </row>
        <row r="497">
          <cell r="A497" t="str">
            <v>LYQ-ZQMB3811-E0-3X</v>
          </cell>
          <cell r="B497" t="str">
            <v>LYQ-ZQMB3811</v>
          </cell>
        </row>
        <row r="498">
          <cell r="A498" t="str">
            <v>LYQ-ZQMB3811-E0-5X</v>
          </cell>
          <cell r="B498" t="str">
            <v>LYQ-ZQMB3811</v>
          </cell>
        </row>
        <row r="499">
          <cell r="A499" t="str">
            <v>LYQ-ZQMB3811-E0-6X</v>
          </cell>
          <cell r="B499" t="str">
            <v>LYQ-ZQMB3811</v>
          </cell>
        </row>
        <row r="500">
          <cell r="A500" t="str">
            <v>LYQ-ZQMB3811-E0-XL</v>
          </cell>
          <cell r="B500" t="str">
            <v>LYQ-ZQMB3811</v>
          </cell>
        </row>
        <row r="501">
          <cell r="A501" t="str">
            <v>LYQ-ZQMB3811-K0-3X</v>
          </cell>
          <cell r="B501" t="str">
            <v>LYQ-ZQMB3811</v>
          </cell>
        </row>
        <row r="502">
          <cell r="A502" t="str">
            <v>LYQ-ZQMB3811-K0-4X</v>
          </cell>
          <cell r="B502" t="str">
            <v>LYQ-ZQMB3811</v>
          </cell>
        </row>
        <row r="503">
          <cell r="A503" t="str">
            <v>LYQ-ZQPC01-B0-L</v>
          </cell>
          <cell r="B503" t="str">
            <v>LYQ-ZQPC01</v>
          </cell>
        </row>
        <row r="504">
          <cell r="A504" t="str">
            <v>LYQ-ZQPC01-B0-M</v>
          </cell>
          <cell r="B504" t="str">
            <v>LYQ-ZQPC01</v>
          </cell>
        </row>
        <row r="505">
          <cell r="A505" t="str">
            <v>LYQ-ZQPC01-B0-S</v>
          </cell>
          <cell r="B505" t="str">
            <v>LYQ-ZQPC01</v>
          </cell>
        </row>
        <row r="506">
          <cell r="A506" t="str">
            <v>LYQ-ZQPC01-B0-XL</v>
          </cell>
          <cell r="B506" t="str">
            <v>LYQ-ZQPC01</v>
          </cell>
        </row>
        <row r="507">
          <cell r="A507" t="str">
            <v>LYQ-ZQPC01-B0-XXL</v>
          </cell>
          <cell r="B507" t="str">
            <v>LYQ-ZQPC01</v>
          </cell>
        </row>
        <row r="508">
          <cell r="A508" t="str">
            <v>LYQ-ZQPC01-BD-L</v>
          </cell>
          <cell r="B508" t="str">
            <v>LYQ-ZQPC01</v>
          </cell>
        </row>
        <row r="509">
          <cell r="A509" t="str">
            <v>LYQ-ZQPC01-BD-M</v>
          </cell>
          <cell r="B509" t="str">
            <v>LYQ-ZQPC01</v>
          </cell>
        </row>
        <row r="510">
          <cell r="A510" t="str">
            <v>LYQ-ZQPC01-BD-S</v>
          </cell>
          <cell r="B510" t="str">
            <v>LYQ-ZQPC01</v>
          </cell>
        </row>
        <row r="511">
          <cell r="A511" t="str">
            <v>LYQ-ZQPC01-BD-XL</v>
          </cell>
          <cell r="B511" t="str">
            <v>LYQ-ZQPC01</v>
          </cell>
        </row>
        <row r="512">
          <cell r="A512" t="str">
            <v>LYQ-ZQPC01-BD-XXL</v>
          </cell>
          <cell r="B512" t="str">
            <v>LYQ-ZQPC01</v>
          </cell>
        </row>
        <row r="513">
          <cell r="A513" t="str">
            <v>LYQ-ZQPC01-E0-L</v>
          </cell>
          <cell r="B513" t="str">
            <v>LYQ-ZQPC01</v>
          </cell>
        </row>
        <row r="514">
          <cell r="A514" t="str">
            <v>LYQ-ZQPC01-E0-M</v>
          </cell>
          <cell r="B514" t="str">
            <v>LYQ-ZQPC01</v>
          </cell>
        </row>
        <row r="515">
          <cell r="A515" t="str">
            <v>LYQ-ZQPC01-E0-S</v>
          </cell>
          <cell r="B515" t="str">
            <v>LYQ-ZQPC01</v>
          </cell>
        </row>
        <row r="516">
          <cell r="A516" t="str">
            <v>LYQ-ZQPC01-E0-XL</v>
          </cell>
          <cell r="B516" t="str">
            <v>LYQ-ZQPC01</v>
          </cell>
        </row>
        <row r="517">
          <cell r="A517" t="str">
            <v>LYQ-ZQPC01-E0-XXL</v>
          </cell>
          <cell r="B517" t="str">
            <v>LYQ-ZQPC01</v>
          </cell>
        </row>
        <row r="518">
          <cell r="A518" t="str">
            <v>LYQ-ZQPC01-P0-L</v>
          </cell>
          <cell r="B518" t="str">
            <v>LYQ-ZQPC01</v>
          </cell>
        </row>
        <row r="519">
          <cell r="A519" t="str">
            <v>LYQ-ZQPC01-P0-M</v>
          </cell>
          <cell r="B519" t="str">
            <v>LYQ-ZQPC01</v>
          </cell>
        </row>
        <row r="520">
          <cell r="A520" t="str">
            <v>LYQ-ZQPC01-P0-S</v>
          </cell>
          <cell r="B520" t="str">
            <v>LYQ-ZQPC01</v>
          </cell>
        </row>
        <row r="521">
          <cell r="A521" t="str">
            <v>LYQ-ZQPC01-P0-XL</v>
          </cell>
          <cell r="B521" t="str">
            <v>LYQ-ZQPC01</v>
          </cell>
        </row>
        <row r="522">
          <cell r="A522" t="str">
            <v>LYQ-ZQPC01-P0-XXL</v>
          </cell>
          <cell r="B522" t="str">
            <v>LYQ-ZQPC01</v>
          </cell>
        </row>
        <row r="523">
          <cell r="A523" t="str">
            <v>LYQ-ZQPC01-ZL-L</v>
          </cell>
          <cell r="B523" t="str">
            <v>LYQ-ZQPC01</v>
          </cell>
        </row>
        <row r="524">
          <cell r="A524" t="str">
            <v>LYQ-ZQPC01-ZL-M</v>
          </cell>
          <cell r="B524" t="str">
            <v>LYQ-ZQPC01</v>
          </cell>
        </row>
        <row r="525">
          <cell r="A525" t="str">
            <v>LYQ-ZQPC01-ZL-XL</v>
          </cell>
          <cell r="B525" t="str">
            <v>LYQ-ZQPC01</v>
          </cell>
        </row>
        <row r="526">
          <cell r="A526" t="str">
            <v>LYQ-ZQPC01-ZL-XXL</v>
          </cell>
          <cell r="B526" t="str">
            <v>LYQ-ZQPC01</v>
          </cell>
        </row>
        <row r="527">
          <cell r="A527" t="str">
            <v>LYQ-ZQS1741-G7-L</v>
          </cell>
          <cell r="B527" t="str">
            <v>LYQ-ZQS1741</v>
          </cell>
        </row>
        <row r="528">
          <cell r="A528" t="str">
            <v>LYQ-ZQS1741-G7-M</v>
          </cell>
          <cell r="B528" t="str">
            <v>LYQ-ZQS1741</v>
          </cell>
        </row>
        <row r="529">
          <cell r="A529" t="str">
            <v>LYQ-ZQS1741-G7-S</v>
          </cell>
          <cell r="B529" t="str">
            <v>LYQ-ZQS1741</v>
          </cell>
        </row>
        <row r="530">
          <cell r="A530" t="str">
            <v>LYQ-ZQS1741-G7-XL</v>
          </cell>
          <cell r="B530" t="str">
            <v>LYQ-ZQS1741</v>
          </cell>
        </row>
        <row r="531">
          <cell r="A531" t="str">
            <v>LYQ-ZQS1741-K0-L</v>
          </cell>
          <cell r="B531" t="str">
            <v>LYQ-ZQS1741</v>
          </cell>
        </row>
        <row r="532">
          <cell r="A532" t="str">
            <v>LYQ-ZQS1741-K0-M</v>
          </cell>
          <cell r="B532" t="str">
            <v>LYQ-ZQS1741</v>
          </cell>
        </row>
        <row r="533">
          <cell r="A533" t="str">
            <v>LYQ-ZQS1741-K0-S</v>
          </cell>
          <cell r="B533" t="str">
            <v>LYQ-ZQS1741</v>
          </cell>
        </row>
        <row r="534">
          <cell r="A534" t="str">
            <v>LYQ-ZQS1741-W0-L</v>
          </cell>
          <cell r="B534" t="str">
            <v>LYQ-ZQS1741</v>
          </cell>
        </row>
        <row r="535">
          <cell r="A535" t="str">
            <v>LYQ-ZQS1741-W0-M</v>
          </cell>
          <cell r="B535" t="str">
            <v>LYQ-ZQS1741</v>
          </cell>
        </row>
        <row r="536">
          <cell r="A536" t="str">
            <v>LYQ-ZQS1741-W0-S</v>
          </cell>
          <cell r="B536" t="str">
            <v>LYQ-ZQS1741</v>
          </cell>
        </row>
        <row r="537">
          <cell r="A537" t="str">
            <v>LYQ-ZQS1741-W0-XL</v>
          </cell>
          <cell r="B537" t="str">
            <v>LYQ-ZQS1741</v>
          </cell>
        </row>
        <row r="538">
          <cell r="A538" t="str">
            <v>LYQ-ZQTN2611-BD-2X</v>
          </cell>
          <cell r="B538" t="str">
            <v>LYQ-ZQTN2611</v>
          </cell>
        </row>
        <row r="539">
          <cell r="A539" t="str">
            <v>LYQ-ZQTN2611-BD-3X</v>
          </cell>
          <cell r="B539" t="str">
            <v>LYQ-ZQTN2611</v>
          </cell>
        </row>
        <row r="540">
          <cell r="A540" t="str">
            <v>LYQ-ZQTN2611-BD-4X</v>
          </cell>
          <cell r="B540" t="str">
            <v>LYQ-ZQTN2611</v>
          </cell>
        </row>
        <row r="541">
          <cell r="A541" t="str">
            <v>LYQ-ZQTN2611-PI-2X</v>
          </cell>
          <cell r="B541" t="str">
            <v>LYQ-ZQTN2611</v>
          </cell>
        </row>
        <row r="542">
          <cell r="A542" t="str">
            <v>LYQ-ZQTN2611-PI-3X</v>
          </cell>
          <cell r="B542" t="str">
            <v>LYQ-ZQTN2611</v>
          </cell>
        </row>
        <row r="543">
          <cell r="A543" t="str">
            <v>LYQ-ZQTN2611-PI-5X</v>
          </cell>
          <cell r="B543" t="str">
            <v>LYQ-ZQTN2611</v>
          </cell>
        </row>
        <row r="544">
          <cell r="A544" t="str">
            <v>LYQ-ZQTN2611-PI-6X</v>
          </cell>
          <cell r="B544" t="str">
            <v>LYQ-ZQTN2611</v>
          </cell>
        </row>
        <row r="545">
          <cell r="A545" t="str">
            <v>LYQ-ZQTN2611-PI-XL</v>
          </cell>
          <cell r="B545" t="str">
            <v>LYQ-ZQTN2611</v>
          </cell>
        </row>
        <row r="546">
          <cell r="A546" t="str">
            <v>MNQ-N718-W0-M</v>
          </cell>
          <cell r="B546" t="str">
            <v>MNQ-N718</v>
          </cell>
        </row>
        <row r="547">
          <cell r="A547" t="str">
            <v>MZ-JY1616-CF</v>
          </cell>
          <cell r="B547" t="str">
            <v>MZ-JY1616</v>
          </cell>
        </row>
        <row r="548">
          <cell r="A548" t="str">
            <v>MZ-JY1616-KH</v>
          </cell>
          <cell r="B548" t="str">
            <v>MZ-JY1616</v>
          </cell>
        </row>
        <row r="549">
          <cell r="A549" t="str">
            <v>MZ-JY1616-R0</v>
          </cell>
          <cell r="B549" t="str">
            <v>MZ-JY1616</v>
          </cell>
        </row>
        <row r="550">
          <cell r="A550" t="str">
            <v>MZ-JY1616-ZL</v>
          </cell>
          <cell r="B550" t="str">
            <v>MZ-JY1616</v>
          </cell>
        </row>
        <row r="551">
          <cell r="A551" t="str">
            <v>NZ-FLQ52</v>
          </cell>
          <cell r="B551" t="str">
            <v>NZ-FLQ52</v>
          </cell>
        </row>
        <row r="552">
          <cell r="A552" t="str">
            <v>NZ-FLQ53</v>
          </cell>
          <cell r="B552" t="str">
            <v>NZ-FLQ53</v>
          </cell>
        </row>
        <row r="553">
          <cell r="A553" t="str">
            <v>NZZH-FLQ52</v>
          </cell>
          <cell r="B553" t="str">
            <v>NZZH-FLQ52</v>
          </cell>
        </row>
        <row r="554">
          <cell r="A554" t="str">
            <v>PJ-ZQ0976-K0</v>
          </cell>
          <cell r="B554" t="str">
            <v>PJ-ZQ0976</v>
          </cell>
        </row>
        <row r="555">
          <cell r="A555" t="str">
            <v>PJ-ZQ0976-O0</v>
          </cell>
          <cell r="B555" t="str">
            <v>PJ-ZQ0976</v>
          </cell>
        </row>
        <row r="556">
          <cell r="A556" t="str">
            <v>PJ-ZQ7050-C3</v>
          </cell>
          <cell r="B556" t="str">
            <v>PJ-ZQ7050</v>
          </cell>
        </row>
        <row r="557">
          <cell r="A557" t="str">
            <v>SHJ-ZQLS01-B0-2XL</v>
          </cell>
          <cell r="B557" t="str">
            <v>SHJ-ZQLS01</v>
          </cell>
        </row>
        <row r="558">
          <cell r="A558" t="str">
            <v>SHJ-ZQLS01-B0-3XL</v>
          </cell>
          <cell r="B558" t="str">
            <v>SHJ-ZQLS01</v>
          </cell>
        </row>
        <row r="559">
          <cell r="A559" t="str">
            <v>SHJ-ZQLS01-B0-4XL</v>
          </cell>
          <cell r="B559" t="str">
            <v>SHJ-ZQLS01</v>
          </cell>
        </row>
        <row r="560">
          <cell r="A560" t="str">
            <v>SHJ-ZQLS01-B0-XL</v>
          </cell>
          <cell r="B560" t="str">
            <v>SHJ-ZQLS01</v>
          </cell>
        </row>
        <row r="561">
          <cell r="A561" t="str">
            <v>SHJ-ZQLS12-K0-2XL</v>
          </cell>
          <cell r="B561" t="str">
            <v>SHJ-ZQLS12</v>
          </cell>
        </row>
        <row r="562">
          <cell r="A562" t="str">
            <v>SHJ-ZQLS12-K0-3XL</v>
          </cell>
          <cell r="B562" t="str">
            <v>SHJ-ZQLS12</v>
          </cell>
        </row>
        <row r="563">
          <cell r="A563" t="str">
            <v>SHJ-ZQLS12-K0-L</v>
          </cell>
          <cell r="B563" t="str">
            <v>SHJ-ZQLS12</v>
          </cell>
        </row>
        <row r="564">
          <cell r="A564" t="str">
            <v>SHJ-ZQLS12-K0-XL</v>
          </cell>
          <cell r="B564" t="str">
            <v>SHJ-ZQLS12</v>
          </cell>
        </row>
        <row r="565">
          <cell r="A565" t="str">
            <v>SJ-HM1995-K0</v>
          </cell>
          <cell r="B565" t="str">
            <v>SJ-HM1995</v>
          </cell>
        </row>
        <row r="566">
          <cell r="A566" t="str">
            <v>SJ-HM1995-W0</v>
          </cell>
          <cell r="B566" t="str">
            <v>SJ-HM1995</v>
          </cell>
        </row>
        <row r="567">
          <cell r="A567" t="str">
            <v>WJ-ZQ650-C1</v>
          </cell>
          <cell r="B567" t="str">
            <v>WJ-ZQ650</v>
          </cell>
        </row>
        <row r="568">
          <cell r="A568" t="str">
            <v>WJ-ZQ650-C10</v>
          </cell>
          <cell r="B568" t="str">
            <v>WJ-ZQ650</v>
          </cell>
        </row>
        <row r="569">
          <cell r="A569" t="str">
            <v>WJ-ZQ650-C11</v>
          </cell>
          <cell r="B569" t="str">
            <v>WJ-ZQ650</v>
          </cell>
        </row>
        <row r="570">
          <cell r="A570" t="str">
            <v>WJ-ZQ650-C3</v>
          </cell>
          <cell r="B570" t="str">
            <v>WJ-ZQ650</v>
          </cell>
        </row>
        <row r="571">
          <cell r="A571" t="str">
            <v>WJ-ZQ650-C4</v>
          </cell>
          <cell r="B571" t="str">
            <v>WJ-ZQ650</v>
          </cell>
        </row>
        <row r="572">
          <cell r="A572" t="str">
            <v>WJ-ZQ650-C5</v>
          </cell>
          <cell r="B572" t="str">
            <v>WJ-ZQ650</v>
          </cell>
        </row>
        <row r="573">
          <cell r="A573" t="str">
            <v>WJ-ZQ650-C6</v>
          </cell>
          <cell r="B573" t="str">
            <v>WJ-ZQ650</v>
          </cell>
        </row>
        <row r="574">
          <cell r="A574" t="str">
            <v>WJ-ZQ650-C7</v>
          </cell>
          <cell r="B574" t="str">
            <v>WJ-ZQ650</v>
          </cell>
        </row>
        <row r="575">
          <cell r="A575" t="str">
            <v>WJ-ZQ650-C8</v>
          </cell>
          <cell r="B575" t="str">
            <v>WJ-ZQ650</v>
          </cell>
        </row>
        <row r="576">
          <cell r="A576" t="str">
            <v>WJ-ZQ650-C9</v>
          </cell>
          <cell r="B576" t="str">
            <v>WJ-ZQ650</v>
          </cell>
        </row>
        <row r="577">
          <cell r="A577" t="str">
            <v>WT-ZQ921-G7-4XL</v>
          </cell>
          <cell r="B577" t="str">
            <v>WT-ZQ921</v>
          </cell>
        </row>
        <row r="578">
          <cell r="A578" t="str">
            <v>WT-ZQ921-K0-2XL</v>
          </cell>
          <cell r="B578" t="str">
            <v>WT-ZQ921</v>
          </cell>
        </row>
        <row r="579">
          <cell r="A579" t="str">
            <v>WT-ZQ921-K0-L</v>
          </cell>
          <cell r="B579" t="str">
            <v>WT-ZQ921</v>
          </cell>
        </row>
        <row r="580">
          <cell r="A580" t="str">
            <v>YF-YULQ001-B7-20</v>
          </cell>
          <cell r="B580" t="str">
            <v>YF-YULQ001</v>
          </cell>
        </row>
        <row r="581">
          <cell r="A581" t="str">
            <v>YF-YULQ002-B7-20</v>
          </cell>
          <cell r="B581" t="str">
            <v>YF-YULQ002</v>
          </cell>
        </row>
        <row r="582">
          <cell r="A582" t="str">
            <v>YF-YULQ003-W0-20</v>
          </cell>
          <cell r="B582" t="str">
            <v>YF-YULQ003</v>
          </cell>
        </row>
        <row r="583">
          <cell r="A583" t="str">
            <v>YF-YULQ007-PI-20</v>
          </cell>
          <cell r="B583" t="str">
            <v>YF-YULQ007</v>
          </cell>
        </row>
        <row r="584">
          <cell r="A584" t="str">
            <v>YF-YULQ008-BL-22</v>
          </cell>
          <cell r="B584" t="str">
            <v>YF-YULQ008</v>
          </cell>
        </row>
        <row r="585">
          <cell r="A585" t="str">
            <v>YF-YULQ009-YE-22</v>
          </cell>
          <cell r="B585" t="str">
            <v>YF-YULQ009</v>
          </cell>
        </row>
        <row r="586">
          <cell r="A586" t="str">
            <v>YF-YULQ010-PI-22</v>
          </cell>
          <cell r="B586" t="str">
            <v>YF-YULQ010</v>
          </cell>
        </row>
        <row r="587">
          <cell r="A587" t="str">
            <v>YF-YULQ161-B7-20</v>
          </cell>
          <cell r="B587" t="str">
            <v>YF-YULQ161</v>
          </cell>
        </row>
        <row r="588">
          <cell r="A588" t="str">
            <v>YF-YULQ162-B7-20</v>
          </cell>
          <cell r="B588" t="str">
            <v>YF-YULQ162</v>
          </cell>
        </row>
        <row r="589">
          <cell r="A589" t="str">
            <v>YF-YULQ601-PI-20</v>
          </cell>
          <cell r="B589" t="str">
            <v>YF-YULQ601</v>
          </cell>
        </row>
        <row r="590">
          <cell r="A590" t="str">
            <v>YF-YULQ602-PI-20</v>
          </cell>
          <cell r="B590" t="str">
            <v>YF-YULQ602</v>
          </cell>
        </row>
        <row r="591">
          <cell r="A591" t="str">
            <v>YF-YULQ904-B7-20</v>
          </cell>
          <cell r="B591" t="str">
            <v>YF-YULQ904</v>
          </cell>
        </row>
        <row r="592">
          <cell r="A592" t="str">
            <v>YF-YULQ905-B7-20</v>
          </cell>
          <cell r="B592" t="str">
            <v>YF-YULQ905</v>
          </cell>
        </row>
        <row r="593">
          <cell r="A593" t="str">
            <v>YL-FLQ58-PI-50</v>
          </cell>
          <cell r="B593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260</v>
          </cell>
          <cell r="D2">
            <v>228</v>
          </cell>
          <cell r="E2">
            <v>266</v>
          </cell>
          <cell r="F2">
            <v>234</v>
          </cell>
        </row>
        <row r="3">
          <cell r="A3" t="str">
            <v>DO-YULQ010-P0-22</v>
          </cell>
          <cell r="B3" t="str">
            <v>DO-YULQ010</v>
          </cell>
          <cell r="C3">
            <v>1</v>
          </cell>
          <cell r="D3">
            <v>1</v>
          </cell>
          <cell r="E3">
            <v>2</v>
          </cell>
          <cell r="F3">
            <v>2</v>
          </cell>
          <cell r="G3">
            <v>89.99</v>
          </cell>
        </row>
        <row r="4">
          <cell r="A4" t="str">
            <v>DOLL-0605-PI-22</v>
          </cell>
          <cell r="B4" t="str">
            <v>DOLL-0605</v>
          </cell>
          <cell r="C4">
            <v>12</v>
          </cell>
          <cell r="D4">
            <v>8</v>
          </cell>
          <cell r="E4">
            <v>7</v>
          </cell>
          <cell r="F4">
            <v>12</v>
          </cell>
          <cell r="G4">
            <v>89.9899999999999</v>
          </cell>
        </row>
        <row r="5">
          <cell r="A5" t="str">
            <v>DOLL-010-PI-22</v>
          </cell>
          <cell r="B5" t="str">
            <v>DOLL-010</v>
          </cell>
          <cell r="C5">
            <v>16</v>
          </cell>
          <cell r="D5">
            <v>21</v>
          </cell>
          <cell r="E5">
            <v>25</v>
          </cell>
          <cell r="F5">
            <v>28</v>
          </cell>
          <cell r="G5">
            <v>98.9899999999998</v>
          </cell>
        </row>
        <row r="6">
          <cell r="A6" t="str">
            <v>DO-YULQ001-PI-22</v>
          </cell>
          <cell r="B6" t="str">
            <v>DO-YULQ001</v>
          </cell>
          <cell r="C6">
            <v>27</v>
          </cell>
          <cell r="D6">
            <v>24</v>
          </cell>
          <cell r="E6">
            <v>24</v>
          </cell>
          <cell r="F6">
            <v>31</v>
          </cell>
          <cell r="G6">
            <v>91.9899999999998</v>
          </cell>
        </row>
        <row r="7">
          <cell r="A7" t="str">
            <v>DOLL-0601-PI-22</v>
          </cell>
          <cell r="B7" t="str">
            <v>DOLL-0601</v>
          </cell>
          <cell r="C7">
            <v>5</v>
          </cell>
          <cell r="D7">
            <v>7</v>
          </cell>
          <cell r="E7">
            <v>9</v>
          </cell>
          <cell r="F7">
            <v>9</v>
          </cell>
          <cell r="G7">
            <v>89.99</v>
          </cell>
        </row>
        <row r="8">
          <cell r="A8" t="str">
            <v>DO-YULQ100-B7-22</v>
          </cell>
          <cell r="B8" t="str">
            <v>DO-YULQ100</v>
          </cell>
          <cell r="C8">
            <v>16</v>
          </cell>
          <cell r="D8">
            <v>10</v>
          </cell>
          <cell r="E8">
            <v>13</v>
          </cell>
          <cell r="F8">
            <v>10</v>
          </cell>
          <cell r="G8">
            <v>89.9899999999999</v>
          </cell>
        </row>
        <row r="9">
          <cell r="A9" t="str">
            <v>DOLLDRESS-003-R2-M</v>
          </cell>
          <cell r="B9" t="str">
            <v>DOLLDRESS-003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19.99</v>
          </cell>
        </row>
        <row r="10">
          <cell r="A10" t="str">
            <v>DOLLDRESS-003-PI-20</v>
          </cell>
          <cell r="B10" t="str">
            <v>DOLLDRESS-003</v>
          </cell>
          <cell r="C10">
            <v>0</v>
          </cell>
          <cell r="D10">
            <v>1</v>
          </cell>
          <cell r="E10">
            <v>3</v>
          </cell>
          <cell r="F10">
            <v>3</v>
          </cell>
          <cell r="G10">
            <v>21.99</v>
          </cell>
        </row>
        <row r="11">
          <cell r="A11" t="str">
            <v>DO-YULQ707-PI-24</v>
          </cell>
          <cell r="B11" t="str">
            <v>DO-YULQ707</v>
          </cell>
          <cell r="C11">
            <v>9</v>
          </cell>
          <cell r="D11">
            <v>5</v>
          </cell>
          <cell r="E11">
            <v>2</v>
          </cell>
          <cell r="F11">
            <v>1</v>
          </cell>
          <cell r="G11">
            <v>108.99</v>
          </cell>
        </row>
        <row r="12">
          <cell r="A12" t="str">
            <v>DOLL-1613-LB-11</v>
          </cell>
          <cell r="B12" t="str">
            <v>DOLL-1613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29.99</v>
          </cell>
        </row>
        <row r="13">
          <cell r="A13" t="str">
            <v>DO-YULQ173-B7-22</v>
          </cell>
          <cell r="B13" t="str">
            <v>DO-YULQ173</v>
          </cell>
          <cell r="C13">
            <v>10</v>
          </cell>
          <cell r="D13">
            <v>16</v>
          </cell>
          <cell r="E13">
            <v>9</v>
          </cell>
          <cell r="F13">
            <v>5</v>
          </cell>
          <cell r="G13">
            <v>89.9899999999999</v>
          </cell>
        </row>
        <row r="14">
          <cell r="A14" t="str">
            <v>DOLL-020-PI-22</v>
          </cell>
          <cell r="B14" t="str">
            <v>DOLL-020</v>
          </cell>
          <cell r="C14">
            <v>9</v>
          </cell>
          <cell r="D14">
            <v>11</v>
          </cell>
          <cell r="E14">
            <v>16</v>
          </cell>
          <cell r="F14">
            <v>5</v>
          </cell>
          <cell r="G14">
            <v>89.9899999999999</v>
          </cell>
        </row>
        <row r="15">
          <cell r="A15" t="str">
            <v>DO-YULQ123-FB-22</v>
          </cell>
          <cell r="B15" t="str">
            <v>DO-YULQ123</v>
          </cell>
          <cell r="C15">
            <v>8</v>
          </cell>
          <cell r="D15">
            <v>6</v>
          </cell>
          <cell r="E15">
            <v>3</v>
          </cell>
          <cell r="F15">
            <v>6</v>
          </cell>
          <cell r="G15">
            <v>89.99</v>
          </cell>
        </row>
        <row r="16">
          <cell r="A16" t="str">
            <v>DO-YULQ062-PI-22</v>
          </cell>
          <cell r="B16" t="str">
            <v>DO-YULQ062</v>
          </cell>
          <cell r="C16">
            <v>4</v>
          </cell>
          <cell r="D16">
            <v>4</v>
          </cell>
          <cell r="E16">
            <v>3</v>
          </cell>
          <cell r="F16">
            <v>6</v>
          </cell>
          <cell r="G16">
            <v>89.6370588235294</v>
          </cell>
        </row>
        <row r="17">
          <cell r="A17" t="str">
            <v>DOLLDRESS-003-R2-20</v>
          </cell>
          <cell r="B17" t="str">
            <v>DOLLDRESS-003</v>
          </cell>
          <cell r="C17">
            <v>9</v>
          </cell>
          <cell r="D17">
            <v>9</v>
          </cell>
          <cell r="E17">
            <v>5</v>
          </cell>
          <cell r="F17">
            <v>3</v>
          </cell>
          <cell r="G17">
            <v>21.99</v>
          </cell>
        </row>
        <row r="18">
          <cell r="A18" t="str">
            <v>DO-YULQ812-W0-18</v>
          </cell>
          <cell r="B18" t="str">
            <v>DO-YULQ812</v>
          </cell>
          <cell r="C18">
            <v>3</v>
          </cell>
          <cell r="D18">
            <v>1</v>
          </cell>
          <cell r="E18">
            <v>5</v>
          </cell>
          <cell r="F18">
            <v>2</v>
          </cell>
          <cell r="G18">
            <v>89.99</v>
          </cell>
        </row>
        <row r="19">
          <cell r="A19" t="str">
            <v>DOLLDRESS-003-WO-20</v>
          </cell>
          <cell r="B19" t="str">
            <v>DOLLDRESS-003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21.99</v>
          </cell>
        </row>
        <row r="20">
          <cell r="A20" t="str">
            <v>DO-YULQ152-Z1-22</v>
          </cell>
          <cell r="B20" t="str">
            <v>DO-YULQ152</v>
          </cell>
          <cell r="C20">
            <v>0</v>
          </cell>
          <cell r="D20">
            <v>1</v>
          </cell>
          <cell r="E20">
            <v>1</v>
          </cell>
          <cell r="F20">
            <v>3</v>
          </cell>
          <cell r="G20">
            <v>89.99</v>
          </cell>
        </row>
        <row r="21">
          <cell r="A21" t="str">
            <v>DO-YULQ012-PI-22</v>
          </cell>
          <cell r="B21" t="str">
            <v>DO-YULQ012</v>
          </cell>
          <cell r="C21">
            <v>1</v>
          </cell>
          <cell r="D21">
            <v>2</v>
          </cell>
          <cell r="E21">
            <v>2</v>
          </cell>
          <cell r="F21">
            <v>3</v>
          </cell>
          <cell r="G21">
            <v>89.99</v>
          </cell>
        </row>
        <row r="22">
          <cell r="A22" t="str">
            <v>DO-YULQ700-PI-22</v>
          </cell>
          <cell r="B22" t="str">
            <v>DO-YULQ700</v>
          </cell>
          <cell r="C22">
            <v>1</v>
          </cell>
          <cell r="D22">
            <v>1</v>
          </cell>
          <cell r="E22">
            <v>0</v>
          </cell>
          <cell r="F22">
            <v>4</v>
          </cell>
          <cell r="G22">
            <v>99.99</v>
          </cell>
        </row>
        <row r="23">
          <cell r="A23" t="str">
            <v>DO-YULQ620-NZ-22</v>
          </cell>
          <cell r="B23" t="str">
            <v>DO-YULQ620</v>
          </cell>
          <cell r="C23">
            <v>2</v>
          </cell>
          <cell r="D23">
            <v>3</v>
          </cell>
          <cell r="E23">
            <v>2</v>
          </cell>
          <cell r="F23">
            <v>3</v>
          </cell>
          <cell r="G23">
            <v>81.39</v>
          </cell>
        </row>
        <row r="24">
          <cell r="A24" t="str">
            <v>DO-YULQ070-PI-16</v>
          </cell>
          <cell r="B24" t="str">
            <v>DO-YULQ070</v>
          </cell>
          <cell r="C24">
            <v>3</v>
          </cell>
          <cell r="D24">
            <v>3</v>
          </cell>
          <cell r="E24">
            <v>4</v>
          </cell>
          <cell r="F24">
            <v>1</v>
          </cell>
          <cell r="G24">
            <v>79.99</v>
          </cell>
        </row>
        <row r="25">
          <cell r="A25" t="str">
            <v>DO-YULQ081-B7-10</v>
          </cell>
          <cell r="B25" t="str">
            <v>DO-YULQ081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 t="e">
            <v>#DIV/0!</v>
          </cell>
        </row>
        <row r="26">
          <cell r="A26" t="str">
            <v>DOLLDRESS-003-PI-M</v>
          </cell>
          <cell r="B26" t="str">
            <v>DOLLDRESS-003</v>
          </cell>
          <cell r="C26">
            <v>0</v>
          </cell>
          <cell r="D26">
            <v>1</v>
          </cell>
          <cell r="E26">
            <v>0</v>
          </cell>
          <cell r="F26">
            <v>2</v>
          </cell>
          <cell r="G26">
            <v>19.99</v>
          </cell>
        </row>
        <row r="27">
          <cell r="A27" t="str">
            <v>DO-YULQ203-P4-22</v>
          </cell>
          <cell r="B27" t="str">
            <v>DO-YULQ203</v>
          </cell>
          <cell r="C27">
            <v>1</v>
          </cell>
          <cell r="D27">
            <v>0</v>
          </cell>
          <cell r="E27">
            <v>2</v>
          </cell>
          <cell r="F27">
            <v>2</v>
          </cell>
          <cell r="G27">
            <v>89.99</v>
          </cell>
        </row>
        <row r="28">
          <cell r="A28" t="str">
            <v>DOLL-7056-LGR-11</v>
          </cell>
          <cell r="B28" t="str">
            <v>DOLL-7056</v>
          </cell>
          <cell r="C28">
            <v>1</v>
          </cell>
          <cell r="D28">
            <v>1</v>
          </cell>
          <cell r="E28">
            <v>4</v>
          </cell>
          <cell r="F28">
            <v>2</v>
          </cell>
          <cell r="G28">
            <v>34.99</v>
          </cell>
        </row>
        <row r="29">
          <cell r="A29" t="str">
            <v>YF-YULQ007-PI-20</v>
          </cell>
          <cell r="B29" t="str">
            <v>YF-YULQ007</v>
          </cell>
          <cell r="C29">
            <v>10</v>
          </cell>
          <cell r="D29">
            <v>3</v>
          </cell>
          <cell r="E29">
            <v>12</v>
          </cell>
          <cell r="F29">
            <v>5</v>
          </cell>
          <cell r="G29">
            <v>21.99</v>
          </cell>
        </row>
        <row r="30">
          <cell r="A30" t="str">
            <v>DOLL-008-W0-22</v>
          </cell>
          <cell r="B30" t="str">
            <v>DOLL-008</v>
          </cell>
          <cell r="C30">
            <v>1</v>
          </cell>
          <cell r="D30">
            <v>0</v>
          </cell>
          <cell r="E30">
            <v>0</v>
          </cell>
          <cell r="F30">
            <v>3</v>
          </cell>
          <cell r="G30">
            <v>89.6</v>
          </cell>
        </row>
        <row r="31">
          <cell r="A31" t="str">
            <v>DO-YULQ159-R2-22</v>
          </cell>
          <cell r="B31" t="str">
            <v>DO-YULQ159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99.6</v>
          </cell>
        </row>
        <row r="32">
          <cell r="A32" t="str">
            <v>DO-YULQ071-B7-16</v>
          </cell>
          <cell r="B32" t="str">
            <v>DO-YULQ071</v>
          </cell>
          <cell r="C32">
            <v>1</v>
          </cell>
          <cell r="D32">
            <v>0</v>
          </cell>
          <cell r="E32">
            <v>1</v>
          </cell>
          <cell r="F32">
            <v>0</v>
          </cell>
          <cell r="G32">
            <v>79.99</v>
          </cell>
        </row>
        <row r="33">
          <cell r="A33" t="str">
            <v>DO-YULQ018-P4-16</v>
          </cell>
          <cell r="B33" t="str">
            <v>DO-YULQ018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79.99</v>
          </cell>
        </row>
        <row r="34">
          <cell r="A34" t="str">
            <v>DO-YULQ107-PI-22</v>
          </cell>
          <cell r="B34" t="str">
            <v>DO-YULQ107</v>
          </cell>
          <cell r="C34">
            <v>2</v>
          </cell>
          <cell r="D34">
            <v>1</v>
          </cell>
          <cell r="E34">
            <v>5</v>
          </cell>
          <cell r="F34">
            <v>2</v>
          </cell>
          <cell r="G34">
            <v>89.99</v>
          </cell>
        </row>
        <row r="35">
          <cell r="A35" t="str">
            <v>DOLL-1630-R0-22</v>
          </cell>
          <cell r="B35" t="str">
            <v>DOLL-1630</v>
          </cell>
          <cell r="C35">
            <v>0</v>
          </cell>
          <cell r="D35">
            <v>0</v>
          </cell>
          <cell r="E35">
            <v>1</v>
          </cell>
          <cell r="F35">
            <v>3</v>
          </cell>
          <cell r="G35">
            <v>99.99</v>
          </cell>
        </row>
        <row r="36">
          <cell r="A36" t="str">
            <v>DO-YULQ230-PI-16</v>
          </cell>
          <cell r="B36" t="str">
            <v>DO-YULQ230</v>
          </cell>
          <cell r="C36">
            <v>8</v>
          </cell>
          <cell r="D36">
            <v>7</v>
          </cell>
          <cell r="E36">
            <v>8</v>
          </cell>
          <cell r="F36">
            <v>7</v>
          </cell>
          <cell r="G36">
            <v>79.99</v>
          </cell>
        </row>
        <row r="37">
          <cell r="A37" t="str">
            <v>DO-YULQ701-PI-22</v>
          </cell>
          <cell r="B37" t="str">
            <v>DO-YULQ701</v>
          </cell>
          <cell r="C37">
            <v>0</v>
          </cell>
          <cell r="D37">
            <v>5</v>
          </cell>
          <cell r="E37">
            <v>3</v>
          </cell>
          <cell r="F37">
            <v>4</v>
          </cell>
          <cell r="G37">
            <v>93.1566666666667</v>
          </cell>
        </row>
        <row r="38">
          <cell r="A38" t="str">
            <v>YF-YULQ602-PI-20</v>
          </cell>
          <cell r="B38" t="str">
            <v>YF-YULQ602</v>
          </cell>
          <cell r="C38">
            <v>3</v>
          </cell>
          <cell r="D38">
            <v>1</v>
          </cell>
          <cell r="E38">
            <v>4</v>
          </cell>
          <cell r="F38">
            <v>3</v>
          </cell>
          <cell r="G38">
            <v>21.99</v>
          </cell>
        </row>
        <row r="39">
          <cell r="A39" t="str">
            <v>DO-YULQ153-B7-22</v>
          </cell>
          <cell r="B39" t="str">
            <v>DO-YULQ153</v>
          </cell>
          <cell r="C39">
            <v>5</v>
          </cell>
          <cell r="D39">
            <v>4</v>
          </cell>
          <cell r="E39">
            <v>0</v>
          </cell>
          <cell r="F39">
            <v>1</v>
          </cell>
          <cell r="G39">
            <v>99.99</v>
          </cell>
        </row>
        <row r="40">
          <cell r="A40" t="str">
            <v>DOLL-7056-BR-11</v>
          </cell>
          <cell r="B40" t="str">
            <v>DOLL-7056</v>
          </cell>
          <cell r="C40">
            <v>0</v>
          </cell>
          <cell r="D40">
            <v>1</v>
          </cell>
          <cell r="E40">
            <v>1</v>
          </cell>
          <cell r="F40">
            <v>2</v>
          </cell>
          <cell r="G40">
            <v>32.99</v>
          </cell>
        </row>
        <row r="41">
          <cell r="A41" t="str">
            <v>DO-YULQ620-PI-22</v>
          </cell>
          <cell r="B41" t="str">
            <v>DO-YULQ620</v>
          </cell>
          <cell r="C41">
            <v>2</v>
          </cell>
          <cell r="D41">
            <v>0</v>
          </cell>
          <cell r="E41">
            <v>1</v>
          </cell>
          <cell r="F41">
            <v>5</v>
          </cell>
          <cell r="G41">
            <v>82.615</v>
          </cell>
        </row>
        <row r="42">
          <cell r="A42" t="str">
            <v>DO-YULQ061-W0-22</v>
          </cell>
          <cell r="B42" t="str">
            <v>DO-YULQ061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104.99</v>
          </cell>
        </row>
        <row r="43">
          <cell r="A43" t="str">
            <v>DO-YULQ018-B0-18</v>
          </cell>
          <cell r="B43" t="str">
            <v>DO-YULQ018</v>
          </cell>
          <cell r="C43">
            <v>4</v>
          </cell>
          <cell r="D43">
            <v>0</v>
          </cell>
          <cell r="E43">
            <v>0</v>
          </cell>
          <cell r="F43">
            <v>1</v>
          </cell>
          <cell r="G43">
            <v>89.99</v>
          </cell>
        </row>
        <row r="44">
          <cell r="A44" t="str">
            <v>DO-YULQ161-PI-16</v>
          </cell>
          <cell r="B44" t="str">
            <v>DO-YULQ161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79.99</v>
          </cell>
        </row>
        <row r="45">
          <cell r="A45" t="str">
            <v>DO-YULQ010-PI-15</v>
          </cell>
          <cell r="B45" t="str">
            <v>DO-YULQ010</v>
          </cell>
          <cell r="C45">
            <v>2</v>
          </cell>
          <cell r="D45">
            <v>4</v>
          </cell>
          <cell r="E45">
            <v>2</v>
          </cell>
          <cell r="F45">
            <v>3</v>
          </cell>
          <cell r="G45">
            <v>79.99</v>
          </cell>
        </row>
        <row r="46">
          <cell r="A46" t="str">
            <v>DO-YULQ171-B0-22</v>
          </cell>
          <cell r="B46" t="str">
            <v>DO-YULQ171</v>
          </cell>
          <cell r="C46">
            <v>1</v>
          </cell>
          <cell r="D46">
            <v>2</v>
          </cell>
          <cell r="E46">
            <v>0</v>
          </cell>
          <cell r="F46">
            <v>1</v>
          </cell>
          <cell r="G46">
            <v>95.99</v>
          </cell>
        </row>
        <row r="47">
          <cell r="A47" t="str">
            <v>DO-YULQ058-SH-10</v>
          </cell>
          <cell r="B47" t="str">
            <v>DO-YULQ058</v>
          </cell>
          <cell r="C47">
            <v>2</v>
          </cell>
          <cell r="D47">
            <v>1</v>
          </cell>
          <cell r="E47">
            <v>1</v>
          </cell>
          <cell r="F47">
            <v>2</v>
          </cell>
          <cell r="G47">
            <v>32.99</v>
          </cell>
        </row>
        <row r="48">
          <cell r="A48" t="str">
            <v>DOLL-7056B-YO-11</v>
          </cell>
          <cell r="B48" t="str">
            <v>DOLL-7056</v>
          </cell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32.99</v>
          </cell>
        </row>
        <row r="49">
          <cell r="A49" t="str">
            <v>DOLL-9042-B0-22</v>
          </cell>
          <cell r="B49" t="str">
            <v>DOLL-9042</v>
          </cell>
          <cell r="C49">
            <v>1</v>
          </cell>
          <cell r="D49">
            <v>0</v>
          </cell>
          <cell r="E49">
            <v>3</v>
          </cell>
          <cell r="F49">
            <v>3</v>
          </cell>
          <cell r="G49">
            <v>89.99</v>
          </cell>
        </row>
        <row r="50">
          <cell r="A50" t="str">
            <v>YF-YULQ905-B7-20</v>
          </cell>
          <cell r="B50" t="str">
            <v>YF-YULQ905</v>
          </cell>
          <cell r="C50">
            <v>0</v>
          </cell>
          <cell r="D50">
            <v>1</v>
          </cell>
          <cell r="E50">
            <v>1</v>
          </cell>
          <cell r="F50">
            <v>2</v>
          </cell>
          <cell r="G50">
            <v>21.99</v>
          </cell>
        </row>
        <row r="51">
          <cell r="A51" t="str">
            <v>DO-YULQ150-PI-20</v>
          </cell>
          <cell r="B51" t="str">
            <v>DO-YULQ150</v>
          </cell>
          <cell r="C51">
            <v>3</v>
          </cell>
          <cell r="D51">
            <v>3</v>
          </cell>
          <cell r="E51">
            <v>4</v>
          </cell>
          <cell r="F51">
            <v>2</v>
          </cell>
          <cell r="G51">
            <v>85.99</v>
          </cell>
        </row>
        <row r="52">
          <cell r="A52" t="str">
            <v>DOLL-AD011-PI-22</v>
          </cell>
          <cell r="B52" t="str">
            <v>DOLL-AD011</v>
          </cell>
          <cell r="C52">
            <v>0</v>
          </cell>
          <cell r="D52">
            <v>2</v>
          </cell>
          <cell r="E52">
            <v>1</v>
          </cell>
          <cell r="F52">
            <v>1</v>
          </cell>
          <cell r="G52">
            <v>99.6</v>
          </cell>
        </row>
        <row r="53">
          <cell r="A53" t="str">
            <v>YF-YULQ002-B7-20</v>
          </cell>
          <cell r="B53" t="str">
            <v>YF-YULQ002</v>
          </cell>
          <cell r="C53">
            <v>3</v>
          </cell>
          <cell r="D53">
            <v>2</v>
          </cell>
          <cell r="E53">
            <v>1</v>
          </cell>
          <cell r="F53">
            <v>4</v>
          </cell>
          <cell r="G53">
            <v>21.99</v>
          </cell>
        </row>
        <row r="54">
          <cell r="A54" t="str">
            <v>DOLL-0630-PI-22</v>
          </cell>
          <cell r="B54" t="str">
            <v>DOLL-0630</v>
          </cell>
          <cell r="C54">
            <v>4</v>
          </cell>
          <cell r="D54">
            <v>2</v>
          </cell>
          <cell r="E54">
            <v>9</v>
          </cell>
          <cell r="F54">
            <v>1</v>
          </cell>
          <cell r="G54">
            <v>89.99</v>
          </cell>
        </row>
        <row r="55">
          <cell r="A55" t="str">
            <v>DO-YULQ163-PI-22</v>
          </cell>
          <cell r="B55" t="str">
            <v>DO-YULQ163</v>
          </cell>
          <cell r="C55">
            <v>0</v>
          </cell>
          <cell r="D55">
            <v>2</v>
          </cell>
          <cell r="E55">
            <v>1</v>
          </cell>
          <cell r="F55">
            <v>1</v>
          </cell>
          <cell r="G55">
            <v>89.99</v>
          </cell>
        </row>
        <row r="56">
          <cell r="A56" t="str">
            <v>DOLL-004-PI-10</v>
          </cell>
          <cell r="B56" t="str">
            <v>DOLL-004</v>
          </cell>
          <cell r="C56">
            <v>4</v>
          </cell>
          <cell r="D56">
            <v>5</v>
          </cell>
          <cell r="E56">
            <v>4</v>
          </cell>
          <cell r="F56">
            <v>2</v>
          </cell>
          <cell r="G56">
            <v>32.99</v>
          </cell>
        </row>
        <row r="57">
          <cell r="A57" t="str">
            <v>DO-YULQ071-PI-16</v>
          </cell>
          <cell r="B57" t="str">
            <v>DO-YULQ071</v>
          </cell>
          <cell r="C57">
            <v>1</v>
          </cell>
          <cell r="D57">
            <v>0</v>
          </cell>
          <cell r="E57">
            <v>1</v>
          </cell>
          <cell r="F57">
            <v>1</v>
          </cell>
          <cell r="G57">
            <v>79.99</v>
          </cell>
        </row>
        <row r="58">
          <cell r="A58" t="str">
            <v>YF-YULQ003-W0-20</v>
          </cell>
          <cell r="B58" t="str">
            <v>YF-YULQ003</v>
          </cell>
          <cell r="C58">
            <v>3</v>
          </cell>
          <cell r="D58">
            <v>2</v>
          </cell>
          <cell r="E58">
            <v>0</v>
          </cell>
          <cell r="F58">
            <v>1</v>
          </cell>
          <cell r="G58">
            <v>21.99</v>
          </cell>
        </row>
        <row r="59">
          <cell r="A59" t="str">
            <v>DO-YULQ705-GR-11</v>
          </cell>
          <cell r="B59" t="str">
            <v>DO-YULQ705</v>
          </cell>
          <cell r="C59">
            <v>0</v>
          </cell>
          <cell r="D59">
            <v>1</v>
          </cell>
          <cell r="E59">
            <v>2</v>
          </cell>
          <cell r="F59">
            <v>1</v>
          </cell>
          <cell r="G59">
            <v>34.99</v>
          </cell>
        </row>
        <row r="60">
          <cell r="A60" t="str">
            <v>DO-YULQ153-TW-20</v>
          </cell>
          <cell r="B60" t="str">
            <v>DO-YULQ153</v>
          </cell>
          <cell r="C60">
            <v>3</v>
          </cell>
          <cell r="D60">
            <v>0</v>
          </cell>
          <cell r="E60">
            <v>0</v>
          </cell>
          <cell r="F60">
            <v>1</v>
          </cell>
          <cell r="G60">
            <v>85.99</v>
          </cell>
        </row>
        <row r="61">
          <cell r="A61" t="str">
            <v>DO-YULQ150-K0-22</v>
          </cell>
          <cell r="B61" t="str">
            <v>DO-YULQ150</v>
          </cell>
          <cell r="C61">
            <v>0</v>
          </cell>
          <cell r="D61">
            <v>1</v>
          </cell>
          <cell r="E61">
            <v>0</v>
          </cell>
          <cell r="F61">
            <v>2</v>
          </cell>
          <cell r="G61">
            <v>99.99</v>
          </cell>
        </row>
        <row r="62">
          <cell r="A62" t="str">
            <v>DO-YULQ100-R0-10</v>
          </cell>
          <cell r="B62" t="str">
            <v>DO-YULQ100</v>
          </cell>
          <cell r="C62">
            <v>0</v>
          </cell>
          <cell r="D62">
            <v>0</v>
          </cell>
          <cell r="E62">
            <v>1</v>
          </cell>
          <cell r="F62">
            <v>3</v>
          </cell>
          <cell r="G62">
            <v>32.99</v>
          </cell>
        </row>
        <row r="63">
          <cell r="A63" t="str">
            <v>DO-YULQ121-PI-22</v>
          </cell>
          <cell r="B63" t="str">
            <v>DO-YULQ121</v>
          </cell>
          <cell r="C63">
            <v>0</v>
          </cell>
          <cell r="D63">
            <v>1</v>
          </cell>
          <cell r="E63">
            <v>0</v>
          </cell>
          <cell r="F63">
            <v>1</v>
          </cell>
          <cell r="G63">
            <v>89.99</v>
          </cell>
        </row>
        <row r="64">
          <cell r="A64" t="str">
            <v>DOLL-9042-01R-22</v>
          </cell>
          <cell r="B64" t="str">
            <v>DOLL-9042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79.99</v>
          </cell>
        </row>
        <row r="65">
          <cell r="A65" t="str">
            <v>DOLL-006-LB-11</v>
          </cell>
          <cell r="B65" t="str">
            <v>DOLL-006</v>
          </cell>
          <cell r="C65">
            <v>0</v>
          </cell>
          <cell r="D65">
            <v>1</v>
          </cell>
          <cell r="E65">
            <v>2</v>
          </cell>
          <cell r="F65">
            <v>2</v>
          </cell>
          <cell r="G65">
            <v>27.59</v>
          </cell>
        </row>
        <row r="66">
          <cell r="A66" t="str">
            <v>DO-YULQ163-B7-22</v>
          </cell>
          <cell r="B66" t="str">
            <v>DO-YULQ163</v>
          </cell>
          <cell r="C66">
            <v>4</v>
          </cell>
          <cell r="D66">
            <v>4</v>
          </cell>
          <cell r="E66">
            <v>3</v>
          </cell>
          <cell r="F66">
            <v>1</v>
          </cell>
          <cell r="G66">
            <v>89.99</v>
          </cell>
        </row>
        <row r="67">
          <cell r="A67" t="str">
            <v>DO-YULQ702-PI-22</v>
          </cell>
          <cell r="B67" t="str">
            <v>DO-YULQ702</v>
          </cell>
          <cell r="C67">
            <v>5</v>
          </cell>
          <cell r="D67">
            <v>1</v>
          </cell>
          <cell r="E67">
            <v>3</v>
          </cell>
          <cell r="F67">
            <v>1</v>
          </cell>
          <cell r="G67">
            <v>99.99</v>
          </cell>
        </row>
        <row r="68">
          <cell r="A68" t="str">
            <v>DOLL-006-PI-10</v>
          </cell>
          <cell r="B68" t="str">
            <v>DOLL-006</v>
          </cell>
          <cell r="C68">
            <v>3</v>
          </cell>
          <cell r="D68">
            <v>3</v>
          </cell>
          <cell r="E68">
            <v>4</v>
          </cell>
          <cell r="F68">
            <v>2</v>
          </cell>
          <cell r="G68">
            <v>26.99</v>
          </cell>
        </row>
        <row r="69">
          <cell r="A69" t="str">
            <v>DO-YULQ061-LGR-22</v>
          </cell>
          <cell r="B69" t="str">
            <v>DO-YULQ061</v>
          </cell>
          <cell r="C69">
            <v>1</v>
          </cell>
          <cell r="D69">
            <v>0</v>
          </cell>
          <cell r="E69">
            <v>1</v>
          </cell>
          <cell r="F69">
            <v>2</v>
          </cell>
          <cell r="G69">
            <v>94.6</v>
          </cell>
        </row>
        <row r="70">
          <cell r="A70" t="str">
            <v>DO-YULQ704-B0-24</v>
          </cell>
          <cell r="B70" t="str">
            <v>DO-YULQ704</v>
          </cell>
          <cell r="C70">
            <v>1</v>
          </cell>
          <cell r="D70">
            <v>0</v>
          </cell>
          <cell r="E70">
            <v>0</v>
          </cell>
          <cell r="F70">
            <v>1</v>
          </cell>
          <cell r="G70">
            <v>108.99</v>
          </cell>
        </row>
        <row r="71">
          <cell r="A71" t="str">
            <v>DOLL-004-LB-11</v>
          </cell>
          <cell r="B71" t="str">
            <v>DOLL-004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32.99</v>
          </cell>
        </row>
        <row r="72">
          <cell r="A72" t="str">
            <v>DOLL-1613-LB-22</v>
          </cell>
          <cell r="B72" t="str">
            <v>DOLL-1613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  <cell r="G72">
            <v>89.99</v>
          </cell>
        </row>
        <row r="73">
          <cell r="A73" t="str">
            <v>DO-YULQ631-R2-22</v>
          </cell>
          <cell r="B73" t="str">
            <v>DO-YULQ631</v>
          </cell>
          <cell r="C73">
            <v>0</v>
          </cell>
          <cell r="D73">
            <v>3</v>
          </cell>
          <cell r="E73">
            <v>0</v>
          </cell>
          <cell r="F73">
            <v>1</v>
          </cell>
          <cell r="G73">
            <v>99.99</v>
          </cell>
        </row>
        <row r="74">
          <cell r="A74" t="str">
            <v>DO-YULQ610-R2-22</v>
          </cell>
          <cell r="B74" t="str">
            <v>DO-YULQ610</v>
          </cell>
          <cell r="C74">
            <v>1</v>
          </cell>
          <cell r="D74">
            <v>1</v>
          </cell>
          <cell r="E74">
            <v>0</v>
          </cell>
          <cell r="F74">
            <v>1</v>
          </cell>
          <cell r="G74">
            <v>89.99</v>
          </cell>
        </row>
        <row r="75">
          <cell r="A75" t="str">
            <v>YF-YULQ162-B7-20</v>
          </cell>
          <cell r="B75" t="str">
            <v>YF-YULQ162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21.99</v>
          </cell>
        </row>
        <row r="76">
          <cell r="A76" t="str">
            <v>DO-YULQ162-PI-16</v>
          </cell>
          <cell r="B76" t="str">
            <v>DO-YULQ162</v>
          </cell>
          <cell r="C76">
            <v>1</v>
          </cell>
          <cell r="D76">
            <v>0</v>
          </cell>
          <cell r="E76">
            <v>0</v>
          </cell>
          <cell r="F76">
            <v>1</v>
          </cell>
          <cell r="G76">
            <v>85.99</v>
          </cell>
        </row>
        <row r="77">
          <cell r="A77" t="str">
            <v>DO-YULQ021-W0-22</v>
          </cell>
          <cell r="B77" t="str">
            <v>DO-YULQ021</v>
          </cell>
          <cell r="C77">
            <v>0</v>
          </cell>
          <cell r="D77">
            <v>0</v>
          </cell>
          <cell r="E77">
            <v>1</v>
          </cell>
          <cell r="F77">
            <v>0</v>
          </cell>
          <cell r="G77">
            <v>99.99</v>
          </cell>
        </row>
        <row r="78">
          <cell r="A78" t="str">
            <v>DO-YULQ638-PI-20</v>
          </cell>
          <cell r="B78" t="str">
            <v>DO-YULQ638</v>
          </cell>
          <cell r="C78">
            <v>0</v>
          </cell>
          <cell r="D78">
            <v>0</v>
          </cell>
          <cell r="E78">
            <v>2</v>
          </cell>
          <cell r="F78">
            <v>0</v>
          </cell>
          <cell r="G78">
            <v>99.6</v>
          </cell>
        </row>
        <row r="79">
          <cell r="A79" t="str">
            <v>DOLL-005-WO-11</v>
          </cell>
          <cell r="B79" t="str">
            <v>DOLL-005</v>
          </cell>
          <cell r="C79">
            <v>3</v>
          </cell>
          <cell r="D79">
            <v>2</v>
          </cell>
          <cell r="E79">
            <v>2</v>
          </cell>
          <cell r="F79">
            <v>0</v>
          </cell>
          <cell r="G79">
            <v>26.99</v>
          </cell>
        </row>
        <row r="80">
          <cell r="A80" t="str">
            <v>DO-YULQ663-PI-15</v>
          </cell>
          <cell r="B80" t="str">
            <v>DO-YULQ663</v>
          </cell>
          <cell r="C80">
            <v>0</v>
          </cell>
          <cell r="D80">
            <v>0</v>
          </cell>
          <cell r="E80">
            <v>1</v>
          </cell>
          <cell r="F80">
            <v>0</v>
          </cell>
          <cell r="G80">
            <v>79.99</v>
          </cell>
        </row>
        <row r="81">
          <cell r="A81" t="str">
            <v>DO-YULQ111-PI-22</v>
          </cell>
          <cell r="B81" t="str">
            <v>DO-YULQ111</v>
          </cell>
          <cell r="C81">
            <v>0</v>
          </cell>
          <cell r="D81">
            <v>1</v>
          </cell>
          <cell r="E81">
            <v>6</v>
          </cell>
          <cell r="F81">
            <v>0</v>
          </cell>
          <cell r="G81">
            <v>82.5614285714286</v>
          </cell>
        </row>
        <row r="82">
          <cell r="A82" t="str">
            <v>DO-YULQ200-W0-10</v>
          </cell>
          <cell r="B82" t="str">
            <v>DO-YULQ200</v>
          </cell>
          <cell r="C82">
            <v>0</v>
          </cell>
          <cell r="D82">
            <v>0</v>
          </cell>
          <cell r="E82">
            <v>2</v>
          </cell>
          <cell r="F82">
            <v>0</v>
          </cell>
          <cell r="G82">
            <v>32.99</v>
          </cell>
        </row>
        <row r="83">
          <cell r="A83" t="str">
            <v>DO-YULQ058-BR-10</v>
          </cell>
          <cell r="B83" t="str">
            <v>DO-YULQ058</v>
          </cell>
          <cell r="C83">
            <v>2</v>
          </cell>
          <cell r="D83">
            <v>0</v>
          </cell>
          <cell r="E83">
            <v>1</v>
          </cell>
          <cell r="F83">
            <v>0</v>
          </cell>
          <cell r="G83">
            <v>32.99</v>
          </cell>
        </row>
        <row r="84">
          <cell r="A84" t="str">
            <v>DO-YULQ171-LGR-22</v>
          </cell>
          <cell r="B84" t="str">
            <v>DO-YULQ171</v>
          </cell>
          <cell r="C84">
            <v>4</v>
          </cell>
          <cell r="D84">
            <v>2</v>
          </cell>
          <cell r="E84">
            <v>1</v>
          </cell>
          <cell r="F84">
            <v>0</v>
          </cell>
          <cell r="G84">
            <v>89.6</v>
          </cell>
        </row>
        <row r="85">
          <cell r="A85" t="str">
            <v>DO-YULQ664-AX-16</v>
          </cell>
          <cell r="B85" t="str">
            <v>DO-YULQ664</v>
          </cell>
          <cell r="C85">
            <v>4</v>
          </cell>
          <cell r="D85">
            <v>1</v>
          </cell>
          <cell r="E85">
            <v>3</v>
          </cell>
          <cell r="F85">
            <v>0</v>
          </cell>
          <cell r="G85">
            <v>79.99</v>
          </cell>
        </row>
        <row r="86">
          <cell r="A86" t="str">
            <v>DOLLDRESS-1612-GO-23</v>
          </cell>
          <cell r="B86" t="str">
            <v>DOLLDRESS-1612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23.99</v>
          </cell>
        </row>
        <row r="87">
          <cell r="A87" t="str">
            <v>DO-YULQ630-R2-15</v>
          </cell>
          <cell r="B87" t="str">
            <v>DO-YULQ630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  <cell r="G87">
            <v>79.99</v>
          </cell>
        </row>
        <row r="88">
          <cell r="A88" t="str">
            <v>DO-YULQ161-PI-22</v>
          </cell>
          <cell r="B88" t="str">
            <v>DO-YULQ161</v>
          </cell>
          <cell r="C88">
            <v>1</v>
          </cell>
          <cell r="D88">
            <v>0</v>
          </cell>
          <cell r="E88">
            <v>1</v>
          </cell>
          <cell r="F88">
            <v>0</v>
          </cell>
          <cell r="G88">
            <v>89.99</v>
          </cell>
        </row>
        <row r="89">
          <cell r="A89" t="str">
            <v>DO-YULQ081-PI-10</v>
          </cell>
          <cell r="B89" t="str">
            <v>DO-YULQ081</v>
          </cell>
          <cell r="C89">
            <v>0</v>
          </cell>
          <cell r="D89">
            <v>0</v>
          </cell>
          <cell r="E89">
            <v>1</v>
          </cell>
          <cell r="F89">
            <v>0</v>
          </cell>
          <cell r="G89">
            <v>37.99</v>
          </cell>
        </row>
        <row r="90">
          <cell r="A90" t="str">
            <v>DO-YULQ157-W0-22</v>
          </cell>
          <cell r="B90" t="str">
            <v>DO-YULQ157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  <cell r="G90">
            <v>79.6</v>
          </cell>
        </row>
        <row r="91">
          <cell r="A91" t="str">
            <v>NZZH-FLQ52</v>
          </cell>
          <cell r="B91" t="str">
            <v>NZZH-FLQ52</v>
          </cell>
          <cell r="C91">
            <v>0</v>
          </cell>
          <cell r="D91">
            <v>1</v>
          </cell>
          <cell r="E91">
            <v>0</v>
          </cell>
          <cell r="F91">
            <v>0</v>
          </cell>
          <cell r="G91">
            <v>16.99</v>
          </cell>
        </row>
        <row r="92">
          <cell r="A92" t="str">
            <v>DO-YULQ332-LGR-20</v>
          </cell>
          <cell r="B92" t="str">
            <v>DO-YULQ332</v>
          </cell>
          <cell r="C92">
            <v>0</v>
          </cell>
          <cell r="D92">
            <v>1</v>
          </cell>
          <cell r="E92">
            <v>2</v>
          </cell>
          <cell r="F92">
            <v>0</v>
          </cell>
          <cell r="G92">
            <v>89.99</v>
          </cell>
        </row>
        <row r="93">
          <cell r="A93" t="str">
            <v>DO-YULQ985-B7-20</v>
          </cell>
          <cell r="B93" t="str">
            <v>DO-YULQ905</v>
          </cell>
          <cell r="C93">
            <v>0</v>
          </cell>
          <cell r="D93">
            <v>1</v>
          </cell>
          <cell r="E93">
            <v>1</v>
          </cell>
          <cell r="F93">
            <v>0</v>
          </cell>
          <cell r="G93">
            <v>106.99</v>
          </cell>
        </row>
        <row r="94">
          <cell r="A94" t="str">
            <v>DO-YULQ605-PI-22</v>
          </cell>
          <cell r="B94" t="str">
            <v>DO-YULQ605</v>
          </cell>
          <cell r="C94">
            <v>4</v>
          </cell>
          <cell r="D94">
            <v>0</v>
          </cell>
          <cell r="E94">
            <v>2</v>
          </cell>
          <cell r="F94">
            <v>0</v>
          </cell>
          <cell r="G94">
            <v>79.99</v>
          </cell>
        </row>
        <row r="95">
          <cell r="A95" t="str">
            <v>DO-YULQ516-B0-22</v>
          </cell>
          <cell r="B95" t="str">
            <v>DO-YULQ516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  <cell r="G95">
            <v>89.99</v>
          </cell>
        </row>
        <row r="96">
          <cell r="A96" t="str">
            <v>DO-YULQ101-PI-22</v>
          </cell>
          <cell r="B96" t="str">
            <v>DO-YULQ101</v>
          </cell>
          <cell r="C96">
            <v>0</v>
          </cell>
          <cell r="D96">
            <v>0</v>
          </cell>
          <cell r="E96">
            <v>3</v>
          </cell>
          <cell r="F96">
            <v>0</v>
          </cell>
          <cell r="G96">
            <v>79.99</v>
          </cell>
        </row>
        <row r="97">
          <cell r="A97" t="str">
            <v>DO-YULQ232-W0-10</v>
          </cell>
          <cell r="B97" t="str">
            <v>DO-YULQ232</v>
          </cell>
          <cell r="C97">
            <v>1</v>
          </cell>
          <cell r="D97">
            <v>3</v>
          </cell>
          <cell r="E97">
            <v>2</v>
          </cell>
          <cell r="F97">
            <v>0</v>
          </cell>
          <cell r="G97">
            <v>32.99</v>
          </cell>
        </row>
        <row r="98">
          <cell r="A98" t="str">
            <v>DO-YULQ004-B7-10</v>
          </cell>
          <cell r="B98" t="str">
            <v>DO-YULQ004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29.99</v>
          </cell>
        </row>
        <row r="99">
          <cell r="A99" t="str">
            <v>DO-YULQ604-PI-22</v>
          </cell>
          <cell r="B99" t="str">
            <v>DO-YULQ604</v>
          </cell>
          <cell r="C99">
            <v>3</v>
          </cell>
          <cell r="D99">
            <v>1</v>
          </cell>
          <cell r="E99">
            <v>0</v>
          </cell>
          <cell r="F99">
            <v>0</v>
          </cell>
          <cell r="G99">
            <v>89.99</v>
          </cell>
        </row>
        <row r="100">
          <cell r="A100" t="str">
            <v>DOLL-0603-NZ-22</v>
          </cell>
          <cell r="B100" t="str">
            <v>DOLL-0603</v>
          </cell>
          <cell r="C100">
            <v>1</v>
          </cell>
          <cell r="D100">
            <v>1</v>
          </cell>
          <cell r="E100">
            <v>2</v>
          </cell>
          <cell r="F100">
            <v>0</v>
          </cell>
          <cell r="G100">
            <v>89.6</v>
          </cell>
        </row>
        <row r="101">
          <cell r="A101" t="str">
            <v>DO-YULQ703-PI-22</v>
          </cell>
          <cell r="B101" t="str">
            <v>DO-YULQ703</v>
          </cell>
          <cell r="C101">
            <v>3</v>
          </cell>
          <cell r="D101">
            <v>0</v>
          </cell>
          <cell r="E101">
            <v>1</v>
          </cell>
          <cell r="F101">
            <v>0</v>
          </cell>
          <cell r="G101">
            <v>89.99</v>
          </cell>
        </row>
        <row r="102">
          <cell r="A102" t="str">
            <v>DO-YULQ605-PI-16</v>
          </cell>
          <cell r="B102" t="str">
            <v>DO-YULQ605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  <cell r="G102">
            <v>79.99</v>
          </cell>
        </row>
        <row r="103">
          <cell r="A103" t="str">
            <v>DO-YULQ004-B7-11</v>
          </cell>
          <cell r="B103" t="str">
            <v>DO-YULQ004</v>
          </cell>
          <cell r="C103">
            <v>0</v>
          </cell>
          <cell r="D103">
            <v>1</v>
          </cell>
          <cell r="E103">
            <v>1</v>
          </cell>
          <cell r="F103">
            <v>0</v>
          </cell>
          <cell r="G103">
            <v>32.99</v>
          </cell>
        </row>
        <row r="104">
          <cell r="A104" t="str">
            <v>DO-YULQ115-R2-22</v>
          </cell>
          <cell r="B104" t="str">
            <v>DO-YULQ115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89.6</v>
          </cell>
        </row>
        <row r="105">
          <cell r="A105" t="str">
            <v>DO-YULQ073-LGR-22</v>
          </cell>
          <cell r="B105" t="str">
            <v>DO-YULQ073</v>
          </cell>
          <cell r="C105">
            <v>2</v>
          </cell>
          <cell r="D105">
            <v>2</v>
          </cell>
          <cell r="E105">
            <v>1</v>
          </cell>
          <cell r="F105">
            <v>0</v>
          </cell>
          <cell r="G105">
            <v>89.99</v>
          </cell>
        </row>
        <row r="106">
          <cell r="A106" t="str">
            <v>DOLL-7056-0R-11</v>
          </cell>
          <cell r="B106" t="str">
            <v>DOLL-7056</v>
          </cell>
          <cell r="C106">
            <v>1</v>
          </cell>
          <cell r="D106">
            <v>0</v>
          </cell>
          <cell r="E106">
            <v>1</v>
          </cell>
          <cell r="F106">
            <v>0</v>
          </cell>
          <cell r="G106">
            <v>32.99</v>
          </cell>
        </row>
        <row r="107">
          <cell r="A107" t="str">
            <v>DOLL-1523-B7-22</v>
          </cell>
          <cell r="B107" t="str">
            <v>DOLL-1523</v>
          </cell>
          <cell r="C107">
            <v>0</v>
          </cell>
          <cell r="D107">
            <v>1</v>
          </cell>
          <cell r="E107">
            <v>0</v>
          </cell>
          <cell r="F107">
            <v>0</v>
          </cell>
          <cell r="G107">
            <v>79.99</v>
          </cell>
        </row>
        <row r="108">
          <cell r="A108" t="str">
            <v>DO-YULQ172-BD-22</v>
          </cell>
          <cell r="B108" t="str">
            <v>DO-YULQ172</v>
          </cell>
          <cell r="C108">
            <v>1</v>
          </cell>
          <cell r="D108">
            <v>1</v>
          </cell>
          <cell r="E108">
            <v>0</v>
          </cell>
          <cell r="F108">
            <v>0</v>
          </cell>
          <cell r="G108">
            <v>79.99</v>
          </cell>
        </row>
        <row r="109">
          <cell r="A109" t="str">
            <v>DOLL-004-LB-10</v>
          </cell>
          <cell r="B109" t="str">
            <v>DOLL-004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  <cell r="G109">
            <v>32.99</v>
          </cell>
        </row>
        <row r="110">
          <cell r="A110" t="str">
            <v>DOLL-007XM-WO-17</v>
          </cell>
          <cell r="B110" t="str">
            <v>DOLL-007</v>
          </cell>
          <cell r="C110">
            <v>1</v>
          </cell>
          <cell r="D110">
            <v>1</v>
          </cell>
          <cell r="E110">
            <v>0</v>
          </cell>
          <cell r="F110">
            <v>0</v>
          </cell>
          <cell r="G110">
            <v>79.99</v>
          </cell>
        </row>
        <row r="111">
          <cell r="A111" t="str">
            <v>DOLLDRESS-003-WO-M</v>
          </cell>
          <cell r="B111" t="str">
            <v>DOLLDRESS-003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19.99</v>
          </cell>
        </row>
        <row r="112">
          <cell r="A112" t="str">
            <v>DO-YULQ158-W0-22</v>
          </cell>
          <cell r="B112" t="str">
            <v>DO-YULQ158</v>
          </cell>
          <cell r="C112">
            <v>1</v>
          </cell>
          <cell r="D112">
            <v>1</v>
          </cell>
          <cell r="E112">
            <v>0</v>
          </cell>
          <cell r="F112">
            <v>0</v>
          </cell>
          <cell r="G112">
            <v>99.6</v>
          </cell>
        </row>
        <row r="113">
          <cell r="A113" t="str">
            <v>DO-YULQ639-R2-22</v>
          </cell>
          <cell r="B113" t="str">
            <v>DO-YULQ639</v>
          </cell>
          <cell r="C113">
            <v>0</v>
          </cell>
          <cell r="D113">
            <v>2</v>
          </cell>
          <cell r="E113">
            <v>0</v>
          </cell>
          <cell r="F113">
            <v>0</v>
          </cell>
          <cell r="G113">
            <v>99.99</v>
          </cell>
        </row>
        <row r="114">
          <cell r="A114" t="str">
            <v>DO-YULQ639-LGR-22</v>
          </cell>
          <cell r="B114" t="str">
            <v>DO-YULQ639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99.99</v>
          </cell>
        </row>
        <row r="115">
          <cell r="A115" t="str">
            <v>DO-YULQ152-B7-22</v>
          </cell>
          <cell r="B115" t="str">
            <v>DO-YULQ152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DO-YULQ100-G0-10</v>
          </cell>
          <cell r="B116" t="str">
            <v>DO-YULQ100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  <cell r="G116">
            <v>32.99</v>
          </cell>
        </row>
        <row r="117">
          <cell r="A117" t="str">
            <v>DO-YULQ638-LGR-20</v>
          </cell>
          <cell r="B117" t="str">
            <v>DO-YULQ638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99.6</v>
          </cell>
        </row>
        <row r="118">
          <cell r="A118" t="str">
            <v>DO-YULQ011-NZ-22</v>
          </cell>
          <cell r="B118" t="str">
            <v>DO-YULQ011</v>
          </cell>
          <cell r="C118">
            <v>3</v>
          </cell>
          <cell r="D118">
            <v>0</v>
          </cell>
          <cell r="E118">
            <v>0</v>
          </cell>
          <cell r="F118">
            <v>0</v>
          </cell>
          <cell r="G118">
            <v>79.99</v>
          </cell>
        </row>
        <row r="119">
          <cell r="A119" t="str">
            <v>DOLL-AD010-03R-22</v>
          </cell>
          <cell r="B119" t="str">
            <v>DOLL-AD010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89.6</v>
          </cell>
        </row>
        <row r="120">
          <cell r="A120" t="str">
            <v>DO-YULQ063-PI-22</v>
          </cell>
          <cell r="B120" t="str">
            <v>DO-YULQ063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79.99</v>
          </cell>
        </row>
        <row r="121">
          <cell r="A121" t="str">
            <v>DO-YULQ708-W0-24</v>
          </cell>
          <cell r="B121" t="str">
            <v>DO-YULQ708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108.99</v>
          </cell>
        </row>
        <row r="122">
          <cell r="A122" t="str">
            <v>DO-YULQ705-BR-11</v>
          </cell>
          <cell r="B122" t="str">
            <v>DO-YULQ705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32.99</v>
          </cell>
        </row>
        <row r="123">
          <cell r="A123" t="str">
            <v>DO-YULQ165-PI-16</v>
          </cell>
          <cell r="B123" t="str">
            <v>DO-YULQ165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79.99</v>
          </cell>
        </row>
        <row r="124">
          <cell r="A124" t="str">
            <v>DO-YULQ105-R2-22</v>
          </cell>
          <cell r="B124" t="str">
            <v>DO-YULQ105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89.99</v>
          </cell>
        </row>
        <row r="1182">
          <cell r="A1182" t="str">
            <v>DO-YULQ171-LGR-22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DO-YULQ010</v>
          </cell>
          <cell r="B2">
            <v>83.5194117647059</v>
          </cell>
        </row>
        <row r="3">
          <cell r="A3" t="str">
            <v>DOLL-0605</v>
          </cell>
          <cell r="B3">
            <v>89.99</v>
          </cell>
        </row>
        <row r="4">
          <cell r="A4" t="str">
            <v>DOLL-010</v>
          </cell>
          <cell r="B4">
            <v>98.9899999999999</v>
          </cell>
        </row>
        <row r="5">
          <cell r="A5" t="str">
            <v>DO-YULQ001</v>
          </cell>
          <cell r="B5">
            <v>91.9899999999998</v>
          </cell>
        </row>
        <row r="6">
          <cell r="A6" t="str">
            <v>DOLL-0601</v>
          </cell>
          <cell r="B6">
            <v>89.99</v>
          </cell>
        </row>
        <row r="7">
          <cell r="A7" t="str">
            <v>DO-YULQ100</v>
          </cell>
          <cell r="B7">
            <v>84.712222222222</v>
          </cell>
        </row>
        <row r="8">
          <cell r="A8" t="str">
            <v>DOLLDRESS-003</v>
          </cell>
          <cell r="B8">
            <v>21.7335897435897</v>
          </cell>
        </row>
        <row r="9">
          <cell r="A9" t="str">
            <v>DO-YULQ707</v>
          </cell>
          <cell r="B9">
            <v>108.99</v>
          </cell>
        </row>
        <row r="10">
          <cell r="A10" t="str">
            <v>DOLL-1613</v>
          </cell>
          <cell r="B10">
            <v>59.99</v>
          </cell>
        </row>
        <row r="11">
          <cell r="A11" t="str">
            <v>DO-YULQ173</v>
          </cell>
          <cell r="B11">
            <v>89.99</v>
          </cell>
        </row>
        <row r="12">
          <cell r="A12" t="str">
            <v>DOLL-020</v>
          </cell>
          <cell r="B12">
            <v>89.99</v>
          </cell>
        </row>
        <row r="13">
          <cell r="A13" t="str">
            <v>DO-YULQ123</v>
          </cell>
          <cell r="B13">
            <v>89.99</v>
          </cell>
        </row>
        <row r="14">
          <cell r="A14" t="str">
            <v>DO-YULQ062</v>
          </cell>
          <cell r="B14">
            <v>89.6370588235294</v>
          </cell>
        </row>
        <row r="15">
          <cell r="A15" t="str">
            <v>DO-YULQ812</v>
          </cell>
          <cell r="B15">
            <v>89.99</v>
          </cell>
        </row>
        <row r="16">
          <cell r="A16" t="str">
            <v>DO-YULQ152</v>
          </cell>
          <cell r="B16">
            <v>89.99</v>
          </cell>
        </row>
        <row r="17">
          <cell r="A17" t="str">
            <v>DO-YULQ012</v>
          </cell>
          <cell r="B17">
            <v>89.99</v>
          </cell>
        </row>
        <row r="18">
          <cell r="A18" t="str">
            <v>DO-YULQ700</v>
          </cell>
          <cell r="B18">
            <v>99.99</v>
          </cell>
        </row>
        <row r="19">
          <cell r="A19" t="str">
            <v>DO-YULQ620</v>
          </cell>
          <cell r="B19">
            <v>81.9344444444444</v>
          </cell>
        </row>
        <row r="20">
          <cell r="A20" t="str">
            <v>DO-YULQ070</v>
          </cell>
          <cell r="B20">
            <v>79.99</v>
          </cell>
        </row>
        <row r="21">
          <cell r="A21" t="str">
            <v>DO-YULQ081</v>
          </cell>
          <cell r="B21">
            <v>37.99</v>
          </cell>
        </row>
        <row r="22">
          <cell r="A22" t="str">
            <v>DO-YULQ203</v>
          </cell>
          <cell r="B22">
            <v>89.99</v>
          </cell>
        </row>
        <row r="23">
          <cell r="A23" t="str">
            <v>DOLL-7056</v>
          </cell>
          <cell r="B23">
            <v>33.99</v>
          </cell>
        </row>
        <row r="24">
          <cell r="A24" t="str">
            <v>YF-YULQ007</v>
          </cell>
          <cell r="B24">
            <v>21.99</v>
          </cell>
        </row>
        <row r="25">
          <cell r="A25" t="str">
            <v>DOLL-008</v>
          </cell>
          <cell r="B25">
            <v>89.6</v>
          </cell>
        </row>
        <row r="26">
          <cell r="A26" t="str">
            <v>DO-YULQ159</v>
          </cell>
          <cell r="B26">
            <v>99.6</v>
          </cell>
        </row>
        <row r="27">
          <cell r="A27" t="str">
            <v>DO-YULQ071</v>
          </cell>
          <cell r="B27">
            <v>79.99</v>
          </cell>
        </row>
        <row r="28">
          <cell r="A28" t="str">
            <v>DO-YULQ018</v>
          </cell>
          <cell r="B28">
            <v>88.3233333333333</v>
          </cell>
        </row>
        <row r="29">
          <cell r="A29" t="str">
            <v>DO-YULQ107</v>
          </cell>
          <cell r="B29">
            <v>89.99</v>
          </cell>
        </row>
        <row r="30">
          <cell r="A30" t="str">
            <v>DOLL-1630</v>
          </cell>
          <cell r="B30">
            <v>99.99</v>
          </cell>
        </row>
        <row r="31">
          <cell r="A31" t="str">
            <v>DO-YULQ230</v>
          </cell>
          <cell r="B31">
            <v>79.99</v>
          </cell>
        </row>
        <row r="32">
          <cell r="A32" t="str">
            <v>DO-YULQ701</v>
          </cell>
          <cell r="B32">
            <v>93.1566666666667</v>
          </cell>
        </row>
        <row r="33">
          <cell r="A33" t="str">
            <v>YF-YULQ602</v>
          </cell>
          <cell r="B33">
            <v>21.99</v>
          </cell>
        </row>
        <row r="34">
          <cell r="A34" t="str">
            <v>DO-YULQ153</v>
          </cell>
          <cell r="B34">
            <v>95.99</v>
          </cell>
        </row>
        <row r="35">
          <cell r="A35" t="str">
            <v>DO-YULQ061</v>
          </cell>
          <cell r="B35">
            <v>96.678</v>
          </cell>
        </row>
        <row r="36">
          <cell r="A36" t="str">
            <v>DO-YULQ161</v>
          </cell>
          <cell r="B36">
            <v>86.6566666666667</v>
          </cell>
        </row>
        <row r="37">
          <cell r="A37" t="str">
            <v>DO-YULQ171</v>
          </cell>
          <cell r="B37">
            <v>91.9236363636364</v>
          </cell>
        </row>
        <row r="38">
          <cell r="A38" t="str">
            <v>DO-YULQ058</v>
          </cell>
          <cell r="B38">
            <v>32.99</v>
          </cell>
        </row>
        <row r="39">
          <cell r="A39" t="str">
            <v>DOLL-9042</v>
          </cell>
          <cell r="B39">
            <v>88.74</v>
          </cell>
        </row>
        <row r="40">
          <cell r="A40" t="str">
            <v>YF-YULQ905</v>
          </cell>
          <cell r="B40">
            <v>21.99</v>
          </cell>
        </row>
        <row r="41">
          <cell r="A41" t="str">
            <v>DO-YULQ150</v>
          </cell>
          <cell r="B41">
            <v>88.79</v>
          </cell>
        </row>
        <row r="42">
          <cell r="A42" t="str">
            <v>DOLL-AD011</v>
          </cell>
          <cell r="B42">
            <v>99.6</v>
          </cell>
        </row>
        <row r="43">
          <cell r="A43" t="str">
            <v>YF-YULQ002</v>
          </cell>
          <cell r="B43">
            <v>21.99</v>
          </cell>
        </row>
        <row r="44">
          <cell r="A44" t="str">
            <v>DOLL-0630</v>
          </cell>
          <cell r="B44">
            <v>89.99</v>
          </cell>
        </row>
        <row r="45">
          <cell r="A45" t="str">
            <v>DO-YULQ163</v>
          </cell>
          <cell r="B45">
            <v>89.99</v>
          </cell>
        </row>
        <row r="46">
          <cell r="A46" t="str">
            <v>DOLL-004</v>
          </cell>
          <cell r="B46">
            <v>32.99</v>
          </cell>
        </row>
        <row r="47">
          <cell r="A47" t="str">
            <v>YF-YULQ003</v>
          </cell>
          <cell r="B47">
            <v>21.99</v>
          </cell>
        </row>
        <row r="48">
          <cell r="A48" t="str">
            <v>DO-YULQ705</v>
          </cell>
          <cell r="B48">
            <v>34.59</v>
          </cell>
        </row>
        <row r="49">
          <cell r="A49" t="str">
            <v>DO-YULQ121</v>
          </cell>
          <cell r="B49">
            <v>89.99</v>
          </cell>
        </row>
        <row r="50">
          <cell r="A50" t="str">
            <v>DOLL-006</v>
          </cell>
          <cell r="B50">
            <v>27.1664705882353</v>
          </cell>
        </row>
        <row r="51">
          <cell r="A51" t="str">
            <v>DO-YULQ702</v>
          </cell>
          <cell r="B51">
            <v>99.99</v>
          </cell>
        </row>
        <row r="52">
          <cell r="A52" t="str">
            <v>DO-YULQ704</v>
          </cell>
          <cell r="B52">
            <v>108.99</v>
          </cell>
        </row>
        <row r="53">
          <cell r="A53" t="str">
            <v>DO-YULQ631</v>
          </cell>
          <cell r="B53">
            <v>99.99</v>
          </cell>
        </row>
        <row r="54">
          <cell r="A54" t="str">
            <v>DO-YULQ610</v>
          </cell>
          <cell r="B54">
            <v>89.99</v>
          </cell>
        </row>
        <row r="55">
          <cell r="A55" t="str">
            <v>YF-YULQ162</v>
          </cell>
          <cell r="B55">
            <v>21.99</v>
          </cell>
        </row>
        <row r="56">
          <cell r="A56" t="str">
            <v>DO-YULQ162</v>
          </cell>
          <cell r="B56">
            <v>85.99</v>
          </cell>
        </row>
        <row r="57">
          <cell r="A57" t="str">
            <v>DO-YULQ021</v>
          </cell>
          <cell r="B57">
            <v>99.99</v>
          </cell>
        </row>
        <row r="58">
          <cell r="A58" t="str">
            <v>DO-YULQ638</v>
          </cell>
          <cell r="B58">
            <v>99.6</v>
          </cell>
        </row>
        <row r="59">
          <cell r="A59" t="str">
            <v>DOLL-005</v>
          </cell>
          <cell r="B59">
            <v>26.99</v>
          </cell>
        </row>
        <row r="60">
          <cell r="A60" t="str">
            <v>DO-YULQ663</v>
          </cell>
          <cell r="B60">
            <v>79.99</v>
          </cell>
        </row>
        <row r="61">
          <cell r="A61" t="str">
            <v>DO-YULQ111</v>
          </cell>
          <cell r="B61">
            <v>82.5614285714286</v>
          </cell>
        </row>
        <row r="62">
          <cell r="A62" t="str">
            <v>DO-YULQ200</v>
          </cell>
          <cell r="B62">
            <v>32.99</v>
          </cell>
        </row>
        <row r="63">
          <cell r="A63" t="str">
            <v>DO-YULQ664</v>
          </cell>
          <cell r="B63">
            <v>79.99</v>
          </cell>
        </row>
        <row r="64">
          <cell r="A64" t="str">
            <v>DOLLDRESS-1612</v>
          </cell>
          <cell r="B64">
            <v>23.99</v>
          </cell>
        </row>
        <row r="65">
          <cell r="A65" t="str">
            <v>DO-YULQ630</v>
          </cell>
          <cell r="B65">
            <v>79.99</v>
          </cell>
        </row>
        <row r="66">
          <cell r="A66" t="str">
            <v>DO-YULQ157</v>
          </cell>
          <cell r="B66">
            <v>79.6</v>
          </cell>
        </row>
        <row r="67">
          <cell r="A67" t="str">
            <v>NZZH-FLQ52</v>
          </cell>
          <cell r="B67">
            <v>16.99</v>
          </cell>
        </row>
        <row r="68">
          <cell r="A68" t="str">
            <v>DO-YULQ332</v>
          </cell>
          <cell r="B68">
            <v>89.99</v>
          </cell>
        </row>
        <row r="69">
          <cell r="A69" t="str">
            <v>DO-YULQ905</v>
          </cell>
          <cell r="B69">
            <v>106.99</v>
          </cell>
        </row>
        <row r="70">
          <cell r="A70" t="str">
            <v>DO-YULQ605</v>
          </cell>
          <cell r="B70">
            <v>79.99</v>
          </cell>
        </row>
        <row r="71">
          <cell r="A71" t="str">
            <v>DO-YULQ516</v>
          </cell>
          <cell r="B71">
            <v>89.99</v>
          </cell>
        </row>
        <row r="72">
          <cell r="A72" t="str">
            <v>DO-YULQ101</v>
          </cell>
          <cell r="B72">
            <v>79.99</v>
          </cell>
        </row>
        <row r="73">
          <cell r="A73" t="str">
            <v>DO-YULQ232</v>
          </cell>
          <cell r="B73">
            <v>32.99</v>
          </cell>
        </row>
        <row r="74">
          <cell r="A74" t="str">
            <v>DO-YULQ004</v>
          </cell>
          <cell r="B74">
            <v>31.99</v>
          </cell>
        </row>
        <row r="75">
          <cell r="A75" t="str">
            <v>DO-YULQ604</v>
          </cell>
          <cell r="B75">
            <v>89.99</v>
          </cell>
        </row>
        <row r="76">
          <cell r="A76" t="str">
            <v>DOLL-0603</v>
          </cell>
          <cell r="B76">
            <v>89.6</v>
          </cell>
        </row>
        <row r="77">
          <cell r="A77" t="str">
            <v>DO-YULQ703</v>
          </cell>
          <cell r="B77">
            <v>89.99</v>
          </cell>
        </row>
        <row r="78">
          <cell r="A78" t="str">
            <v>DO-YULQ115</v>
          </cell>
          <cell r="B78">
            <v>89.6</v>
          </cell>
        </row>
        <row r="79">
          <cell r="A79" t="str">
            <v>DO-YULQ073</v>
          </cell>
          <cell r="B79">
            <v>89.99</v>
          </cell>
        </row>
        <row r="80">
          <cell r="A80" t="str">
            <v>DOLL-1523</v>
          </cell>
          <cell r="B80">
            <v>79.99</v>
          </cell>
        </row>
        <row r="81">
          <cell r="A81" t="str">
            <v>DO-YULQ172</v>
          </cell>
          <cell r="B81">
            <v>79.99</v>
          </cell>
        </row>
        <row r="82">
          <cell r="A82" t="str">
            <v>DOLL-007</v>
          </cell>
          <cell r="B82">
            <v>79.99</v>
          </cell>
        </row>
        <row r="83">
          <cell r="A83" t="str">
            <v>DO-YULQ158</v>
          </cell>
          <cell r="B83">
            <v>99.6</v>
          </cell>
        </row>
        <row r="84">
          <cell r="A84" t="str">
            <v>DO-YULQ639</v>
          </cell>
          <cell r="B84">
            <v>99.99</v>
          </cell>
        </row>
        <row r="85">
          <cell r="A85" t="str">
            <v>DO-YULQ011</v>
          </cell>
          <cell r="B85">
            <v>79.99</v>
          </cell>
        </row>
        <row r="86">
          <cell r="A86" t="str">
            <v>DOLL-AD010</v>
          </cell>
          <cell r="B86">
            <v>89.6</v>
          </cell>
        </row>
        <row r="87">
          <cell r="A87" t="str">
            <v>DO-YULQ063</v>
          </cell>
          <cell r="B87">
            <v>79.99</v>
          </cell>
        </row>
        <row r="88">
          <cell r="A88" t="str">
            <v>DO-YULQ708</v>
          </cell>
          <cell r="B88">
            <v>108.99</v>
          </cell>
        </row>
        <row r="89">
          <cell r="A89" t="str">
            <v>DO-YULQ165</v>
          </cell>
          <cell r="B89">
            <v>79.99</v>
          </cell>
        </row>
        <row r="90">
          <cell r="A90" t="str">
            <v>DO-YULQ105</v>
          </cell>
          <cell r="B90">
            <v>89.99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8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70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43269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2018/7/9-2018/7/15</v>
      </c>
      <c r="E3" s="13" t="str">
        <f>TEXT(时间!$B$8,"yyyy/M/d")&amp;"-"&amp;TEXT(时间!$B$7,"yyyy/M/d")</f>
        <v>2018/7/2-2018/7/8</v>
      </c>
      <c r="F3" s="13" t="str">
        <f>TEXT(时间!$B$10,"yyyy/M/d")&amp;"-"&amp;TEXT(时间!$B$9,"yyyy/M/d")</f>
        <v>2018/6/25-2018/7/1</v>
      </c>
      <c r="G3" s="13" t="str">
        <f>TEXT(时间!$B$12,"yyyy/M/d")&amp;"-"&amp;TEXT(时间!$B$11,"yyyy/M/d")</f>
        <v>2018/6/18-2018/6/24</v>
      </c>
      <c r="I3" s="13"/>
      <c r="J3" s="13"/>
      <c r="K3" s="13"/>
      <c r="L3" s="13"/>
      <c r="M3" s="13"/>
      <c r="N3" s="13"/>
      <c r="O3" s="20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9" t="s">
        <v>28</v>
      </c>
      <c r="Q4" s="19" t="s">
        <v>29</v>
      </c>
      <c r="R4" s="19" t="s">
        <v>30</v>
      </c>
      <c r="S4" s="19" t="s">
        <v>31</v>
      </c>
      <c r="T4" s="19" t="s">
        <v>32</v>
      </c>
      <c r="U4" s="19" t="s">
        <v>33</v>
      </c>
      <c r="V4" s="19" t="s">
        <v>34</v>
      </c>
      <c r="W4" s="19" t="s">
        <v>35</v>
      </c>
      <c r="X4" s="19" t="s">
        <v>36</v>
      </c>
      <c r="Y4" s="19" t="s">
        <v>37</v>
      </c>
      <c r="Z4" s="19" t="s">
        <v>38</v>
      </c>
      <c r="AA4" s="19" t="s">
        <v>39</v>
      </c>
      <c r="AB4" s="19" t="s">
        <v>40</v>
      </c>
      <c r="AC4" s="19" t="s">
        <v>41</v>
      </c>
      <c r="AD4" s="19" t="s">
        <v>42</v>
      </c>
      <c r="AE4" s="19" t="s">
        <v>43</v>
      </c>
      <c r="AF4" s="19">
        <f>时间!$B$6</f>
        <v>43290</v>
      </c>
      <c r="AG4" s="19">
        <f>时间!$B$7</f>
        <v>43289</v>
      </c>
      <c r="AH4" s="19">
        <f>时间!$B$8</f>
        <v>43283</v>
      </c>
      <c r="AI4" s="19">
        <f>时间!$B$9</f>
        <v>43282</v>
      </c>
      <c r="AJ4" s="19">
        <f>时间!$B$6</f>
        <v>43290</v>
      </c>
      <c r="AK4" s="19">
        <f>时间!$B$7</f>
        <v>43289</v>
      </c>
      <c r="AL4" s="19">
        <f>时间!$B$8</f>
        <v>43283</v>
      </c>
      <c r="AM4" s="19">
        <f>时间!$B$9</f>
        <v>43282</v>
      </c>
      <c r="AN4" s="19">
        <f>时间!$B$6</f>
        <v>43290</v>
      </c>
      <c r="AO4" s="19">
        <f>时间!$B$7</f>
        <v>43289</v>
      </c>
      <c r="AP4" s="19">
        <f>时间!$B$8</f>
        <v>43283</v>
      </c>
      <c r="AQ4" s="19">
        <f>时间!$B$9</f>
        <v>43282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260</v>
      </c>
      <c r="E5" s="4">
        <f>SUM(E6:E170)</f>
        <v>228</v>
      </c>
      <c r="F5" s="4">
        <f>SUM(F6:F170)</f>
        <v>261</v>
      </c>
      <c r="G5" s="4">
        <f>SUM(G6:G170)</f>
        <v>233</v>
      </c>
      <c r="I5" s="4">
        <f t="shared" ref="I5:O5" si="4">SUM(I6:I170)</f>
        <v>2333</v>
      </c>
      <c r="J5" s="4">
        <f t="shared" si="4"/>
        <v>98</v>
      </c>
      <c r="K5" s="4">
        <f t="shared" si="4"/>
        <v>11</v>
      </c>
      <c r="L5" s="4">
        <f t="shared" si="4"/>
        <v>172</v>
      </c>
      <c r="M5" s="4">
        <f t="shared" si="4"/>
        <v>2614</v>
      </c>
      <c r="N5" s="4">
        <f t="shared" si="4"/>
        <v>48</v>
      </c>
      <c r="O5" s="4">
        <f t="shared" si="4"/>
        <v>452</v>
      </c>
      <c r="AB5" s="4">
        <f>SUM(AB6:AB170)</f>
        <v>1172.06</v>
      </c>
      <c r="AC5" s="4">
        <f>SUM(AC6:AC170)</f>
        <v>1058.24</v>
      </c>
      <c r="AD5" s="4">
        <f>SUM(AD6:AD170)</f>
        <v>1164.84</v>
      </c>
      <c r="AE5" s="4">
        <f>SUM(AE6:AE170)</f>
        <v>1347.57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19" t="s">
        <v>51</v>
      </c>
      <c r="B6" t="s">
        <v>52</v>
      </c>
      <c r="C6" t="s">
        <v>53</v>
      </c>
      <c r="D6" s="31">
        <v>27</v>
      </c>
      <c r="E6" s="31">
        <v>24</v>
      </c>
      <c r="F6" s="31">
        <v>24</v>
      </c>
      <c r="G6" s="31">
        <v>31</v>
      </c>
      <c r="H6" s="32">
        <v>91.9899999999998</v>
      </c>
      <c r="I6">
        <v>197</v>
      </c>
      <c r="J6" s="33">
        <v>0</v>
      </c>
      <c r="K6" s="33">
        <v>0</v>
      </c>
      <c r="L6" s="33">
        <v>0</v>
      </c>
      <c r="M6">
        <v>197</v>
      </c>
      <c r="N6">
        <v>5</v>
      </c>
      <c r="O6">
        <v>0</v>
      </c>
      <c r="P6">
        <v>33402</v>
      </c>
      <c r="Q6">
        <v>17343</v>
      </c>
      <c r="R6">
        <v>121521</v>
      </c>
      <c r="S6">
        <v>133645</v>
      </c>
      <c r="T6">
        <v>206</v>
      </c>
      <c r="U6">
        <v>76</v>
      </c>
      <c r="V6">
        <v>679</v>
      </c>
      <c r="W6">
        <v>816</v>
      </c>
      <c r="X6" s="23">
        <v>0.00616729537153464</v>
      </c>
      <c r="Y6" s="23">
        <v>0.00438217148128928</v>
      </c>
      <c r="Z6" s="23">
        <v>0.0055875116235054</v>
      </c>
      <c r="AA6" s="23">
        <v>0.00610572786112462</v>
      </c>
      <c r="AB6">
        <v>66.93</v>
      </c>
      <c r="AC6">
        <v>12.56</v>
      </c>
      <c r="AD6">
        <v>111.47</v>
      </c>
      <c r="AE6">
        <v>130.78</v>
      </c>
      <c r="AF6" s="23">
        <v>0.0269473735067822</v>
      </c>
      <c r="AG6" s="23">
        <v>0.00568902416929378</v>
      </c>
      <c r="AH6" s="23">
        <v>0.0504900895024823</v>
      </c>
      <c r="AI6" s="23">
        <v>0.045860524811603</v>
      </c>
      <c r="AJ6">
        <v>1053</v>
      </c>
      <c r="AK6">
        <v>732</v>
      </c>
      <c r="AL6">
        <v>1277</v>
      </c>
      <c r="AM6">
        <v>1411</v>
      </c>
      <c r="AN6" s="23">
        <v>0.0256410256410256</v>
      </c>
      <c r="AO6" s="23">
        <v>0.0327868852459016</v>
      </c>
      <c r="AP6" s="23">
        <v>0.0187940485512921</v>
      </c>
      <c r="AQ6" s="23">
        <v>0.0219702338766832</v>
      </c>
      <c r="AR6" s="35">
        <v>3.85714285714286</v>
      </c>
      <c r="AS6" s="35">
        <v>231.428571428571</v>
      </c>
      <c r="AT6" s="35">
        <v>-34.4285714285714</v>
      </c>
      <c r="AU6" s="31">
        <f t="shared" si="3"/>
        <v>51</v>
      </c>
      <c r="AV6" s="36">
        <f>IFERROR(时间!$B$4+AU6,"上周无销量")</f>
        <v>43348</v>
      </c>
    </row>
    <row r="7" spans="1:48">
      <c r="A7" s="19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3" t="s">
        <v>57</v>
      </c>
      <c r="Y7" s="23" t="s">
        <v>57</v>
      </c>
      <c r="Z7" s="23" t="s">
        <v>57</v>
      </c>
      <c r="AA7" s="23" t="s">
        <v>57</v>
      </c>
      <c r="AB7" t="s">
        <v>57</v>
      </c>
      <c r="AC7" t="s">
        <v>57</v>
      </c>
      <c r="AD7" t="s">
        <v>57</v>
      </c>
      <c r="AE7" t="s">
        <v>57</v>
      </c>
      <c r="AF7" s="23" t="s">
        <v>57</v>
      </c>
      <c r="AG7" s="23" t="s">
        <v>57</v>
      </c>
      <c r="AH7" s="23" t="s">
        <v>57</v>
      </c>
      <c r="AI7" s="23" t="s">
        <v>57</v>
      </c>
      <c r="AJ7">
        <v>9</v>
      </c>
      <c r="AK7">
        <v>11</v>
      </c>
      <c r="AL7">
        <v>68</v>
      </c>
      <c r="AM7">
        <v>21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19" t="s">
        <v>58</v>
      </c>
      <c r="B8" t="s">
        <v>59</v>
      </c>
      <c r="C8" t="s">
        <v>60</v>
      </c>
      <c r="D8" s="31">
        <v>0</v>
      </c>
      <c r="E8" s="31">
        <v>1</v>
      </c>
      <c r="F8" s="31">
        <v>1</v>
      </c>
      <c r="G8" s="31">
        <v>0</v>
      </c>
      <c r="H8" s="32">
        <v>32.99</v>
      </c>
      <c r="I8">
        <v>67</v>
      </c>
      <c r="J8" s="33">
        <v>0</v>
      </c>
      <c r="K8" s="33">
        <v>0</v>
      </c>
      <c r="L8" s="33">
        <v>0</v>
      </c>
      <c r="M8">
        <v>67</v>
      </c>
      <c r="N8">
        <v>0</v>
      </c>
      <c r="O8">
        <v>4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3" t="s">
        <v>57</v>
      </c>
      <c r="Y8" s="23" t="s">
        <v>57</v>
      </c>
      <c r="Z8" s="23" t="s">
        <v>57</v>
      </c>
      <c r="AA8" s="23" t="s">
        <v>57</v>
      </c>
      <c r="AB8" t="s">
        <v>57</v>
      </c>
      <c r="AC8" t="s">
        <v>57</v>
      </c>
      <c r="AD8" t="s">
        <v>57</v>
      </c>
      <c r="AE8" t="s">
        <v>57</v>
      </c>
      <c r="AF8" s="23" t="s">
        <v>57</v>
      </c>
      <c r="AG8" s="23" t="s">
        <v>57</v>
      </c>
      <c r="AH8" s="23" t="s">
        <v>57</v>
      </c>
      <c r="AI8" s="23" t="s">
        <v>57</v>
      </c>
      <c r="AJ8">
        <v>44</v>
      </c>
      <c r="AK8">
        <v>20</v>
      </c>
      <c r="AL8">
        <v>14</v>
      </c>
      <c r="AM8">
        <v>17</v>
      </c>
      <c r="AN8" s="23">
        <v>0</v>
      </c>
      <c r="AO8" s="23">
        <v>0.05</v>
      </c>
      <c r="AP8" s="23">
        <v>0.0714285714285714</v>
      </c>
      <c r="AQ8" s="23">
        <v>0</v>
      </c>
      <c r="AR8" s="35">
        <v>0</v>
      </c>
      <c r="AS8" s="35">
        <v>0</v>
      </c>
      <c r="AT8" s="35">
        <v>67</v>
      </c>
      <c r="AU8" s="31" t="str">
        <f t="shared" si="3"/>
        <v>库存为67</v>
      </c>
      <c r="AV8" s="36" t="str">
        <f>IFERROR(时间!$B$4+AU8,"上周无销量")</f>
        <v>上周无销量</v>
      </c>
    </row>
    <row r="9" spans="1:48">
      <c r="A9" s="19" t="s">
        <v>61</v>
      </c>
      <c r="B9" t="s">
        <v>62</v>
      </c>
      <c r="C9" t="s">
        <v>60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60</v>
      </c>
      <c r="J9" s="33">
        <v>0</v>
      </c>
      <c r="K9" s="33">
        <v>0</v>
      </c>
      <c r="L9" s="33">
        <v>0</v>
      </c>
      <c r="M9">
        <v>60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3" t="s">
        <v>57</v>
      </c>
      <c r="Y9" s="23" t="s">
        <v>57</v>
      </c>
      <c r="Z9" s="23" t="s">
        <v>57</v>
      </c>
      <c r="AA9" s="23" t="s">
        <v>57</v>
      </c>
      <c r="AB9" t="s">
        <v>57</v>
      </c>
      <c r="AC9" t="s">
        <v>57</v>
      </c>
      <c r="AD9" t="s">
        <v>57</v>
      </c>
      <c r="AE9" t="s">
        <v>57</v>
      </c>
      <c r="AF9" s="23" t="s">
        <v>57</v>
      </c>
      <c r="AG9" s="23" t="s">
        <v>57</v>
      </c>
      <c r="AH9" s="23" t="s">
        <v>57</v>
      </c>
      <c r="AI9" s="23" t="s">
        <v>57</v>
      </c>
      <c r="AJ9">
        <v>10</v>
      </c>
      <c r="AK9">
        <v>10</v>
      </c>
      <c r="AL9">
        <v>7</v>
      </c>
      <c r="AM9">
        <v>7</v>
      </c>
      <c r="AN9" s="23">
        <v>0</v>
      </c>
      <c r="AO9" s="23">
        <v>0</v>
      </c>
      <c r="AP9" s="23">
        <v>0</v>
      </c>
      <c r="AQ9" s="23">
        <v>0</v>
      </c>
      <c r="AR9" s="35">
        <v>0</v>
      </c>
      <c r="AS9" s="35">
        <v>0</v>
      </c>
      <c r="AT9" s="35">
        <v>60</v>
      </c>
      <c r="AU9" s="31" t="str">
        <f t="shared" si="3"/>
        <v>库存为60</v>
      </c>
      <c r="AV9" s="36" t="str">
        <f>IFERROR(时间!$B$4+AU9,"上周无销量")</f>
        <v>上周无销量</v>
      </c>
    </row>
    <row r="10" spans="1:48">
      <c r="A10" s="19" t="s">
        <v>63</v>
      </c>
      <c r="B10" t="s">
        <v>64</v>
      </c>
      <c r="C10" t="s">
        <v>65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4</v>
      </c>
      <c r="J10" s="33">
        <v>0</v>
      </c>
      <c r="K10" s="33">
        <v>0</v>
      </c>
      <c r="L10" s="33">
        <v>0</v>
      </c>
      <c r="M10">
        <v>4</v>
      </c>
      <c r="N10">
        <v>0</v>
      </c>
      <c r="O10">
        <v>4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3" t="s">
        <v>57</v>
      </c>
      <c r="Y10" s="23" t="s">
        <v>57</v>
      </c>
      <c r="Z10" s="23" t="s">
        <v>57</v>
      </c>
      <c r="AA10" s="23" t="s">
        <v>57</v>
      </c>
      <c r="AB10" t="s">
        <v>57</v>
      </c>
      <c r="AC10" t="s">
        <v>57</v>
      </c>
      <c r="AD10" t="s">
        <v>57</v>
      </c>
      <c r="AE10" t="s">
        <v>57</v>
      </c>
      <c r="AF10" s="23" t="s">
        <v>57</v>
      </c>
      <c r="AG10" s="23" t="s">
        <v>57</v>
      </c>
      <c r="AH10" s="23" t="s">
        <v>57</v>
      </c>
      <c r="AI10" s="23" t="s">
        <v>57</v>
      </c>
      <c r="AJ10">
        <v>1</v>
      </c>
      <c r="AK10">
        <v>1</v>
      </c>
      <c r="AL10">
        <v>5</v>
      </c>
      <c r="AM10">
        <v>6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4</v>
      </c>
      <c r="AU10" s="31" t="str">
        <f t="shared" si="3"/>
        <v>库存为4</v>
      </c>
      <c r="AV10" s="36" t="str">
        <f>IFERROR(时间!$B$4+AU10,"上周无销量")</f>
        <v>上周无销量</v>
      </c>
    </row>
    <row r="11" spans="1:48">
      <c r="A11" s="19" t="s">
        <v>66</v>
      </c>
      <c r="B11" t="s">
        <v>67</v>
      </c>
      <c r="C11" t="s">
        <v>68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1</v>
      </c>
      <c r="J11" s="33">
        <v>0</v>
      </c>
      <c r="K11" s="33">
        <v>0</v>
      </c>
      <c r="L11" s="33">
        <v>0</v>
      </c>
      <c r="M11">
        <v>1</v>
      </c>
      <c r="N11">
        <v>0</v>
      </c>
      <c r="O11">
        <v>0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3" t="s">
        <v>57</v>
      </c>
      <c r="Y11" s="23" t="s">
        <v>57</v>
      </c>
      <c r="Z11" s="23" t="s">
        <v>57</v>
      </c>
      <c r="AA11" s="23" t="s">
        <v>57</v>
      </c>
      <c r="AB11" t="s">
        <v>57</v>
      </c>
      <c r="AC11" t="s">
        <v>57</v>
      </c>
      <c r="AD11" t="s">
        <v>57</v>
      </c>
      <c r="AE11" t="s">
        <v>57</v>
      </c>
      <c r="AF11" s="23" t="s">
        <v>57</v>
      </c>
      <c r="AG11" s="23" t="s">
        <v>57</v>
      </c>
      <c r="AH11" s="23" t="s">
        <v>57</v>
      </c>
      <c r="AI11" s="23" t="s">
        <v>57</v>
      </c>
      <c r="AJ11">
        <v>14</v>
      </c>
      <c r="AK11">
        <v>16</v>
      </c>
      <c r="AL11">
        <v>15</v>
      </c>
      <c r="AM11">
        <v>20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1</v>
      </c>
      <c r="AU11" s="31" t="str">
        <f t="shared" si="3"/>
        <v>库存为1</v>
      </c>
      <c r="AV11" s="36" t="str">
        <f>IFERROR(时间!$B$4+AU11,"上周无销量")</f>
        <v>上周无销量</v>
      </c>
    </row>
    <row r="12" spans="1:48">
      <c r="A12" s="19" t="s">
        <v>69</v>
      </c>
      <c r="B12" t="s">
        <v>67</v>
      </c>
      <c r="C12" t="s">
        <v>68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57</v>
      </c>
      <c r="Q12" t="s">
        <v>57</v>
      </c>
      <c r="R12" t="s">
        <v>57</v>
      </c>
      <c r="S12" t="s">
        <v>57</v>
      </c>
      <c r="T12" t="s">
        <v>57</v>
      </c>
      <c r="U12" t="s">
        <v>57</v>
      </c>
      <c r="V12" t="s">
        <v>57</v>
      </c>
      <c r="W12" t="s">
        <v>57</v>
      </c>
      <c r="X12" s="23" t="s">
        <v>57</v>
      </c>
      <c r="Y12" s="23" t="s">
        <v>57</v>
      </c>
      <c r="Z12" s="23" t="s">
        <v>57</v>
      </c>
      <c r="AA12" s="23" t="s">
        <v>57</v>
      </c>
      <c r="AB12" t="s">
        <v>57</v>
      </c>
      <c r="AC12" t="s">
        <v>57</v>
      </c>
      <c r="AD12" t="s">
        <v>57</v>
      </c>
      <c r="AE12" t="s">
        <v>57</v>
      </c>
      <c r="AF12" s="23" t="s">
        <v>57</v>
      </c>
      <c r="AG12" s="23" t="s">
        <v>57</v>
      </c>
      <c r="AH12" s="23" t="s">
        <v>57</v>
      </c>
      <c r="AI12" s="23" t="s">
        <v>57</v>
      </c>
      <c r="AJ12">
        <v>14</v>
      </c>
      <c r="AK12">
        <v>16</v>
      </c>
      <c r="AL12">
        <v>15</v>
      </c>
      <c r="AM12">
        <v>20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0</v>
      </c>
      <c r="AU12" s="31" t="str">
        <f t="shared" si="3"/>
        <v>库存为0</v>
      </c>
      <c r="AV12" s="36" t="str">
        <f>IFERROR(时间!$B$4+AU12,"上周无销量")</f>
        <v>上周无销量</v>
      </c>
    </row>
    <row r="13" spans="1:48">
      <c r="A13" s="19" t="s">
        <v>70</v>
      </c>
      <c r="B13" t="s">
        <v>71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2</v>
      </c>
      <c r="J13" s="33">
        <v>0</v>
      </c>
      <c r="K13" s="33">
        <v>0</v>
      </c>
      <c r="L13" s="33">
        <v>0</v>
      </c>
      <c r="M13">
        <v>2</v>
      </c>
      <c r="N13">
        <v>0</v>
      </c>
      <c r="O13">
        <v>3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3" t="s">
        <v>57</v>
      </c>
      <c r="Y13" s="23" t="s">
        <v>57</v>
      </c>
      <c r="Z13" s="23" t="s">
        <v>57</v>
      </c>
      <c r="AA13" s="23" t="s">
        <v>57</v>
      </c>
      <c r="AB13" t="s">
        <v>57</v>
      </c>
      <c r="AC13" t="s">
        <v>57</v>
      </c>
      <c r="AD13" t="s">
        <v>57</v>
      </c>
      <c r="AE13" t="s">
        <v>57</v>
      </c>
      <c r="AF13" s="23" t="s">
        <v>57</v>
      </c>
      <c r="AG13" s="23" t="s">
        <v>57</v>
      </c>
      <c r="AH13" s="23" t="s">
        <v>57</v>
      </c>
      <c r="AI13" s="23" t="s">
        <v>57</v>
      </c>
      <c r="AJ13">
        <v>10</v>
      </c>
      <c r="AK13">
        <v>11</v>
      </c>
      <c r="AL13">
        <v>11</v>
      </c>
      <c r="AM13">
        <v>12</v>
      </c>
      <c r="AN13" s="23">
        <v>0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2</v>
      </c>
      <c r="AU13" s="31" t="str">
        <f t="shared" si="3"/>
        <v>库存为2</v>
      </c>
      <c r="AV13" s="36" t="str">
        <f>IFERROR(时间!$B$4+AU13,"上周无销量")</f>
        <v>上周无销量</v>
      </c>
    </row>
    <row r="14" spans="1:48">
      <c r="A14" s="19" t="s">
        <v>72</v>
      </c>
      <c r="B14" t="s">
        <v>71</v>
      </c>
      <c r="C14" t="s">
        <v>68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10</v>
      </c>
      <c r="J14" s="33">
        <v>0</v>
      </c>
      <c r="K14" s="33">
        <v>0</v>
      </c>
      <c r="L14" s="33">
        <v>0</v>
      </c>
      <c r="M14">
        <v>10</v>
      </c>
      <c r="N14">
        <v>0</v>
      </c>
      <c r="O14">
        <v>0</v>
      </c>
      <c r="P14" t="s">
        <v>57</v>
      </c>
      <c r="Q14" t="s">
        <v>57</v>
      </c>
      <c r="R14" t="s">
        <v>57</v>
      </c>
      <c r="S14" t="s">
        <v>57</v>
      </c>
      <c r="T14" t="s">
        <v>57</v>
      </c>
      <c r="U14" t="s">
        <v>57</v>
      </c>
      <c r="V14" t="s">
        <v>57</v>
      </c>
      <c r="W14" t="s">
        <v>57</v>
      </c>
      <c r="X14" s="23" t="s">
        <v>57</v>
      </c>
      <c r="Y14" s="23" t="s">
        <v>57</v>
      </c>
      <c r="Z14" s="23" t="s">
        <v>57</v>
      </c>
      <c r="AA14" s="23" t="s">
        <v>57</v>
      </c>
      <c r="AB14" t="s">
        <v>57</v>
      </c>
      <c r="AC14" t="s">
        <v>57</v>
      </c>
      <c r="AD14" t="s">
        <v>57</v>
      </c>
      <c r="AE14" t="s">
        <v>57</v>
      </c>
      <c r="AF14" s="23" t="s">
        <v>57</v>
      </c>
      <c r="AG14" s="23" t="s">
        <v>57</v>
      </c>
      <c r="AH14" s="23" t="s">
        <v>57</v>
      </c>
      <c r="AI14" s="23" t="s">
        <v>57</v>
      </c>
      <c r="AJ14">
        <v>10</v>
      </c>
      <c r="AK14">
        <v>11</v>
      </c>
      <c r="AL14">
        <v>11</v>
      </c>
      <c r="AM14">
        <v>12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10</v>
      </c>
      <c r="AU14" s="31" t="str">
        <f t="shared" si="3"/>
        <v>库存为10</v>
      </c>
      <c r="AV14" s="36" t="str">
        <f>IFERROR(时间!$B$4+AU14,"上周无销量")</f>
        <v>上周无销量</v>
      </c>
    </row>
    <row r="15" spans="1:48">
      <c r="A15" s="19" t="s">
        <v>73</v>
      </c>
      <c r="B15" t="s">
        <v>74</v>
      </c>
      <c r="C15" t="s">
        <v>75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19</v>
      </c>
      <c r="J15" s="33">
        <v>0</v>
      </c>
      <c r="K15" s="33">
        <v>0</v>
      </c>
      <c r="L15" s="33">
        <v>6</v>
      </c>
      <c r="M15">
        <v>25</v>
      </c>
      <c r="N15">
        <v>0</v>
      </c>
      <c r="O15">
        <v>7</v>
      </c>
      <c r="P15" t="s">
        <v>57</v>
      </c>
      <c r="Q15" t="s">
        <v>57</v>
      </c>
      <c r="R15" t="s">
        <v>57</v>
      </c>
      <c r="S15" t="s">
        <v>57</v>
      </c>
      <c r="T15" t="s">
        <v>57</v>
      </c>
      <c r="U15" t="s">
        <v>57</v>
      </c>
      <c r="V15" t="s">
        <v>57</v>
      </c>
      <c r="W15" t="s">
        <v>57</v>
      </c>
      <c r="X15" s="23" t="s">
        <v>57</v>
      </c>
      <c r="Y15" s="23" t="s">
        <v>57</v>
      </c>
      <c r="Z15" s="23" t="s">
        <v>57</v>
      </c>
      <c r="AA15" s="23" t="s">
        <v>57</v>
      </c>
      <c r="AB15" t="s">
        <v>57</v>
      </c>
      <c r="AC15" t="s">
        <v>57</v>
      </c>
      <c r="AD15" t="s">
        <v>57</v>
      </c>
      <c r="AE15" t="s">
        <v>57</v>
      </c>
      <c r="AF15" s="23" t="s">
        <v>57</v>
      </c>
      <c r="AG15" s="23" t="s">
        <v>57</v>
      </c>
      <c r="AH15" s="23" t="s">
        <v>57</v>
      </c>
      <c r="AI15" s="23" t="s">
        <v>57</v>
      </c>
      <c r="AJ15">
        <v>17</v>
      </c>
      <c r="AK15">
        <v>13</v>
      </c>
      <c r="AL15">
        <v>5</v>
      </c>
      <c r="AM15">
        <v>9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25</v>
      </c>
      <c r="AU15" s="31" t="str">
        <f t="shared" si="3"/>
        <v>库存为25</v>
      </c>
      <c r="AV15" s="36" t="str">
        <f>IFERROR(时间!$B$4+AU15,"上周无销量")</f>
        <v>上周无销量</v>
      </c>
    </row>
    <row r="16" spans="1:48">
      <c r="A16" s="19" t="s">
        <v>76</v>
      </c>
      <c r="B16" t="s">
        <v>77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22</v>
      </c>
      <c r="J16" s="33">
        <v>0</v>
      </c>
      <c r="K16" s="33">
        <v>0</v>
      </c>
      <c r="L16" s="33">
        <v>5</v>
      </c>
      <c r="M16">
        <v>27</v>
      </c>
      <c r="N16">
        <v>0</v>
      </c>
      <c r="O16">
        <v>12</v>
      </c>
      <c r="P16" t="s">
        <v>57</v>
      </c>
      <c r="Q16" t="s">
        <v>57</v>
      </c>
      <c r="R16" t="s">
        <v>57</v>
      </c>
      <c r="S16" t="s">
        <v>57</v>
      </c>
      <c r="T16" t="s">
        <v>57</v>
      </c>
      <c r="U16" t="s">
        <v>57</v>
      </c>
      <c r="V16" t="s">
        <v>57</v>
      </c>
      <c r="W16" t="s">
        <v>57</v>
      </c>
      <c r="X16" s="23" t="s">
        <v>57</v>
      </c>
      <c r="Y16" s="23" t="s">
        <v>57</v>
      </c>
      <c r="Z16" s="23" t="s">
        <v>57</v>
      </c>
      <c r="AA16" s="23" t="s">
        <v>57</v>
      </c>
      <c r="AB16" t="s">
        <v>57</v>
      </c>
      <c r="AC16" t="s">
        <v>57</v>
      </c>
      <c r="AD16" t="s">
        <v>57</v>
      </c>
      <c r="AE16" t="s">
        <v>57</v>
      </c>
      <c r="AF16" s="23" t="s">
        <v>57</v>
      </c>
      <c r="AG16" s="23" t="s">
        <v>57</v>
      </c>
      <c r="AH16" s="23" t="s">
        <v>57</v>
      </c>
      <c r="AI16" s="23" t="s">
        <v>57</v>
      </c>
      <c r="AJ16">
        <v>20</v>
      </c>
      <c r="AK16">
        <v>11</v>
      </c>
      <c r="AL16">
        <v>6</v>
      </c>
      <c r="AM16">
        <v>13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27</v>
      </c>
      <c r="AU16" s="31" t="str">
        <f t="shared" si="3"/>
        <v>库存为27</v>
      </c>
      <c r="AV16" s="36" t="str">
        <f>IFERROR(时间!$B$4+AU16,"上周无销量")</f>
        <v>上周无销量</v>
      </c>
    </row>
    <row r="17" spans="1:48">
      <c r="A17" s="19" t="s">
        <v>78</v>
      </c>
      <c r="B17" t="s">
        <v>79</v>
      </c>
      <c r="C17" t="s">
        <v>80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57</v>
      </c>
      <c r="Q17" t="s">
        <v>57</v>
      </c>
      <c r="R17" t="s">
        <v>57</v>
      </c>
      <c r="S17" t="s">
        <v>57</v>
      </c>
      <c r="T17" t="s">
        <v>57</v>
      </c>
      <c r="U17" t="s">
        <v>57</v>
      </c>
      <c r="V17" t="s">
        <v>57</v>
      </c>
      <c r="W17" t="s">
        <v>57</v>
      </c>
      <c r="X17" s="23" t="s">
        <v>57</v>
      </c>
      <c r="Y17" s="23" t="s">
        <v>57</v>
      </c>
      <c r="Z17" s="23" t="s">
        <v>57</v>
      </c>
      <c r="AA17" s="23" t="s">
        <v>57</v>
      </c>
      <c r="AB17" t="s">
        <v>57</v>
      </c>
      <c r="AC17" t="s">
        <v>57</v>
      </c>
      <c r="AD17" t="s">
        <v>57</v>
      </c>
      <c r="AE17" t="s">
        <v>57</v>
      </c>
      <c r="AF17" s="23" t="s">
        <v>57</v>
      </c>
      <c r="AG17" s="23" t="s">
        <v>57</v>
      </c>
      <c r="AH17" s="23" t="s">
        <v>57</v>
      </c>
      <c r="AI17" s="23" t="s">
        <v>57</v>
      </c>
      <c r="AJ17">
        <v>0</v>
      </c>
      <c r="AK17">
        <v>0</v>
      </c>
      <c r="AL17">
        <v>0</v>
      </c>
      <c r="AM17">
        <v>0</v>
      </c>
      <c r="AN17" s="23" t="s">
        <v>57</v>
      </c>
      <c r="AO17" s="23" t="s">
        <v>57</v>
      </c>
      <c r="AP17" s="23" t="s">
        <v>57</v>
      </c>
      <c r="AQ17" s="23" t="s">
        <v>57</v>
      </c>
      <c r="AR17" s="35">
        <v>0</v>
      </c>
      <c r="AS17" s="35">
        <v>0</v>
      </c>
      <c r="AT17" s="35">
        <v>0</v>
      </c>
      <c r="AU17" s="31" t="str">
        <f t="shared" si="3"/>
        <v>库存为0</v>
      </c>
      <c r="AV17" s="36" t="str">
        <f>IFERROR(时间!$B$4+AU17,"上周无销量")</f>
        <v>上周无销量</v>
      </c>
    </row>
    <row r="18" spans="1:48">
      <c r="A18" s="19" t="s">
        <v>81</v>
      </c>
      <c r="B18" t="s">
        <v>82</v>
      </c>
      <c r="C18" t="s">
        <v>83</v>
      </c>
      <c r="D18" s="31">
        <v>1</v>
      </c>
      <c r="E18" s="31">
        <v>1</v>
      </c>
      <c r="F18" s="31">
        <v>2</v>
      </c>
      <c r="G18" s="31">
        <v>2</v>
      </c>
      <c r="H18" s="32">
        <v>89.99</v>
      </c>
      <c r="I18">
        <v>10</v>
      </c>
      <c r="J18" s="33">
        <v>10</v>
      </c>
      <c r="K18" s="33">
        <v>0</v>
      </c>
      <c r="L18" s="33">
        <v>0</v>
      </c>
      <c r="M18">
        <v>20</v>
      </c>
      <c r="N18">
        <v>0</v>
      </c>
      <c r="O18">
        <v>0</v>
      </c>
      <c r="P18">
        <v>0</v>
      </c>
      <c r="Q18">
        <v>5872</v>
      </c>
      <c r="R18">
        <v>37724</v>
      </c>
      <c r="S18">
        <v>26308</v>
      </c>
      <c r="T18">
        <v>0</v>
      </c>
      <c r="U18">
        <v>43</v>
      </c>
      <c r="V18">
        <v>260</v>
      </c>
      <c r="W18">
        <v>244</v>
      </c>
      <c r="X18" s="23" t="s">
        <v>57</v>
      </c>
      <c r="Y18" s="23">
        <v>0.00732288828337875</v>
      </c>
      <c r="Z18" s="23">
        <v>0.00689216413953982</v>
      </c>
      <c r="AA18" s="23">
        <v>0.00927474532461609</v>
      </c>
      <c r="AB18">
        <v>0</v>
      </c>
      <c r="AC18">
        <v>5.92</v>
      </c>
      <c r="AD18">
        <v>35.66</v>
      </c>
      <c r="AE18">
        <v>33.78</v>
      </c>
      <c r="AF18" s="23" t="s">
        <v>57</v>
      </c>
      <c r="AG18" s="23">
        <v>0.0657850872319147</v>
      </c>
      <c r="AH18" s="23">
        <v>0.198133125902878</v>
      </c>
      <c r="AI18" s="23">
        <v>0.187687520835648</v>
      </c>
      <c r="AJ18">
        <v>37</v>
      </c>
      <c r="AK18">
        <v>53</v>
      </c>
      <c r="AL18">
        <v>235</v>
      </c>
      <c r="AM18">
        <v>241</v>
      </c>
      <c r="AN18" s="23">
        <v>0.027027027027027</v>
      </c>
      <c r="AO18" s="23">
        <v>0.0188679245283019</v>
      </c>
      <c r="AP18" s="23">
        <v>0.00851063829787234</v>
      </c>
      <c r="AQ18" s="23">
        <v>0.00829875518672199</v>
      </c>
      <c r="AR18" s="35">
        <v>0.142857142857143</v>
      </c>
      <c r="AS18" s="35">
        <v>8.57142857142857</v>
      </c>
      <c r="AT18" s="35">
        <v>11.4285714285714</v>
      </c>
      <c r="AU18" s="31">
        <f t="shared" si="3"/>
        <v>140</v>
      </c>
      <c r="AV18" s="36">
        <f>IFERROR(时间!$B$4+AU18,"上周无销量")</f>
        <v>43437</v>
      </c>
    </row>
    <row r="19" spans="1:48">
      <c r="A19" s="19" t="s">
        <v>84</v>
      </c>
      <c r="B19" t="s">
        <v>85</v>
      </c>
      <c r="C19" t="s">
        <v>83</v>
      </c>
      <c r="D19" s="31">
        <v>2</v>
      </c>
      <c r="E19" s="31">
        <v>4</v>
      </c>
      <c r="F19" s="31">
        <v>2</v>
      </c>
      <c r="G19" s="31">
        <v>3</v>
      </c>
      <c r="H19" s="32">
        <v>79.99</v>
      </c>
      <c r="I19">
        <v>4</v>
      </c>
      <c r="J19" s="33">
        <v>1</v>
      </c>
      <c r="K19" s="33">
        <v>0</v>
      </c>
      <c r="L19" s="33">
        <v>2</v>
      </c>
      <c r="M19">
        <v>7</v>
      </c>
      <c r="N19">
        <v>0</v>
      </c>
      <c r="O19">
        <v>0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3" t="s">
        <v>57</v>
      </c>
      <c r="Y19" s="23" t="s">
        <v>57</v>
      </c>
      <c r="Z19" s="23" t="s">
        <v>57</v>
      </c>
      <c r="AA19" s="23" t="s">
        <v>57</v>
      </c>
      <c r="AB19" t="s">
        <v>57</v>
      </c>
      <c r="AC19" t="s">
        <v>57</v>
      </c>
      <c r="AD19" t="s">
        <v>57</v>
      </c>
      <c r="AE19" t="s">
        <v>57</v>
      </c>
      <c r="AF19" s="23" t="s">
        <v>57</v>
      </c>
      <c r="AG19" s="23" t="s">
        <v>57</v>
      </c>
      <c r="AH19" s="23" t="s">
        <v>57</v>
      </c>
      <c r="AI19" s="23" t="s">
        <v>57</v>
      </c>
      <c r="AJ19">
        <v>85</v>
      </c>
      <c r="AK19">
        <v>48</v>
      </c>
      <c r="AL19">
        <v>64</v>
      </c>
      <c r="AM19">
        <v>51</v>
      </c>
      <c r="AN19" s="23">
        <v>0.0235294117647059</v>
      </c>
      <c r="AO19" s="23">
        <v>0.0833333333333333</v>
      </c>
      <c r="AP19" s="23">
        <v>0.03125</v>
      </c>
      <c r="AQ19" s="23">
        <v>0.0588235294117647</v>
      </c>
      <c r="AR19" s="35">
        <v>0.285714285714286</v>
      </c>
      <c r="AS19" s="35">
        <v>17.1428571428571</v>
      </c>
      <c r="AT19" s="35">
        <v>-10.1428571428571</v>
      </c>
      <c r="AU19" s="31">
        <f t="shared" si="3"/>
        <v>24</v>
      </c>
      <c r="AV19" s="36">
        <f>IFERROR(时间!$B$4+AU19,"上周无销量")</f>
        <v>43321</v>
      </c>
    </row>
    <row r="20" spans="1:48">
      <c r="A20" s="19" t="s">
        <v>86</v>
      </c>
      <c r="B20" t="s">
        <v>87</v>
      </c>
      <c r="C20" t="s">
        <v>83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5</v>
      </c>
      <c r="J20" s="33">
        <v>0</v>
      </c>
      <c r="K20" s="33">
        <v>0</v>
      </c>
      <c r="L20" s="33">
        <v>0</v>
      </c>
      <c r="M20">
        <v>5</v>
      </c>
      <c r="N20">
        <v>0</v>
      </c>
      <c r="O20">
        <v>5</v>
      </c>
      <c r="P20" t="s">
        <v>57</v>
      </c>
      <c r="Q20" t="s">
        <v>57</v>
      </c>
      <c r="R20" t="s">
        <v>57</v>
      </c>
      <c r="S20" t="s">
        <v>57</v>
      </c>
      <c r="T20" t="s">
        <v>57</v>
      </c>
      <c r="U20" t="s">
        <v>57</v>
      </c>
      <c r="V20" t="s">
        <v>57</v>
      </c>
      <c r="W20" t="s">
        <v>57</v>
      </c>
      <c r="X20" s="23" t="s">
        <v>57</v>
      </c>
      <c r="Y20" s="23" t="s">
        <v>57</v>
      </c>
      <c r="Z20" s="23" t="s">
        <v>57</v>
      </c>
      <c r="AA20" s="23" t="s">
        <v>57</v>
      </c>
      <c r="AB20" t="s">
        <v>57</v>
      </c>
      <c r="AC20" t="s">
        <v>57</v>
      </c>
      <c r="AD20" t="s">
        <v>57</v>
      </c>
      <c r="AE20" t="s">
        <v>57</v>
      </c>
      <c r="AF20" s="23" t="s">
        <v>57</v>
      </c>
      <c r="AG20" s="23" t="s">
        <v>57</v>
      </c>
      <c r="AH20" s="23" t="s">
        <v>57</v>
      </c>
      <c r="AI20" s="23" t="s">
        <v>57</v>
      </c>
      <c r="AJ20">
        <v>0</v>
      </c>
      <c r="AK20">
        <v>0</v>
      </c>
      <c r="AL20">
        <v>2</v>
      </c>
      <c r="AM20">
        <v>3</v>
      </c>
      <c r="AN20" s="23" t="s">
        <v>57</v>
      </c>
      <c r="AO20" s="23" t="s">
        <v>57</v>
      </c>
      <c r="AP20" s="23">
        <v>0</v>
      </c>
      <c r="AQ20" s="23">
        <v>0</v>
      </c>
      <c r="AR20" s="35">
        <v>0</v>
      </c>
      <c r="AS20" s="35">
        <v>0</v>
      </c>
      <c r="AT20" s="35">
        <v>5</v>
      </c>
      <c r="AU20" s="31" t="str">
        <f t="shared" si="3"/>
        <v>库存为5</v>
      </c>
      <c r="AV20" s="36" t="str">
        <f>IFERROR(时间!$B$4+AU20,"上周无销量")</f>
        <v>上周无销量</v>
      </c>
    </row>
    <row r="21" spans="1:48">
      <c r="A21" s="19" t="s">
        <v>88</v>
      </c>
      <c r="B21" t="s">
        <v>89</v>
      </c>
      <c r="C21" t="s">
        <v>90</v>
      </c>
      <c r="D21" s="31">
        <v>3</v>
      </c>
      <c r="E21" s="31">
        <v>0</v>
      </c>
      <c r="F21" s="31">
        <v>0</v>
      </c>
      <c r="G21" s="31">
        <v>0</v>
      </c>
      <c r="H21" s="32">
        <v>79.99</v>
      </c>
      <c r="I21">
        <v>19</v>
      </c>
      <c r="J21" s="33">
        <v>0</v>
      </c>
      <c r="K21" s="33">
        <v>0</v>
      </c>
      <c r="L21" s="33">
        <v>0</v>
      </c>
      <c r="M21">
        <v>19</v>
      </c>
      <c r="N21">
        <v>0</v>
      </c>
      <c r="O21">
        <v>20</v>
      </c>
      <c r="P21">
        <v>277733</v>
      </c>
      <c r="Q21">
        <v>216972</v>
      </c>
      <c r="R21">
        <v>12201</v>
      </c>
      <c r="S21">
        <v>13497</v>
      </c>
      <c r="T21">
        <v>332</v>
      </c>
      <c r="U21">
        <v>206</v>
      </c>
      <c r="V21">
        <v>35</v>
      </c>
      <c r="W21">
        <v>35</v>
      </c>
      <c r="X21" s="23">
        <v>0.00119539269730281</v>
      </c>
      <c r="Y21" s="23">
        <v>0.000949431263020113</v>
      </c>
      <c r="Z21" s="23">
        <v>0.00286861732644865</v>
      </c>
      <c r="AA21" s="23">
        <v>0.00259316885233756</v>
      </c>
      <c r="AB21">
        <v>90.58</v>
      </c>
      <c r="AC21">
        <v>53.14</v>
      </c>
      <c r="AD21">
        <v>4.87</v>
      </c>
      <c r="AE21">
        <v>5.1</v>
      </c>
      <c r="AF21" s="23">
        <v>0.377463849647873</v>
      </c>
      <c r="AG21" s="23" t="s">
        <v>91</v>
      </c>
      <c r="AH21" s="23" t="s">
        <v>92</v>
      </c>
      <c r="AI21" s="23" t="s">
        <v>93</v>
      </c>
      <c r="AJ21">
        <v>253</v>
      </c>
      <c r="AK21">
        <v>177</v>
      </c>
      <c r="AL21">
        <v>28</v>
      </c>
      <c r="AM21">
        <v>48</v>
      </c>
      <c r="AN21" s="23">
        <v>0.0118577075098814</v>
      </c>
      <c r="AO21" s="23">
        <v>0</v>
      </c>
      <c r="AP21" s="23">
        <v>0</v>
      </c>
      <c r="AQ21" s="23">
        <v>0</v>
      </c>
      <c r="AR21" s="35">
        <v>0.428571428571429</v>
      </c>
      <c r="AS21" s="35">
        <v>25.7142857142857</v>
      </c>
      <c r="AT21" s="35">
        <v>-6.71428571428571</v>
      </c>
      <c r="AU21" s="31">
        <f t="shared" si="3"/>
        <v>44</v>
      </c>
      <c r="AV21" s="36">
        <f>IFERROR(时间!$B$4+AU21,"上周无销量")</f>
        <v>43341</v>
      </c>
    </row>
    <row r="22" spans="1:48">
      <c r="A22" s="19" t="s">
        <v>94</v>
      </c>
      <c r="B22" t="s">
        <v>95</v>
      </c>
      <c r="C22" t="s">
        <v>96</v>
      </c>
      <c r="D22" s="31">
        <v>1</v>
      </c>
      <c r="E22" s="31">
        <v>2</v>
      </c>
      <c r="F22" s="31">
        <v>2</v>
      </c>
      <c r="G22" s="31">
        <v>3</v>
      </c>
      <c r="H22" s="32">
        <v>89.99</v>
      </c>
      <c r="I22">
        <v>10</v>
      </c>
      <c r="J22" s="33">
        <v>0</v>
      </c>
      <c r="K22" s="33">
        <v>0</v>
      </c>
      <c r="L22" s="33">
        <v>0</v>
      </c>
      <c r="M22">
        <v>10</v>
      </c>
      <c r="N22">
        <v>0</v>
      </c>
      <c r="O22">
        <v>0</v>
      </c>
      <c r="P22">
        <v>343</v>
      </c>
      <c r="Q22">
        <v>195</v>
      </c>
      <c r="R22">
        <v>253</v>
      </c>
      <c r="S22">
        <v>550</v>
      </c>
      <c r="T22">
        <v>0</v>
      </c>
      <c r="U22">
        <v>0</v>
      </c>
      <c r="V22">
        <v>0</v>
      </c>
      <c r="W22">
        <v>1</v>
      </c>
      <c r="X22" s="23">
        <v>0</v>
      </c>
      <c r="Y22" s="23">
        <v>0</v>
      </c>
      <c r="Z22" s="23">
        <v>0</v>
      </c>
      <c r="AA22" s="23">
        <v>0.00181818181818182</v>
      </c>
      <c r="AB22">
        <v>0</v>
      </c>
      <c r="AC22">
        <v>0</v>
      </c>
      <c r="AD22">
        <v>0</v>
      </c>
      <c r="AE22">
        <v>0.21</v>
      </c>
      <c r="AF22" s="23" t="s">
        <v>57</v>
      </c>
      <c r="AG22" s="23" t="s">
        <v>57</v>
      </c>
      <c r="AH22" s="23" t="s">
        <v>57</v>
      </c>
      <c r="AI22" s="23">
        <v>0.000777864207134126</v>
      </c>
      <c r="AJ22">
        <v>62</v>
      </c>
      <c r="AK22">
        <v>44</v>
      </c>
      <c r="AL22">
        <v>80</v>
      </c>
      <c r="AM22">
        <v>49</v>
      </c>
      <c r="AN22" s="23">
        <v>0.0161290322580645</v>
      </c>
      <c r="AO22" s="23">
        <v>0.0454545454545455</v>
      </c>
      <c r="AP22" s="23">
        <v>0.025</v>
      </c>
      <c r="AQ22" s="23">
        <v>0.0612244897959184</v>
      </c>
      <c r="AR22" s="35">
        <v>0.142857142857143</v>
      </c>
      <c r="AS22" s="35">
        <v>8.57142857142857</v>
      </c>
      <c r="AT22" s="35">
        <v>1.42857142857143</v>
      </c>
      <c r="AU22" s="31">
        <f t="shared" si="3"/>
        <v>70</v>
      </c>
      <c r="AV22" s="36">
        <f>IFERROR(时间!$B$4+AU22,"上周无销量")</f>
        <v>43367</v>
      </c>
    </row>
    <row r="23" spans="1:48">
      <c r="A23" s="19" t="s">
        <v>97</v>
      </c>
      <c r="B23" t="s">
        <v>98</v>
      </c>
      <c r="C23" t="s">
        <v>99</v>
      </c>
      <c r="D23" s="31">
        <v>4</v>
      </c>
      <c r="E23" s="31">
        <v>0</v>
      </c>
      <c r="F23" s="31">
        <v>0</v>
      </c>
      <c r="G23" s="31">
        <v>1</v>
      </c>
      <c r="H23" s="32">
        <v>89.99</v>
      </c>
      <c r="I23">
        <v>3</v>
      </c>
      <c r="J23" s="33">
        <v>0</v>
      </c>
      <c r="K23" s="33">
        <v>0</v>
      </c>
      <c r="L23" s="33">
        <v>0</v>
      </c>
      <c r="M23">
        <v>3</v>
      </c>
      <c r="N23">
        <v>1</v>
      </c>
      <c r="O23">
        <v>0</v>
      </c>
      <c r="P23" t="s">
        <v>57</v>
      </c>
      <c r="Q23" t="s">
        <v>57</v>
      </c>
      <c r="R23" t="s">
        <v>57</v>
      </c>
      <c r="S23" t="s">
        <v>57</v>
      </c>
      <c r="T23" t="s">
        <v>57</v>
      </c>
      <c r="U23" t="s">
        <v>57</v>
      </c>
      <c r="V23" t="s">
        <v>57</v>
      </c>
      <c r="W23" t="s">
        <v>57</v>
      </c>
      <c r="X23" s="23" t="s">
        <v>57</v>
      </c>
      <c r="Y23" s="23" t="s">
        <v>57</v>
      </c>
      <c r="Z23" s="23" t="s">
        <v>57</v>
      </c>
      <c r="AA23" s="23" t="s">
        <v>57</v>
      </c>
      <c r="AB23" t="s">
        <v>57</v>
      </c>
      <c r="AC23" t="s">
        <v>57</v>
      </c>
      <c r="AD23" t="s">
        <v>57</v>
      </c>
      <c r="AE23" t="s">
        <v>57</v>
      </c>
      <c r="AF23" s="23" t="s">
        <v>57</v>
      </c>
      <c r="AG23" s="23" t="s">
        <v>57</v>
      </c>
      <c r="AH23" s="23" t="s">
        <v>57</v>
      </c>
      <c r="AI23" s="23" t="s">
        <v>57</v>
      </c>
      <c r="AJ23">
        <v>86</v>
      </c>
      <c r="AK23">
        <v>25</v>
      </c>
      <c r="AL23">
        <v>34</v>
      </c>
      <c r="AM23">
        <v>60</v>
      </c>
      <c r="AN23" s="23">
        <v>0.0465116279069767</v>
      </c>
      <c r="AO23" s="23">
        <v>0</v>
      </c>
      <c r="AP23" s="23">
        <v>0</v>
      </c>
      <c r="AQ23" s="23">
        <v>0.0166666666666667</v>
      </c>
      <c r="AR23" s="35">
        <v>0.571428571428571</v>
      </c>
      <c r="AS23" s="35">
        <v>34.2857142857143</v>
      </c>
      <c r="AT23" s="35">
        <v>-31.2857142857143</v>
      </c>
      <c r="AU23" s="31">
        <f t="shared" si="3"/>
        <v>5</v>
      </c>
      <c r="AV23" s="36">
        <f>IFERROR(时间!$B$4+AU23,"上周无销量")</f>
        <v>43302</v>
      </c>
    </row>
    <row r="24" spans="1:48">
      <c r="A24" s="19" t="s">
        <v>100</v>
      </c>
      <c r="B24" t="s">
        <v>101</v>
      </c>
      <c r="C24" t="s">
        <v>99</v>
      </c>
      <c r="D24" s="31">
        <v>0</v>
      </c>
      <c r="E24" s="31">
        <v>0</v>
      </c>
      <c r="F24" s="31">
        <v>0</v>
      </c>
      <c r="G24" s="31">
        <v>1</v>
      </c>
      <c r="H24" s="32">
        <v>79.99</v>
      </c>
      <c r="I24">
        <v>15</v>
      </c>
      <c r="J24" s="33">
        <v>0</v>
      </c>
      <c r="K24" s="33">
        <v>0</v>
      </c>
      <c r="L24" s="33">
        <v>0</v>
      </c>
      <c r="M24">
        <v>15</v>
      </c>
      <c r="N24">
        <v>0</v>
      </c>
      <c r="O24">
        <v>15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3" t="s">
        <v>57</v>
      </c>
      <c r="Y24" s="23" t="s">
        <v>57</v>
      </c>
      <c r="Z24" s="23" t="s">
        <v>57</v>
      </c>
      <c r="AA24" s="23" t="s">
        <v>57</v>
      </c>
      <c r="AB24" t="s">
        <v>57</v>
      </c>
      <c r="AC24" t="s">
        <v>57</v>
      </c>
      <c r="AD24" t="s">
        <v>57</v>
      </c>
      <c r="AE24" t="s">
        <v>57</v>
      </c>
      <c r="AF24" s="23" t="s">
        <v>57</v>
      </c>
      <c r="AG24" s="23" t="s">
        <v>57</v>
      </c>
      <c r="AH24" s="23" t="s">
        <v>57</v>
      </c>
      <c r="AI24" s="23" t="s">
        <v>57</v>
      </c>
      <c r="AJ24">
        <v>6</v>
      </c>
      <c r="AK24">
        <v>6</v>
      </c>
      <c r="AL24">
        <v>8</v>
      </c>
      <c r="AM24">
        <v>10</v>
      </c>
      <c r="AN24" s="23">
        <v>0</v>
      </c>
      <c r="AO24" s="23">
        <v>0</v>
      </c>
      <c r="AP24" s="23">
        <v>0</v>
      </c>
      <c r="AQ24" s="23">
        <v>0.1</v>
      </c>
      <c r="AR24" s="35">
        <v>0</v>
      </c>
      <c r="AS24" s="35">
        <v>0</v>
      </c>
      <c r="AT24" s="35">
        <v>15</v>
      </c>
      <c r="AU24" s="31" t="str">
        <f t="shared" si="3"/>
        <v>库存为15</v>
      </c>
      <c r="AV24" s="36" t="str">
        <f>IFERROR(时间!$B$4+AU24,"上周无销量")</f>
        <v>上周无销量</v>
      </c>
    </row>
    <row r="25" spans="1:48">
      <c r="A25" s="19" t="s">
        <v>102</v>
      </c>
      <c r="B25" t="s">
        <v>103</v>
      </c>
      <c r="C25" t="s">
        <v>104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5</v>
      </c>
      <c r="J25" s="33">
        <v>0</v>
      </c>
      <c r="K25" s="33">
        <v>0</v>
      </c>
      <c r="L25" s="33">
        <v>0</v>
      </c>
      <c r="M25">
        <v>5</v>
      </c>
      <c r="N25">
        <v>0</v>
      </c>
      <c r="O25">
        <v>0</v>
      </c>
      <c r="P25" t="s">
        <v>57</v>
      </c>
      <c r="Q25" t="s">
        <v>57</v>
      </c>
      <c r="R25" t="s">
        <v>57</v>
      </c>
      <c r="S25" t="s">
        <v>57</v>
      </c>
      <c r="T25" t="s">
        <v>57</v>
      </c>
      <c r="U25" t="s">
        <v>57</v>
      </c>
      <c r="V25" t="s">
        <v>57</v>
      </c>
      <c r="W25" t="s">
        <v>57</v>
      </c>
      <c r="X25" s="23" t="s">
        <v>57</v>
      </c>
      <c r="Y25" s="23" t="s">
        <v>57</v>
      </c>
      <c r="Z25" s="23" t="s">
        <v>57</v>
      </c>
      <c r="AA25" s="23" t="s">
        <v>57</v>
      </c>
      <c r="AB25" t="s">
        <v>57</v>
      </c>
      <c r="AC25" t="s">
        <v>57</v>
      </c>
      <c r="AD25" t="s">
        <v>57</v>
      </c>
      <c r="AE25" t="s">
        <v>57</v>
      </c>
      <c r="AF25" s="23" t="s">
        <v>57</v>
      </c>
      <c r="AG25" s="23" t="s">
        <v>57</v>
      </c>
      <c r="AH25" s="23" t="s">
        <v>57</v>
      </c>
      <c r="AI25" s="23" t="s">
        <v>57</v>
      </c>
      <c r="AJ25">
        <v>4</v>
      </c>
      <c r="AK25">
        <v>6</v>
      </c>
      <c r="AL25">
        <v>2</v>
      </c>
      <c r="AM25">
        <v>8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5</v>
      </c>
      <c r="AU25" s="31" t="str">
        <f t="shared" si="3"/>
        <v>库存为5</v>
      </c>
      <c r="AV25" s="36" t="str">
        <f>IFERROR(时间!$B$4+AU25,"上周无销量")</f>
        <v>上周无销量</v>
      </c>
    </row>
    <row r="26" spans="1:48">
      <c r="A26" s="19" t="s">
        <v>105</v>
      </c>
      <c r="B26" t="s">
        <v>106</v>
      </c>
      <c r="C26" t="s">
        <v>104</v>
      </c>
      <c r="D26" s="31">
        <v>0</v>
      </c>
      <c r="E26" s="31">
        <v>0</v>
      </c>
      <c r="F26" s="31">
        <v>1</v>
      </c>
      <c r="G26" s="31">
        <v>0</v>
      </c>
      <c r="H26" s="32">
        <v>99.99</v>
      </c>
      <c r="I26">
        <v>8</v>
      </c>
      <c r="J26" s="33">
        <v>0</v>
      </c>
      <c r="K26" s="33">
        <v>0</v>
      </c>
      <c r="L26" s="33">
        <v>0</v>
      </c>
      <c r="M26">
        <v>8</v>
      </c>
      <c r="N26">
        <v>0</v>
      </c>
      <c r="O26">
        <v>3</v>
      </c>
      <c r="P26">
        <v>3322</v>
      </c>
      <c r="Q26">
        <v>2886</v>
      </c>
      <c r="R26">
        <v>11758</v>
      </c>
      <c r="S26">
        <v>40891</v>
      </c>
      <c r="T26">
        <v>26</v>
      </c>
      <c r="U26">
        <v>10</v>
      </c>
      <c r="V26">
        <v>36</v>
      </c>
      <c r="W26">
        <v>154</v>
      </c>
      <c r="X26" s="23">
        <v>0.0078266104756171</v>
      </c>
      <c r="Y26" s="23">
        <v>0.00346500346500346</v>
      </c>
      <c r="Z26" s="23">
        <v>0.00306174519476101</v>
      </c>
      <c r="AA26" s="23">
        <v>0.00376610990193441</v>
      </c>
      <c r="AB26">
        <v>4.35</v>
      </c>
      <c r="AC26">
        <v>1.36</v>
      </c>
      <c r="AD26">
        <v>6.01</v>
      </c>
      <c r="AE26">
        <v>39.83</v>
      </c>
      <c r="AF26" s="23" t="s">
        <v>107</v>
      </c>
      <c r="AG26" s="23" t="s">
        <v>108</v>
      </c>
      <c r="AH26" s="23">
        <v>0.0601060106010601</v>
      </c>
      <c r="AI26" s="23" t="s">
        <v>109</v>
      </c>
      <c r="AJ26">
        <v>18</v>
      </c>
      <c r="AK26">
        <v>17</v>
      </c>
      <c r="AL26">
        <v>47</v>
      </c>
      <c r="AM26">
        <v>113</v>
      </c>
      <c r="AN26" s="23">
        <v>0</v>
      </c>
      <c r="AO26" s="23">
        <v>0</v>
      </c>
      <c r="AP26" s="23">
        <v>0.0212765957446809</v>
      </c>
      <c r="AQ26" s="23">
        <v>0</v>
      </c>
      <c r="AR26" s="35">
        <v>0</v>
      </c>
      <c r="AS26" s="35">
        <v>0</v>
      </c>
      <c r="AT26" s="35">
        <v>8</v>
      </c>
      <c r="AU26" s="31" t="str">
        <f t="shared" si="3"/>
        <v>库存为8</v>
      </c>
      <c r="AV26" s="36" t="str">
        <f>IFERROR(时间!$B$4+AU26,"上周无销量")</f>
        <v>上周无销量</v>
      </c>
    </row>
    <row r="27" spans="1:48">
      <c r="A27" s="19" t="s">
        <v>110</v>
      </c>
      <c r="B27" t="s">
        <v>111</v>
      </c>
      <c r="C27" t="s">
        <v>112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5</v>
      </c>
      <c r="K27" s="33">
        <v>0</v>
      </c>
      <c r="L27" s="33">
        <v>0</v>
      </c>
      <c r="M27">
        <v>5</v>
      </c>
      <c r="N27">
        <v>0</v>
      </c>
      <c r="O27">
        <v>0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3" t="s">
        <v>57</v>
      </c>
      <c r="Y27" s="23" t="s">
        <v>57</v>
      </c>
      <c r="Z27" s="23" t="s">
        <v>57</v>
      </c>
      <c r="AA27" s="23" t="s">
        <v>57</v>
      </c>
      <c r="AB27" t="s">
        <v>57</v>
      </c>
      <c r="AC27" t="s">
        <v>57</v>
      </c>
      <c r="AD27" t="s">
        <v>57</v>
      </c>
      <c r="AE27" t="s">
        <v>57</v>
      </c>
      <c r="AF27" s="23" t="s">
        <v>57</v>
      </c>
      <c r="AG27" s="23" t="s">
        <v>57</v>
      </c>
      <c r="AH27" s="23" t="s">
        <v>57</v>
      </c>
      <c r="AI27" s="23" t="s">
        <v>57</v>
      </c>
      <c r="AJ27">
        <v>0</v>
      </c>
      <c r="AK27">
        <v>0</v>
      </c>
      <c r="AL27">
        <v>0</v>
      </c>
      <c r="AM27">
        <v>0</v>
      </c>
      <c r="AN27" s="23" t="s">
        <v>57</v>
      </c>
      <c r="AO27" s="23" t="s">
        <v>57</v>
      </c>
      <c r="AP27" s="23" t="s">
        <v>57</v>
      </c>
      <c r="AQ27" s="23" t="s">
        <v>57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19" t="s">
        <v>113</v>
      </c>
      <c r="B28" t="s">
        <v>114</v>
      </c>
      <c r="C28" t="s">
        <v>115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3" t="s">
        <v>57</v>
      </c>
      <c r="Y28" s="23" t="s">
        <v>57</v>
      </c>
      <c r="Z28" s="23" t="s">
        <v>57</v>
      </c>
      <c r="AA28" s="23" t="s">
        <v>57</v>
      </c>
      <c r="AB28" t="s">
        <v>57</v>
      </c>
      <c r="AC28" t="s">
        <v>57</v>
      </c>
      <c r="AD28" t="s">
        <v>57</v>
      </c>
      <c r="AE28" t="s">
        <v>57</v>
      </c>
      <c r="AF28" s="23" t="s">
        <v>57</v>
      </c>
      <c r="AG28" s="23" t="s">
        <v>57</v>
      </c>
      <c r="AH28" s="23" t="s">
        <v>57</v>
      </c>
      <c r="AI28" s="23" t="s">
        <v>57</v>
      </c>
      <c r="AJ28">
        <v>1</v>
      </c>
      <c r="AK28">
        <v>2</v>
      </c>
      <c r="AL28">
        <v>1</v>
      </c>
      <c r="AM28">
        <v>2</v>
      </c>
      <c r="AN28" s="23">
        <v>0</v>
      </c>
      <c r="AO28" s="23">
        <v>0</v>
      </c>
      <c r="AP28" s="23">
        <v>0</v>
      </c>
      <c r="AQ28" s="23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19" t="s">
        <v>116</v>
      </c>
      <c r="B29" t="s">
        <v>117</v>
      </c>
      <c r="C29" t="s">
        <v>118</v>
      </c>
      <c r="D29" s="31">
        <v>2</v>
      </c>
      <c r="E29" s="31">
        <v>0</v>
      </c>
      <c r="F29" s="31">
        <v>1</v>
      </c>
      <c r="G29" s="31">
        <v>0</v>
      </c>
      <c r="H29" s="32">
        <v>32.99</v>
      </c>
      <c r="I29">
        <v>10</v>
      </c>
      <c r="J29" s="33">
        <v>0</v>
      </c>
      <c r="K29" s="33">
        <v>0</v>
      </c>
      <c r="L29" s="33">
        <v>0</v>
      </c>
      <c r="M29">
        <v>10</v>
      </c>
      <c r="N29">
        <v>0</v>
      </c>
      <c r="O29">
        <v>10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3" t="s">
        <v>57</v>
      </c>
      <c r="Y29" s="23" t="s">
        <v>57</v>
      </c>
      <c r="Z29" s="23" t="s">
        <v>57</v>
      </c>
      <c r="AA29" s="23" t="s">
        <v>57</v>
      </c>
      <c r="AB29" t="s">
        <v>57</v>
      </c>
      <c r="AC29" t="s">
        <v>57</v>
      </c>
      <c r="AD29" t="s">
        <v>57</v>
      </c>
      <c r="AE29" t="s">
        <v>57</v>
      </c>
      <c r="AF29" s="23" t="s">
        <v>57</v>
      </c>
      <c r="AG29" s="23" t="s">
        <v>57</v>
      </c>
      <c r="AH29" s="23" t="s">
        <v>57</v>
      </c>
      <c r="AI29" s="23" t="s">
        <v>57</v>
      </c>
      <c r="AJ29">
        <v>40</v>
      </c>
      <c r="AK29">
        <v>27</v>
      </c>
      <c r="AL29">
        <v>30</v>
      </c>
      <c r="AM29">
        <v>36</v>
      </c>
      <c r="AN29" s="23">
        <v>0.05</v>
      </c>
      <c r="AO29" s="23">
        <v>0</v>
      </c>
      <c r="AP29" s="23">
        <v>0.0333333333333333</v>
      </c>
      <c r="AQ29" s="23">
        <v>0</v>
      </c>
      <c r="AR29" s="35">
        <v>0.285714285714286</v>
      </c>
      <c r="AS29" s="35">
        <v>17.1428571428571</v>
      </c>
      <c r="AT29" s="35">
        <v>-7.14285714285714</v>
      </c>
      <c r="AU29" s="31">
        <f t="shared" si="3"/>
        <v>35</v>
      </c>
      <c r="AV29" s="36">
        <f>IFERROR(时间!$B$4+AU29,"上周无销量")</f>
        <v>43332</v>
      </c>
    </row>
    <row r="30" spans="1:48">
      <c r="A30" s="19" t="s">
        <v>119</v>
      </c>
      <c r="B30" t="s">
        <v>120</v>
      </c>
      <c r="C30" t="s">
        <v>118</v>
      </c>
      <c r="D30" s="31">
        <v>2</v>
      </c>
      <c r="E30" s="31">
        <v>1</v>
      </c>
      <c r="F30" s="31">
        <v>1</v>
      </c>
      <c r="G30" s="31">
        <v>2</v>
      </c>
      <c r="H30" s="32">
        <v>32.99</v>
      </c>
      <c r="I30">
        <v>8</v>
      </c>
      <c r="J30" s="33">
        <v>0</v>
      </c>
      <c r="K30" s="33">
        <v>0</v>
      </c>
      <c r="L30" s="33">
        <v>0</v>
      </c>
      <c r="M30">
        <v>8</v>
      </c>
      <c r="N30">
        <v>0</v>
      </c>
      <c r="O30">
        <v>6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3" t="s">
        <v>57</v>
      </c>
      <c r="Y30" s="23" t="s">
        <v>57</v>
      </c>
      <c r="Z30" s="23" t="s">
        <v>57</v>
      </c>
      <c r="AA30" s="23" t="s">
        <v>57</v>
      </c>
      <c r="AB30" t="s">
        <v>57</v>
      </c>
      <c r="AC30" t="s">
        <v>57</v>
      </c>
      <c r="AD30" t="s">
        <v>57</v>
      </c>
      <c r="AE30" t="s">
        <v>57</v>
      </c>
      <c r="AF30" s="23" t="s">
        <v>57</v>
      </c>
      <c r="AG30" s="23" t="s">
        <v>57</v>
      </c>
      <c r="AH30" s="23" t="s">
        <v>57</v>
      </c>
      <c r="AI30" s="23" t="s">
        <v>57</v>
      </c>
      <c r="AJ30">
        <v>131</v>
      </c>
      <c r="AK30">
        <v>92</v>
      </c>
      <c r="AL30">
        <v>76</v>
      </c>
      <c r="AM30">
        <v>80</v>
      </c>
      <c r="AN30" s="23">
        <v>0.0152671755725191</v>
      </c>
      <c r="AO30" s="23">
        <v>0.0108695652173913</v>
      </c>
      <c r="AP30" s="23">
        <v>0.0131578947368421</v>
      </c>
      <c r="AQ30" s="23">
        <v>0.025</v>
      </c>
      <c r="AR30" s="35">
        <v>0.285714285714286</v>
      </c>
      <c r="AS30" s="35">
        <v>17.1428571428571</v>
      </c>
      <c r="AT30" s="35">
        <v>-9.14285714285714</v>
      </c>
      <c r="AU30" s="31">
        <f t="shared" si="3"/>
        <v>28</v>
      </c>
      <c r="AV30" s="36">
        <f>IFERROR(时间!$B$4+AU30,"上周无销量")</f>
        <v>43325</v>
      </c>
    </row>
    <row r="31" spans="1:48">
      <c r="A31" s="19" t="s">
        <v>121</v>
      </c>
      <c r="B31" t="s">
        <v>122</v>
      </c>
      <c r="C31" t="s">
        <v>123</v>
      </c>
      <c r="D31" s="31">
        <v>1</v>
      </c>
      <c r="E31" s="31">
        <v>0</v>
      </c>
      <c r="F31" s="31">
        <v>1</v>
      </c>
      <c r="G31" s="31">
        <v>2</v>
      </c>
      <c r="H31" s="32">
        <v>94.6</v>
      </c>
      <c r="I31">
        <v>13</v>
      </c>
      <c r="J31" s="33">
        <v>0</v>
      </c>
      <c r="K31" s="33">
        <v>0</v>
      </c>
      <c r="L31" s="33">
        <v>0</v>
      </c>
      <c r="M31">
        <v>13</v>
      </c>
      <c r="N31">
        <v>0</v>
      </c>
      <c r="O31">
        <v>0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3" t="s">
        <v>57</v>
      </c>
      <c r="Y31" s="23" t="s">
        <v>57</v>
      </c>
      <c r="Z31" s="23" t="s">
        <v>57</v>
      </c>
      <c r="AA31" s="23" t="s">
        <v>57</v>
      </c>
      <c r="AB31" t="s">
        <v>57</v>
      </c>
      <c r="AC31" t="s">
        <v>57</v>
      </c>
      <c r="AD31" t="s">
        <v>57</v>
      </c>
      <c r="AE31" t="s">
        <v>57</v>
      </c>
      <c r="AF31" s="23" t="s">
        <v>57</v>
      </c>
      <c r="AG31" s="23" t="s">
        <v>57</v>
      </c>
      <c r="AH31" s="23" t="s">
        <v>57</v>
      </c>
      <c r="AI31" s="23" t="s">
        <v>57</v>
      </c>
      <c r="AJ31">
        <v>69</v>
      </c>
      <c r="AK31">
        <v>75</v>
      </c>
      <c r="AL31">
        <v>83</v>
      </c>
      <c r="AM31">
        <v>108</v>
      </c>
      <c r="AN31" s="23">
        <v>0.0144927536231884</v>
      </c>
      <c r="AO31" s="23">
        <v>0</v>
      </c>
      <c r="AP31" s="23">
        <v>0.0120481927710843</v>
      </c>
      <c r="AQ31" s="23">
        <v>0.0185185185185185</v>
      </c>
      <c r="AR31" s="35">
        <v>0.142857142857143</v>
      </c>
      <c r="AS31" s="35">
        <v>8.57142857142857</v>
      </c>
      <c r="AT31" s="35">
        <v>4.42857142857143</v>
      </c>
      <c r="AU31" s="31">
        <f t="shared" si="3"/>
        <v>91</v>
      </c>
      <c r="AV31" s="36">
        <f>IFERROR(时间!$B$4+AU31,"上周无销量")</f>
        <v>43388</v>
      </c>
    </row>
    <row r="32" spans="1:48">
      <c r="A32" s="19" t="s">
        <v>124</v>
      </c>
      <c r="B32" t="s">
        <v>125</v>
      </c>
      <c r="C32" t="s">
        <v>123</v>
      </c>
      <c r="D32" s="31">
        <v>0</v>
      </c>
      <c r="E32" s="31">
        <v>0</v>
      </c>
      <c r="F32" s="31">
        <v>0</v>
      </c>
      <c r="G32" s="31">
        <v>1</v>
      </c>
      <c r="H32" s="32">
        <v>104.99</v>
      </c>
      <c r="I32">
        <v>2</v>
      </c>
      <c r="J32" s="33">
        <v>0</v>
      </c>
      <c r="K32" s="33">
        <v>0</v>
      </c>
      <c r="L32" s="33">
        <v>0</v>
      </c>
      <c r="M32">
        <v>2</v>
      </c>
      <c r="N32">
        <v>0</v>
      </c>
      <c r="O32">
        <v>3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3" t="s">
        <v>57</v>
      </c>
      <c r="Y32" s="23" t="s">
        <v>57</v>
      </c>
      <c r="Z32" s="23" t="s">
        <v>57</v>
      </c>
      <c r="AA32" s="23" t="s">
        <v>57</v>
      </c>
      <c r="AB32" t="s">
        <v>57</v>
      </c>
      <c r="AC32" t="s">
        <v>57</v>
      </c>
      <c r="AD32" t="s">
        <v>57</v>
      </c>
      <c r="AE32" t="s">
        <v>57</v>
      </c>
      <c r="AF32" s="23" t="s">
        <v>57</v>
      </c>
      <c r="AG32" s="23" t="s">
        <v>57</v>
      </c>
      <c r="AH32" s="23" t="s">
        <v>57</v>
      </c>
      <c r="AI32" s="23" t="s">
        <v>57</v>
      </c>
      <c r="AJ32">
        <v>63</v>
      </c>
      <c r="AK32">
        <v>60</v>
      </c>
      <c r="AL32">
        <v>54</v>
      </c>
      <c r="AM32">
        <v>70</v>
      </c>
      <c r="AN32" s="23">
        <v>0</v>
      </c>
      <c r="AO32" s="23">
        <v>0</v>
      </c>
      <c r="AP32" s="23">
        <v>0</v>
      </c>
      <c r="AQ32" s="23">
        <v>0.0142857142857143</v>
      </c>
      <c r="AR32" s="35">
        <v>0</v>
      </c>
      <c r="AS32" s="35">
        <v>0</v>
      </c>
      <c r="AT32" s="35">
        <v>2</v>
      </c>
      <c r="AU32" s="31" t="str">
        <f t="shared" si="3"/>
        <v>库存为2</v>
      </c>
      <c r="AV32" s="36" t="str">
        <f>IFERROR(时间!$B$4+AU32,"上周无销量")</f>
        <v>上周无销量</v>
      </c>
    </row>
    <row r="33" spans="1:48">
      <c r="A33" s="19" t="s">
        <v>126</v>
      </c>
      <c r="B33" t="s">
        <v>127</v>
      </c>
      <c r="C33" t="s">
        <v>128</v>
      </c>
      <c r="D33" s="31">
        <v>4</v>
      </c>
      <c r="E33" s="31">
        <v>4</v>
      </c>
      <c r="F33" s="31">
        <v>3</v>
      </c>
      <c r="G33" s="31">
        <v>6</v>
      </c>
      <c r="H33" s="32">
        <v>89.6370588235294</v>
      </c>
      <c r="I33">
        <v>6</v>
      </c>
      <c r="J33" s="33">
        <v>0</v>
      </c>
      <c r="K33" s="33">
        <v>0</v>
      </c>
      <c r="L33" s="33">
        <v>2</v>
      </c>
      <c r="M33">
        <v>8</v>
      </c>
      <c r="N33">
        <v>1</v>
      </c>
      <c r="O33">
        <v>0</v>
      </c>
      <c r="P33" t="s">
        <v>57</v>
      </c>
      <c r="Q33" t="s">
        <v>57</v>
      </c>
      <c r="R33" t="s">
        <v>57</v>
      </c>
      <c r="S33" t="s">
        <v>57</v>
      </c>
      <c r="T33" t="s">
        <v>57</v>
      </c>
      <c r="U33" t="s">
        <v>57</v>
      </c>
      <c r="V33" t="s">
        <v>57</v>
      </c>
      <c r="W33" t="s">
        <v>57</v>
      </c>
      <c r="X33" s="23" t="s">
        <v>57</v>
      </c>
      <c r="Y33" s="23" t="s">
        <v>57</v>
      </c>
      <c r="Z33" s="23" t="s">
        <v>57</v>
      </c>
      <c r="AA33" s="23" t="s">
        <v>57</v>
      </c>
      <c r="AB33" t="s">
        <v>57</v>
      </c>
      <c r="AC33" t="s">
        <v>57</v>
      </c>
      <c r="AD33" t="s">
        <v>57</v>
      </c>
      <c r="AE33" t="s">
        <v>57</v>
      </c>
      <c r="AF33" s="23" t="s">
        <v>57</v>
      </c>
      <c r="AG33" s="23" t="s">
        <v>57</v>
      </c>
      <c r="AH33" s="23" t="s">
        <v>57</v>
      </c>
      <c r="AI33" s="23" t="s">
        <v>57</v>
      </c>
      <c r="AJ33">
        <v>156</v>
      </c>
      <c r="AK33">
        <v>178</v>
      </c>
      <c r="AL33">
        <v>222</v>
      </c>
      <c r="AM33">
        <v>577</v>
      </c>
      <c r="AN33" s="23">
        <v>0.0256410256410256</v>
      </c>
      <c r="AO33" s="23">
        <v>0.0224719101123595</v>
      </c>
      <c r="AP33" s="23">
        <v>0.0135135135135135</v>
      </c>
      <c r="AQ33" s="23">
        <v>0.0103986135181976</v>
      </c>
      <c r="AR33" s="35">
        <v>0.571428571428571</v>
      </c>
      <c r="AS33" s="35">
        <v>34.2857142857143</v>
      </c>
      <c r="AT33" s="35">
        <v>-26.2857142857143</v>
      </c>
      <c r="AU33" s="31">
        <f t="shared" si="3"/>
        <v>14</v>
      </c>
      <c r="AV33" s="36">
        <f>IFERROR(时间!$B$4+AU33,"上周无销量")</f>
        <v>43311</v>
      </c>
    </row>
    <row r="34" spans="1:48">
      <c r="A34" s="19" t="s">
        <v>129</v>
      </c>
      <c r="B34" t="s">
        <v>130</v>
      </c>
      <c r="C34" t="s">
        <v>131</v>
      </c>
      <c r="D34" s="31">
        <v>1</v>
      </c>
      <c r="E34" s="31">
        <v>0</v>
      </c>
      <c r="F34" s="31">
        <v>0</v>
      </c>
      <c r="G34" s="31">
        <v>0</v>
      </c>
      <c r="H34" s="32">
        <v>79.99</v>
      </c>
      <c r="I34">
        <v>7</v>
      </c>
      <c r="J34" s="33">
        <v>0</v>
      </c>
      <c r="K34" s="33">
        <v>0</v>
      </c>
      <c r="L34" s="33">
        <v>0</v>
      </c>
      <c r="M34">
        <v>7</v>
      </c>
      <c r="N34">
        <v>0</v>
      </c>
      <c r="O34">
        <v>0</v>
      </c>
      <c r="P34">
        <v>14854</v>
      </c>
      <c r="Q34">
        <v>4452</v>
      </c>
      <c r="R34">
        <v>0</v>
      </c>
      <c r="S34">
        <v>0</v>
      </c>
      <c r="T34">
        <v>55</v>
      </c>
      <c r="U34">
        <v>30</v>
      </c>
      <c r="V34">
        <v>0</v>
      </c>
      <c r="W34">
        <v>0</v>
      </c>
      <c r="X34" s="23">
        <v>0.00370270634172613</v>
      </c>
      <c r="Y34" s="23">
        <v>0.00673854447439353</v>
      </c>
      <c r="Z34" s="23" t="s">
        <v>57</v>
      </c>
      <c r="AA34" s="23" t="s">
        <v>57</v>
      </c>
      <c r="AB34">
        <v>8.67</v>
      </c>
      <c r="AC34">
        <v>4.11</v>
      </c>
      <c r="AD34">
        <v>0</v>
      </c>
      <c r="AE34">
        <v>0</v>
      </c>
      <c r="AF34" s="23">
        <v>0.108388548568571</v>
      </c>
      <c r="AG34" s="23" t="s">
        <v>132</v>
      </c>
      <c r="AH34" s="23" t="s">
        <v>57</v>
      </c>
      <c r="AI34" s="23" t="s">
        <v>57</v>
      </c>
      <c r="AJ34">
        <v>35</v>
      </c>
      <c r="AK34">
        <v>20</v>
      </c>
      <c r="AL34">
        <v>5</v>
      </c>
      <c r="AM34">
        <v>6</v>
      </c>
      <c r="AN34" s="23">
        <v>0.0285714285714286</v>
      </c>
      <c r="AO34" s="23">
        <v>0</v>
      </c>
      <c r="AP34" s="23">
        <v>0</v>
      </c>
      <c r="AQ34" s="23">
        <v>0</v>
      </c>
      <c r="AR34" s="35">
        <v>0.142857142857143</v>
      </c>
      <c r="AS34" s="35">
        <v>8.57142857142857</v>
      </c>
      <c r="AT34" s="35">
        <v>-1.57142857142857</v>
      </c>
      <c r="AU34" s="31">
        <f t="shared" si="3"/>
        <v>49</v>
      </c>
      <c r="AV34" s="36">
        <f>IFERROR(时间!$B$4+AU34,"上周无销量")</f>
        <v>43346</v>
      </c>
    </row>
    <row r="35" spans="1:48">
      <c r="A35" s="19" t="s">
        <v>133</v>
      </c>
      <c r="B35" t="s">
        <v>134</v>
      </c>
      <c r="C35" t="s">
        <v>135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8</v>
      </c>
      <c r="J35" s="33">
        <v>0</v>
      </c>
      <c r="K35" s="33">
        <v>0</v>
      </c>
      <c r="L35" s="33">
        <v>0</v>
      </c>
      <c r="M35">
        <v>8</v>
      </c>
      <c r="N35">
        <v>0</v>
      </c>
      <c r="O35">
        <v>0</v>
      </c>
      <c r="P35" t="s">
        <v>57</v>
      </c>
      <c r="Q35" t="s">
        <v>57</v>
      </c>
      <c r="R35" t="s">
        <v>57</v>
      </c>
      <c r="S35" t="s">
        <v>57</v>
      </c>
      <c r="T35" t="s">
        <v>57</v>
      </c>
      <c r="U35" t="s">
        <v>57</v>
      </c>
      <c r="V35" t="s">
        <v>57</v>
      </c>
      <c r="W35" t="s">
        <v>57</v>
      </c>
      <c r="X35" s="23" t="s">
        <v>57</v>
      </c>
      <c r="Y35" s="23" t="s">
        <v>57</v>
      </c>
      <c r="Z35" s="23" t="s">
        <v>57</v>
      </c>
      <c r="AA35" s="23" t="s">
        <v>57</v>
      </c>
      <c r="AB35" t="s">
        <v>57</v>
      </c>
      <c r="AC35" t="s">
        <v>57</v>
      </c>
      <c r="AD35" t="s">
        <v>57</v>
      </c>
      <c r="AE35" t="s">
        <v>57</v>
      </c>
      <c r="AF35" s="23" t="s">
        <v>57</v>
      </c>
      <c r="AG35" s="23" t="s">
        <v>57</v>
      </c>
      <c r="AH35" s="23" t="s">
        <v>57</v>
      </c>
      <c r="AI35" s="23" t="s">
        <v>57</v>
      </c>
      <c r="AJ35">
        <v>14</v>
      </c>
      <c r="AK35">
        <v>11</v>
      </c>
      <c r="AL35">
        <v>32</v>
      </c>
      <c r="AM35">
        <v>28</v>
      </c>
      <c r="AN35" s="23">
        <v>0</v>
      </c>
      <c r="AO35" s="23">
        <v>0</v>
      </c>
      <c r="AP35" s="23">
        <v>0</v>
      </c>
      <c r="AQ35" s="23">
        <v>0</v>
      </c>
      <c r="AR35" s="35">
        <v>0</v>
      </c>
      <c r="AS35" s="35">
        <v>0</v>
      </c>
      <c r="AT35" s="35">
        <v>8</v>
      </c>
      <c r="AU35" s="31" t="str">
        <f t="shared" si="3"/>
        <v>库存为8</v>
      </c>
      <c r="AV35" s="36" t="str">
        <f>IFERROR(时间!$B$4+AU35,"上周无销量")</f>
        <v>上周无销量</v>
      </c>
    </row>
    <row r="36" spans="1:48">
      <c r="A36" s="19" t="s">
        <v>136</v>
      </c>
      <c r="B36" t="s">
        <v>137</v>
      </c>
      <c r="C36" t="s">
        <v>138</v>
      </c>
      <c r="D36" s="31">
        <v>3</v>
      </c>
      <c r="E36" s="31">
        <v>3</v>
      </c>
      <c r="F36" s="31">
        <v>4</v>
      </c>
      <c r="G36" s="31">
        <v>1</v>
      </c>
      <c r="H36" s="32">
        <v>79.99</v>
      </c>
      <c r="I36">
        <v>13</v>
      </c>
      <c r="J36" s="33">
        <v>0</v>
      </c>
      <c r="K36" s="33">
        <v>0</v>
      </c>
      <c r="L36" s="33">
        <v>16</v>
      </c>
      <c r="M36">
        <v>29</v>
      </c>
      <c r="N36">
        <v>1</v>
      </c>
      <c r="O36">
        <v>0</v>
      </c>
      <c r="P36">
        <v>9958</v>
      </c>
      <c r="Q36">
        <v>13562</v>
      </c>
      <c r="R36">
        <v>28780</v>
      </c>
      <c r="S36">
        <v>82101</v>
      </c>
      <c r="T36">
        <v>52</v>
      </c>
      <c r="U36">
        <v>72</v>
      </c>
      <c r="V36">
        <v>116</v>
      </c>
      <c r="W36">
        <v>196</v>
      </c>
      <c r="X36" s="23">
        <v>0.00522193211488251</v>
      </c>
      <c r="Y36" s="23">
        <v>0.00530895148208229</v>
      </c>
      <c r="Z36" s="23">
        <v>0.00403057678943711</v>
      </c>
      <c r="AA36" s="23">
        <v>0.00238730344331981</v>
      </c>
      <c r="AB36">
        <v>10.17</v>
      </c>
      <c r="AC36">
        <v>12.06</v>
      </c>
      <c r="AD36">
        <v>25.87</v>
      </c>
      <c r="AE36">
        <v>53.11</v>
      </c>
      <c r="AF36" s="23">
        <v>0.0423802975371922</v>
      </c>
      <c r="AG36" s="23">
        <v>0.0502562820352544</v>
      </c>
      <c r="AH36" s="23">
        <v>0.0808538567320915</v>
      </c>
      <c r="AI36" s="23">
        <v>0.663957994749344</v>
      </c>
      <c r="AJ36">
        <v>55</v>
      </c>
      <c r="AK36">
        <v>98</v>
      </c>
      <c r="AL36">
        <v>147</v>
      </c>
      <c r="AM36">
        <v>243</v>
      </c>
      <c r="AN36" s="23">
        <v>0.0545454545454545</v>
      </c>
      <c r="AO36" s="23">
        <v>0.0306122448979592</v>
      </c>
      <c r="AP36" s="23">
        <v>0.0272108843537415</v>
      </c>
      <c r="AQ36" s="23">
        <v>0.00411522633744856</v>
      </c>
      <c r="AR36" s="35">
        <v>0.428571428571429</v>
      </c>
      <c r="AS36" s="35">
        <v>25.7142857142857</v>
      </c>
      <c r="AT36" s="35">
        <v>3.28571428571429</v>
      </c>
      <c r="AU36" s="31">
        <f t="shared" si="3"/>
        <v>67</v>
      </c>
      <c r="AV36" s="36">
        <f>IFERROR(时间!$B$4+AU36,"上周无销量")</f>
        <v>43364</v>
      </c>
    </row>
    <row r="37" spans="1:48">
      <c r="A37" s="19" t="s">
        <v>139</v>
      </c>
      <c r="B37" t="s">
        <v>140</v>
      </c>
      <c r="C37" t="s">
        <v>141</v>
      </c>
      <c r="D37" s="31">
        <v>1</v>
      </c>
      <c r="E37" s="31">
        <v>0</v>
      </c>
      <c r="F37" s="31">
        <v>1</v>
      </c>
      <c r="G37" s="31">
        <v>0</v>
      </c>
      <c r="H37" s="32">
        <v>79.99</v>
      </c>
      <c r="I37">
        <v>6</v>
      </c>
      <c r="J37" s="33">
        <v>0</v>
      </c>
      <c r="K37" s="33">
        <v>0</v>
      </c>
      <c r="L37" s="33">
        <v>0</v>
      </c>
      <c r="M37">
        <v>6</v>
      </c>
      <c r="N37">
        <v>0</v>
      </c>
      <c r="O37">
        <v>0</v>
      </c>
      <c r="P37">
        <v>15511</v>
      </c>
      <c r="Q37">
        <v>12333</v>
      </c>
      <c r="R37">
        <v>5541</v>
      </c>
      <c r="S37">
        <v>5797</v>
      </c>
      <c r="T37">
        <v>81</v>
      </c>
      <c r="U37">
        <v>67</v>
      </c>
      <c r="V37">
        <v>42</v>
      </c>
      <c r="W37">
        <v>53</v>
      </c>
      <c r="X37" s="23">
        <v>0.00522210044484559</v>
      </c>
      <c r="Y37" s="23">
        <v>0.00543257925889889</v>
      </c>
      <c r="Z37" s="23">
        <v>0.00757985923118571</v>
      </c>
      <c r="AA37" s="23">
        <v>0.00914265999654994</v>
      </c>
      <c r="AB37">
        <v>12.21</v>
      </c>
      <c r="AC37">
        <v>10.38</v>
      </c>
      <c r="AD37">
        <v>4.83</v>
      </c>
      <c r="AE37">
        <v>7.95</v>
      </c>
      <c r="AF37" s="23">
        <v>0.152644080510064</v>
      </c>
      <c r="AG37" s="23" t="s">
        <v>142</v>
      </c>
      <c r="AH37" s="23">
        <v>0.0603825478184773</v>
      </c>
      <c r="AI37" s="23" t="s">
        <v>143</v>
      </c>
      <c r="AJ37">
        <v>62</v>
      </c>
      <c r="AK37">
        <v>58</v>
      </c>
      <c r="AL37">
        <v>51</v>
      </c>
      <c r="AM37">
        <v>41</v>
      </c>
      <c r="AN37" s="23">
        <v>0.0161290322580645</v>
      </c>
      <c r="AO37" s="23">
        <v>0</v>
      </c>
      <c r="AP37" s="23">
        <v>0.0196078431372549</v>
      </c>
      <c r="AQ37" s="23">
        <v>0</v>
      </c>
      <c r="AR37" s="35">
        <v>0.142857142857143</v>
      </c>
      <c r="AS37" s="35">
        <v>8.57142857142857</v>
      </c>
      <c r="AT37" s="35">
        <v>-2.57142857142857</v>
      </c>
      <c r="AU37" s="31">
        <f t="shared" si="3"/>
        <v>42</v>
      </c>
      <c r="AV37" s="36">
        <f>IFERROR(时间!$B$4+AU37,"上周无销量")</f>
        <v>43339</v>
      </c>
    </row>
    <row r="38" spans="1:48">
      <c r="A38" s="19" t="s">
        <v>144</v>
      </c>
      <c r="B38" t="s">
        <v>145</v>
      </c>
      <c r="C38" t="s">
        <v>141</v>
      </c>
      <c r="D38" s="31">
        <v>1</v>
      </c>
      <c r="E38" s="31">
        <v>0</v>
      </c>
      <c r="F38" s="31">
        <v>1</v>
      </c>
      <c r="G38" s="31">
        <v>1</v>
      </c>
      <c r="H38" s="32">
        <v>79.99</v>
      </c>
      <c r="I38">
        <v>1</v>
      </c>
      <c r="J38" s="33">
        <v>0</v>
      </c>
      <c r="K38" s="33">
        <v>0</v>
      </c>
      <c r="L38" s="33">
        <v>5</v>
      </c>
      <c r="M38">
        <v>6</v>
      </c>
      <c r="N38">
        <v>0</v>
      </c>
      <c r="O38">
        <v>1</v>
      </c>
      <c r="P38" t="s">
        <v>57</v>
      </c>
      <c r="Q38" t="s">
        <v>57</v>
      </c>
      <c r="R38" t="s">
        <v>57</v>
      </c>
      <c r="S38" t="s">
        <v>57</v>
      </c>
      <c r="T38" t="s">
        <v>57</v>
      </c>
      <c r="U38" t="s">
        <v>57</v>
      </c>
      <c r="V38" t="s">
        <v>57</v>
      </c>
      <c r="W38" t="s">
        <v>57</v>
      </c>
      <c r="X38" s="23" t="s">
        <v>57</v>
      </c>
      <c r="Y38" s="23" t="s">
        <v>57</v>
      </c>
      <c r="Z38" s="23" t="s">
        <v>57</v>
      </c>
      <c r="AA38" s="23" t="s">
        <v>57</v>
      </c>
      <c r="AB38" t="s">
        <v>57</v>
      </c>
      <c r="AC38" t="s">
        <v>57</v>
      </c>
      <c r="AD38" t="s">
        <v>57</v>
      </c>
      <c r="AE38" t="s">
        <v>57</v>
      </c>
      <c r="AF38" s="23" t="s">
        <v>57</v>
      </c>
      <c r="AG38" s="23" t="s">
        <v>57</v>
      </c>
      <c r="AH38" s="23" t="s">
        <v>57</v>
      </c>
      <c r="AI38" s="23" t="s">
        <v>57</v>
      </c>
      <c r="AJ38">
        <v>28</v>
      </c>
      <c r="AK38">
        <v>40</v>
      </c>
      <c r="AL38">
        <v>19</v>
      </c>
      <c r="AM38">
        <v>23</v>
      </c>
      <c r="AN38" s="23">
        <v>0.0357142857142857</v>
      </c>
      <c r="AO38" s="23">
        <v>0</v>
      </c>
      <c r="AP38" s="23">
        <v>0.0526315789473684</v>
      </c>
      <c r="AQ38" s="23">
        <v>0.0434782608695652</v>
      </c>
      <c r="AR38" s="35">
        <v>0.142857142857143</v>
      </c>
      <c r="AS38" s="35">
        <v>8.57142857142857</v>
      </c>
      <c r="AT38" s="35">
        <v>-2.57142857142857</v>
      </c>
      <c r="AU38" s="31">
        <f t="shared" si="3"/>
        <v>42</v>
      </c>
      <c r="AV38" s="36">
        <f>IFERROR(时间!$B$4+AU38,"上周无销量")</f>
        <v>43339</v>
      </c>
    </row>
    <row r="39" spans="1:48">
      <c r="A39" s="19" t="s">
        <v>146</v>
      </c>
      <c r="B39" t="s">
        <v>147</v>
      </c>
      <c r="C39" t="s">
        <v>148</v>
      </c>
      <c r="D39" s="31">
        <v>2</v>
      </c>
      <c r="E39" s="31">
        <v>2</v>
      </c>
      <c r="F39" s="31">
        <v>1</v>
      </c>
      <c r="G39" s="31">
        <v>0</v>
      </c>
      <c r="H39" s="32">
        <v>89.99</v>
      </c>
      <c r="I39">
        <v>3</v>
      </c>
      <c r="J39" s="33">
        <v>0</v>
      </c>
      <c r="K39" s="33">
        <v>0</v>
      </c>
      <c r="L39" s="33">
        <v>4</v>
      </c>
      <c r="M39">
        <v>7</v>
      </c>
      <c r="N39">
        <v>0</v>
      </c>
      <c r="O39">
        <v>0</v>
      </c>
      <c r="P39">
        <v>11527</v>
      </c>
      <c r="Q39">
        <v>7951</v>
      </c>
      <c r="R39">
        <v>4380</v>
      </c>
      <c r="S39">
        <v>5669</v>
      </c>
      <c r="T39">
        <v>91</v>
      </c>
      <c r="U39">
        <v>41</v>
      </c>
      <c r="V39">
        <v>35</v>
      </c>
      <c r="W39">
        <v>45</v>
      </c>
      <c r="X39" s="23">
        <v>0.00789450854515485</v>
      </c>
      <c r="Y39" s="23">
        <v>0.00515658407747453</v>
      </c>
      <c r="Z39" s="23">
        <v>0.00799086757990868</v>
      </c>
      <c r="AA39" s="23">
        <v>0.00793790792026812</v>
      </c>
      <c r="AB39">
        <v>14.61</v>
      </c>
      <c r="AC39">
        <v>5.99</v>
      </c>
      <c r="AD39">
        <v>4.66</v>
      </c>
      <c r="AE39">
        <v>6.2</v>
      </c>
      <c r="AF39" s="23">
        <v>0.0811756861873542</v>
      </c>
      <c r="AG39" s="23">
        <v>0.0332814757195244</v>
      </c>
      <c r="AH39" s="23">
        <v>0.0517835315035004</v>
      </c>
      <c r="AI39" s="23" t="s">
        <v>149</v>
      </c>
      <c r="AJ39">
        <v>98</v>
      </c>
      <c r="AK39">
        <v>41</v>
      </c>
      <c r="AL39">
        <v>44</v>
      </c>
      <c r="AM39">
        <v>40</v>
      </c>
      <c r="AN39" s="23">
        <v>0.0204081632653061</v>
      </c>
      <c r="AO39" s="23">
        <v>0.0487804878048781</v>
      </c>
      <c r="AP39" s="23">
        <v>0.0227272727272727</v>
      </c>
      <c r="AQ39" s="23">
        <v>0</v>
      </c>
      <c r="AR39" s="35">
        <v>0.285714285714286</v>
      </c>
      <c r="AS39" s="35">
        <v>17.1428571428571</v>
      </c>
      <c r="AT39" s="35">
        <v>-10.1428571428571</v>
      </c>
      <c r="AU39" s="31">
        <f t="shared" si="3"/>
        <v>24</v>
      </c>
      <c r="AV39" s="36">
        <f>IFERROR(时间!$B$4+AU39,"上周无销量")</f>
        <v>43321</v>
      </c>
    </row>
    <row r="40" spans="1:48">
      <c r="A40" s="19" t="s">
        <v>150</v>
      </c>
      <c r="B40" t="s">
        <v>151</v>
      </c>
      <c r="C40" t="s">
        <v>152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10</v>
      </c>
      <c r="J40" s="33">
        <v>0</v>
      </c>
      <c r="K40" s="33">
        <v>0</v>
      </c>
      <c r="L40" s="33">
        <v>0</v>
      </c>
      <c r="M40">
        <v>10</v>
      </c>
      <c r="N40">
        <v>0</v>
      </c>
      <c r="O40">
        <v>5</v>
      </c>
      <c r="P40">
        <v>5695</v>
      </c>
      <c r="Q40">
        <v>20371</v>
      </c>
      <c r="R40">
        <v>16001</v>
      </c>
      <c r="S40">
        <v>10690</v>
      </c>
      <c r="T40">
        <v>68</v>
      </c>
      <c r="U40">
        <v>105</v>
      </c>
      <c r="V40">
        <v>107</v>
      </c>
      <c r="W40">
        <v>79</v>
      </c>
      <c r="X40" s="23">
        <v>0.0119402985074627</v>
      </c>
      <c r="Y40" s="23">
        <v>0.00515438613715576</v>
      </c>
      <c r="Z40" s="23">
        <v>0.00668708205737141</v>
      </c>
      <c r="AA40" s="23">
        <v>0.00739008419083255</v>
      </c>
      <c r="AB40">
        <v>8.66</v>
      </c>
      <c r="AC40">
        <v>17.47</v>
      </c>
      <c r="AD40">
        <v>19.03</v>
      </c>
      <c r="AE40">
        <v>14.25</v>
      </c>
      <c r="AF40" s="23" t="s">
        <v>153</v>
      </c>
      <c r="AG40" s="23" t="s">
        <v>154</v>
      </c>
      <c r="AH40" s="23" t="s">
        <v>155</v>
      </c>
      <c r="AI40" s="23" t="s">
        <v>156</v>
      </c>
      <c r="AJ40">
        <v>44</v>
      </c>
      <c r="AK40">
        <v>68</v>
      </c>
      <c r="AL40">
        <v>76</v>
      </c>
      <c r="AM40">
        <v>42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10</v>
      </c>
      <c r="AU40" s="31" t="str">
        <f t="shared" si="3"/>
        <v>库存为10</v>
      </c>
      <c r="AV40" s="36" t="str">
        <f>IFERROR(时间!$B$4+AU40,"上周无销量")</f>
        <v>上周无销量</v>
      </c>
    </row>
    <row r="41" spans="1:48">
      <c r="A41" s="19" t="s">
        <v>157</v>
      </c>
      <c r="B41" t="s">
        <v>158</v>
      </c>
      <c r="C41" t="s">
        <v>152</v>
      </c>
      <c r="D41" s="31">
        <v>0</v>
      </c>
      <c r="E41" s="31">
        <v>0</v>
      </c>
      <c r="F41" s="31">
        <v>1</v>
      </c>
      <c r="G41" s="31">
        <v>0</v>
      </c>
      <c r="H41" s="32">
        <v>37.99</v>
      </c>
      <c r="I41">
        <v>6</v>
      </c>
      <c r="J41" s="33">
        <v>0</v>
      </c>
      <c r="K41" s="33">
        <v>0</v>
      </c>
      <c r="L41" s="33">
        <v>2</v>
      </c>
      <c r="M41">
        <v>8</v>
      </c>
      <c r="N41">
        <v>0</v>
      </c>
      <c r="O41">
        <v>2</v>
      </c>
      <c r="P41">
        <v>0</v>
      </c>
      <c r="Q41">
        <v>4382</v>
      </c>
      <c r="R41">
        <v>18863</v>
      </c>
      <c r="S41">
        <v>29603</v>
      </c>
      <c r="T41">
        <v>0</v>
      </c>
      <c r="U41">
        <v>23</v>
      </c>
      <c r="V41">
        <v>85</v>
      </c>
      <c r="W41">
        <v>131</v>
      </c>
      <c r="X41" s="23" t="s">
        <v>57</v>
      </c>
      <c r="Y41" s="23">
        <v>0.00524874486535828</v>
      </c>
      <c r="Z41" s="23">
        <v>0.00450617611196522</v>
      </c>
      <c r="AA41" s="23">
        <v>0.00442522717292166</v>
      </c>
      <c r="AB41">
        <v>0</v>
      </c>
      <c r="AC41">
        <v>4.35</v>
      </c>
      <c r="AD41">
        <v>14.71</v>
      </c>
      <c r="AE41">
        <v>22.83</v>
      </c>
      <c r="AF41" s="23" t="s">
        <v>57</v>
      </c>
      <c r="AG41" s="23" t="s">
        <v>107</v>
      </c>
      <c r="AH41" s="23">
        <v>0.387207159778889</v>
      </c>
      <c r="AI41" s="23" t="s">
        <v>159</v>
      </c>
      <c r="AJ41">
        <v>18</v>
      </c>
      <c r="AK41">
        <v>36</v>
      </c>
      <c r="AL41">
        <v>68</v>
      </c>
      <c r="AM41">
        <v>88</v>
      </c>
      <c r="AN41" s="23">
        <v>0</v>
      </c>
      <c r="AO41" s="23">
        <v>0</v>
      </c>
      <c r="AP41" s="23">
        <v>0.0147058823529412</v>
      </c>
      <c r="AQ41" s="23">
        <v>0</v>
      </c>
      <c r="AR41" s="35">
        <v>0</v>
      </c>
      <c r="AS41" s="35">
        <v>0</v>
      </c>
      <c r="AT41" s="35">
        <v>8</v>
      </c>
      <c r="AU41" s="31" t="str">
        <f t="shared" si="3"/>
        <v>库存为8</v>
      </c>
      <c r="AV41" s="36" t="str">
        <f>IFERROR(时间!$B$4+AU41,"上周无销量")</f>
        <v>上周无销量</v>
      </c>
    </row>
    <row r="42" spans="1:48">
      <c r="A42" s="19" t="s">
        <v>160</v>
      </c>
      <c r="B42" t="s">
        <v>161</v>
      </c>
      <c r="C42" t="s">
        <v>162</v>
      </c>
      <c r="D42" s="31">
        <v>16</v>
      </c>
      <c r="E42" s="31">
        <v>10</v>
      </c>
      <c r="F42" s="31">
        <v>13</v>
      </c>
      <c r="G42" s="31">
        <v>10</v>
      </c>
      <c r="H42" s="32">
        <v>89.9899999999999</v>
      </c>
      <c r="I42">
        <v>85</v>
      </c>
      <c r="J42" s="33">
        <v>0</v>
      </c>
      <c r="K42" s="33">
        <v>0</v>
      </c>
      <c r="L42" s="33">
        <v>0</v>
      </c>
      <c r="M42">
        <v>85</v>
      </c>
      <c r="N42">
        <v>0</v>
      </c>
      <c r="O42">
        <v>0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3" t="s">
        <v>57</v>
      </c>
      <c r="Y42" s="23" t="s">
        <v>57</v>
      </c>
      <c r="Z42" s="23" t="s">
        <v>57</v>
      </c>
      <c r="AA42" s="23" t="s">
        <v>57</v>
      </c>
      <c r="AB42" t="s">
        <v>57</v>
      </c>
      <c r="AC42" t="s">
        <v>57</v>
      </c>
      <c r="AD42" t="s">
        <v>57</v>
      </c>
      <c r="AE42" t="s">
        <v>57</v>
      </c>
      <c r="AF42" s="23" t="s">
        <v>57</v>
      </c>
      <c r="AG42" s="23" t="s">
        <v>57</v>
      </c>
      <c r="AH42" s="23" t="s">
        <v>57</v>
      </c>
      <c r="AI42" s="23" t="s">
        <v>57</v>
      </c>
      <c r="AJ42">
        <v>1262</v>
      </c>
      <c r="AK42">
        <v>910</v>
      </c>
      <c r="AL42">
        <v>1252</v>
      </c>
      <c r="AM42">
        <v>990</v>
      </c>
      <c r="AN42" s="23">
        <v>0.0126782884310618</v>
      </c>
      <c r="AO42" s="23">
        <v>0.010989010989011</v>
      </c>
      <c r="AP42" s="23">
        <v>0.0103833865814696</v>
      </c>
      <c r="AQ42" s="23">
        <v>0.0101010101010101</v>
      </c>
      <c r="AR42" s="35">
        <v>2.28571428571429</v>
      </c>
      <c r="AS42" s="35">
        <v>137.142857142857</v>
      </c>
      <c r="AT42" s="35">
        <v>-52.1428571428571</v>
      </c>
      <c r="AU42" s="31">
        <f t="shared" si="3"/>
        <v>37</v>
      </c>
      <c r="AV42" s="36">
        <f>IFERROR(时间!$B$4+AU42,"上周无销量")</f>
        <v>43334</v>
      </c>
    </row>
    <row r="43" spans="1:48">
      <c r="A43" s="19" t="s">
        <v>163</v>
      </c>
      <c r="B43" t="s">
        <v>164</v>
      </c>
      <c r="C43" t="s">
        <v>162</v>
      </c>
      <c r="D43" s="31">
        <v>0</v>
      </c>
      <c r="E43" s="31">
        <v>1</v>
      </c>
      <c r="F43" s="31">
        <v>0</v>
      </c>
      <c r="G43" s="31">
        <v>0</v>
      </c>
      <c r="H43" s="32">
        <v>32.99</v>
      </c>
      <c r="I43">
        <v>4</v>
      </c>
      <c r="J43" s="33">
        <v>0</v>
      </c>
      <c r="K43" s="33">
        <v>0</v>
      </c>
      <c r="L43" s="33">
        <v>0</v>
      </c>
      <c r="M43">
        <v>4</v>
      </c>
      <c r="N43">
        <v>0</v>
      </c>
      <c r="O43">
        <v>0</v>
      </c>
      <c r="P43" t="s">
        <v>57</v>
      </c>
      <c r="Q43" t="s">
        <v>57</v>
      </c>
      <c r="R43" t="s">
        <v>57</v>
      </c>
      <c r="S43" t="s">
        <v>57</v>
      </c>
      <c r="T43" t="s">
        <v>57</v>
      </c>
      <c r="U43" t="s">
        <v>57</v>
      </c>
      <c r="V43" t="s">
        <v>57</v>
      </c>
      <c r="W43" t="s">
        <v>57</v>
      </c>
      <c r="X43" s="23" t="s">
        <v>57</v>
      </c>
      <c r="Y43" s="23" t="s">
        <v>57</v>
      </c>
      <c r="Z43" s="23" t="s">
        <v>57</v>
      </c>
      <c r="AA43" s="23" t="s">
        <v>57</v>
      </c>
      <c r="AB43" t="s">
        <v>57</v>
      </c>
      <c r="AC43" t="s">
        <v>57</v>
      </c>
      <c r="AD43" t="s">
        <v>57</v>
      </c>
      <c r="AE43" t="s">
        <v>57</v>
      </c>
      <c r="AF43" s="23" t="s">
        <v>57</v>
      </c>
      <c r="AG43" s="23" t="s">
        <v>57</v>
      </c>
      <c r="AH43" s="23" t="s">
        <v>57</v>
      </c>
      <c r="AI43" s="23" t="s">
        <v>57</v>
      </c>
      <c r="AJ43">
        <v>22</v>
      </c>
      <c r="AK43">
        <v>17</v>
      </c>
      <c r="AL43">
        <v>14</v>
      </c>
      <c r="AM43">
        <v>12</v>
      </c>
      <c r="AN43" s="23">
        <v>0</v>
      </c>
      <c r="AO43" s="23">
        <v>0.0588235294117647</v>
      </c>
      <c r="AP43" s="23">
        <v>0</v>
      </c>
      <c r="AQ43" s="23">
        <v>0</v>
      </c>
      <c r="AR43" s="35">
        <v>0</v>
      </c>
      <c r="AS43" s="35">
        <v>0</v>
      </c>
      <c r="AT43" s="35">
        <v>4</v>
      </c>
      <c r="AU43" s="31" t="str">
        <f t="shared" si="3"/>
        <v>库存为4</v>
      </c>
      <c r="AV43" s="36" t="str">
        <f>IFERROR(时间!$B$4+AU43,"上周无销量")</f>
        <v>上周无销量</v>
      </c>
    </row>
    <row r="44" spans="1:48">
      <c r="A44" s="19" t="s">
        <v>165</v>
      </c>
      <c r="B44" t="s">
        <v>166</v>
      </c>
      <c r="C44" t="s">
        <v>162</v>
      </c>
      <c r="D44" s="31">
        <v>0</v>
      </c>
      <c r="E44" s="31">
        <v>0</v>
      </c>
      <c r="F44" s="31">
        <v>1</v>
      </c>
      <c r="G44" s="31">
        <v>3</v>
      </c>
      <c r="H44" s="32">
        <v>32.99</v>
      </c>
      <c r="I44">
        <v>8</v>
      </c>
      <c r="J44" s="33">
        <v>0</v>
      </c>
      <c r="K44" s="33">
        <v>0</v>
      </c>
      <c r="L44" s="33">
        <v>0</v>
      </c>
      <c r="M44">
        <v>8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 s="23" t="s">
        <v>57</v>
      </c>
      <c r="Y44" s="23" t="s">
        <v>57</v>
      </c>
      <c r="Z44" s="23" t="s">
        <v>57</v>
      </c>
      <c r="AA44" s="23" t="s">
        <v>57</v>
      </c>
      <c r="AB44">
        <v>0</v>
      </c>
      <c r="AC44">
        <v>0</v>
      </c>
      <c r="AD44">
        <v>0</v>
      </c>
      <c r="AE44">
        <v>0</v>
      </c>
      <c r="AF44" s="23" t="s">
        <v>57</v>
      </c>
      <c r="AG44" s="23" t="s">
        <v>57</v>
      </c>
      <c r="AH44" s="23" t="s">
        <v>57</v>
      </c>
      <c r="AI44" s="23" t="s">
        <v>57</v>
      </c>
      <c r="AJ44">
        <v>34</v>
      </c>
      <c r="AK44">
        <v>43</v>
      </c>
      <c r="AL44">
        <v>69</v>
      </c>
      <c r="AM44">
        <v>56</v>
      </c>
      <c r="AN44" s="23">
        <v>0</v>
      </c>
      <c r="AO44" s="23">
        <v>0</v>
      </c>
      <c r="AP44" s="23">
        <v>0.0144927536231884</v>
      </c>
      <c r="AQ44" s="23">
        <v>0.0535714285714286</v>
      </c>
      <c r="AR44" s="35">
        <v>0</v>
      </c>
      <c r="AS44" s="35">
        <v>0</v>
      </c>
      <c r="AT44" s="35">
        <v>8</v>
      </c>
      <c r="AU44" s="31" t="str">
        <f t="shared" si="3"/>
        <v>库存为8</v>
      </c>
      <c r="AV44" s="36" t="str">
        <f>IFERROR(时间!$B$4+AU44,"上周无销量")</f>
        <v>上周无销量</v>
      </c>
    </row>
    <row r="45" spans="1:48">
      <c r="A45" s="19" t="s">
        <v>167</v>
      </c>
      <c r="B45" t="s">
        <v>168</v>
      </c>
      <c r="C45" t="s">
        <v>169</v>
      </c>
      <c r="D45" s="31">
        <v>1</v>
      </c>
      <c r="E45" s="31">
        <v>0</v>
      </c>
      <c r="F45" s="31">
        <v>0</v>
      </c>
      <c r="G45" s="31">
        <v>0</v>
      </c>
      <c r="H45" s="32">
        <v>89.99</v>
      </c>
      <c r="I45">
        <v>6</v>
      </c>
      <c r="J45" s="33">
        <v>0</v>
      </c>
      <c r="K45" s="33">
        <v>0</v>
      </c>
      <c r="L45" s="33">
        <v>0</v>
      </c>
      <c r="M45">
        <v>6</v>
      </c>
      <c r="N45">
        <v>0</v>
      </c>
      <c r="O45">
        <v>6</v>
      </c>
      <c r="P45">
        <v>5527</v>
      </c>
      <c r="Q45">
        <v>12983</v>
      </c>
      <c r="R45">
        <v>11916</v>
      </c>
      <c r="S45">
        <v>25713</v>
      </c>
      <c r="T45">
        <v>35</v>
      </c>
      <c r="U45">
        <v>83</v>
      </c>
      <c r="V45">
        <v>55</v>
      </c>
      <c r="W45">
        <v>99</v>
      </c>
      <c r="X45" s="23">
        <v>0.00633254930341958</v>
      </c>
      <c r="Y45" s="23">
        <v>0.00639297542940769</v>
      </c>
      <c r="Z45" s="23">
        <v>0.00461564283316549</v>
      </c>
      <c r="AA45" s="23">
        <v>0.00385019250962548</v>
      </c>
      <c r="AB45">
        <v>5.76</v>
      </c>
      <c r="AC45">
        <v>13.19</v>
      </c>
      <c r="AD45">
        <v>7.45</v>
      </c>
      <c r="AE45">
        <v>14.6</v>
      </c>
      <c r="AF45" s="23">
        <v>0.0640071119013224</v>
      </c>
      <c r="AG45" s="23" t="s">
        <v>170</v>
      </c>
      <c r="AH45" s="23" t="s">
        <v>171</v>
      </c>
      <c r="AI45" s="23" t="s">
        <v>172</v>
      </c>
      <c r="AJ45">
        <v>25</v>
      </c>
      <c r="AK45">
        <v>37</v>
      </c>
      <c r="AL45">
        <v>34</v>
      </c>
      <c r="AM45">
        <v>54</v>
      </c>
      <c r="AN45" s="23">
        <v>0.04</v>
      </c>
      <c r="AO45" s="23">
        <v>0</v>
      </c>
      <c r="AP45" s="23">
        <v>0</v>
      </c>
      <c r="AQ45" s="23">
        <v>0</v>
      </c>
      <c r="AR45" s="35">
        <v>0.142857142857143</v>
      </c>
      <c r="AS45" s="35">
        <v>8.57142857142857</v>
      </c>
      <c r="AT45" s="35">
        <v>-2.57142857142857</v>
      </c>
      <c r="AU45" s="31">
        <f t="shared" si="3"/>
        <v>42</v>
      </c>
      <c r="AV45" s="36">
        <f>IFERROR(时间!$B$4+AU45,"上周无销量")</f>
        <v>43339</v>
      </c>
    </row>
    <row r="46" spans="1:48">
      <c r="A46" s="19" t="s">
        <v>173</v>
      </c>
      <c r="B46" t="s">
        <v>174</v>
      </c>
      <c r="C46" t="s">
        <v>175</v>
      </c>
      <c r="D46" s="31">
        <v>2</v>
      </c>
      <c r="E46" s="31">
        <v>1</v>
      </c>
      <c r="F46" s="31">
        <v>5</v>
      </c>
      <c r="G46" s="31">
        <v>2</v>
      </c>
      <c r="H46" s="32">
        <v>89.99</v>
      </c>
      <c r="I46">
        <v>10</v>
      </c>
      <c r="J46" s="33">
        <v>10</v>
      </c>
      <c r="K46" s="33">
        <v>0</v>
      </c>
      <c r="L46" s="33">
        <v>0</v>
      </c>
      <c r="M46">
        <v>20</v>
      </c>
      <c r="N46">
        <v>1</v>
      </c>
      <c r="O46">
        <v>0</v>
      </c>
      <c r="P46">
        <v>12733</v>
      </c>
      <c r="Q46">
        <v>10184</v>
      </c>
      <c r="R46">
        <v>27566</v>
      </c>
      <c r="S46">
        <v>109409</v>
      </c>
      <c r="T46">
        <v>81</v>
      </c>
      <c r="U46">
        <v>45</v>
      </c>
      <c r="V46">
        <v>95</v>
      </c>
      <c r="W46">
        <v>347</v>
      </c>
      <c r="X46" s="23">
        <v>0.00636142307390246</v>
      </c>
      <c r="Y46" s="23">
        <v>0.00441869599371563</v>
      </c>
      <c r="Z46" s="23">
        <v>0.00344627439599507</v>
      </c>
      <c r="AA46" s="23">
        <v>0.0031715855185588</v>
      </c>
      <c r="AB46">
        <v>14.54</v>
      </c>
      <c r="AC46">
        <v>6.7</v>
      </c>
      <c r="AD46">
        <v>22.6</v>
      </c>
      <c r="AE46">
        <v>98.76</v>
      </c>
      <c r="AF46" s="23">
        <v>0.0807867540837871</v>
      </c>
      <c r="AG46" s="23">
        <v>0.0744527169685521</v>
      </c>
      <c r="AH46" s="23">
        <v>0.0502278030892321</v>
      </c>
      <c r="AI46" s="23">
        <v>0.548727636404045</v>
      </c>
      <c r="AJ46">
        <v>65</v>
      </c>
      <c r="AK46">
        <v>66</v>
      </c>
      <c r="AL46">
        <v>109</v>
      </c>
      <c r="AM46">
        <v>245</v>
      </c>
      <c r="AN46" s="23">
        <v>0.0307692307692308</v>
      </c>
      <c r="AO46" s="23">
        <v>0.0151515151515152</v>
      </c>
      <c r="AP46" s="23">
        <v>0.0458715596330275</v>
      </c>
      <c r="AQ46" s="23">
        <v>0.00816326530612245</v>
      </c>
      <c r="AR46" s="35">
        <v>0.285714285714286</v>
      </c>
      <c r="AS46" s="35">
        <v>17.1428571428571</v>
      </c>
      <c r="AT46" s="35">
        <v>2.85714285714286</v>
      </c>
      <c r="AU46" s="31">
        <f t="shared" si="3"/>
        <v>70</v>
      </c>
      <c r="AV46" s="36">
        <f>IFERROR(时间!$B$4+AU46,"上周无销量")</f>
        <v>43367</v>
      </c>
    </row>
    <row r="47" spans="1:48">
      <c r="A47" s="19" t="s">
        <v>176</v>
      </c>
      <c r="B47" t="s">
        <v>177</v>
      </c>
      <c r="C47" t="s">
        <v>178</v>
      </c>
      <c r="D47" s="31">
        <v>0</v>
      </c>
      <c r="E47" s="31">
        <v>1</v>
      </c>
      <c r="F47" s="31">
        <v>6</v>
      </c>
      <c r="G47" s="31">
        <v>0</v>
      </c>
      <c r="H47" s="32">
        <v>82.5614285714286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>
        <v>0</v>
      </c>
      <c r="Q47">
        <v>9447</v>
      </c>
      <c r="R47">
        <v>31775</v>
      </c>
      <c r="S47">
        <v>8734</v>
      </c>
      <c r="T47">
        <v>0</v>
      </c>
      <c r="U47">
        <v>34</v>
      </c>
      <c r="V47">
        <v>189</v>
      </c>
      <c r="W47">
        <v>92</v>
      </c>
      <c r="X47" s="23" t="s">
        <v>57</v>
      </c>
      <c r="Y47" s="23">
        <v>0.00359902614586641</v>
      </c>
      <c r="Z47" s="23">
        <v>0.00594807238394965</v>
      </c>
      <c r="AA47" s="23">
        <v>0.0105335470574765</v>
      </c>
      <c r="AB47">
        <v>0</v>
      </c>
      <c r="AC47">
        <v>5.61</v>
      </c>
      <c r="AD47">
        <v>30.97</v>
      </c>
      <c r="AE47">
        <v>13.86</v>
      </c>
      <c r="AF47" s="23" t="s">
        <v>57</v>
      </c>
      <c r="AG47" s="23">
        <v>0.0679494056373609</v>
      </c>
      <c r="AH47" s="23">
        <v>0.0625191055433472</v>
      </c>
      <c r="AI47" s="23" t="s">
        <v>179</v>
      </c>
      <c r="AJ47">
        <v>0</v>
      </c>
      <c r="AK47">
        <v>66</v>
      </c>
      <c r="AL47">
        <v>194</v>
      </c>
      <c r="AM47">
        <v>68</v>
      </c>
      <c r="AN47" s="23" t="s">
        <v>57</v>
      </c>
      <c r="AO47" s="23">
        <v>0.0151515151515152</v>
      </c>
      <c r="AP47" s="23">
        <v>0.0309278350515464</v>
      </c>
      <c r="AQ47" s="23">
        <v>0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19" t="s">
        <v>180</v>
      </c>
      <c r="B48" t="s">
        <v>181</v>
      </c>
      <c r="C48" t="s">
        <v>178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40</v>
      </c>
      <c r="J48" s="33">
        <v>0</v>
      </c>
      <c r="K48" s="33">
        <v>0</v>
      </c>
      <c r="L48" s="33">
        <v>10</v>
      </c>
      <c r="M48">
        <v>50</v>
      </c>
      <c r="N48">
        <v>0</v>
      </c>
      <c r="O48">
        <v>5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3" t="s">
        <v>57</v>
      </c>
      <c r="Y48" s="23" t="s">
        <v>57</v>
      </c>
      <c r="Z48" s="23" t="s">
        <v>57</v>
      </c>
      <c r="AA48" s="23" t="s">
        <v>57</v>
      </c>
      <c r="AB48" t="s">
        <v>57</v>
      </c>
      <c r="AC48" t="s">
        <v>57</v>
      </c>
      <c r="AD48" t="s">
        <v>57</v>
      </c>
      <c r="AE48" t="s">
        <v>57</v>
      </c>
      <c r="AF48" s="23" t="s">
        <v>57</v>
      </c>
      <c r="AG48" s="23" t="s">
        <v>57</v>
      </c>
      <c r="AH48" s="23" t="s">
        <v>57</v>
      </c>
      <c r="AI48" s="23" t="s">
        <v>57</v>
      </c>
      <c r="AJ48">
        <v>5</v>
      </c>
      <c r="AK48">
        <v>4</v>
      </c>
      <c r="AL48">
        <v>6</v>
      </c>
      <c r="AM48">
        <v>2</v>
      </c>
      <c r="AN48" s="23">
        <v>0</v>
      </c>
      <c r="AO48" s="23">
        <v>0</v>
      </c>
      <c r="AP48" s="23">
        <v>0</v>
      </c>
      <c r="AQ48" s="23">
        <v>0</v>
      </c>
      <c r="AR48" s="35">
        <v>0</v>
      </c>
      <c r="AS48" s="35">
        <v>0</v>
      </c>
      <c r="AT48" s="35">
        <v>50</v>
      </c>
      <c r="AU48" s="31" t="str">
        <f t="shared" si="3"/>
        <v>库存为50</v>
      </c>
      <c r="AV48" s="36" t="str">
        <f>IFERROR(时间!$B$4+AU48,"上周无销量")</f>
        <v>上周无销量</v>
      </c>
    </row>
    <row r="49" spans="1:48">
      <c r="A49" s="19" t="s">
        <v>182</v>
      </c>
      <c r="B49" t="s">
        <v>183</v>
      </c>
      <c r="C49" t="s">
        <v>184</v>
      </c>
      <c r="D49" s="31">
        <v>0</v>
      </c>
      <c r="E49" s="31">
        <v>0</v>
      </c>
      <c r="F49" s="31">
        <v>1</v>
      </c>
      <c r="G49" s="31">
        <v>0</v>
      </c>
      <c r="H49" s="32">
        <v>89.6</v>
      </c>
      <c r="I49">
        <v>4</v>
      </c>
      <c r="J49" s="33">
        <v>0</v>
      </c>
      <c r="K49" s="33">
        <v>0</v>
      </c>
      <c r="L49" s="33">
        <v>0</v>
      </c>
      <c r="M49">
        <v>4</v>
      </c>
      <c r="N49">
        <v>0</v>
      </c>
      <c r="O49">
        <v>0</v>
      </c>
      <c r="P49" t="s">
        <v>57</v>
      </c>
      <c r="Q49" t="s">
        <v>57</v>
      </c>
      <c r="R49" t="s">
        <v>57</v>
      </c>
      <c r="S49" t="s">
        <v>57</v>
      </c>
      <c r="T49" t="s">
        <v>57</v>
      </c>
      <c r="U49" t="s">
        <v>57</v>
      </c>
      <c r="V49" t="s">
        <v>57</v>
      </c>
      <c r="W49" t="s">
        <v>57</v>
      </c>
      <c r="X49" s="23" t="s">
        <v>57</v>
      </c>
      <c r="Y49" s="23" t="s">
        <v>57</v>
      </c>
      <c r="Z49" s="23" t="s">
        <v>57</v>
      </c>
      <c r="AA49" s="23" t="s">
        <v>57</v>
      </c>
      <c r="AB49" t="s">
        <v>57</v>
      </c>
      <c r="AC49" t="s">
        <v>57</v>
      </c>
      <c r="AD49" t="s">
        <v>57</v>
      </c>
      <c r="AE49" t="s">
        <v>57</v>
      </c>
      <c r="AF49" s="23" t="s">
        <v>57</v>
      </c>
      <c r="AG49" s="23" t="s">
        <v>57</v>
      </c>
      <c r="AH49" s="23" t="s">
        <v>57</v>
      </c>
      <c r="AI49" s="23" t="s">
        <v>57</v>
      </c>
      <c r="AJ49">
        <v>7</v>
      </c>
      <c r="AK49">
        <v>21</v>
      </c>
      <c r="AL49">
        <v>19</v>
      </c>
      <c r="AM49">
        <v>18</v>
      </c>
      <c r="AN49" s="23">
        <v>0</v>
      </c>
      <c r="AO49" s="23">
        <v>0</v>
      </c>
      <c r="AP49" s="23">
        <v>0.0526315789473684</v>
      </c>
      <c r="AQ49" s="23">
        <v>0</v>
      </c>
      <c r="AR49" s="35">
        <v>0</v>
      </c>
      <c r="AS49" s="35">
        <v>0</v>
      </c>
      <c r="AT49" s="35">
        <v>4</v>
      </c>
      <c r="AU49" s="31" t="str">
        <f t="shared" si="3"/>
        <v>库存为4</v>
      </c>
      <c r="AV49" s="36" t="str">
        <f>IFERROR(时间!$B$4+AU49,"上周无销量")</f>
        <v>上周无销量</v>
      </c>
    </row>
    <row r="50" spans="1:48">
      <c r="A50" s="19" t="s">
        <v>185</v>
      </c>
      <c r="B50" t="s">
        <v>186</v>
      </c>
      <c r="C50" t="s">
        <v>187</v>
      </c>
      <c r="D50" s="31">
        <v>0</v>
      </c>
      <c r="E50" s="31">
        <v>1</v>
      </c>
      <c r="F50" s="31">
        <v>0</v>
      </c>
      <c r="G50" s="31">
        <v>1</v>
      </c>
      <c r="H50" s="32">
        <v>89.99</v>
      </c>
      <c r="I50">
        <v>6</v>
      </c>
      <c r="J50" s="33">
        <v>0</v>
      </c>
      <c r="K50" s="33">
        <v>0</v>
      </c>
      <c r="L50" s="33">
        <v>2</v>
      </c>
      <c r="M50">
        <v>8</v>
      </c>
      <c r="N50">
        <v>0</v>
      </c>
      <c r="O50">
        <v>0</v>
      </c>
      <c r="P50">
        <v>0</v>
      </c>
      <c r="Q50">
        <v>10008</v>
      </c>
      <c r="R50">
        <v>10862</v>
      </c>
      <c r="S50">
        <v>15420</v>
      </c>
      <c r="T50">
        <v>0</v>
      </c>
      <c r="U50">
        <v>87</v>
      </c>
      <c r="V50">
        <v>128</v>
      </c>
      <c r="W50">
        <v>135</v>
      </c>
      <c r="X50" s="23" t="s">
        <v>57</v>
      </c>
      <c r="Y50" s="23">
        <v>0.00869304556354916</v>
      </c>
      <c r="Z50" s="23">
        <v>0.0117842018044559</v>
      </c>
      <c r="AA50" s="23">
        <v>0.00875486381322957</v>
      </c>
      <c r="AB50">
        <v>0</v>
      </c>
      <c r="AC50">
        <v>13.03</v>
      </c>
      <c r="AD50">
        <v>16.5</v>
      </c>
      <c r="AE50">
        <v>17.65</v>
      </c>
      <c r="AF50" s="23" t="s">
        <v>57</v>
      </c>
      <c r="AG50" s="23">
        <v>0.144793865985109</v>
      </c>
      <c r="AH50" s="23" t="s">
        <v>188</v>
      </c>
      <c r="AI50" s="23">
        <v>0.196132903655962</v>
      </c>
      <c r="AJ50">
        <v>45</v>
      </c>
      <c r="AK50">
        <v>142</v>
      </c>
      <c r="AL50">
        <v>124</v>
      </c>
      <c r="AM50">
        <v>129</v>
      </c>
      <c r="AN50" s="23">
        <v>0</v>
      </c>
      <c r="AO50" s="23">
        <v>0.00704225352112676</v>
      </c>
      <c r="AP50" s="23">
        <v>0</v>
      </c>
      <c r="AQ50" s="23">
        <v>0.00775193798449612</v>
      </c>
      <c r="AR50" s="35">
        <v>0</v>
      </c>
      <c r="AS50" s="35">
        <v>0</v>
      </c>
      <c r="AT50" s="35">
        <v>8</v>
      </c>
      <c r="AU50" s="31" t="str">
        <f t="shared" si="3"/>
        <v>库存为8</v>
      </c>
      <c r="AV50" s="36" t="str">
        <f>IFERROR(时间!$B$4+AU50,"上周无销量")</f>
        <v>上周无销量</v>
      </c>
    </row>
    <row r="51" spans="1:48">
      <c r="A51" s="19" t="s">
        <v>189</v>
      </c>
      <c r="B51" t="s">
        <v>190</v>
      </c>
      <c r="C51" t="s">
        <v>191</v>
      </c>
      <c r="D51" s="31">
        <v>8</v>
      </c>
      <c r="E51" s="31">
        <v>6</v>
      </c>
      <c r="F51" s="31">
        <v>3</v>
      </c>
      <c r="G51" s="31">
        <v>6</v>
      </c>
      <c r="H51" s="32">
        <v>89.99</v>
      </c>
      <c r="I51">
        <v>14</v>
      </c>
      <c r="J51" s="33">
        <v>0</v>
      </c>
      <c r="K51" s="33">
        <v>0</v>
      </c>
      <c r="L51" s="33">
        <v>8</v>
      </c>
      <c r="M51">
        <v>22</v>
      </c>
      <c r="N51">
        <v>1</v>
      </c>
      <c r="O51">
        <v>0</v>
      </c>
      <c r="P51">
        <v>121972</v>
      </c>
      <c r="Q51">
        <v>73791</v>
      </c>
      <c r="R51">
        <v>30106</v>
      </c>
      <c r="S51">
        <v>27626</v>
      </c>
      <c r="T51">
        <v>768</v>
      </c>
      <c r="U51">
        <v>542</v>
      </c>
      <c r="V51">
        <v>317</v>
      </c>
      <c r="W51">
        <v>320</v>
      </c>
      <c r="X51" s="23">
        <v>0.00629652707178697</v>
      </c>
      <c r="Y51" s="23">
        <v>0.00734506918187855</v>
      </c>
      <c r="Z51" s="23">
        <v>0.0105294625656015</v>
      </c>
      <c r="AA51" s="23">
        <v>0.0115832911025845</v>
      </c>
      <c r="AB51">
        <v>117.9</v>
      </c>
      <c r="AC51">
        <v>82.57</v>
      </c>
      <c r="AD51">
        <v>43.45</v>
      </c>
      <c r="AE51">
        <v>46.23</v>
      </c>
      <c r="AF51" s="23">
        <v>0.163768196466274</v>
      </c>
      <c r="AG51" s="23">
        <v>0.152924399007297</v>
      </c>
      <c r="AH51" s="23">
        <v>0.160943808571323</v>
      </c>
      <c r="AI51" s="23">
        <v>0.0856206245138349</v>
      </c>
      <c r="AJ51">
        <v>726</v>
      </c>
      <c r="AK51">
        <v>580</v>
      </c>
      <c r="AL51">
        <v>393</v>
      </c>
      <c r="AM51">
        <v>356</v>
      </c>
      <c r="AN51" s="23">
        <v>0.0110192837465565</v>
      </c>
      <c r="AO51" s="23">
        <v>0.0103448275862069</v>
      </c>
      <c r="AP51" s="23">
        <v>0.00763358778625954</v>
      </c>
      <c r="AQ51" s="23">
        <v>0.0168539325842697</v>
      </c>
      <c r="AR51" s="35">
        <v>1.14285714285714</v>
      </c>
      <c r="AS51" s="35">
        <v>68.5714285714286</v>
      </c>
      <c r="AT51" s="35">
        <v>-46.5714285714286</v>
      </c>
      <c r="AU51" s="31">
        <f t="shared" si="3"/>
        <v>19</v>
      </c>
      <c r="AV51" s="36">
        <f>IFERROR(时间!$B$4+AU51,"上周无销量")</f>
        <v>43316</v>
      </c>
    </row>
    <row r="52" spans="1:48">
      <c r="A52" s="19" t="s">
        <v>192</v>
      </c>
      <c r="B52" t="s">
        <v>193</v>
      </c>
      <c r="C52" t="s">
        <v>191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0</v>
      </c>
      <c r="P52" t="s">
        <v>57</v>
      </c>
      <c r="Q52" t="s">
        <v>57</v>
      </c>
      <c r="R52" t="s">
        <v>57</v>
      </c>
      <c r="S52" t="s">
        <v>57</v>
      </c>
      <c r="T52" t="s">
        <v>57</v>
      </c>
      <c r="U52" t="s">
        <v>57</v>
      </c>
      <c r="V52" t="s">
        <v>57</v>
      </c>
      <c r="W52" t="s">
        <v>57</v>
      </c>
      <c r="X52" s="23" t="s">
        <v>57</v>
      </c>
      <c r="Y52" s="23" t="s">
        <v>57</v>
      </c>
      <c r="Z52" s="23" t="s">
        <v>57</v>
      </c>
      <c r="AA52" s="23" t="s">
        <v>57</v>
      </c>
      <c r="AB52" t="s">
        <v>57</v>
      </c>
      <c r="AC52" t="s">
        <v>57</v>
      </c>
      <c r="AD52" t="s">
        <v>57</v>
      </c>
      <c r="AE52" t="s">
        <v>57</v>
      </c>
      <c r="AF52" s="23" t="s">
        <v>57</v>
      </c>
      <c r="AG52" s="23" t="s">
        <v>57</v>
      </c>
      <c r="AH52" s="23" t="s">
        <v>57</v>
      </c>
      <c r="AI52" s="23" t="s">
        <v>57</v>
      </c>
      <c r="AJ52">
        <v>1</v>
      </c>
      <c r="AK52">
        <v>2</v>
      </c>
      <c r="AL52">
        <v>0</v>
      </c>
      <c r="AM52">
        <v>2</v>
      </c>
      <c r="AN52" s="23">
        <v>0</v>
      </c>
      <c r="AO52" s="23">
        <v>0</v>
      </c>
      <c r="AP52" s="23" t="s">
        <v>57</v>
      </c>
      <c r="AQ52" s="23">
        <v>0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19" t="s">
        <v>194</v>
      </c>
      <c r="B53" t="s">
        <v>195</v>
      </c>
      <c r="C53" t="s">
        <v>196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10</v>
      </c>
      <c r="J53" s="33">
        <v>0</v>
      </c>
      <c r="K53" s="33">
        <v>0</v>
      </c>
      <c r="L53" s="33">
        <v>0</v>
      </c>
      <c r="M53">
        <v>10</v>
      </c>
      <c r="N53">
        <v>0</v>
      </c>
      <c r="O53">
        <v>0</v>
      </c>
      <c r="P53">
        <v>1834</v>
      </c>
      <c r="Q53">
        <v>0</v>
      </c>
      <c r="R53">
        <v>0</v>
      </c>
      <c r="S53">
        <v>0</v>
      </c>
      <c r="T53">
        <v>17</v>
      </c>
      <c r="U53">
        <v>0</v>
      </c>
      <c r="V53">
        <v>0</v>
      </c>
      <c r="W53">
        <v>0</v>
      </c>
      <c r="X53" s="23">
        <v>0.00926935659760087</v>
      </c>
      <c r="Y53" s="23" t="s">
        <v>57</v>
      </c>
      <c r="Z53" s="23" t="s">
        <v>57</v>
      </c>
      <c r="AA53" s="23" t="s">
        <v>57</v>
      </c>
      <c r="AB53">
        <v>3.36</v>
      </c>
      <c r="AC53">
        <v>0</v>
      </c>
      <c r="AD53">
        <v>0</v>
      </c>
      <c r="AE53">
        <v>0</v>
      </c>
      <c r="AF53" s="23" t="s">
        <v>197</v>
      </c>
      <c r="AG53" s="23" t="s">
        <v>57</v>
      </c>
      <c r="AH53" s="23" t="s">
        <v>57</v>
      </c>
      <c r="AI53" s="23" t="s">
        <v>57</v>
      </c>
      <c r="AJ53">
        <v>7</v>
      </c>
      <c r="AK53">
        <v>1</v>
      </c>
      <c r="AL53">
        <v>6</v>
      </c>
      <c r="AM53">
        <v>5</v>
      </c>
      <c r="AN53" s="23">
        <v>0</v>
      </c>
      <c r="AO53" s="23">
        <v>0</v>
      </c>
      <c r="AP53" s="23">
        <v>0</v>
      </c>
      <c r="AQ53" s="23">
        <v>0</v>
      </c>
      <c r="AR53" s="35">
        <v>0</v>
      </c>
      <c r="AS53" s="35">
        <v>0</v>
      </c>
      <c r="AT53" s="35">
        <v>10</v>
      </c>
      <c r="AU53" s="31" t="str">
        <f t="shared" si="3"/>
        <v>库存为10</v>
      </c>
      <c r="AV53" s="36" t="str">
        <f>IFERROR(时间!$B$4+AU53,"上周无销量")</f>
        <v>上周无销量</v>
      </c>
    </row>
    <row r="54" spans="1:48">
      <c r="A54" s="19" t="s">
        <v>198</v>
      </c>
      <c r="B54" t="s">
        <v>199</v>
      </c>
      <c r="C54" t="s">
        <v>196</v>
      </c>
      <c r="D54" s="31">
        <v>0</v>
      </c>
      <c r="E54" s="31">
        <v>1</v>
      </c>
      <c r="F54" s="31">
        <v>0</v>
      </c>
      <c r="G54" s="31">
        <v>2</v>
      </c>
      <c r="H54" s="32">
        <v>99.99</v>
      </c>
      <c r="I54">
        <v>4</v>
      </c>
      <c r="J54" s="33">
        <v>5</v>
      </c>
      <c r="K54" s="33">
        <v>0</v>
      </c>
      <c r="L54" s="33">
        <v>0</v>
      </c>
      <c r="M54">
        <v>9</v>
      </c>
      <c r="N54">
        <v>0</v>
      </c>
      <c r="O54">
        <v>0</v>
      </c>
      <c r="P54">
        <v>8450</v>
      </c>
      <c r="Q54">
        <v>4929</v>
      </c>
      <c r="R54">
        <v>0</v>
      </c>
      <c r="S54">
        <v>11711</v>
      </c>
      <c r="T54">
        <v>65</v>
      </c>
      <c r="U54">
        <v>50</v>
      </c>
      <c r="V54">
        <v>0</v>
      </c>
      <c r="W54">
        <v>43</v>
      </c>
      <c r="X54" s="23">
        <v>0.00769230769230769</v>
      </c>
      <c r="Y54" s="23">
        <v>0.0101440454453236</v>
      </c>
      <c r="Z54" s="23" t="s">
        <v>57</v>
      </c>
      <c r="AA54" s="23">
        <v>0.00367176159166595</v>
      </c>
      <c r="AB54">
        <v>9.92</v>
      </c>
      <c r="AC54">
        <v>8.4</v>
      </c>
      <c r="AD54">
        <v>0</v>
      </c>
      <c r="AE54">
        <v>5.4</v>
      </c>
      <c r="AF54" s="23" t="s">
        <v>200</v>
      </c>
      <c r="AG54" s="23">
        <v>0.084008400840084</v>
      </c>
      <c r="AH54" s="23" t="s">
        <v>57</v>
      </c>
      <c r="AI54" s="23">
        <v>0.027002700270027</v>
      </c>
      <c r="AJ54">
        <v>72</v>
      </c>
      <c r="AK54">
        <v>38</v>
      </c>
      <c r="AL54">
        <v>0</v>
      </c>
      <c r="AM54">
        <v>31</v>
      </c>
      <c r="AN54" s="23">
        <v>0</v>
      </c>
      <c r="AO54" s="23">
        <v>0.0263157894736842</v>
      </c>
      <c r="AP54" s="23" t="s">
        <v>57</v>
      </c>
      <c r="AQ54" s="23">
        <v>0.0645161290322581</v>
      </c>
      <c r="AR54" s="35">
        <v>0</v>
      </c>
      <c r="AS54" s="35">
        <v>0</v>
      </c>
      <c r="AT54" s="35">
        <v>9</v>
      </c>
      <c r="AU54" s="31" t="str">
        <f t="shared" si="3"/>
        <v>库存为9</v>
      </c>
      <c r="AV54" s="36" t="str">
        <f>IFERROR(时间!$B$4+AU54,"上周无销量")</f>
        <v>上周无销量</v>
      </c>
    </row>
    <row r="55" spans="1:48">
      <c r="A55" s="19" t="s">
        <v>201</v>
      </c>
      <c r="B55" t="s">
        <v>202</v>
      </c>
      <c r="C55" t="s">
        <v>196</v>
      </c>
      <c r="D55" s="31">
        <v>3</v>
      </c>
      <c r="E55" s="31">
        <v>3</v>
      </c>
      <c r="F55" s="31">
        <v>4</v>
      </c>
      <c r="G55" s="31">
        <v>2</v>
      </c>
      <c r="H55" s="32">
        <v>85.99</v>
      </c>
      <c r="I55">
        <v>14</v>
      </c>
      <c r="J55" s="33">
        <v>5</v>
      </c>
      <c r="K55" s="33">
        <v>0</v>
      </c>
      <c r="L55" s="33">
        <v>12</v>
      </c>
      <c r="M55">
        <v>31</v>
      </c>
      <c r="N55">
        <v>0</v>
      </c>
      <c r="O55">
        <v>0</v>
      </c>
      <c r="P55">
        <v>39735</v>
      </c>
      <c r="Q55">
        <v>5994</v>
      </c>
      <c r="R55">
        <v>57795</v>
      </c>
      <c r="S55">
        <v>19602</v>
      </c>
      <c r="T55">
        <v>257</v>
      </c>
      <c r="U55">
        <v>64</v>
      </c>
      <c r="V55">
        <v>431</v>
      </c>
      <c r="W55">
        <v>274</v>
      </c>
      <c r="X55" s="23">
        <v>0.00646784950295709</v>
      </c>
      <c r="Y55" s="23">
        <v>0.0106773440106773</v>
      </c>
      <c r="Z55" s="23">
        <v>0.00745739250800242</v>
      </c>
      <c r="AA55" s="23">
        <v>0.013978165493317</v>
      </c>
      <c r="AB55">
        <v>47.61</v>
      </c>
      <c r="AC55">
        <v>8.06</v>
      </c>
      <c r="AD55">
        <v>59</v>
      </c>
      <c r="AE55">
        <v>35.92</v>
      </c>
      <c r="AF55" s="23">
        <v>0.184556343760902</v>
      </c>
      <c r="AG55" s="23">
        <v>0.0312439430941582</v>
      </c>
      <c r="AH55" s="23">
        <v>0.171531573438772</v>
      </c>
      <c r="AI55" s="23">
        <v>0.208861495522735</v>
      </c>
      <c r="AJ55">
        <v>307</v>
      </c>
      <c r="AK55">
        <v>219</v>
      </c>
      <c r="AL55">
        <v>437</v>
      </c>
      <c r="AM55">
        <v>264</v>
      </c>
      <c r="AN55" s="23">
        <v>0.00977198697068404</v>
      </c>
      <c r="AO55" s="23">
        <v>0.0136986301369863</v>
      </c>
      <c r="AP55" s="23">
        <v>0.0091533180778032</v>
      </c>
      <c r="AQ55" s="23">
        <v>0.00757575757575758</v>
      </c>
      <c r="AR55" s="35">
        <v>0.428571428571429</v>
      </c>
      <c r="AS55" s="35">
        <v>25.7142857142857</v>
      </c>
      <c r="AT55" s="35">
        <v>5.28571428571429</v>
      </c>
      <c r="AU55" s="31">
        <f t="shared" si="3"/>
        <v>72</v>
      </c>
      <c r="AV55" s="36">
        <f>IFERROR(时间!$B$4+AU55,"上周无销量")</f>
        <v>43369</v>
      </c>
    </row>
    <row r="56" spans="1:48">
      <c r="A56" s="19" t="s">
        <v>203</v>
      </c>
      <c r="B56" t="s">
        <v>204</v>
      </c>
      <c r="C56" t="s">
        <v>205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0</v>
      </c>
      <c r="P56">
        <v>16939</v>
      </c>
      <c r="Q56">
        <v>15790</v>
      </c>
      <c r="R56">
        <v>16898</v>
      </c>
      <c r="S56">
        <v>7029</v>
      </c>
      <c r="T56">
        <v>56</v>
      </c>
      <c r="U56">
        <v>46</v>
      </c>
      <c r="V56">
        <v>41</v>
      </c>
      <c r="W56">
        <v>53</v>
      </c>
      <c r="X56" s="23">
        <v>0.00330598028218903</v>
      </c>
      <c r="Y56" s="23">
        <v>0.00291323622545915</v>
      </c>
      <c r="Z56" s="23">
        <v>0.00242632264173275</v>
      </c>
      <c r="AA56" s="23">
        <v>0.00754019063878219</v>
      </c>
      <c r="AB56">
        <v>8.46</v>
      </c>
      <c r="AC56">
        <v>7</v>
      </c>
      <c r="AD56">
        <v>5.98</v>
      </c>
      <c r="AE56">
        <v>6.92</v>
      </c>
      <c r="AF56" s="23" t="s">
        <v>206</v>
      </c>
      <c r="AG56" s="23" t="s">
        <v>207</v>
      </c>
      <c r="AH56" s="23" t="s">
        <v>208</v>
      </c>
      <c r="AI56" s="23" t="s">
        <v>209</v>
      </c>
      <c r="AJ56">
        <v>48</v>
      </c>
      <c r="AK56">
        <v>49</v>
      </c>
      <c r="AL56">
        <v>20</v>
      </c>
      <c r="AM56">
        <v>33</v>
      </c>
      <c r="AN56" s="23">
        <v>0</v>
      </c>
      <c r="AO56" s="23">
        <v>0</v>
      </c>
      <c r="AP56" s="23">
        <v>0</v>
      </c>
      <c r="AQ56" s="23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19" t="s">
        <v>210</v>
      </c>
      <c r="B57" t="s">
        <v>211</v>
      </c>
      <c r="C57" t="s">
        <v>212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>
        <v>69913</v>
      </c>
      <c r="Q57">
        <v>37142</v>
      </c>
      <c r="R57">
        <v>4074</v>
      </c>
      <c r="S57">
        <v>2760</v>
      </c>
      <c r="T57">
        <v>168</v>
      </c>
      <c r="U57">
        <v>92</v>
      </c>
      <c r="V57">
        <v>23</v>
      </c>
      <c r="W57">
        <v>11</v>
      </c>
      <c r="X57" s="23">
        <v>0.0024029865690215</v>
      </c>
      <c r="Y57" s="23">
        <v>0.00247698023800549</v>
      </c>
      <c r="Z57" s="23">
        <v>0.00564555719194894</v>
      </c>
      <c r="AA57" s="23">
        <v>0.00398550724637681</v>
      </c>
      <c r="AB57">
        <v>22.99</v>
      </c>
      <c r="AC57">
        <v>13.09</v>
      </c>
      <c r="AD57">
        <v>2.69</v>
      </c>
      <c r="AE57">
        <v>1.38</v>
      </c>
      <c r="AF57" s="23" t="s">
        <v>213</v>
      </c>
      <c r="AG57" s="23" t="s">
        <v>214</v>
      </c>
      <c r="AH57" s="23" t="s">
        <v>215</v>
      </c>
      <c r="AI57" s="23" t="s">
        <v>216</v>
      </c>
      <c r="AJ57">
        <v>124</v>
      </c>
      <c r="AK57">
        <v>54</v>
      </c>
      <c r="AL57">
        <v>17</v>
      </c>
      <c r="AM57">
        <v>6</v>
      </c>
      <c r="AN57" s="23">
        <v>0</v>
      </c>
      <c r="AO57" s="23">
        <v>0</v>
      </c>
      <c r="AP57" s="23">
        <v>0</v>
      </c>
      <c r="AQ57" s="23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19" t="s">
        <v>217</v>
      </c>
      <c r="B58" t="s">
        <v>218</v>
      </c>
      <c r="C58" t="s">
        <v>212</v>
      </c>
      <c r="D58" s="31">
        <v>0</v>
      </c>
      <c r="E58" s="31">
        <v>1</v>
      </c>
      <c r="F58" s="31">
        <v>1</v>
      </c>
      <c r="G58" s="31">
        <v>3</v>
      </c>
      <c r="H58" s="32">
        <v>89.99</v>
      </c>
      <c r="I58">
        <v>6</v>
      </c>
      <c r="J58" s="33">
        <v>0</v>
      </c>
      <c r="K58" s="33">
        <v>0</v>
      </c>
      <c r="L58" s="33">
        <v>0</v>
      </c>
      <c r="M58">
        <v>6</v>
      </c>
      <c r="N58">
        <v>1</v>
      </c>
      <c r="O58">
        <v>0</v>
      </c>
      <c r="P58">
        <v>15853</v>
      </c>
      <c r="Q58">
        <v>11505</v>
      </c>
      <c r="R58">
        <v>4527</v>
      </c>
      <c r="S58">
        <v>2980</v>
      </c>
      <c r="T58">
        <v>94</v>
      </c>
      <c r="U58">
        <v>79</v>
      </c>
      <c r="V58">
        <v>40</v>
      </c>
      <c r="W58">
        <v>50</v>
      </c>
      <c r="X58" s="23">
        <v>0.00592947707058601</v>
      </c>
      <c r="Y58" s="23">
        <v>0.00686657974793568</v>
      </c>
      <c r="Z58" s="23">
        <v>0.00883587364700685</v>
      </c>
      <c r="AA58" s="23">
        <v>0.0167785234899329</v>
      </c>
      <c r="AB58">
        <v>15.19</v>
      </c>
      <c r="AC58">
        <v>11.19</v>
      </c>
      <c r="AD58">
        <v>4.68</v>
      </c>
      <c r="AE58">
        <v>7.1</v>
      </c>
      <c r="AF58" s="23" t="s">
        <v>219</v>
      </c>
      <c r="AG58" s="23">
        <v>0.124347149683298</v>
      </c>
      <c r="AH58" s="23">
        <v>0.0520057784198244</v>
      </c>
      <c r="AI58" s="23">
        <v>0.0262992184316776</v>
      </c>
      <c r="AJ58">
        <v>102</v>
      </c>
      <c r="AK58">
        <v>65</v>
      </c>
      <c r="AL58">
        <v>77</v>
      </c>
      <c r="AM58">
        <v>53</v>
      </c>
      <c r="AN58" s="23">
        <v>0</v>
      </c>
      <c r="AO58" s="23">
        <v>0.0153846153846154</v>
      </c>
      <c r="AP58" s="23">
        <v>0.012987012987013</v>
      </c>
      <c r="AQ58" s="23">
        <v>0.0566037735849057</v>
      </c>
      <c r="AR58" s="35">
        <v>0</v>
      </c>
      <c r="AS58" s="35">
        <v>0</v>
      </c>
      <c r="AT58" s="35">
        <v>6</v>
      </c>
      <c r="AU58" s="31" t="str">
        <f t="shared" si="3"/>
        <v>库存为6</v>
      </c>
      <c r="AV58" s="36" t="str">
        <f>IFERROR(时间!$B$4+AU58,"上周无销量")</f>
        <v>上周无销量</v>
      </c>
    </row>
    <row r="59" spans="1:48">
      <c r="A59" s="19" t="s">
        <v>220</v>
      </c>
      <c r="B59" t="s">
        <v>221</v>
      </c>
      <c r="C59" t="s">
        <v>222</v>
      </c>
      <c r="D59" s="31">
        <v>5</v>
      </c>
      <c r="E59" s="31">
        <v>4</v>
      </c>
      <c r="F59" s="31">
        <v>0</v>
      </c>
      <c r="G59" s="31">
        <v>1</v>
      </c>
      <c r="H59" s="32">
        <v>99.99</v>
      </c>
      <c r="I59">
        <v>0</v>
      </c>
      <c r="J59" s="33">
        <v>5</v>
      </c>
      <c r="K59" s="33">
        <v>0</v>
      </c>
      <c r="L59" s="33">
        <v>0</v>
      </c>
      <c r="M59">
        <v>5</v>
      </c>
      <c r="N59">
        <v>0</v>
      </c>
      <c r="O59">
        <v>0</v>
      </c>
      <c r="P59">
        <v>16728</v>
      </c>
      <c r="Q59">
        <v>18560</v>
      </c>
      <c r="R59">
        <v>7031</v>
      </c>
      <c r="S59">
        <v>8266</v>
      </c>
      <c r="T59">
        <v>85</v>
      </c>
      <c r="U59">
        <v>108</v>
      </c>
      <c r="V59">
        <v>61</v>
      </c>
      <c r="W59">
        <v>53</v>
      </c>
      <c r="X59" s="23">
        <v>0.00508130081300813</v>
      </c>
      <c r="Y59" s="23">
        <v>0.00581896551724138</v>
      </c>
      <c r="Z59" s="23">
        <v>0.00867586403072109</v>
      </c>
      <c r="AA59" s="23">
        <v>0.00641180740382289</v>
      </c>
      <c r="AB59">
        <v>14.62</v>
      </c>
      <c r="AC59">
        <v>16.87</v>
      </c>
      <c r="AD59">
        <v>8.23</v>
      </c>
      <c r="AE59">
        <v>6.96</v>
      </c>
      <c r="AF59" s="23">
        <v>0.0292429242924292</v>
      </c>
      <c r="AG59" s="23">
        <v>0.0421792179217922</v>
      </c>
      <c r="AH59" s="23" t="s">
        <v>223</v>
      </c>
      <c r="AI59" s="23">
        <v>0.0696069606960696</v>
      </c>
      <c r="AJ59">
        <v>101</v>
      </c>
      <c r="AK59">
        <v>117</v>
      </c>
      <c r="AL59">
        <v>65</v>
      </c>
      <c r="AM59">
        <v>65</v>
      </c>
      <c r="AN59" s="23">
        <v>0.0495049504950495</v>
      </c>
      <c r="AO59" s="23">
        <v>0.0341880341880342</v>
      </c>
      <c r="AP59" s="23">
        <v>0</v>
      </c>
      <c r="AQ59" s="23">
        <v>0.0153846153846154</v>
      </c>
      <c r="AR59" s="35">
        <v>0.714285714285714</v>
      </c>
      <c r="AS59" s="35">
        <v>42.8571428571429</v>
      </c>
      <c r="AT59" s="35">
        <v>-37.8571428571429</v>
      </c>
      <c r="AU59" s="31">
        <f t="shared" si="3"/>
        <v>7</v>
      </c>
      <c r="AV59" s="36">
        <f>IFERROR(时间!$B$4+AU59,"上周无销量")</f>
        <v>43304</v>
      </c>
    </row>
    <row r="60" spans="1:48">
      <c r="A60" s="19" t="s">
        <v>224</v>
      </c>
      <c r="B60" t="s">
        <v>225</v>
      </c>
      <c r="C60" t="s">
        <v>222</v>
      </c>
      <c r="D60" s="31">
        <v>3</v>
      </c>
      <c r="E60" s="31">
        <v>0</v>
      </c>
      <c r="F60" s="31">
        <v>0</v>
      </c>
      <c r="G60" s="31">
        <v>1</v>
      </c>
      <c r="H60" s="32">
        <v>85.99</v>
      </c>
      <c r="I60">
        <v>1</v>
      </c>
      <c r="J60" s="33">
        <v>1</v>
      </c>
      <c r="K60" s="33">
        <v>0</v>
      </c>
      <c r="L60" s="33">
        <v>0</v>
      </c>
      <c r="M60">
        <v>2</v>
      </c>
      <c r="N60">
        <v>0</v>
      </c>
      <c r="O60">
        <v>0</v>
      </c>
      <c r="P60" t="s">
        <v>57</v>
      </c>
      <c r="Q60" t="s">
        <v>57</v>
      </c>
      <c r="R60" t="s">
        <v>57</v>
      </c>
      <c r="S60" t="s">
        <v>57</v>
      </c>
      <c r="T60" t="s">
        <v>57</v>
      </c>
      <c r="U60" t="s">
        <v>57</v>
      </c>
      <c r="V60" t="s">
        <v>57</v>
      </c>
      <c r="W60" t="s">
        <v>57</v>
      </c>
      <c r="X60" s="23" t="s">
        <v>57</v>
      </c>
      <c r="Y60" s="23" t="s">
        <v>57</v>
      </c>
      <c r="Z60" s="23" t="s">
        <v>57</v>
      </c>
      <c r="AA60" s="23" t="s">
        <v>57</v>
      </c>
      <c r="AB60" t="s">
        <v>57</v>
      </c>
      <c r="AC60" t="s">
        <v>57</v>
      </c>
      <c r="AD60" t="s">
        <v>57</v>
      </c>
      <c r="AE60" t="s">
        <v>57</v>
      </c>
      <c r="AF60" s="23" t="s">
        <v>57</v>
      </c>
      <c r="AG60" s="23" t="s">
        <v>57</v>
      </c>
      <c r="AH60" s="23" t="s">
        <v>57</v>
      </c>
      <c r="AI60" s="23" t="s">
        <v>57</v>
      </c>
      <c r="AJ60">
        <v>98</v>
      </c>
      <c r="AK60">
        <v>25</v>
      </c>
      <c r="AL60">
        <v>46</v>
      </c>
      <c r="AM60">
        <v>21</v>
      </c>
      <c r="AN60" s="23">
        <v>0.0306122448979592</v>
      </c>
      <c r="AO60" s="23">
        <v>0</v>
      </c>
      <c r="AP60" s="23">
        <v>0</v>
      </c>
      <c r="AQ60" s="23">
        <v>0.0476190476190476</v>
      </c>
      <c r="AR60" s="35">
        <v>0.428571428571429</v>
      </c>
      <c r="AS60" s="35">
        <v>25.7142857142857</v>
      </c>
      <c r="AT60" s="35">
        <v>-23.7142857142857</v>
      </c>
      <c r="AU60" s="31">
        <f t="shared" si="3"/>
        <v>4</v>
      </c>
      <c r="AV60" s="36">
        <f>IFERROR(时间!$B$4+AU60,"上周无销量")</f>
        <v>43301</v>
      </c>
    </row>
    <row r="61" spans="1:48">
      <c r="A61" s="19" t="s">
        <v>226</v>
      </c>
      <c r="B61" t="s">
        <v>227</v>
      </c>
      <c r="C61" t="s">
        <v>228</v>
      </c>
      <c r="D61" s="31">
        <v>1</v>
      </c>
      <c r="E61" s="31">
        <v>1</v>
      </c>
      <c r="F61" s="31">
        <v>0</v>
      </c>
      <c r="G61" s="31">
        <v>0</v>
      </c>
      <c r="H61" s="32">
        <v>99.6</v>
      </c>
      <c r="I61">
        <v>3</v>
      </c>
      <c r="J61" s="33">
        <v>0</v>
      </c>
      <c r="K61" s="33">
        <v>0</v>
      </c>
      <c r="L61" s="33">
        <v>0</v>
      </c>
      <c r="M61">
        <v>3</v>
      </c>
      <c r="N61">
        <v>0</v>
      </c>
      <c r="O61">
        <v>3</v>
      </c>
      <c r="P61">
        <v>186509</v>
      </c>
      <c r="Q61">
        <v>137909</v>
      </c>
      <c r="R61">
        <v>7694</v>
      </c>
      <c r="S61">
        <v>0</v>
      </c>
      <c r="T61">
        <v>430</v>
      </c>
      <c r="U61">
        <v>334</v>
      </c>
      <c r="V61">
        <v>66</v>
      </c>
      <c r="W61">
        <v>0</v>
      </c>
      <c r="X61" s="23">
        <v>0.00230551876853128</v>
      </c>
      <c r="Y61" s="23">
        <v>0.00242188689643171</v>
      </c>
      <c r="Z61" s="23">
        <v>0.00857811281518066</v>
      </c>
      <c r="AA61" s="23" t="s">
        <v>57</v>
      </c>
      <c r="AB61">
        <v>114.11</v>
      </c>
      <c r="AC61">
        <v>85.35</v>
      </c>
      <c r="AD61">
        <v>9.51</v>
      </c>
      <c r="AE61">
        <v>0</v>
      </c>
      <c r="AF61" s="23">
        <v>1.14568273092369</v>
      </c>
      <c r="AG61" s="23">
        <v>0.856927710843373</v>
      </c>
      <c r="AH61" s="23" t="s">
        <v>229</v>
      </c>
      <c r="AI61" s="23" t="s">
        <v>57</v>
      </c>
      <c r="AJ61">
        <v>316</v>
      </c>
      <c r="AK61">
        <v>252</v>
      </c>
      <c r="AL61">
        <v>57</v>
      </c>
      <c r="AM61">
        <v>56</v>
      </c>
      <c r="AN61" s="23">
        <v>0.00316455696202532</v>
      </c>
      <c r="AO61" s="23">
        <v>0.00396825396825397</v>
      </c>
      <c r="AP61" s="23">
        <v>0</v>
      </c>
      <c r="AQ61" s="23">
        <v>0</v>
      </c>
      <c r="AR61" s="35">
        <v>0.142857142857143</v>
      </c>
      <c r="AS61" s="35">
        <v>8.57142857142857</v>
      </c>
      <c r="AT61" s="35">
        <v>-5.57142857142857</v>
      </c>
      <c r="AU61" s="31">
        <f t="shared" si="3"/>
        <v>21</v>
      </c>
      <c r="AV61" s="36">
        <f>IFERROR(时间!$B$4+AU61,"上周无销量")</f>
        <v>43318</v>
      </c>
    </row>
    <row r="62" spans="1:48">
      <c r="A62" s="19" t="s">
        <v>230</v>
      </c>
      <c r="B62" t="s">
        <v>231</v>
      </c>
      <c r="C62" t="s">
        <v>232</v>
      </c>
      <c r="D62" s="31">
        <v>0</v>
      </c>
      <c r="E62" s="31">
        <v>0</v>
      </c>
      <c r="F62" s="31">
        <v>1</v>
      </c>
      <c r="G62" s="31">
        <v>1</v>
      </c>
      <c r="H62" s="32">
        <v>99.6</v>
      </c>
      <c r="I62">
        <v>27</v>
      </c>
      <c r="J62" s="33">
        <v>0</v>
      </c>
      <c r="K62" s="33">
        <v>0</v>
      </c>
      <c r="L62" s="33">
        <v>0</v>
      </c>
      <c r="M62">
        <v>27</v>
      </c>
      <c r="N62">
        <v>0</v>
      </c>
      <c r="O62">
        <v>0</v>
      </c>
      <c r="P62" t="s">
        <v>57</v>
      </c>
      <c r="Q62" t="s">
        <v>57</v>
      </c>
      <c r="R62" t="s">
        <v>57</v>
      </c>
      <c r="S62" t="s">
        <v>57</v>
      </c>
      <c r="T62" t="s">
        <v>57</v>
      </c>
      <c r="U62" t="s">
        <v>57</v>
      </c>
      <c r="V62" t="s">
        <v>57</v>
      </c>
      <c r="W62" t="s">
        <v>57</v>
      </c>
      <c r="X62" s="23" t="s">
        <v>57</v>
      </c>
      <c r="Y62" s="23" t="s">
        <v>57</v>
      </c>
      <c r="Z62" s="23" t="s">
        <v>57</v>
      </c>
      <c r="AA62" s="23" t="s">
        <v>57</v>
      </c>
      <c r="AB62" t="s">
        <v>57</v>
      </c>
      <c r="AC62" t="s">
        <v>57</v>
      </c>
      <c r="AD62" t="s">
        <v>57</v>
      </c>
      <c r="AE62" t="s">
        <v>57</v>
      </c>
      <c r="AF62" s="23" t="s">
        <v>57</v>
      </c>
      <c r="AG62" s="23" t="s">
        <v>57</v>
      </c>
      <c r="AH62" s="23" t="s">
        <v>57</v>
      </c>
      <c r="AI62" s="23" t="s">
        <v>57</v>
      </c>
      <c r="AJ62">
        <v>34</v>
      </c>
      <c r="AK62">
        <v>26</v>
      </c>
      <c r="AL62">
        <v>23</v>
      </c>
      <c r="AM62">
        <v>43</v>
      </c>
      <c r="AN62" s="23">
        <v>0</v>
      </c>
      <c r="AO62" s="23">
        <v>0</v>
      </c>
      <c r="AP62" s="23">
        <v>0.0434782608695652</v>
      </c>
      <c r="AQ62" s="23">
        <v>0.0232558139534884</v>
      </c>
      <c r="AR62" s="35">
        <v>0</v>
      </c>
      <c r="AS62" s="35">
        <v>0</v>
      </c>
      <c r="AT62" s="35">
        <v>27</v>
      </c>
      <c r="AU62" s="31" t="str">
        <f t="shared" si="3"/>
        <v>库存为27</v>
      </c>
      <c r="AV62" s="36" t="str">
        <f>IFERROR(时间!$B$4+AU62,"上周无销量")</f>
        <v>上周无销量</v>
      </c>
    </row>
    <row r="63" spans="1:48">
      <c r="A63" s="19" t="s">
        <v>233</v>
      </c>
      <c r="B63" t="s">
        <v>234</v>
      </c>
      <c r="C63" t="s">
        <v>235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5</v>
      </c>
      <c r="J63" s="33">
        <v>0</v>
      </c>
      <c r="K63" s="33">
        <v>0</v>
      </c>
      <c r="L63" s="33">
        <v>0</v>
      </c>
      <c r="M63">
        <v>5</v>
      </c>
      <c r="N63">
        <v>0</v>
      </c>
      <c r="O63">
        <v>5</v>
      </c>
      <c r="P63" t="s">
        <v>57</v>
      </c>
      <c r="Q63" t="s">
        <v>57</v>
      </c>
      <c r="R63" t="s">
        <v>57</v>
      </c>
      <c r="S63" t="s">
        <v>57</v>
      </c>
      <c r="T63" t="s">
        <v>57</v>
      </c>
      <c r="U63" t="s">
        <v>57</v>
      </c>
      <c r="V63" t="s">
        <v>57</v>
      </c>
      <c r="W63" t="s">
        <v>57</v>
      </c>
      <c r="X63" s="23" t="s">
        <v>57</v>
      </c>
      <c r="Y63" s="23" t="s">
        <v>57</v>
      </c>
      <c r="Z63" s="23" t="s">
        <v>57</v>
      </c>
      <c r="AA63" s="23" t="s">
        <v>57</v>
      </c>
      <c r="AB63" t="s">
        <v>57</v>
      </c>
      <c r="AC63" t="s">
        <v>57</v>
      </c>
      <c r="AD63" t="s">
        <v>57</v>
      </c>
      <c r="AE63" t="s">
        <v>57</v>
      </c>
      <c r="AF63" s="23" t="s">
        <v>57</v>
      </c>
      <c r="AG63" s="23" t="s">
        <v>57</v>
      </c>
      <c r="AH63" s="23" t="s">
        <v>57</v>
      </c>
      <c r="AI63" s="23" t="s">
        <v>57</v>
      </c>
      <c r="AJ63">
        <v>2</v>
      </c>
      <c r="AK63">
        <v>1</v>
      </c>
      <c r="AL63">
        <v>4</v>
      </c>
      <c r="AM63">
        <v>10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5</v>
      </c>
      <c r="AU63" s="31" t="str">
        <f t="shared" si="3"/>
        <v>库存为5</v>
      </c>
      <c r="AV63" s="36" t="str">
        <f>IFERROR(时间!$B$4+AU63,"上周无销量")</f>
        <v>上周无销量</v>
      </c>
    </row>
    <row r="64" spans="1:48">
      <c r="A64" s="19" t="s">
        <v>236</v>
      </c>
      <c r="B64" t="s">
        <v>237</v>
      </c>
      <c r="C64" t="s">
        <v>235</v>
      </c>
      <c r="D64" s="31">
        <v>1</v>
      </c>
      <c r="E64" s="31">
        <v>0</v>
      </c>
      <c r="F64" s="31">
        <v>1</v>
      </c>
      <c r="G64" s="31">
        <v>0</v>
      </c>
      <c r="H64" s="32">
        <v>89.99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>
        <v>83653</v>
      </c>
      <c r="Q64">
        <v>56518</v>
      </c>
      <c r="R64">
        <v>37334</v>
      </c>
      <c r="S64">
        <v>36453</v>
      </c>
      <c r="T64">
        <v>286</v>
      </c>
      <c r="U64">
        <v>228</v>
      </c>
      <c r="V64">
        <v>129</v>
      </c>
      <c r="W64">
        <v>138</v>
      </c>
      <c r="X64" s="23">
        <v>0.00341888515653951</v>
      </c>
      <c r="Y64" s="23">
        <v>0.00403411302593864</v>
      </c>
      <c r="Z64" s="23">
        <v>0.00345529544115284</v>
      </c>
      <c r="AA64" s="23">
        <v>0.00378569665048144</v>
      </c>
      <c r="AB64">
        <v>45.43</v>
      </c>
      <c r="AC64">
        <v>37.17</v>
      </c>
      <c r="AD64">
        <v>21.16</v>
      </c>
      <c r="AE64">
        <v>21.92</v>
      </c>
      <c r="AF64" s="23">
        <v>0.504833870430048</v>
      </c>
      <c r="AG64" s="23" t="s">
        <v>238</v>
      </c>
      <c r="AH64" s="23">
        <v>0.23513723747083</v>
      </c>
      <c r="AI64" s="23" t="s">
        <v>239</v>
      </c>
      <c r="AJ64">
        <v>262</v>
      </c>
      <c r="AK64">
        <v>214</v>
      </c>
      <c r="AL64">
        <v>142</v>
      </c>
      <c r="AM64">
        <v>117</v>
      </c>
      <c r="AN64" s="23">
        <v>0.00381679389312977</v>
      </c>
      <c r="AO64" s="23">
        <v>0</v>
      </c>
      <c r="AP64" s="23">
        <v>0.00704225352112676</v>
      </c>
      <c r="AQ64" s="23">
        <v>0</v>
      </c>
      <c r="AR64" s="35">
        <v>0.142857142857143</v>
      </c>
      <c r="AS64" s="35">
        <v>8.57142857142857</v>
      </c>
      <c r="AT64" s="35">
        <v>-8.57142857142857</v>
      </c>
      <c r="AU64" s="31">
        <f t="shared" si="3"/>
        <v>0</v>
      </c>
      <c r="AV64" s="36">
        <f>IFERROR(时间!$B$4+AU64,"上周无销量")</f>
        <v>43297</v>
      </c>
    </row>
    <row r="65" spans="1:48">
      <c r="A65" s="19" t="s">
        <v>240</v>
      </c>
      <c r="B65" t="s">
        <v>241</v>
      </c>
      <c r="C65" t="s">
        <v>242</v>
      </c>
      <c r="D65" s="31">
        <v>1</v>
      </c>
      <c r="E65" s="31">
        <v>0</v>
      </c>
      <c r="F65" s="31">
        <v>0</v>
      </c>
      <c r="G65" s="31">
        <v>1</v>
      </c>
      <c r="H65" s="32">
        <v>85.99</v>
      </c>
      <c r="I65">
        <v>4</v>
      </c>
      <c r="J65" s="33">
        <v>0</v>
      </c>
      <c r="K65" s="33">
        <v>0</v>
      </c>
      <c r="L65" s="33">
        <v>0</v>
      </c>
      <c r="M65">
        <v>4</v>
      </c>
      <c r="N65">
        <v>0</v>
      </c>
      <c r="O65">
        <v>0</v>
      </c>
      <c r="P65">
        <v>16494</v>
      </c>
      <c r="Q65">
        <v>4035</v>
      </c>
      <c r="R65">
        <v>0</v>
      </c>
      <c r="S65">
        <v>0</v>
      </c>
      <c r="T65">
        <v>64</v>
      </c>
      <c r="U65">
        <v>26</v>
      </c>
      <c r="V65">
        <v>0</v>
      </c>
      <c r="W65">
        <v>0</v>
      </c>
      <c r="X65" s="23">
        <v>0.00388019886019158</v>
      </c>
      <c r="Y65" s="23">
        <v>0.00644361833952912</v>
      </c>
      <c r="Z65" s="23" t="s">
        <v>57</v>
      </c>
      <c r="AA65" s="23" t="s">
        <v>57</v>
      </c>
      <c r="AB65">
        <v>12.54</v>
      </c>
      <c r="AC65">
        <v>4.44</v>
      </c>
      <c r="AD65">
        <v>0</v>
      </c>
      <c r="AE65">
        <v>0</v>
      </c>
      <c r="AF65" s="23">
        <v>0.145830910570997</v>
      </c>
      <c r="AG65" s="23" t="s">
        <v>243</v>
      </c>
      <c r="AH65" s="23" t="s">
        <v>57</v>
      </c>
      <c r="AI65" s="23" t="s">
        <v>57</v>
      </c>
      <c r="AJ65">
        <v>46</v>
      </c>
      <c r="AK65">
        <v>16</v>
      </c>
      <c r="AL65">
        <v>10</v>
      </c>
      <c r="AM65">
        <v>20</v>
      </c>
      <c r="AN65" s="23">
        <v>0.0217391304347826</v>
      </c>
      <c r="AO65" s="23">
        <v>0</v>
      </c>
      <c r="AP65" s="23">
        <v>0</v>
      </c>
      <c r="AQ65" s="23">
        <v>0.05</v>
      </c>
      <c r="AR65" s="35">
        <v>0.142857142857143</v>
      </c>
      <c r="AS65" s="35">
        <v>8.57142857142857</v>
      </c>
      <c r="AT65" s="35">
        <v>-4.57142857142857</v>
      </c>
      <c r="AU65" s="31">
        <f t="shared" si="3"/>
        <v>28</v>
      </c>
      <c r="AV65" s="36">
        <f>IFERROR(时间!$B$4+AU65,"上周无销量")</f>
        <v>43325</v>
      </c>
    </row>
    <row r="66" spans="1:48">
      <c r="A66" s="19" t="s">
        <v>244</v>
      </c>
      <c r="B66" t="s">
        <v>245</v>
      </c>
      <c r="C66" t="s">
        <v>246</v>
      </c>
      <c r="D66" s="31">
        <v>4</v>
      </c>
      <c r="E66" s="31">
        <v>4</v>
      </c>
      <c r="F66" s="31">
        <v>3</v>
      </c>
      <c r="G66" s="31">
        <v>1</v>
      </c>
      <c r="H66" s="32">
        <v>89.99</v>
      </c>
      <c r="I66">
        <v>1</v>
      </c>
      <c r="J66" s="33">
        <v>3</v>
      </c>
      <c r="K66" s="33">
        <v>0</v>
      </c>
      <c r="L66" s="33">
        <v>3</v>
      </c>
      <c r="M66">
        <v>7</v>
      </c>
      <c r="N66">
        <v>0</v>
      </c>
      <c r="O66">
        <v>0</v>
      </c>
      <c r="P66">
        <v>20773</v>
      </c>
      <c r="Q66">
        <v>26863</v>
      </c>
      <c r="R66">
        <v>6856</v>
      </c>
      <c r="S66">
        <v>13960</v>
      </c>
      <c r="T66">
        <v>119</v>
      </c>
      <c r="U66">
        <v>151</v>
      </c>
      <c r="V66">
        <v>67</v>
      </c>
      <c r="W66">
        <v>82</v>
      </c>
      <c r="X66" s="23">
        <v>0.00572858999663024</v>
      </c>
      <c r="Y66" s="23">
        <v>0.00562111454416856</v>
      </c>
      <c r="Z66" s="23">
        <v>0.00977246207701284</v>
      </c>
      <c r="AA66" s="23">
        <v>0.00587392550143266</v>
      </c>
      <c r="AB66">
        <v>18.31</v>
      </c>
      <c r="AC66">
        <v>22.5</v>
      </c>
      <c r="AD66">
        <v>8.03</v>
      </c>
      <c r="AE66">
        <v>9.72</v>
      </c>
      <c r="AF66" s="23">
        <v>0.0508667629736637</v>
      </c>
      <c r="AG66" s="23">
        <v>0.0625069452161351</v>
      </c>
      <c r="AH66" s="23">
        <v>0.0297440456347002</v>
      </c>
      <c r="AI66" s="23">
        <v>0.108012001333482</v>
      </c>
      <c r="AJ66">
        <v>113</v>
      </c>
      <c r="AK66">
        <v>138</v>
      </c>
      <c r="AL66">
        <v>112</v>
      </c>
      <c r="AM66">
        <v>115</v>
      </c>
      <c r="AN66" s="23">
        <v>0.0353982300884956</v>
      </c>
      <c r="AO66" s="23">
        <v>0.0289855072463768</v>
      </c>
      <c r="AP66" s="23">
        <v>0.0267857142857143</v>
      </c>
      <c r="AQ66" s="23">
        <v>0.00869565217391304</v>
      </c>
      <c r="AR66" s="35">
        <v>0.571428571428571</v>
      </c>
      <c r="AS66" s="35">
        <v>34.2857142857143</v>
      </c>
      <c r="AT66" s="35">
        <v>-27.2857142857143</v>
      </c>
      <c r="AU66" s="31">
        <f t="shared" si="3"/>
        <v>12</v>
      </c>
      <c r="AV66" s="36">
        <f>IFERROR(时间!$B$4+AU66,"上周无销量")</f>
        <v>43309</v>
      </c>
    </row>
    <row r="67" spans="1:48">
      <c r="A67" s="19" t="s">
        <v>247</v>
      </c>
      <c r="B67" t="s">
        <v>237</v>
      </c>
      <c r="C67" t="s">
        <v>246</v>
      </c>
      <c r="D67" s="31">
        <v>0</v>
      </c>
      <c r="E67" s="31">
        <v>2</v>
      </c>
      <c r="F67" s="31">
        <v>1</v>
      </c>
      <c r="G67" s="31">
        <v>1</v>
      </c>
      <c r="H67" s="32">
        <v>89.99</v>
      </c>
      <c r="I67">
        <v>6</v>
      </c>
      <c r="J67" s="33">
        <v>0</v>
      </c>
      <c r="K67" s="33">
        <v>0</v>
      </c>
      <c r="L67" s="33">
        <v>0</v>
      </c>
      <c r="M67">
        <v>6</v>
      </c>
      <c r="N67">
        <v>0</v>
      </c>
      <c r="O67">
        <v>0</v>
      </c>
      <c r="P67" t="s">
        <v>57</v>
      </c>
      <c r="Q67" t="s">
        <v>57</v>
      </c>
      <c r="R67" t="s">
        <v>57</v>
      </c>
      <c r="S67" t="s">
        <v>57</v>
      </c>
      <c r="T67" t="s">
        <v>57</v>
      </c>
      <c r="U67" t="s">
        <v>57</v>
      </c>
      <c r="V67" t="s">
        <v>57</v>
      </c>
      <c r="W67" t="s">
        <v>57</v>
      </c>
      <c r="X67" s="23" t="s">
        <v>57</v>
      </c>
      <c r="Y67" s="23" t="s">
        <v>57</v>
      </c>
      <c r="Z67" s="23" t="s">
        <v>57</v>
      </c>
      <c r="AA67" s="23" t="s">
        <v>57</v>
      </c>
      <c r="AB67" t="s">
        <v>57</v>
      </c>
      <c r="AC67" t="s">
        <v>57</v>
      </c>
      <c r="AD67" t="s">
        <v>57</v>
      </c>
      <c r="AE67" t="s">
        <v>57</v>
      </c>
      <c r="AF67" s="23" t="s">
        <v>57</v>
      </c>
      <c r="AG67" s="23" t="s">
        <v>57</v>
      </c>
      <c r="AH67" s="23" t="s">
        <v>57</v>
      </c>
      <c r="AI67" s="23" t="s">
        <v>57</v>
      </c>
      <c r="AJ67">
        <v>262</v>
      </c>
      <c r="AK67">
        <v>214</v>
      </c>
      <c r="AL67">
        <v>142</v>
      </c>
      <c r="AM67">
        <v>117</v>
      </c>
      <c r="AN67" s="23">
        <v>0</v>
      </c>
      <c r="AO67" s="23">
        <v>0.00934579439252336</v>
      </c>
      <c r="AP67" s="23">
        <v>0.00704225352112676</v>
      </c>
      <c r="AQ67" s="23">
        <v>0.00854700854700855</v>
      </c>
      <c r="AR67" s="35">
        <v>0</v>
      </c>
      <c r="AS67" s="35">
        <v>0</v>
      </c>
      <c r="AT67" s="35">
        <v>6</v>
      </c>
      <c r="AU67" s="31" t="str">
        <f t="shared" si="3"/>
        <v>库存为6</v>
      </c>
      <c r="AV67" s="36" t="str">
        <f>IFERROR(时间!$B$4+AU67,"上周无销量")</f>
        <v>上周无销量</v>
      </c>
    </row>
    <row r="68" spans="1:48">
      <c r="A68" s="19" t="s">
        <v>248</v>
      </c>
      <c r="B68" t="s">
        <v>249</v>
      </c>
      <c r="C68" t="s">
        <v>250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5</v>
      </c>
      <c r="J68" s="33">
        <v>0</v>
      </c>
      <c r="K68" s="33">
        <v>0</v>
      </c>
      <c r="L68" s="33">
        <v>0</v>
      </c>
      <c r="M68">
        <v>5</v>
      </c>
      <c r="N68">
        <v>0</v>
      </c>
      <c r="O68">
        <v>0</v>
      </c>
      <c r="P68" t="s">
        <v>57</v>
      </c>
      <c r="Q68" t="s">
        <v>57</v>
      </c>
      <c r="R68" t="s">
        <v>57</v>
      </c>
      <c r="S68" t="s">
        <v>57</v>
      </c>
      <c r="T68" t="s">
        <v>57</v>
      </c>
      <c r="U68" t="s">
        <v>57</v>
      </c>
      <c r="V68" t="s">
        <v>57</v>
      </c>
      <c r="W68" t="s">
        <v>57</v>
      </c>
      <c r="X68" s="23" t="s">
        <v>57</v>
      </c>
      <c r="Y68" s="23" t="s">
        <v>57</v>
      </c>
      <c r="Z68" s="23" t="s">
        <v>57</v>
      </c>
      <c r="AA68" s="23" t="s">
        <v>57</v>
      </c>
      <c r="AB68" t="s">
        <v>57</v>
      </c>
      <c r="AC68" t="s">
        <v>57</v>
      </c>
      <c r="AD68" t="s">
        <v>57</v>
      </c>
      <c r="AE68" t="s">
        <v>57</v>
      </c>
      <c r="AF68" s="23" t="s">
        <v>57</v>
      </c>
      <c r="AG68" s="23" t="s">
        <v>57</v>
      </c>
      <c r="AH68" s="23" t="s">
        <v>57</v>
      </c>
      <c r="AI68" s="23" t="s">
        <v>57</v>
      </c>
      <c r="AJ68">
        <v>6</v>
      </c>
      <c r="AK68">
        <v>5</v>
      </c>
      <c r="AL68">
        <v>5</v>
      </c>
      <c r="AM68">
        <v>3</v>
      </c>
      <c r="AN68" s="23">
        <v>0</v>
      </c>
      <c r="AO68" s="23">
        <v>0</v>
      </c>
      <c r="AP68" s="23">
        <v>0</v>
      </c>
      <c r="AQ68" s="23">
        <v>0</v>
      </c>
      <c r="AR68" s="35">
        <v>0</v>
      </c>
      <c r="AS68" s="35">
        <v>0</v>
      </c>
      <c r="AT68" s="35">
        <v>5</v>
      </c>
      <c r="AU68" s="31" t="str">
        <f t="shared" si="3"/>
        <v>库存为5</v>
      </c>
      <c r="AV68" s="36" t="str">
        <f>IFERROR(时间!$B$4+AU68,"上周无销量")</f>
        <v>上周无销量</v>
      </c>
    </row>
    <row r="69" spans="1:48">
      <c r="A69" s="19" t="s">
        <v>251</v>
      </c>
      <c r="B69" t="s">
        <v>252</v>
      </c>
      <c r="C69" t="s">
        <v>250</v>
      </c>
      <c r="D69" s="31">
        <v>1</v>
      </c>
      <c r="E69" s="31">
        <v>0</v>
      </c>
      <c r="F69" s="31">
        <v>0</v>
      </c>
      <c r="G69" s="31">
        <v>0</v>
      </c>
      <c r="H69" s="32">
        <v>79.99</v>
      </c>
      <c r="I69">
        <v>4</v>
      </c>
      <c r="J69" s="33">
        <v>0</v>
      </c>
      <c r="K69" s="33">
        <v>0</v>
      </c>
      <c r="L69" s="33">
        <v>0</v>
      </c>
      <c r="M69">
        <v>4</v>
      </c>
      <c r="N69">
        <v>0</v>
      </c>
      <c r="O69">
        <v>0</v>
      </c>
      <c r="P69" t="s">
        <v>57</v>
      </c>
      <c r="Q69" t="s">
        <v>57</v>
      </c>
      <c r="R69" t="s">
        <v>57</v>
      </c>
      <c r="S69" t="s">
        <v>57</v>
      </c>
      <c r="T69" t="s">
        <v>57</v>
      </c>
      <c r="U69" t="s">
        <v>57</v>
      </c>
      <c r="V69" t="s">
        <v>57</v>
      </c>
      <c r="W69" t="s">
        <v>57</v>
      </c>
      <c r="X69" s="23" t="s">
        <v>57</v>
      </c>
      <c r="Y69" s="23" t="s">
        <v>57</v>
      </c>
      <c r="Z69" s="23" t="s">
        <v>57</v>
      </c>
      <c r="AA69" s="23" t="s">
        <v>57</v>
      </c>
      <c r="AB69" t="s">
        <v>57</v>
      </c>
      <c r="AC69" t="s">
        <v>57</v>
      </c>
      <c r="AD69" t="s">
        <v>57</v>
      </c>
      <c r="AE69" t="s">
        <v>57</v>
      </c>
      <c r="AF69" s="23" t="s">
        <v>57</v>
      </c>
      <c r="AG69" s="23" t="s">
        <v>57</v>
      </c>
      <c r="AH69" s="23" t="s">
        <v>57</v>
      </c>
      <c r="AI69" s="23" t="s">
        <v>57</v>
      </c>
      <c r="AJ69">
        <v>5</v>
      </c>
      <c r="AK69">
        <v>6</v>
      </c>
      <c r="AL69">
        <v>3</v>
      </c>
      <c r="AM69">
        <v>3</v>
      </c>
      <c r="AN69" s="23">
        <v>0.2</v>
      </c>
      <c r="AO69" s="23">
        <v>0</v>
      </c>
      <c r="AP69" s="23">
        <v>0</v>
      </c>
      <c r="AQ69" s="23">
        <v>0</v>
      </c>
      <c r="AR69" s="35">
        <v>0.142857142857143</v>
      </c>
      <c r="AS69" s="35">
        <v>8.57142857142857</v>
      </c>
      <c r="AT69" s="35">
        <v>-4.57142857142857</v>
      </c>
      <c r="AU69" s="31">
        <f t="shared" ref="AU69:AU132" si="5">IF(AR69="","库存为"&amp;M69,IF(AS69=0,"库存为"&amp;M69,INT(M69/AR69)))</f>
        <v>28</v>
      </c>
      <c r="AV69" s="36">
        <f>IFERROR(时间!$B$4+AU69,"上周无销量")</f>
        <v>43325</v>
      </c>
    </row>
    <row r="70" spans="1:48">
      <c r="A70" s="19" t="s">
        <v>253</v>
      </c>
      <c r="B70" t="s">
        <v>254</v>
      </c>
      <c r="C70" t="s">
        <v>255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3</v>
      </c>
      <c r="K70" s="33">
        <v>0</v>
      </c>
      <c r="L70" s="33">
        <v>0</v>
      </c>
      <c r="M70">
        <v>3</v>
      </c>
      <c r="N70">
        <v>0</v>
      </c>
      <c r="O70">
        <v>0</v>
      </c>
      <c r="P70" t="s">
        <v>57</v>
      </c>
      <c r="Q70" t="s">
        <v>57</v>
      </c>
      <c r="R70" t="s">
        <v>57</v>
      </c>
      <c r="S70" t="s">
        <v>57</v>
      </c>
      <c r="T70" t="s">
        <v>57</v>
      </c>
      <c r="U70" t="s">
        <v>57</v>
      </c>
      <c r="V70" t="s">
        <v>57</v>
      </c>
      <c r="W70" t="s">
        <v>57</v>
      </c>
      <c r="X70" s="23" t="s">
        <v>57</v>
      </c>
      <c r="Y70" s="23" t="s">
        <v>57</v>
      </c>
      <c r="Z70" s="23" t="s">
        <v>57</v>
      </c>
      <c r="AA70" s="23" t="s">
        <v>57</v>
      </c>
      <c r="AB70" t="s">
        <v>57</v>
      </c>
      <c r="AC70" t="s">
        <v>57</v>
      </c>
      <c r="AD70" t="s">
        <v>57</v>
      </c>
      <c r="AE70" t="s">
        <v>57</v>
      </c>
      <c r="AF70" s="23" t="s">
        <v>57</v>
      </c>
      <c r="AG70" s="23" t="s">
        <v>57</v>
      </c>
      <c r="AH70" s="23" t="s">
        <v>57</v>
      </c>
      <c r="AI70" s="23" t="s">
        <v>57</v>
      </c>
      <c r="AJ70">
        <v>0</v>
      </c>
      <c r="AK70">
        <v>0</v>
      </c>
      <c r="AL70">
        <v>0</v>
      </c>
      <c r="AM70">
        <v>0</v>
      </c>
      <c r="AN70" s="23" t="s">
        <v>57</v>
      </c>
      <c r="AO70" s="23" t="s">
        <v>57</v>
      </c>
      <c r="AP70" s="23" t="s">
        <v>57</v>
      </c>
      <c r="AQ70" s="23" t="s">
        <v>57</v>
      </c>
      <c r="AR70" s="35">
        <v>0</v>
      </c>
      <c r="AS70" s="35">
        <v>0</v>
      </c>
      <c r="AT70" s="35">
        <v>3</v>
      </c>
      <c r="AU70" s="31" t="str">
        <f t="shared" si="5"/>
        <v>库存为3</v>
      </c>
      <c r="AV70" s="36" t="str">
        <f>IFERROR(时间!$B$4+AU70,"上周无销量")</f>
        <v>上周无销量</v>
      </c>
    </row>
    <row r="71" spans="1:48">
      <c r="A71" s="19" t="s">
        <v>256</v>
      </c>
      <c r="B71" t="s">
        <v>257</v>
      </c>
      <c r="C71" t="s">
        <v>258</v>
      </c>
      <c r="D71" s="31">
        <v>1</v>
      </c>
      <c r="E71" s="31">
        <v>2</v>
      </c>
      <c r="F71" s="31">
        <v>0</v>
      </c>
      <c r="G71" s="31">
        <v>1</v>
      </c>
      <c r="H71" s="32">
        <v>95.99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57</v>
      </c>
      <c r="Q71" t="s">
        <v>57</v>
      </c>
      <c r="R71" t="s">
        <v>57</v>
      </c>
      <c r="S71" t="s">
        <v>57</v>
      </c>
      <c r="T71" t="s">
        <v>57</v>
      </c>
      <c r="U71" t="s">
        <v>57</v>
      </c>
      <c r="V71" t="s">
        <v>57</v>
      </c>
      <c r="W71" t="s">
        <v>57</v>
      </c>
      <c r="X71" s="23" t="s">
        <v>57</v>
      </c>
      <c r="Y71" s="23" t="s">
        <v>57</v>
      </c>
      <c r="Z71" s="23" t="s">
        <v>57</v>
      </c>
      <c r="AA71" s="23" t="s">
        <v>57</v>
      </c>
      <c r="AB71" t="s">
        <v>57</v>
      </c>
      <c r="AC71" t="s">
        <v>57</v>
      </c>
      <c r="AD71" t="s">
        <v>57</v>
      </c>
      <c r="AE71" t="s">
        <v>57</v>
      </c>
      <c r="AF71" s="23" t="s">
        <v>57</v>
      </c>
      <c r="AG71" s="23" t="s">
        <v>57</v>
      </c>
      <c r="AH71" s="23" t="s">
        <v>57</v>
      </c>
      <c r="AI71" s="23" t="s">
        <v>57</v>
      </c>
      <c r="AJ71">
        <v>87</v>
      </c>
      <c r="AK71">
        <v>50</v>
      </c>
      <c r="AL71">
        <v>42</v>
      </c>
      <c r="AM71">
        <v>36</v>
      </c>
      <c r="AN71" s="23">
        <v>0.0114942528735632</v>
      </c>
      <c r="AO71" s="23">
        <v>0.04</v>
      </c>
      <c r="AP71" s="23">
        <v>0</v>
      </c>
      <c r="AQ71" s="23">
        <v>0.0277777777777778</v>
      </c>
      <c r="AR71" s="35">
        <v>0.142857142857143</v>
      </c>
      <c r="AS71" s="35">
        <v>8.57142857142857</v>
      </c>
      <c r="AT71" s="35">
        <v>-3.57142857142857</v>
      </c>
      <c r="AU71" s="31">
        <f t="shared" si="5"/>
        <v>35</v>
      </c>
      <c r="AV71" s="36">
        <f>IFERROR(时间!$B$4+AU71,"上周无销量")</f>
        <v>43332</v>
      </c>
    </row>
    <row r="72" spans="1:48">
      <c r="A72" s="19" t="s">
        <v>259</v>
      </c>
      <c r="B72" t="s">
        <v>260</v>
      </c>
      <c r="C72" t="s">
        <v>258</v>
      </c>
      <c r="D72" s="31">
        <v>4</v>
      </c>
      <c r="E72" s="31">
        <v>2</v>
      </c>
      <c r="F72" s="31">
        <v>1</v>
      </c>
      <c r="G72" s="31">
        <v>0</v>
      </c>
      <c r="H72" s="32">
        <v>89.6</v>
      </c>
      <c r="I72">
        <v>5</v>
      </c>
      <c r="J72" s="33">
        <v>10</v>
      </c>
      <c r="K72" s="33">
        <v>0</v>
      </c>
      <c r="L72" s="33">
        <v>0</v>
      </c>
      <c r="M72">
        <v>15</v>
      </c>
      <c r="N72">
        <v>1</v>
      </c>
      <c r="O72">
        <v>0</v>
      </c>
      <c r="P72">
        <v>36328</v>
      </c>
      <c r="Q72">
        <v>28569</v>
      </c>
      <c r="R72">
        <v>9772</v>
      </c>
      <c r="S72">
        <v>7260</v>
      </c>
      <c r="T72">
        <v>169</v>
      </c>
      <c r="U72">
        <v>131</v>
      </c>
      <c r="V72">
        <v>65</v>
      </c>
      <c r="W72">
        <v>46</v>
      </c>
      <c r="X72" s="23">
        <v>0.00465205901783748</v>
      </c>
      <c r="Y72" s="23">
        <v>0.00458538975812944</v>
      </c>
      <c r="Z72" s="23">
        <v>0.0066516577977896</v>
      </c>
      <c r="AA72" s="23">
        <v>0.00633608815426997</v>
      </c>
      <c r="AB72">
        <v>27.01</v>
      </c>
      <c r="AC72">
        <v>21.5</v>
      </c>
      <c r="AD72">
        <v>8.48</v>
      </c>
      <c r="AE72">
        <v>6.16</v>
      </c>
      <c r="AF72" s="23">
        <v>0.0753627232142857</v>
      </c>
      <c r="AG72" s="23">
        <v>0.119977678571429</v>
      </c>
      <c r="AH72" s="23">
        <v>0.0946428571428572</v>
      </c>
      <c r="AI72" s="23" t="s">
        <v>261</v>
      </c>
      <c r="AJ72">
        <v>153</v>
      </c>
      <c r="AK72">
        <v>117</v>
      </c>
      <c r="AL72">
        <v>63</v>
      </c>
      <c r="AM72">
        <v>37</v>
      </c>
      <c r="AN72" s="23">
        <v>0.0261437908496732</v>
      </c>
      <c r="AO72" s="23">
        <v>0.0170940170940171</v>
      </c>
      <c r="AP72" s="23">
        <v>0.0158730158730159</v>
      </c>
      <c r="AQ72" s="23">
        <v>0</v>
      </c>
      <c r="AR72" s="35">
        <v>0.571428571428571</v>
      </c>
      <c r="AS72" s="35">
        <v>34.2857142857143</v>
      </c>
      <c r="AT72" s="35">
        <v>-19.2857142857143</v>
      </c>
      <c r="AU72" s="31">
        <f t="shared" si="5"/>
        <v>26</v>
      </c>
      <c r="AV72" s="36">
        <f>IFERROR(时间!$B$4+AU72,"上周无销量")</f>
        <v>43323</v>
      </c>
    </row>
    <row r="73" spans="1:48">
      <c r="A73" s="19" t="s">
        <v>262</v>
      </c>
      <c r="B73" t="s">
        <v>263</v>
      </c>
      <c r="C73" t="s">
        <v>264</v>
      </c>
      <c r="D73" s="31">
        <v>1</v>
      </c>
      <c r="E73" s="31">
        <v>1</v>
      </c>
      <c r="F73" s="31">
        <v>0</v>
      </c>
      <c r="G73" s="31">
        <v>0</v>
      </c>
      <c r="H73" s="32">
        <v>79.99</v>
      </c>
      <c r="I73">
        <v>5</v>
      </c>
      <c r="J73" s="33">
        <v>0</v>
      </c>
      <c r="K73" s="33">
        <v>0</v>
      </c>
      <c r="L73" s="33">
        <v>0</v>
      </c>
      <c r="M73">
        <v>5</v>
      </c>
      <c r="N73">
        <v>0</v>
      </c>
      <c r="O73">
        <v>5</v>
      </c>
      <c r="P73" t="s">
        <v>57</v>
      </c>
      <c r="Q73" t="s">
        <v>57</v>
      </c>
      <c r="R73" t="s">
        <v>57</v>
      </c>
      <c r="S73" t="s">
        <v>57</v>
      </c>
      <c r="T73" t="s">
        <v>57</v>
      </c>
      <c r="U73" t="s">
        <v>57</v>
      </c>
      <c r="V73" t="s">
        <v>57</v>
      </c>
      <c r="W73" t="s">
        <v>57</v>
      </c>
      <c r="X73" s="23" t="s">
        <v>57</v>
      </c>
      <c r="Y73" s="23" t="s">
        <v>57</v>
      </c>
      <c r="Z73" s="23" t="s">
        <v>57</v>
      </c>
      <c r="AA73" s="23" t="s">
        <v>57</v>
      </c>
      <c r="AB73" t="s">
        <v>57</v>
      </c>
      <c r="AC73" t="s">
        <v>57</v>
      </c>
      <c r="AD73" t="s">
        <v>57</v>
      </c>
      <c r="AE73" t="s">
        <v>57</v>
      </c>
      <c r="AF73" s="23" t="s">
        <v>57</v>
      </c>
      <c r="AG73" s="23" t="s">
        <v>57</v>
      </c>
      <c r="AH73" s="23" t="s">
        <v>57</v>
      </c>
      <c r="AI73" s="23" t="s">
        <v>57</v>
      </c>
      <c r="AJ73">
        <v>8</v>
      </c>
      <c r="AK73">
        <v>8</v>
      </c>
      <c r="AL73">
        <v>2</v>
      </c>
      <c r="AM73">
        <v>8</v>
      </c>
      <c r="AN73" s="23">
        <v>0.125</v>
      </c>
      <c r="AO73" s="23">
        <v>0.125</v>
      </c>
      <c r="AP73" s="23">
        <v>0</v>
      </c>
      <c r="AQ73" s="23">
        <v>0</v>
      </c>
      <c r="AR73" s="35">
        <v>0.142857142857143</v>
      </c>
      <c r="AS73" s="35">
        <v>8.57142857142857</v>
      </c>
      <c r="AT73" s="35">
        <v>-3.57142857142857</v>
      </c>
      <c r="AU73" s="31">
        <f t="shared" si="5"/>
        <v>35</v>
      </c>
      <c r="AV73" s="36">
        <f>IFERROR(时间!$B$4+AU73,"上周无销量")</f>
        <v>43332</v>
      </c>
    </row>
    <row r="74" spans="1:48">
      <c r="A74" s="19" t="s">
        <v>265</v>
      </c>
      <c r="B74" t="s">
        <v>266</v>
      </c>
      <c r="C74" t="s">
        <v>267</v>
      </c>
      <c r="D74" s="31">
        <v>10</v>
      </c>
      <c r="E74" s="31">
        <v>16</v>
      </c>
      <c r="F74" s="31">
        <v>9</v>
      </c>
      <c r="G74" s="31">
        <v>5</v>
      </c>
      <c r="H74" s="32">
        <v>89.9899999999999</v>
      </c>
      <c r="I74">
        <v>19</v>
      </c>
      <c r="J74" s="33">
        <v>0</v>
      </c>
      <c r="K74" s="33">
        <v>0</v>
      </c>
      <c r="L74" s="33">
        <v>0</v>
      </c>
      <c r="M74">
        <v>19</v>
      </c>
      <c r="N74">
        <v>1</v>
      </c>
      <c r="O74">
        <v>0</v>
      </c>
      <c r="P74">
        <v>0</v>
      </c>
      <c r="Q74">
        <v>16319</v>
      </c>
      <c r="R74">
        <v>49973</v>
      </c>
      <c r="S74">
        <v>28227</v>
      </c>
      <c r="T74">
        <v>0</v>
      </c>
      <c r="U74">
        <v>100</v>
      </c>
      <c r="V74">
        <v>390</v>
      </c>
      <c r="W74">
        <v>387</v>
      </c>
      <c r="X74" s="23" t="s">
        <v>57</v>
      </c>
      <c r="Y74" s="23">
        <v>0.00612782645995465</v>
      </c>
      <c r="Z74" s="23">
        <v>0.00780421427570888</v>
      </c>
      <c r="AA74" s="23">
        <v>0.0137102773939845</v>
      </c>
      <c r="AB74">
        <v>0</v>
      </c>
      <c r="AC74">
        <v>14.13</v>
      </c>
      <c r="AD74">
        <v>51.75</v>
      </c>
      <c r="AE74">
        <v>54.46</v>
      </c>
      <c r="AF74" s="23" t="s">
        <v>57</v>
      </c>
      <c r="AG74" s="23">
        <v>0.00981359039893323</v>
      </c>
      <c r="AH74" s="23">
        <v>0.0638959884431604</v>
      </c>
      <c r="AI74" s="23">
        <v>0.12103567063007</v>
      </c>
      <c r="AJ74">
        <v>676</v>
      </c>
      <c r="AK74">
        <v>678</v>
      </c>
      <c r="AL74">
        <v>708</v>
      </c>
      <c r="AM74">
        <v>515</v>
      </c>
      <c r="AN74" s="23">
        <v>0.014792899408284</v>
      </c>
      <c r="AO74" s="23">
        <v>0.023598820058997</v>
      </c>
      <c r="AP74" s="23">
        <v>0.0127118644067797</v>
      </c>
      <c r="AQ74" s="23">
        <v>0.00970873786407767</v>
      </c>
      <c r="AR74" s="35">
        <v>1.42857142857143</v>
      </c>
      <c r="AS74" s="35">
        <v>85.7142857142857</v>
      </c>
      <c r="AT74" s="35">
        <v>-66.7142857142857</v>
      </c>
      <c r="AU74" s="31">
        <f t="shared" si="5"/>
        <v>13</v>
      </c>
      <c r="AV74" s="36">
        <f>IFERROR(时间!$B$4+AU74,"上周无销量")</f>
        <v>43310</v>
      </c>
    </row>
    <row r="75" spans="1:48">
      <c r="A75" s="19" t="s">
        <v>268</v>
      </c>
      <c r="B75" t="s">
        <v>269</v>
      </c>
      <c r="C75" t="s">
        <v>270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14</v>
      </c>
      <c r="J75" s="33">
        <v>0</v>
      </c>
      <c r="K75" s="33">
        <v>0</v>
      </c>
      <c r="L75" s="33">
        <v>0</v>
      </c>
      <c r="M75">
        <v>14</v>
      </c>
      <c r="N75">
        <v>0</v>
      </c>
      <c r="O75">
        <v>0</v>
      </c>
      <c r="P75" t="s">
        <v>57</v>
      </c>
      <c r="Q75" t="s">
        <v>57</v>
      </c>
      <c r="R75" t="s">
        <v>57</v>
      </c>
      <c r="S75" t="s">
        <v>57</v>
      </c>
      <c r="T75" t="s">
        <v>57</v>
      </c>
      <c r="U75" t="s">
        <v>57</v>
      </c>
      <c r="V75" t="s">
        <v>57</v>
      </c>
      <c r="W75" t="s">
        <v>57</v>
      </c>
      <c r="X75" s="23" t="s">
        <v>57</v>
      </c>
      <c r="Y75" s="23" t="s">
        <v>57</v>
      </c>
      <c r="Z75" s="23" t="s">
        <v>57</v>
      </c>
      <c r="AA75" s="23" t="s">
        <v>57</v>
      </c>
      <c r="AB75" t="s">
        <v>57</v>
      </c>
      <c r="AC75" t="s">
        <v>57</v>
      </c>
      <c r="AD75" t="s">
        <v>57</v>
      </c>
      <c r="AE75" t="s">
        <v>57</v>
      </c>
      <c r="AF75" s="23" t="s">
        <v>57</v>
      </c>
      <c r="AG75" s="23" t="s">
        <v>57</v>
      </c>
      <c r="AH75" s="23" t="s">
        <v>57</v>
      </c>
      <c r="AI75" s="23" t="s">
        <v>57</v>
      </c>
      <c r="AJ75">
        <v>21</v>
      </c>
      <c r="AK75">
        <v>37</v>
      </c>
      <c r="AL75">
        <v>24</v>
      </c>
      <c r="AM75">
        <v>33</v>
      </c>
      <c r="AN75" s="23">
        <v>0</v>
      </c>
      <c r="AO75" s="23">
        <v>0</v>
      </c>
      <c r="AP75" s="23">
        <v>0</v>
      </c>
      <c r="AQ75" s="23">
        <v>0</v>
      </c>
      <c r="AR75" s="35">
        <v>0</v>
      </c>
      <c r="AS75" s="35">
        <v>0</v>
      </c>
      <c r="AT75" s="35">
        <v>14</v>
      </c>
      <c r="AU75" s="31" t="str">
        <f t="shared" si="5"/>
        <v>库存为14</v>
      </c>
      <c r="AV75" s="36" t="str">
        <f>IFERROR(时间!$B$4+AU75,"上周无销量")</f>
        <v>上周无销量</v>
      </c>
    </row>
    <row r="76" spans="1:48">
      <c r="A76" s="19" t="s">
        <v>271</v>
      </c>
      <c r="B76" t="s">
        <v>272</v>
      </c>
      <c r="C76" t="s">
        <v>270</v>
      </c>
      <c r="D76" s="31">
        <v>0</v>
      </c>
      <c r="E76" s="31">
        <v>0</v>
      </c>
      <c r="F76" s="31">
        <v>2</v>
      </c>
      <c r="G76" s="31">
        <v>0</v>
      </c>
      <c r="H76" s="32">
        <v>32.99</v>
      </c>
      <c r="I76">
        <v>10</v>
      </c>
      <c r="J76" s="33">
        <v>0</v>
      </c>
      <c r="K76" s="33">
        <v>0</v>
      </c>
      <c r="L76" s="33">
        <v>1</v>
      </c>
      <c r="M76">
        <v>11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3" t="s">
        <v>57</v>
      </c>
      <c r="Y76" s="23" t="s">
        <v>57</v>
      </c>
      <c r="Z76" s="23" t="s">
        <v>57</v>
      </c>
      <c r="AA76" s="23" t="s">
        <v>57</v>
      </c>
      <c r="AB76" t="s">
        <v>57</v>
      </c>
      <c r="AC76" t="s">
        <v>57</v>
      </c>
      <c r="AD76" t="s">
        <v>57</v>
      </c>
      <c r="AE76" t="s">
        <v>57</v>
      </c>
      <c r="AF76" s="23" t="s">
        <v>57</v>
      </c>
      <c r="AG76" s="23" t="s">
        <v>57</v>
      </c>
      <c r="AH76" s="23" t="s">
        <v>57</v>
      </c>
      <c r="AI76" s="23" t="s">
        <v>57</v>
      </c>
      <c r="AJ76">
        <v>34</v>
      </c>
      <c r="AK76">
        <v>50</v>
      </c>
      <c r="AL76">
        <v>27</v>
      </c>
      <c r="AM76">
        <v>35</v>
      </c>
      <c r="AN76" s="23">
        <v>0</v>
      </c>
      <c r="AO76" s="23">
        <v>0</v>
      </c>
      <c r="AP76" s="23">
        <v>0.0740740740740741</v>
      </c>
      <c r="AQ76" s="23">
        <v>0</v>
      </c>
      <c r="AR76" s="35">
        <v>0</v>
      </c>
      <c r="AS76" s="35">
        <v>0</v>
      </c>
      <c r="AT76" s="35">
        <v>11</v>
      </c>
      <c r="AU76" s="31" t="str">
        <f t="shared" si="5"/>
        <v>库存为11</v>
      </c>
      <c r="AV76" s="36" t="str">
        <f>IFERROR(时间!$B$4+AU76,"上周无销量")</f>
        <v>上周无销量</v>
      </c>
    </row>
    <row r="77" spans="1:48">
      <c r="A77" s="19" t="s">
        <v>273</v>
      </c>
      <c r="B77" t="s">
        <v>274</v>
      </c>
      <c r="C77" t="s">
        <v>275</v>
      </c>
      <c r="D77" s="31">
        <v>1</v>
      </c>
      <c r="E77" s="31">
        <v>0</v>
      </c>
      <c r="F77" s="31">
        <v>2</v>
      </c>
      <c r="G77" s="31">
        <v>2</v>
      </c>
      <c r="H77" s="32">
        <v>89.99</v>
      </c>
      <c r="I77">
        <v>14</v>
      </c>
      <c r="J77" s="33">
        <v>0</v>
      </c>
      <c r="K77" s="33">
        <v>0</v>
      </c>
      <c r="L77" s="33">
        <v>0</v>
      </c>
      <c r="M77">
        <v>14</v>
      </c>
      <c r="N77">
        <v>0</v>
      </c>
      <c r="O77">
        <v>0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3" t="s">
        <v>57</v>
      </c>
      <c r="Y77" s="23" t="s">
        <v>57</v>
      </c>
      <c r="Z77" s="23" t="s">
        <v>57</v>
      </c>
      <c r="AA77" s="23" t="s">
        <v>57</v>
      </c>
      <c r="AB77" t="s">
        <v>57</v>
      </c>
      <c r="AC77" t="s">
        <v>57</v>
      </c>
      <c r="AD77" t="s">
        <v>57</v>
      </c>
      <c r="AE77" t="s">
        <v>57</v>
      </c>
      <c r="AF77" s="23" t="s">
        <v>57</v>
      </c>
      <c r="AG77" s="23" t="s">
        <v>57</v>
      </c>
      <c r="AH77" s="23" t="s">
        <v>57</v>
      </c>
      <c r="AI77" s="23" t="s">
        <v>57</v>
      </c>
      <c r="AJ77">
        <v>26</v>
      </c>
      <c r="AK77">
        <v>9</v>
      </c>
      <c r="AL77">
        <v>7</v>
      </c>
      <c r="AM77">
        <v>15</v>
      </c>
      <c r="AN77" s="23">
        <v>0.0384615384615385</v>
      </c>
      <c r="AO77" s="23">
        <v>0</v>
      </c>
      <c r="AP77" s="23">
        <v>0.285714285714286</v>
      </c>
      <c r="AQ77" s="23">
        <v>0.133333333333333</v>
      </c>
      <c r="AR77" s="35">
        <v>0.142857142857143</v>
      </c>
      <c r="AS77" s="35">
        <v>8.57142857142857</v>
      </c>
      <c r="AT77" s="35">
        <v>5.42857142857143</v>
      </c>
      <c r="AU77" s="31">
        <f t="shared" si="5"/>
        <v>98</v>
      </c>
      <c r="AV77" s="36">
        <f>IFERROR(时间!$B$4+AU77,"上周无销量")</f>
        <v>43395</v>
      </c>
    </row>
    <row r="78" spans="1:48">
      <c r="A78" s="19" t="s">
        <v>276</v>
      </c>
      <c r="B78" t="s">
        <v>277</v>
      </c>
      <c r="C78" t="s">
        <v>278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3</v>
      </c>
      <c r="P78" t="s">
        <v>57</v>
      </c>
      <c r="Q78" t="s">
        <v>57</v>
      </c>
      <c r="R78" t="s">
        <v>57</v>
      </c>
      <c r="S78" t="s">
        <v>57</v>
      </c>
      <c r="T78" t="s">
        <v>57</v>
      </c>
      <c r="U78" t="s">
        <v>57</v>
      </c>
      <c r="V78" t="s">
        <v>57</v>
      </c>
      <c r="W78" t="s">
        <v>57</v>
      </c>
      <c r="X78" s="23" t="s">
        <v>57</v>
      </c>
      <c r="Y78" s="23" t="s">
        <v>57</v>
      </c>
      <c r="Z78" s="23" t="s">
        <v>57</v>
      </c>
      <c r="AA78" s="23" t="s">
        <v>57</v>
      </c>
      <c r="AB78" t="s">
        <v>57</v>
      </c>
      <c r="AC78" t="s">
        <v>57</v>
      </c>
      <c r="AD78" t="s">
        <v>57</v>
      </c>
      <c r="AE78" t="s">
        <v>57</v>
      </c>
      <c r="AF78" s="23" t="s">
        <v>57</v>
      </c>
      <c r="AG78" s="23" t="s">
        <v>57</v>
      </c>
      <c r="AH78" s="23" t="s">
        <v>57</v>
      </c>
      <c r="AI78" s="23" t="s">
        <v>57</v>
      </c>
      <c r="AJ78">
        <v>1</v>
      </c>
      <c r="AK78">
        <v>0</v>
      </c>
      <c r="AL78">
        <v>2</v>
      </c>
      <c r="AM78">
        <v>1</v>
      </c>
      <c r="AN78" s="23">
        <v>0</v>
      </c>
      <c r="AO78" s="23" t="s">
        <v>57</v>
      </c>
      <c r="AP78" s="23">
        <v>0</v>
      </c>
      <c r="AQ78" s="23">
        <v>0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19" t="s">
        <v>279</v>
      </c>
      <c r="B79" t="s">
        <v>280</v>
      </c>
      <c r="C79" t="s">
        <v>281</v>
      </c>
      <c r="D79" s="31">
        <v>8</v>
      </c>
      <c r="E79" s="31">
        <v>7</v>
      </c>
      <c r="F79" s="31">
        <v>8</v>
      </c>
      <c r="G79" s="31">
        <v>7</v>
      </c>
      <c r="H79" s="32">
        <v>79.99</v>
      </c>
      <c r="I79">
        <v>13</v>
      </c>
      <c r="J79" s="33">
        <v>7</v>
      </c>
      <c r="K79" s="33">
        <v>0</v>
      </c>
      <c r="L79" s="33">
        <v>0</v>
      </c>
      <c r="M79">
        <v>20</v>
      </c>
      <c r="N79">
        <v>2</v>
      </c>
      <c r="O79">
        <v>0</v>
      </c>
      <c r="P79">
        <v>5862</v>
      </c>
      <c r="Q79">
        <v>23164</v>
      </c>
      <c r="R79">
        <v>41794</v>
      </c>
      <c r="S79">
        <v>98217</v>
      </c>
      <c r="T79">
        <v>28</v>
      </c>
      <c r="U79">
        <v>112</v>
      </c>
      <c r="V79">
        <v>164</v>
      </c>
      <c r="W79">
        <v>269</v>
      </c>
      <c r="X79" s="23">
        <v>0.00477652678266803</v>
      </c>
      <c r="Y79" s="23">
        <v>0.00483508893109998</v>
      </c>
      <c r="Z79" s="23">
        <v>0.00392400823084653</v>
      </c>
      <c r="AA79" s="23">
        <v>0.00273883339951332</v>
      </c>
      <c r="AB79">
        <v>4.06</v>
      </c>
      <c r="AC79">
        <v>14.83</v>
      </c>
      <c r="AD79">
        <v>28.21</v>
      </c>
      <c r="AE79">
        <v>58.3</v>
      </c>
      <c r="AF79" s="23">
        <v>0.00634454306788349</v>
      </c>
      <c r="AG79" s="23">
        <v>0.0264854535388352</v>
      </c>
      <c r="AH79" s="23">
        <v>0.0440836354544318</v>
      </c>
      <c r="AI79" s="23">
        <v>0.104120157876877</v>
      </c>
      <c r="AJ79">
        <v>128</v>
      </c>
      <c r="AK79">
        <v>221</v>
      </c>
      <c r="AL79">
        <v>285</v>
      </c>
      <c r="AM79">
        <v>362</v>
      </c>
      <c r="AN79" s="23">
        <v>0.0625</v>
      </c>
      <c r="AO79" s="23">
        <v>0.0316742081447964</v>
      </c>
      <c r="AP79" s="23">
        <v>0.0280701754385965</v>
      </c>
      <c r="AQ79" s="23">
        <v>0.0193370165745856</v>
      </c>
      <c r="AR79" s="35">
        <v>1.14285714285714</v>
      </c>
      <c r="AS79" s="35">
        <v>68.5714285714286</v>
      </c>
      <c r="AT79" s="35">
        <v>-48.5714285714286</v>
      </c>
      <c r="AU79" s="31">
        <f t="shared" si="5"/>
        <v>17</v>
      </c>
      <c r="AV79" s="36">
        <f>IFERROR(时间!$B$4+AU79,"上周无销量")</f>
        <v>43314</v>
      </c>
    </row>
    <row r="80" spans="1:48">
      <c r="A80" s="19" t="s">
        <v>282</v>
      </c>
      <c r="B80" t="s">
        <v>283</v>
      </c>
      <c r="C80" t="s">
        <v>284</v>
      </c>
      <c r="D80" s="31">
        <v>1</v>
      </c>
      <c r="E80" s="31">
        <v>3</v>
      </c>
      <c r="F80" s="31">
        <v>2</v>
      </c>
      <c r="G80" s="31">
        <v>0</v>
      </c>
      <c r="H80" s="32">
        <v>32.99</v>
      </c>
      <c r="I80">
        <v>7</v>
      </c>
      <c r="J80" s="33">
        <v>0</v>
      </c>
      <c r="K80" s="33">
        <v>0</v>
      </c>
      <c r="L80" s="33">
        <v>2</v>
      </c>
      <c r="M80">
        <v>9</v>
      </c>
      <c r="N80">
        <v>0</v>
      </c>
      <c r="O80">
        <v>0</v>
      </c>
      <c r="P80">
        <v>0</v>
      </c>
      <c r="Q80">
        <v>5283</v>
      </c>
      <c r="R80">
        <v>5288</v>
      </c>
      <c r="S80">
        <v>0</v>
      </c>
      <c r="T80">
        <v>0</v>
      </c>
      <c r="U80">
        <v>52</v>
      </c>
      <c r="V80">
        <v>64</v>
      </c>
      <c r="W80">
        <v>0</v>
      </c>
      <c r="X80" s="23" t="s">
        <v>57</v>
      </c>
      <c r="Y80" s="23">
        <v>0.00984289229604391</v>
      </c>
      <c r="Z80" s="23">
        <v>0.0121028744326778</v>
      </c>
      <c r="AA80" s="23" t="s">
        <v>57</v>
      </c>
      <c r="AB80">
        <v>0</v>
      </c>
      <c r="AC80">
        <v>9.13</v>
      </c>
      <c r="AD80">
        <v>10.83</v>
      </c>
      <c r="AE80">
        <v>0</v>
      </c>
      <c r="AF80" s="23" t="s">
        <v>57</v>
      </c>
      <c r="AG80" s="23">
        <v>0.092250176821259</v>
      </c>
      <c r="AH80" s="23">
        <v>0.164140648681419</v>
      </c>
      <c r="AI80" s="23" t="s">
        <v>57</v>
      </c>
      <c r="AJ80">
        <v>53</v>
      </c>
      <c r="AK80">
        <v>46</v>
      </c>
      <c r="AL80">
        <v>56</v>
      </c>
      <c r="AM80">
        <v>0</v>
      </c>
      <c r="AN80" s="23">
        <v>0.0188679245283019</v>
      </c>
      <c r="AO80" s="23">
        <v>0.0652173913043478</v>
      </c>
      <c r="AP80" s="23">
        <v>0.0357142857142857</v>
      </c>
      <c r="AQ80" s="23" t="s">
        <v>57</v>
      </c>
      <c r="AR80" s="35">
        <v>0.142857142857143</v>
      </c>
      <c r="AS80" s="35">
        <v>8.57142857142857</v>
      </c>
      <c r="AT80" s="35">
        <v>0.428571428571429</v>
      </c>
      <c r="AU80" s="31">
        <f t="shared" si="5"/>
        <v>63</v>
      </c>
      <c r="AV80" s="36">
        <f>IFERROR(时间!$B$4+AU80,"上周无销量")</f>
        <v>43360</v>
      </c>
    </row>
    <row r="81" spans="1:48">
      <c r="A81" s="19" t="s">
        <v>285</v>
      </c>
      <c r="B81" t="s">
        <v>286</v>
      </c>
      <c r="C81" t="s">
        <v>287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5</v>
      </c>
      <c r="J81" s="33">
        <v>0</v>
      </c>
      <c r="K81" s="33">
        <v>0</v>
      </c>
      <c r="L81" s="33">
        <v>0</v>
      </c>
      <c r="M81">
        <v>5</v>
      </c>
      <c r="N81">
        <v>0</v>
      </c>
      <c r="O81">
        <v>0</v>
      </c>
      <c r="P81" t="s">
        <v>57</v>
      </c>
      <c r="Q81" t="s">
        <v>57</v>
      </c>
      <c r="R81" t="s">
        <v>57</v>
      </c>
      <c r="S81" t="s">
        <v>57</v>
      </c>
      <c r="T81" t="s">
        <v>57</v>
      </c>
      <c r="U81" t="s">
        <v>57</v>
      </c>
      <c r="V81" t="s">
        <v>57</v>
      </c>
      <c r="W81" t="s">
        <v>57</v>
      </c>
      <c r="X81" s="23" t="s">
        <v>57</v>
      </c>
      <c r="Y81" s="23" t="s">
        <v>57</v>
      </c>
      <c r="Z81" s="23" t="s">
        <v>57</v>
      </c>
      <c r="AA81" s="23" t="s">
        <v>57</v>
      </c>
      <c r="AB81" t="s">
        <v>57</v>
      </c>
      <c r="AC81" t="s">
        <v>57</v>
      </c>
      <c r="AD81" t="s">
        <v>57</v>
      </c>
      <c r="AE81" t="s">
        <v>57</v>
      </c>
      <c r="AF81" s="23" t="s">
        <v>57</v>
      </c>
      <c r="AG81" s="23" t="s">
        <v>57</v>
      </c>
      <c r="AH81" s="23" t="s">
        <v>57</v>
      </c>
      <c r="AI81" s="23" t="s">
        <v>57</v>
      </c>
      <c r="AJ81">
        <v>0</v>
      </c>
      <c r="AK81">
        <v>0</v>
      </c>
      <c r="AL81">
        <v>0</v>
      </c>
      <c r="AM81">
        <v>0</v>
      </c>
      <c r="AN81" s="23" t="s">
        <v>57</v>
      </c>
      <c r="AO81" s="23" t="s">
        <v>57</v>
      </c>
      <c r="AP81" s="23" t="s">
        <v>57</v>
      </c>
      <c r="AQ81" s="23" t="s">
        <v>57</v>
      </c>
      <c r="AR81" s="35">
        <v>0</v>
      </c>
      <c r="AS81" s="35">
        <v>0</v>
      </c>
      <c r="AT81" s="35">
        <v>5</v>
      </c>
      <c r="AU81" s="31" t="str">
        <f t="shared" si="5"/>
        <v>库存为5</v>
      </c>
      <c r="AV81" s="36" t="str">
        <f>IFERROR(时间!$B$4+AU81,"上周无销量")</f>
        <v>上周无销量</v>
      </c>
    </row>
    <row r="82" spans="1:48">
      <c r="A82" s="19" t="s">
        <v>288</v>
      </c>
      <c r="B82" t="s">
        <v>289</v>
      </c>
      <c r="C82" t="s">
        <v>290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6</v>
      </c>
      <c r="J82" s="33">
        <v>0</v>
      </c>
      <c r="K82" s="33">
        <v>0</v>
      </c>
      <c r="L82" s="33">
        <v>0</v>
      </c>
      <c r="M82">
        <v>6</v>
      </c>
      <c r="N82">
        <v>0</v>
      </c>
      <c r="O82">
        <v>6</v>
      </c>
      <c r="P82" t="s">
        <v>57</v>
      </c>
      <c r="Q82" t="s">
        <v>57</v>
      </c>
      <c r="R82" t="s">
        <v>57</v>
      </c>
      <c r="S82" t="s">
        <v>57</v>
      </c>
      <c r="T82" t="s">
        <v>57</v>
      </c>
      <c r="U82" t="s">
        <v>57</v>
      </c>
      <c r="V82" t="s">
        <v>57</v>
      </c>
      <c r="W82" t="s">
        <v>57</v>
      </c>
      <c r="X82" s="23" t="s">
        <v>57</v>
      </c>
      <c r="Y82" s="23" t="s">
        <v>57</v>
      </c>
      <c r="Z82" s="23" t="s">
        <v>57</v>
      </c>
      <c r="AA82" s="23" t="s">
        <v>57</v>
      </c>
      <c r="AB82" t="s">
        <v>57</v>
      </c>
      <c r="AC82" t="s">
        <v>57</v>
      </c>
      <c r="AD82" t="s">
        <v>57</v>
      </c>
      <c r="AE82" t="s">
        <v>57</v>
      </c>
      <c r="AF82" s="23" t="s">
        <v>57</v>
      </c>
      <c r="AG82" s="23" t="s">
        <v>57</v>
      </c>
      <c r="AH82" s="23" t="s">
        <v>57</v>
      </c>
      <c r="AI82" s="23" t="s">
        <v>57</v>
      </c>
      <c r="AJ82">
        <v>5</v>
      </c>
      <c r="AK82">
        <v>0</v>
      </c>
      <c r="AL82">
        <v>3</v>
      </c>
      <c r="AM82">
        <v>5</v>
      </c>
      <c r="AN82" s="23">
        <v>0</v>
      </c>
      <c r="AO82" s="23" t="s">
        <v>57</v>
      </c>
      <c r="AP82" s="23">
        <v>0</v>
      </c>
      <c r="AQ82" s="23">
        <v>0</v>
      </c>
      <c r="AR82" s="35">
        <v>0</v>
      </c>
      <c r="AS82" s="35">
        <v>0</v>
      </c>
      <c r="AT82" s="35">
        <v>6</v>
      </c>
      <c r="AU82" s="31" t="str">
        <f t="shared" si="5"/>
        <v>库存为6</v>
      </c>
      <c r="AV82" s="36" t="str">
        <f>IFERROR(时间!$B$4+AU82,"上周无销量")</f>
        <v>上周无销量</v>
      </c>
    </row>
    <row r="83" spans="1:48">
      <c r="A83" s="19" t="s">
        <v>291</v>
      </c>
      <c r="B83" t="s">
        <v>292</v>
      </c>
      <c r="C83" t="s">
        <v>293</v>
      </c>
      <c r="D83" s="31">
        <v>0</v>
      </c>
      <c r="E83" s="31">
        <v>1</v>
      </c>
      <c r="F83" s="31">
        <v>2</v>
      </c>
      <c r="G83" s="31">
        <v>0</v>
      </c>
      <c r="H83" s="32">
        <v>89.99</v>
      </c>
      <c r="I83">
        <v>5</v>
      </c>
      <c r="J83" s="33">
        <v>0</v>
      </c>
      <c r="K83" s="33">
        <v>0</v>
      </c>
      <c r="L83" s="33">
        <v>0</v>
      </c>
      <c r="M83">
        <v>5</v>
      </c>
      <c r="N83">
        <v>0</v>
      </c>
      <c r="O83">
        <v>0</v>
      </c>
      <c r="P83" t="s">
        <v>57</v>
      </c>
      <c r="Q83" t="s">
        <v>57</v>
      </c>
      <c r="R83" t="s">
        <v>57</v>
      </c>
      <c r="S83" t="s">
        <v>57</v>
      </c>
      <c r="T83" t="s">
        <v>57</v>
      </c>
      <c r="U83" t="s">
        <v>57</v>
      </c>
      <c r="V83" t="s">
        <v>57</v>
      </c>
      <c r="W83" t="s">
        <v>57</v>
      </c>
      <c r="X83" s="23" t="s">
        <v>57</v>
      </c>
      <c r="Y83" s="23" t="s">
        <v>57</v>
      </c>
      <c r="Z83" s="23" t="s">
        <v>57</v>
      </c>
      <c r="AA83" s="23" t="s">
        <v>57</v>
      </c>
      <c r="AB83" t="s">
        <v>57</v>
      </c>
      <c r="AC83" t="s">
        <v>57</v>
      </c>
      <c r="AD83" t="s">
        <v>57</v>
      </c>
      <c r="AE83" t="s">
        <v>57</v>
      </c>
      <c r="AF83" s="23" t="s">
        <v>57</v>
      </c>
      <c r="AG83" s="23" t="s">
        <v>57</v>
      </c>
      <c r="AH83" s="23" t="s">
        <v>57</v>
      </c>
      <c r="AI83" s="23" t="s">
        <v>57</v>
      </c>
      <c r="AJ83">
        <v>18</v>
      </c>
      <c r="AK83">
        <v>10</v>
      </c>
      <c r="AL83">
        <v>16</v>
      </c>
      <c r="AM83">
        <v>13</v>
      </c>
      <c r="AN83" s="23">
        <v>0</v>
      </c>
      <c r="AO83" s="23">
        <v>0.1</v>
      </c>
      <c r="AP83" s="23">
        <v>0.125</v>
      </c>
      <c r="AQ83" s="23">
        <v>0</v>
      </c>
      <c r="AR83" s="35">
        <v>0</v>
      </c>
      <c r="AS83" s="35">
        <v>0</v>
      </c>
      <c r="AT83" s="35">
        <v>5</v>
      </c>
      <c r="AU83" s="31" t="str">
        <f t="shared" si="5"/>
        <v>库存为5</v>
      </c>
      <c r="AV83" s="36" t="str">
        <f>IFERROR(时间!$B$4+AU83,"上周无销量")</f>
        <v>上周无销量</v>
      </c>
    </row>
    <row r="84" spans="1:48">
      <c r="A84" s="19" t="s">
        <v>294</v>
      </c>
      <c r="B84" t="s">
        <v>295</v>
      </c>
      <c r="C84" t="s">
        <v>296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10</v>
      </c>
      <c r="J84" s="33">
        <v>0</v>
      </c>
      <c r="K84" s="33">
        <v>0</v>
      </c>
      <c r="L84" s="33">
        <v>0</v>
      </c>
      <c r="M84">
        <v>10</v>
      </c>
      <c r="N84">
        <v>0</v>
      </c>
      <c r="O84">
        <v>0</v>
      </c>
      <c r="P84" t="s">
        <v>57</v>
      </c>
      <c r="Q84" t="s">
        <v>57</v>
      </c>
      <c r="R84" t="s">
        <v>57</v>
      </c>
      <c r="S84" t="s">
        <v>57</v>
      </c>
      <c r="T84" t="s">
        <v>57</v>
      </c>
      <c r="U84" t="s">
        <v>57</v>
      </c>
      <c r="V84" t="s">
        <v>57</v>
      </c>
      <c r="W84" t="s">
        <v>57</v>
      </c>
      <c r="X84" s="23" t="s">
        <v>57</v>
      </c>
      <c r="Y84" s="23" t="s">
        <v>57</v>
      </c>
      <c r="Z84" s="23" t="s">
        <v>57</v>
      </c>
      <c r="AA84" s="23" t="s">
        <v>57</v>
      </c>
      <c r="AB84" t="s">
        <v>57</v>
      </c>
      <c r="AC84" t="s">
        <v>57</v>
      </c>
      <c r="AD84" t="s">
        <v>57</v>
      </c>
      <c r="AE84" t="s">
        <v>57</v>
      </c>
      <c r="AF84" s="23" t="s">
        <v>57</v>
      </c>
      <c r="AG84" s="23" t="s">
        <v>57</v>
      </c>
      <c r="AH84" s="23" t="s">
        <v>57</v>
      </c>
      <c r="AI84" s="23" t="s">
        <v>57</v>
      </c>
      <c r="AJ84">
        <v>9</v>
      </c>
      <c r="AK84">
        <v>7</v>
      </c>
      <c r="AL84">
        <v>4</v>
      </c>
      <c r="AM84">
        <v>10</v>
      </c>
      <c r="AN84" s="23">
        <v>0</v>
      </c>
      <c r="AO84" s="23">
        <v>0</v>
      </c>
      <c r="AP84" s="23">
        <v>0</v>
      </c>
      <c r="AQ84" s="23">
        <v>0</v>
      </c>
      <c r="AR84" s="35">
        <v>0</v>
      </c>
      <c r="AS84" s="35">
        <v>0</v>
      </c>
      <c r="AT84" s="35">
        <v>10</v>
      </c>
      <c r="AU84" s="31" t="str">
        <f t="shared" si="5"/>
        <v>库存为10</v>
      </c>
      <c r="AV84" s="36" t="str">
        <f>IFERROR(时间!$B$4+AU84,"上周无销量")</f>
        <v>上周无销量</v>
      </c>
    </row>
    <row r="85" spans="1:48">
      <c r="A85" s="19" t="s">
        <v>297</v>
      </c>
      <c r="B85" t="s">
        <v>298</v>
      </c>
      <c r="C85" t="s">
        <v>299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>
        <v>1454</v>
      </c>
      <c r="Q85">
        <v>957</v>
      </c>
      <c r="R85">
        <v>708</v>
      </c>
      <c r="S85">
        <v>1148</v>
      </c>
      <c r="T85">
        <v>2</v>
      </c>
      <c r="U85">
        <v>2</v>
      </c>
      <c r="V85">
        <v>0</v>
      </c>
      <c r="W85">
        <v>1</v>
      </c>
      <c r="X85" s="23">
        <v>0.00137551581843191</v>
      </c>
      <c r="Y85" s="23">
        <v>0.00208986415882968</v>
      </c>
      <c r="Z85" s="23">
        <v>0</v>
      </c>
      <c r="AA85" s="23">
        <v>0.000871080139372822</v>
      </c>
      <c r="AB85">
        <v>0.36</v>
      </c>
      <c r="AC85">
        <v>0.42</v>
      </c>
      <c r="AD85">
        <v>0</v>
      </c>
      <c r="AE85">
        <v>0.2</v>
      </c>
      <c r="AF85" s="23" t="s">
        <v>300</v>
      </c>
      <c r="AG85" s="23" t="s">
        <v>301</v>
      </c>
      <c r="AH85" s="23" t="s">
        <v>57</v>
      </c>
      <c r="AI85" s="23" t="s">
        <v>302</v>
      </c>
      <c r="AJ85">
        <v>6</v>
      </c>
      <c r="AK85">
        <v>3</v>
      </c>
      <c r="AL85">
        <v>10</v>
      </c>
      <c r="AM85">
        <v>6</v>
      </c>
      <c r="AN85" s="23">
        <v>0</v>
      </c>
      <c r="AO85" s="23">
        <v>0</v>
      </c>
      <c r="AP85" s="23">
        <v>0</v>
      </c>
      <c r="AQ85" s="23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19" t="s">
        <v>303</v>
      </c>
      <c r="B86" t="s">
        <v>304</v>
      </c>
      <c r="C86" t="s">
        <v>305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3</v>
      </c>
      <c r="K86" s="33">
        <v>0</v>
      </c>
      <c r="L86" s="33">
        <v>0</v>
      </c>
      <c r="M86">
        <v>3</v>
      </c>
      <c r="N86">
        <v>0</v>
      </c>
      <c r="O86">
        <v>0</v>
      </c>
      <c r="P86" t="s">
        <v>57</v>
      </c>
      <c r="Q86" t="s">
        <v>57</v>
      </c>
      <c r="R86" t="s">
        <v>57</v>
      </c>
      <c r="S86" t="s">
        <v>57</v>
      </c>
      <c r="T86" t="s">
        <v>57</v>
      </c>
      <c r="U86" t="s">
        <v>57</v>
      </c>
      <c r="V86" t="s">
        <v>57</v>
      </c>
      <c r="W86" t="s">
        <v>57</v>
      </c>
      <c r="X86" s="23" t="s">
        <v>57</v>
      </c>
      <c r="Y86" s="23" t="s">
        <v>57</v>
      </c>
      <c r="Z86" s="23" t="s">
        <v>57</v>
      </c>
      <c r="AA86" s="23" t="s">
        <v>57</v>
      </c>
      <c r="AB86" t="s">
        <v>57</v>
      </c>
      <c r="AC86" t="s">
        <v>57</v>
      </c>
      <c r="AD86" t="s">
        <v>57</v>
      </c>
      <c r="AE86" t="s">
        <v>57</v>
      </c>
      <c r="AF86" s="23" t="s">
        <v>57</v>
      </c>
      <c r="AG86" s="23" t="s">
        <v>57</v>
      </c>
      <c r="AH86" s="23" t="s">
        <v>57</v>
      </c>
      <c r="AI86" s="23" t="s">
        <v>57</v>
      </c>
      <c r="AJ86">
        <v>0</v>
      </c>
      <c r="AK86">
        <v>0</v>
      </c>
      <c r="AL86">
        <v>0</v>
      </c>
      <c r="AM86">
        <v>0</v>
      </c>
      <c r="AN86" s="23" t="s">
        <v>57</v>
      </c>
      <c r="AO86" s="23" t="s">
        <v>57</v>
      </c>
      <c r="AP86" s="23" t="s">
        <v>57</v>
      </c>
      <c r="AQ86" s="23" t="s">
        <v>57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19" t="s">
        <v>306</v>
      </c>
      <c r="B87" t="s">
        <v>307</v>
      </c>
      <c r="C87" t="s">
        <v>308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57</v>
      </c>
      <c r="Q87" t="s">
        <v>57</v>
      </c>
      <c r="R87" t="s">
        <v>57</v>
      </c>
      <c r="S87" t="s">
        <v>57</v>
      </c>
      <c r="T87" t="s">
        <v>57</v>
      </c>
      <c r="U87" t="s">
        <v>57</v>
      </c>
      <c r="V87" t="s">
        <v>57</v>
      </c>
      <c r="W87" t="s">
        <v>57</v>
      </c>
      <c r="X87" s="23" t="s">
        <v>57</v>
      </c>
      <c r="Y87" s="23" t="s">
        <v>57</v>
      </c>
      <c r="Z87" s="23" t="s">
        <v>57</v>
      </c>
      <c r="AA87" s="23" t="s">
        <v>57</v>
      </c>
      <c r="AB87" t="s">
        <v>57</v>
      </c>
      <c r="AC87" t="s">
        <v>57</v>
      </c>
      <c r="AD87" t="s">
        <v>57</v>
      </c>
      <c r="AE87" t="s">
        <v>57</v>
      </c>
      <c r="AF87" s="23" t="s">
        <v>57</v>
      </c>
      <c r="AG87" s="23" t="s">
        <v>57</v>
      </c>
      <c r="AH87" s="23" t="s">
        <v>57</v>
      </c>
      <c r="AI87" s="23" t="s">
        <v>57</v>
      </c>
      <c r="AJ87">
        <v>0</v>
      </c>
      <c r="AK87">
        <v>0</v>
      </c>
      <c r="AL87">
        <v>0</v>
      </c>
      <c r="AM87">
        <v>0</v>
      </c>
      <c r="AN87" s="23" t="s">
        <v>57</v>
      </c>
      <c r="AO87" s="23" t="s">
        <v>57</v>
      </c>
      <c r="AP87" s="23" t="s">
        <v>57</v>
      </c>
      <c r="AQ87" s="23" t="s">
        <v>57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19" t="s">
        <v>309</v>
      </c>
      <c r="B88" t="s">
        <v>310</v>
      </c>
      <c r="C88" t="s">
        <v>311</v>
      </c>
      <c r="D88" s="31">
        <v>0</v>
      </c>
      <c r="E88" s="31">
        <v>0</v>
      </c>
      <c r="F88" s="31">
        <v>1</v>
      </c>
      <c r="G88" s="31">
        <v>0</v>
      </c>
      <c r="H88" s="32">
        <v>89.99</v>
      </c>
      <c r="I88">
        <v>9</v>
      </c>
      <c r="J88" s="33">
        <v>0</v>
      </c>
      <c r="K88" s="33">
        <v>0</v>
      </c>
      <c r="L88" s="33">
        <v>0</v>
      </c>
      <c r="M88">
        <v>9</v>
      </c>
      <c r="N88">
        <v>0</v>
      </c>
      <c r="O88">
        <v>0</v>
      </c>
      <c r="P88">
        <v>1267</v>
      </c>
      <c r="Q88">
        <v>304</v>
      </c>
      <c r="R88">
        <v>256</v>
      </c>
      <c r="S88">
        <v>50</v>
      </c>
      <c r="T88">
        <v>13</v>
      </c>
      <c r="U88">
        <v>6</v>
      </c>
      <c r="V88">
        <v>4</v>
      </c>
      <c r="W88">
        <v>1</v>
      </c>
      <c r="X88" s="23">
        <v>0.0102604577742699</v>
      </c>
      <c r="Y88" s="23">
        <v>0.0197368421052632</v>
      </c>
      <c r="Z88" s="23">
        <v>0.015625</v>
      </c>
      <c r="AA88" s="23">
        <v>0.02</v>
      </c>
      <c r="AB88">
        <v>1.63</v>
      </c>
      <c r="AC88">
        <v>0.63</v>
      </c>
      <c r="AD88">
        <v>0.4</v>
      </c>
      <c r="AE88">
        <v>0.15</v>
      </c>
      <c r="AF88" s="23" t="s">
        <v>312</v>
      </c>
      <c r="AG88" s="23" t="s">
        <v>313</v>
      </c>
      <c r="AH88" s="23">
        <v>0.00444493832648072</v>
      </c>
      <c r="AI88" s="23" t="s">
        <v>314</v>
      </c>
      <c r="AJ88">
        <v>32</v>
      </c>
      <c r="AK88">
        <v>23</v>
      </c>
      <c r="AL88">
        <v>9</v>
      </c>
      <c r="AM88">
        <v>21</v>
      </c>
      <c r="AN88" s="23">
        <v>0</v>
      </c>
      <c r="AO88" s="23">
        <v>0</v>
      </c>
      <c r="AP88" s="23">
        <v>0.111111111111111</v>
      </c>
      <c r="AQ88" s="23">
        <v>0</v>
      </c>
      <c r="AR88" s="35">
        <v>0</v>
      </c>
      <c r="AS88" s="35">
        <v>0</v>
      </c>
      <c r="AT88" s="35">
        <v>9</v>
      </c>
      <c r="AU88" s="31" t="str">
        <f t="shared" si="5"/>
        <v>库存为9</v>
      </c>
      <c r="AV88" s="36" t="str">
        <f>IFERROR(时间!$B$4+AU88,"上周无销量")</f>
        <v>上周无销量</v>
      </c>
    </row>
    <row r="89" spans="1:48">
      <c r="A89" s="19" t="s">
        <v>315</v>
      </c>
      <c r="B89" t="s">
        <v>316</v>
      </c>
      <c r="C89" t="s">
        <v>317</v>
      </c>
      <c r="D89" s="31">
        <v>3</v>
      </c>
      <c r="E89" s="31">
        <v>1</v>
      </c>
      <c r="F89" s="31">
        <v>0</v>
      </c>
      <c r="G89" s="31">
        <v>0</v>
      </c>
      <c r="H89" s="32">
        <v>89.99</v>
      </c>
      <c r="I89">
        <v>21</v>
      </c>
      <c r="J89" s="33">
        <v>0</v>
      </c>
      <c r="K89" s="33">
        <v>0</v>
      </c>
      <c r="L89" s="33">
        <v>0</v>
      </c>
      <c r="M89">
        <v>21</v>
      </c>
      <c r="N89">
        <v>0</v>
      </c>
      <c r="O89">
        <v>0</v>
      </c>
      <c r="P89" t="s">
        <v>57</v>
      </c>
      <c r="Q89" t="s">
        <v>57</v>
      </c>
      <c r="R89" t="s">
        <v>57</v>
      </c>
      <c r="S89" t="s">
        <v>57</v>
      </c>
      <c r="T89" t="s">
        <v>57</v>
      </c>
      <c r="U89" t="s">
        <v>57</v>
      </c>
      <c r="V89" t="s">
        <v>57</v>
      </c>
      <c r="W89" t="s">
        <v>57</v>
      </c>
      <c r="X89" s="23" t="s">
        <v>57</v>
      </c>
      <c r="Y89" s="23" t="s">
        <v>57</v>
      </c>
      <c r="Z89" s="23" t="s">
        <v>57</v>
      </c>
      <c r="AA89" s="23" t="s">
        <v>57</v>
      </c>
      <c r="AB89" t="s">
        <v>57</v>
      </c>
      <c r="AC89" t="s">
        <v>57</v>
      </c>
      <c r="AD89" t="s">
        <v>57</v>
      </c>
      <c r="AE89" t="s">
        <v>57</v>
      </c>
      <c r="AF89" s="23" t="s">
        <v>57</v>
      </c>
      <c r="AG89" s="23" t="s">
        <v>57</v>
      </c>
      <c r="AH89" s="23" t="s">
        <v>57</v>
      </c>
      <c r="AI89" s="23" t="s">
        <v>57</v>
      </c>
      <c r="AJ89">
        <v>28</v>
      </c>
      <c r="AK89">
        <v>28</v>
      </c>
      <c r="AL89">
        <v>78</v>
      </c>
      <c r="AM89">
        <v>166</v>
      </c>
      <c r="AN89" s="23">
        <v>0.107142857142857</v>
      </c>
      <c r="AO89" s="23">
        <v>0.0357142857142857</v>
      </c>
      <c r="AP89" s="23">
        <v>0</v>
      </c>
      <c r="AQ89" s="23">
        <v>0</v>
      </c>
      <c r="AR89" s="35">
        <v>0.428571428571429</v>
      </c>
      <c r="AS89" s="35">
        <v>25.7142857142857</v>
      </c>
      <c r="AT89" s="35">
        <v>-4.71428571428571</v>
      </c>
      <c r="AU89" s="31">
        <f t="shared" si="5"/>
        <v>49</v>
      </c>
      <c r="AV89" s="36">
        <f>IFERROR(时间!$B$4+AU89,"上周无销量")</f>
        <v>43346</v>
      </c>
    </row>
    <row r="90" spans="1:48">
      <c r="A90" s="19" t="s">
        <v>318</v>
      </c>
      <c r="B90" t="s">
        <v>319</v>
      </c>
      <c r="C90" t="s">
        <v>320</v>
      </c>
      <c r="D90" s="31">
        <v>0</v>
      </c>
      <c r="E90" s="31">
        <v>0</v>
      </c>
      <c r="F90" s="31">
        <v>1</v>
      </c>
      <c r="G90" s="31">
        <v>0</v>
      </c>
      <c r="H90" s="32">
        <v>79.99</v>
      </c>
      <c r="I90">
        <v>1</v>
      </c>
      <c r="J90" s="33">
        <v>0</v>
      </c>
      <c r="K90" s="33">
        <v>0</v>
      </c>
      <c r="L90" s="33">
        <v>0</v>
      </c>
      <c r="M90">
        <v>1</v>
      </c>
      <c r="N90">
        <v>0</v>
      </c>
      <c r="O90">
        <v>1</v>
      </c>
      <c r="P90" t="s">
        <v>57</v>
      </c>
      <c r="Q90" t="s">
        <v>57</v>
      </c>
      <c r="R90" t="s">
        <v>57</v>
      </c>
      <c r="S90" t="s">
        <v>57</v>
      </c>
      <c r="T90" t="s">
        <v>57</v>
      </c>
      <c r="U90" t="s">
        <v>57</v>
      </c>
      <c r="V90" t="s">
        <v>57</v>
      </c>
      <c r="W90" t="s">
        <v>57</v>
      </c>
      <c r="X90" s="23" t="s">
        <v>57</v>
      </c>
      <c r="Y90" s="23" t="s">
        <v>57</v>
      </c>
      <c r="Z90" s="23" t="s">
        <v>57</v>
      </c>
      <c r="AA90" s="23" t="s">
        <v>57</v>
      </c>
      <c r="AB90" t="s">
        <v>57</v>
      </c>
      <c r="AC90" t="s">
        <v>57</v>
      </c>
      <c r="AD90" t="s">
        <v>57</v>
      </c>
      <c r="AE90" t="s">
        <v>57</v>
      </c>
      <c r="AF90" s="23" t="s">
        <v>57</v>
      </c>
      <c r="AG90" s="23" t="s">
        <v>57</v>
      </c>
      <c r="AH90" s="23" t="s">
        <v>57</v>
      </c>
      <c r="AI90" s="23" t="s">
        <v>57</v>
      </c>
      <c r="AJ90">
        <v>1</v>
      </c>
      <c r="AK90">
        <v>0</v>
      </c>
      <c r="AL90">
        <v>3</v>
      </c>
      <c r="AM90">
        <v>11</v>
      </c>
      <c r="AN90" s="23">
        <v>0</v>
      </c>
      <c r="AO90" s="23" t="s">
        <v>57</v>
      </c>
      <c r="AP90" s="23">
        <v>0.333333333333333</v>
      </c>
      <c r="AQ90" s="23">
        <v>0</v>
      </c>
      <c r="AR90" s="35">
        <v>0</v>
      </c>
      <c r="AS90" s="35">
        <v>0</v>
      </c>
      <c r="AT90" s="35">
        <v>1</v>
      </c>
      <c r="AU90" s="31" t="str">
        <f t="shared" si="5"/>
        <v>库存为1</v>
      </c>
      <c r="AV90" s="36" t="str">
        <f>IFERROR(时间!$B$4+AU90,"上周无销量")</f>
        <v>上周无销量</v>
      </c>
    </row>
    <row r="91" spans="1:48">
      <c r="A91" s="19" t="s">
        <v>321</v>
      </c>
      <c r="B91" t="s">
        <v>322</v>
      </c>
      <c r="C91" t="s">
        <v>320</v>
      </c>
      <c r="D91" s="31">
        <v>4</v>
      </c>
      <c r="E91" s="31">
        <v>0</v>
      </c>
      <c r="F91" s="31">
        <v>2</v>
      </c>
      <c r="G91" s="31">
        <v>0</v>
      </c>
      <c r="H91" s="32">
        <v>79.99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>
        <v>8077</v>
      </c>
      <c r="Q91">
        <v>10597</v>
      </c>
      <c r="R91">
        <v>5295</v>
      </c>
      <c r="S91">
        <v>4483</v>
      </c>
      <c r="T91">
        <v>108</v>
      </c>
      <c r="U91">
        <v>139</v>
      </c>
      <c r="V91">
        <v>55</v>
      </c>
      <c r="W91">
        <v>50</v>
      </c>
      <c r="X91" s="23">
        <v>0.0133713012257026</v>
      </c>
      <c r="Y91" s="23">
        <v>0.0131169198829857</v>
      </c>
      <c r="Z91" s="23">
        <v>0.0103871576959396</v>
      </c>
      <c r="AA91" s="23">
        <v>0.011153245594468</v>
      </c>
      <c r="AB91">
        <v>16.58</v>
      </c>
      <c r="AC91">
        <v>19.92</v>
      </c>
      <c r="AD91">
        <v>5.94</v>
      </c>
      <c r="AE91">
        <v>5.99</v>
      </c>
      <c r="AF91" s="23">
        <v>0.0518189773721715</v>
      </c>
      <c r="AG91" s="23" t="s">
        <v>323</v>
      </c>
      <c r="AH91" s="23">
        <v>0.0371296412051507</v>
      </c>
      <c r="AI91" s="23" t="s">
        <v>324</v>
      </c>
      <c r="AJ91">
        <v>167</v>
      </c>
      <c r="AK91">
        <v>142</v>
      </c>
      <c r="AL91">
        <v>75</v>
      </c>
      <c r="AM91">
        <v>48</v>
      </c>
      <c r="AN91" s="23">
        <v>0.0239520958083832</v>
      </c>
      <c r="AO91" s="23">
        <v>0</v>
      </c>
      <c r="AP91" s="23">
        <v>0.0266666666666667</v>
      </c>
      <c r="AQ91" s="23">
        <v>0</v>
      </c>
      <c r="AR91" s="35">
        <v>0.571428571428571</v>
      </c>
      <c r="AS91" s="35">
        <v>34.2857142857143</v>
      </c>
      <c r="AT91" s="35">
        <v>-34.2857142857143</v>
      </c>
      <c r="AU91" s="31">
        <f t="shared" si="5"/>
        <v>0</v>
      </c>
      <c r="AV91" s="36">
        <f>IFERROR(时间!$B$4+AU91,"上周无销量")</f>
        <v>43297</v>
      </c>
    </row>
    <row r="92" spans="1:48">
      <c r="A92" s="19" t="s">
        <v>325</v>
      </c>
      <c r="B92" t="s">
        <v>326</v>
      </c>
      <c r="C92" t="s">
        <v>327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5</v>
      </c>
      <c r="J92" s="33">
        <v>0</v>
      </c>
      <c r="K92" s="33">
        <v>0</v>
      </c>
      <c r="L92" s="33">
        <v>0</v>
      </c>
      <c r="M92">
        <v>5</v>
      </c>
      <c r="N92">
        <v>0</v>
      </c>
      <c r="O92">
        <v>5</v>
      </c>
      <c r="P92">
        <v>2754</v>
      </c>
      <c r="Q92">
        <v>2222</v>
      </c>
      <c r="R92">
        <v>1128</v>
      </c>
      <c r="S92">
        <v>821</v>
      </c>
      <c r="T92">
        <v>35</v>
      </c>
      <c r="U92">
        <v>19</v>
      </c>
      <c r="V92">
        <v>12</v>
      </c>
      <c r="W92">
        <v>5</v>
      </c>
      <c r="X92" s="23">
        <v>0.0127087872185911</v>
      </c>
      <c r="Y92" s="23">
        <v>0.00855085508550855</v>
      </c>
      <c r="Z92" s="23">
        <v>0.0106382978723404</v>
      </c>
      <c r="AA92" s="23">
        <v>0.00609013398294762</v>
      </c>
      <c r="AB92">
        <v>5.51</v>
      </c>
      <c r="AC92">
        <v>2.35</v>
      </c>
      <c r="AD92">
        <v>1.62</v>
      </c>
      <c r="AE92">
        <v>0.52</v>
      </c>
      <c r="AF92" s="23" t="s">
        <v>328</v>
      </c>
      <c r="AG92" s="23" t="s">
        <v>329</v>
      </c>
      <c r="AH92" s="23" t="s">
        <v>330</v>
      </c>
      <c r="AI92" s="23" t="s">
        <v>331</v>
      </c>
      <c r="AJ92">
        <v>31</v>
      </c>
      <c r="AK92">
        <v>14</v>
      </c>
      <c r="AL92">
        <v>13</v>
      </c>
      <c r="AM92">
        <v>9</v>
      </c>
      <c r="AN92" s="23">
        <v>0</v>
      </c>
      <c r="AO92" s="23">
        <v>0</v>
      </c>
      <c r="AP92" s="23">
        <v>0</v>
      </c>
      <c r="AQ92" s="23">
        <v>0</v>
      </c>
      <c r="AR92" s="35">
        <v>0</v>
      </c>
      <c r="AS92" s="35">
        <v>0</v>
      </c>
      <c r="AT92" s="35">
        <v>5</v>
      </c>
      <c r="AU92" s="31" t="str">
        <f t="shared" si="5"/>
        <v>库存为5</v>
      </c>
      <c r="AV92" s="36" t="str">
        <f>IFERROR(时间!$B$4+AU92,"上周无销量")</f>
        <v>上周无销量</v>
      </c>
    </row>
    <row r="93" spans="1:48">
      <c r="A93" s="19" t="s">
        <v>332</v>
      </c>
      <c r="B93" t="s">
        <v>333</v>
      </c>
      <c r="C93" t="s">
        <v>334</v>
      </c>
      <c r="D93" s="31">
        <v>1</v>
      </c>
      <c r="E93" s="31">
        <v>1</v>
      </c>
      <c r="F93" s="31">
        <v>0</v>
      </c>
      <c r="G93" s="31">
        <v>1</v>
      </c>
      <c r="H93" s="32">
        <v>89.99</v>
      </c>
      <c r="I93">
        <v>7</v>
      </c>
      <c r="J93" s="33">
        <v>0</v>
      </c>
      <c r="K93" s="33">
        <v>10</v>
      </c>
      <c r="L93" s="33">
        <v>0</v>
      </c>
      <c r="M93">
        <v>17</v>
      </c>
      <c r="N93">
        <v>0</v>
      </c>
      <c r="O93">
        <v>0</v>
      </c>
      <c r="P93">
        <v>0</v>
      </c>
      <c r="Q93">
        <v>8152</v>
      </c>
      <c r="R93">
        <v>65749</v>
      </c>
      <c r="S93">
        <v>19177</v>
      </c>
      <c r="T93">
        <v>0</v>
      </c>
      <c r="U93">
        <v>57</v>
      </c>
      <c r="V93">
        <v>391</v>
      </c>
      <c r="W93">
        <v>127</v>
      </c>
      <c r="X93" s="23" t="s">
        <v>57</v>
      </c>
      <c r="Y93" s="23">
        <v>0.00699214916584887</v>
      </c>
      <c r="Z93" s="23">
        <v>0.00594685850735372</v>
      </c>
      <c r="AA93" s="23">
        <v>0.00662251655629139</v>
      </c>
      <c r="AB93">
        <v>0</v>
      </c>
      <c r="AC93">
        <v>7.52</v>
      </c>
      <c r="AD93">
        <v>55.45</v>
      </c>
      <c r="AE93">
        <v>18.35</v>
      </c>
      <c r="AF93" s="23" t="s">
        <v>57</v>
      </c>
      <c r="AG93" s="23">
        <v>0.0835648405378375</v>
      </c>
      <c r="AH93" s="23" t="s">
        <v>335</v>
      </c>
      <c r="AI93" s="23">
        <v>0.203911545727303</v>
      </c>
      <c r="AJ93">
        <v>32</v>
      </c>
      <c r="AK93">
        <v>87</v>
      </c>
      <c r="AL93">
        <v>399</v>
      </c>
      <c r="AM93">
        <v>92</v>
      </c>
      <c r="AN93" s="23">
        <v>0.03125</v>
      </c>
      <c r="AO93" s="23">
        <v>0.0114942528735632</v>
      </c>
      <c r="AP93" s="23">
        <v>0</v>
      </c>
      <c r="AQ93" s="23">
        <v>0.0108695652173913</v>
      </c>
      <c r="AR93" s="35">
        <v>0.142857142857143</v>
      </c>
      <c r="AS93" s="35">
        <v>8.57142857142857</v>
      </c>
      <c r="AT93" s="35">
        <v>8.42857142857143</v>
      </c>
      <c r="AU93" s="31">
        <f t="shared" si="5"/>
        <v>119</v>
      </c>
      <c r="AV93" s="36">
        <f>IFERROR(时间!$B$4+AU93,"上周无销量")</f>
        <v>43416</v>
      </c>
    </row>
    <row r="94" spans="1:48">
      <c r="A94" s="19" t="s">
        <v>336</v>
      </c>
      <c r="B94" t="s">
        <v>337</v>
      </c>
      <c r="C94" t="s">
        <v>338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8</v>
      </c>
      <c r="J94" s="33">
        <v>0</v>
      </c>
      <c r="K94" s="33">
        <v>0</v>
      </c>
      <c r="L94" s="33">
        <v>0</v>
      </c>
      <c r="M94">
        <v>8</v>
      </c>
      <c r="N94">
        <v>0</v>
      </c>
      <c r="O94">
        <v>8</v>
      </c>
      <c r="P94">
        <v>5176</v>
      </c>
      <c r="Q94">
        <v>0</v>
      </c>
      <c r="R94">
        <v>0</v>
      </c>
      <c r="S94">
        <v>0</v>
      </c>
      <c r="T94">
        <v>48</v>
      </c>
      <c r="U94">
        <v>0</v>
      </c>
      <c r="V94">
        <v>0</v>
      </c>
      <c r="W94">
        <v>0</v>
      </c>
      <c r="X94" s="23">
        <v>0.00927357032457496</v>
      </c>
      <c r="Y94" s="23" t="s">
        <v>57</v>
      </c>
      <c r="Z94" s="23" t="s">
        <v>57</v>
      </c>
      <c r="AA94" s="23" t="s">
        <v>57</v>
      </c>
      <c r="AB94">
        <v>12.29</v>
      </c>
      <c r="AC94">
        <v>0</v>
      </c>
      <c r="AD94">
        <v>0</v>
      </c>
      <c r="AE94">
        <v>0</v>
      </c>
      <c r="AF94" s="23" t="s">
        <v>339</v>
      </c>
      <c r="AG94" s="23" t="s">
        <v>57</v>
      </c>
      <c r="AH94" s="23" t="s">
        <v>57</v>
      </c>
      <c r="AI94" s="23" t="s">
        <v>57</v>
      </c>
      <c r="AJ94">
        <v>34</v>
      </c>
      <c r="AK94">
        <v>11</v>
      </c>
      <c r="AL94">
        <v>24</v>
      </c>
      <c r="AM94">
        <v>22</v>
      </c>
      <c r="AN94" s="23">
        <v>0</v>
      </c>
      <c r="AO94" s="23">
        <v>0</v>
      </c>
      <c r="AP94" s="23">
        <v>0</v>
      </c>
      <c r="AQ94" s="23">
        <v>0</v>
      </c>
      <c r="AR94" s="35">
        <v>0</v>
      </c>
      <c r="AS94" s="35">
        <v>0</v>
      </c>
      <c r="AT94" s="35">
        <v>8</v>
      </c>
      <c r="AU94" s="31" t="str">
        <f t="shared" si="5"/>
        <v>库存为8</v>
      </c>
      <c r="AV94" s="36" t="str">
        <f>IFERROR(时间!$B$4+AU94,"上周无销量")</f>
        <v>上周无销量</v>
      </c>
    </row>
    <row r="95" spans="1:48">
      <c r="A95" s="19" t="s">
        <v>340</v>
      </c>
      <c r="B95" t="s">
        <v>341</v>
      </c>
      <c r="C95" t="s">
        <v>342</v>
      </c>
      <c r="D95" s="31">
        <v>2</v>
      </c>
      <c r="E95" s="31">
        <v>3</v>
      </c>
      <c r="F95" s="31">
        <v>2</v>
      </c>
      <c r="G95" s="31">
        <v>3</v>
      </c>
      <c r="H95" s="32">
        <v>81.39</v>
      </c>
      <c r="I95">
        <v>5</v>
      </c>
      <c r="J95" s="33">
        <v>0</v>
      </c>
      <c r="K95" s="33">
        <v>0</v>
      </c>
      <c r="L95" s="33">
        <v>3</v>
      </c>
      <c r="M95">
        <v>8</v>
      </c>
      <c r="N95">
        <v>0</v>
      </c>
      <c r="O95">
        <v>0</v>
      </c>
      <c r="P95">
        <v>101222</v>
      </c>
      <c r="Q95">
        <v>137408</v>
      </c>
      <c r="R95">
        <v>41367</v>
      </c>
      <c r="S95">
        <v>24569</v>
      </c>
      <c r="T95">
        <v>395</v>
      </c>
      <c r="U95">
        <v>589</v>
      </c>
      <c r="V95">
        <v>251</v>
      </c>
      <c r="W95">
        <v>197</v>
      </c>
      <c r="X95" s="23">
        <v>0.00390231372626504</v>
      </c>
      <c r="Y95" s="23">
        <v>0.00428650442477876</v>
      </c>
      <c r="Z95" s="23">
        <v>0.00606763845577393</v>
      </c>
      <c r="AA95" s="23">
        <v>0.00801823436037283</v>
      </c>
      <c r="AB95">
        <v>66.44</v>
      </c>
      <c r="AC95">
        <v>97.28</v>
      </c>
      <c r="AD95">
        <v>42.83</v>
      </c>
      <c r="AE95">
        <v>30.69</v>
      </c>
      <c r="AF95" s="23">
        <v>0.408158250399312</v>
      </c>
      <c r="AG95" s="23">
        <v>0.398410943195315</v>
      </c>
      <c r="AH95" s="23">
        <v>0.263115861899496</v>
      </c>
      <c r="AI95" s="23">
        <v>0.125691116844821</v>
      </c>
      <c r="AJ95">
        <v>305</v>
      </c>
      <c r="AK95">
        <v>400</v>
      </c>
      <c r="AL95">
        <v>203</v>
      </c>
      <c r="AM95">
        <v>122</v>
      </c>
      <c r="AN95" s="23">
        <v>0.00655737704918033</v>
      </c>
      <c r="AO95" s="23">
        <v>0.0075</v>
      </c>
      <c r="AP95" s="23">
        <v>0.00985221674876847</v>
      </c>
      <c r="AQ95" s="23">
        <v>0.0245901639344262</v>
      </c>
      <c r="AR95" s="35">
        <v>0.285714285714286</v>
      </c>
      <c r="AS95" s="35">
        <v>17.1428571428571</v>
      </c>
      <c r="AT95" s="35">
        <v>-9.14285714285714</v>
      </c>
      <c r="AU95" s="31">
        <f t="shared" si="5"/>
        <v>28</v>
      </c>
      <c r="AV95" s="36">
        <f>IFERROR(时间!$B$4+AU95,"上周无销量")</f>
        <v>43325</v>
      </c>
    </row>
    <row r="96" spans="1:48">
      <c r="A96" s="19" t="s">
        <v>343</v>
      </c>
      <c r="B96" t="s">
        <v>344</v>
      </c>
      <c r="C96" t="s">
        <v>342</v>
      </c>
      <c r="D96" s="31">
        <v>2</v>
      </c>
      <c r="E96" s="31">
        <v>0</v>
      </c>
      <c r="F96" s="31">
        <v>1</v>
      </c>
      <c r="G96" s="31">
        <v>5</v>
      </c>
      <c r="H96" s="32">
        <v>82.615</v>
      </c>
      <c r="I96">
        <v>5</v>
      </c>
      <c r="J96" s="33">
        <v>0</v>
      </c>
      <c r="K96" s="33">
        <v>0</v>
      </c>
      <c r="L96" s="33">
        <v>4</v>
      </c>
      <c r="M96">
        <v>9</v>
      </c>
      <c r="N96">
        <v>0</v>
      </c>
      <c r="O96">
        <v>0</v>
      </c>
      <c r="P96" t="s">
        <v>57</v>
      </c>
      <c r="Q96" t="s">
        <v>57</v>
      </c>
      <c r="R96" t="s">
        <v>57</v>
      </c>
      <c r="S96" t="s">
        <v>57</v>
      </c>
      <c r="T96" t="s">
        <v>57</v>
      </c>
      <c r="U96" t="s">
        <v>57</v>
      </c>
      <c r="V96" t="s">
        <v>57</v>
      </c>
      <c r="W96" t="s">
        <v>57</v>
      </c>
      <c r="X96" s="23" t="s">
        <v>57</v>
      </c>
      <c r="Y96" s="23" t="s">
        <v>57</v>
      </c>
      <c r="Z96" s="23" t="s">
        <v>57</v>
      </c>
      <c r="AA96" s="23" t="s">
        <v>57</v>
      </c>
      <c r="AB96" t="s">
        <v>57</v>
      </c>
      <c r="AC96" t="s">
        <v>57</v>
      </c>
      <c r="AD96" t="s">
        <v>57</v>
      </c>
      <c r="AE96" t="s">
        <v>57</v>
      </c>
      <c r="AF96" s="23" t="s">
        <v>57</v>
      </c>
      <c r="AG96" s="23" t="s">
        <v>57</v>
      </c>
      <c r="AH96" s="23" t="s">
        <v>57</v>
      </c>
      <c r="AI96" s="23" t="s">
        <v>57</v>
      </c>
      <c r="AJ96">
        <v>27</v>
      </c>
      <c r="AK96">
        <v>9</v>
      </c>
      <c r="AL96">
        <v>82</v>
      </c>
      <c r="AM96">
        <v>115</v>
      </c>
      <c r="AN96" s="23">
        <v>0.0740740740740741</v>
      </c>
      <c r="AO96" s="23">
        <v>0</v>
      </c>
      <c r="AP96" s="23">
        <v>0.0121951219512195</v>
      </c>
      <c r="AQ96" s="23">
        <v>0.0434782608695652</v>
      </c>
      <c r="AR96" s="35">
        <v>0.285714285714286</v>
      </c>
      <c r="AS96" s="35">
        <v>17.1428571428571</v>
      </c>
      <c r="AT96" s="35">
        <v>-8.14285714285714</v>
      </c>
      <c r="AU96" s="31">
        <f t="shared" si="5"/>
        <v>31</v>
      </c>
      <c r="AV96" s="36">
        <f>IFERROR(时间!$B$4+AU96,"上周无销量")</f>
        <v>43328</v>
      </c>
    </row>
    <row r="97" spans="1:48">
      <c r="A97" s="19" t="s">
        <v>345</v>
      </c>
      <c r="B97" t="s">
        <v>346</v>
      </c>
      <c r="C97" t="s">
        <v>347</v>
      </c>
      <c r="D97" s="31">
        <v>0</v>
      </c>
      <c r="E97" s="31">
        <v>0</v>
      </c>
      <c r="F97" s="31">
        <v>1</v>
      </c>
      <c r="G97" s="31">
        <v>0</v>
      </c>
      <c r="H97" s="32">
        <v>79.99</v>
      </c>
      <c r="I97">
        <v>17</v>
      </c>
      <c r="J97" s="33">
        <v>0</v>
      </c>
      <c r="K97" s="33">
        <v>0</v>
      </c>
      <c r="L97" s="33">
        <v>0</v>
      </c>
      <c r="M97">
        <v>17</v>
      </c>
      <c r="N97">
        <v>0</v>
      </c>
      <c r="O97">
        <v>17</v>
      </c>
      <c r="P97" t="s">
        <v>57</v>
      </c>
      <c r="Q97" t="s">
        <v>57</v>
      </c>
      <c r="R97" t="s">
        <v>57</v>
      </c>
      <c r="S97" t="s">
        <v>57</v>
      </c>
      <c r="T97" t="s">
        <v>57</v>
      </c>
      <c r="U97" t="s">
        <v>57</v>
      </c>
      <c r="V97" t="s">
        <v>57</v>
      </c>
      <c r="W97" t="s">
        <v>57</v>
      </c>
      <c r="X97" s="23" t="s">
        <v>57</v>
      </c>
      <c r="Y97" s="23" t="s">
        <v>57</v>
      </c>
      <c r="Z97" s="23" t="s">
        <v>57</v>
      </c>
      <c r="AA97" s="23" t="s">
        <v>57</v>
      </c>
      <c r="AB97" t="s">
        <v>57</v>
      </c>
      <c r="AC97" t="s">
        <v>57</v>
      </c>
      <c r="AD97" t="s">
        <v>57</v>
      </c>
      <c r="AE97" t="s">
        <v>57</v>
      </c>
      <c r="AF97" s="23" t="s">
        <v>57</v>
      </c>
      <c r="AG97" s="23" t="s">
        <v>57</v>
      </c>
      <c r="AH97" s="23" t="s">
        <v>57</v>
      </c>
      <c r="AI97" s="23" t="s">
        <v>57</v>
      </c>
      <c r="AJ97">
        <v>57</v>
      </c>
      <c r="AK97">
        <v>15</v>
      </c>
      <c r="AL97">
        <v>26</v>
      </c>
      <c r="AM97">
        <v>22</v>
      </c>
      <c r="AN97" s="23">
        <v>0</v>
      </c>
      <c r="AO97" s="23">
        <v>0</v>
      </c>
      <c r="AP97" s="23">
        <v>0.0384615384615385</v>
      </c>
      <c r="AQ97" s="23">
        <v>0</v>
      </c>
      <c r="AR97" s="35">
        <v>0</v>
      </c>
      <c r="AS97" s="35">
        <v>0</v>
      </c>
      <c r="AT97" s="35">
        <v>17</v>
      </c>
      <c r="AU97" s="31" t="str">
        <f t="shared" si="5"/>
        <v>库存为17</v>
      </c>
      <c r="AV97" s="36" t="str">
        <f>IFERROR(时间!$B$4+AU97,"上周无销量")</f>
        <v>上周无销量</v>
      </c>
    </row>
    <row r="98" spans="1:48">
      <c r="A98" s="19" t="s">
        <v>348</v>
      </c>
      <c r="B98" t="s">
        <v>349</v>
      </c>
      <c r="C98" t="s">
        <v>350</v>
      </c>
      <c r="D98" s="31">
        <v>0</v>
      </c>
      <c r="E98" s="31">
        <v>3</v>
      </c>
      <c r="F98" s="31">
        <v>0</v>
      </c>
      <c r="G98" s="31">
        <v>1</v>
      </c>
      <c r="H98" s="32">
        <v>99.99</v>
      </c>
      <c r="I98">
        <v>4</v>
      </c>
      <c r="J98" s="33">
        <v>0</v>
      </c>
      <c r="K98" s="33">
        <v>0</v>
      </c>
      <c r="L98" s="33">
        <v>0</v>
      </c>
      <c r="M98">
        <v>4</v>
      </c>
      <c r="N98">
        <v>1</v>
      </c>
      <c r="O98">
        <v>0</v>
      </c>
      <c r="P98">
        <v>15047</v>
      </c>
      <c r="Q98">
        <v>12235</v>
      </c>
      <c r="R98">
        <v>5362</v>
      </c>
      <c r="S98">
        <v>3265</v>
      </c>
      <c r="T98">
        <v>125</v>
      </c>
      <c r="U98">
        <v>88</v>
      </c>
      <c r="V98">
        <v>43</v>
      </c>
      <c r="W98">
        <v>30</v>
      </c>
      <c r="X98" s="23">
        <v>0.00830730378148468</v>
      </c>
      <c r="Y98" s="23">
        <v>0.00719248058847568</v>
      </c>
      <c r="Z98" s="23">
        <v>0.00801939574785528</v>
      </c>
      <c r="AA98" s="23">
        <v>0.00918836140888208</v>
      </c>
      <c r="AB98">
        <v>19.96</v>
      </c>
      <c r="AC98">
        <v>12.24</v>
      </c>
      <c r="AD98">
        <v>4.83</v>
      </c>
      <c r="AE98">
        <v>3.7</v>
      </c>
      <c r="AF98" s="23" t="s">
        <v>351</v>
      </c>
      <c r="AG98" s="23">
        <v>0.0408040804080408</v>
      </c>
      <c r="AH98" s="23" t="s">
        <v>352</v>
      </c>
      <c r="AI98" s="23">
        <v>0.037003700370037</v>
      </c>
      <c r="AJ98">
        <v>116</v>
      </c>
      <c r="AK98">
        <v>125</v>
      </c>
      <c r="AL98">
        <v>74</v>
      </c>
      <c r="AM98">
        <v>99</v>
      </c>
      <c r="AN98" s="23">
        <v>0</v>
      </c>
      <c r="AO98" s="23">
        <v>0.024</v>
      </c>
      <c r="AP98" s="23">
        <v>0</v>
      </c>
      <c r="AQ98" s="23">
        <v>0.0101010101010101</v>
      </c>
      <c r="AR98" s="35">
        <v>0</v>
      </c>
      <c r="AS98" s="35">
        <v>0</v>
      </c>
      <c r="AT98" s="35">
        <v>4</v>
      </c>
      <c r="AU98" s="31" t="str">
        <f t="shared" si="5"/>
        <v>库存为4</v>
      </c>
      <c r="AV98" s="36" t="str">
        <f>IFERROR(时间!$B$4+AU98,"上周无销量")</f>
        <v>上周无销量</v>
      </c>
    </row>
    <row r="99" spans="1:48">
      <c r="A99" s="19" t="s">
        <v>353</v>
      </c>
      <c r="B99" t="s">
        <v>354</v>
      </c>
      <c r="C99" t="s">
        <v>355</v>
      </c>
      <c r="D99" s="31">
        <v>1</v>
      </c>
      <c r="E99" s="31">
        <v>0</v>
      </c>
      <c r="F99" s="31">
        <v>0</v>
      </c>
      <c r="G99" s="31">
        <v>0</v>
      </c>
      <c r="H99" s="32">
        <v>99.6</v>
      </c>
      <c r="I99">
        <v>42</v>
      </c>
      <c r="J99" s="33">
        <v>0</v>
      </c>
      <c r="K99" s="33">
        <v>0</v>
      </c>
      <c r="L99" s="33">
        <v>0</v>
      </c>
      <c r="M99">
        <v>42</v>
      </c>
      <c r="N99">
        <v>0</v>
      </c>
      <c r="O99">
        <v>2</v>
      </c>
      <c r="P99">
        <v>2</v>
      </c>
      <c r="Q99">
        <v>0</v>
      </c>
      <c r="R99">
        <v>0</v>
      </c>
      <c r="S99">
        <v>2</v>
      </c>
      <c r="T99">
        <v>2</v>
      </c>
      <c r="U99">
        <v>0</v>
      </c>
      <c r="V99">
        <v>0</v>
      </c>
      <c r="W99">
        <v>0</v>
      </c>
      <c r="X99" s="23">
        <v>1</v>
      </c>
      <c r="Y99" s="23" t="s">
        <v>57</v>
      </c>
      <c r="Z99" s="23" t="s">
        <v>57</v>
      </c>
      <c r="AA99" s="23">
        <v>0</v>
      </c>
      <c r="AB99">
        <v>0.48</v>
      </c>
      <c r="AC99">
        <v>0</v>
      </c>
      <c r="AD99">
        <v>0</v>
      </c>
      <c r="AE99">
        <v>0</v>
      </c>
      <c r="AF99" s="23">
        <v>0.00481927710843374</v>
      </c>
      <c r="AG99" s="23" t="s">
        <v>57</v>
      </c>
      <c r="AH99" s="23" t="s">
        <v>57</v>
      </c>
      <c r="AI99" s="23" t="s">
        <v>57</v>
      </c>
      <c r="AJ99">
        <v>54</v>
      </c>
      <c r="AK99">
        <v>27</v>
      </c>
      <c r="AL99">
        <v>52</v>
      </c>
      <c r="AM99">
        <v>25</v>
      </c>
      <c r="AN99" s="23">
        <v>0.0185185185185185</v>
      </c>
      <c r="AO99" s="23">
        <v>0</v>
      </c>
      <c r="AP99" s="23">
        <v>0</v>
      </c>
      <c r="AQ99" s="23">
        <v>0</v>
      </c>
      <c r="AR99" s="35">
        <v>0.142857142857143</v>
      </c>
      <c r="AS99" s="35">
        <v>8.57142857142857</v>
      </c>
      <c r="AT99" s="35">
        <v>33.4285714285714</v>
      </c>
      <c r="AU99" s="31">
        <f t="shared" si="5"/>
        <v>294</v>
      </c>
      <c r="AV99" s="36">
        <f>IFERROR(时间!$B$4+AU99,"上周无销量")</f>
        <v>43591</v>
      </c>
    </row>
    <row r="100" spans="1:48">
      <c r="A100" s="19" t="s">
        <v>356</v>
      </c>
      <c r="B100" t="s">
        <v>357</v>
      </c>
      <c r="C100" t="s">
        <v>355</v>
      </c>
      <c r="D100" s="31">
        <v>0</v>
      </c>
      <c r="E100" s="31">
        <v>0</v>
      </c>
      <c r="F100" s="31">
        <v>2</v>
      </c>
      <c r="G100" s="31">
        <v>0</v>
      </c>
      <c r="H100" s="32">
        <v>99.6</v>
      </c>
      <c r="I100">
        <v>39</v>
      </c>
      <c r="J100" s="33">
        <v>0</v>
      </c>
      <c r="K100" s="33">
        <v>0</v>
      </c>
      <c r="L100" s="33">
        <v>0</v>
      </c>
      <c r="M100">
        <v>39</v>
      </c>
      <c r="N100">
        <v>0</v>
      </c>
      <c r="O100">
        <v>0</v>
      </c>
      <c r="P100">
        <v>11</v>
      </c>
      <c r="Q100">
        <v>6</v>
      </c>
      <c r="R100">
        <v>5</v>
      </c>
      <c r="S100">
        <v>10</v>
      </c>
      <c r="T100">
        <v>1</v>
      </c>
      <c r="U100">
        <v>0</v>
      </c>
      <c r="V100">
        <v>0</v>
      </c>
      <c r="W100">
        <v>1</v>
      </c>
      <c r="X100" s="23">
        <v>0.0909090909090909</v>
      </c>
      <c r="Y100" s="23">
        <v>0</v>
      </c>
      <c r="Z100" s="23">
        <v>0</v>
      </c>
      <c r="AA100" s="23">
        <v>0.1</v>
      </c>
      <c r="AB100">
        <v>0.28</v>
      </c>
      <c r="AC100">
        <v>0</v>
      </c>
      <c r="AD100">
        <v>0</v>
      </c>
      <c r="AE100">
        <v>0.33</v>
      </c>
      <c r="AF100" s="23" t="s">
        <v>358</v>
      </c>
      <c r="AG100" s="23" t="s">
        <v>57</v>
      </c>
      <c r="AH100" s="23" t="s">
        <v>57</v>
      </c>
      <c r="AI100" s="23" t="s">
        <v>359</v>
      </c>
      <c r="AJ100">
        <v>39</v>
      </c>
      <c r="AK100">
        <v>30</v>
      </c>
      <c r="AL100">
        <v>38</v>
      </c>
      <c r="AM100">
        <v>35</v>
      </c>
      <c r="AN100" s="23">
        <v>0</v>
      </c>
      <c r="AO100" s="23">
        <v>0</v>
      </c>
      <c r="AP100" s="23">
        <v>0.0526315789473684</v>
      </c>
      <c r="AQ100" s="23">
        <v>0</v>
      </c>
      <c r="AR100" s="35">
        <v>0</v>
      </c>
      <c r="AS100" s="35">
        <v>0</v>
      </c>
      <c r="AT100" s="35">
        <v>39</v>
      </c>
      <c r="AU100" s="31" t="str">
        <f t="shared" si="5"/>
        <v>库存为39</v>
      </c>
      <c r="AV100" s="36" t="str">
        <f>IFERROR(时间!$B$4+AU100,"上周无销量")</f>
        <v>上周无销量</v>
      </c>
    </row>
    <row r="101" spans="1:48">
      <c r="A101" s="19" t="s">
        <v>360</v>
      </c>
      <c r="B101" t="s">
        <v>361</v>
      </c>
      <c r="C101" t="s">
        <v>362</v>
      </c>
      <c r="D101" s="31">
        <v>0</v>
      </c>
      <c r="E101" s="31">
        <v>1</v>
      </c>
      <c r="F101" s="31">
        <v>0</v>
      </c>
      <c r="G101" s="31">
        <v>0</v>
      </c>
      <c r="H101" s="32">
        <v>99.99</v>
      </c>
      <c r="I101">
        <v>3</v>
      </c>
      <c r="J101" s="33">
        <v>0</v>
      </c>
      <c r="K101" s="33">
        <v>1</v>
      </c>
      <c r="L101" s="33">
        <v>0</v>
      </c>
      <c r="M101">
        <v>4</v>
      </c>
      <c r="N101">
        <v>0</v>
      </c>
      <c r="O101">
        <v>0</v>
      </c>
      <c r="P101">
        <v>2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s="23">
        <v>0</v>
      </c>
      <c r="Y101" s="23" t="s">
        <v>57</v>
      </c>
      <c r="Z101" s="23" t="s">
        <v>57</v>
      </c>
      <c r="AA101" s="23" t="s">
        <v>57</v>
      </c>
      <c r="AB101">
        <v>0</v>
      </c>
      <c r="AC101">
        <v>0</v>
      </c>
      <c r="AD101">
        <v>0</v>
      </c>
      <c r="AE101">
        <v>0</v>
      </c>
      <c r="AF101" s="23" t="s">
        <v>57</v>
      </c>
      <c r="AG101" s="23" t="s">
        <v>57</v>
      </c>
      <c r="AH101" s="23" t="s">
        <v>57</v>
      </c>
      <c r="AI101" s="23" t="s">
        <v>57</v>
      </c>
      <c r="AJ101">
        <v>35</v>
      </c>
      <c r="AK101">
        <v>17</v>
      </c>
      <c r="AL101">
        <v>1</v>
      </c>
      <c r="AM101">
        <v>0</v>
      </c>
      <c r="AN101" s="23">
        <v>0</v>
      </c>
      <c r="AO101" s="23">
        <v>0.0588235294117647</v>
      </c>
      <c r="AP101" s="23">
        <v>0</v>
      </c>
      <c r="AQ101" s="23" t="s">
        <v>57</v>
      </c>
      <c r="AR101" s="35">
        <v>0</v>
      </c>
      <c r="AS101" s="35">
        <v>0</v>
      </c>
      <c r="AT101" s="35">
        <v>4</v>
      </c>
      <c r="AU101" s="31" t="str">
        <f t="shared" si="5"/>
        <v>库存为4</v>
      </c>
      <c r="AV101" s="36" t="str">
        <f>IFERROR(时间!$B$4+AU101,"上周无销量")</f>
        <v>上周无销量</v>
      </c>
    </row>
    <row r="102" spans="1:48">
      <c r="A102" s="19" t="s">
        <v>363</v>
      </c>
      <c r="B102" t="s">
        <v>364</v>
      </c>
      <c r="C102" t="s">
        <v>362</v>
      </c>
      <c r="D102" s="31">
        <v>0</v>
      </c>
      <c r="E102" s="31">
        <v>2</v>
      </c>
      <c r="F102" s="31">
        <v>0</v>
      </c>
      <c r="G102" s="31">
        <v>0</v>
      </c>
      <c r="H102" s="32">
        <v>99.99</v>
      </c>
      <c r="I102">
        <v>5</v>
      </c>
      <c r="J102" s="33">
        <v>0</v>
      </c>
      <c r="K102" s="33">
        <v>0</v>
      </c>
      <c r="L102" s="33">
        <v>1</v>
      </c>
      <c r="M102">
        <v>6</v>
      </c>
      <c r="N102">
        <v>0</v>
      </c>
      <c r="O102">
        <v>1</v>
      </c>
      <c r="P102">
        <v>6</v>
      </c>
      <c r="Q102">
        <v>2</v>
      </c>
      <c r="R102">
        <v>0</v>
      </c>
      <c r="S102">
        <v>6</v>
      </c>
      <c r="T102">
        <v>0</v>
      </c>
      <c r="U102">
        <v>0</v>
      </c>
      <c r="V102">
        <v>0</v>
      </c>
      <c r="W102">
        <v>0</v>
      </c>
      <c r="X102" s="23">
        <v>0</v>
      </c>
      <c r="Y102" s="23">
        <v>0</v>
      </c>
      <c r="Z102" s="23" t="s">
        <v>57</v>
      </c>
      <c r="AA102" s="23">
        <v>0</v>
      </c>
      <c r="AB102">
        <v>0</v>
      </c>
      <c r="AC102">
        <v>0</v>
      </c>
      <c r="AD102">
        <v>0</v>
      </c>
      <c r="AE102">
        <v>0</v>
      </c>
      <c r="AF102" s="23" t="s">
        <v>57</v>
      </c>
      <c r="AG102" s="23" t="s">
        <v>57</v>
      </c>
      <c r="AH102" s="23" t="s">
        <v>57</v>
      </c>
      <c r="AI102" s="23" t="s">
        <v>57</v>
      </c>
      <c r="AJ102">
        <v>16</v>
      </c>
      <c r="AK102">
        <v>14</v>
      </c>
      <c r="AL102">
        <v>12</v>
      </c>
      <c r="AM102">
        <v>15</v>
      </c>
      <c r="AN102" s="23">
        <v>0</v>
      </c>
      <c r="AO102" s="23">
        <v>0.142857142857143</v>
      </c>
      <c r="AP102" s="23">
        <v>0</v>
      </c>
      <c r="AQ102" s="23">
        <v>0</v>
      </c>
      <c r="AR102" s="35">
        <v>0</v>
      </c>
      <c r="AS102" s="35">
        <v>0</v>
      </c>
      <c r="AT102" s="35">
        <v>6</v>
      </c>
      <c r="AU102" s="31" t="str">
        <f t="shared" si="5"/>
        <v>库存为6</v>
      </c>
      <c r="AV102" s="36" t="str">
        <f>IFERROR(时间!$B$4+AU102,"上周无销量")</f>
        <v>上周无销量</v>
      </c>
    </row>
    <row r="103" spans="1:48">
      <c r="A103" s="19" t="s">
        <v>365</v>
      </c>
      <c r="B103" t="s">
        <v>366</v>
      </c>
      <c r="C103" t="s">
        <v>367</v>
      </c>
      <c r="D103" s="31">
        <v>0</v>
      </c>
      <c r="E103" s="31">
        <v>0</v>
      </c>
      <c r="F103" s="31">
        <v>1</v>
      </c>
      <c r="G103" s="31">
        <v>0</v>
      </c>
      <c r="H103" s="32">
        <v>79.99</v>
      </c>
      <c r="I103">
        <v>11</v>
      </c>
      <c r="J103" s="33">
        <v>0</v>
      </c>
      <c r="K103" s="33">
        <v>0</v>
      </c>
      <c r="L103" s="33">
        <v>0</v>
      </c>
      <c r="M103">
        <v>11</v>
      </c>
      <c r="N103">
        <v>0</v>
      </c>
      <c r="O103">
        <v>0</v>
      </c>
      <c r="P103" t="s">
        <v>57</v>
      </c>
      <c r="Q103" t="s">
        <v>57</v>
      </c>
      <c r="R103" t="s">
        <v>57</v>
      </c>
      <c r="S103" t="s">
        <v>57</v>
      </c>
      <c r="T103" t="s">
        <v>57</v>
      </c>
      <c r="U103" t="s">
        <v>57</v>
      </c>
      <c r="V103" t="s">
        <v>57</v>
      </c>
      <c r="W103" t="s">
        <v>57</v>
      </c>
      <c r="X103" s="23" t="s">
        <v>57</v>
      </c>
      <c r="Y103" s="23" t="s">
        <v>57</v>
      </c>
      <c r="Z103" s="23" t="s">
        <v>57</v>
      </c>
      <c r="AA103" s="23" t="s">
        <v>57</v>
      </c>
      <c r="AB103" t="s">
        <v>57</v>
      </c>
      <c r="AC103" t="s">
        <v>57</v>
      </c>
      <c r="AD103" t="s">
        <v>57</v>
      </c>
      <c r="AE103" t="s">
        <v>57</v>
      </c>
      <c r="AF103" s="23" t="s">
        <v>57</v>
      </c>
      <c r="AG103" s="23" t="s">
        <v>57</v>
      </c>
      <c r="AH103" s="23" t="s">
        <v>57</v>
      </c>
      <c r="AI103" s="23" t="s">
        <v>57</v>
      </c>
      <c r="AJ103">
        <v>8</v>
      </c>
      <c r="AK103">
        <v>6</v>
      </c>
      <c r="AL103">
        <v>4</v>
      </c>
      <c r="AM103">
        <v>7</v>
      </c>
      <c r="AN103" s="23">
        <v>0</v>
      </c>
      <c r="AO103" s="23">
        <v>0</v>
      </c>
      <c r="AP103" s="23">
        <v>0.25</v>
      </c>
      <c r="AQ103" s="23">
        <v>0</v>
      </c>
      <c r="AR103" s="35">
        <v>0</v>
      </c>
      <c r="AS103" s="35">
        <v>0</v>
      </c>
      <c r="AT103" s="35">
        <v>11</v>
      </c>
      <c r="AU103" s="31" t="str">
        <f t="shared" si="5"/>
        <v>库存为11</v>
      </c>
      <c r="AV103" s="36" t="str">
        <f>IFERROR(时间!$B$4+AU103,"上周无销量")</f>
        <v>上周无销量</v>
      </c>
    </row>
    <row r="104" spans="1:48">
      <c r="A104" s="19" t="s">
        <v>368</v>
      </c>
      <c r="B104" t="s">
        <v>369</v>
      </c>
      <c r="C104" t="s">
        <v>370</v>
      </c>
      <c r="D104" s="31">
        <v>4</v>
      </c>
      <c r="E104" s="31">
        <v>1</v>
      </c>
      <c r="F104" s="31">
        <v>3</v>
      </c>
      <c r="G104" s="31">
        <v>0</v>
      </c>
      <c r="H104" s="32">
        <v>79.99</v>
      </c>
      <c r="I104">
        <v>5</v>
      </c>
      <c r="J104" s="33">
        <v>0</v>
      </c>
      <c r="K104" s="33">
        <v>0</v>
      </c>
      <c r="L104" s="33">
        <v>1</v>
      </c>
      <c r="M104">
        <v>6</v>
      </c>
      <c r="N104">
        <v>0</v>
      </c>
      <c r="O104">
        <v>0</v>
      </c>
      <c r="P104">
        <v>26452</v>
      </c>
      <c r="Q104">
        <v>16179</v>
      </c>
      <c r="R104">
        <v>5474</v>
      </c>
      <c r="S104">
        <v>7373</v>
      </c>
      <c r="T104">
        <v>200</v>
      </c>
      <c r="U104">
        <v>152</v>
      </c>
      <c r="V104">
        <v>43</v>
      </c>
      <c r="W104">
        <v>67</v>
      </c>
      <c r="X104" s="23">
        <v>0.00756086496295176</v>
      </c>
      <c r="Y104" s="23">
        <v>0.00939489461647815</v>
      </c>
      <c r="Z104" s="23">
        <v>0.00785531603945926</v>
      </c>
      <c r="AA104" s="23">
        <v>0.0090872100908721</v>
      </c>
      <c r="AB104">
        <v>34.53</v>
      </c>
      <c r="AC104">
        <v>23.52</v>
      </c>
      <c r="AD104">
        <v>5.92</v>
      </c>
      <c r="AE104">
        <v>10.41</v>
      </c>
      <c r="AF104" s="23">
        <v>0.107919739967496</v>
      </c>
      <c r="AG104" s="23">
        <v>0.294036754594324</v>
      </c>
      <c r="AH104" s="23">
        <v>0.0246697503854649</v>
      </c>
      <c r="AI104" s="23" t="s">
        <v>371</v>
      </c>
      <c r="AJ104">
        <v>173</v>
      </c>
      <c r="AK104">
        <v>128</v>
      </c>
      <c r="AL104">
        <v>48</v>
      </c>
      <c r="AM104">
        <v>49</v>
      </c>
      <c r="AN104" s="23">
        <v>0.023121387283237</v>
      </c>
      <c r="AO104" s="23">
        <v>0.0078125</v>
      </c>
      <c r="AP104" s="23">
        <v>0.0625</v>
      </c>
      <c r="AQ104" s="23">
        <v>0</v>
      </c>
      <c r="AR104" s="35">
        <v>0.571428571428571</v>
      </c>
      <c r="AS104" s="35">
        <v>34.2857142857143</v>
      </c>
      <c r="AT104" s="35">
        <v>-28.2857142857143</v>
      </c>
      <c r="AU104" s="31">
        <f t="shared" si="5"/>
        <v>10</v>
      </c>
      <c r="AV104" s="36">
        <f>IFERROR(时间!$B$4+AU104,"上周无销量")</f>
        <v>43307</v>
      </c>
    </row>
    <row r="105" spans="1:48">
      <c r="A105" s="19" t="s">
        <v>372</v>
      </c>
      <c r="B105" t="s">
        <v>373</v>
      </c>
      <c r="C105" t="s">
        <v>374</v>
      </c>
      <c r="D105" s="31">
        <v>1</v>
      </c>
      <c r="E105" s="31">
        <v>1</v>
      </c>
      <c r="F105" s="31">
        <v>0</v>
      </c>
      <c r="G105" s="31">
        <v>4</v>
      </c>
      <c r="H105" s="32">
        <v>99.99</v>
      </c>
      <c r="I105">
        <v>7</v>
      </c>
      <c r="J105" s="33">
        <v>0</v>
      </c>
      <c r="K105" s="33">
        <v>0</v>
      </c>
      <c r="L105" s="33">
        <v>0</v>
      </c>
      <c r="M105">
        <v>7</v>
      </c>
      <c r="N105">
        <v>1</v>
      </c>
      <c r="O105">
        <v>0</v>
      </c>
      <c r="P105">
        <v>0</v>
      </c>
      <c r="Q105">
        <v>12479</v>
      </c>
      <c r="R105">
        <v>82771</v>
      </c>
      <c r="S105">
        <v>79221</v>
      </c>
      <c r="T105">
        <v>0</v>
      </c>
      <c r="U105">
        <v>86</v>
      </c>
      <c r="V105">
        <v>538</v>
      </c>
      <c r="W105">
        <v>655</v>
      </c>
      <c r="X105" s="23" t="s">
        <v>57</v>
      </c>
      <c r="Y105" s="23">
        <v>0.00689157785078933</v>
      </c>
      <c r="Z105" s="23">
        <v>0.00649986106244941</v>
      </c>
      <c r="AA105" s="23">
        <v>0.00826800974489087</v>
      </c>
      <c r="AB105">
        <v>0</v>
      </c>
      <c r="AC105">
        <v>13.54</v>
      </c>
      <c r="AD105">
        <v>80.08</v>
      </c>
      <c r="AE105">
        <v>97.36</v>
      </c>
      <c r="AF105" s="23" t="s">
        <v>57</v>
      </c>
      <c r="AG105" s="23">
        <v>0.135413541354135</v>
      </c>
      <c r="AH105" s="23" t="s">
        <v>375</v>
      </c>
      <c r="AI105" s="23">
        <v>0.243424342434243</v>
      </c>
      <c r="AJ105">
        <v>245</v>
      </c>
      <c r="AK105">
        <v>333</v>
      </c>
      <c r="AL105">
        <v>709</v>
      </c>
      <c r="AM105">
        <v>823</v>
      </c>
      <c r="AN105" s="23">
        <v>0.00408163265306122</v>
      </c>
      <c r="AO105" s="23">
        <v>0.003003003003003</v>
      </c>
      <c r="AP105" s="23">
        <v>0</v>
      </c>
      <c r="AQ105" s="23">
        <v>0.00486026731470231</v>
      </c>
      <c r="AR105" s="35">
        <v>0.142857142857143</v>
      </c>
      <c r="AS105" s="35">
        <v>8.57142857142857</v>
      </c>
      <c r="AT105" s="35">
        <v>-1.57142857142857</v>
      </c>
      <c r="AU105" s="31">
        <f t="shared" si="5"/>
        <v>49</v>
      </c>
      <c r="AV105" s="36">
        <f>IFERROR(时间!$B$4+AU105,"上周无销量")</f>
        <v>43346</v>
      </c>
    </row>
    <row r="106" spans="1:48">
      <c r="A106" s="19" t="s">
        <v>376</v>
      </c>
      <c r="B106" t="s">
        <v>377</v>
      </c>
      <c r="C106" t="s">
        <v>378</v>
      </c>
      <c r="D106" s="31">
        <v>0</v>
      </c>
      <c r="E106" s="31">
        <v>5</v>
      </c>
      <c r="F106" s="31">
        <v>3</v>
      </c>
      <c r="G106" s="31">
        <v>4</v>
      </c>
      <c r="H106" s="32">
        <v>93.1566666666667</v>
      </c>
      <c r="I106">
        <v>2</v>
      </c>
      <c r="J106" s="33">
        <v>0</v>
      </c>
      <c r="K106" s="33">
        <v>0</v>
      </c>
      <c r="L106" s="33">
        <v>3</v>
      </c>
      <c r="M106">
        <v>5</v>
      </c>
      <c r="N106">
        <v>0</v>
      </c>
      <c r="O106">
        <v>0</v>
      </c>
      <c r="P106">
        <v>17685</v>
      </c>
      <c r="Q106">
        <v>34598</v>
      </c>
      <c r="R106">
        <v>36905</v>
      </c>
      <c r="S106">
        <v>27411</v>
      </c>
      <c r="T106">
        <v>84</v>
      </c>
      <c r="U106">
        <v>157</v>
      </c>
      <c r="V106">
        <v>140</v>
      </c>
      <c r="W106">
        <v>185</v>
      </c>
      <c r="X106" s="23">
        <v>0.00474978795589483</v>
      </c>
      <c r="Y106" s="23">
        <v>0.0045378345569108</v>
      </c>
      <c r="Z106" s="23">
        <v>0.00379352391274895</v>
      </c>
      <c r="AA106" s="23">
        <v>0.00674911531866769</v>
      </c>
      <c r="AB106">
        <v>13.4</v>
      </c>
      <c r="AC106">
        <v>23.61</v>
      </c>
      <c r="AD106">
        <v>20.48</v>
      </c>
      <c r="AE106">
        <v>31.33</v>
      </c>
      <c r="AF106" s="23" t="s">
        <v>379</v>
      </c>
      <c r="AG106" s="23">
        <v>0.0506888038072065</v>
      </c>
      <c r="AH106" s="23">
        <v>0.0732815686835796</v>
      </c>
      <c r="AI106" s="23">
        <v>0.0840787919991412</v>
      </c>
      <c r="AJ106">
        <v>60</v>
      </c>
      <c r="AK106">
        <v>163</v>
      </c>
      <c r="AL106">
        <v>180</v>
      </c>
      <c r="AM106">
        <v>221</v>
      </c>
      <c r="AN106" s="23">
        <v>0</v>
      </c>
      <c r="AO106" s="23">
        <v>0.0306748466257669</v>
      </c>
      <c r="AP106" s="23">
        <v>0.0166666666666667</v>
      </c>
      <c r="AQ106" s="23">
        <v>0.0180995475113122</v>
      </c>
      <c r="AR106" s="35">
        <v>0</v>
      </c>
      <c r="AS106" s="35">
        <v>0</v>
      </c>
      <c r="AT106" s="35">
        <v>5</v>
      </c>
      <c r="AU106" s="31" t="str">
        <f t="shared" si="5"/>
        <v>库存为5</v>
      </c>
      <c r="AV106" s="36" t="str">
        <f>IFERROR(时间!$B$4+AU106,"上周无销量")</f>
        <v>上周无销量</v>
      </c>
    </row>
    <row r="107" spans="1:48">
      <c r="A107" s="19" t="s">
        <v>380</v>
      </c>
      <c r="B107" t="s">
        <v>381</v>
      </c>
      <c r="C107" t="s">
        <v>382</v>
      </c>
      <c r="D107" s="31">
        <v>5</v>
      </c>
      <c r="E107" s="31">
        <v>1</v>
      </c>
      <c r="F107" s="31">
        <v>3</v>
      </c>
      <c r="G107" s="31">
        <v>1</v>
      </c>
      <c r="H107" s="32">
        <v>99.99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>
        <v>52531</v>
      </c>
      <c r="Q107">
        <v>92672</v>
      </c>
      <c r="R107">
        <v>10568</v>
      </c>
      <c r="S107">
        <v>7099</v>
      </c>
      <c r="T107">
        <v>298</v>
      </c>
      <c r="U107">
        <v>479</v>
      </c>
      <c r="V107">
        <v>99</v>
      </c>
      <c r="W107">
        <v>105</v>
      </c>
      <c r="X107" s="23">
        <v>0.00567284079876644</v>
      </c>
      <c r="Y107" s="23">
        <v>0.00516876726519337</v>
      </c>
      <c r="Z107" s="23">
        <v>0.00936790310370931</v>
      </c>
      <c r="AA107" s="23">
        <v>0.0147908156078321</v>
      </c>
      <c r="AB107">
        <v>39.93</v>
      </c>
      <c r="AC107">
        <v>68.35</v>
      </c>
      <c r="AD107">
        <v>11.48</v>
      </c>
      <c r="AE107">
        <v>12.13</v>
      </c>
      <c r="AF107" s="23">
        <v>0.0798679867986799</v>
      </c>
      <c r="AG107" s="23">
        <v>0.683568356835684</v>
      </c>
      <c r="AH107" s="23">
        <v>0.0382704937160383</v>
      </c>
      <c r="AI107" s="23">
        <v>0.121312131213121</v>
      </c>
      <c r="AJ107">
        <v>256</v>
      </c>
      <c r="AK107">
        <v>467</v>
      </c>
      <c r="AL107">
        <v>181</v>
      </c>
      <c r="AM107">
        <v>109</v>
      </c>
      <c r="AN107" s="23">
        <v>0.01953125</v>
      </c>
      <c r="AO107" s="23">
        <v>0.00214132762312634</v>
      </c>
      <c r="AP107" s="23">
        <v>0.0165745856353591</v>
      </c>
      <c r="AQ107" s="23">
        <v>0.00917431192660551</v>
      </c>
      <c r="AR107" s="35">
        <v>0.714285714285714</v>
      </c>
      <c r="AS107" s="35">
        <v>42.8571428571429</v>
      </c>
      <c r="AT107" s="35">
        <v>-42.8571428571429</v>
      </c>
      <c r="AU107" s="31">
        <f t="shared" si="5"/>
        <v>0</v>
      </c>
      <c r="AV107" s="36">
        <f>IFERROR(时间!$B$4+AU107,"上周无销量")</f>
        <v>43297</v>
      </c>
    </row>
    <row r="108" spans="1:48">
      <c r="A108" s="19" t="s">
        <v>383</v>
      </c>
      <c r="B108" t="s">
        <v>384</v>
      </c>
      <c r="C108" t="s">
        <v>385</v>
      </c>
      <c r="D108" s="31">
        <v>3</v>
      </c>
      <c r="E108" s="31">
        <v>0</v>
      </c>
      <c r="F108" s="31">
        <v>1</v>
      </c>
      <c r="G108" s="31">
        <v>0</v>
      </c>
      <c r="H108" s="32">
        <v>89.99</v>
      </c>
      <c r="I108">
        <v>5</v>
      </c>
      <c r="J108" s="33">
        <v>0</v>
      </c>
      <c r="K108" s="33">
        <v>0</v>
      </c>
      <c r="L108" s="33">
        <v>0</v>
      </c>
      <c r="M108">
        <v>5</v>
      </c>
      <c r="N108">
        <v>0</v>
      </c>
      <c r="O108">
        <v>0</v>
      </c>
      <c r="P108">
        <v>74578</v>
      </c>
      <c r="Q108">
        <v>32901</v>
      </c>
      <c r="R108">
        <v>17223</v>
      </c>
      <c r="S108">
        <v>12588</v>
      </c>
      <c r="T108">
        <v>265</v>
      </c>
      <c r="U108">
        <v>131</v>
      </c>
      <c r="V108">
        <v>59</v>
      </c>
      <c r="W108">
        <v>58</v>
      </c>
      <c r="X108" s="23">
        <v>0.00355332671833517</v>
      </c>
      <c r="Y108" s="23">
        <v>0.00398164189538312</v>
      </c>
      <c r="Z108" s="23">
        <v>0.00342565174475991</v>
      </c>
      <c r="AA108" s="23">
        <v>0.0046075627581824</v>
      </c>
      <c r="AB108">
        <v>43.47</v>
      </c>
      <c r="AC108">
        <v>19.6</v>
      </c>
      <c r="AD108">
        <v>7.62</v>
      </c>
      <c r="AE108">
        <v>8.89</v>
      </c>
      <c r="AF108" s="23">
        <v>0.161017890876764</v>
      </c>
      <c r="AG108" s="23" t="s">
        <v>386</v>
      </c>
      <c r="AH108" s="23">
        <v>0.0846760751194577</v>
      </c>
      <c r="AI108" s="23" t="s">
        <v>387</v>
      </c>
      <c r="AJ108">
        <v>231</v>
      </c>
      <c r="AK108">
        <v>96</v>
      </c>
      <c r="AL108">
        <v>59</v>
      </c>
      <c r="AM108">
        <v>78</v>
      </c>
      <c r="AN108" s="23">
        <v>0.012987012987013</v>
      </c>
      <c r="AO108" s="23">
        <v>0</v>
      </c>
      <c r="AP108" s="23">
        <v>0.0169491525423729</v>
      </c>
      <c r="AQ108" s="23">
        <v>0</v>
      </c>
      <c r="AR108" s="35">
        <v>0.428571428571429</v>
      </c>
      <c r="AS108" s="35">
        <v>25.7142857142857</v>
      </c>
      <c r="AT108" s="35">
        <v>-20.7142857142857</v>
      </c>
      <c r="AU108" s="31">
        <f t="shared" si="5"/>
        <v>11</v>
      </c>
      <c r="AV108" s="36">
        <f>IFERROR(时间!$B$4+AU108,"上周无销量")</f>
        <v>43308</v>
      </c>
    </row>
    <row r="109" spans="1:48">
      <c r="A109" s="19" t="s">
        <v>388</v>
      </c>
      <c r="B109" t="s">
        <v>389</v>
      </c>
      <c r="C109" t="s">
        <v>390</v>
      </c>
      <c r="D109" s="31">
        <v>1</v>
      </c>
      <c r="E109" s="31">
        <v>0</v>
      </c>
      <c r="F109" s="31">
        <v>0</v>
      </c>
      <c r="G109" s="31">
        <v>1</v>
      </c>
      <c r="H109" s="32">
        <v>108.99</v>
      </c>
      <c r="I109">
        <v>3</v>
      </c>
      <c r="J109" s="33">
        <v>0</v>
      </c>
      <c r="K109" s="33">
        <v>0</v>
      </c>
      <c r="L109" s="33">
        <v>0</v>
      </c>
      <c r="M109">
        <v>3</v>
      </c>
      <c r="N109">
        <v>1</v>
      </c>
      <c r="O109">
        <v>0</v>
      </c>
      <c r="P109">
        <v>2176</v>
      </c>
      <c r="Q109">
        <v>861</v>
      </c>
      <c r="R109">
        <v>488</v>
      </c>
      <c r="S109">
        <v>141</v>
      </c>
      <c r="T109">
        <v>21</v>
      </c>
      <c r="U109">
        <v>8</v>
      </c>
      <c r="V109">
        <v>7</v>
      </c>
      <c r="W109">
        <v>5</v>
      </c>
      <c r="X109" s="23">
        <v>0.00965073529411765</v>
      </c>
      <c r="Y109" s="23">
        <v>0.00929152148664344</v>
      </c>
      <c r="Z109" s="23">
        <v>0.014344262295082</v>
      </c>
      <c r="AA109" s="23">
        <v>0.0354609929078014</v>
      </c>
      <c r="AB109">
        <v>6.18</v>
      </c>
      <c r="AC109">
        <v>1.99</v>
      </c>
      <c r="AD109">
        <v>1.92</v>
      </c>
      <c r="AE109">
        <v>0.5</v>
      </c>
      <c r="AF109" s="23">
        <v>0.0567024497660336</v>
      </c>
      <c r="AG109" s="23" t="s">
        <v>391</v>
      </c>
      <c r="AH109" s="23" t="s">
        <v>392</v>
      </c>
      <c r="AI109" s="23">
        <v>0.0045875768419121</v>
      </c>
      <c r="AJ109">
        <v>31</v>
      </c>
      <c r="AK109">
        <v>15</v>
      </c>
      <c r="AL109">
        <v>6</v>
      </c>
      <c r="AM109">
        <v>10</v>
      </c>
      <c r="AN109" s="23">
        <v>0.032258064516129</v>
      </c>
      <c r="AO109" s="23">
        <v>0</v>
      </c>
      <c r="AP109" s="23">
        <v>0</v>
      </c>
      <c r="AQ109" s="23">
        <v>0.1</v>
      </c>
      <c r="AR109" s="35">
        <v>0.142857142857143</v>
      </c>
      <c r="AS109" s="35">
        <v>8.57142857142857</v>
      </c>
      <c r="AT109" s="35">
        <v>-5.57142857142857</v>
      </c>
      <c r="AU109" s="31">
        <f t="shared" si="5"/>
        <v>21</v>
      </c>
      <c r="AV109" s="36">
        <f>IFERROR(时间!$B$4+AU109,"上周无销量")</f>
        <v>43318</v>
      </c>
    </row>
    <row r="110" spans="1:48">
      <c r="A110" s="19" t="s">
        <v>393</v>
      </c>
      <c r="B110" t="s">
        <v>394</v>
      </c>
      <c r="C110" t="s">
        <v>395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8</v>
      </c>
      <c r="J110" s="33">
        <v>0</v>
      </c>
      <c r="K110" s="33">
        <v>0</v>
      </c>
      <c r="L110" s="33">
        <v>0</v>
      </c>
      <c r="M110">
        <v>8</v>
      </c>
      <c r="N110">
        <v>0</v>
      </c>
      <c r="O110">
        <v>7</v>
      </c>
      <c r="P110" t="s">
        <v>57</v>
      </c>
      <c r="Q110" t="s">
        <v>57</v>
      </c>
      <c r="R110" t="s">
        <v>57</v>
      </c>
      <c r="S110" t="s">
        <v>57</v>
      </c>
      <c r="T110" t="s">
        <v>57</v>
      </c>
      <c r="U110" t="s">
        <v>57</v>
      </c>
      <c r="V110" t="s">
        <v>57</v>
      </c>
      <c r="W110" t="s">
        <v>57</v>
      </c>
      <c r="X110" s="23" t="s">
        <v>57</v>
      </c>
      <c r="Y110" s="23" t="s">
        <v>57</v>
      </c>
      <c r="Z110" s="23" t="s">
        <v>57</v>
      </c>
      <c r="AA110" s="23" t="s">
        <v>57</v>
      </c>
      <c r="AB110" t="s">
        <v>57</v>
      </c>
      <c r="AC110" t="s">
        <v>57</v>
      </c>
      <c r="AD110" t="s">
        <v>57</v>
      </c>
      <c r="AE110" t="s">
        <v>57</v>
      </c>
      <c r="AF110" s="23" t="s">
        <v>57</v>
      </c>
      <c r="AG110" s="23" t="s">
        <v>57</v>
      </c>
      <c r="AH110" s="23" t="s">
        <v>57</v>
      </c>
      <c r="AI110" s="23" t="s">
        <v>57</v>
      </c>
      <c r="AJ110">
        <v>9</v>
      </c>
      <c r="AK110">
        <v>8</v>
      </c>
      <c r="AL110">
        <v>12</v>
      </c>
      <c r="AM110">
        <v>7</v>
      </c>
      <c r="AN110" s="23">
        <v>0</v>
      </c>
      <c r="AO110" s="23">
        <v>0</v>
      </c>
      <c r="AP110" s="23">
        <v>0</v>
      </c>
      <c r="AQ110" s="23">
        <v>0</v>
      </c>
      <c r="AR110" s="35">
        <v>0</v>
      </c>
      <c r="AS110" s="35">
        <v>0</v>
      </c>
      <c r="AT110" s="35">
        <v>8</v>
      </c>
      <c r="AU110" s="31" t="str">
        <f t="shared" si="5"/>
        <v>库存为8</v>
      </c>
      <c r="AV110" s="36" t="str">
        <f>IFERROR(时间!$B$4+AU110,"上周无销量")</f>
        <v>上周无销量</v>
      </c>
    </row>
    <row r="111" spans="1:48">
      <c r="A111" s="19" t="s">
        <v>396</v>
      </c>
      <c r="B111" t="s">
        <v>397</v>
      </c>
      <c r="C111" t="s">
        <v>395</v>
      </c>
      <c r="D111" s="31">
        <v>1</v>
      </c>
      <c r="E111" s="31">
        <v>0</v>
      </c>
      <c r="F111" s="31">
        <v>0</v>
      </c>
      <c r="G111" s="31">
        <v>0</v>
      </c>
      <c r="H111" s="32">
        <v>32.99</v>
      </c>
      <c r="I111">
        <v>13</v>
      </c>
      <c r="J111" s="33">
        <v>0</v>
      </c>
      <c r="K111" s="33">
        <v>0</v>
      </c>
      <c r="L111" s="33">
        <v>0</v>
      </c>
      <c r="M111">
        <v>13</v>
      </c>
      <c r="N111">
        <v>1</v>
      </c>
      <c r="O111">
        <v>0</v>
      </c>
      <c r="P111" t="s">
        <v>57</v>
      </c>
      <c r="Q111" t="s">
        <v>57</v>
      </c>
      <c r="R111" t="s">
        <v>57</v>
      </c>
      <c r="S111" t="s">
        <v>57</v>
      </c>
      <c r="T111" t="s">
        <v>57</v>
      </c>
      <c r="U111" t="s">
        <v>57</v>
      </c>
      <c r="V111" t="s">
        <v>57</v>
      </c>
      <c r="W111" t="s">
        <v>57</v>
      </c>
      <c r="X111" s="23" t="s">
        <v>57</v>
      </c>
      <c r="Y111" s="23" t="s">
        <v>57</v>
      </c>
      <c r="Z111" s="23" t="s">
        <v>57</v>
      </c>
      <c r="AA111" s="23" t="s">
        <v>57</v>
      </c>
      <c r="AB111" t="s">
        <v>57</v>
      </c>
      <c r="AC111" t="s">
        <v>57</v>
      </c>
      <c r="AD111" t="s">
        <v>57</v>
      </c>
      <c r="AE111" t="s">
        <v>57</v>
      </c>
      <c r="AF111" s="23" t="s">
        <v>57</v>
      </c>
      <c r="AG111" s="23" t="s">
        <v>57</v>
      </c>
      <c r="AH111" s="23" t="s">
        <v>57</v>
      </c>
      <c r="AI111" s="23" t="s">
        <v>57</v>
      </c>
      <c r="AJ111">
        <v>30</v>
      </c>
      <c r="AK111">
        <v>29</v>
      </c>
      <c r="AL111">
        <v>9</v>
      </c>
      <c r="AM111">
        <v>15</v>
      </c>
      <c r="AN111" s="23">
        <v>0.0333333333333333</v>
      </c>
      <c r="AO111" s="23">
        <v>0</v>
      </c>
      <c r="AP111" s="23">
        <v>0</v>
      </c>
      <c r="AQ111" s="23">
        <v>0</v>
      </c>
      <c r="AR111" s="35">
        <v>0.142857142857143</v>
      </c>
      <c r="AS111" s="35">
        <v>8.57142857142857</v>
      </c>
      <c r="AT111" s="35">
        <v>4.42857142857143</v>
      </c>
      <c r="AU111" s="31">
        <f t="shared" si="5"/>
        <v>91</v>
      </c>
      <c r="AV111" s="36">
        <f>IFERROR(时间!$B$4+AU111,"上周无销量")</f>
        <v>43388</v>
      </c>
    </row>
    <row r="112" spans="1:48">
      <c r="A112" s="19" t="s">
        <v>398</v>
      </c>
      <c r="B112" t="s">
        <v>399</v>
      </c>
      <c r="C112" t="s">
        <v>395</v>
      </c>
      <c r="D112" s="31">
        <v>0</v>
      </c>
      <c r="E112" s="31">
        <v>1</v>
      </c>
      <c r="F112" s="31">
        <v>2</v>
      </c>
      <c r="G112" s="31">
        <v>1</v>
      </c>
      <c r="H112" s="32">
        <v>34.99</v>
      </c>
      <c r="I112">
        <v>17</v>
      </c>
      <c r="J112" s="33">
        <v>0</v>
      </c>
      <c r="K112" s="33">
        <v>0</v>
      </c>
      <c r="L112" s="33">
        <v>0</v>
      </c>
      <c r="M112">
        <v>17</v>
      </c>
      <c r="N112">
        <v>0</v>
      </c>
      <c r="O112">
        <v>0</v>
      </c>
      <c r="P112" t="s">
        <v>57</v>
      </c>
      <c r="Q112" t="s">
        <v>57</v>
      </c>
      <c r="R112" t="s">
        <v>57</v>
      </c>
      <c r="S112" t="s">
        <v>57</v>
      </c>
      <c r="T112" t="s">
        <v>57</v>
      </c>
      <c r="U112" t="s">
        <v>57</v>
      </c>
      <c r="V112" t="s">
        <v>57</v>
      </c>
      <c r="W112" t="s">
        <v>57</v>
      </c>
      <c r="X112" s="23" t="s">
        <v>57</v>
      </c>
      <c r="Y112" s="23" t="s">
        <v>57</v>
      </c>
      <c r="Z112" s="23" t="s">
        <v>57</v>
      </c>
      <c r="AA112" s="23" t="s">
        <v>57</v>
      </c>
      <c r="AB112" t="s">
        <v>57</v>
      </c>
      <c r="AC112" t="s">
        <v>57</v>
      </c>
      <c r="AD112" t="s">
        <v>57</v>
      </c>
      <c r="AE112" t="s">
        <v>57</v>
      </c>
      <c r="AF112" s="23" t="s">
        <v>57</v>
      </c>
      <c r="AG112" s="23" t="s">
        <v>57</v>
      </c>
      <c r="AH112" s="23" t="s">
        <v>57</v>
      </c>
      <c r="AI112" s="23" t="s">
        <v>57</v>
      </c>
      <c r="AJ112">
        <v>60</v>
      </c>
      <c r="AK112">
        <v>86</v>
      </c>
      <c r="AL112">
        <v>60</v>
      </c>
      <c r="AM112">
        <v>58</v>
      </c>
      <c r="AN112" s="23">
        <v>0</v>
      </c>
      <c r="AO112" s="23">
        <v>0.0116279069767442</v>
      </c>
      <c r="AP112" s="23">
        <v>0.0333333333333333</v>
      </c>
      <c r="AQ112" s="23">
        <v>0.0172413793103448</v>
      </c>
      <c r="AR112" s="35">
        <v>0</v>
      </c>
      <c r="AS112" s="35">
        <v>0</v>
      </c>
      <c r="AT112" s="35">
        <v>17</v>
      </c>
      <c r="AU112" s="31" t="str">
        <f t="shared" si="5"/>
        <v>库存为17</v>
      </c>
      <c r="AV112" s="36" t="str">
        <f>IFERROR(时间!$B$4+AU112,"上周无销量")</f>
        <v>上周无销量</v>
      </c>
    </row>
    <row r="113" spans="1:48">
      <c r="A113" s="19" t="s">
        <v>400</v>
      </c>
      <c r="B113" t="s">
        <v>401</v>
      </c>
      <c r="C113" t="s">
        <v>395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3</v>
      </c>
      <c r="J113" s="33">
        <v>0</v>
      </c>
      <c r="K113" s="33">
        <v>0</v>
      </c>
      <c r="L113" s="33">
        <v>0</v>
      </c>
      <c r="M113">
        <v>3</v>
      </c>
      <c r="N113">
        <v>0</v>
      </c>
      <c r="O113">
        <v>0</v>
      </c>
      <c r="P113">
        <v>457</v>
      </c>
      <c r="Q113">
        <v>271</v>
      </c>
      <c r="R113">
        <v>423</v>
      </c>
      <c r="S113">
        <v>221</v>
      </c>
      <c r="T113">
        <v>6</v>
      </c>
      <c r="U113">
        <v>6</v>
      </c>
      <c r="V113">
        <v>4</v>
      </c>
      <c r="W113">
        <v>2</v>
      </c>
      <c r="X113" s="23">
        <v>0.0131291028446389</v>
      </c>
      <c r="Y113" s="23">
        <v>0.022140221402214</v>
      </c>
      <c r="Z113" s="23">
        <v>0.00945626477541371</v>
      </c>
      <c r="AA113" s="23">
        <v>0.00904977375565611</v>
      </c>
      <c r="AB113">
        <v>2.31</v>
      </c>
      <c r="AC113">
        <v>1.77</v>
      </c>
      <c r="AD113">
        <v>2.14</v>
      </c>
      <c r="AE113">
        <v>0.25</v>
      </c>
      <c r="AF113" s="23" t="s">
        <v>402</v>
      </c>
      <c r="AG113" s="23" t="s">
        <v>403</v>
      </c>
      <c r="AH113" s="23" t="s">
        <v>404</v>
      </c>
      <c r="AI113" s="23" t="s">
        <v>405</v>
      </c>
      <c r="AJ113">
        <v>9</v>
      </c>
      <c r="AK113">
        <v>16</v>
      </c>
      <c r="AL113">
        <v>4</v>
      </c>
      <c r="AM113">
        <v>5</v>
      </c>
      <c r="AN113" s="23">
        <v>0</v>
      </c>
      <c r="AO113" s="23">
        <v>0</v>
      </c>
      <c r="AP113" s="23">
        <v>0</v>
      </c>
      <c r="AQ113" s="23">
        <v>0</v>
      </c>
      <c r="AR113" s="35">
        <v>0</v>
      </c>
      <c r="AS113" s="35">
        <v>0</v>
      </c>
      <c r="AT113" s="35">
        <v>3</v>
      </c>
      <c r="AU113" s="31" t="str">
        <f t="shared" si="5"/>
        <v>库存为3</v>
      </c>
      <c r="AV113" s="36" t="str">
        <f>IFERROR(时间!$B$4+AU113,"上周无销量")</f>
        <v>上周无销量</v>
      </c>
    </row>
    <row r="114" spans="1:48">
      <c r="A114" s="19" t="s">
        <v>406</v>
      </c>
      <c r="B114" t="s">
        <v>407</v>
      </c>
      <c r="C114" t="s">
        <v>408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3</v>
      </c>
      <c r="J114" s="33">
        <v>0</v>
      </c>
      <c r="K114" s="33">
        <v>0</v>
      </c>
      <c r="L114" s="33">
        <v>0</v>
      </c>
      <c r="M114">
        <v>3</v>
      </c>
      <c r="N114">
        <v>0</v>
      </c>
      <c r="O114">
        <v>0</v>
      </c>
      <c r="P114">
        <v>1985</v>
      </c>
      <c r="Q114">
        <v>553</v>
      </c>
      <c r="R114">
        <v>235</v>
      </c>
      <c r="S114">
        <v>39</v>
      </c>
      <c r="T114">
        <v>9</v>
      </c>
      <c r="U114">
        <v>3</v>
      </c>
      <c r="V114">
        <v>1</v>
      </c>
      <c r="W114">
        <v>0</v>
      </c>
      <c r="X114" s="23">
        <v>0.00453400503778338</v>
      </c>
      <c r="Y114" s="23">
        <v>0.0054249547920434</v>
      </c>
      <c r="Z114" s="23">
        <v>0.00425531914893617</v>
      </c>
      <c r="AA114" s="23">
        <v>0</v>
      </c>
      <c r="AB114">
        <v>3.76</v>
      </c>
      <c r="AC114">
        <v>0.51</v>
      </c>
      <c r="AD114">
        <v>0.27</v>
      </c>
      <c r="AE114">
        <v>0</v>
      </c>
      <c r="AF114" s="23" t="s">
        <v>409</v>
      </c>
      <c r="AG114" s="23" t="s">
        <v>410</v>
      </c>
      <c r="AH114" s="23" t="s">
        <v>411</v>
      </c>
      <c r="AI114" s="23" t="s">
        <v>57</v>
      </c>
      <c r="AJ114">
        <v>8</v>
      </c>
      <c r="AK114">
        <v>2</v>
      </c>
      <c r="AL114">
        <v>0</v>
      </c>
      <c r="AM114">
        <v>3</v>
      </c>
      <c r="AN114" s="23">
        <v>0</v>
      </c>
      <c r="AO114" s="23">
        <v>0</v>
      </c>
      <c r="AP114" s="23" t="s">
        <v>57</v>
      </c>
      <c r="AQ114" s="23">
        <v>0</v>
      </c>
      <c r="AR114" s="35">
        <v>0</v>
      </c>
      <c r="AS114" s="35">
        <v>0</v>
      </c>
      <c r="AT114" s="35">
        <v>3</v>
      </c>
      <c r="AU114" s="31" t="str">
        <f t="shared" si="5"/>
        <v>库存为3</v>
      </c>
      <c r="AV114" s="36" t="str">
        <f>IFERROR(时间!$B$4+AU114,"上周无销量")</f>
        <v>上周无销量</v>
      </c>
    </row>
    <row r="115" spans="1:48">
      <c r="A115" s="19" t="s">
        <v>412</v>
      </c>
      <c r="B115" t="s">
        <v>413</v>
      </c>
      <c r="C115" t="s">
        <v>414</v>
      </c>
      <c r="D115" s="31">
        <v>9</v>
      </c>
      <c r="E115" s="31">
        <v>5</v>
      </c>
      <c r="F115" s="31">
        <v>2</v>
      </c>
      <c r="G115" s="31">
        <v>1</v>
      </c>
      <c r="H115" s="32">
        <v>108.99</v>
      </c>
      <c r="I115">
        <v>4</v>
      </c>
      <c r="J115" s="33">
        <v>0</v>
      </c>
      <c r="K115" s="33">
        <v>0</v>
      </c>
      <c r="L115" s="33">
        <v>1</v>
      </c>
      <c r="M115">
        <v>5</v>
      </c>
      <c r="N115">
        <v>0</v>
      </c>
      <c r="O115">
        <v>0</v>
      </c>
      <c r="P115">
        <v>24766</v>
      </c>
      <c r="Q115">
        <v>20220</v>
      </c>
      <c r="R115">
        <v>9021</v>
      </c>
      <c r="S115">
        <v>10190</v>
      </c>
      <c r="T115">
        <v>107</v>
      </c>
      <c r="U115">
        <v>49</v>
      </c>
      <c r="V115">
        <v>29</v>
      </c>
      <c r="W115">
        <v>59</v>
      </c>
      <c r="X115" s="23">
        <v>0.00432043931195995</v>
      </c>
      <c r="Y115" s="23">
        <v>0.00242334322453017</v>
      </c>
      <c r="Z115" s="23">
        <v>0.00321472120607471</v>
      </c>
      <c r="AA115" s="23">
        <v>0.00578999018645731</v>
      </c>
      <c r="AB115">
        <v>16.71</v>
      </c>
      <c r="AC115">
        <v>6.97</v>
      </c>
      <c r="AD115">
        <v>4.02</v>
      </c>
      <c r="AE115">
        <v>11.27</v>
      </c>
      <c r="AF115" s="23">
        <v>0.0170352020063003</v>
      </c>
      <c r="AG115" s="23">
        <v>0.0127901642352509</v>
      </c>
      <c r="AH115" s="23">
        <v>0.0184420589044866</v>
      </c>
      <c r="AI115" s="23">
        <v>0.103403982016699</v>
      </c>
      <c r="AJ115">
        <v>190</v>
      </c>
      <c r="AK115">
        <v>120</v>
      </c>
      <c r="AL115">
        <v>59</v>
      </c>
      <c r="AM115">
        <v>75</v>
      </c>
      <c r="AN115" s="23">
        <v>0.0473684210526316</v>
      </c>
      <c r="AO115" s="23">
        <v>0.0416666666666667</v>
      </c>
      <c r="AP115" s="23">
        <v>0.0338983050847458</v>
      </c>
      <c r="AQ115" s="23">
        <v>0.0133333333333333</v>
      </c>
      <c r="AR115" s="35">
        <v>1.28571428571429</v>
      </c>
      <c r="AS115" s="35">
        <v>77.1428571428572</v>
      </c>
      <c r="AT115" s="35">
        <v>-72.1428571428572</v>
      </c>
      <c r="AU115" s="31">
        <f t="shared" si="5"/>
        <v>3</v>
      </c>
      <c r="AV115" s="36">
        <f>IFERROR(时间!$B$4+AU115,"上周无销量")</f>
        <v>43300</v>
      </c>
    </row>
    <row r="116" spans="1:48">
      <c r="A116" s="19" t="s">
        <v>415</v>
      </c>
      <c r="B116" t="s">
        <v>416</v>
      </c>
      <c r="C116" t="s">
        <v>417</v>
      </c>
      <c r="D116" s="31">
        <v>1</v>
      </c>
      <c r="E116" s="31">
        <v>0</v>
      </c>
      <c r="F116" s="31">
        <v>0</v>
      </c>
      <c r="G116" s="31">
        <v>0</v>
      </c>
      <c r="H116" s="32">
        <v>108.99</v>
      </c>
      <c r="I116">
        <v>6</v>
      </c>
      <c r="J116" s="33">
        <v>0</v>
      </c>
      <c r="K116" s="33">
        <v>0</v>
      </c>
      <c r="L116" s="33">
        <v>0</v>
      </c>
      <c r="M116">
        <v>6</v>
      </c>
      <c r="N116">
        <v>0</v>
      </c>
      <c r="O116">
        <v>0</v>
      </c>
      <c r="P116">
        <v>27938</v>
      </c>
      <c r="Q116">
        <v>0</v>
      </c>
      <c r="R116">
        <v>0</v>
      </c>
      <c r="S116">
        <v>0</v>
      </c>
      <c r="T116">
        <v>105</v>
      </c>
      <c r="U116">
        <v>0</v>
      </c>
      <c r="V116">
        <v>0</v>
      </c>
      <c r="W116">
        <v>0</v>
      </c>
      <c r="X116" s="23">
        <v>0.00375832199871143</v>
      </c>
      <c r="Y116" s="23" t="s">
        <v>57</v>
      </c>
      <c r="Z116" s="23" t="s">
        <v>57</v>
      </c>
      <c r="AA116" s="23" t="s">
        <v>57</v>
      </c>
      <c r="AB116">
        <v>16.87</v>
      </c>
      <c r="AC116">
        <v>0</v>
      </c>
      <c r="AD116">
        <v>0</v>
      </c>
      <c r="AE116">
        <v>0</v>
      </c>
      <c r="AF116" s="23">
        <v>0.154784842646114</v>
      </c>
      <c r="AG116" s="23" t="s">
        <v>57</v>
      </c>
      <c r="AH116" s="23" t="s">
        <v>57</v>
      </c>
      <c r="AI116" s="23" t="s">
        <v>57</v>
      </c>
      <c r="AJ116">
        <v>101</v>
      </c>
      <c r="AK116">
        <v>17</v>
      </c>
      <c r="AL116">
        <v>9</v>
      </c>
      <c r="AM116">
        <v>0</v>
      </c>
      <c r="AN116" s="23">
        <v>0.0099009900990099</v>
      </c>
      <c r="AO116" s="23">
        <v>0</v>
      </c>
      <c r="AP116" s="23">
        <v>0</v>
      </c>
      <c r="AQ116" s="23" t="s">
        <v>57</v>
      </c>
      <c r="AR116" s="35">
        <v>0.142857142857143</v>
      </c>
      <c r="AS116" s="35">
        <v>8.57142857142857</v>
      </c>
      <c r="AT116" s="35">
        <v>-2.57142857142857</v>
      </c>
      <c r="AU116" s="31">
        <f t="shared" si="5"/>
        <v>42</v>
      </c>
      <c r="AV116" s="36">
        <f>IFERROR(时间!$B$4+AU116,"上周无销量")</f>
        <v>43339</v>
      </c>
    </row>
    <row r="117" spans="1:48">
      <c r="A117" s="19" t="s">
        <v>418</v>
      </c>
      <c r="B117" t="s">
        <v>419</v>
      </c>
      <c r="C117" t="s">
        <v>420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57</v>
      </c>
      <c r="Q117" t="s">
        <v>57</v>
      </c>
      <c r="R117" t="s">
        <v>57</v>
      </c>
      <c r="S117" t="s">
        <v>57</v>
      </c>
      <c r="T117" t="s">
        <v>57</v>
      </c>
      <c r="U117" t="s">
        <v>57</v>
      </c>
      <c r="V117" t="s">
        <v>57</v>
      </c>
      <c r="W117" t="s">
        <v>57</v>
      </c>
      <c r="X117" s="23" t="s">
        <v>57</v>
      </c>
      <c r="Y117" s="23" t="s">
        <v>57</v>
      </c>
      <c r="Z117" s="23" t="s">
        <v>57</v>
      </c>
      <c r="AA117" s="23" t="s">
        <v>57</v>
      </c>
      <c r="AB117" t="s">
        <v>57</v>
      </c>
      <c r="AC117" t="s">
        <v>57</v>
      </c>
      <c r="AD117" t="s">
        <v>57</v>
      </c>
      <c r="AE117" t="s">
        <v>57</v>
      </c>
      <c r="AF117" s="23" t="s">
        <v>57</v>
      </c>
      <c r="AG117" s="23" t="s">
        <v>57</v>
      </c>
      <c r="AH117" s="23" t="s">
        <v>57</v>
      </c>
      <c r="AI117" s="23" t="s">
        <v>57</v>
      </c>
      <c r="AJ117">
        <v>0</v>
      </c>
      <c r="AK117">
        <v>0</v>
      </c>
      <c r="AL117">
        <v>0</v>
      </c>
      <c r="AM117">
        <v>0</v>
      </c>
      <c r="AN117" s="23" t="s">
        <v>57</v>
      </c>
      <c r="AO117" s="23" t="s">
        <v>57</v>
      </c>
      <c r="AP117" s="23" t="s">
        <v>57</v>
      </c>
      <c r="AQ117" s="23" t="s">
        <v>57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19" t="s">
        <v>421</v>
      </c>
      <c r="B118" t="s">
        <v>422</v>
      </c>
      <c r="C118" t="s">
        <v>423</v>
      </c>
      <c r="D118" s="31">
        <v>3</v>
      </c>
      <c r="E118" s="31">
        <v>1</v>
      </c>
      <c r="F118" s="31">
        <v>5</v>
      </c>
      <c r="G118" s="31">
        <v>2</v>
      </c>
      <c r="H118" s="32">
        <v>89.99</v>
      </c>
      <c r="I118">
        <v>12</v>
      </c>
      <c r="J118" s="33">
        <v>0</v>
      </c>
      <c r="K118" s="33">
        <v>0</v>
      </c>
      <c r="L118" s="33">
        <v>4</v>
      </c>
      <c r="M118">
        <v>16</v>
      </c>
      <c r="N118">
        <v>0</v>
      </c>
      <c r="O118">
        <v>0</v>
      </c>
      <c r="P118" t="s">
        <v>57</v>
      </c>
      <c r="Q118" t="s">
        <v>57</v>
      </c>
      <c r="R118" t="s">
        <v>57</v>
      </c>
      <c r="S118" t="s">
        <v>57</v>
      </c>
      <c r="T118" t="s">
        <v>57</v>
      </c>
      <c r="U118" t="s">
        <v>57</v>
      </c>
      <c r="V118" t="s">
        <v>57</v>
      </c>
      <c r="W118" t="s">
        <v>57</v>
      </c>
      <c r="X118" s="23" t="s">
        <v>57</v>
      </c>
      <c r="Y118" s="23" t="s">
        <v>57</v>
      </c>
      <c r="Z118" s="23" t="s">
        <v>57</v>
      </c>
      <c r="AA118" s="23" t="s">
        <v>57</v>
      </c>
      <c r="AB118" t="s">
        <v>57</v>
      </c>
      <c r="AC118" t="s">
        <v>57</v>
      </c>
      <c r="AD118" t="s">
        <v>57</v>
      </c>
      <c r="AE118" t="s">
        <v>57</v>
      </c>
      <c r="AF118" s="23" t="s">
        <v>57</v>
      </c>
      <c r="AG118" s="23" t="s">
        <v>57</v>
      </c>
      <c r="AH118" s="23" t="s">
        <v>57</v>
      </c>
      <c r="AI118" s="23" t="s">
        <v>57</v>
      </c>
      <c r="AJ118">
        <v>100</v>
      </c>
      <c r="AK118">
        <v>81</v>
      </c>
      <c r="AL118">
        <v>82</v>
      </c>
      <c r="AM118">
        <v>47</v>
      </c>
      <c r="AN118" s="23">
        <v>0.03</v>
      </c>
      <c r="AO118" s="23">
        <v>0.0123456790123457</v>
      </c>
      <c r="AP118" s="23">
        <v>0.0609756097560976</v>
      </c>
      <c r="AQ118" s="23">
        <v>0.0425531914893617</v>
      </c>
      <c r="AR118" s="35">
        <v>0.428571428571429</v>
      </c>
      <c r="AS118" s="35">
        <v>25.7142857142857</v>
      </c>
      <c r="AT118" s="35">
        <v>-9.71428571428571</v>
      </c>
      <c r="AU118" s="31">
        <f t="shared" si="5"/>
        <v>37</v>
      </c>
      <c r="AV118" s="36">
        <f>IFERROR(时间!$B$4+AU118,"上周无销量")</f>
        <v>43334</v>
      </c>
    </row>
    <row r="119" spans="1:48">
      <c r="A119" s="19" t="s">
        <v>424</v>
      </c>
      <c r="B119" t="s">
        <v>425</v>
      </c>
      <c r="C119" t="s">
        <v>426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57</v>
      </c>
      <c r="Q119" t="s">
        <v>57</v>
      </c>
      <c r="R119" t="s">
        <v>57</v>
      </c>
      <c r="S119" t="s">
        <v>57</v>
      </c>
      <c r="T119" t="s">
        <v>57</v>
      </c>
      <c r="U119" t="s">
        <v>57</v>
      </c>
      <c r="V119" t="s">
        <v>57</v>
      </c>
      <c r="W119" t="s">
        <v>57</v>
      </c>
      <c r="X119" s="23" t="s">
        <v>57</v>
      </c>
      <c r="Y119" s="23" t="s">
        <v>57</v>
      </c>
      <c r="Z119" s="23" t="s">
        <v>57</v>
      </c>
      <c r="AA119" s="23" t="s">
        <v>57</v>
      </c>
      <c r="AB119" t="s">
        <v>57</v>
      </c>
      <c r="AC119" t="s">
        <v>57</v>
      </c>
      <c r="AD119" t="s">
        <v>57</v>
      </c>
      <c r="AE119" t="s">
        <v>57</v>
      </c>
      <c r="AF119" s="23" t="s">
        <v>57</v>
      </c>
      <c r="AG119" s="23" t="s">
        <v>57</v>
      </c>
      <c r="AH119" s="23" t="s">
        <v>57</v>
      </c>
      <c r="AI119" s="23" t="s">
        <v>57</v>
      </c>
      <c r="AJ119">
        <v>33</v>
      </c>
      <c r="AK119">
        <v>12</v>
      </c>
      <c r="AL119">
        <v>21</v>
      </c>
      <c r="AM119">
        <v>29</v>
      </c>
      <c r="AN119" s="23">
        <v>0</v>
      </c>
      <c r="AO119" s="23">
        <v>0</v>
      </c>
      <c r="AP119" s="23">
        <v>0</v>
      </c>
      <c r="AQ119" s="23">
        <v>0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19" t="s">
        <v>427</v>
      </c>
      <c r="B120" t="s">
        <v>428</v>
      </c>
      <c r="C120" t="s">
        <v>429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8</v>
      </c>
      <c r="J120" s="33">
        <v>0</v>
      </c>
      <c r="K120" s="33">
        <v>0</v>
      </c>
      <c r="L120" s="33">
        <v>0</v>
      </c>
      <c r="M120">
        <v>8</v>
      </c>
      <c r="N120">
        <v>0</v>
      </c>
      <c r="O120">
        <v>8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s="23" t="s">
        <v>57</v>
      </c>
      <c r="Y120" s="23" t="s">
        <v>57</v>
      </c>
      <c r="Z120" s="23" t="s">
        <v>57</v>
      </c>
      <c r="AA120" s="23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23" t="s">
        <v>57</v>
      </c>
      <c r="AG120" s="23" t="s">
        <v>57</v>
      </c>
      <c r="AH120" s="23" t="s">
        <v>57</v>
      </c>
      <c r="AI120" s="23" t="s">
        <v>57</v>
      </c>
      <c r="AJ120">
        <v>48</v>
      </c>
      <c r="AK120">
        <v>75</v>
      </c>
      <c r="AL120">
        <v>64</v>
      </c>
      <c r="AM120">
        <v>69</v>
      </c>
      <c r="AN120" s="23">
        <v>0</v>
      </c>
      <c r="AO120" s="23">
        <v>0</v>
      </c>
      <c r="AP120" s="23">
        <v>0</v>
      </c>
      <c r="AQ120" s="23">
        <v>0</v>
      </c>
      <c r="AR120" s="35">
        <v>0</v>
      </c>
      <c r="AS120" s="35">
        <v>0</v>
      </c>
      <c r="AT120" s="35">
        <v>8</v>
      </c>
      <c r="AU120" s="31" t="str">
        <f t="shared" si="5"/>
        <v>库存为8</v>
      </c>
      <c r="AV120" s="36" t="str">
        <f>IFERROR(时间!$B$4+AU120,"上周无销量")</f>
        <v>上周无销量</v>
      </c>
    </row>
    <row r="121" spans="1:48">
      <c r="A121" s="19" t="s">
        <v>430</v>
      </c>
      <c r="B121" t="s">
        <v>431</v>
      </c>
      <c r="C121" t="s">
        <v>429</v>
      </c>
      <c r="D121" s="31">
        <v>0</v>
      </c>
      <c r="E121" s="31">
        <v>1</v>
      </c>
      <c r="F121" s="31">
        <v>1</v>
      </c>
      <c r="G121" s="31">
        <v>0</v>
      </c>
      <c r="H121" s="32">
        <v>106.99</v>
      </c>
      <c r="I121">
        <v>11</v>
      </c>
      <c r="J121" s="33">
        <v>0</v>
      </c>
      <c r="K121" s="33">
        <v>0</v>
      </c>
      <c r="L121" s="33">
        <v>0</v>
      </c>
      <c r="M121">
        <v>11</v>
      </c>
      <c r="N121">
        <v>0</v>
      </c>
      <c r="O121">
        <v>0</v>
      </c>
      <c r="P121">
        <v>4</v>
      </c>
      <c r="Q121">
        <v>0</v>
      </c>
      <c r="R121">
        <v>4</v>
      </c>
      <c r="S121">
        <v>2</v>
      </c>
      <c r="T121">
        <v>0</v>
      </c>
      <c r="U121">
        <v>0</v>
      </c>
      <c r="V121">
        <v>0</v>
      </c>
      <c r="W121">
        <v>0</v>
      </c>
      <c r="X121" s="23">
        <v>0</v>
      </c>
      <c r="Y121" s="23" t="s">
        <v>57</v>
      </c>
      <c r="Z121" s="23">
        <v>0</v>
      </c>
      <c r="AA121" s="23">
        <v>0</v>
      </c>
      <c r="AB121">
        <v>0</v>
      </c>
      <c r="AC121">
        <v>0</v>
      </c>
      <c r="AD121">
        <v>0</v>
      </c>
      <c r="AE121">
        <v>0</v>
      </c>
      <c r="AF121" s="23" t="s">
        <v>57</v>
      </c>
      <c r="AG121" s="23" t="s">
        <v>57</v>
      </c>
      <c r="AH121" s="23" t="s">
        <v>57</v>
      </c>
      <c r="AI121" s="23" t="s">
        <v>57</v>
      </c>
      <c r="AJ121">
        <v>61</v>
      </c>
      <c r="AK121">
        <v>55</v>
      </c>
      <c r="AL121">
        <v>40</v>
      </c>
      <c r="AM121">
        <v>37</v>
      </c>
      <c r="AN121" s="23">
        <v>0</v>
      </c>
      <c r="AO121" s="23">
        <v>0.0181818181818182</v>
      </c>
      <c r="AP121" s="23">
        <v>0.025</v>
      </c>
      <c r="AQ121" s="23">
        <v>0</v>
      </c>
      <c r="AR121" s="35">
        <v>0</v>
      </c>
      <c r="AS121" s="35">
        <v>0</v>
      </c>
      <c r="AT121" s="35">
        <v>11</v>
      </c>
      <c r="AU121" s="31" t="str">
        <f t="shared" si="5"/>
        <v>库存为11</v>
      </c>
      <c r="AV121" s="36" t="str">
        <f>IFERROR(时间!$B$4+AU121,"上周无销量")</f>
        <v>上周无销量</v>
      </c>
    </row>
    <row r="122" spans="1:48">
      <c r="A122" s="19" t="s">
        <v>432</v>
      </c>
      <c r="B122" t="s">
        <v>433</v>
      </c>
      <c r="C122" t="s">
        <v>434</v>
      </c>
      <c r="D122" s="31">
        <v>0</v>
      </c>
      <c r="E122" s="31">
        <v>1</v>
      </c>
      <c r="F122" s="31">
        <v>0</v>
      </c>
      <c r="G122" s="31">
        <v>0</v>
      </c>
      <c r="H122" s="32">
        <v>32.99</v>
      </c>
      <c r="I122">
        <v>13</v>
      </c>
      <c r="J122" s="33">
        <v>0</v>
      </c>
      <c r="K122" s="33">
        <v>0</v>
      </c>
      <c r="L122" s="33">
        <v>0</v>
      </c>
      <c r="M122">
        <v>13</v>
      </c>
      <c r="N122">
        <v>0</v>
      </c>
      <c r="O122">
        <v>13</v>
      </c>
      <c r="P122" t="s">
        <v>57</v>
      </c>
      <c r="Q122" t="s">
        <v>57</v>
      </c>
      <c r="R122" t="s">
        <v>57</v>
      </c>
      <c r="S122" t="s">
        <v>57</v>
      </c>
      <c r="T122" t="s">
        <v>57</v>
      </c>
      <c r="U122" t="s">
        <v>57</v>
      </c>
      <c r="V122" t="s">
        <v>57</v>
      </c>
      <c r="W122" t="s">
        <v>57</v>
      </c>
      <c r="X122" s="23" t="s">
        <v>57</v>
      </c>
      <c r="Y122" s="23" t="s">
        <v>57</v>
      </c>
      <c r="Z122" s="23" t="s">
        <v>57</v>
      </c>
      <c r="AA122" s="23" t="s">
        <v>57</v>
      </c>
      <c r="AB122" t="s">
        <v>57</v>
      </c>
      <c r="AC122" t="s">
        <v>57</v>
      </c>
      <c r="AD122" t="s">
        <v>57</v>
      </c>
      <c r="AE122" t="s">
        <v>57</v>
      </c>
      <c r="AF122" s="23" t="s">
        <v>57</v>
      </c>
      <c r="AG122" s="23" t="s">
        <v>57</v>
      </c>
      <c r="AH122" s="23" t="s">
        <v>57</v>
      </c>
      <c r="AI122" s="23" t="s">
        <v>57</v>
      </c>
      <c r="AJ122">
        <v>15</v>
      </c>
      <c r="AK122">
        <v>29</v>
      </c>
      <c r="AL122">
        <v>47</v>
      </c>
      <c r="AM122">
        <v>38</v>
      </c>
      <c r="AN122" s="23">
        <v>0</v>
      </c>
      <c r="AO122" s="23">
        <v>0.0344827586206897</v>
      </c>
      <c r="AP122" s="23">
        <v>0</v>
      </c>
      <c r="AQ122" s="23">
        <v>0</v>
      </c>
      <c r="AR122" s="35">
        <v>0</v>
      </c>
      <c r="AS122" s="35">
        <v>0</v>
      </c>
      <c r="AT122" s="35">
        <v>13</v>
      </c>
      <c r="AU122" s="31" t="str">
        <f t="shared" si="5"/>
        <v>库存为13</v>
      </c>
      <c r="AV122" s="36" t="str">
        <f>IFERROR(时间!$B$4+AU122,"上周无销量")</f>
        <v>上周无销量</v>
      </c>
    </row>
    <row r="123" spans="1:48">
      <c r="A123" s="19" t="s">
        <v>435</v>
      </c>
      <c r="B123" t="s">
        <v>433</v>
      </c>
      <c r="C123" t="s">
        <v>434</v>
      </c>
      <c r="D123" s="31">
        <v>0</v>
      </c>
      <c r="E123" s="31">
        <v>0</v>
      </c>
      <c r="F123" s="31">
        <v>0</v>
      </c>
      <c r="G123" s="31">
        <v>1</v>
      </c>
      <c r="H123" s="32">
        <v>32.99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3" t="s">
        <v>57</v>
      </c>
      <c r="Y123" s="23" t="s">
        <v>57</v>
      </c>
      <c r="Z123" s="23" t="s">
        <v>57</v>
      </c>
      <c r="AA123" s="23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3" t="s">
        <v>57</v>
      </c>
      <c r="AG123" s="23" t="s">
        <v>57</v>
      </c>
      <c r="AH123" s="23" t="s">
        <v>57</v>
      </c>
      <c r="AI123" s="23" t="s">
        <v>57</v>
      </c>
      <c r="AJ123">
        <v>15</v>
      </c>
      <c r="AK123">
        <v>29</v>
      </c>
      <c r="AL123">
        <v>47</v>
      </c>
      <c r="AM123">
        <v>38</v>
      </c>
      <c r="AN123" s="23">
        <v>0</v>
      </c>
      <c r="AO123" s="23">
        <v>0</v>
      </c>
      <c r="AP123" s="23">
        <v>0</v>
      </c>
      <c r="AQ123" s="23">
        <v>0.0263157894736842</v>
      </c>
      <c r="AR123" s="35">
        <v>0</v>
      </c>
      <c r="AS123" s="35">
        <v>0</v>
      </c>
      <c r="AT123" s="35">
        <v>0</v>
      </c>
      <c r="AU123" s="31" t="str">
        <f t="shared" si="5"/>
        <v>库存为0</v>
      </c>
      <c r="AV123" s="36" t="str">
        <f>IFERROR(时间!$B$4+AU123,"上周无销量")</f>
        <v>上周无销量</v>
      </c>
    </row>
    <row r="124" spans="1:48">
      <c r="A124" s="19" t="s">
        <v>436</v>
      </c>
      <c r="B124" t="s">
        <v>437</v>
      </c>
      <c r="C124" t="s">
        <v>434</v>
      </c>
      <c r="D124" s="31">
        <v>4</v>
      </c>
      <c r="E124" s="31">
        <v>5</v>
      </c>
      <c r="F124" s="31">
        <v>4</v>
      </c>
      <c r="G124" s="31">
        <v>2</v>
      </c>
      <c r="H124" s="32">
        <v>32.99</v>
      </c>
      <c r="I124">
        <v>16</v>
      </c>
      <c r="J124" s="33">
        <v>0</v>
      </c>
      <c r="K124" s="33">
        <v>0</v>
      </c>
      <c r="L124" s="33">
        <v>0</v>
      </c>
      <c r="M124">
        <v>16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s="23" t="s">
        <v>57</v>
      </c>
      <c r="Y124" s="23" t="s">
        <v>57</v>
      </c>
      <c r="Z124" s="23" t="s">
        <v>57</v>
      </c>
      <c r="AA124" s="23" t="s">
        <v>57</v>
      </c>
      <c r="AB124">
        <v>0</v>
      </c>
      <c r="AC124">
        <v>0</v>
      </c>
      <c r="AD124">
        <v>0</v>
      </c>
      <c r="AE124">
        <v>0</v>
      </c>
      <c r="AF124" s="23" t="s">
        <v>57</v>
      </c>
      <c r="AG124" s="23" t="s">
        <v>57</v>
      </c>
      <c r="AH124" s="23" t="s">
        <v>57</v>
      </c>
      <c r="AI124" s="23" t="s">
        <v>57</v>
      </c>
      <c r="AJ124">
        <v>212</v>
      </c>
      <c r="AK124">
        <v>126</v>
      </c>
      <c r="AL124">
        <v>155</v>
      </c>
      <c r="AM124">
        <v>92</v>
      </c>
      <c r="AN124" s="23">
        <v>0.0188679245283019</v>
      </c>
      <c r="AO124" s="23">
        <v>0.0396825396825397</v>
      </c>
      <c r="AP124" s="23">
        <v>0.0258064516129032</v>
      </c>
      <c r="AQ124" s="23">
        <v>0.0217391304347826</v>
      </c>
      <c r="AR124" s="35">
        <v>0.571428571428571</v>
      </c>
      <c r="AS124" s="35">
        <v>34.2857142857143</v>
      </c>
      <c r="AT124" s="35">
        <v>-18.2857142857143</v>
      </c>
      <c r="AU124" s="31">
        <f t="shared" si="5"/>
        <v>28</v>
      </c>
      <c r="AV124" s="36">
        <f>IFERROR(时间!$B$4+AU124,"上周无销量")</f>
        <v>43325</v>
      </c>
    </row>
    <row r="125" spans="1:48">
      <c r="A125" s="19" t="s">
        <v>438</v>
      </c>
      <c r="B125" t="s">
        <v>439</v>
      </c>
      <c r="C125" t="s">
        <v>440</v>
      </c>
      <c r="D125" s="31">
        <v>3</v>
      </c>
      <c r="E125" s="31">
        <v>2</v>
      </c>
      <c r="F125" s="31">
        <v>2</v>
      </c>
      <c r="G125" s="31">
        <v>0</v>
      </c>
      <c r="H125" s="32">
        <v>26.99</v>
      </c>
      <c r="I125">
        <v>9</v>
      </c>
      <c r="J125" s="33">
        <v>0</v>
      </c>
      <c r="K125" s="33">
        <v>0</v>
      </c>
      <c r="L125" s="33">
        <v>0</v>
      </c>
      <c r="M125">
        <v>9</v>
      </c>
      <c r="N125">
        <v>0</v>
      </c>
      <c r="O125">
        <v>6</v>
      </c>
      <c r="P125">
        <v>0</v>
      </c>
      <c r="Q125">
        <v>9719</v>
      </c>
      <c r="R125">
        <v>84141</v>
      </c>
      <c r="S125">
        <v>56796</v>
      </c>
      <c r="T125">
        <v>0</v>
      </c>
      <c r="U125">
        <v>58</v>
      </c>
      <c r="V125">
        <v>374</v>
      </c>
      <c r="W125">
        <v>242</v>
      </c>
      <c r="X125" s="23" t="s">
        <v>57</v>
      </c>
      <c r="Y125" s="23">
        <v>0.00596769214939809</v>
      </c>
      <c r="Z125" s="23">
        <v>0.00444491983694037</v>
      </c>
      <c r="AA125" s="23">
        <v>0.0042608634410874</v>
      </c>
      <c r="AB125">
        <v>0</v>
      </c>
      <c r="AC125">
        <v>10.13</v>
      </c>
      <c r="AD125">
        <v>65.2</v>
      </c>
      <c r="AE125">
        <v>42.21</v>
      </c>
      <c r="AF125" s="23" t="s">
        <v>57</v>
      </c>
      <c r="AG125" s="23">
        <v>0.18766209707299</v>
      </c>
      <c r="AH125" s="23">
        <v>1.2078547610226</v>
      </c>
      <c r="AI125" s="23" t="s">
        <v>441</v>
      </c>
      <c r="AJ125">
        <v>107</v>
      </c>
      <c r="AK125">
        <v>100</v>
      </c>
      <c r="AL125">
        <v>287</v>
      </c>
      <c r="AM125">
        <v>216</v>
      </c>
      <c r="AN125" s="23">
        <v>0.0280373831775701</v>
      </c>
      <c r="AO125" s="23">
        <v>0.02</v>
      </c>
      <c r="AP125" s="23">
        <v>0.00696864111498258</v>
      </c>
      <c r="AQ125" s="23">
        <v>0</v>
      </c>
      <c r="AR125" s="35">
        <v>0.428571428571429</v>
      </c>
      <c r="AS125" s="35">
        <v>25.7142857142857</v>
      </c>
      <c r="AT125" s="35">
        <v>-16.7142857142857</v>
      </c>
      <c r="AU125" s="31">
        <f t="shared" si="5"/>
        <v>21</v>
      </c>
      <c r="AV125" s="36">
        <f>IFERROR(时间!$B$4+AU125,"上周无销量")</f>
        <v>43318</v>
      </c>
    </row>
    <row r="126" spans="1:48">
      <c r="A126" s="19" t="s">
        <v>442</v>
      </c>
      <c r="B126" t="s">
        <v>443</v>
      </c>
      <c r="C126" t="s">
        <v>444</v>
      </c>
      <c r="D126" s="31">
        <v>0</v>
      </c>
      <c r="E126" s="31">
        <v>1</v>
      </c>
      <c r="F126" s="31">
        <v>2</v>
      </c>
      <c r="G126" s="31">
        <v>2</v>
      </c>
      <c r="H126" s="32">
        <v>27.59</v>
      </c>
      <c r="I126">
        <v>14</v>
      </c>
      <c r="J126" s="33">
        <v>0</v>
      </c>
      <c r="K126" s="33">
        <v>0</v>
      </c>
      <c r="L126" s="33">
        <v>0</v>
      </c>
      <c r="M126">
        <v>14</v>
      </c>
      <c r="N126">
        <v>0</v>
      </c>
      <c r="O126">
        <v>14</v>
      </c>
      <c r="P126" t="s">
        <v>57</v>
      </c>
      <c r="Q126" t="s">
        <v>57</v>
      </c>
      <c r="R126" t="s">
        <v>57</v>
      </c>
      <c r="S126" t="s">
        <v>57</v>
      </c>
      <c r="T126" t="s">
        <v>57</v>
      </c>
      <c r="U126" t="s">
        <v>57</v>
      </c>
      <c r="V126" t="s">
        <v>57</v>
      </c>
      <c r="W126" t="s">
        <v>57</v>
      </c>
      <c r="X126" s="23" t="s">
        <v>57</v>
      </c>
      <c r="Y126" s="23" t="s">
        <v>57</v>
      </c>
      <c r="Z126" s="23" t="s">
        <v>57</v>
      </c>
      <c r="AA126" s="23" t="s">
        <v>57</v>
      </c>
      <c r="AB126" t="s">
        <v>57</v>
      </c>
      <c r="AC126" t="s">
        <v>57</v>
      </c>
      <c r="AD126" t="s">
        <v>57</v>
      </c>
      <c r="AE126" t="s">
        <v>57</v>
      </c>
      <c r="AF126" s="23" t="s">
        <v>57</v>
      </c>
      <c r="AG126" s="23" t="s">
        <v>57</v>
      </c>
      <c r="AH126" s="23" t="s">
        <v>57</v>
      </c>
      <c r="AI126" s="23" t="s">
        <v>57</v>
      </c>
      <c r="AJ126">
        <v>45</v>
      </c>
      <c r="AK126">
        <v>50</v>
      </c>
      <c r="AL126">
        <v>127</v>
      </c>
      <c r="AM126">
        <v>71</v>
      </c>
      <c r="AN126" s="23">
        <v>0</v>
      </c>
      <c r="AO126" s="23">
        <v>0.02</v>
      </c>
      <c r="AP126" s="23">
        <v>0.015748031496063</v>
      </c>
      <c r="AQ126" s="23">
        <v>0.028169014084507</v>
      </c>
      <c r="AR126" s="35">
        <v>0</v>
      </c>
      <c r="AS126" s="35">
        <v>0</v>
      </c>
      <c r="AT126" s="35">
        <v>14</v>
      </c>
      <c r="AU126" s="31" t="str">
        <f t="shared" si="5"/>
        <v>库存为14</v>
      </c>
      <c r="AV126" s="36" t="str">
        <f>IFERROR(时间!$B$4+AU126,"上周无销量")</f>
        <v>上周无销量</v>
      </c>
    </row>
    <row r="127" spans="1:48">
      <c r="A127" s="19" t="s">
        <v>445</v>
      </c>
      <c r="B127" t="s">
        <v>446</v>
      </c>
      <c r="C127" t="s">
        <v>444</v>
      </c>
      <c r="D127" s="31">
        <v>3</v>
      </c>
      <c r="E127" s="31">
        <v>3</v>
      </c>
      <c r="F127" s="31">
        <v>4</v>
      </c>
      <c r="G127" s="31">
        <v>2</v>
      </c>
      <c r="H127" s="32">
        <v>26.99</v>
      </c>
      <c r="I127">
        <v>23</v>
      </c>
      <c r="J127" s="33">
        <v>0</v>
      </c>
      <c r="K127" s="33">
        <v>0</v>
      </c>
      <c r="L127" s="33">
        <v>0</v>
      </c>
      <c r="M127">
        <v>23</v>
      </c>
      <c r="N127">
        <v>0</v>
      </c>
      <c r="O127">
        <v>2</v>
      </c>
      <c r="P127">
        <v>0</v>
      </c>
      <c r="Q127">
        <v>7461</v>
      </c>
      <c r="R127">
        <v>55106</v>
      </c>
      <c r="S127">
        <v>26899</v>
      </c>
      <c r="T127">
        <v>0</v>
      </c>
      <c r="U127">
        <v>46</v>
      </c>
      <c r="V127">
        <v>305</v>
      </c>
      <c r="W127">
        <v>278</v>
      </c>
      <c r="X127" s="23" t="s">
        <v>57</v>
      </c>
      <c r="Y127" s="23">
        <v>0.00616539337890363</v>
      </c>
      <c r="Z127" s="23">
        <v>0.00553478750045367</v>
      </c>
      <c r="AA127" s="23">
        <v>0.0103349566898398</v>
      </c>
      <c r="AB127">
        <v>0</v>
      </c>
      <c r="AC127">
        <v>8.01</v>
      </c>
      <c r="AD127">
        <v>52.42</v>
      </c>
      <c r="AE127">
        <v>49.92</v>
      </c>
      <c r="AF127" s="23" t="s">
        <v>57</v>
      </c>
      <c r="AG127" s="23">
        <v>0.0989255279733234</v>
      </c>
      <c r="AH127" s="23">
        <v>0.485550203779178</v>
      </c>
      <c r="AI127" s="23">
        <v>0.924786958132642</v>
      </c>
      <c r="AJ127">
        <v>156</v>
      </c>
      <c r="AK127">
        <v>157</v>
      </c>
      <c r="AL127">
        <v>326</v>
      </c>
      <c r="AM127">
        <v>224</v>
      </c>
      <c r="AN127" s="23">
        <v>0.0192307692307692</v>
      </c>
      <c r="AO127" s="23">
        <v>0.0191082802547771</v>
      </c>
      <c r="AP127" s="23">
        <v>0.0122699386503067</v>
      </c>
      <c r="AQ127" s="23">
        <v>0.00892857142857143</v>
      </c>
      <c r="AR127" s="35">
        <v>0.428571428571429</v>
      </c>
      <c r="AS127" s="35">
        <v>25.7142857142857</v>
      </c>
      <c r="AT127" s="35">
        <v>-2.71428571428571</v>
      </c>
      <c r="AU127" s="31">
        <f t="shared" si="5"/>
        <v>53</v>
      </c>
      <c r="AV127" s="36">
        <f>IFERROR(时间!$B$4+AU127,"上周无销量")</f>
        <v>43350</v>
      </c>
    </row>
    <row r="128" spans="1:48">
      <c r="A128" s="19" t="s">
        <v>447</v>
      </c>
      <c r="B128" t="s">
        <v>448</v>
      </c>
      <c r="C128" t="s">
        <v>449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12</v>
      </c>
      <c r="J128" s="33">
        <v>0</v>
      </c>
      <c r="K128" s="33">
        <v>0</v>
      </c>
      <c r="L128" s="33">
        <v>0</v>
      </c>
      <c r="M128">
        <v>12</v>
      </c>
      <c r="N128">
        <v>0</v>
      </c>
      <c r="O128">
        <v>12</v>
      </c>
      <c r="P128" t="s">
        <v>57</v>
      </c>
      <c r="Q128" t="s">
        <v>57</v>
      </c>
      <c r="R128" t="s">
        <v>57</v>
      </c>
      <c r="S128" t="s">
        <v>57</v>
      </c>
      <c r="T128" t="s">
        <v>57</v>
      </c>
      <c r="U128" t="s">
        <v>57</v>
      </c>
      <c r="V128" t="s">
        <v>57</v>
      </c>
      <c r="W128" t="s">
        <v>57</v>
      </c>
      <c r="X128" s="23" t="s">
        <v>57</v>
      </c>
      <c r="Y128" s="23" t="s">
        <v>57</v>
      </c>
      <c r="Z128" s="23" t="s">
        <v>57</v>
      </c>
      <c r="AA128" s="23" t="s">
        <v>57</v>
      </c>
      <c r="AB128" t="s">
        <v>57</v>
      </c>
      <c r="AC128" t="s">
        <v>57</v>
      </c>
      <c r="AD128" t="s">
        <v>57</v>
      </c>
      <c r="AE128" t="s">
        <v>57</v>
      </c>
      <c r="AF128" s="23" t="s">
        <v>57</v>
      </c>
      <c r="AG128" s="23" t="s">
        <v>57</v>
      </c>
      <c r="AH128" s="23" t="s">
        <v>57</v>
      </c>
      <c r="AI128" s="23" t="s">
        <v>57</v>
      </c>
      <c r="AJ128">
        <v>47</v>
      </c>
      <c r="AK128">
        <v>15</v>
      </c>
      <c r="AL128">
        <v>7</v>
      </c>
      <c r="AM128">
        <v>19</v>
      </c>
      <c r="AN128" s="23">
        <v>0</v>
      </c>
      <c r="AO128" s="23">
        <v>0</v>
      </c>
      <c r="AP128" s="23">
        <v>0</v>
      </c>
      <c r="AQ128" s="23">
        <v>0</v>
      </c>
      <c r="AR128" s="35">
        <v>0</v>
      </c>
      <c r="AS128" s="35">
        <v>0</v>
      </c>
      <c r="AT128" s="35">
        <v>12</v>
      </c>
      <c r="AU128" s="31" t="str">
        <f t="shared" si="5"/>
        <v>库存为12</v>
      </c>
      <c r="AV128" s="36" t="str">
        <f>IFERROR(时间!$B$4+AU128,"上周无销量")</f>
        <v>上周无销量</v>
      </c>
    </row>
    <row r="129" spans="1:48">
      <c r="A129" s="19" t="s">
        <v>450</v>
      </c>
      <c r="B129" t="s">
        <v>451</v>
      </c>
      <c r="C129" t="s">
        <v>449</v>
      </c>
      <c r="D129" s="31">
        <v>1</v>
      </c>
      <c r="E129" s="31">
        <v>1</v>
      </c>
      <c r="F129" s="31">
        <v>0</v>
      </c>
      <c r="G129" s="31">
        <v>0</v>
      </c>
      <c r="H129" s="32">
        <v>79.99</v>
      </c>
      <c r="I129">
        <v>13</v>
      </c>
      <c r="J129" s="33">
        <v>0</v>
      </c>
      <c r="K129" s="33">
        <v>0</v>
      </c>
      <c r="L129" s="33">
        <v>0</v>
      </c>
      <c r="M129">
        <v>13</v>
      </c>
      <c r="N129">
        <v>0</v>
      </c>
      <c r="O129">
        <v>13</v>
      </c>
      <c r="P129" t="s">
        <v>57</v>
      </c>
      <c r="Q129" t="s">
        <v>57</v>
      </c>
      <c r="R129" t="s">
        <v>57</v>
      </c>
      <c r="S129" t="s">
        <v>57</v>
      </c>
      <c r="T129" t="s">
        <v>57</v>
      </c>
      <c r="U129" t="s">
        <v>57</v>
      </c>
      <c r="V129" t="s">
        <v>57</v>
      </c>
      <c r="W129" t="s">
        <v>57</v>
      </c>
      <c r="X129" s="23" t="s">
        <v>57</v>
      </c>
      <c r="Y129" s="23" t="s">
        <v>57</v>
      </c>
      <c r="Z129" s="23" t="s">
        <v>57</v>
      </c>
      <c r="AA129" s="23" t="s">
        <v>57</v>
      </c>
      <c r="AB129" t="s">
        <v>57</v>
      </c>
      <c r="AC129" t="s">
        <v>57</v>
      </c>
      <c r="AD129" t="s">
        <v>57</v>
      </c>
      <c r="AE129" t="s">
        <v>57</v>
      </c>
      <c r="AF129" s="23" t="s">
        <v>57</v>
      </c>
      <c r="AG129" s="23" t="s">
        <v>57</v>
      </c>
      <c r="AH129" s="23" t="s">
        <v>57</v>
      </c>
      <c r="AI129" s="23" t="s">
        <v>57</v>
      </c>
      <c r="AJ129">
        <v>66</v>
      </c>
      <c r="AK129">
        <v>37</v>
      </c>
      <c r="AL129">
        <v>26</v>
      </c>
      <c r="AM129">
        <v>39</v>
      </c>
      <c r="AN129" s="23">
        <v>0.0151515151515152</v>
      </c>
      <c r="AO129" s="23">
        <v>0.027027027027027</v>
      </c>
      <c r="AP129" s="23">
        <v>0</v>
      </c>
      <c r="AQ129" s="23">
        <v>0</v>
      </c>
      <c r="AR129" s="35">
        <v>0.142857142857143</v>
      </c>
      <c r="AS129" s="35">
        <v>8.57142857142857</v>
      </c>
      <c r="AT129" s="35">
        <v>4.42857142857143</v>
      </c>
      <c r="AU129" s="31">
        <f t="shared" si="5"/>
        <v>91</v>
      </c>
      <c r="AV129" s="36">
        <f>IFERROR(时间!$B$4+AU129,"上周无销量")</f>
        <v>43388</v>
      </c>
    </row>
    <row r="130" spans="1:48">
      <c r="A130" s="19" t="s">
        <v>452</v>
      </c>
      <c r="B130" t="s">
        <v>453</v>
      </c>
      <c r="C130" t="s">
        <v>454</v>
      </c>
      <c r="D130" s="31">
        <v>1</v>
      </c>
      <c r="E130" s="31">
        <v>0</v>
      </c>
      <c r="F130" s="31">
        <v>0</v>
      </c>
      <c r="G130" s="31">
        <v>3</v>
      </c>
      <c r="H130" s="32">
        <v>89.6</v>
      </c>
      <c r="I130">
        <v>2</v>
      </c>
      <c r="J130" s="33">
        <v>0</v>
      </c>
      <c r="K130" s="33">
        <v>0</v>
      </c>
      <c r="L130" s="33">
        <v>4</v>
      </c>
      <c r="M130">
        <v>6</v>
      </c>
      <c r="N130">
        <v>0</v>
      </c>
      <c r="O130">
        <v>0</v>
      </c>
      <c r="P130">
        <v>0</v>
      </c>
      <c r="Q130">
        <v>6349</v>
      </c>
      <c r="R130">
        <v>20591</v>
      </c>
      <c r="S130">
        <v>8072</v>
      </c>
      <c r="T130">
        <v>0</v>
      </c>
      <c r="U130">
        <v>67</v>
      </c>
      <c r="V130">
        <v>225</v>
      </c>
      <c r="W130">
        <v>61</v>
      </c>
      <c r="X130" s="23" t="s">
        <v>57</v>
      </c>
      <c r="Y130" s="23">
        <v>0.0105528429673964</v>
      </c>
      <c r="Z130" s="23">
        <v>0.0109271040745957</v>
      </c>
      <c r="AA130" s="23">
        <v>0.00755698711595639</v>
      </c>
      <c r="AB130">
        <v>0</v>
      </c>
      <c r="AC130">
        <v>8.88</v>
      </c>
      <c r="AD130">
        <v>29.26</v>
      </c>
      <c r="AE130">
        <v>8.21</v>
      </c>
      <c r="AF130" s="23" t="s">
        <v>57</v>
      </c>
      <c r="AG130" s="23" t="s">
        <v>455</v>
      </c>
      <c r="AH130" s="23" t="s">
        <v>456</v>
      </c>
      <c r="AI130" s="23">
        <v>0.0305431547619048</v>
      </c>
      <c r="AJ130">
        <v>32</v>
      </c>
      <c r="AK130">
        <v>115</v>
      </c>
      <c r="AL130">
        <v>171</v>
      </c>
      <c r="AM130">
        <v>70</v>
      </c>
      <c r="AN130" s="23">
        <v>0.03125</v>
      </c>
      <c r="AO130" s="23">
        <v>0</v>
      </c>
      <c r="AP130" s="23">
        <v>0</v>
      </c>
      <c r="AQ130" s="23">
        <v>0.0428571428571429</v>
      </c>
      <c r="AR130" s="35">
        <v>0.142857142857143</v>
      </c>
      <c r="AS130" s="35">
        <v>8.57142857142857</v>
      </c>
      <c r="AT130" s="35">
        <v>-2.57142857142857</v>
      </c>
      <c r="AU130" s="31">
        <f t="shared" si="5"/>
        <v>42</v>
      </c>
      <c r="AV130" s="36">
        <f>IFERROR(时间!$B$4+AU130,"上周无销量")</f>
        <v>43339</v>
      </c>
    </row>
    <row r="131" spans="1:48">
      <c r="A131" s="19" t="s">
        <v>457</v>
      </c>
      <c r="B131" t="s">
        <v>458</v>
      </c>
      <c r="C131" t="s">
        <v>459</v>
      </c>
      <c r="D131" s="31">
        <v>16</v>
      </c>
      <c r="E131" s="31">
        <v>21</v>
      </c>
      <c r="F131" s="31">
        <v>25</v>
      </c>
      <c r="G131" s="31">
        <v>28</v>
      </c>
      <c r="H131" s="32">
        <v>98.9899999999998</v>
      </c>
      <c r="I131">
        <v>226</v>
      </c>
      <c r="J131" s="33">
        <v>0</v>
      </c>
      <c r="K131" s="33">
        <v>0</v>
      </c>
      <c r="L131" s="33">
        <v>0</v>
      </c>
      <c r="M131">
        <v>226</v>
      </c>
      <c r="N131">
        <v>6</v>
      </c>
      <c r="O131">
        <v>0</v>
      </c>
      <c r="P131">
        <v>99933</v>
      </c>
      <c r="Q131">
        <v>86912</v>
      </c>
      <c r="R131">
        <v>45908</v>
      </c>
      <c r="S131">
        <v>61140</v>
      </c>
      <c r="T131">
        <v>568</v>
      </c>
      <c r="U131">
        <v>458</v>
      </c>
      <c r="V131">
        <v>267</v>
      </c>
      <c r="W131">
        <v>390</v>
      </c>
      <c r="X131" s="23">
        <v>0.00568380815146148</v>
      </c>
      <c r="Y131" s="23">
        <v>0.00526969808541974</v>
      </c>
      <c r="Z131" s="23">
        <v>0.00581597978565827</v>
      </c>
      <c r="AA131" s="23">
        <v>0.00637880274779195</v>
      </c>
      <c r="AB131">
        <v>89.2</v>
      </c>
      <c r="AC131">
        <v>72.5</v>
      </c>
      <c r="AD131">
        <v>35.53</v>
      </c>
      <c r="AE131">
        <v>54.45</v>
      </c>
      <c r="AF131" s="23">
        <v>0.0563188200828368</v>
      </c>
      <c r="AG131" s="23">
        <v>0.0348760577066467</v>
      </c>
      <c r="AH131" s="23">
        <v>0.0143570057581574</v>
      </c>
      <c r="AI131" s="23">
        <v>0.0196448414702784</v>
      </c>
      <c r="AJ131">
        <v>1474</v>
      </c>
      <c r="AK131">
        <v>1288</v>
      </c>
      <c r="AL131">
        <v>1147</v>
      </c>
      <c r="AM131">
        <v>1112</v>
      </c>
      <c r="AN131" s="23">
        <v>0.0108548168249661</v>
      </c>
      <c r="AO131" s="23">
        <v>0.016304347826087</v>
      </c>
      <c r="AP131" s="23">
        <v>0.021795989537925</v>
      </c>
      <c r="AQ131" s="23">
        <v>0.0251798561151079</v>
      </c>
      <c r="AR131" s="35">
        <v>2.28571428571429</v>
      </c>
      <c r="AS131" s="35">
        <v>137.142857142857</v>
      </c>
      <c r="AT131" s="35">
        <v>88.8571428571429</v>
      </c>
      <c r="AU131" s="31">
        <f t="shared" si="5"/>
        <v>98</v>
      </c>
      <c r="AV131" s="36">
        <f>IFERROR(时间!$B$4+AU131,"上周无销量")</f>
        <v>43395</v>
      </c>
    </row>
    <row r="132" spans="1:48">
      <c r="A132" s="19" t="s">
        <v>460</v>
      </c>
      <c r="B132" t="s">
        <v>461</v>
      </c>
      <c r="C132" t="s">
        <v>462</v>
      </c>
      <c r="D132" s="31">
        <v>9</v>
      </c>
      <c r="E132" s="31">
        <v>11</v>
      </c>
      <c r="F132" s="31">
        <v>16</v>
      </c>
      <c r="G132" s="31">
        <v>5</v>
      </c>
      <c r="H132" s="32">
        <v>89.9899999999999</v>
      </c>
      <c r="I132">
        <v>37</v>
      </c>
      <c r="J132" s="33">
        <v>4</v>
      </c>
      <c r="K132" s="33">
        <v>0</v>
      </c>
      <c r="L132" s="33">
        <v>0</v>
      </c>
      <c r="M132">
        <v>41</v>
      </c>
      <c r="N132">
        <v>2</v>
      </c>
      <c r="O132">
        <v>0</v>
      </c>
      <c r="P132">
        <v>38813</v>
      </c>
      <c r="Q132">
        <v>38847</v>
      </c>
      <c r="R132">
        <v>30176</v>
      </c>
      <c r="S132">
        <v>38382</v>
      </c>
      <c r="T132">
        <v>442</v>
      </c>
      <c r="U132">
        <v>372</v>
      </c>
      <c r="V132">
        <v>266</v>
      </c>
      <c r="W132">
        <v>359</v>
      </c>
      <c r="X132" s="23">
        <v>0.011387937031407</v>
      </c>
      <c r="Y132" s="23">
        <v>0.00957602903699127</v>
      </c>
      <c r="Z132" s="23">
        <v>0.00881495227995758</v>
      </c>
      <c r="AA132" s="23">
        <v>0.00935334271272993</v>
      </c>
      <c r="AB132">
        <v>70.57</v>
      </c>
      <c r="AC132">
        <v>56.45</v>
      </c>
      <c r="AD132">
        <v>37.47</v>
      </c>
      <c r="AE132">
        <v>48.67</v>
      </c>
      <c r="AF132" s="23">
        <v>0.0871331382499291</v>
      </c>
      <c r="AG132" s="23">
        <v>0.0570265383022357</v>
      </c>
      <c r="AH132" s="23">
        <v>0.0260237248583176</v>
      </c>
      <c r="AI132" s="23">
        <v>0.108167574174908</v>
      </c>
      <c r="AJ132">
        <v>755</v>
      </c>
      <c r="AK132">
        <v>671</v>
      </c>
      <c r="AL132">
        <v>617</v>
      </c>
      <c r="AM132">
        <v>631</v>
      </c>
      <c r="AN132" s="23">
        <v>0.0119205298013245</v>
      </c>
      <c r="AO132" s="23">
        <v>0.0163934426229508</v>
      </c>
      <c r="AP132" s="23">
        <v>0.0259319286871961</v>
      </c>
      <c r="AQ132" s="23">
        <v>0.00792393026941363</v>
      </c>
      <c r="AR132" s="35">
        <v>1.28571428571429</v>
      </c>
      <c r="AS132" s="35">
        <v>77.1428571428572</v>
      </c>
      <c r="AT132" s="35">
        <v>-36.1428571428572</v>
      </c>
      <c r="AU132" s="31">
        <f t="shared" si="5"/>
        <v>31</v>
      </c>
      <c r="AV132" s="36">
        <f>IFERROR(时间!$B$4+AU132,"上周无销量")</f>
        <v>43328</v>
      </c>
    </row>
    <row r="133" spans="1:48">
      <c r="A133" s="19" t="s">
        <v>463</v>
      </c>
      <c r="B133" t="s">
        <v>464</v>
      </c>
      <c r="C133" t="s">
        <v>465</v>
      </c>
      <c r="D133" s="31">
        <v>5</v>
      </c>
      <c r="E133" s="31">
        <v>7</v>
      </c>
      <c r="F133" s="31">
        <v>9</v>
      </c>
      <c r="G133" s="31">
        <v>9</v>
      </c>
      <c r="H133" s="32">
        <v>89.99</v>
      </c>
      <c r="I133">
        <v>85</v>
      </c>
      <c r="J133" s="33">
        <v>0</v>
      </c>
      <c r="K133" s="33">
        <v>0</v>
      </c>
      <c r="L133" s="33">
        <v>7</v>
      </c>
      <c r="M133">
        <v>92</v>
      </c>
      <c r="N133">
        <v>3</v>
      </c>
      <c r="O133">
        <v>0</v>
      </c>
      <c r="P133" t="s">
        <v>57</v>
      </c>
      <c r="Q133" t="s">
        <v>57</v>
      </c>
      <c r="R133" t="s">
        <v>57</v>
      </c>
      <c r="S133" t="s">
        <v>57</v>
      </c>
      <c r="T133" t="s">
        <v>57</v>
      </c>
      <c r="U133" t="s">
        <v>57</v>
      </c>
      <c r="V133" t="s">
        <v>57</v>
      </c>
      <c r="W133" t="s">
        <v>57</v>
      </c>
      <c r="X133" s="23" t="s">
        <v>57</v>
      </c>
      <c r="Y133" s="23" t="s">
        <v>57</v>
      </c>
      <c r="Z133" s="23" t="s">
        <v>57</v>
      </c>
      <c r="AA133" s="23" t="s">
        <v>57</v>
      </c>
      <c r="AB133" t="s">
        <v>57</v>
      </c>
      <c r="AC133" t="s">
        <v>57</v>
      </c>
      <c r="AD133" t="s">
        <v>57</v>
      </c>
      <c r="AE133" t="s">
        <v>57</v>
      </c>
      <c r="AF133" s="23" t="s">
        <v>57</v>
      </c>
      <c r="AG133" s="23" t="s">
        <v>57</v>
      </c>
      <c r="AH133" s="23" t="s">
        <v>57</v>
      </c>
      <c r="AI133" s="23" t="s">
        <v>57</v>
      </c>
      <c r="AJ133">
        <v>382</v>
      </c>
      <c r="AK133">
        <v>395</v>
      </c>
      <c r="AL133">
        <v>405</v>
      </c>
      <c r="AM133">
        <v>410</v>
      </c>
      <c r="AN133" s="23">
        <v>0.0130890052356021</v>
      </c>
      <c r="AO133" s="23">
        <v>0.0177215189873418</v>
      </c>
      <c r="AP133" s="23">
        <v>0.0222222222222222</v>
      </c>
      <c r="AQ133" s="23">
        <v>0.0219512195121951</v>
      </c>
      <c r="AR133" s="35">
        <v>0.714285714285714</v>
      </c>
      <c r="AS133" s="35">
        <v>42.8571428571429</v>
      </c>
      <c r="AT133" s="35">
        <v>49.1428571428571</v>
      </c>
      <c r="AU133" s="31">
        <f t="shared" ref="AU133:AU170" si="6">IF(AR133="","库存为"&amp;M133,IF(AS133=0,"库存为"&amp;M133,INT(M133/AR133)))</f>
        <v>128</v>
      </c>
      <c r="AV133" s="36">
        <f>IFERROR(时间!$B$4+AU133,"上周无销量")</f>
        <v>43425</v>
      </c>
    </row>
    <row r="134" spans="1:48">
      <c r="A134" s="19" t="s">
        <v>466</v>
      </c>
      <c r="B134" t="s">
        <v>467</v>
      </c>
      <c r="C134" t="s">
        <v>468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1</v>
      </c>
      <c r="O134">
        <v>0</v>
      </c>
      <c r="P134" t="s">
        <v>57</v>
      </c>
      <c r="Q134" t="s">
        <v>57</v>
      </c>
      <c r="R134" t="s">
        <v>57</v>
      </c>
      <c r="S134" t="s">
        <v>57</v>
      </c>
      <c r="T134" t="s">
        <v>57</v>
      </c>
      <c r="U134" t="s">
        <v>57</v>
      </c>
      <c r="V134" t="s">
        <v>57</v>
      </c>
      <c r="W134" t="s">
        <v>57</v>
      </c>
      <c r="X134" s="23" t="s">
        <v>57</v>
      </c>
      <c r="Y134" s="23" t="s">
        <v>57</v>
      </c>
      <c r="Z134" s="23" t="s">
        <v>57</v>
      </c>
      <c r="AA134" s="23" t="s">
        <v>57</v>
      </c>
      <c r="AB134" t="s">
        <v>57</v>
      </c>
      <c r="AC134" t="s">
        <v>57</v>
      </c>
      <c r="AD134" t="s">
        <v>57</v>
      </c>
      <c r="AE134" t="s">
        <v>57</v>
      </c>
      <c r="AF134" s="23" t="s">
        <v>57</v>
      </c>
      <c r="AG134" s="23" t="s">
        <v>57</v>
      </c>
      <c r="AH134" s="23" t="s">
        <v>57</v>
      </c>
      <c r="AI134" s="23" t="s">
        <v>57</v>
      </c>
      <c r="AJ134">
        <v>33</v>
      </c>
      <c r="AK134">
        <v>41</v>
      </c>
      <c r="AL134">
        <v>50</v>
      </c>
      <c r="AM134">
        <v>46</v>
      </c>
      <c r="AN134" s="23">
        <v>0</v>
      </c>
      <c r="AO134" s="23">
        <v>0</v>
      </c>
      <c r="AP134" s="23">
        <v>0</v>
      </c>
      <c r="AQ134" s="23">
        <v>0</v>
      </c>
      <c r="AR134" s="35">
        <v>0</v>
      </c>
      <c r="AS134" s="35">
        <v>0</v>
      </c>
      <c r="AT134" s="35">
        <v>0</v>
      </c>
      <c r="AU134" s="31" t="str">
        <f t="shared" si="6"/>
        <v>库存为0</v>
      </c>
      <c r="AV134" s="36" t="str">
        <f>IFERROR(时间!$B$4+AU134,"上周无销量")</f>
        <v>上周无销量</v>
      </c>
    </row>
    <row r="135" spans="1:48">
      <c r="A135" s="19" t="s">
        <v>469</v>
      </c>
      <c r="B135" t="s">
        <v>467</v>
      </c>
      <c r="C135" t="s">
        <v>470</v>
      </c>
      <c r="D135" s="31">
        <v>1</v>
      </c>
      <c r="E135" s="31">
        <v>1</v>
      </c>
      <c r="F135" s="31">
        <v>2</v>
      </c>
      <c r="G135" s="31">
        <v>0</v>
      </c>
      <c r="H135" s="32">
        <v>89.6</v>
      </c>
      <c r="I135">
        <v>55</v>
      </c>
      <c r="J135" s="33">
        <v>0</v>
      </c>
      <c r="K135" s="33">
        <v>0</v>
      </c>
      <c r="L135" s="33">
        <v>14</v>
      </c>
      <c r="M135">
        <v>69</v>
      </c>
      <c r="N135">
        <v>0</v>
      </c>
      <c r="O135">
        <v>0</v>
      </c>
      <c r="P135" t="s">
        <v>57</v>
      </c>
      <c r="Q135" t="s">
        <v>57</v>
      </c>
      <c r="R135" t="s">
        <v>57</v>
      </c>
      <c r="S135" t="s">
        <v>57</v>
      </c>
      <c r="T135" t="s">
        <v>57</v>
      </c>
      <c r="U135" t="s">
        <v>57</v>
      </c>
      <c r="V135" t="s">
        <v>57</v>
      </c>
      <c r="W135" t="s">
        <v>57</v>
      </c>
      <c r="X135" s="23" t="s">
        <v>57</v>
      </c>
      <c r="Y135" s="23" t="s">
        <v>57</v>
      </c>
      <c r="Z135" s="23" t="s">
        <v>57</v>
      </c>
      <c r="AA135" s="23" t="s">
        <v>57</v>
      </c>
      <c r="AB135" t="s">
        <v>57</v>
      </c>
      <c r="AC135" t="s">
        <v>57</v>
      </c>
      <c r="AD135" t="s">
        <v>57</v>
      </c>
      <c r="AE135" t="s">
        <v>57</v>
      </c>
      <c r="AF135" s="23" t="s">
        <v>57</v>
      </c>
      <c r="AG135" s="23" t="s">
        <v>57</v>
      </c>
      <c r="AH135" s="23" t="s">
        <v>57</v>
      </c>
      <c r="AI135" s="23" t="s">
        <v>57</v>
      </c>
      <c r="AJ135">
        <v>33</v>
      </c>
      <c r="AK135">
        <v>41</v>
      </c>
      <c r="AL135">
        <v>50</v>
      </c>
      <c r="AM135">
        <v>46</v>
      </c>
      <c r="AN135" s="23">
        <v>0.0303030303030303</v>
      </c>
      <c r="AO135" s="23">
        <v>0.024390243902439</v>
      </c>
      <c r="AP135" s="23">
        <v>0.04</v>
      </c>
      <c r="AQ135" s="23">
        <v>0</v>
      </c>
      <c r="AR135" s="35">
        <v>0.142857142857143</v>
      </c>
      <c r="AS135" s="35">
        <v>8.57142857142857</v>
      </c>
      <c r="AT135" s="35">
        <v>60.4285714285714</v>
      </c>
      <c r="AU135" s="31">
        <f t="shared" si="6"/>
        <v>483</v>
      </c>
      <c r="AV135" s="36">
        <f>IFERROR(时间!$B$4+AU135,"上周无销量")</f>
        <v>43780</v>
      </c>
    </row>
    <row r="136" spans="1:48">
      <c r="A136" s="19" t="s">
        <v>471</v>
      </c>
      <c r="B136" t="s">
        <v>472</v>
      </c>
      <c r="C136" t="s">
        <v>473</v>
      </c>
      <c r="D136" s="31">
        <v>12</v>
      </c>
      <c r="E136" s="31">
        <v>8</v>
      </c>
      <c r="F136" s="31">
        <v>7</v>
      </c>
      <c r="G136" s="31">
        <v>12</v>
      </c>
      <c r="H136" s="32">
        <v>89.9899999999999</v>
      </c>
      <c r="I136">
        <v>93</v>
      </c>
      <c r="J136" s="33">
        <v>0</v>
      </c>
      <c r="K136" s="33">
        <v>0</v>
      </c>
      <c r="L136" s="33">
        <v>13</v>
      </c>
      <c r="M136">
        <v>106</v>
      </c>
      <c r="N136">
        <v>4</v>
      </c>
      <c r="O136">
        <v>0</v>
      </c>
      <c r="P136">
        <v>0</v>
      </c>
      <c r="Q136">
        <v>25214</v>
      </c>
      <c r="R136">
        <v>100057</v>
      </c>
      <c r="S136">
        <v>114056</v>
      </c>
      <c r="T136">
        <v>0</v>
      </c>
      <c r="U136">
        <v>163</v>
      </c>
      <c r="V136">
        <v>502</v>
      </c>
      <c r="W136">
        <v>650</v>
      </c>
      <c r="X136" s="23" t="s">
        <v>57</v>
      </c>
      <c r="Y136" s="23">
        <v>0.00646466248909336</v>
      </c>
      <c r="Z136" s="23">
        <v>0.00501714023006886</v>
      </c>
      <c r="AA136" s="23">
        <v>0.00569895489934769</v>
      </c>
      <c r="AB136">
        <v>0</v>
      </c>
      <c r="AC136">
        <v>24.17</v>
      </c>
      <c r="AD136">
        <v>69.96</v>
      </c>
      <c r="AE136">
        <v>90.23</v>
      </c>
      <c r="AF136" s="23" t="s">
        <v>57</v>
      </c>
      <c r="AG136" s="23">
        <v>0.0335731747971997</v>
      </c>
      <c r="AH136" s="23">
        <v>0.111059959043068</v>
      </c>
      <c r="AI136" s="23">
        <v>0.0835555802496575</v>
      </c>
      <c r="AJ136">
        <v>501</v>
      </c>
      <c r="AK136">
        <v>476</v>
      </c>
      <c r="AL136">
        <v>769</v>
      </c>
      <c r="AM136">
        <v>816</v>
      </c>
      <c r="AN136" s="23">
        <v>0.0239520958083832</v>
      </c>
      <c r="AO136" s="23">
        <v>0.0168067226890756</v>
      </c>
      <c r="AP136" s="23">
        <v>0.00910273081924577</v>
      </c>
      <c r="AQ136" s="23">
        <v>0.0147058823529412</v>
      </c>
      <c r="AR136" s="35">
        <v>1.71428571428571</v>
      </c>
      <c r="AS136" s="35">
        <v>102.857142857143</v>
      </c>
      <c r="AT136" s="35">
        <v>3.14285714285715</v>
      </c>
      <c r="AU136" s="31">
        <f t="shared" si="6"/>
        <v>61</v>
      </c>
      <c r="AV136" s="36">
        <f>IFERROR(时间!$B$4+AU136,"上周无销量")</f>
        <v>43358</v>
      </c>
    </row>
    <row r="137" spans="1:48">
      <c r="A137" s="19" t="s">
        <v>474</v>
      </c>
      <c r="B137" t="s">
        <v>475</v>
      </c>
      <c r="C137" t="s">
        <v>476</v>
      </c>
      <c r="D137" s="31">
        <v>4</v>
      </c>
      <c r="E137" s="31">
        <v>2</v>
      </c>
      <c r="F137" s="31">
        <v>9</v>
      </c>
      <c r="G137" s="31">
        <v>1</v>
      </c>
      <c r="H137" s="32">
        <v>89.99</v>
      </c>
      <c r="I137">
        <v>76</v>
      </c>
      <c r="J137" s="33">
        <v>0</v>
      </c>
      <c r="K137" s="33">
        <v>0</v>
      </c>
      <c r="L137" s="33">
        <v>0</v>
      </c>
      <c r="M137">
        <v>76</v>
      </c>
      <c r="N137">
        <v>0</v>
      </c>
      <c r="O137">
        <v>0</v>
      </c>
      <c r="P137">
        <v>0</v>
      </c>
      <c r="Q137">
        <v>18559</v>
      </c>
      <c r="R137">
        <v>37826</v>
      </c>
      <c r="S137">
        <v>52332</v>
      </c>
      <c r="T137">
        <v>0</v>
      </c>
      <c r="U137">
        <v>100</v>
      </c>
      <c r="V137">
        <v>188</v>
      </c>
      <c r="W137">
        <v>262</v>
      </c>
      <c r="X137" s="23" t="s">
        <v>57</v>
      </c>
      <c r="Y137" s="23">
        <v>0.00538822134813298</v>
      </c>
      <c r="Z137" s="23">
        <v>0.00497012636810659</v>
      </c>
      <c r="AA137" s="23">
        <v>0.0050064969808148</v>
      </c>
      <c r="AB137">
        <v>0</v>
      </c>
      <c r="AC137">
        <v>13.69</v>
      </c>
      <c r="AD137">
        <v>25.34</v>
      </c>
      <c r="AE137">
        <v>34.94</v>
      </c>
      <c r="AF137" s="23" t="s">
        <v>57</v>
      </c>
      <c r="AG137" s="23">
        <v>0.0760640071119013</v>
      </c>
      <c r="AH137" s="23">
        <v>0.0312874269980615</v>
      </c>
      <c r="AI137" s="23">
        <v>0.388265362818091</v>
      </c>
      <c r="AJ137">
        <v>358</v>
      </c>
      <c r="AK137">
        <v>131</v>
      </c>
      <c r="AL137">
        <v>264</v>
      </c>
      <c r="AM137">
        <v>265</v>
      </c>
      <c r="AN137" s="23">
        <v>0.0111731843575419</v>
      </c>
      <c r="AO137" s="23">
        <v>0.0152671755725191</v>
      </c>
      <c r="AP137" s="23">
        <v>0.0340909090909091</v>
      </c>
      <c r="AQ137" s="23">
        <v>0.00377358490566038</v>
      </c>
      <c r="AR137" s="35">
        <v>0.571428571428571</v>
      </c>
      <c r="AS137" s="35">
        <v>34.2857142857143</v>
      </c>
      <c r="AT137" s="35">
        <v>41.7142857142857</v>
      </c>
      <c r="AU137" s="31">
        <f t="shared" si="6"/>
        <v>133</v>
      </c>
      <c r="AV137" s="36">
        <f>IFERROR(时间!$B$4+AU137,"上周无销量")</f>
        <v>43430</v>
      </c>
    </row>
    <row r="138" spans="1:48">
      <c r="A138" s="19" t="s">
        <v>477</v>
      </c>
      <c r="B138" t="s">
        <v>478</v>
      </c>
      <c r="C138" t="s">
        <v>479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7</v>
      </c>
      <c r="J138" s="33">
        <v>0</v>
      </c>
      <c r="K138" s="33">
        <v>0</v>
      </c>
      <c r="L138" s="33">
        <v>0</v>
      </c>
      <c r="M138">
        <v>7</v>
      </c>
      <c r="N138">
        <v>0</v>
      </c>
      <c r="O138">
        <v>7</v>
      </c>
      <c r="P138" t="s">
        <v>57</v>
      </c>
      <c r="Q138" t="s">
        <v>57</v>
      </c>
      <c r="R138" t="s">
        <v>57</v>
      </c>
      <c r="S138" t="s">
        <v>57</v>
      </c>
      <c r="T138" t="s">
        <v>57</v>
      </c>
      <c r="U138" t="s">
        <v>57</v>
      </c>
      <c r="V138" t="s">
        <v>57</v>
      </c>
      <c r="W138" t="s">
        <v>57</v>
      </c>
      <c r="X138" s="23" t="s">
        <v>57</v>
      </c>
      <c r="Y138" s="23" t="s">
        <v>57</v>
      </c>
      <c r="Z138" s="23" t="s">
        <v>57</v>
      </c>
      <c r="AA138" s="23" t="s">
        <v>57</v>
      </c>
      <c r="AB138" t="s">
        <v>57</v>
      </c>
      <c r="AC138" t="s">
        <v>57</v>
      </c>
      <c r="AD138" t="s">
        <v>57</v>
      </c>
      <c r="AE138" t="s">
        <v>57</v>
      </c>
      <c r="AF138" s="23" t="s">
        <v>57</v>
      </c>
      <c r="AG138" s="23" t="s">
        <v>57</v>
      </c>
      <c r="AH138" s="23" t="s">
        <v>57</v>
      </c>
      <c r="AI138" s="23" t="s">
        <v>57</v>
      </c>
      <c r="AJ138">
        <v>6</v>
      </c>
      <c r="AK138">
        <v>3</v>
      </c>
      <c r="AL138">
        <v>4</v>
      </c>
      <c r="AM138">
        <v>1</v>
      </c>
      <c r="AN138" s="23">
        <v>0</v>
      </c>
      <c r="AO138" s="23">
        <v>0</v>
      </c>
      <c r="AP138" s="23">
        <v>0</v>
      </c>
      <c r="AQ138" s="23">
        <v>0</v>
      </c>
      <c r="AR138" s="35">
        <v>0</v>
      </c>
      <c r="AS138" s="35">
        <v>0</v>
      </c>
      <c r="AT138" s="35">
        <v>7</v>
      </c>
      <c r="AU138" s="31" t="str">
        <f t="shared" si="6"/>
        <v>库存为7</v>
      </c>
      <c r="AV138" s="36" t="str">
        <f>IFERROR(时间!$B$4+AU138,"上周无销量")</f>
        <v>上周无销量</v>
      </c>
    </row>
    <row r="139" spans="1:48">
      <c r="A139" s="19" t="s">
        <v>480</v>
      </c>
      <c r="B139" t="s">
        <v>481</v>
      </c>
      <c r="C139" t="s">
        <v>482</v>
      </c>
      <c r="D139" s="31">
        <v>0</v>
      </c>
      <c r="E139" s="31">
        <v>1</v>
      </c>
      <c r="F139" s="31">
        <v>0</v>
      </c>
      <c r="G139" s="31">
        <v>0</v>
      </c>
      <c r="H139" s="32">
        <v>79.99</v>
      </c>
      <c r="I139">
        <v>16</v>
      </c>
      <c r="J139" s="33">
        <v>0</v>
      </c>
      <c r="K139" s="33">
        <v>0</v>
      </c>
      <c r="L139" s="33">
        <v>0</v>
      </c>
      <c r="M139">
        <v>16</v>
      </c>
      <c r="N139">
        <v>0</v>
      </c>
      <c r="O139">
        <v>6</v>
      </c>
      <c r="P139" t="s">
        <v>57</v>
      </c>
      <c r="Q139" t="s">
        <v>57</v>
      </c>
      <c r="R139" t="s">
        <v>57</v>
      </c>
      <c r="S139" t="s">
        <v>57</v>
      </c>
      <c r="T139" t="s">
        <v>57</v>
      </c>
      <c r="U139" t="s">
        <v>57</v>
      </c>
      <c r="V139" t="s">
        <v>57</v>
      </c>
      <c r="W139" t="s">
        <v>57</v>
      </c>
      <c r="X139" s="23" t="s">
        <v>57</v>
      </c>
      <c r="Y139" s="23" t="s">
        <v>57</v>
      </c>
      <c r="Z139" s="23" t="s">
        <v>57</v>
      </c>
      <c r="AA139" s="23" t="s">
        <v>57</v>
      </c>
      <c r="AB139" t="s">
        <v>57</v>
      </c>
      <c r="AC139" t="s">
        <v>57</v>
      </c>
      <c r="AD139" t="s">
        <v>57</v>
      </c>
      <c r="AE139" t="s">
        <v>57</v>
      </c>
      <c r="AF139" s="23" t="s">
        <v>57</v>
      </c>
      <c r="AG139" s="23" t="s">
        <v>57</v>
      </c>
      <c r="AH139" s="23" t="s">
        <v>57</v>
      </c>
      <c r="AI139" s="23" t="s">
        <v>57</v>
      </c>
      <c r="AJ139">
        <v>30</v>
      </c>
      <c r="AK139">
        <v>46</v>
      </c>
      <c r="AL139">
        <v>36</v>
      </c>
      <c r="AM139">
        <v>14</v>
      </c>
      <c r="AN139" s="23">
        <v>0</v>
      </c>
      <c r="AO139" s="23">
        <v>0.0217391304347826</v>
      </c>
      <c r="AP139" s="23">
        <v>0</v>
      </c>
      <c r="AQ139" s="23">
        <v>0</v>
      </c>
      <c r="AR139" s="35">
        <v>0</v>
      </c>
      <c r="AS139" s="35">
        <v>0</v>
      </c>
      <c r="AT139" s="35">
        <v>16</v>
      </c>
      <c r="AU139" s="31" t="str">
        <f t="shared" si="6"/>
        <v>库存为16</v>
      </c>
      <c r="AV139" s="36" t="str">
        <f>IFERROR(时间!$B$4+AU139,"上周无销量")</f>
        <v>上周无销量</v>
      </c>
    </row>
    <row r="140" spans="1:48">
      <c r="A140" s="19" t="s">
        <v>483</v>
      </c>
      <c r="B140" t="s">
        <v>484</v>
      </c>
      <c r="C140" t="s">
        <v>485</v>
      </c>
      <c r="D140" s="31">
        <v>1</v>
      </c>
      <c r="E140" s="31">
        <v>0</v>
      </c>
      <c r="F140" s="31">
        <v>0</v>
      </c>
      <c r="G140" s="31">
        <v>0</v>
      </c>
      <c r="H140" s="32">
        <v>29.99</v>
      </c>
      <c r="I140">
        <v>9</v>
      </c>
      <c r="J140" s="33">
        <v>0</v>
      </c>
      <c r="K140" s="33">
        <v>0</v>
      </c>
      <c r="L140" s="33">
        <v>0</v>
      </c>
      <c r="M140">
        <v>9</v>
      </c>
      <c r="N140">
        <v>0</v>
      </c>
      <c r="O140">
        <v>9</v>
      </c>
      <c r="P140">
        <v>4552</v>
      </c>
      <c r="Q140">
        <v>5779</v>
      </c>
      <c r="R140">
        <v>7436</v>
      </c>
      <c r="S140">
        <v>9732</v>
      </c>
      <c r="T140">
        <v>39</v>
      </c>
      <c r="U140">
        <v>72</v>
      </c>
      <c r="V140">
        <v>96</v>
      </c>
      <c r="W140">
        <v>96</v>
      </c>
      <c r="X140" s="23">
        <v>0.0085676625659051</v>
      </c>
      <c r="Y140" s="23">
        <v>0.0124589029243814</v>
      </c>
      <c r="Z140" s="23">
        <v>0.0129101667563206</v>
      </c>
      <c r="AA140" s="23">
        <v>0.00986436498150432</v>
      </c>
      <c r="AB140">
        <v>6.11</v>
      </c>
      <c r="AC140">
        <v>11.3</v>
      </c>
      <c r="AD140">
        <v>17.15</v>
      </c>
      <c r="AE140">
        <v>16.13</v>
      </c>
      <c r="AF140" s="23">
        <v>0.203734578192731</v>
      </c>
      <c r="AG140" s="23" t="s">
        <v>486</v>
      </c>
      <c r="AH140" s="23" t="s">
        <v>487</v>
      </c>
      <c r="AI140" s="23" t="s">
        <v>488</v>
      </c>
      <c r="AJ140">
        <v>38</v>
      </c>
      <c r="AK140">
        <v>46</v>
      </c>
      <c r="AL140">
        <v>82</v>
      </c>
      <c r="AM140">
        <v>50</v>
      </c>
      <c r="AN140" s="23">
        <v>0.0263157894736842</v>
      </c>
      <c r="AO140" s="23">
        <v>0</v>
      </c>
      <c r="AP140" s="23">
        <v>0</v>
      </c>
      <c r="AQ140" s="23">
        <v>0</v>
      </c>
      <c r="AR140" s="35">
        <v>0.142857142857143</v>
      </c>
      <c r="AS140" s="35">
        <v>8.57142857142857</v>
      </c>
      <c r="AT140" s="35">
        <v>0.428571428571429</v>
      </c>
      <c r="AU140" s="31">
        <f t="shared" si="6"/>
        <v>63</v>
      </c>
      <c r="AV140" s="36">
        <f>IFERROR(时间!$B$4+AU140,"上周无销量")</f>
        <v>43360</v>
      </c>
    </row>
    <row r="141" spans="1:48">
      <c r="A141" s="19" t="s">
        <v>489</v>
      </c>
      <c r="B141" t="s">
        <v>490</v>
      </c>
      <c r="C141" t="s">
        <v>485</v>
      </c>
      <c r="D141" s="31">
        <v>0</v>
      </c>
      <c r="E141" s="31">
        <v>0</v>
      </c>
      <c r="F141" s="31">
        <v>0</v>
      </c>
      <c r="G141" s="31">
        <v>1</v>
      </c>
      <c r="H141" s="32">
        <v>89.99</v>
      </c>
      <c r="I141">
        <v>21</v>
      </c>
      <c r="J141" s="33">
        <v>0</v>
      </c>
      <c r="K141" s="33">
        <v>0</v>
      </c>
      <c r="L141" s="33">
        <v>0</v>
      </c>
      <c r="M141">
        <v>21</v>
      </c>
      <c r="N141">
        <v>1</v>
      </c>
      <c r="O141">
        <v>21</v>
      </c>
      <c r="P141">
        <v>0</v>
      </c>
      <c r="Q141">
        <v>0</v>
      </c>
      <c r="R141">
        <v>0</v>
      </c>
      <c r="S141">
        <v>30</v>
      </c>
      <c r="T141">
        <v>0</v>
      </c>
      <c r="U141">
        <v>0</v>
      </c>
      <c r="V141">
        <v>0</v>
      </c>
      <c r="W141">
        <v>0</v>
      </c>
      <c r="X141" s="23" t="s">
        <v>57</v>
      </c>
      <c r="Y141" s="23" t="s">
        <v>57</v>
      </c>
      <c r="Z141" s="23" t="s">
        <v>57</v>
      </c>
      <c r="AA141" s="23">
        <v>0</v>
      </c>
      <c r="AB141">
        <v>0</v>
      </c>
      <c r="AC141">
        <v>0</v>
      </c>
      <c r="AD141">
        <v>0</v>
      </c>
      <c r="AE141">
        <v>0</v>
      </c>
      <c r="AF141" s="23" t="s">
        <v>57</v>
      </c>
      <c r="AG141" s="23" t="s">
        <v>57</v>
      </c>
      <c r="AH141" s="23" t="s">
        <v>57</v>
      </c>
      <c r="AI141" s="23" t="s">
        <v>57</v>
      </c>
      <c r="AJ141">
        <v>8</v>
      </c>
      <c r="AK141">
        <v>22</v>
      </c>
      <c r="AL141">
        <v>53</v>
      </c>
      <c r="AM141">
        <v>45</v>
      </c>
      <c r="AN141" s="23">
        <v>0</v>
      </c>
      <c r="AO141" s="23">
        <v>0</v>
      </c>
      <c r="AP141" s="23">
        <v>0</v>
      </c>
      <c r="AQ141" s="23">
        <v>0.0222222222222222</v>
      </c>
      <c r="AR141" s="35">
        <v>0</v>
      </c>
      <c r="AS141" s="35">
        <v>0</v>
      </c>
      <c r="AT141" s="35">
        <v>21</v>
      </c>
      <c r="AU141" s="31" t="str">
        <f t="shared" si="6"/>
        <v>库存为21</v>
      </c>
      <c r="AV141" s="36" t="str">
        <f>IFERROR(时间!$B$4+AU141,"上周无销量")</f>
        <v>上周无销量</v>
      </c>
    </row>
    <row r="142" spans="1:48">
      <c r="A142" s="19" t="s">
        <v>491</v>
      </c>
      <c r="B142" t="s">
        <v>492</v>
      </c>
      <c r="C142" t="s">
        <v>485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1</v>
      </c>
      <c r="J142" s="33">
        <v>0</v>
      </c>
      <c r="K142" s="33">
        <v>0</v>
      </c>
      <c r="L142" s="33">
        <v>0</v>
      </c>
      <c r="M142">
        <v>1</v>
      </c>
      <c r="N142">
        <v>0</v>
      </c>
      <c r="O142">
        <v>0</v>
      </c>
      <c r="P142" t="s">
        <v>57</v>
      </c>
      <c r="Q142" t="s">
        <v>57</v>
      </c>
      <c r="R142" t="s">
        <v>57</v>
      </c>
      <c r="S142" t="s">
        <v>57</v>
      </c>
      <c r="T142" t="s">
        <v>57</v>
      </c>
      <c r="U142" t="s">
        <v>57</v>
      </c>
      <c r="V142" t="s">
        <v>57</v>
      </c>
      <c r="W142" t="s">
        <v>57</v>
      </c>
      <c r="X142" s="23" t="s">
        <v>57</v>
      </c>
      <c r="Y142" s="23" t="s">
        <v>57</v>
      </c>
      <c r="Z142" s="23" t="s">
        <v>57</v>
      </c>
      <c r="AA142" s="23" t="s">
        <v>57</v>
      </c>
      <c r="AB142" t="s">
        <v>57</v>
      </c>
      <c r="AC142" t="s">
        <v>57</v>
      </c>
      <c r="AD142" t="s">
        <v>57</v>
      </c>
      <c r="AE142" t="s">
        <v>57</v>
      </c>
      <c r="AF142" s="23" t="s">
        <v>57</v>
      </c>
      <c r="AG142" s="23" t="s">
        <v>57</v>
      </c>
      <c r="AH142" s="23" t="s">
        <v>57</v>
      </c>
      <c r="AI142" s="23" t="s">
        <v>57</v>
      </c>
      <c r="AJ142">
        <v>2</v>
      </c>
      <c r="AK142">
        <v>0</v>
      </c>
      <c r="AL142">
        <v>0</v>
      </c>
      <c r="AM142">
        <v>0</v>
      </c>
      <c r="AN142" s="23">
        <v>0</v>
      </c>
      <c r="AO142" s="23" t="s">
        <v>57</v>
      </c>
      <c r="AP142" s="23" t="s">
        <v>57</v>
      </c>
      <c r="AQ142" s="23" t="s">
        <v>57</v>
      </c>
      <c r="AR142" s="35">
        <v>0</v>
      </c>
      <c r="AS142" s="35">
        <v>0</v>
      </c>
      <c r="AT142" s="35">
        <v>1</v>
      </c>
      <c r="AU142" s="31" t="str">
        <f t="shared" si="6"/>
        <v>库存为1</v>
      </c>
      <c r="AV142" s="36" t="str">
        <f>IFERROR(时间!$B$4+AU142,"上周无销量")</f>
        <v>上周无销量</v>
      </c>
    </row>
    <row r="143" spans="1:48">
      <c r="A143" s="19" t="s">
        <v>493</v>
      </c>
      <c r="B143" t="s">
        <v>494</v>
      </c>
      <c r="C143" t="s">
        <v>485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34</v>
      </c>
      <c r="J143" s="33">
        <v>0</v>
      </c>
      <c r="K143" s="33">
        <v>0</v>
      </c>
      <c r="L143" s="33">
        <v>0</v>
      </c>
      <c r="M143">
        <v>34</v>
      </c>
      <c r="N143">
        <v>0</v>
      </c>
      <c r="O143">
        <v>33</v>
      </c>
      <c r="P143">
        <v>318</v>
      </c>
      <c r="Q143">
        <v>450</v>
      </c>
      <c r="R143">
        <v>353</v>
      </c>
      <c r="S143">
        <v>1211</v>
      </c>
      <c r="T143">
        <v>8</v>
      </c>
      <c r="U143">
        <v>6</v>
      </c>
      <c r="V143">
        <v>2</v>
      </c>
      <c r="W143">
        <v>6</v>
      </c>
      <c r="X143" s="23">
        <v>0.0251572327044025</v>
      </c>
      <c r="Y143" s="23">
        <v>0.0133333333333333</v>
      </c>
      <c r="Z143" s="23">
        <v>0.0056657223796034</v>
      </c>
      <c r="AA143" s="23">
        <v>0.00495458298926507</v>
      </c>
      <c r="AB143">
        <v>0.9</v>
      </c>
      <c r="AC143">
        <v>0.91</v>
      </c>
      <c r="AD143">
        <v>0.23</v>
      </c>
      <c r="AE143">
        <v>0.59</v>
      </c>
      <c r="AF143" s="23" t="s">
        <v>495</v>
      </c>
      <c r="AG143" s="23" t="s">
        <v>496</v>
      </c>
      <c r="AH143" s="23" t="s">
        <v>497</v>
      </c>
      <c r="AI143" s="23" t="s">
        <v>498</v>
      </c>
      <c r="AJ143">
        <v>12</v>
      </c>
      <c r="AK143">
        <v>18</v>
      </c>
      <c r="AL143">
        <v>91</v>
      </c>
      <c r="AM143">
        <v>16</v>
      </c>
      <c r="AN143" s="23">
        <v>0</v>
      </c>
      <c r="AO143" s="23">
        <v>0</v>
      </c>
      <c r="AP143" s="23">
        <v>0</v>
      </c>
      <c r="AQ143" s="23">
        <v>0</v>
      </c>
      <c r="AR143" s="35">
        <v>0</v>
      </c>
      <c r="AS143" s="35">
        <v>0</v>
      </c>
      <c r="AT143" s="35">
        <v>34</v>
      </c>
      <c r="AU143" s="31" t="str">
        <f t="shared" si="6"/>
        <v>库存为34</v>
      </c>
      <c r="AV143" s="36" t="str">
        <f>IFERROR(时间!$B$4+AU143,"上周无销量")</f>
        <v>上周无销量</v>
      </c>
    </row>
    <row r="144" spans="1:48">
      <c r="A144" s="19" t="s">
        <v>499</v>
      </c>
      <c r="B144" t="s">
        <v>500</v>
      </c>
      <c r="C144" t="s">
        <v>501</v>
      </c>
      <c r="D144" s="31">
        <v>0</v>
      </c>
      <c r="E144" s="31">
        <v>0</v>
      </c>
      <c r="F144" s="31">
        <v>1</v>
      </c>
      <c r="G144" s="31">
        <v>3</v>
      </c>
      <c r="H144" s="32">
        <v>99.99</v>
      </c>
      <c r="I144">
        <v>13</v>
      </c>
      <c r="J144" s="33">
        <v>3</v>
      </c>
      <c r="K144" s="33">
        <v>0</v>
      </c>
      <c r="L144" s="33">
        <v>0</v>
      </c>
      <c r="M144">
        <v>16</v>
      </c>
      <c r="N144">
        <v>0</v>
      </c>
      <c r="O144">
        <v>0</v>
      </c>
      <c r="P144">
        <v>3</v>
      </c>
      <c r="Q144">
        <v>2</v>
      </c>
      <c r="R144">
        <v>1</v>
      </c>
      <c r="S144">
        <v>5</v>
      </c>
      <c r="T144">
        <v>0</v>
      </c>
      <c r="U144">
        <v>0</v>
      </c>
      <c r="V144">
        <v>0</v>
      </c>
      <c r="W144">
        <v>0</v>
      </c>
      <c r="X144" s="23">
        <v>0</v>
      </c>
      <c r="Y144" s="23">
        <v>0</v>
      </c>
      <c r="Z144" s="23">
        <v>0</v>
      </c>
      <c r="AA144" s="23">
        <v>0</v>
      </c>
      <c r="AB144">
        <v>0</v>
      </c>
      <c r="AC144">
        <v>0</v>
      </c>
      <c r="AD144">
        <v>0</v>
      </c>
      <c r="AE144">
        <v>0</v>
      </c>
      <c r="AF144" s="23" t="s">
        <v>57</v>
      </c>
      <c r="AG144" s="23" t="s">
        <v>57</v>
      </c>
      <c r="AH144" s="23" t="s">
        <v>57</v>
      </c>
      <c r="AI144" s="23" t="s">
        <v>57</v>
      </c>
      <c r="AJ144">
        <v>110</v>
      </c>
      <c r="AK144">
        <v>106</v>
      </c>
      <c r="AL144">
        <v>99</v>
      </c>
      <c r="AM144">
        <v>75</v>
      </c>
      <c r="AN144" s="23">
        <v>0</v>
      </c>
      <c r="AO144" s="23">
        <v>0</v>
      </c>
      <c r="AP144" s="23">
        <v>0.0101010101010101</v>
      </c>
      <c r="AQ144" s="23">
        <v>0.04</v>
      </c>
      <c r="AR144" s="35">
        <v>0</v>
      </c>
      <c r="AS144" s="35">
        <v>0</v>
      </c>
      <c r="AT144" s="35">
        <v>16</v>
      </c>
      <c r="AU144" s="31" t="str">
        <f t="shared" si="6"/>
        <v>库存为16</v>
      </c>
      <c r="AV144" s="36" t="str">
        <f>IFERROR(时间!$B$4+AU144,"上周无销量")</f>
        <v>上周无销量</v>
      </c>
    </row>
    <row r="145" spans="1:48">
      <c r="A145" s="19" t="s">
        <v>502</v>
      </c>
      <c r="B145" t="s">
        <v>503</v>
      </c>
      <c r="C145" t="s">
        <v>504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16</v>
      </c>
      <c r="J145" s="33">
        <v>0</v>
      </c>
      <c r="K145" s="33">
        <v>0</v>
      </c>
      <c r="L145" s="33">
        <v>0</v>
      </c>
      <c r="M145">
        <v>16</v>
      </c>
      <c r="N145">
        <v>0</v>
      </c>
      <c r="O145">
        <v>1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3" t="s">
        <v>57</v>
      </c>
      <c r="Y145" s="23" t="s">
        <v>57</v>
      </c>
      <c r="Z145" s="23" t="s">
        <v>57</v>
      </c>
      <c r="AA145" s="23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3" t="s">
        <v>57</v>
      </c>
      <c r="AG145" s="23" t="s">
        <v>57</v>
      </c>
      <c r="AH145" s="23" t="s">
        <v>57</v>
      </c>
      <c r="AI145" s="23" t="s">
        <v>57</v>
      </c>
      <c r="AJ145">
        <v>5</v>
      </c>
      <c r="AK145">
        <v>1</v>
      </c>
      <c r="AL145">
        <v>4</v>
      </c>
      <c r="AM145">
        <v>8</v>
      </c>
      <c r="AN145" s="23">
        <v>0</v>
      </c>
      <c r="AO145" s="23">
        <v>0</v>
      </c>
      <c r="AP145" s="23">
        <v>0</v>
      </c>
      <c r="AQ145" s="23">
        <v>0</v>
      </c>
      <c r="AR145" s="35">
        <v>0</v>
      </c>
      <c r="AS145" s="35">
        <v>0</v>
      </c>
      <c r="AT145" s="35">
        <v>16</v>
      </c>
      <c r="AU145" s="31" t="str">
        <f t="shared" si="6"/>
        <v>库存为16</v>
      </c>
      <c r="AV145" s="36" t="str">
        <f>IFERROR(时间!$B$4+AU145,"上周无销量")</f>
        <v>上周无销量</v>
      </c>
    </row>
    <row r="146" spans="1:48">
      <c r="A146" s="19" t="s">
        <v>505</v>
      </c>
      <c r="B146" t="s">
        <v>506</v>
      </c>
      <c r="C146" t="s">
        <v>507</v>
      </c>
      <c r="D146" s="31">
        <v>1</v>
      </c>
      <c r="E146" s="31">
        <v>0</v>
      </c>
      <c r="F146" s="31">
        <v>1</v>
      </c>
      <c r="G146" s="31">
        <v>0</v>
      </c>
      <c r="H146" s="32">
        <v>32.99</v>
      </c>
      <c r="I146">
        <v>8</v>
      </c>
      <c r="J146" s="33">
        <v>0</v>
      </c>
      <c r="K146" s="33">
        <v>0</v>
      </c>
      <c r="L146" s="33">
        <v>1</v>
      </c>
      <c r="M146">
        <v>9</v>
      </c>
      <c r="N146">
        <v>0</v>
      </c>
      <c r="O146">
        <v>5</v>
      </c>
      <c r="P146" t="s">
        <v>57</v>
      </c>
      <c r="Q146" t="s">
        <v>57</v>
      </c>
      <c r="R146" t="s">
        <v>57</v>
      </c>
      <c r="S146" t="s">
        <v>57</v>
      </c>
      <c r="T146" t="s">
        <v>57</v>
      </c>
      <c r="U146" t="s">
        <v>57</v>
      </c>
      <c r="V146" t="s">
        <v>57</v>
      </c>
      <c r="W146" t="s">
        <v>57</v>
      </c>
      <c r="X146" s="23" t="s">
        <v>57</v>
      </c>
      <c r="Y146" s="23" t="s">
        <v>57</v>
      </c>
      <c r="Z146" s="23" t="s">
        <v>57</v>
      </c>
      <c r="AA146" s="23" t="s">
        <v>57</v>
      </c>
      <c r="AB146" t="s">
        <v>57</v>
      </c>
      <c r="AC146" t="s">
        <v>57</v>
      </c>
      <c r="AD146" t="s">
        <v>57</v>
      </c>
      <c r="AE146" t="s">
        <v>57</v>
      </c>
      <c r="AF146" s="23" t="s">
        <v>57</v>
      </c>
      <c r="AG146" s="23" t="s">
        <v>57</v>
      </c>
      <c r="AH146" s="23" t="s">
        <v>57</v>
      </c>
      <c r="AI146" s="23" t="s">
        <v>57</v>
      </c>
      <c r="AJ146">
        <v>52</v>
      </c>
      <c r="AK146">
        <v>71</v>
      </c>
      <c r="AL146">
        <v>109</v>
      </c>
      <c r="AM146">
        <v>69</v>
      </c>
      <c r="AN146" s="23">
        <v>0.0192307692307692</v>
      </c>
      <c r="AO146" s="23">
        <v>0</v>
      </c>
      <c r="AP146" s="23">
        <v>0.00917431192660551</v>
      </c>
      <c r="AQ146" s="23">
        <v>0</v>
      </c>
      <c r="AR146" s="35">
        <v>0.142857142857143</v>
      </c>
      <c r="AS146" s="35">
        <v>8.57142857142857</v>
      </c>
      <c r="AT146" s="35">
        <v>0.428571428571429</v>
      </c>
      <c r="AU146" s="31">
        <f t="shared" si="6"/>
        <v>63</v>
      </c>
      <c r="AV146" s="36">
        <f>IFERROR(时间!$B$4+AU146,"上周无销量")</f>
        <v>43360</v>
      </c>
    </row>
    <row r="147" spans="1:48">
      <c r="A147" s="19" t="s">
        <v>508</v>
      </c>
      <c r="B147" t="s">
        <v>509</v>
      </c>
      <c r="C147" t="s">
        <v>507</v>
      </c>
      <c r="D147" s="31">
        <v>0</v>
      </c>
      <c r="E147" s="31">
        <v>1</v>
      </c>
      <c r="F147" s="31">
        <v>1</v>
      </c>
      <c r="G147" s="31">
        <v>2</v>
      </c>
      <c r="H147" s="32">
        <v>32.99</v>
      </c>
      <c r="I147">
        <v>11</v>
      </c>
      <c r="J147" s="33">
        <v>0</v>
      </c>
      <c r="K147" s="33">
        <v>0</v>
      </c>
      <c r="L147" s="33">
        <v>0</v>
      </c>
      <c r="M147">
        <v>11</v>
      </c>
      <c r="N147">
        <v>0</v>
      </c>
      <c r="O147">
        <v>1</v>
      </c>
      <c r="P147" t="s">
        <v>57</v>
      </c>
      <c r="Q147" t="s">
        <v>57</v>
      </c>
      <c r="R147" t="s">
        <v>57</v>
      </c>
      <c r="S147" t="s">
        <v>57</v>
      </c>
      <c r="T147" t="s">
        <v>57</v>
      </c>
      <c r="U147" t="s">
        <v>57</v>
      </c>
      <c r="V147" t="s">
        <v>57</v>
      </c>
      <c r="W147" t="s">
        <v>57</v>
      </c>
      <c r="X147" s="23" t="s">
        <v>57</v>
      </c>
      <c r="Y147" s="23" t="s">
        <v>57</v>
      </c>
      <c r="Z147" s="23" t="s">
        <v>57</v>
      </c>
      <c r="AA147" s="23" t="s">
        <v>57</v>
      </c>
      <c r="AB147" t="s">
        <v>57</v>
      </c>
      <c r="AC147" t="s">
        <v>57</v>
      </c>
      <c r="AD147" t="s">
        <v>57</v>
      </c>
      <c r="AE147" t="s">
        <v>57</v>
      </c>
      <c r="AF147" s="23" t="s">
        <v>57</v>
      </c>
      <c r="AG147" s="23" t="s">
        <v>57</v>
      </c>
      <c r="AH147" s="23" t="s">
        <v>57</v>
      </c>
      <c r="AI147" s="23" t="s">
        <v>57</v>
      </c>
      <c r="AJ147">
        <v>45</v>
      </c>
      <c r="AK147">
        <v>71</v>
      </c>
      <c r="AL147">
        <v>95</v>
      </c>
      <c r="AM147">
        <v>81</v>
      </c>
      <c r="AN147" s="23">
        <v>0</v>
      </c>
      <c r="AO147" s="23">
        <v>0.0140845070422535</v>
      </c>
      <c r="AP147" s="23">
        <v>0.0105263157894737</v>
      </c>
      <c r="AQ147" s="23">
        <v>0.0246913580246914</v>
      </c>
      <c r="AR147" s="35">
        <v>0</v>
      </c>
      <c r="AS147" s="35">
        <v>0</v>
      </c>
      <c r="AT147" s="35">
        <v>11</v>
      </c>
      <c r="AU147" s="31" t="str">
        <f t="shared" si="6"/>
        <v>库存为11</v>
      </c>
      <c r="AV147" s="36" t="str">
        <f>IFERROR(时间!$B$4+AU147,"上周无销量")</f>
        <v>上周无销量</v>
      </c>
    </row>
    <row r="148" spans="1:48">
      <c r="A148" s="19" t="s">
        <v>510</v>
      </c>
      <c r="B148" t="s">
        <v>511</v>
      </c>
      <c r="C148" t="s">
        <v>507</v>
      </c>
      <c r="D148" s="31">
        <v>1</v>
      </c>
      <c r="E148" s="31">
        <v>1</v>
      </c>
      <c r="F148" s="31">
        <v>4</v>
      </c>
      <c r="G148" s="31">
        <v>2</v>
      </c>
      <c r="H148" s="32">
        <v>34.99</v>
      </c>
      <c r="I148">
        <v>31</v>
      </c>
      <c r="J148" s="33">
        <v>8</v>
      </c>
      <c r="K148" s="33">
        <v>0</v>
      </c>
      <c r="L148" s="33">
        <v>21</v>
      </c>
      <c r="M148">
        <v>60</v>
      </c>
      <c r="N148">
        <v>0</v>
      </c>
      <c r="O148">
        <v>0</v>
      </c>
      <c r="P148">
        <v>8414</v>
      </c>
      <c r="Q148">
        <v>12755</v>
      </c>
      <c r="R148">
        <v>0</v>
      </c>
      <c r="S148">
        <v>0</v>
      </c>
      <c r="T148">
        <v>40</v>
      </c>
      <c r="U148">
        <v>73</v>
      </c>
      <c r="V148">
        <v>0</v>
      </c>
      <c r="W148">
        <v>0</v>
      </c>
      <c r="X148" s="23">
        <v>0.00475398145947231</v>
      </c>
      <c r="Y148" s="23">
        <v>0.00572324578596629</v>
      </c>
      <c r="Z148" s="23" t="s">
        <v>57</v>
      </c>
      <c r="AA148" s="23" t="s">
        <v>57</v>
      </c>
      <c r="AB148">
        <v>6.6</v>
      </c>
      <c r="AC148">
        <v>13.33</v>
      </c>
      <c r="AD148">
        <v>0</v>
      </c>
      <c r="AE148">
        <v>0</v>
      </c>
      <c r="AF148" s="23">
        <v>0.188625321520434</v>
      </c>
      <c r="AG148" s="23">
        <v>0.380965990282938</v>
      </c>
      <c r="AH148" s="23" t="s">
        <v>57</v>
      </c>
      <c r="AI148" s="23" t="s">
        <v>57</v>
      </c>
      <c r="AJ148">
        <v>374</v>
      </c>
      <c r="AK148">
        <v>170</v>
      </c>
      <c r="AL148">
        <v>183</v>
      </c>
      <c r="AM148">
        <v>169</v>
      </c>
      <c r="AN148" s="23">
        <v>0.00267379679144385</v>
      </c>
      <c r="AO148" s="23">
        <v>0.00588235294117647</v>
      </c>
      <c r="AP148" s="23">
        <v>0.0218579234972678</v>
      </c>
      <c r="AQ148" s="23">
        <v>0.0118343195266272</v>
      </c>
      <c r="AR148" s="35">
        <v>0.142857142857143</v>
      </c>
      <c r="AS148" s="35">
        <v>8.57142857142857</v>
      </c>
      <c r="AT148" s="35">
        <v>51.4285714285714</v>
      </c>
      <c r="AU148" s="31">
        <f t="shared" si="6"/>
        <v>420</v>
      </c>
      <c r="AV148" s="36">
        <f>IFERROR(时间!$B$4+AU148,"上周无销量")</f>
        <v>43717</v>
      </c>
    </row>
    <row r="149" spans="1:48">
      <c r="A149" s="19" t="s">
        <v>512</v>
      </c>
      <c r="B149" t="s">
        <v>506</v>
      </c>
      <c r="C149" t="s">
        <v>507</v>
      </c>
      <c r="D149" s="31">
        <v>0</v>
      </c>
      <c r="E149" s="31">
        <v>1</v>
      </c>
      <c r="F149" s="31">
        <v>0</v>
      </c>
      <c r="G149" s="31">
        <v>1</v>
      </c>
      <c r="H149" s="32">
        <v>32.99</v>
      </c>
      <c r="I149">
        <v>10</v>
      </c>
      <c r="J149" s="33">
        <v>0</v>
      </c>
      <c r="K149" s="33">
        <v>0</v>
      </c>
      <c r="L149" s="33">
        <v>0</v>
      </c>
      <c r="M149">
        <v>10</v>
      </c>
      <c r="N149">
        <v>0</v>
      </c>
      <c r="O149">
        <v>10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3" t="s">
        <v>57</v>
      </c>
      <c r="Y149" s="23" t="s">
        <v>57</v>
      </c>
      <c r="Z149" s="23" t="s">
        <v>57</v>
      </c>
      <c r="AA149" s="23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3" t="s">
        <v>57</v>
      </c>
      <c r="AG149" s="23" t="s">
        <v>57</v>
      </c>
      <c r="AH149" s="23" t="s">
        <v>57</v>
      </c>
      <c r="AI149" s="23" t="s">
        <v>57</v>
      </c>
      <c r="AJ149">
        <v>52</v>
      </c>
      <c r="AK149">
        <v>71</v>
      </c>
      <c r="AL149">
        <v>109</v>
      </c>
      <c r="AM149">
        <v>69</v>
      </c>
      <c r="AN149" s="23">
        <v>0</v>
      </c>
      <c r="AO149" s="23">
        <v>0.0140845070422535</v>
      </c>
      <c r="AP149" s="23">
        <v>0</v>
      </c>
      <c r="AQ149" s="23">
        <v>0.0144927536231884</v>
      </c>
      <c r="AR149" s="35">
        <v>0</v>
      </c>
      <c r="AS149" s="35">
        <v>0</v>
      </c>
      <c r="AT149" s="35">
        <v>10</v>
      </c>
      <c r="AU149" s="31" t="str">
        <f t="shared" si="6"/>
        <v>库存为10</v>
      </c>
      <c r="AV149" s="36" t="str">
        <f>IFERROR(时间!$B$4+AU149,"上周无销量")</f>
        <v>上周无销量</v>
      </c>
    </row>
    <row r="150" spans="1:48">
      <c r="A150" s="19" t="s">
        <v>513</v>
      </c>
      <c r="B150" t="s">
        <v>428</v>
      </c>
      <c r="C150" t="s">
        <v>514</v>
      </c>
      <c r="D150" s="31">
        <v>1</v>
      </c>
      <c r="E150" s="31">
        <v>0</v>
      </c>
      <c r="F150" s="31">
        <v>3</v>
      </c>
      <c r="G150" s="31">
        <v>3</v>
      </c>
      <c r="H150" s="32">
        <v>89.99</v>
      </c>
      <c r="I150">
        <v>60</v>
      </c>
      <c r="J150" s="33">
        <v>0</v>
      </c>
      <c r="K150" s="33">
        <v>0</v>
      </c>
      <c r="L150" s="33">
        <v>4</v>
      </c>
      <c r="M150">
        <v>64</v>
      </c>
      <c r="N150">
        <v>0</v>
      </c>
      <c r="O150">
        <v>0</v>
      </c>
      <c r="P150" t="s">
        <v>57</v>
      </c>
      <c r="Q150" t="s">
        <v>57</v>
      </c>
      <c r="R150" t="s">
        <v>57</v>
      </c>
      <c r="S150" t="s">
        <v>57</v>
      </c>
      <c r="T150" t="s">
        <v>57</v>
      </c>
      <c r="U150" t="s">
        <v>57</v>
      </c>
      <c r="V150" t="s">
        <v>57</v>
      </c>
      <c r="W150" t="s">
        <v>57</v>
      </c>
      <c r="X150" s="23" t="s">
        <v>57</v>
      </c>
      <c r="Y150" s="23" t="s">
        <v>57</v>
      </c>
      <c r="Z150" s="23" t="s">
        <v>57</v>
      </c>
      <c r="AA150" s="23" t="s">
        <v>57</v>
      </c>
      <c r="AB150" t="s">
        <v>57</v>
      </c>
      <c r="AC150" t="s">
        <v>57</v>
      </c>
      <c r="AD150" t="s">
        <v>57</v>
      </c>
      <c r="AE150" t="s">
        <v>57</v>
      </c>
      <c r="AF150" s="23" t="s">
        <v>57</v>
      </c>
      <c r="AG150" s="23" t="s">
        <v>57</v>
      </c>
      <c r="AH150" s="23" t="s">
        <v>57</v>
      </c>
      <c r="AI150" s="23" t="s">
        <v>57</v>
      </c>
      <c r="AJ150">
        <v>48</v>
      </c>
      <c r="AK150">
        <v>75</v>
      </c>
      <c r="AL150">
        <v>64</v>
      </c>
      <c r="AM150">
        <v>69</v>
      </c>
      <c r="AN150" s="23">
        <v>0.0208333333333333</v>
      </c>
      <c r="AO150" s="23">
        <v>0</v>
      </c>
      <c r="AP150" s="23">
        <v>0.046875</v>
      </c>
      <c r="AQ150" s="23">
        <v>0.0434782608695652</v>
      </c>
      <c r="AR150" s="35">
        <v>0.142857142857143</v>
      </c>
      <c r="AS150" s="35">
        <v>8.57142857142857</v>
      </c>
      <c r="AT150" s="35">
        <v>55.4285714285714</v>
      </c>
      <c r="AU150" s="31">
        <f t="shared" si="6"/>
        <v>448</v>
      </c>
      <c r="AV150" s="36">
        <f>IFERROR(时间!$B$4+AU150,"上周无销量")</f>
        <v>43745</v>
      </c>
    </row>
    <row r="151" spans="1:48">
      <c r="A151" s="19" t="s">
        <v>515</v>
      </c>
      <c r="B151" t="s">
        <v>516</v>
      </c>
      <c r="C151" t="s">
        <v>517</v>
      </c>
      <c r="D151" s="31">
        <v>1</v>
      </c>
      <c r="E151" s="31">
        <v>0</v>
      </c>
      <c r="F151" s="31">
        <v>0</v>
      </c>
      <c r="G151" s="31">
        <v>0</v>
      </c>
      <c r="H151" s="32">
        <v>89.6</v>
      </c>
      <c r="I151">
        <v>11</v>
      </c>
      <c r="J151" s="33">
        <v>0</v>
      </c>
      <c r="K151" s="33">
        <v>0</v>
      </c>
      <c r="L151" s="33">
        <v>0</v>
      </c>
      <c r="M151">
        <v>11</v>
      </c>
      <c r="N151">
        <v>0</v>
      </c>
      <c r="O151">
        <v>11</v>
      </c>
      <c r="P151" t="s">
        <v>57</v>
      </c>
      <c r="Q151" t="s">
        <v>57</v>
      </c>
      <c r="R151" t="s">
        <v>57</v>
      </c>
      <c r="S151" t="s">
        <v>57</v>
      </c>
      <c r="T151" t="s">
        <v>57</v>
      </c>
      <c r="U151" t="s">
        <v>57</v>
      </c>
      <c r="V151" t="s">
        <v>57</v>
      </c>
      <c r="W151" t="s">
        <v>57</v>
      </c>
      <c r="X151" s="23" t="s">
        <v>57</v>
      </c>
      <c r="Y151" s="23" t="s">
        <v>57</v>
      </c>
      <c r="Z151" s="23" t="s">
        <v>57</v>
      </c>
      <c r="AA151" s="23" t="s">
        <v>57</v>
      </c>
      <c r="AB151" t="s">
        <v>57</v>
      </c>
      <c r="AC151" t="s">
        <v>57</v>
      </c>
      <c r="AD151" t="s">
        <v>57</v>
      </c>
      <c r="AE151" t="s">
        <v>57</v>
      </c>
      <c r="AF151" s="23" t="s">
        <v>57</v>
      </c>
      <c r="AG151" s="23" t="s">
        <v>57</v>
      </c>
      <c r="AH151" s="23" t="s">
        <v>57</v>
      </c>
      <c r="AI151" s="23" t="s">
        <v>57</v>
      </c>
      <c r="AJ151">
        <v>12</v>
      </c>
      <c r="AK151">
        <v>13</v>
      </c>
      <c r="AL151">
        <v>14</v>
      </c>
      <c r="AM151">
        <v>22</v>
      </c>
      <c r="AN151" s="23">
        <v>0.0833333333333333</v>
      </c>
      <c r="AO151" s="23">
        <v>0</v>
      </c>
      <c r="AP151" s="23">
        <v>0</v>
      </c>
      <c r="AQ151" s="23">
        <v>0</v>
      </c>
      <c r="AR151" s="35">
        <v>0.142857142857143</v>
      </c>
      <c r="AS151" s="35">
        <v>8.57142857142857</v>
      </c>
      <c r="AT151" s="35">
        <v>2.42857142857143</v>
      </c>
      <c r="AU151" s="31">
        <f t="shared" si="6"/>
        <v>77</v>
      </c>
      <c r="AV151" s="36">
        <f>IFERROR(时间!$B$4+AU151,"上周无销量")</f>
        <v>43374</v>
      </c>
    </row>
    <row r="152" spans="1:48">
      <c r="A152" s="19" t="s">
        <v>518</v>
      </c>
      <c r="B152" t="s">
        <v>519</v>
      </c>
      <c r="C152" t="s">
        <v>520</v>
      </c>
      <c r="D152" s="31">
        <v>0</v>
      </c>
      <c r="E152" s="31">
        <v>2</v>
      </c>
      <c r="F152" s="31">
        <v>1</v>
      </c>
      <c r="G152" s="31">
        <v>1</v>
      </c>
      <c r="H152" s="32">
        <v>99.6</v>
      </c>
      <c r="I152">
        <v>36</v>
      </c>
      <c r="J152" s="33">
        <v>0</v>
      </c>
      <c r="K152" s="33">
        <v>0</v>
      </c>
      <c r="L152" s="33">
        <v>0</v>
      </c>
      <c r="M152">
        <v>36</v>
      </c>
      <c r="N152">
        <v>1</v>
      </c>
      <c r="O152">
        <v>0</v>
      </c>
      <c r="P152">
        <v>0</v>
      </c>
      <c r="Q152">
        <v>16432</v>
      </c>
      <c r="R152">
        <v>24189</v>
      </c>
      <c r="S152">
        <v>30268</v>
      </c>
      <c r="T152">
        <v>0</v>
      </c>
      <c r="U152">
        <v>115</v>
      </c>
      <c r="V152">
        <v>135</v>
      </c>
      <c r="W152">
        <v>208</v>
      </c>
      <c r="X152" s="23" t="s">
        <v>57</v>
      </c>
      <c r="Y152" s="23">
        <v>0.0069985394352483</v>
      </c>
      <c r="Z152" s="23">
        <v>0.0055810492372566</v>
      </c>
      <c r="AA152" s="23">
        <v>0.00687194396722611</v>
      </c>
      <c r="AB152">
        <v>0</v>
      </c>
      <c r="AC152">
        <v>16.55</v>
      </c>
      <c r="AD152">
        <v>20.65</v>
      </c>
      <c r="AE152">
        <v>28.87</v>
      </c>
      <c r="AF152" s="23" t="s">
        <v>57</v>
      </c>
      <c r="AG152" s="23">
        <v>0.0830823293172691</v>
      </c>
      <c r="AH152" s="23">
        <v>0.207329317269076</v>
      </c>
      <c r="AI152" s="23">
        <v>0.289859437751004</v>
      </c>
      <c r="AJ152">
        <v>136</v>
      </c>
      <c r="AK152">
        <v>177</v>
      </c>
      <c r="AL152">
        <v>146</v>
      </c>
      <c r="AM152">
        <v>177</v>
      </c>
      <c r="AN152" s="23">
        <v>0</v>
      </c>
      <c r="AO152" s="23">
        <v>0.0112994350282486</v>
      </c>
      <c r="AP152" s="23">
        <v>0.00684931506849315</v>
      </c>
      <c r="AQ152" s="23">
        <v>0.00564971751412429</v>
      </c>
      <c r="AR152" s="35">
        <v>0</v>
      </c>
      <c r="AS152" s="35">
        <v>0</v>
      </c>
      <c r="AT152" s="35">
        <v>36</v>
      </c>
      <c r="AU152" s="31" t="str">
        <f t="shared" si="6"/>
        <v>库存为36</v>
      </c>
      <c r="AV152" s="36" t="str">
        <f>IFERROR(时间!$B$4+AU152,"上周无销量")</f>
        <v>上周无销量</v>
      </c>
    </row>
    <row r="153" spans="1:48">
      <c r="A153" s="19" t="s">
        <v>521</v>
      </c>
      <c r="B153" t="s">
        <v>522</v>
      </c>
      <c r="C153" t="s">
        <v>523</v>
      </c>
      <c r="D153" s="31">
        <v>0</v>
      </c>
      <c r="E153" s="31">
        <v>1</v>
      </c>
      <c r="F153" s="31">
        <v>3</v>
      </c>
      <c r="G153" s="31">
        <v>3</v>
      </c>
      <c r="H153" s="32">
        <v>21.99</v>
      </c>
      <c r="I153">
        <v>24</v>
      </c>
      <c r="J153" s="33">
        <v>0</v>
      </c>
      <c r="K153" s="33">
        <v>0</v>
      </c>
      <c r="L153" s="33">
        <v>0</v>
      </c>
      <c r="M153">
        <v>24</v>
      </c>
      <c r="N153">
        <v>10</v>
      </c>
      <c r="O153">
        <v>26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3" t="s">
        <v>57</v>
      </c>
      <c r="Y153" s="23" t="s">
        <v>57</v>
      </c>
      <c r="Z153" s="23" t="s">
        <v>57</v>
      </c>
      <c r="AA153" s="23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3" t="s">
        <v>57</v>
      </c>
      <c r="AG153" s="23" t="s">
        <v>57</v>
      </c>
      <c r="AH153" s="23" t="s">
        <v>57</v>
      </c>
      <c r="AI153" s="23" t="s">
        <v>57</v>
      </c>
      <c r="AJ153">
        <v>30</v>
      </c>
      <c r="AK153">
        <v>23</v>
      </c>
      <c r="AL153">
        <v>26</v>
      </c>
      <c r="AM153">
        <v>33</v>
      </c>
      <c r="AN153" s="23">
        <v>0</v>
      </c>
      <c r="AO153" s="23">
        <v>0.0434782608695652</v>
      </c>
      <c r="AP153" s="23">
        <v>0.115384615384615</v>
      </c>
      <c r="AQ153" s="23">
        <v>0.0909090909090909</v>
      </c>
      <c r="AR153" s="35">
        <v>0</v>
      </c>
      <c r="AS153" s="35">
        <v>0</v>
      </c>
      <c r="AT153" s="35">
        <v>24</v>
      </c>
      <c r="AU153" s="31" t="str">
        <f t="shared" si="6"/>
        <v>库存为24</v>
      </c>
      <c r="AV153" s="36" t="str">
        <f>IFERROR(时间!$B$4+AU153,"上周无销量")</f>
        <v>上周无销量</v>
      </c>
    </row>
    <row r="154" spans="1:48">
      <c r="A154" s="19" t="s">
        <v>524</v>
      </c>
      <c r="B154" t="s">
        <v>525</v>
      </c>
      <c r="C154" t="s">
        <v>523</v>
      </c>
      <c r="D154" s="31">
        <v>0</v>
      </c>
      <c r="E154" s="31">
        <v>1</v>
      </c>
      <c r="F154" s="31">
        <v>0</v>
      </c>
      <c r="G154" s="31">
        <v>2</v>
      </c>
      <c r="H154" s="32">
        <v>19.99</v>
      </c>
      <c r="I154">
        <v>14</v>
      </c>
      <c r="J154" s="33">
        <v>0</v>
      </c>
      <c r="K154" s="33">
        <v>0</v>
      </c>
      <c r="L154" s="33">
        <v>0</v>
      </c>
      <c r="M154">
        <v>14</v>
      </c>
      <c r="N154">
        <v>0</v>
      </c>
      <c r="O154">
        <v>14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3" t="s">
        <v>57</v>
      </c>
      <c r="Y154" s="23" t="s">
        <v>57</v>
      </c>
      <c r="Z154" s="23" t="s">
        <v>57</v>
      </c>
      <c r="AA154" s="23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3" t="s">
        <v>57</v>
      </c>
      <c r="AG154" s="23" t="s">
        <v>57</v>
      </c>
      <c r="AH154" s="23" t="s">
        <v>57</v>
      </c>
      <c r="AI154" s="23" t="s">
        <v>57</v>
      </c>
      <c r="AJ154">
        <v>6</v>
      </c>
      <c r="AK154">
        <v>10</v>
      </c>
      <c r="AL154">
        <v>7</v>
      </c>
      <c r="AM154">
        <v>5</v>
      </c>
      <c r="AN154" s="23">
        <v>0</v>
      </c>
      <c r="AO154" s="23">
        <v>0.1</v>
      </c>
      <c r="AP154" s="23">
        <v>0</v>
      </c>
      <c r="AQ154" s="23">
        <v>0.4</v>
      </c>
      <c r="AR154" s="35">
        <v>0</v>
      </c>
      <c r="AS154" s="35">
        <v>0</v>
      </c>
      <c r="AT154" s="35">
        <v>14</v>
      </c>
      <c r="AU154" s="31" t="str">
        <f t="shared" si="6"/>
        <v>库存为14</v>
      </c>
      <c r="AV154" s="36" t="str">
        <f>IFERROR(时间!$B$4+AU154,"上周无销量")</f>
        <v>上周无销量</v>
      </c>
    </row>
    <row r="155" spans="1:48">
      <c r="A155" s="19" t="s">
        <v>526</v>
      </c>
      <c r="B155" t="s">
        <v>527</v>
      </c>
      <c r="C155" t="s">
        <v>523</v>
      </c>
      <c r="D155" s="31">
        <v>9</v>
      </c>
      <c r="E155" s="31">
        <v>9</v>
      </c>
      <c r="F155" s="31">
        <v>5</v>
      </c>
      <c r="G155" s="31">
        <v>3</v>
      </c>
      <c r="H155" s="32">
        <v>21.99</v>
      </c>
      <c r="I155">
        <v>4</v>
      </c>
      <c r="J155" s="33">
        <v>0</v>
      </c>
      <c r="K155" s="33">
        <v>0</v>
      </c>
      <c r="L155" s="33">
        <v>0</v>
      </c>
      <c r="M155">
        <v>4</v>
      </c>
      <c r="N155">
        <v>0</v>
      </c>
      <c r="O155">
        <v>5</v>
      </c>
      <c r="P155" t="s">
        <v>57</v>
      </c>
      <c r="Q155" t="s">
        <v>57</v>
      </c>
      <c r="R155" t="s">
        <v>57</v>
      </c>
      <c r="S155" t="s">
        <v>57</v>
      </c>
      <c r="T155" t="s">
        <v>57</v>
      </c>
      <c r="U155" t="s">
        <v>57</v>
      </c>
      <c r="V155" t="s">
        <v>57</v>
      </c>
      <c r="W155" t="s">
        <v>57</v>
      </c>
      <c r="X155" s="23" t="s">
        <v>57</v>
      </c>
      <c r="Y155" s="23" t="s">
        <v>57</v>
      </c>
      <c r="Z155" s="23" t="s">
        <v>57</v>
      </c>
      <c r="AA155" s="23" t="s">
        <v>57</v>
      </c>
      <c r="AB155" t="s">
        <v>57</v>
      </c>
      <c r="AC155" t="s">
        <v>57</v>
      </c>
      <c r="AD155" t="s">
        <v>57</v>
      </c>
      <c r="AE155" t="s">
        <v>57</v>
      </c>
      <c r="AF155" s="23" t="s">
        <v>57</v>
      </c>
      <c r="AG155" s="23" t="s">
        <v>57</v>
      </c>
      <c r="AH155" s="23" t="s">
        <v>57</v>
      </c>
      <c r="AI155" s="23" t="s">
        <v>57</v>
      </c>
      <c r="AJ155">
        <v>106</v>
      </c>
      <c r="AK155">
        <v>73</v>
      </c>
      <c r="AL155">
        <v>73</v>
      </c>
      <c r="AM155">
        <v>48</v>
      </c>
      <c r="AN155" s="23">
        <v>0.0849056603773585</v>
      </c>
      <c r="AO155" s="23">
        <v>0.123287671232877</v>
      </c>
      <c r="AP155" s="23">
        <v>0.0684931506849315</v>
      </c>
      <c r="AQ155" s="23">
        <v>0.0625</v>
      </c>
      <c r="AR155" s="35">
        <v>1.28571428571429</v>
      </c>
      <c r="AS155" s="35">
        <v>77.1428571428572</v>
      </c>
      <c r="AT155" s="35">
        <v>-73.1428571428572</v>
      </c>
      <c r="AU155" s="31">
        <f t="shared" si="6"/>
        <v>3</v>
      </c>
      <c r="AV155" s="36">
        <f>IFERROR(时间!$B$4+AU155,"上周无销量")</f>
        <v>43300</v>
      </c>
    </row>
    <row r="156" spans="1:48">
      <c r="A156" s="19" t="s">
        <v>528</v>
      </c>
      <c r="B156" t="s">
        <v>529</v>
      </c>
      <c r="C156" t="s">
        <v>523</v>
      </c>
      <c r="D156" s="31">
        <v>0</v>
      </c>
      <c r="E156" s="31">
        <v>0</v>
      </c>
      <c r="F156" s="31">
        <v>0</v>
      </c>
      <c r="G156" s="31">
        <v>1</v>
      </c>
      <c r="H156" s="32">
        <v>19.99</v>
      </c>
      <c r="I156">
        <v>16</v>
      </c>
      <c r="J156" s="33">
        <v>0</v>
      </c>
      <c r="K156" s="33">
        <v>0</v>
      </c>
      <c r="L156" s="33">
        <v>0</v>
      </c>
      <c r="M156">
        <v>16</v>
      </c>
      <c r="N156">
        <v>0</v>
      </c>
      <c r="O156">
        <v>16</v>
      </c>
      <c r="P156" t="s">
        <v>57</v>
      </c>
      <c r="Q156" t="s">
        <v>57</v>
      </c>
      <c r="R156" t="s">
        <v>57</v>
      </c>
      <c r="S156" t="s">
        <v>57</v>
      </c>
      <c r="T156" t="s">
        <v>57</v>
      </c>
      <c r="U156" t="s">
        <v>57</v>
      </c>
      <c r="V156" t="s">
        <v>57</v>
      </c>
      <c r="W156" t="s">
        <v>57</v>
      </c>
      <c r="X156" s="23" t="s">
        <v>57</v>
      </c>
      <c r="Y156" s="23" t="s">
        <v>57</v>
      </c>
      <c r="Z156" s="23" t="s">
        <v>57</v>
      </c>
      <c r="AA156" s="23" t="s">
        <v>57</v>
      </c>
      <c r="AB156" t="s">
        <v>57</v>
      </c>
      <c r="AC156" t="s">
        <v>57</v>
      </c>
      <c r="AD156" t="s">
        <v>57</v>
      </c>
      <c r="AE156" t="s">
        <v>57</v>
      </c>
      <c r="AF156" s="23" t="s">
        <v>57</v>
      </c>
      <c r="AG156" s="23" t="s">
        <v>57</v>
      </c>
      <c r="AH156" s="23" t="s">
        <v>57</v>
      </c>
      <c r="AI156" s="23" t="s">
        <v>57</v>
      </c>
      <c r="AJ156">
        <v>5</v>
      </c>
      <c r="AK156">
        <v>2</v>
      </c>
      <c r="AL156">
        <v>3</v>
      </c>
      <c r="AM156">
        <v>6</v>
      </c>
      <c r="AN156" s="23">
        <v>0</v>
      </c>
      <c r="AO156" s="23">
        <v>0</v>
      </c>
      <c r="AP156" s="23">
        <v>0</v>
      </c>
      <c r="AQ156" s="23">
        <v>0.166666666666667</v>
      </c>
      <c r="AR156" s="35">
        <v>0</v>
      </c>
      <c r="AS156" s="35">
        <v>0</v>
      </c>
      <c r="AT156" s="35">
        <v>16</v>
      </c>
      <c r="AU156" s="31" t="str">
        <f t="shared" si="6"/>
        <v>库存为16</v>
      </c>
      <c r="AV156" s="36" t="str">
        <f>IFERROR(时间!$B$4+AU156,"上周无销量")</f>
        <v>上周无销量</v>
      </c>
    </row>
    <row r="157" spans="1:48">
      <c r="A157" s="19" t="s">
        <v>530</v>
      </c>
      <c r="B157" t="s">
        <v>531</v>
      </c>
      <c r="C157" t="s">
        <v>523</v>
      </c>
      <c r="D157" s="31">
        <v>0</v>
      </c>
      <c r="E157" s="31">
        <v>1</v>
      </c>
      <c r="F157" s="31">
        <v>0</v>
      </c>
      <c r="G157" s="31">
        <v>0</v>
      </c>
      <c r="H157" s="32">
        <v>19.99</v>
      </c>
      <c r="I157">
        <v>4</v>
      </c>
      <c r="J157" s="33">
        <v>0</v>
      </c>
      <c r="K157" s="33">
        <v>0</v>
      </c>
      <c r="L157" s="33">
        <v>0</v>
      </c>
      <c r="M157">
        <v>4</v>
      </c>
      <c r="N157">
        <v>0</v>
      </c>
      <c r="O157">
        <v>4</v>
      </c>
      <c r="P157" t="s">
        <v>57</v>
      </c>
      <c r="Q157" t="s">
        <v>57</v>
      </c>
      <c r="R157" t="s">
        <v>57</v>
      </c>
      <c r="S157" t="s">
        <v>57</v>
      </c>
      <c r="T157" t="s">
        <v>57</v>
      </c>
      <c r="U157" t="s">
        <v>57</v>
      </c>
      <c r="V157" t="s">
        <v>57</v>
      </c>
      <c r="W157" t="s">
        <v>57</v>
      </c>
      <c r="X157" s="23" t="s">
        <v>57</v>
      </c>
      <c r="Y157" s="23" t="s">
        <v>57</v>
      </c>
      <c r="Z157" s="23" t="s">
        <v>57</v>
      </c>
      <c r="AA157" s="23" t="s">
        <v>57</v>
      </c>
      <c r="AB157" t="s">
        <v>57</v>
      </c>
      <c r="AC157" t="s">
        <v>57</v>
      </c>
      <c r="AD157" t="s">
        <v>57</v>
      </c>
      <c r="AE157" t="s">
        <v>57</v>
      </c>
      <c r="AF157" s="23" t="s">
        <v>57</v>
      </c>
      <c r="AG157" s="23" t="s">
        <v>57</v>
      </c>
      <c r="AH157" s="23" t="s">
        <v>57</v>
      </c>
      <c r="AI157" s="23" t="s">
        <v>57</v>
      </c>
      <c r="AJ157">
        <v>7</v>
      </c>
      <c r="AK157">
        <v>2</v>
      </c>
      <c r="AL157">
        <v>6</v>
      </c>
      <c r="AM157">
        <v>3</v>
      </c>
      <c r="AN157" s="23">
        <v>0</v>
      </c>
      <c r="AO157" s="23">
        <v>0.5</v>
      </c>
      <c r="AP157" s="23">
        <v>0</v>
      </c>
      <c r="AQ157" s="23">
        <v>0</v>
      </c>
      <c r="AR157" s="35">
        <v>0</v>
      </c>
      <c r="AS157" s="35">
        <v>0</v>
      </c>
      <c r="AT157" s="35">
        <v>4</v>
      </c>
      <c r="AU157" s="31" t="str">
        <f t="shared" si="6"/>
        <v>库存为4</v>
      </c>
      <c r="AV157" s="36" t="str">
        <f>IFERROR(时间!$B$4+AU157,"上周无销量")</f>
        <v>上周无销量</v>
      </c>
    </row>
    <row r="158" spans="1:48">
      <c r="A158" s="19" t="s">
        <v>532</v>
      </c>
      <c r="B158" t="s">
        <v>533</v>
      </c>
      <c r="C158" t="s">
        <v>534</v>
      </c>
      <c r="D158" s="31">
        <v>0</v>
      </c>
      <c r="E158" s="31">
        <v>0</v>
      </c>
      <c r="F158" s="31">
        <v>1</v>
      </c>
      <c r="G158" s="31">
        <v>0</v>
      </c>
      <c r="H158" s="32">
        <v>23.99</v>
      </c>
      <c r="I158">
        <v>2</v>
      </c>
      <c r="J158" s="33">
        <v>0</v>
      </c>
      <c r="K158" s="33">
        <v>0</v>
      </c>
      <c r="L158" s="33">
        <v>0</v>
      </c>
      <c r="M158">
        <v>2</v>
      </c>
      <c r="N158">
        <v>0</v>
      </c>
      <c r="O158">
        <v>2</v>
      </c>
      <c r="P158" t="s">
        <v>57</v>
      </c>
      <c r="Q158" t="s">
        <v>57</v>
      </c>
      <c r="R158" t="s">
        <v>57</v>
      </c>
      <c r="S158" t="s">
        <v>57</v>
      </c>
      <c r="T158" t="s">
        <v>57</v>
      </c>
      <c r="U158" t="s">
        <v>57</v>
      </c>
      <c r="V158" t="s">
        <v>57</v>
      </c>
      <c r="W158" t="s">
        <v>57</v>
      </c>
      <c r="X158" s="23" t="s">
        <v>57</v>
      </c>
      <c r="Y158" s="23" t="s">
        <v>57</v>
      </c>
      <c r="Z158" s="23" t="s">
        <v>57</v>
      </c>
      <c r="AA158" s="23" t="s">
        <v>57</v>
      </c>
      <c r="AB158" t="s">
        <v>57</v>
      </c>
      <c r="AC158" t="s">
        <v>57</v>
      </c>
      <c r="AD158" t="s">
        <v>57</v>
      </c>
      <c r="AE158" t="s">
        <v>57</v>
      </c>
      <c r="AF158" s="23" t="s">
        <v>57</v>
      </c>
      <c r="AG158" s="23" t="s">
        <v>57</v>
      </c>
      <c r="AH158" s="23" t="s">
        <v>57</v>
      </c>
      <c r="AI158" s="23" t="s">
        <v>57</v>
      </c>
      <c r="AJ158">
        <v>0</v>
      </c>
      <c r="AK158">
        <v>2</v>
      </c>
      <c r="AL158">
        <v>2</v>
      </c>
      <c r="AM158">
        <v>2</v>
      </c>
      <c r="AN158" s="23" t="s">
        <v>57</v>
      </c>
      <c r="AO158" s="23">
        <v>0</v>
      </c>
      <c r="AP158" s="23">
        <v>0.5</v>
      </c>
      <c r="AQ158" s="23">
        <v>0</v>
      </c>
      <c r="AR158" s="35">
        <v>0</v>
      </c>
      <c r="AS158" s="35">
        <v>0</v>
      </c>
      <c r="AT158" s="35">
        <v>2</v>
      </c>
      <c r="AU158" s="31" t="str">
        <f t="shared" si="6"/>
        <v>库存为2</v>
      </c>
      <c r="AV158" s="36" t="str">
        <f>IFERROR(时间!$B$4+AU158,"上周无销量")</f>
        <v>上周无销量</v>
      </c>
    </row>
    <row r="159" spans="1:48">
      <c r="A159" s="19" t="s">
        <v>535</v>
      </c>
      <c r="B159" t="s">
        <v>536</v>
      </c>
      <c r="C159" t="s">
        <v>535</v>
      </c>
      <c r="D159" s="31">
        <v>0</v>
      </c>
      <c r="E159" s="31">
        <v>1</v>
      </c>
      <c r="F159" s="31">
        <v>0</v>
      </c>
      <c r="G159" s="31">
        <v>0</v>
      </c>
      <c r="H159" s="32">
        <v>16.99</v>
      </c>
      <c r="I159">
        <v>14</v>
      </c>
      <c r="J159" s="33">
        <v>0</v>
      </c>
      <c r="K159" s="33">
        <v>0</v>
      </c>
      <c r="L159" s="33">
        <v>0</v>
      </c>
      <c r="M159">
        <v>14</v>
      </c>
      <c r="N159">
        <v>0</v>
      </c>
      <c r="O159">
        <v>14</v>
      </c>
      <c r="P159" t="s">
        <v>57</v>
      </c>
      <c r="Q159" t="s">
        <v>57</v>
      </c>
      <c r="R159" t="s">
        <v>57</v>
      </c>
      <c r="S159" t="s">
        <v>57</v>
      </c>
      <c r="T159" t="s">
        <v>57</v>
      </c>
      <c r="U159" t="s">
        <v>57</v>
      </c>
      <c r="V159" t="s">
        <v>57</v>
      </c>
      <c r="W159" t="s">
        <v>57</v>
      </c>
      <c r="X159" s="23" t="s">
        <v>57</v>
      </c>
      <c r="Y159" s="23" t="s">
        <v>57</v>
      </c>
      <c r="Z159" s="23" t="s">
        <v>57</v>
      </c>
      <c r="AA159" s="23" t="s">
        <v>57</v>
      </c>
      <c r="AB159" t="s">
        <v>57</v>
      </c>
      <c r="AC159" t="s">
        <v>57</v>
      </c>
      <c r="AD159" t="s">
        <v>57</v>
      </c>
      <c r="AE159" t="s">
        <v>57</v>
      </c>
      <c r="AF159" s="23" t="s">
        <v>57</v>
      </c>
      <c r="AG159" s="23" t="s">
        <v>57</v>
      </c>
      <c r="AH159" s="23" t="s">
        <v>57</v>
      </c>
      <c r="AI159" s="23" t="s">
        <v>57</v>
      </c>
      <c r="AJ159">
        <v>11</v>
      </c>
      <c r="AK159">
        <v>22</v>
      </c>
      <c r="AL159">
        <v>12</v>
      </c>
      <c r="AM159">
        <v>14</v>
      </c>
      <c r="AN159" s="23">
        <v>0</v>
      </c>
      <c r="AO159" s="23">
        <v>0.0454545454545455</v>
      </c>
      <c r="AP159" s="23">
        <v>0</v>
      </c>
      <c r="AQ159" s="23">
        <v>0</v>
      </c>
      <c r="AR159" s="35">
        <v>0</v>
      </c>
      <c r="AS159" s="35">
        <v>0</v>
      </c>
      <c r="AT159" s="35">
        <v>14</v>
      </c>
      <c r="AU159" s="31" t="str">
        <f t="shared" si="6"/>
        <v>库存为14</v>
      </c>
      <c r="AV159" s="36" t="str">
        <f>IFERROR(时间!$B$4+AU159,"上周无销量")</f>
        <v>上周无销量</v>
      </c>
    </row>
    <row r="160" spans="1:48">
      <c r="A160" s="19" t="s">
        <v>537</v>
      </c>
      <c r="B160" t="s">
        <v>538</v>
      </c>
      <c r="C160" t="s">
        <v>539</v>
      </c>
      <c r="D160" s="31">
        <v>3</v>
      </c>
      <c r="E160" s="31">
        <v>2</v>
      </c>
      <c r="F160" s="31">
        <v>1</v>
      </c>
      <c r="G160" s="31">
        <v>4</v>
      </c>
      <c r="H160" s="32">
        <v>21.99</v>
      </c>
      <c r="I160">
        <v>5</v>
      </c>
      <c r="J160" s="33">
        <v>0</v>
      </c>
      <c r="K160" s="33">
        <v>0</v>
      </c>
      <c r="L160" s="33">
        <v>3</v>
      </c>
      <c r="M160">
        <v>8</v>
      </c>
      <c r="N160">
        <v>0</v>
      </c>
      <c r="O160">
        <v>0</v>
      </c>
      <c r="P160" t="s">
        <v>57</v>
      </c>
      <c r="Q160" t="s">
        <v>57</v>
      </c>
      <c r="R160" t="s">
        <v>57</v>
      </c>
      <c r="S160" t="s">
        <v>57</v>
      </c>
      <c r="T160" t="s">
        <v>57</v>
      </c>
      <c r="U160" t="s">
        <v>57</v>
      </c>
      <c r="V160" t="s">
        <v>57</v>
      </c>
      <c r="W160" t="s">
        <v>57</v>
      </c>
      <c r="X160" s="23" t="s">
        <v>57</v>
      </c>
      <c r="Y160" s="23" t="s">
        <v>57</v>
      </c>
      <c r="Z160" s="23" t="s">
        <v>57</v>
      </c>
      <c r="AA160" s="23" t="s">
        <v>57</v>
      </c>
      <c r="AB160" t="s">
        <v>57</v>
      </c>
      <c r="AC160" t="s">
        <v>57</v>
      </c>
      <c r="AD160" t="s">
        <v>57</v>
      </c>
      <c r="AE160" t="s">
        <v>57</v>
      </c>
      <c r="AF160" s="23" t="s">
        <v>57</v>
      </c>
      <c r="AG160" s="23" t="s">
        <v>57</v>
      </c>
      <c r="AH160" s="23" t="s">
        <v>57</v>
      </c>
      <c r="AI160" s="23" t="s">
        <v>57</v>
      </c>
      <c r="AJ160">
        <v>43</v>
      </c>
      <c r="AK160">
        <v>40</v>
      </c>
      <c r="AL160">
        <v>18</v>
      </c>
      <c r="AM160">
        <v>16</v>
      </c>
      <c r="AN160" s="23">
        <v>0.0697674418604651</v>
      </c>
      <c r="AO160" s="23">
        <v>0.05</v>
      </c>
      <c r="AP160" s="23">
        <v>0.0555555555555556</v>
      </c>
      <c r="AQ160" s="23">
        <v>0.25</v>
      </c>
      <c r="AR160" s="35">
        <v>0.428571428571429</v>
      </c>
      <c r="AS160" s="35">
        <v>25.7142857142857</v>
      </c>
      <c r="AT160" s="35">
        <v>-17.7142857142857</v>
      </c>
      <c r="AU160" s="31">
        <f t="shared" si="6"/>
        <v>18</v>
      </c>
      <c r="AV160" s="36">
        <f>IFERROR(时间!$B$4+AU160,"上周无销量")</f>
        <v>43315</v>
      </c>
    </row>
    <row r="161" spans="1:48">
      <c r="A161" s="19" t="s">
        <v>540</v>
      </c>
      <c r="B161" t="s">
        <v>541</v>
      </c>
      <c r="C161" t="s">
        <v>542</v>
      </c>
      <c r="D161" s="31">
        <v>3</v>
      </c>
      <c r="E161" s="31">
        <v>2</v>
      </c>
      <c r="F161" s="31">
        <v>0</v>
      </c>
      <c r="G161" s="31">
        <v>1</v>
      </c>
      <c r="H161" s="32">
        <v>21.99</v>
      </c>
      <c r="I161">
        <v>4</v>
      </c>
      <c r="J161" s="33">
        <v>5</v>
      </c>
      <c r="K161" s="33">
        <v>0</v>
      </c>
      <c r="L161" s="33">
        <v>0</v>
      </c>
      <c r="M161">
        <v>9</v>
      </c>
      <c r="N161">
        <v>0</v>
      </c>
      <c r="O161">
        <v>0</v>
      </c>
      <c r="P161" t="s">
        <v>57</v>
      </c>
      <c r="Q161" t="s">
        <v>57</v>
      </c>
      <c r="R161" t="s">
        <v>57</v>
      </c>
      <c r="S161" t="s">
        <v>57</v>
      </c>
      <c r="T161" t="s">
        <v>57</v>
      </c>
      <c r="U161" t="s">
        <v>57</v>
      </c>
      <c r="V161" t="s">
        <v>57</v>
      </c>
      <c r="W161" t="s">
        <v>57</v>
      </c>
      <c r="X161" s="23" t="s">
        <v>57</v>
      </c>
      <c r="Y161" s="23" t="s">
        <v>57</v>
      </c>
      <c r="Z161" s="23" t="s">
        <v>57</v>
      </c>
      <c r="AA161" s="23" t="s">
        <v>57</v>
      </c>
      <c r="AB161" t="s">
        <v>57</v>
      </c>
      <c r="AC161" t="s">
        <v>57</v>
      </c>
      <c r="AD161" t="s">
        <v>57</v>
      </c>
      <c r="AE161" t="s">
        <v>57</v>
      </c>
      <c r="AF161" s="23" t="s">
        <v>57</v>
      </c>
      <c r="AG161" s="23" t="s">
        <v>57</v>
      </c>
      <c r="AH161" s="23" t="s">
        <v>57</v>
      </c>
      <c r="AI161" s="23" t="s">
        <v>57</v>
      </c>
      <c r="AJ161">
        <v>51</v>
      </c>
      <c r="AK161">
        <v>7</v>
      </c>
      <c r="AL161">
        <v>15</v>
      </c>
      <c r="AM161">
        <v>19</v>
      </c>
      <c r="AN161" s="23">
        <v>0.0588235294117647</v>
      </c>
      <c r="AO161" s="23">
        <v>0.285714285714286</v>
      </c>
      <c r="AP161" s="23">
        <v>0</v>
      </c>
      <c r="AQ161" s="23">
        <v>0.0526315789473684</v>
      </c>
      <c r="AR161" s="35">
        <v>0.428571428571429</v>
      </c>
      <c r="AS161" s="35">
        <v>25.7142857142857</v>
      </c>
      <c r="AT161" s="35">
        <v>-16.7142857142857</v>
      </c>
      <c r="AU161" s="31">
        <f t="shared" si="6"/>
        <v>21</v>
      </c>
      <c r="AV161" s="36">
        <f>IFERROR(时间!$B$4+AU161,"上周无销量")</f>
        <v>43318</v>
      </c>
    </row>
    <row r="162" spans="1:48">
      <c r="A162" s="19" t="s">
        <v>543</v>
      </c>
      <c r="B162" t="s">
        <v>544</v>
      </c>
      <c r="C162" t="s">
        <v>545</v>
      </c>
      <c r="D162" s="31">
        <v>10</v>
      </c>
      <c r="E162" s="31">
        <v>3</v>
      </c>
      <c r="F162" s="31">
        <v>12</v>
      </c>
      <c r="G162" s="31">
        <v>5</v>
      </c>
      <c r="H162" s="32">
        <v>21.99</v>
      </c>
      <c r="I162">
        <v>6</v>
      </c>
      <c r="J162" s="33">
        <v>10</v>
      </c>
      <c r="K162" s="33">
        <v>0</v>
      </c>
      <c r="L162" s="33">
        <v>8</v>
      </c>
      <c r="M162">
        <v>24</v>
      </c>
      <c r="N162">
        <v>1</v>
      </c>
      <c r="O162">
        <v>0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3" t="s">
        <v>57</v>
      </c>
      <c r="Y162" s="23" t="s">
        <v>57</v>
      </c>
      <c r="Z162" s="23" t="s">
        <v>57</v>
      </c>
      <c r="AA162" s="23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3" t="s">
        <v>57</v>
      </c>
      <c r="AG162" s="23" t="s">
        <v>57</v>
      </c>
      <c r="AH162" s="23" t="s">
        <v>57</v>
      </c>
      <c r="AI162" s="23" t="s">
        <v>57</v>
      </c>
      <c r="AJ162">
        <v>174</v>
      </c>
      <c r="AK162">
        <v>96</v>
      </c>
      <c r="AL162">
        <v>115</v>
      </c>
      <c r="AM162">
        <v>95</v>
      </c>
      <c r="AN162" s="23">
        <v>0.0574712643678161</v>
      </c>
      <c r="AO162" s="23">
        <v>0.03125</v>
      </c>
      <c r="AP162" s="23">
        <v>0.104347826086957</v>
      </c>
      <c r="AQ162" s="23">
        <v>0.0526315789473684</v>
      </c>
      <c r="AR162" s="35">
        <v>1.42857142857143</v>
      </c>
      <c r="AS162" s="35">
        <v>85.7142857142857</v>
      </c>
      <c r="AT162" s="35">
        <v>-61.7142857142857</v>
      </c>
      <c r="AU162" s="31">
        <f t="shared" si="6"/>
        <v>16</v>
      </c>
      <c r="AV162" s="36">
        <f>IFERROR(时间!$B$4+AU162,"上周无销量")</f>
        <v>43313</v>
      </c>
    </row>
    <row r="163" spans="1:48">
      <c r="A163" s="19" t="s">
        <v>546</v>
      </c>
      <c r="B163" t="s">
        <v>547</v>
      </c>
      <c r="C163" t="s">
        <v>548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57</v>
      </c>
      <c r="Q163" t="s">
        <v>57</v>
      </c>
      <c r="R163" t="s">
        <v>57</v>
      </c>
      <c r="S163" t="s">
        <v>57</v>
      </c>
      <c r="T163" t="s">
        <v>57</v>
      </c>
      <c r="U163" t="s">
        <v>57</v>
      </c>
      <c r="V163" t="s">
        <v>57</v>
      </c>
      <c r="W163" t="s">
        <v>57</v>
      </c>
      <c r="X163" s="23" t="s">
        <v>57</v>
      </c>
      <c r="Y163" s="23" t="s">
        <v>57</v>
      </c>
      <c r="Z163" s="23" t="s">
        <v>57</v>
      </c>
      <c r="AA163" s="23" t="s">
        <v>57</v>
      </c>
      <c r="AB163" t="s">
        <v>57</v>
      </c>
      <c r="AC163" t="s">
        <v>57</v>
      </c>
      <c r="AD163" t="s">
        <v>57</v>
      </c>
      <c r="AE163" t="s">
        <v>57</v>
      </c>
      <c r="AF163" s="23" t="s">
        <v>57</v>
      </c>
      <c r="AG163" s="23" t="s">
        <v>57</v>
      </c>
      <c r="AH163" s="23" t="s">
        <v>57</v>
      </c>
      <c r="AI163" s="23" t="s">
        <v>57</v>
      </c>
      <c r="AJ163">
        <v>0</v>
      </c>
      <c r="AK163">
        <v>0</v>
      </c>
      <c r="AL163">
        <v>0</v>
      </c>
      <c r="AM163">
        <v>0</v>
      </c>
      <c r="AN163" s="23" t="s">
        <v>57</v>
      </c>
      <c r="AO163" s="23" t="s">
        <v>57</v>
      </c>
      <c r="AP163" s="23" t="s">
        <v>57</v>
      </c>
      <c r="AQ163" s="23" t="s">
        <v>57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19" t="s">
        <v>549</v>
      </c>
      <c r="B164" t="s">
        <v>550</v>
      </c>
      <c r="C164" t="s">
        <v>551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57</v>
      </c>
      <c r="Q164" t="s">
        <v>57</v>
      </c>
      <c r="R164" t="s">
        <v>57</v>
      </c>
      <c r="S164" t="s">
        <v>57</v>
      </c>
      <c r="T164" t="s">
        <v>57</v>
      </c>
      <c r="U164" t="s">
        <v>57</v>
      </c>
      <c r="V164" t="s">
        <v>57</v>
      </c>
      <c r="W164" t="s">
        <v>57</v>
      </c>
      <c r="X164" s="23" t="s">
        <v>57</v>
      </c>
      <c r="Y164" s="23" t="s">
        <v>57</v>
      </c>
      <c r="Z164" s="23" t="s">
        <v>57</v>
      </c>
      <c r="AA164" s="23" t="s">
        <v>57</v>
      </c>
      <c r="AB164" t="s">
        <v>57</v>
      </c>
      <c r="AC164" t="s">
        <v>57</v>
      </c>
      <c r="AD164" t="s">
        <v>57</v>
      </c>
      <c r="AE164" t="s">
        <v>57</v>
      </c>
      <c r="AF164" s="23" t="s">
        <v>57</v>
      </c>
      <c r="AG164" s="23" t="s">
        <v>57</v>
      </c>
      <c r="AH164" s="23" t="s">
        <v>57</v>
      </c>
      <c r="AI164" s="23" t="s">
        <v>57</v>
      </c>
      <c r="AJ164">
        <v>0</v>
      </c>
      <c r="AK164">
        <v>0</v>
      </c>
      <c r="AL164">
        <v>0</v>
      </c>
      <c r="AM164">
        <v>0</v>
      </c>
      <c r="AN164" s="23" t="s">
        <v>57</v>
      </c>
      <c r="AO164" s="23" t="s">
        <v>57</v>
      </c>
      <c r="AP164" s="23" t="s">
        <v>57</v>
      </c>
      <c r="AQ164" s="23" t="s">
        <v>57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19" t="s">
        <v>552</v>
      </c>
      <c r="B165" t="s">
        <v>553</v>
      </c>
      <c r="C165" t="s">
        <v>554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3" t="s">
        <v>57</v>
      </c>
      <c r="Y165" s="23" t="s">
        <v>57</v>
      </c>
      <c r="Z165" s="23" t="s">
        <v>57</v>
      </c>
      <c r="AA165" s="23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3" t="s">
        <v>57</v>
      </c>
      <c r="AG165" s="23" t="s">
        <v>57</v>
      </c>
      <c r="AH165" s="23" t="s">
        <v>57</v>
      </c>
      <c r="AI165" s="23" t="s">
        <v>57</v>
      </c>
      <c r="AJ165">
        <v>0</v>
      </c>
      <c r="AK165">
        <v>0</v>
      </c>
      <c r="AL165">
        <v>0</v>
      </c>
      <c r="AM165">
        <v>0</v>
      </c>
      <c r="AN165" s="23" t="s">
        <v>57</v>
      </c>
      <c r="AO165" s="23" t="s">
        <v>57</v>
      </c>
      <c r="AP165" s="23" t="s">
        <v>57</v>
      </c>
      <c r="AQ165" s="23" t="s">
        <v>57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19" t="s">
        <v>555</v>
      </c>
      <c r="B166" t="s">
        <v>556</v>
      </c>
      <c r="C166" t="s">
        <v>557</v>
      </c>
      <c r="D166" s="31">
        <v>0</v>
      </c>
      <c r="E166" s="31">
        <v>0</v>
      </c>
      <c r="F166" s="31">
        <v>0</v>
      </c>
      <c r="G166" s="31">
        <v>1</v>
      </c>
      <c r="H166" s="32">
        <v>21.99</v>
      </c>
      <c r="I166">
        <v>12</v>
      </c>
      <c r="J166" s="33">
        <v>0</v>
      </c>
      <c r="K166" s="33">
        <v>0</v>
      </c>
      <c r="L166" s="33">
        <v>0</v>
      </c>
      <c r="M166">
        <v>12</v>
      </c>
      <c r="N166">
        <v>0</v>
      </c>
      <c r="O166">
        <v>12</v>
      </c>
      <c r="P166" t="s">
        <v>57</v>
      </c>
      <c r="Q166" t="s">
        <v>57</v>
      </c>
      <c r="R166" t="s">
        <v>57</v>
      </c>
      <c r="S166" t="s">
        <v>57</v>
      </c>
      <c r="T166" t="s">
        <v>57</v>
      </c>
      <c r="U166" t="s">
        <v>57</v>
      </c>
      <c r="V166" t="s">
        <v>57</v>
      </c>
      <c r="W166" t="s">
        <v>57</v>
      </c>
      <c r="X166" s="23" t="s">
        <v>57</v>
      </c>
      <c r="Y166" s="23" t="s">
        <v>57</v>
      </c>
      <c r="Z166" s="23" t="s">
        <v>57</v>
      </c>
      <c r="AA166" s="23" t="s">
        <v>57</v>
      </c>
      <c r="AB166" t="s">
        <v>57</v>
      </c>
      <c r="AC166" t="s">
        <v>57</v>
      </c>
      <c r="AD166" t="s">
        <v>57</v>
      </c>
      <c r="AE166" t="s">
        <v>57</v>
      </c>
      <c r="AF166" s="23" t="s">
        <v>57</v>
      </c>
      <c r="AG166" s="23" t="s">
        <v>57</v>
      </c>
      <c r="AH166" s="23" t="s">
        <v>57</v>
      </c>
      <c r="AI166" s="23" t="s">
        <v>57</v>
      </c>
      <c r="AJ166">
        <v>13</v>
      </c>
      <c r="AK166">
        <v>14</v>
      </c>
      <c r="AL166">
        <v>7</v>
      </c>
      <c r="AM166">
        <v>6</v>
      </c>
      <c r="AN166" s="23">
        <v>0</v>
      </c>
      <c r="AO166" s="23">
        <v>0</v>
      </c>
      <c r="AP166" s="23">
        <v>0</v>
      </c>
      <c r="AQ166" s="23">
        <v>0.166666666666667</v>
      </c>
      <c r="AR166" s="35">
        <v>0</v>
      </c>
      <c r="AS166" s="35">
        <v>0</v>
      </c>
      <c r="AT166" s="35">
        <v>12</v>
      </c>
      <c r="AU166" s="31" t="str">
        <f t="shared" si="6"/>
        <v>库存为12</v>
      </c>
      <c r="AV166" s="36" t="str">
        <f>IFERROR(时间!$B$4+AU166,"上周无销量")</f>
        <v>上周无销量</v>
      </c>
    </row>
    <row r="167" spans="1:48">
      <c r="A167" s="19" t="s">
        <v>558</v>
      </c>
      <c r="B167" t="s">
        <v>559</v>
      </c>
      <c r="C167" t="s">
        <v>560</v>
      </c>
      <c r="D167" s="31">
        <v>3</v>
      </c>
      <c r="E167" s="31">
        <v>1</v>
      </c>
      <c r="F167" s="31">
        <v>4</v>
      </c>
      <c r="G167" s="31">
        <v>3</v>
      </c>
      <c r="H167" s="32">
        <v>21.99</v>
      </c>
      <c r="I167">
        <v>7</v>
      </c>
      <c r="J167" s="33">
        <v>0</v>
      </c>
      <c r="K167" s="33">
        <v>0</v>
      </c>
      <c r="L167" s="33">
        <v>0</v>
      </c>
      <c r="M167">
        <v>7</v>
      </c>
      <c r="N167">
        <v>0</v>
      </c>
      <c r="O167">
        <v>0</v>
      </c>
      <c r="P167" t="s">
        <v>57</v>
      </c>
      <c r="Q167" t="s">
        <v>57</v>
      </c>
      <c r="R167" t="s">
        <v>57</v>
      </c>
      <c r="S167" t="s">
        <v>57</v>
      </c>
      <c r="T167" t="s">
        <v>57</v>
      </c>
      <c r="U167" t="s">
        <v>57</v>
      </c>
      <c r="V167" t="s">
        <v>57</v>
      </c>
      <c r="W167" t="s">
        <v>57</v>
      </c>
      <c r="X167" s="23" t="s">
        <v>57</v>
      </c>
      <c r="Y167" s="23" t="s">
        <v>57</v>
      </c>
      <c r="Z167" s="23" t="s">
        <v>57</v>
      </c>
      <c r="AA167" s="23" t="s">
        <v>57</v>
      </c>
      <c r="AB167" t="s">
        <v>57</v>
      </c>
      <c r="AC167" t="s">
        <v>57</v>
      </c>
      <c r="AD167" t="s">
        <v>57</v>
      </c>
      <c r="AE167" t="s">
        <v>57</v>
      </c>
      <c r="AF167" s="23" t="s">
        <v>57</v>
      </c>
      <c r="AG167" s="23" t="s">
        <v>57</v>
      </c>
      <c r="AH167" s="23" t="s">
        <v>57</v>
      </c>
      <c r="AI167" s="23" t="s">
        <v>57</v>
      </c>
      <c r="AJ167">
        <v>23</v>
      </c>
      <c r="AK167">
        <v>15</v>
      </c>
      <c r="AL167">
        <v>37</v>
      </c>
      <c r="AM167">
        <v>29</v>
      </c>
      <c r="AN167" s="23">
        <v>0.130434782608696</v>
      </c>
      <c r="AO167" s="23">
        <v>0.0666666666666667</v>
      </c>
      <c r="AP167" s="23">
        <v>0.108108108108108</v>
      </c>
      <c r="AQ167" s="23">
        <v>0.103448275862069</v>
      </c>
      <c r="AR167" s="35">
        <v>0.428571428571429</v>
      </c>
      <c r="AS167" s="35">
        <v>25.7142857142857</v>
      </c>
      <c r="AT167" s="35">
        <v>-18.7142857142857</v>
      </c>
      <c r="AU167" s="31">
        <f t="shared" si="6"/>
        <v>16</v>
      </c>
      <c r="AV167" s="36">
        <f>IFERROR(时间!$B$4+AU167,"上周无销量")</f>
        <v>43313</v>
      </c>
    </row>
    <row r="168" ht="14" customHeight="1" spans="1:48">
      <c r="A168" s="19" t="s">
        <v>561</v>
      </c>
      <c r="B168" t="s">
        <v>562</v>
      </c>
      <c r="C168" t="s">
        <v>563</v>
      </c>
      <c r="D168" s="31">
        <v>0</v>
      </c>
      <c r="E168" s="31">
        <v>1</v>
      </c>
      <c r="F168" s="31">
        <v>1</v>
      </c>
      <c r="G168" s="31">
        <v>2</v>
      </c>
      <c r="H168" s="32">
        <v>21.99</v>
      </c>
      <c r="I168">
        <v>13</v>
      </c>
      <c r="J168" s="33">
        <v>0</v>
      </c>
      <c r="K168" s="33">
        <v>0</v>
      </c>
      <c r="L168" s="33">
        <v>0</v>
      </c>
      <c r="M168">
        <v>13</v>
      </c>
      <c r="N168">
        <v>0</v>
      </c>
      <c r="O168">
        <v>0</v>
      </c>
      <c r="P168" t="s">
        <v>57</v>
      </c>
      <c r="Q168" t="s">
        <v>57</v>
      </c>
      <c r="R168" t="s">
        <v>57</v>
      </c>
      <c r="S168" t="s">
        <v>57</v>
      </c>
      <c r="T168" t="s">
        <v>57</v>
      </c>
      <c r="U168" t="s">
        <v>57</v>
      </c>
      <c r="V168" t="s">
        <v>57</v>
      </c>
      <c r="W168" t="s">
        <v>57</v>
      </c>
      <c r="X168" s="23" t="s">
        <v>57</v>
      </c>
      <c r="Y168" s="23" t="s">
        <v>57</v>
      </c>
      <c r="Z168" s="23" t="s">
        <v>57</v>
      </c>
      <c r="AA168" s="23" t="s">
        <v>57</v>
      </c>
      <c r="AB168" t="s">
        <v>57</v>
      </c>
      <c r="AC168" t="s">
        <v>57</v>
      </c>
      <c r="AD168" t="s">
        <v>57</v>
      </c>
      <c r="AE168" t="s">
        <v>57</v>
      </c>
      <c r="AF168" s="23" t="s">
        <v>57</v>
      </c>
      <c r="AG168" s="23" t="s">
        <v>57</v>
      </c>
      <c r="AH168" s="23" t="s">
        <v>57</v>
      </c>
      <c r="AI168" s="23" t="s">
        <v>57</v>
      </c>
      <c r="AJ168">
        <v>29</v>
      </c>
      <c r="AK168">
        <v>21</v>
      </c>
      <c r="AL168">
        <v>19</v>
      </c>
      <c r="AM168">
        <v>14</v>
      </c>
      <c r="AN168" s="23">
        <v>0</v>
      </c>
      <c r="AO168" s="23">
        <v>0.0476190476190476</v>
      </c>
      <c r="AP168" s="23">
        <v>0.0526315789473684</v>
      </c>
      <c r="AQ168" s="23">
        <v>0.142857142857143</v>
      </c>
      <c r="AR168" s="35">
        <v>0</v>
      </c>
      <c r="AS168" s="35">
        <v>0</v>
      </c>
      <c r="AT168" s="35">
        <v>13</v>
      </c>
      <c r="AU168" s="31" t="str">
        <f t="shared" si="6"/>
        <v>库存为13</v>
      </c>
      <c r="AV168" s="36" t="str">
        <f>IFERROR(时间!$B$4+AU168,"上周无销量")</f>
        <v>上周无销量</v>
      </c>
    </row>
    <row r="169" spans="1:48">
      <c r="A169" s="38" t="s">
        <v>564</v>
      </c>
      <c r="B169" t="s">
        <v>541</v>
      </c>
      <c r="C169" t="s">
        <v>523</v>
      </c>
      <c r="D169" s="31">
        <v>0</v>
      </c>
      <c r="E169" s="31">
        <v>0</v>
      </c>
      <c r="F169" s="31">
        <v>0</v>
      </c>
      <c r="G169" s="31">
        <v>1</v>
      </c>
      <c r="H169" s="32">
        <v>21.99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57</v>
      </c>
      <c r="Q169" t="s">
        <v>57</v>
      </c>
      <c r="R169" t="s">
        <v>57</v>
      </c>
      <c r="S169" t="s">
        <v>57</v>
      </c>
      <c r="T169" t="s">
        <v>57</v>
      </c>
      <c r="U169" t="s">
        <v>57</v>
      </c>
      <c r="V169" t="s">
        <v>57</v>
      </c>
      <c r="W169" t="s">
        <v>57</v>
      </c>
      <c r="X169" s="23" t="s">
        <v>57</v>
      </c>
      <c r="Y169" s="23" t="s">
        <v>57</v>
      </c>
      <c r="Z169" s="23" t="s">
        <v>57</v>
      </c>
      <c r="AA169" s="23" t="s">
        <v>57</v>
      </c>
      <c r="AB169" t="s">
        <v>57</v>
      </c>
      <c r="AC169" t="s">
        <v>57</v>
      </c>
      <c r="AD169" t="s">
        <v>57</v>
      </c>
      <c r="AE169" t="s">
        <v>57</v>
      </c>
      <c r="AF169" s="23" t="s">
        <v>57</v>
      </c>
      <c r="AG169" s="23" t="s">
        <v>57</v>
      </c>
      <c r="AH169" s="23" t="s">
        <v>57</v>
      </c>
      <c r="AI169" s="23" t="s">
        <v>57</v>
      </c>
      <c r="AJ169">
        <v>51</v>
      </c>
      <c r="AK169">
        <v>7</v>
      </c>
      <c r="AL169">
        <v>15</v>
      </c>
      <c r="AM169">
        <v>19</v>
      </c>
      <c r="AN169" s="23">
        <v>0</v>
      </c>
      <c r="AO169" s="23">
        <v>0</v>
      </c>
      <c r="AP169" s="23">
        <v>0</v>
      </c>
      <c r="AQ169" s="23">
        <v>0.0526315789473684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38" t="s">
        <v>565</v>
      </c>
      <c r="B170" t="s">
        <v>566</v>
      </c>
      <c r="C170" t="s">
        <v>235</v>
      </c>
      <c r="D170" s="31">
        <v>0</v>
      </c>
      <c r="E170" s="31">
        <v>0</v>
      </c>
      <c r="F170" s="31">
        <v>0</v>
      </c>
      <c r="G170" s="31">
        <v>1</v>
      </c>
      <c r="H170" s="32">
        <v>79.99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12047</v>
      </c>
      <c r="T170">
        <v>0</v>
      </c>
      <c r="U170">
        <v>0</v>
      </c>
      <c r="V170">
        <v>0</v>
      </c>
      <c r="W170">
        <v>82</v>
      </c>
      <c r="X170" s="23" t="s">
        <v>57</v>
      </c>
      <c r="Y170" s="23" t="s">
        <v>57</v>
      </c>
      <c r="Z170" s="23" t="s">
        <v>57</v>
      </c>
      <c r="AA170" s="23">
        <v>0.00680667386071221</v>
      </c>
      <c r="AB170">
        <v>0</v>
      </c>
      <c r="AC170">
        <v>0</v>
      </c>
      <c r="AD170">
        <v>0</v>
      </c>
      <c r="AE170">
        <v>21.9</v>
      </c>
      <c r="AF170" s="23" t="s">
        <v>57</v>
      </c>
      <c r="AG170" s="23" t="s">
        <v>57</v>
      </c>
      <c r="AH170" s="23" t="s">
        <v>57</v>
      </c>
      <c r="AI170" s="23">
        <v>0.273784223027878</v>
      </c>
      <c r="AJ170">
        <v>0</v>
      </c>
      <c r="AK170">
        <v>0</v>
      </c>
      <c r="AL170">
        <v>0</v>
      </c>
      <c r="AM170">
        <v>54</v>
      </c>
      <c r="AN170" s="23" t="s">
        <v>57</v>
      </c>
      <c r="AO170" s="23" t="s">
        <v>57</v>
      </c>
      <c r="AP170" s="23" t="s">
        <v>57</v>
      </c>
      <c r="AQ170" s="23">
        <v>0.0185185185185185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4:48">
      <c r="D171" s="31"/>
      <c r="E171" s="31"/>
      <c r="F171" s="31"/>
      <c r="G171" s="31"/>
      <c r="H171" s="32"/>
      <c r="J171" s="33"/>
      <c r="K171" s="33"/>
      <c r="L171" s="33"/>
      <c r="X171" s="23"/>
      <c r="Y171" s="23"/>
      <c r="Z171" s="23"/>
      <c r="AA171" s="23"/>
      <c r="AF171" s="23"/>
      <c r="AG171" s="23"/>
      <c r="AH171" s="23"/>
      <c r="AI171" s="23"/>
      <c r="AN171" s="23"/>
      <c r="AO171" s="23"/>
      <c r="AP171" s="23"/>
      <c r="AQ171" s="23"/>
      <c r="AR171" s="35"/>
      <c r="AS171" s="35"/>
      <c r="AT171" s="35"/>
      <c r="AU171" s="31"/>
      <c r="AV171" s="36"/>
    </row>
    <row r="172" spans="1:48">
      <c r="A172" s="38" t="s">
        <v>567</v>
      </c>
      <c r="D172" s="31"/>
      <c r="E172" s="31"/>
      <c r="F172" s="31"/>
      <c r="G172" s="31"/>
      <c r="H172" s="32"/>
      <c r="J172" s="33"/>
      <c r="K172" s="33"/>
      <c r="L172" s="33"/>
      <c r="X172" s="23"/>
      <c r="Y172" s="23"/>
      <c r="Z172" s="23"/>
      <c r="AA172" s="23"/>
      <c r="AF172" s="23"/>
      <c r="AG172" s="23"/>
      <c r="AH172" s="23"/>
      <c r="AI172" s="23"/>
      <c r="AN172" s="23"/>
      <c r="AO172" s="23"/>
      <c r="AP172" s="23"/>
      <c r="AQ172" s="23"/>
      <c r="AR172" s="35"/>
      <c r="AS172" s="35"/>
      <c r="AT172" s="35"/>
      <c r="AU172" s="31"/>
      <c r="AV172" s="36"/>
    </row>
    <row r="173" spans="1:48">
      <c r="A173" s="38" t="s">
        <v>568</v>
      </c>
      <c r="D173" s="31"/>
      <c r="E173" s="31"/>
      <c r="F173" s="31"/>
      <c r="G173" s="31"/>
      <c r="H173" s="32"/>
      <c r="J173" s="33"/>
      <c r="K173" s="33"/>
      <c r="L173" s="33"/>
      <c r="X173" s="23"/>
      <c r="Y173" s="23"/>
      <c r="Z173" s="23"/>
      <c r="AA173" s="23"/>
      <c r="AF173" s="23"/>
      <c r="AG173" s="23"/>
      <c r="AH173" s="23"/>
      <c r="AI173" s="23"/>
      <c r="AN173" s="23"/>
      <c r="AO173" s="23"/>
      <c r="AP173" s="23"/>
      <c r="AQ173" s="23"/>
      <c r="AR173" s="35"/>
      <c r="AS173" s="35"/>
      <c r="AT173" s="35"/>
      <c r="AU173" s="31"/>
      <c r="AV173" s="36"/>
    </row>
    <row r="174" spans="1:48">
      <c r="A174" s="38" t="s">
        <v>569</v>
      </c>
      <c r="D174" s="31"/>
      <c r="E174" s="31"/>
      <c r="F174" s="31"/>
      <c r="G174" s="31"/>
      <c r="H174" s="32"/>
      <c r="J174" s="33"/>
      <c r="K174" s="33"/>
      <c r="L174" s="33"/>
      <c r="X174" s="23"/>
      <c r="Y174" s="23"/>
      <c r="Z174" s="23"/>
      <c r="AA174" s="23"/>
      <c r="AF174" s="23"/>
      <c r="AG174" s="23"/>
      <c r="AH174" s="23"/>
      <c r="AI174" s="23"/>
      <c r="AN174" s="23"/>
      <c r="AO174" s="23"/>
      <c r="AP174" s="23"/>
      <c r="AQ174" s="23"/>
      <c r="AR174" s="35"/>
      <c r="AS174" s="35"/>
      <c r="AT174" s="35"/>
      <c r="AU174" s="31"/>
      <c r="AV174" s="36"/>
    </row>
    <row r="175" spans="1:48">
      <c r="A175" s="38" t="s">
        <v>570</v>
      </c>
      <c r="D175" s="31"/>
      <c r="E175" s="31"/>
      <c r="F175" s="31"/>
      <c r="G175" s="31"/>
      <c r="H175" s="32"/>
      <c r="J175" s="33"/>
      <c r="K175" s="33"/>
      <c r="L175" s="33"/>
      <c r="X175" s="23"/>
      <c r="Y175" s="23"/>
      <c r="Z175" s="23"/>
      <c r="AA175" s="23"/>
      <c r="AF175" s="23"/>
      <c r="AG175" s="23"/>
      <c r="AH175" s="23"/>
      <c r="AI175" s="23"/>
      <c r="AN175" s="23"/>
      <c r="AO175" s="23"/>
      <c r="AP175" s="23"/>
      <c r="AQ175" s="23"/>
      <c r="AR175" s="35"/>
      <c r="AS175" s="35"/>
      <c r="AT175" s="35"/>
      <c r="AU175" s="31"/>
      <c r="AV175" s="36"/>
    </row>
    <row r="176" spans="1:48">
      <c r="A176" s="39"/>
      <c r="D176" s="31"/>
      <c r="E176" s="31"/>
      <c r="F176" s="31"/>
      <c r="G176" s="31"/>
      <c r="H176" s="32"/>
      <c r="J176" s="33"/>
      <c r="K176" s="33"/>
      <c r="L176" s="33"/>
      <c r="X176" s="23"/>
      <c r="Y176" s="23"/>
      <c r="Z176" s="23"/>
      <c r="AA176" s="23"/>
      <c r="AF176" s="23"/>
      <c r="AG176" s="23"/>
      <c r="AH176" s="23"/>
      <c r="AI176" s="23"/>
      <c r="AN176" s="23"/>
      <c r="AO176" s="23"/>
      <c r="AP176" s="23"/>
      <c r="AQ176" s="23"/>
      <c r="AR176" s="35"/>
      <c r="AS176" s="35"/>
      <c r="AT176" s="35"/>
      <c r="AU176" s="31"/>
      <c r="AV176" s="36"/>
    </row>
    <row r="177" spans="1:48">
      <c r="A177" s="39"/>
      <c r="D177" s="31"/>
      <c r="E177" s="31"/>
      <c r="F177" s="31"/>
      <c r="G177" s="31"/>
      <c r="H177" s="32"/>
      <c r="J177" s="33"/>
      <c r="K177" s="33"/>
      <c r="L177" s="33"/>
      <c r="X177" s="23"/>
      <c r="Y177" s="23"/>
      <c r="Z177" s="23"/>
      <c r="AA177" s="23"/>
      <c r="AF177" s="23"/>
      <c r="AG177" s="23"/>
      <c r="AH177" s="23"/>
      <c r="AI177" s="23"/>
      <c r="AN177" s="23"/>
      <c r="AO177" s="23"/>
      <c r="AP177" s="23"/>
      <c r="AQ177" s="23"/>
      <c r="AR177" s="35"/>
      <c r="AS177" s="35"/>
      <c r="AT177" s="35"/>
      <c r="AU177" s="31"/>
      <c r="AV177" s="36"/>
    </row>
    <row r="178" spans="1:48">
      <c r="A178" s="39"/>
      <c r="D178" s="31"/>
      <c r="E178" s="31"/>
      <c r="F178" s="31"/>
      <c r="G178" s="31"/>
      <c r="H178" s="32"/>
      <c r="J178" s="33"/>
      <c r="K178" s="33"/>
      <c r="L178" s="33"/>
      <c r="X178" s="23"/>
      <c r="Y178" s="23"/>
      <c r="Z178" s="23"/>
      <c r="AA178" s="23"/>
      <c r="AF178" s="23"/>
      <c r="AG178" s="23"/>
      <c r="AH178" s="23"/>
      <c r="AI178" s="23"/>
      <c r="AN178" s="23"/>
      <c r="AO178" s="23"/>
      <c r="AP178" s="23"/>
      <c r="AQ178" s="23"/>
      <c r="AR178" s="35"/>
      <c r="AS178" s="35"/>
      <c r="AT178" s="35"/>
      <c r="AU178" s="31"/>
      <c r="AV178" s="36"/>
    </row>
    <row r="179" spans="1:48">
      <c r="A179" s="39"/>
      <c r="D179" s="31"/>
      <c r="E179" s="31"/>
      <c r="F179" s="31"/>
      <c r="G179" s="31"/>
      <c r="H179" s="32"/>
      <c r="J179" s="33"/>
      <c r="K179" s="33"/>
      <c r="L179" s="33"/>
      <c r="X179" s="23"/>
      <c r="Y179" s="23"/>
      <c r="Z179" s="23"/>
      <c r="AA179" s="23"/>
      <c r="AF179" s="23"/>
      <c r="AG179" s="23"/>
      <c r="AH179" s="23"/>
      <c r="AI179" s="23"/>
      <c r="AN179" s="23"/>
      <c r="AO179" s="23"/>
      <c r="AP179" s="23"/>
      <c r="AQ179" s="23"/>
      <c r="AR179" s="35"/>
      <c r="AS179" s="35"/>
      <c r="AT179" s="35"/>
      <c r="AU179" s="31"/>
      <c r="AV179" s="36"/>
    </row>
    <row r="180" spans="1:48">
      <c r="A180" s="39"/>
      <c r="D180" s="31"/>
      <c r="E180" s="31"/>
      <c r="F180" s="31"/>
      <c r="G180" s="31"/>
      <c r="H180" s="32"/>
      <c r="J180" s="33"/>
      <c r="K180" s="33"/>
      <c r="L180" s="33"/>
      <c r="X180" s="23"/>
      <c r="Y180" s="23"/>
      <c r="Z180" s="23"/>
      <c r="AA180" s="23"/>
      <c r="AF180" s="23"/>
      <c r="AG180" s="23"/>
      <c r="AH180" s="23"/>
      <c r="AI180" s="23"/>
      <c r="AN180" s="23"/>
      <c r="AO180" s="23"/>
      <c r="AP180" s="23"/>
      <c r="AQ180" s="23"/>
      <c r="AR180" s="35"/>
      <c r="AS180" s="35"/>
      <c r="AT180" s="35"/>
      <c r="AU180" s="31"/>
      <c r="AV180" s="36"/>
    </row>
    <row r="181" spans="1:48">
      <c r="A181" s="39"/>
      <c r="D181" s="31"/>
      <c r="E181" s="31"/>
      <c r="F181" s="31"/>
      <c r="G181" s="31"/>
      <c r="H181" s="32"/>
      <c r="J181" s="33"/>
      <c r="K181" s="33"/>
      <c r="L181" s="33"/>
      <c r="X181" s="23"/>
      <c r="Y181" s="23"/>
      <c r="Z181" s="23"/>
      <c r="AA181" s="23"/>
      <c r="AF181" s="23"/>
      <c r="AG181" s="23"/>
      <c r="AH181" s="23"/>
      <c r="AI181" s="23"/>
      <c r="AN181" s="23"/>
      <c r="AO181" s="23"/>
      <c r="AP181" s="23"/>
      <c r="AQ181" s="23"/>
      <c r="AR181" s="35"/>
      <c r="AS181" s="35"/>
      <c r="AT181" s="35"/>
      <c r="AU181" s="31"/>
      <c r="AV181" s="36"/>
    </row>
    <row r="182" spans="1:48">
      <c r="A182" s="39"/>
      <c r="D182" s="31"/>
      <c r="E182" s="31"/>
      <c r="F182" s="31"/>
      <c r="G182" s="31"/>
      <c r="H182" s="32"/>
      <c r="J182" s="33"/>
      <c r="K182" s="33"/>
      <c r="L182" s="33"/>
      <c r="X182" s="23"/>
      <c r="Y182" s="23"/>
      <c r="Z182" s="23"/>
      <c r="AA182" s="23"/>
      <c r="AF182" s="23"/>
      <c r="AG182" s="23"/>
      <c r="AH182" s="23"/>
      <c r="AI182" s="23"/>
      <c r="AN182" s="23"/>
      <c r="AO182" s="23"/>
      <c r="AP182" s="23"/>
      <c r="AQ182" s="23"/>
      <c r="AR182" s="35"/>
      <c r="AS182" s="35"/>
      <c r="AT182" s="35"/>
      <c r="AU182" s="31"/>
      <c r="AV182" s="36"/>
    </row>
    <row r="183" spans="1:48">
      <c r="A183" s="39"/>
      <c r="D183" s="31"/>
      <c r="E183" s="31"/>
      <c r="F183" s="31"/>
      <c r="G183" s="31"/>
      <c r="H183" s="32"/>
      <c r="J183" s="33"/>
      <c r="K183" s="33"/>
      <c r="L183" s="33"/>
      <c r="X183" s="23"/>
      <c r="Y183" s="23"/>
      <c r="Z183" s="23"/>
      <c r="AA183" s="23"/>
      <c r="AF183" s="23"/>
      <c r="AG183" s="23"/>
      <c r="AH183" s="23"/>
      <c r="AI183" s="23"/>
      <c r="AN183" s="23"/>
      <c r="AO183" s="23"/>
      <c r="AP183" s="23"/>
      <c r="AQ183" s="23"/>
      <c r="AR183" s="35"/>
      <c r="AS183" s="35"/>
      <c r="AT183" s="35"/>
      <c r="AU183" s="31"/>
      <c r="AV183" s="36"/>
    </row>
    <row r="184" spans="1:48">
      <c r="A184" s="39"/>
      <c r="D184" s="31"/>
      <c r="E184" s="31"/>
      <c r="F184" s="31"/>
      <c r="G184" s="31"/>
      <c r="H184" s="32"/>
      <c r="J184" s="33"/>
      <c r="K184" s="33"/>
      <c r="L184" s="33"/>
      <c r="X184" s="23"/>
      <c r="Y184" s="23"/>
      <c r="Z184" s="23"/>
      <c r="AA184" s="23"/>
      <c r="AF184" s="23"/>
      <c r="AG184" s="23"/>
      <c r="AH184" s="23"/>
      <c r="AI184" s="23"/>
      <c r="AN184" s="23"/>
      <c r="AO184" s="23"/>
      <c r="AP184" s="23"/>
      <c r="AQ184" s="23"/>
      <c r="AR184" s="35"/>
      <c r="AS184" s="35"/>
      <c r="AT184" s="35"/>
      <c r="AU184" s="31"/>
      <c r="AV184" s="36"/>
    </row>
    <row r="185" spans="1:48">
      <c r="A185" s="39"/>
      <c r="D185" s="31"/>
      <c r="E185" s="31"/>
      <c r="F185" s="31"/>
      <c r="G185" s="31"/>
      <c r="H185" s="32"/>
      <c r="J185" s="33"/>
      <c r="K185" s="33"/>
      <c r="L185" s="33"/>
      <c r="X185" s="23"/>
      <c r="Y185" s="23"/>
      <c r="Z185" s="23"/>
      <c r="AA185" s="23"/>
      <c r="AF185" s="23"/>
      <c r="AG185" s="23"/>
      <c r="AH185" s="23"/>
      <c r="AI185" s="23"/>
      <c r="AN185" s="23"/>
      <c r="AO185" s="23"/>
      <c r="AP185" s="23"/>
      <c r="AQ185" s="23"/>
      <c r="AR185" s="35"/>
      <c r="AS185" s="35"/>
      <c r="AT185" s="35"/>
      <c r="AU185" s="31"/>
      <c r="AV185" s="36"/>
    </row>
    <row r="186" spans="1:48">
      <c r="A186" s="39"/>
      <c r="D186" s="31"/>
      <c r="E186" s="31"/>
      <c r="F186" s="31"/>
      <c r="G186" s="31"/>
      <c r="H186" s="32"/>
      <c r="J186" s="33"/>
      <c r="K186" s="33"/>
      <c r="L186" s="33"/>
      <c r="X186" s="23"/>
      <c r="Y186" s="23"/>
      <c r="Z186" s="23"/>
      <c r="AA186" s="23"/>
      <c r="AF186" s="23"/>
      <c r="AG186" s="23"/>
      <c r="AH186" s="23"/>
      <c r="AI186" s="23"/>
      <c r="AN186" s="23"/>
      <c r="AO186" s="23"/>
      <c r="AP186" s="23"/>
      <c r="AQ186" s="23"/>
      <c r="AR186" s="35"/>
      <c r="AS186" s="35"/>
      <c r="AT186" s="35"/>
      <c r="AU186" s="31"/>
      <c r="AV186" s="36"/>
    </row>
    <row r="187" spans="1:48">
      <c r="A187" s="39"/>
      <c r="D187" s="31"/>
      <c r="E187" s="31"/>
      <c r="F187" s="31"/>
      <c r="G187" s="31"/>
      <c r="H187" s="32"/>
      <c r="J187" s="33"/>
      <c r="K187" s="33"/>
      <c r="L187" s="33"/>
      <c r="X187" s="23"/>
      <c r="Y187" s="23"/>
      <c r="Z187" s="23"/>
      <c r="AA187" s="23"/>
      <c r="AF187" s="23"/>
      <c r="AG187" s="23"/>
      <c r="AH187" s="23"/>
      <c r="AI187" s="23"/>
      <c r="AN187" s="23"/>
      <c r="AO187" s="23"/>
      <c r="AP187" s="23"/>
      <c r="AQ187" s="23"/>
      <c r="AR187" s="35"/>
      <c r="AS187" s="35"/>
      <c r="AT187" s="35"/>
      <c r="AU187" s="31"/>
      <c r="AV187" s="36"/>
    </row>
    <row r="188" spans="1:48">
      <c r="A188" s="39"/>
      <c r="D188" s="31"/>
      <c r="E188" s="31"/>
      <c r="F188" s="31"/>
      <c r="G188" s="31"/>
      <c r="H188" s="32"/>
      <c r="J188" s="33"/>
      <c r="K188" s="33"/>
      <c r="L188" s="33"/>
      <c r="X188" s="23"/>
      <c r="Y188" s="23"/>
      <c r="Z188" s="23"/>
      <c r="AA188" s="23"/>
      <c r="AF188" s="23"/>
      <c r="AG188" s="23"/>
      <c r="AH188" s="23"/>
      <c r="AI188" s="23"/>
      <c r="AN188" s="23"/>
      <c r="AO188" s="23"/>
      <c r="AP188" s="23"/>
      <c r="AQ188" s="23"/>
      <c r="AR188" s="35"/>
      <c r="AS188" s="35"/>
      <c r="AT188" s="35"/>
      <c r="AU188" s="31"/>
      <c r="AV188" s="36"/>
    </row>
    <row r="189" spans="1:48">
      <c r="A189" s="39"/>
      <c r="D189" s="31"/>
      <c r="E189" s="31"/>
      <c r="F189" s="31"/>
      <c r="G189" s="31"/>
      <c r="H189" s="32"/>
      <c r="J189" s="33"/>
      <c r="K189" s="33"/>
      <c r="L189" s="33"/>
      <c r="X189" s="23"/>
      <c r="Y189" s="23"/>
      <c r="Z189" s="23"/>
      <c r="AA189" s="23"/>
      <c r="AF189" s="23"/>
      <c r="AG189" s="23"/>
      <c r="AH189" s="23"/>
      <c r="AI189" s="23"/>
      <c r="AN189" s="23"/>
      <c r="AO189" s="23"/>
      <c r="AP189" s="23"/>
      <c r="AQ189" s="23"/>
      <c r="AR189" s="35"/>
      <c r="AS189" s="35"/>
      <c r="AT189" s="35"/>
      <c r="AU189" s="31"/>
      <c r="AV189" s="36"/>
    </row>
    <row r="190" spans="1:48">
      <c r="A190" s="39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39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39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39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39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39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39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39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39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39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39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39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39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39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39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39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39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7">
      <c r="A507" s="19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19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19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19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19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19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19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19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19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19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19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19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19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19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19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19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19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19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19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19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19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19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19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19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19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19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19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19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19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19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19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19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19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19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19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19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19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19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19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19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19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19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19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19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19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19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19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19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19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19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19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19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19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19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19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19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19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19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19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19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19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19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19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19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19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19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19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19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19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19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19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19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39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39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39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39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39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19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19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19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19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19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19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19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19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19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19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19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19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0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0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0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0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0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19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19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19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19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19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19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989" operator="lessThan">
      <formula>20</formula>
    </cfRule>
    <cfRule type="cellIs" dxfId="1" priority="2988" operator="greaterThan">
      <formula>120</formula>
    </cfRule>
    <cfRule type="containsText" dxfId="2" priority="2987" operator="between" text="库存为">
      <formula>NOT(ISERROR(SEARCH("库存为",AU2)))</formula>
    </cfRule>
  </conditionalFormatting>
  <conditionalFormatting sqref="AU6">
    <cfRule type="cellIs" dxfId="0" priority="495" operator="lessThan">
      <formula>20</formula>
    </cfRule>
    <cfRule type="cellIs" dxfId="1" priority="330" operator="greaterThan">
      <formula>120</formula>
    </cfRule>
    <cfRule type="containsText" dxfId="2" priority="165" operator="between" text="库存为">
      <formula>NOT(ISERROR(SEARCH("库存为",AU6)))</formula>
    </cfRule>
  </conditionalFormatting>
  <conditionalFormatting sqref="AU7">
    <cfRule type="cellIs" dxfId="0" priority="494" operator="lessThan">
      <formula>20</formula>
    </cfRule>
    <cfRule type="cellIs" dxfId="1" priority="329" operator="greaterThan">
      <formula>120</formula>
    </cfRule>
    <cfRule type="containsText" dxfId="2" priority="164" operator="between" text="库存为">
      <formula>NOT(ISERROR(SEARCH("库存为",AU7)))</formula>
    </cfRule>
  </conditionalFormatting>
  <conditionalFormatting sqref="AU8">
    <cfRule type="cellIs" dxfId="0" priority="493" operator="lessThan">
      <formula>20</formula>
    </cfRule>
    <cfRule type="cellIs" dxfId="1" priority="328" operator="greaterThan">
      <formula>120</formula>
    </cfRule>
    <cfRule type="containsText" dxfId="2" priority="163" operator="between" text="库存为">
      <formula>NOT(ISERROR(SEARCH("库存为",AU8)))</formula>
    </cfRule>
  </conditionalFormatting>
  <conditionalFormatting sqref="AU9">
    <cfRule type="cellIs" dxfId="0" priority="492" operator="lessThan">
      <formula>20</formula>
    </cfRule>
    <cfRule type="cellIs" dxfId="1" priority="327" operator="greaterThan">
      <formula>120</formula>
    </cfRule>
    <cfRule type="containsText" dxfId="2" priority="162" operator="between" text="库存为">
      <formula>NOT(ISERROR(SEARCH("库存为",AU9)))</formula>
    </cfRule>
  </conditionalFormatting>
  <conditionalFormatting sqref="AU10">
    <cfRule type="cellIs" dxfId="0" priority="491" operator="lessThan">
      <formula>20</formula>
    </cfRule>
    <cfRule type="cellIs" dxfId="1" priority="326" operator="greaterThan">
      <formula>120</formula>
    </cfRule>
    <cfRule type="containsText" dxfId="2" priority="161" operator="between" text="库存为">
      <formula>NOT(ISERROR(SEARCH("库存为",AU10)))</formula>
    </cfRule>
  </conditionalFormatting>
  <conditionalFormatting sqref="AU11">
    <cfRule type="cellIs" dxfId="0" priority="490" operator="lessThan">
      <formula>20</formula>
    </cfRule>
    <cfRule type="cellIs" dxfId="1" priority="325" operator="greaterThan">
      <formula>120</formula>
    </cfRule>
    <cfRule type="containsText" dxfId="2" priority="160" operator="between" text="库存为">
      <formula>NOT(ISERROR(SEARCH("库存为",AU11)))</formula>
    </cfRule>
  </conditionalFormatting>
  <conditionalFormatting sqref="AU12">
    <cfRule type="cellIs" dxfId="0" priority="489" operator="lessThan">
      <formula>20</formula>
    </cfRule>
    <cfRule type="cellIs" dxfId="1" priority="324" operator="greaterThan">
      <formula>120</formula>
    </cfRule>
    <cfRule type="containsText" dxfId="2" priority="159" operator="between" text="库存为">
      <formula>NOT(ISERROR(SEARCH("库存为",AU12)))</formula>
    </cfRule>
  </conditionalFormatting>
  <conditionalFormatting sqref="AU13">
    <cfRule type="cellIs" dxfId="0" priority="488" operator="lessThan">
      <formula>20</formula>
    </cfRule>
    <cfRule type="cellIs" dxfId="1" priority="323" operator="greaterThan">
      <formula>120</formula>
    </cfRule>
    <cfRule type="containsText" dxfId="2" priority="158" operator="between" text="库存为">
      <formula>NOT(ISERROR(SEARCH("库存为",AU13)))</formula>
    </cfRule>
  </conditionalFormatting>
  <conditionalFormatting sqref="AU14">
    <cfRule type="cellIs" dxfId="0" priority="487" operator="lessThan">
      <formula>20</formula>
    </cfRule>
    <cfRule type="cellIs" dxfId="1" priority="322" operator="greaterThan">
      <formula>120</formula>
    </cfRule>
    <cfRule type="containsText" dxfId="2" priority="157" operator="between" text="库存为">
      <formula>NOT(ISERROR(SEARCH("库存为",AU14)))</formula>
    </cfRule>
  </conditionalFormatting>
  <conditionalFormatting sqref="AU15">
    <cfRule type="cellIs" dxfId="0" priority="486" operator="lessThan">
      <formula>20</formula>
    </cfRule>
    <cfRule type="cellIs" dxfId="1" priority="321" operator="greaterThan">
      <formula>120</formula>
    </cfRule>
    <cfRule type="containsText" dxfId="2" priority="156" operator="between" text="库存为">
      <formula>NOT(ISERROR(SEARCH("库存为",AU15)))</formula>
    </cfRule>
  </conditionalFormatting>
  <conditionalFormatting sqref="AU16">
    <cfRule type="cellIs" dxfId="0" priority="485" operator="lessThan">
      <formula>20</formula>
    </cfRule>
    <cfRule type="cellIs" dxfId="1" priority="320" operator="greaterThan">
      <formula>120</formula>
    </cfRule>
    <cfRule type="containsText" dxfId="2" priority="155" operator="between" text="库存为">
      <formula>NOT(ISERROR(SEARCH("库存为",AU16)))</formula>
    </cfRule>
  </conditionalFormatting>
  <conditionalFormatting sqref="AU17">
    <cfRule type="cellIs" dxfId="0" priority="484" operator="lessThan">
      <formula>20</formula>
    </cfRule>
    <cfRule type="cellIs" dxfId="1" priority="319" operator="greaterThan">
      <formula>120</formula>
    </cfRule>
    <cfRule type="containsText" dxfId="2" priority="154" operator="between" text="库存为">
      <formula>NOT(ISERROR(SEARCH("库存为",AU17)))</formula>
    </cfRule>
  </conditionalFormatting>
  <conditionalFormatting sqref="AU18">
    <cfRule type="cellIs" dxfId="0" priority="483" operator="lessThan">
      <formula>20</formula>
    </cfRule>
    <cfRule type="cellIs" dxfId="1" priority="318" operator="greaterThan">
      <formula>120</formula>
    </cfRule>
    <cfRule type="containsText" dxfId="2" priority="153" operator="between" text="库存为">
      <formula>NOT(ISERROR(SEARCH("库存为",AU18)))</formula>
    </cfRule>
  </conditionalFormatting>
  <conditionalFormatting sqref="AU19">
    <cfRule type="cellIs" dxfId="0" priority="482" operator="lessThan">
      <formula>20</formula>
    </cfRule>
    <cfRule type="cellIs" dxfId="1" priority="317" operator="greaterThan">
      <formula>120</formula>
    </cfRule>
    <cfRule type="containsText" dxfId="2" priority="152" operator="between" text="库存为">
      <formula>NOT(ISERROR(SEARCH("库存为",AU19)))</formula>
    </cfRule>
  </conditionalFormatting>
  <conditionalFormatting sqref="AU20">
    <cfRule type="cellIs" dxfId="0" priority="481" operator="lessThan">
      <formula>20</formula>
    </cfRule>
    <cfRule type="cellIs" dxfId="1" priority="316" operator="greaterThan">
      <formula>120</formula>
    </cfRule>
    <cfRule type="containsText" dxfId="2" priority="151" operator="between" text="库存为">
      <formula>NOT(ISERROR(SEARCH("库存为",AU20)))</formula>
    </cfRule>
  </conditionalFormatting>
  <conditionalFormatting sqref="AU21">
    <cfRule type="cellIs" dxfId="0" priority="480" operator="lessThan">
      <formula>20</formula>
    </cfRule>
    <cfRule type="cellIs" dxfId="1" priority="315" operator="greaterThan">
      <formula>120</formula>
    </cfRule>
    <cfRule type="containsText" dxfId="2" priority="150" operator="between" text="库存为">
      <formula>NOT(ISERROR(SEARCH("库存为",AU21)))</formula>
    </cfRule>
  </conditionalFormatting>
  <conditionalFormatting sqref="AU22">
    <cfRule type="cellIs" dxfId="0" priority="479" operator="lessThan">
      <formula>20</formula>
    </cfRule>
    <cfRule type="cellIs" dxfId="1" priority="314" operator="greaterThan">
      <formula>120</formula>
    </cfRule>
    <cfRule type="containsText" dxfId="2" priority="149" operator="between" text="库存为">
      <formula>NOT(ISERROR(SEARCH("库存为",AU22)))</formula>
    </cfRule>
  </conditionalFormatting>
  <conditionalFormatting sqref="AU23">
    <cfRule type="cellIs" dxfId="0" priority="478" operator="lessThan">
      <formula>20</formula>
    </cfRule>
    <cfRule type="cellIs" dxfId="1" priority="313" operator="greaterThan">
      <formula>120</formula>
    </cfRule>
    <cfRule type="containsText" dxfId="2" priority="148" operator="between" text="库存为">
      <formula>NOT(ISERROR(SEARCH("库存为",AU23)))</formula>
    </cfRule>
  </conditionalFormatting>
  <conditionalFormatting sqref="AU24">
    <cfRule type="cellIs" dxfId="0" priority="477" operator="lessThan">
      <formula>20</formula>
    </cfRule>
    <cfRule type="cellIs" dxfId="1" priority="312" operator="greaterThan">
      <formula>120</formula>
    </cfRule>
    <cfRule type="containsText" dxfId="2" priority="147" operator="between" text="库存为">
      <formula>NOT(ISERROR(SEARCH("库存为",AU24)))</formula>
    </cfRule>
  </conditionalFormatting>
  <conditionalFormatting sqref="AU25">
    <cfRule type="cellIs" dxfId="0" priority="476" operator="lessThan">
      <formula>20</formula>
    </cfRule>
    <cfRule type="cellIs" dxfId="1" priority="311" operator="greaterThan">
      <formula>120</formula>
    </cfRule>
    <cfRule type="containsText" dxfId="2" priority="146" operator="between" text="库存为">
      <formula>NOT(ISERROR(SEARCH("库存为",AU25)))</formula>
    </cfRule>
  </conditionalFormatting>
  <conditionalFormatting sqref="AU26">
    <cfRule type="cellIs" dxfId="0" priority="475" operator="lessThan">
      <formula>20</formula>
    </cfRule>
    <cfRule type="cellIs" dxfId="1" priority="310" operator="greaterThan">
      <formula>120</formula>
    </cfRule>
    <cfRule type="containsText" dxfId="2" priority="145" operator="between" text="库存为">
      <formula>NOT(ISERROR(SEARCH("库存为",AU26)))</formula>
    </cfRule>
  </conditionalFormatting>
  <conditionalFormatting sqref="AU27">
    <cfRule type="cellIs" dxfId="0" priority="474" operator="lessThan">
      <formula>20</formula>
    </cfRule>
    <cfRule type="cellIs" dxfId="1" priority="309" operator="greaterThan">
      <formula>120</formula>
    </cfRule>
    <cfRule type="containsText" dxfId="2" priority="144" operator="between" text="库存为">
      <formula>NOT(ISERROR(SEARCH("库存为",AU27)))</formula>
    </cfRule>
  </conditionalFormatting>
  <conditionalFormatting sqref="AU28">
    <cfRule type="cellIs" dxfId="0" priority="473" operator="lessThan">
      <formula>20</formula>
    </cfRule>
    <cfRule type="cellIs" dxfId="1" priority="308" operator="greaterThan">
      <formula>120</formula>
    </cfRule>
    <cfRule type="containsText" dxfId="2" priority="143" operator="between" text="库存为">
      <formula>NOT(ISERROR(SEARCH("库存为",AU28)))</formula>
    </cfRule>
  </conditionalFormatting>
  <conditionalFormatting sqref="AU29">
    <cfRule type="cellIs" dxfId="0" priority="472" operator="lessThan">
      <formula>20</formula>
    </cfRule>
    <cfRule type="cellIs" dxfId="1" priority="307" operator="greaterThan">
      <formula>120</formula>
    </cfRule>
    <cfRule type="containsText" dxfId="2" priority="142" operator="between" text="库存为">
      <formula>NOT(ISERROR(SEARCH("库存为",AU29)))</formula>
    </cfRule>
  </conditionalFormatting>
  <conditionalFormatting sqref="AU30">
    <cfRule type="cellIs" dxfId="0" priority="471" operator="lessThan">
      <formula>20</formula>
    </cfRule>
    <cfRule type="cellIs" dxfId="1" priority="306" operator="greaterThan">
      <formula>120</formula>
    </cfRule>
    <cfRule type="containsText" dxfId="2" priority="141" operator="between" text="库存为">
      <formula>NOT(ISERROR(SEARCH("库存为",AU30)))</formula>
    </cfRule>
  </conditionalFormatting>
  <conditionalFormatting sqref="AU31">
    <cfRule type="cellIs" dxfId="0" priority="470" operator="lessThan">
      <formula>20</formula>
    </cfRule>
    <cfRule type="cellIs" dxfId="1" priority="305" operator="greaterThan">
      <formula>120</formula>
    </cfRule>
    <cfRule type="containsText" dxfId="2" priority="140" operator="between" text="库存为">
      <formula>NOT(ISERROR(SEARCH("库存为",AU31)))</formula>
    </cfRule>
  </conditionalFormatting>
  <conditionalFormatting sqref="AU32">
    <cfRule type="cellIs" dxfId="0" priority="469" operator="lessThan">
      <formula>20</formula>
    </cfRule>
    <cfRule type="cellIs" dxfId="1" priority="304" operator="greaterThan">
      <formula>120</formula>
    </cfRule>
    <cfRule type="containsText" dxfId="2" priority="139" operator="between" text="库存为">
      <formula>NOT(ISERROR(SEARCH("库存为",AU32)))</formula>
    </cfRule>
  </conditionalFormatting>
  <conditionalFormatting sqref="AU33">
    <cfRule type="cellIs" dxfId="0" priority="468" operator="lessThan">
      <formula>20</formula>
    </cfRule>
    <cfRule type="cellIs" dxfId="1" priority="303" operator="greaterThan">
      <formula>120</formula>
    </cfRule>
    <cfRule type="containsText" dxfId="2" priority="138" operator="between" text="库存为">
      <formula>NOT(ISERROR(SEARCH("库存为",AU33)))</formula>
    </cfRule>
  </conditionalFormatting>
  <conditionalFormatting sqref="AU34">
    <cfRule type="cellIs" dxfId="0" priority="467" operator="lessThan">
      <formula>20</formula>
    </cfRule>
    <cfRule type="cellIs" dxfId="1" priority="302" operator="greaterThan">
      <formula>120</formula>
    </cfRule>
    <cfRule type="containsText" dxfId="2" priority="137" operator="between" text="库存为">
      <formula>NOT(ISERROR(SEARCH("库存为",AU34)))</formula>
    </cfRule>
  </conditionalFormatting>
  <conditionalFormatting sqref="AU35">
    <cfRule type="cellIs" dxfId="0" priority="466" operator="lessThan">
      <formula>20</formula>
    </cfRule>
    <cfRule type="cellIs" dxfId="1" priority="301" operator="greaterThan">
      <formula>120</formula>
    </cfRule>
    <cfRule type="containsText" dxfId="2" priority="136" operator="between" text="库存为">
      <formula>NOT(ISERROR(SEARCH("库存为",AU35)))</formula>
    </cfRule>
  </conditionalFormatting>
  <conditionalFormatting sqref="AU36">
    <cfRule type="cellIs" dxfId="0" priority="465" operator="lessThan">
      <formula>20</formula>
    </cfRule>
    <cfRule type="cellIs" dxfId="1" priority="300" operator="greaterThan">
      <formula>120</formula>
    </cfRule>
    <cfRule type="containsText" dxfId="2" priority="135" operator="between" text="库存为">
      <formula>NOT(ISERROR(SEARCH("库存为",AU36)))</formula>
    </cfRule>
  </conditionalFormatting>
  <conditionalFormatting sqref="AU37">
    <cfRule type="cellIs" dxfId="0" priority="464" operator="lessThan">
      <formula>20</formula>
    </cfRule>
    <cfRule type="cellIs" dxfId="1" priority="299" operator="greaterThan">
      <formula>120</formula>
    </cfRule>
    <cfRule type="containsText" dxfId="2" priority="134" operator="between" text="库存为">
      <formula>NOT(ISERROR(SEARCH("库存为",AU37)))</formula>
    </cfRule>
  </conditionalFormatting>
  <conditionalFormatting sqref="AU38">
    <cfRule type="cellIs" dxfId="0" priority="463" operator="lessThan">
      <formula>20</formula>
    </cfRule>
    <cfRule type="cellIs" dxfId="1" priority="298" operator="greaterThan">
      <formula>120</formula>
    </cfRule>
    <cfRule type="containsText" dxfId="2" priority="133" operator="between" text="库存为">
      <formula>NOT(ISERROR(SEARCH("库存为",AU38)))</formula>
    </cfRule>
  </conditionalFormatting>
  <conditionalFormatting sqref="AU39">
    <cfRule type="cellIs" dxfId="0" priority="462" operator="lessThan">
      <formula>20</formula>
    </cfRule>
    <cfRule type="cellIs" dxfId="1" priority="297" operator="greaterThan">
      <formula>120</formula>
    </cfRule>
    <cfRule type="containsText" dxfId="2" priority="132" operator="between" text="库存为">
      <formula>NOT(ISERROR(SEARCH("库存为",AU39)))</formula>
    </cfRule>
  </conditionalFormatting>
  <conditionalFormatting sqref="AU40">
    <cfRule type="cellIs" dxfId="0" priority="461" operator="lessThan">
      <formula>20</formula>
    </cfRule>
    <cfRule type="cellIs" dxfId="1" priority="296" operator="greaterThan">
      <formula>120</formula>
    </cfRule>
    <cfRule type="containsText" dxfId="2" priority="131" operator="between" text="库存为">
      <formula>NOT(ISERROR(SEARCH("库存为",AU40)))</formula>
    </cfRule>
  </conditionalFormatting>
  <conditionalFormatting sqref="AU41">
    <cfRule type="cellIs" dxfId="0" priority="460" operator="lessThan">
      <formula>20</formula>
    </cfRule>
    <cfRule type="cellIs" dxfId="1" priority="295" operator="greaterThan">
      <formula>120</formula>
    </cfRule>
    <cfRule type="containsText" dxfId="2" priority="130" operator="between" text="库存为">
      <formula>NOT(ISERROR(SEARCH("库存为",AU41)))</formula>
    </cfRule>
  </conditionalFormatting>
  <conditionalFormatting sqref="AU42">
    <cfRule type="cellIs" dxfId="0" priority="459" operator="lessThan">
      <formula>20</formula>
    </cfRule>
    <cfRule type="cellIs" dxfId="1" priority="294" operator="greaterThan">
      <formula>120</formula>
    </cfRule>
    <cfRule type="containsText" dxfId="2" priority="129" operator="between" text="库存为">
      <formula>NOT(ISERROR(SEARCH("库存为",AU42)))</formula>
    </cfRule>
  </conditionalFormatting>
  <conditionalFormatting sqref="AU43">
    <cfRule type="cellIs" dxfId="0" priority="458" operator="lessThan">
      <formula>20</formula>
    </cfRule>
    <cfRule type="cellIs" dxfId="1" priority="293" operator="greaterThan">
      <formula>120</formula>
    </cfRule>
    <cfRule type="containsText" dxfId="2" priority="128" operator="between" text="库存为">
      <formula>NOT(ISERROR(SEARCH("库存为",AU43)))</formula>
    </cfRule>
  </conditionalFormatting>
  <conditionalFormatting sqref="AU44">
    <cfRule type="cellIs" dxfId="0" priority="457" operator="lessThan">
      <formula>20</formula>
    </cfRule>
    <cfRule type="cellIs" dxfId="1" priority="292" operator="greaterThan">
      <formula>120</formula>
    </cfRule>
    <cfRule type="containsText" dxfId="2" priority="127" operator="between" text="库存为">
      <formula>NOT(ISERROR(SEARCH("库存为",AU44)))</formula>
    </cfRule>
  </conditionalFormatting>
  <conditionalFormatting sqref="AU45">
    <cfRule type="cellIs" dxfId="0" priority="456" operator="lessThan">
      <formula>20</formula>
    </cfRule>
    <cfRule type="cellIs" dxfId="1" priority="291" operator="greaterThan">
      <formula>120</formula>
    </cfRule>
    <cfRule type="containsText" dxfId="2" priority="126" operator="between" text="库存为">
      <formula>NOT(ISERROR(SEARCH("库存为",AU45)))</formula>
    </cfRule>
  </conditionalFormatting>
  <conditionalFormatting sqref="AU46">
    <cfRule type="cellIs" dxfId="0" priority="455" operator="lessThan">
      <formula>20</formula>
    </cfRule>
    <cfRule type="cellIs" dxfId="1" priority="290" operator="greaterThan">
      <formula>120</formula>
    </cfRule>
    <cfRule type="containsText" dxfId="2" priority="125" operator="between" text="库存为">
      <formula>NOT(ISERROR(SEARCH("库存为",AU46)))</formula>
    </cfRule>
  </conditionalFormatting>
  <conditionalFormatting sqref="AU47">
    <cfRule type="cellIs" dxfId="0" priority="454" operator="lessThan">
      <formula>20</formula>
    </cfRule>
    <cfRule type="cellIs" dxfId="1" priority="289" operator="greaterThan">
      <formula>120</formula>
    </cfRule>
    <cfRule type="containsText" dxfId="2" priority="124" operator="between" text="库存为">
      <formula>NOT(ISERROR(SEARCH("库存为",AU47)))</formula>
    </cfRule>
  </conditionalFormatting>
  <conditionalFormatting sqref="AU48">
    <cfRule type="cellIs" dxfId="0" priority="453" operator="lessThan">
      <formula>20</formula>
    </cfRule>
    <cfRule type="cellIs" dxfId="1" priority="288" operator="greaterThan">
      <formula>120</formula>
    </cfRule>
    <cfRule type="containsText" dxfId="2" priority="123" operator="between" text="库存为">
      <formula>NOT(ISERROR(SEARCH("库存为",AU48)))</formula>
    </cfRule>
  </conditionalFormatting>
  <conditionalFormatting sqref="AU49">
    <cfRule type="cellIs" dxfId="0" priority="452" operator="lessThan">
      <formula>20</formula>
    </cfRule>
    <cfRule type="cellIs" dxfId="1" priority="287" operator="greaterThan">
      <formula>120</formula>
    </cfRule>
    <cfRule type="containsText" dxfId="2" priority="122" operator="between" text="库存为">
      <formula>NOT(ISERROR(SEARCH("库存为",AU49)))</formula>
    </cfRule>
  </conditionalFormatting>
  <conditionalFormatting sqref="AU50">
    <cfRule type="cellIs" dxfId="0" priority="451" operator="lessThan">
      <formula>20</formula>
    </cfRule>
    <cfRule type="cellIs" dxfId="1" priority="286" operator="greaterThan">
      <formula>120</formula>
    </cfRule>
    <cfRule type="containsText" dxfId="2" priority="121" operator="between" text="库存为">
      <formula>NOT(ISERROR(SEARCH("库存为",AU50)))</formula>
    </cfRule>
  </conditionalFormatting>
  <conditionalFormatting sqref="AU51">
    <cfRule type="cellIs" dxfId="0" priority="450" operator="lessThan">
      <formula>20</formula>
    </cfRule>
    <cfRule type="cellIs" dxfId="1" priority="285" operator="greaterThan">
      <formula>120</formula>
    </cfRule>
    <cfRule type="containsText" dxfId="2" priority="120" operator="between" text="库存为">
      <formula>NOT(ISERROR(SEARCH("库存为",AU51)))</formula>
    </cfRule>
  </conditionalFormatting>
  <conditionalFormatting sqref="AU52">
    <cfRule type="cellIs" dxfId="0" priority="449" operator="lessThan">
      <formula>20</formula>
    </cfRule>
    <cfRule type="cellIs" dxfId="1" priority="284" operator="greaterThan">
      <formula>120</formula>
    </cfRule>
    <cfRule type="containsText" dxfId="2" priority="119" operator="between" text="库存为">
      <formula>NOT(ISERROR(SEARCH("库存为",AU52)))</formula>
    </cfRule>
  </conditionalFormatting>
  <conditionalFormatting sqref="AU53">
    <cfRule type="cellIs" dxfId="0" priority="448" operator="lessThan">
      <formula>20</formula>
    </cfRule>
    <cfRule type="cellIs" dxfId="1" priority="283" operator="greaterThan">
      <formula>120</formula>
    </cfRule>
    <cfRule type="containsText" dxfId="2" priority="118" operator="between" text="库存为">
      <formula>NOT(ISERROR(SEARCH("库存为",AU53)))</formula>
    </cfRule>
  </conditionalFormatting>
  <conditionalFormatting sqref="AU54">
    <cfRule type="cellIs" dxfId="0" priority="447" operator="lessThan">
      <formula>20</formula>
    </cfRule>
    <cfRule type="cellIs" dxfId="1" priority="282" operator="greaterThan">
      <formula>120</formula>
    </cfRule>
    <cfRule type="containsText" dxfId="2" priority="117" operator="between" text="库存为">
      <formula>NOT(ISERROR(SEARCH("库存为",AU54)))</formula>
    </cfRule>
  </conditionalFormatting>
  <conditionalFormatting sqref="AU55">
    <cfRule type="cellIs" dxfId="0" priority="446" operator="lessThan">
      <formula>20</formula>
    </cfRule>
    <cfRule type="cellIs" dxfId="1" priority="281" operator="greaterThan">
      <formula>120</formula>
    </cfRule>
    <cfRule type="containsText" dxfId="2" priority="116" operator="between" text="库存为">
      <formula>NOT(ISERROR(SEARCH("库存为",AU55)))</formula>
    </cfRule>
  </conditionalFormatting>
  <conditionalFormatting sqref="AU56">
    <cfRule type="cellIs" dxfId="0" priority="445" operator="lessThan">
      <formula>20</formula>
    </cfRule>
    <cfRule type="cellIs" dxfId="1" priority="280" operator="greaterThan">
      <formula>120</formula>
    </cfRule>
    <cfRule type="containsText" dxfId="2" priority="115" operator="between" text="库存为">
      <formula>NOT(ISERROR(SEARCH("库存为",AU56)))</formula>
    </cfRule>
  </conditionalFormatting>
  <conditionalFormatting sqref="AU57">
    <cfRule type="cellIs" dxfId="0" priority="444" operator="lessThan">
      <formula>20</formula>
    </cfRule>
    <cfRule type="cellIs" dxfId="1" priority="279" operator="greaterThan">
      <formula>120</formula>
    </cfRule>
    <cfRule type="containsText" dxfId="2" priority="114" operator="between" text="库存为">
      <formula>NOT(ISERROR(SEARCH("库存为",AU57)))</formula>
    </cfRule>
  </conditionalFormatting>
  <conditionalFormatting sqref="AU58">
    <cfRule type="cellIs" dxfId="0" priority="443" operator="lessThan">
      <formula>20</formula>
    </cfRule>
    <cfRule type="cellIs" dxfId="1" priority="278" operator="greaterThan">
      <formula>120</formula>
    </cfRule>
    <cfRule type="containsText" dxfId="2" priority="113" operator="between" text="库存为">
      <formula>NOT(ISERROR(SEARCH("库存为",AU58)))</formula>
    </cfRule>
  </conditionalFormatting>
  <conditionalFormatting sqref="AU59">
    <cfRule type="cellIs" dxfId="0" priority="442" operator="lessThan">
      <formula>20</formula>
    </cfRule>
    <cfRule type="cellIs" dxfId="1" priority="277" operator="greaterThan">
      <formula>120</formula>
    </cfRule>
    <cfRule type="containsText" dxfId="2" priority="112" operator="between" text="库存为">
      <formula>NOT(ISERROR(SEARCH("库存为",AU59)))</formula>
    </cfRule>
  </conditionalFormatting>
  <conditionalFormatting sqref="AU60">
    <cfRule type="cellIs" dxfId="0" priority="441" operator="lessThan">
      <formula>20</formula>
    </cfRule>
    <cfRule type="cellIs" dxfId="1" priority="276" operator="greaterThan">
      <formula>120</formula>
    </cfRule>
    <cfRule type="containsText" dxfId="2" priority="111" operator="between" text="库存为">
      <formula>NOT(ISERROR(SEARCH("库存为",AU60)))</formula>
    </cfRule>
  </conditionalFormatting>
  <conditionalFormatting sqref="AU61">
    <cfRule type="cellIs" dxfId="0" priority="440" operator="lessThan">
      <formula>20</formula>
    </cfRule>
    <cfRule type="cellIs" dxfId="1" priority="275" operator="greaterThan">
      <formula>120</formula>
    </cfRule>
    <cfRule type="containsText" dxfId="2" priority="110" operator="between" text="库存为">
      <formula>NOT(ISERROR(SEARCH("库存为",AU61)))</formula>
    </cfRule>
  </conditionalFormatting>
  <conditionalFormatting sqref="AU62">
    <cfRule type="cellIs" dxfId="0" priority="439" operator="lessThan">
      <formula>20</formula>
    </cfRule>
    <cfRule type="cellIs" dxfId="1" priority="274" operator="greaterThan">
      <formula>120</formula>
    </cfRule>
    <cfRule type="containsText" dxfId="2" priority="109" operator="between" text="库存为">
      <formula>NOT(ISERROR(SEARCH("库存为",AU62)))</formula>
    </cfRule>
  </conditionalFormatting>
  <conditionalFormatting sqref="AU63">
    <cfRule type="cellIs" dxfId="0" priority="438" operator="lessThan">
      <formula>20</formula>
    </cfRule>
    <cfRule type="cellIs" dxfId="1" priority="273" operator="greaterThan">
      <formula>120</formula>
    </cfRule>
    <cfRule type="containsText" dxfId="2" priority="108" operator="between" text="库存为">
      <formula>NOT(ISERROR(SEARCH("库存为",AU63)))</formula>
    </cfRule>
  </conditionalFormatting>
  <conditionalFormatting sqref="AU64">
    <cfRule type="cellIs" dxfId="0" priority="437" operator="lessThan">
      <formula>20</formula>
    </cfRule>
    <cfRule type="cellIs" dxfId="1" priority="272" operator="greaterThan">
      <formula>120</formula>
    </cfRule>
    <cfRule type="containsText" dxfId="2" priority="107" operator="between" text="库存为">
      <formula>NOT(ISERROR(SEARCH("库存为",AU64)))</formula>
    </cfRule>
  </conditionalFormatting>
  <conditionalFormatting sqref="AU65">
    <cfRule type="cellIs" dxfId="0" priority="436" operator="lessThan">
      <formula>20</formula>
    </cfRule>
    <cfRule type="cellIs" dxfId="1" priority="271" operator="greaterThan">
      <formula>120</formula>
    </cfRule>
    <cfRule type="containsText" dxfId="2" priority="106" operator="between" text="库存为">
      <formula>NOT(ISERROR(SEARCH("库存为",AU65)))</formula>
    </cfRule>
  </conditionalFormatting>
  <conditionalFormatting sqref="AU66">
    <cfRule type="cellIs" dxfId="0" priority="435" operator="lessThan">
      <formula>20</formula>
    </cfRule>
    <cfRule type="cellIs" dxfId="1" priority="270" operator="greaterThan">
      <formula>120</formula>
    </cfRule>
    <cfRule type="containsText" dxfId="2" priority="105" operator="between" text="库存为">
      <formula>NOT(ISERROR(SEARCH("库存为",AU66)))</formula>
    </cfRule>
  </conditionalFormatting>
  <conditionalFormatting sqref="AU67">
    <cfRule type="cellIs" dxfId="0" priority="434" operator="lessThan">
      <formula>20</formula>
    </cfRule>
    <cfRule type="cellIs" dxfId="1" priority="269" operator="greaterThan">
      <formula>120</formula>
    </cfRule>
    <cfRule type="containsText" dxfId="2" priority="104" operator="between" text="库存为">
      <formula>NOT(ISERROR(SEARCH("库存为",AU67)))</formula>
    </cfRule>
  </conditionalFormatting>
  <conditionalFormatting sqref="AU68">
    <cfRule type="cellIs" dxfId="0" priority="433" operator="lessThan">
      <formula>20</formula>
    </cfRule>
    <cfRule type="cellIs" dxfId="1" priority="268" operator="greaterThan">
      <formula>120</formula>
    </cfRule>
    <cfRule type="containsText" dxfId="2" priority="103" operator="between" text="库存为">
      <formula>NOT(ISERROR(SEARCH("库存为",AU68)))</formula>
    </cfRule>
  </conditionalFormatting>
  <conditionalFormatting sqref="AU69">
    <cfRule type="cellIs" dxfId="0" priority="432" operator="lessThan">
      <formula>20</formula>
    </cfRule>
    <cfRule type="cellIs" dxfId="1" priority="267" operator="greaterThan">
      <formula>120</formula>
    </cfRule>
    <cfRule type="containsText" dxfId="2" priority="102" operator="between" text="库存为">
      <formula>NOT(ISERROR(SEARCH("库存为",AU69)))</formula>
    </cfRule>
  </conditionalFormatting>
  <conditionalFormatting sqref="AU70">
    <cfRule type="cellIs" dxfId="0" priority="431" operator="lessThan">
      <formula>20</formula>
    </cfRule>
    <cfRule type="cellIs" dxfId="1" priority="266" operator="greaterThan">
      <formula>120</formula>
    </cfRule>
    <cfRule type="containsText" dxfId="2" priority="101" operator="between" text="库存为">
      <formula>NOT(ISERROR(SEARCH("库存为",AU70)))</formula>
    </cfRule>
  </conditionalFormatting>
  <conditionalFormatting sqref="AU71">
    <cfRule type="cellIs" dxfId="0" priority="430" operator="lessThan">
      <formula>20</formula>
    </cfRule>
    <cfRule type="cellIs" dxfId="1" priority="265" operator="greaterThan">
      <formula>120</formula>
    </cfRule>
    <cfRule type="containsText" dxfId="2" priority="100" operator="between" text="库存为">
      <formula>NOT(ISERROR(SEARCH("库存为",AU71)))</formula>
    </cfRule>
  </conditionalFormatting>
  <conditionalFormatting sqref="AU72">
    <cfRule type="cellIs" dxfId="0" priority="429" operator="lessThan">
      <formula>20</formula>
    </cfRule>
    <cfRule type="cellIs" dxfId="1" priority="264" operator="greaterThan">
      <formula>120</formula>
    </cfRule>
    <cfRule type="containsText" dxfId="2" priority="99" operator="between" text="库存为">
      <formula>NOT(ISERROR(SEARCH("库存为",AU72)))</formula>
    </cfRule>
  </conditionalFormatting>
  <conditionalFormatting sqref="AU73">
    <cfRule type="cellIs" dxfId="0" priority="428" operator="lessThan">
      <formula>20</formula>
    </cfRule>
    <cfRule type="cellIs" dxfId="1" priority="263" operator="greaterThan">
      <formula>120</formula>
    </cfRule>
    <cfRule type="containsText" dxfId="2" priority="98" operator="between" text="库存为">
      <formula>NOT(ISERROR(SEARCH("库存为",AU73)))</formula>
    </cfRule>
  </conditionalFormatting>
  <conditionalFormatting sqref="AU74">
    <cfRule type="cellIs" dxfId="0" priority="427" operator="lessThan">
      <formula>20</formula>
    </cfRule>
    <cfRule type="cellIs" dxfId="1" priority="262" operator="greaterThan">
      <formula>120</formula>
    </cfRule>
    <cfRule type="containsText" dxfId="2" priority="97" operator="between" text="库存为">
      <formula>NOT(ISERROR(SEARCH("库存为",AU74)))</formula>
    </cfRule>
  </conditionalFormatting>
  <conditionalFormatting sqref="AU75">
    <cfRule type="cellIs" dxfId="0" priority="426" operator="lessThan">
      <formula>20</formula>
    </cfRule>
    <cfRule type="cellIs" dxfId="1" priority="261" operator="greaterThan">
      <formula>120</formula>
    </cfRule>
    <cfRule type="containsText" dxfId="2" priority="96" operator="between" text="库存为">
      <formula>NOT(ISERROR(SEARCH("库存为",AU75)))</formula>
    </cfRule>
  </conditionalFormatting>
  <conditionalFormatting sqref="AU76">
    <cfRule type="cellIs" dxfId="0" priority="425" operator="lessThan">
      <formula>20</formula>
    </cfRule>
    <cfRule type="cellIs" dxfId="1" priority="260" operator="greaterThan">
      <formula>120</formula>
    </cfRule>
    <cfRule type="containsText" dxfId="2" priority="95" operator="between" text="库存为">
      <formula>NOT(ISERROR(SEARCH("库存为",AU76)))</formula>
    </cfRule>
  </conditionalFormatting>
  <conditionalFormatting sqref="AU77">
    <cfRule type="cellIs" dxfId="0" priority="424" operator="lessThan">
      <formula>20</formula>
    </cfRule>
    <cfRule type="cellIs" dxfId="1" priority="259" operator="greaterThan">
      <formula>120</formula>
    </cfRule>
    <cfRule type="containsText" dxfId="2" priority="94" operator="between" text="库存为">
      <formula>NOT(ISERROR(SEARCH("库存为",AU77)))</formula>
    </cfRule>
  </conditionalFormatting>
  <conditionalFormatting sqref="AU78">
    <cfRule type="cellIs" dxfId="0" priority="423" operator="lessThan">
      <formula>20</formula>
    </cfRule>
    <cfRule type="cellIs" dxfId="1" priority="258" operator="greaterThan">
      <formula>120</formula>
    </cfRule>
    <cfRule type="containsText" dxfId="2" priority="93" operator="between" text="库存为">
      <formula>NOT(ISERROR(SEARCH("库存为",AU78)))</formula>
    </cfRule>
  </conditionalFormatting>
  <conditionalFormatting sqref="AU79">
    <cfRule type="cellIs" dxfId="0" priority="422" operator="lessThan">
      <formula>20</formula>
    </cfRule>
    <cfRule type="cellIs" dxfId="1" priority="257" operator="greaterThan">
      <formula>120</formula>
    </cfRule>
    <cfRule type="containsText" dxfId="2" priority="92" operator="between" text="库存为">
      <formula>NOT(ISERROR(SEARCH("库存为",AU79)))</formula>
    </cfRule>
  </conditionalFormatting>
  <conditionalFormatting sqref="AU80">
    <cfRule type="cellIs" dxfId="0" priority="421" operator="lessThan">
      <formula>20</formula>
    </cfRule>
    <cfRule type="cellIs" dxfId="1" priority="256" operator="greaterThan">
      <formula>120</formula>
    </cfRule>
    <cfRule type="containsText" dxfId="2" priority="91" operator="between" text="库存为">
      <formula>NOT(ISERROR(SEARCH("库存为",AU80)))</formula>
    </cfRule>
  </conditionalFormatting>
  <conditionalFormatting sqref="AU81">
    <cfRule type="cellIs" dxfId="0" priority="420" operator="lessThan">
      <formula>20</formula>
    </cfRule>
    <cfRule type="cellIs" dxfId="1" priority="255" operator="greaterThan">
      <formula>120</formula>
    </cfRule>
    <cfRule type="containsText" dxfId="2" priority="90" operator="between" text="库存为">
      <formula>NOT(ISERROR(SEARCH("库存为",AU81)))</formula>
    </cfRule>
  </conditionalFormatting>
  <conditionalFormatting sqref="AU82">
    <cfRule type="cellIs" dxfId="0" priority="419" operator="lessThan">
      <formula>20</formula>
    </cfRule>
    <cfRule type="cellIs" dxfId="1" priority="254" operator="greaterThan">
      <formula>120</formula>
    </cfRule>
    <cfRule type="containsText" dxfId="2" priority="89" operator="between" text="库存为">
      <formula>NOT(ISERROR(SEARCH("库存为",AU82)))</formula>
    </cfRule>
  </conditionalFormatting>
  <conditionalFormatting sqref="AU83">
    <cfRule type="cellIs" dxfId="0" priority="418" operator="lessThan">
      <formula>20</formula>
    </cfRule>
    <cfRule type="cellIs" dxfId="1" priority="253" operator="greaterThan">
      <formula>120</formula>
    </cfRule>
    <cfRule type="containsText" dxfId="2" priority="88" operator="between" text="库存为">
      <formula>NOT(ISERROR(SEARCH("库存为",AU83)))</formula>
    </cfRule>
  </conditionalFormatting>
  <conditionalFormatting sqref="AU84">
    <cfRule type="cellIs" dxfId="0" priority="417" operator="lessThan">
      <formula>20</formula>
    </cfRule>
    <cfRule type="cellIs" dxfId="1" priority="252" operator="greaterThan">
      <formula>120</formula>
    </cfRule>
    <cfRule type="containsText" dxfId="2" priority="87" operator="between" text="库存为">
      <formula>NOT(ISERROR(SEARCH("库存为",AU84)))</formula>
    </cfRule>
  </conditionalFormatting>
  <conditionalFormatting sqref="AU85">
    <cfRule type="cellIs" dxfId="0" priority="416" operator="lessThan">
      <formula>20</formula>
    </cfRule>
    <cfRule type="cellIs" dxfId="1" priority="251" operator="greaterThan">
      <formula>120</formula>
    </cfRule>
    <cfRule type="containsText" dxfId="2" priority="86" operator="between" text="库存为">
      <formula>NOT(ISERROR(SEARCH("库存为",AU85)))</formula>
    </cfRule>
  </conditionalFormatting>
  <conditionalFormatting sqref="AU86">
    <cfRule type="cellIs" dxfId="0" priority="415" operator="lessThan">
      <formula>20</formula>
    </cfRule>
    <cfRule type="cellIs" dxfId="1" priority="250" operator="greaterThan">
      <formula>120</formula>
    </cfRule>
    <cfRule type="containsText" dxfId="2" priority="85" operator="between" text="库存为">
      <formula>NOT(ISERROR(SEARCH("库存为",AU86)))</formula>
    </cfRule>
  </conditionalFormatting>
  <conditionalFormatting sqref="AU87">
    <cfRule type="cellIs" dxfId="0" priority="414" operator="lessThan">
      <formula>20</formula>
    </cfRule>
    <cfRule type="cellIs" dxfId="1" priority="249" operator="greaterThan">
      <formula>120</formula>
    </cfRule>
    <cfRule type="containsText" dxfId="2" priority="84" operator="between" text="库存为">
      <formula>NOT(ISERROR(SEARCH("库存为",AU87)))</formula>
    </cfRule>
  </conditionalFormatting>
  <conditionalFormatting sqref="AU88">
    <cfRule type="cellIs" dxfId="0" priority="413" operator="lessThan">
      <formula>20</formula>
    </cfRule>
    <cfRule type="cellIs" dxfId="1" priority="248" operator="greaterThan">
      <formula>120</formula>
    </cfRule>
    <cfRule type="containsText" dxfId="2" priority="83" operator="between" text="库存为">
      <formula>NOT(ISERROR(SEARCH("库存为",AU88)))</formula>
    </cfRule>
  </conditionalFormatting>
  <conditionalFormatting sqref="AU89">
    <cfRule type="cellIs" dxfId="0" priority="412" operator="lessThan">
      <formula>20</formula>
    </cfRule>
    <cfRule type="cellIs" dxfId="1" priority="247" operator="greaterThan">
      <formula>120</formula>
    </cfRule>
    <cfRule type="containsText" dxfId="2" priority="82" operator="between" text="库存为">
      <formula>NOT(ISERROR(SEARCH("库存为",AU89)))</formula>
    </cfRule>
  </conditionalFormatting>
  <conditionalFormatting sqref="AU90">
    <cfRule type="cellIs" dxfId="0" priority="411" operator="lessThan">
      <formula>20</formula>
    </cfRule>
    <cfRule type="cellIs" dxfId="1" priority="246" operator="greaterThan">
      <formula>120</formula>
    </cfRule>
    <cfRule type="containsText" dxfId="2" priority="81" operator="between" text="库存为">
      <formula>NOT(ISERROR(SEARCH("库存为",AU90)))</formula>
    </cfRule>
  </conditionalFormatting>
  <conditionalFormatting sqref="AU91">
    <cfRule type="cellIs" dxfId="0" priority="410" operator="lessThan">
      <formula>20</formula>
    </cfRule>
    <cfRule type="cellIs" dxfId="1" priority="245" operator="greaterThan">
      <formula>120</formula>
    </cfRule>
    <cfRule type="containsText" dxfId="2" priority="80" operator="between" text="库存为">
      <formula>NOT(ISERROR(SEARCH("库存为",AU91)))</formula>
    </cfRule>
  </conditionalFormatting>
  <conditionalFormatting sqref="AU92">
    <cfRule type="cellIs" dxfId="0" priority="409" operator="lessThan">
      <formula>20</formula>
    </cfRule>
    <cfRule type="cellIs" dxfId="1" priority="244" operator="greaterThan">
      <formula>120</formula>
    </cfRule>
    <cfRule type="containsText" dxfId="2" priority="79" operator="between" text="库存为">
      <formula>NOT(ISERROR(SEARCH("库存为",AU92)))</formula>
    </cfRule>
  </conditionalFormatting>
  <conditionalFormatting sqref="AU93">
    <cfRule type="cellIs" dxfId="0" priority="408" operator="lessThan">
      <formula>20</formula>
    </cfRule>
    <cfRule type="cellIs" dxfId="1" priority="243" operator="greaterThan">
      <formula>120</formula>
    </cfRule>
    <cfRule type="containsText" dxfId="2" priority="78" operator="between" text="库存为">
      <formula>NOT(ISERROR(SEARCH("库存为",AU93)))</formula>
    </cfRule>
  </conditionalFormatting>
  <conditionalFormatting sqref="AU94">
    <cfRule type="cellIs" dxfId="0" priority="407" operator="lessThan">
      <formula>20</formula>
    </cfRule>
    <cfRule type="cellIs" dxfId="1" priority="242" operator="greaterThan">
      <formula>120</formula>
    </cfRule>
    <cfRule type="containsText" dxfId="2" priority="77" operator="between" text="库存为">
      <formula>NOT(ISERROR(SEARCH("库存为",AU94)))</formula>
    </cfRule>
  </conditionalFormatting>
  <conditionalFormatting sqref="AU95">
    <cfRule type="cellIs" dxfId="0" priority="406" operator="lessThan">
      <formula>20</formula>
    </cfRule>
    <cfRule type="cellIs" dxfId="1" priority="241" operator="greaterThan">
      <formula>120</formula>
    </cfRule>
    <cfRule type="containsText" dxfId="2" priority="76" operator="between" text="库存为">
      <formula>NOT(ISERROR(SEARCH("库存为",AU95)))</formula>
    </cfRule>
  </conditionalFormatting>
  <conditionalFormatting sqref="AU96">
    <cfRule type="cellIs" dxfId="0" priority="405" operator="lessThan">
      <formula>20</formula>
    </cfRule>
    <cfRule type="cellIs" dxfId="1" priority="240" operator="greaterThan">
      <formula>120</formula>
    </cfRule>
    <cfRule type="containsText" dxfId="2" priority="75" operator="between" text="库存为">
      <formula>NOT(ISERROR(SEARCH("库存为",AU96)))</formula>
    </cfRule>
  </conditionalFormatting>
  <conditionalFormatting sqref="AU97">
    <cfRule type="cellIs" dxfId="0" priority="404" operator="lessThan">
      <formula>20</formula>
    </cfRule>
    <cfRule type="cellIs" dxfId="1" priority="239" operator="greaterThan">
      <formula>120</formula>
    </cfRule>
    <cfRule type="containsText" dxfId="2" priority="74" operator="between" text="库存为">
      <formula>NOT(ISERROR(SEARCH("库存为",AU97)))</formula>
    </cfRule>
  </conditionalFormatting>
  <conditionalFormatting sqref="AU98">
    <cfRule type="cellIs" dxfId="0" priority="403" operator="lessThan">
      <formula>20</formula>
    </cfRule>
    <cfRule type="cellIs" dxfId="1" priority="238" operator="greaterThan">
      <formula>120</formula>
    </cfRule>
    <cfRule type="containsText" dxfId="2" priority="73" operator="between" text="库存为">
      <formula>NOT(ISERROR(SEARCH("库存为",AU98)))</formula>
    </cfRule>
  </conditionalFormatting>
  <conditionalFormatting sqref="AU99">
    <cfRule type="cellIs" dxfId="0" priority="402" operator="lessThan">
      <formula>20</formula>
    </cfRule>
    <cfRule type="cellIs" dxfId="1" priority="237" operator="greaterThan">
      <formula>120</formula>
    </cfRule>
    <cfRule type="containsText" dxfId="2" priority="72" operator="between" text="库存为">
      <formula>NOT(ISERROR(SEARCH("库存为",AU99)))</formula>
    </cfRule>
  </conditionalFormatting>
  <conditionalFormatting sqref="AU100">
    <cfRule type="cellIs" dxfId="0" priority="401" operator="lessThan">
      <formula>20</formula>
    </cfRule>
    <cfRule type="cellIs" dxfId="1" priority="236" operator="greaterThan">
      <formula>120</formula>
    </cfRule>
    <cfRule type="containsText" dxfId="2" priority="71" operator="between" text="库存为">
      <formula>NOT(ISERROR(SEARCH("库存为",AU100)))</formula>
    </cfRule>
  </conditionalFormatting>
  <conditionalFormatting sqref="AU101">
    <cfRule type="cellIs" dxfId="0" priority="400" operator="lessThan">
      <formula>20</formula>
    </cfRule>
    <cfRule type="cellIs" dxfId="1" priority="235" operator="greaterThan">
      <formula>120</formula>
    </cfRule>
    <cfRule type="containsText" dxfId="2" priority="70" operator="between" text="库存为">
      <formula>NOT(ISERROR(SEARCH("库存为",AU101)))</formula>
    </cfRule>
  </conditionalFormatting>
  <conditionalFormatting sqref="AU102">
    <cfRule type="cellIs" dxfId="0" priority="399" operator="lessThan">
      <formula>20</formula>
    </cfRule>
    <cfRule type="cellIs" dxfId="1" priority="234" operator="greaterThan">
      <formula>120</formula>
    </cfRule>
    <cfRule type="containsText" dxfId="2" priority="69" operator="between" text="库存为">
      <formula>NOT(ISERROR(SEARCH("库存为",AU102)))</formula>
    </cfRule>
  </conditionalFormatting>
  <conditionalFormatting sqref="AU103">
    <cfRule type="cellIs" dxfId="0" priority="398" operator="lessThan">
      <formula>20</formula>
    </cfRule>
    <cfRule type="cellIs" dxfId="1" priority="233" operator="greaterThan">
      <formula>120</formula>
    </cfRule>
    <cfRule type="containsText" dxfId="2" priority="68" operator="between" text="库存为">
      <formula>NOT(ISERROR(SEARCH("库存为",AU103)))</formula>
    </cfRule>
  </conditionalFormatting>
  <conditionalFormatting sqref="AU104">
    <cfRule type="cellIs" dxfId="0" priority="397" operator="lessThan">
      <formula>20</formula>
    </cfRule>
    <cfRule type="cellIs" dxfId="1" priority="232" operator="greaterThan">
      <formula>120</formula>
    </cfRule>
    <cfRule type="containsText" dxfId="2" priority="67" operator="between" text="库存为">
      <formula>NOT(ISERROR(SEARCH("库存为",AU104)))</formula>
    </cfRule>
  </conditionalFormatting>
  <conditionalFormatting sqref="AU105">
    <cfRule type="cellIs" dxfId="0" priority="396" operator="lessThan">
      <formula>20</formula>
    </cfRule>
    <cfRule type="cellIs" dxfId="1" priority="231" operator="greaterThan">
      <formula>120</formula>
    </cfRule>
    <cfRule type="containsText" dxfId="2" priority="66" operator="between" text="库存为">
      <formula>NOT(ISERROR(SEARCH("库存为",AU105)))</formula>
    </cfRule>
  </conditionalFormatting>
  <conditionalFormatting sqref="AU106">
    <cfRule type="cellIs" dxfId="0" priority="395" operator="lessThan">
      <formula>20</formula>
    </cfRule>
    <cfRule type="cellIs" dxfId="1" priority="230" operator="greaterThan">
      <formula>120</formula>
    </cfRule>
    <cfRule type="containsText" dxfId="2" priority="65" operator="between" text="库存为">
      <formula>NOT(ISERROR(SEARCH("库存为",AU106)))</formula>
    </cfRule>
  </conditionalFormatting>
  <conditionalFormatting sqref="AU107">
    <cfRule type="cellIs" dxfId="0" priority="394" operator="lessThan">
      <formula>20</formula>
    </cfRule>
    <cfRule type="cellIs" dxfId="1" priority="229" operator="greaterThan">
      <formula>120</formula>
    </cfRule>
    <cfRule type="containsText" dxfId="2" priority="64" operator="between" text="库存为">
      <formula>NOT(ISERROR(SEARCH("库存为",AU107)))</formula>
    </cfRule>
  </conditionalFormatting>
  <conditionalFormatting sqref="AU108">
    <cfRule type="cellIs" dxfId="0" priority="393" operator="lessThan">
      <formula>20</formula>
    </cfRule>
    <cfRule type="cellIs" dxfId="1" priority="228" operator="greaterThan">
      <formula>120</formula>
    </cfRule>
    <cfRule type="containsText" dxfId="2" priority="63" operator="between" text="库存为">
      <formula>NOT(ISERROR(SEARCH("库存为",AU108)))</formula>
    </cfRule>
  </conditionalFormatting>
  <conditionalFormatting sqref="AU109">
    <cfRule type="cellIs" dxfId="0" priority="392" operator="lessThan">
      <formula>20</formula>
    </cfRule>
    <cfRule type="cellIs" dxfId="1" priority="227" operator="greaterThan">
      <formula>120</formula>
    </cfRule>
    <cfRule type="containsText" dxfId="2" priority="62" operator="between" text="库存为">
      <formula>NOT(ISERROR(SEARCH("库存为",AU109)))</formula>
    </cfRule>
  </conditionalFormatting>
  <conditionalFormatting sqref="AU110">
    <cfRule type="cellIs" dxfId="0" priority="391" operator="lessThan">
      <formula>20</formula>
    </cfRule>
    <cfRule type="cellIs" dxfId="1" priority="226" operator="greaterThan">
      <formula>120</formula>
    </cfRule>
    <cfRule type="containsText" dxfId="2" priority="61" operator="between" text="库存为">
      <formula>NOT(ISERROR(SEARCH("库存为",AU110)))</formula>
    </cfRule>
  </conditionalFormatting>
  <conditionalFormatting sqref="AU111">
    <cfRule type="cellIs" dxfId="0" priority="390" operator="lessThan">
      <formula>20</formula>
    </cfRule>
    <cfRule type="cellIs" dxfId="1" priority="225" operator="greaterThan">
      <formula>120</formula>
    </cfRule>
    <cfRule type="containsText" dxfId="2" priority="60" operator="between" text="库存为">
      <formula>NOT(ISERROR(SEARCH("库存为",AU111)))</formula>
    </cfRule>
  </conditionalFormatting>
  <conditionalFormatting sqref="AU112">
    <cfRule type="cellIs" dxfId="0" priority="389" operator="lessThan">
      <formula>20</formula>
    </cfRule>
    <cfRule type="cellIs" dxfId="1" priority="224" operator="greaterThan">
      <formula>120</formula>
    </cfRule>
    <cfRule type="containsText" dxfId="2" priority="59" operator="between" text="库存为">
      <formula>NOT(ISERROR(SEARCH("库存为",AU112)))</formula>
    </cfRule>
  </conditionalFormatting>
  <conditionalFormatting sqref="AU113">
    <cfRule type="cellIs" dxfId="0" priority="388" operator="lessThan">
      <formula>20</formula>
    </cfRule>
    <cfRule type="cellIs" dxfId="1" priority="223" operator="greaterThan">
      <formula>120</formula>
    </cfRule>
    <cfRule type="containsText" dxfId="2" priority="58" operator="between" text="库存为">
      <formula>NOT(ISERROR(SEARCH("库存为",AU113)))</formula>
    </cfRule>
  </conditionalFormatting>
  <conditionalFormatting sqref="AU114">
    <cfRule type="cellIs" dxfId="0" priority="387" operator="lessThan">
      <formula>20</formula>
    </cfRule>
    <cfRule type="cellIs" dxfId="1" priority="222" operator="greaterThan">
      <formula>120</formula>
    </cfRule>
    <cfRule type="containsText" dxfId="2" priority="57" operator="between" text="库存为">
      <formula>NOT(ISERROR(SEARCH("库存为",AU114)))</formula>
    </cfRule>
  </conditionalFormatting>
  <conditionalFormatting sqref="AU115">
    <cfRule type="cellIs" dxfId="0" priority="386" operator="lessThan">
      <formula>20</formula>
    </cfRule>
    <cfRule type="cellIs" dxfId="1" priority="221" operator="greaterThan">
      <formula>120</formula>
    </cfRule>
    <cfRule type="containsText" dxfId="2" priority="56" operator="between" text="库存为">
      <formula>NOT(ISERROR(SEARCH("库存为",AU115)))</formula>
    </cfRule>
  </conditionalFormatting>
  <conditionalFormatting sqref="AU116">
    <cfRule type="cellIs" dxfId="0" priority="385" operator="lessThan">
      <formula>20</formula>
    </cfRule>
    <cfRule type="cellIs" dxfId="1" priority="220" operator="greaterThan">
      <formula>120</formula>
    </cfRule>
    <cfRule type="containsText" dxfId="2" priority="55" operator="between" text="库存为">
      <formula>NOT(ISERROR(SEARCH("库存为",AU116)))</formula>
    </cfRule>
  </conditionalFormatting>
  <conditionalFormatting sqref="AU117">
    <cfRule type="cellIs" dxfId="0" priority="384" operator="lessThan">
      <formula>20</formula>
    </cfRule>
    <cfRule type="cellIs" dxfId="1" priority="219" operator="greaterThan">
      <formula>120</formula>
    </cfRule>
    <cfRule type="containsText" dxfId="2" priority="54" operator="between" text="库存为">
      <formula>NOT(ISERROR(SEARCH("库存为",AU117)))</formula>
    </cfRule>
  </conditionalFormatting>
  <conditionalFormatting sqref="AU118">
    <cfRule type="cellIs" dxfId="0" priority="383" operator="lessThan">
      <formula>20</formula>
    </cfRule>
    <cfRule type="cellIs" dxfId="1" priority="218" operator="greaterThan">
      <formula>120</formula>
    </cfRule>
    <cfRule type="containsText" dxfId="2" priority="53" operator="between" text="库存为">
      <formula>NOT(ISERROR(SEARCH("库存为",AU118)))</formula>
    </cfRule>
  </conditionalFormatting>
  <conditionalFormatting sqref="AU119">
    <cfRule type="cellIs" dxfId="0" priority="382" operator="lessThan">
      <formula>20</formula>
    </cfRule>
    <cfRule type="cellIs" dxfId="1" priority="217" operator="greaterThan">
      <formula>120</formula>
    </cfRule>
    <cfRule type="containsText" dxfId="2" priority="52" operator="between" text="库存为">
      <formula>NOT(ISERROR(SEARCH("库存为",AU119)))</formula>
    </cfRule>
  </conditionalFormatting>
  <conditionalFormatting sqref="AU120">
    <cfRule type="cellIs" dxfId="0" priority="381" operator="lessThan">
      <formula>20</formula>
    </cfRule>
    <cfRule type="cellIs" dxfId="1" priority="216" operator="greaterThan">
      <formula>120</formula>
    </cfRule>
    <cfRule type="containsText" dxfId="2" priority="51" operator="between" text="库存为">
      <formula>NOT(ISERROR(SEARCH("库存为",AU120)))</formula>
    </cfRule>
  </conditionalFormatting>
  <conditionalFormatting sqref="AU121">
    <cfRule type="cellIs" dxfId="0" priority="380" operator="lessThan">
      <formula>20</formula>
    </cfRule>
    <cfRule type="cellIs" dxfId="1" priority="215" operator="greaterThan">
      <formula>120</formula>
    </cfRule>
    <cfRule type="containsText" dxfId="2" priority="50" operator="between" text="库存为">
      <formula>NOT(ISERROR(SEARCH("库存为",AU121)))</formula>
    </cfRule>
  </conditionalFormatting>
  <conditionalFormatting sqref="AU122">
    <cfRule type="cellIs" dxfId="0" priority="379" operator="lessThan">
      <formula>20</formula>
    </cfRule>
    <cfRule type="cellIs" dxfId="1" priority="214" operator="greaterThan">
      <formula>120</formula>
    </cfRule>
    <cfRule type="containsText" dxfId="2" priority="49" operator="between" text="库存为">
      <formula>NOT(ISERROR(SEARCH("库存为",AU122)))</formula>
    </cfRule>
  </conditionalFormatting>
  <conditionalFormatting sqref="AU123">
    <cfRule type="cellIs" dxfId="0" priority="378" operator="lessThan">
      <formula>20</formula>
    </cfRule>
    <cfRule type="cellIs" dxfId="1" priority="213" operator="greaterThan">
      <formula>120</formula>
    </cfRule>
    <cfRule type="containsText" dxfId="2" priority="48" operator="between" text="库存为">
      <formula>NOT(ISERROR(SEARCH("库存为",AU123)))</formula>
    </cfRule>
  </conditionalFormatting>
  <conditionalFormatting sqref="AU124">
    <cfRule type="cellIs" dxfId="0" priority="377" operator="lessThan">
      <formula>20</formula>
    </cfRule>
    <cfRule type="cellIs" dxfId="1" priority="212" operator="greaterThan">
      <formula>120</formula>
    </cfRule>
    <cfRule type="containsText" dxfId="2" priority="47" operator="between" text="库存为">
      <formula>NOT(ISERROR(SEARCH("库存为",AU124)))</formula>
    </cfRule>
  </conditionalFormatting>
  <conditionalFormatting sqref="AU125">
    <cfRule type="cellIs" dxfId="0" priority="376" operator="lessThan">
      <formula>20</formula>
    </cfRule>
    <cfRule type="cellIs" dxfId="1" priority="211" operator="greaterThan">
      <formula>120</formula>
    </cfRule>
    <cfRule type="containsText" dxfId="2" priority="46" operator="between" text="库存为">
      <formula>NOT(ISERROR(SEARCH("库存为",AU125)))</formula>
    </cfRule>
  </conditionalFormatting>
  <conditionalFormatting sqref="AU126">
    <cfRule type="cellIs" dxfId="0" priority="375" operator="lessThan">
      <formula>20</formula>
    </cfRule>
    <cfRule type="cellIs" dxfId="1" priority="210" operator="greaterThan">
      <formula>120</formula>
    </cfRule>
    <cfRule type="containsText" dxfId="2" priority="45" operator="between" text="库存为">
      <formula>NOT(ISERROR(SEARCH("库存为",AU126)))</formula>
    </cfRule>
  </conditionalFormatting>
  <conditionalFormatting sqref="AU127">
    <cfRule type="cellIs" dxfId="0" priority="374" operator="lessThan">
      <formula>20</formula>
    </cfRule>
    <cfRule type="cellIs" dxfId="1" priority="209" operator="greaterThan">
      <formula>120</formula>
    </cfRule>
    <cfRule type="containsText" dxfId="2" priority="44" operator="between" text="库存为">
      <formula>NOT(ISERROR(SEARCH("库存为",AU127)))</formula>
    </cfRule>
  </conditionalFormatting>
  <conditionalFormatting sqref="AU128">
    <cfRule type="cellIs" dxfId="0" priority="373" operator="lessThan">
      <formula>20</formula>
    </cfRule>
    <cfRule type="cellIs" dxfId="1" priority="208" operator="greaterThan">
      <formula>120</formula>
    </cfRule>
    <cfRule type="containsText" dxfId="2" priority="43" operator="between" text="库存为">
      <formula>NOT(ISERROR(SEARCH("库存为",AU128)))</formula>
    </cfRule>
  </conditionalFormatting>
  <conditionalFormatting sqref="AU129">
    <cfRule type="cellIs" dxfId="0" priority="372" operator="lessThan">
      <formula>20</formula>
    </cfRule>
    <cfRule type="cellIs" dxfId="1" priority="207" operator="greaterThan">
      <formula>120</formula>
    </cfRule>
    <cfRule type="containsText" dxfId="2" priority="42" operator="between" text="库存为">
      <formula>NOT(ISERROR(SEARCH("库存为",AU129)))</formula>
    </cfRule>
  </conditionalFormatting>
  <conditionalFormatting sqref="AU130">
    <cfRule type="cellIs" dxfId="0" priority="371" operator="lessThan">
      <formula>20</formula>
    </cfRule>
    <cfRule type="cellIs" dxfId="1" priority="206" operator="greaterThan">
      <formula>120</formula>
    </cfRule>
    <cfRule type="containsText" dxfId="2" priority="41" operator="between" text="库存为">
      <formula>NOT(ISERROR(SEARCH("库存为",AU130)))</formula>
    </cfRule>
  </conditionalFormatting>
  <conditionalFormatting sqref="AU131">
    <cfRule type="cellIs" dxfId="0" priority="370" operator="lessThan">
      <formula>20</formula>
    </cfRule>
    <cfRule type="cellIs" dxfId="1" priority="205" operator="greaterThan">
      <formula>120</formula>
    </cfRule>
    <cfRule type="containsText" dxfId="2" priority="40" operator="between" text="库存为">
      <formula>NOT(ISERROR(SEARCH("库存为",AU131)))</formula>
    </cfRule>
  </conditionalFormatting>
  <conditionalFormatting sqref="AU132">
    <cfRule type="cellIs" dxfId="0" priority="369" operator="lessThan">
      <formula>20</formula>
    </cfRule>
    <cfRule type="cellIs" dxfId="1" priority="204" operator="greaterThan">
      <formula>120</formula>
    </cfRule>
    <cfRule type="containsText" dxfId="2" priority="39" operator="between" text="库存为">
      <formula>NOT(ISERROR(SEARCH("库存为",AU132)))</formula>
    </cfRule>
  </conditionalFormatting>
  <conditionalFormatting sqref="AU133">
    <cfRule type="cellIs" dxfId="0" priority="368" operator="lessThan">
      <formula>20</formula>
    </cfRule>
    <cfRule type="cellIs" dxfId="1" priority="203" operator="greaterThan">
      <formula>120</formula>
    </cfRule>
    <cfRule type="containsText" dxfId="2" priority="38" operator="between" text="库存为">
      <formula>NOT(ISERROR(SEARCH("库存为",AU133)))</formula>
    </cfRule>
  </conditionalFormatting>
  <conditionalFormatting sqref="AU134">
    <cfRule type="cellIs" dxfId="0" priority="367" operator="lessThan">
      <formula>20</formula>
    </cfRule>
    <cfRule type="cellIs" dxfId="1" priority="202" operator="greaterThan">
      <formula>120</formula>
    </cfRule>
    <cfRule type="containsText" dxfId="2" priority="37" operator="between" text="库存为">
      <formula>NOT(ISERROR(SEARCH("库存为",AU134)))</formula>
    </cfRule>
  </conditionalFormatting>
  <conditionalFormatting sqref="AU135">
    <cfRule type="cellIs" dxfId="0" priority="366" operator="lessThan">
      <formula>20</formula>
    </cfRule>
    <cfRule type="cellIs" dxfId="1" priority="201" operator="greaterThan">
      <formula>120</formula>
    </cfRule>
    <cfRule type="containsText" dxfId="2" priority="36" operator="between" text="库存为">
      <formula>NOT(ISERROR(SEARCH("库存为",AU135)))</formula>
    </cfRule>
  </conditionalFormatting>
  <conditionalFormatting sqref="AU136">
    <cfRule type="cellIs" dxfId="0" priority="365" operator="lessThan">
      <formula>20</formula>
    </cfRule>
    <cfRule type="cellIs" dxfId="1" priority="200" operator="greaterThan">
      <formula>120</formula>
    </cfRule>
    <cfRule type="containsText" dxfId="2" priority="35" operator="between" text="库存为">
      <formula>NOT(ISERROR(SEARCH("库存为",AU136)))</formula>
    </cfRule>
  </conditionalFormatting>
  <conditionalFormatting sqref="AU137">
    <cfRule type="cellIs" dxfId="0" priority="364" operator="lessThan">
      <formula>20</formula>
    </cfRule>
    <cfRule type="cellIs" dxfId="1" priority="199" operator="greaterThan">
      <formula>120</formula>
    </cfRule>
    <cfRule type="containsText" dxfId="2" priority="34" operator="between" text="库存为">
      <formula>NOT(ISERROR(SEARCH("库存为",AU137)))</formula>
    </cfRule>
  </conditionalFormatting>
  <conditionalFormatting sqref="AU138">
    <cfRule type="cellIs" dxfId="0" priority="363" operator="lessThan">
      <formula>20</formula>
    </cfRule>
    <cfRule type="cellIs" dxfId="1" priority="198" operator="greaterThan">
      <formula>120</formula>
    </cfRule>
    <cfRule type="containsText" dxfId="2" priority="33" operator="between" text="库存为">
      <formula>NOT(ISERROR(SEARCH("库存为",AU138)))</formula>
    </cfRule>
  </conditionalFormatting>
  <conditionalFormatting sqref="AU139">
    <cfRule type="cellIs" dxfId="0" priority="362" operator="lessThan">
      <formula>20</formula>
    </cfRule>
    <cfRule type="cellIs" dxfId="1" priority="197" operator="greaterThan">
      <formula>120</formula>
    </cfRule>
    <cfRule type="containsText" dxfId="2" priority="32" operator="between" text="库存为">
      <formula>NOT(ISERROR(SEARCH("库存为",AU139)))</formula>
    </cfRule>
  </conditionalFormatting>
  <conditionalFormatting sqref="AU140">
    <cfRule type="cellIs" dxfId="0" priority="361" operator="lessThan">
      <formula>20</formula>
    </cfRule>
    <cfRule type="cellIs" dxfId="1" priority="196" operator="greaterThan">
      <formula>120</formula>
    </cfRule>
    <cfRule type="containsText" dxfId="2" priority="31" operator="between" text="库存为">
      <formula>NOT(ISERROR(SEARCH("库存为",AU140)))</formula>
    </cfRule>
  </conditionalFormatting>
  <conditionalFormatting sqref="AU141">
    <cfRule type="cellIs" dxfId="0" priority="360" operator="lessThan">
      <formula>20</formula>
    </cfRule>
    <cfRule type="cellIs" dxfId="1" priority="195" operator="greaterThan">
      <formula>120</formula>
    </cfRule>
    <cfRule type="containsText" dxfId="2" priority="30" operator="between" text="库存为">
      <formula>NOT(ISERROR(SEARCH("库存为",AU141)))</formula>
    </cfRule>
  </conditionalFormatting>
  <conditionalFormatting sqref="AU142">
    <cfRule type="cellIs" dxfId="0" priority="359" operator="lessThan">
      <formula>20</formula>
    </cfRule>
    <cfRule type="cellIs" dxfId="1" priority="194" operator="greaterThan">
      <formula>120</formula>
    </cfRule>
    <cfRule type="containsText" dxfId="2" priority="29" operator="between" text="库存为">
      <formula>NOT(ISERROR(SEARCH("库存为",AU142)))</formula>
    </cfRule>
  </conditionalFormatting>
  <conditionalFormatting sqref="AU143">
    <cfRule type="cellIs" dxfId="0" priority="358" operator="lessThan">
      <formula>20</formula>
    </cfRule>
    <cfRule type="cellIs" dxfId="1" priority="193" operator="greaterThan">
      <formula>120</formula>
    </cfRule>
    <cfRule type="containsText" dxfId="2" priority="28" operator="between" text="库存为">
      <formula>NOT(ISERROR(SEARCH("库存为",AU143)))</formula>
    </cfRule>
  </conditionalFormatting>
  <conditionalFormatting sqref="AU144">
    <cfRule type="cellIs" dxfId="0" priority="357" operator="lessThan">
      <formula>20</formula>
    </cfRule>
    <cfRule type="cellIs" dxfId="1" priority="192" operator="greaterThan">
      <formula>120</formula>
    </cfRule>
    <cfRule type="containsText" dxfId="2" priority="27" operator="between" text="库存为">
      <formula>NOT(ISERROR(SEARCH("库存为",AU144)))</formula>
    </cfRule>
  </conditionalFormatting>
  <conditionalFormatting sqref="AU145">
    <cfRule type="cellIs" dxfId="0" priority="356" operator="lessThan">
      <formula>20</formula>
    </cfRule>
    <cfRule type="cellIs" dxfId="1" priority="191" operator="greaterThan">
      <formula>120</formula>
    </cfRule>
    <cfRule type="containsText" dxfId="2" priority="26" operator="between" text="库存为">
      <formula>NOT(ISERROR(SEARCH("库存为",AU145)))</formula>
    </cfRule>
  </conditionalFormatting>
  <conditionalFormatting sqref="AU146">
    <cfRule type="cellIs" dxfId="0" priority="355" operator="lessThan">
      <formula>20</formula>
    </cfRule>
    <cfRule type="cellIs" dxfId="1" priority="190" operator="greaterThan">
      <formula>120</formula>
    </cfRule>
    <cfRule type="containsText" dxfId="2" priority="25" operator="between" text="库存为">
      <formula>NOT(ISERROR(SEARCH("库存为",AU146)))</formula>
    </cfRule>
  </conditionalFormatting>
  <conditionalFormatting sqref="AU147">
    <cfRule type="cellIs" dxfId="0" priority="354" operator="lessThan">
      <formula>20</formula>
    </cfRule>
    <cfRule type="cellIs" dxfId="1" priority="189" operator="greaterThan">
      <formula>120</formula>
    </cfRule>
    <cfRule type="containsText" dxfId="2" priority="24" operator="between" text="库存为">
      <formula>NOT(ISERROR(SEARCH("库存为",AU147)))</formula>
    </cfRule>
  </conditionalFormatting>
  <conditionalFormatting sqref="AU148">
    <cfRule type="cellIs" dxfId="0" priority="353" operator="lessThan">
      <formula>20</formula>
    </cfRule>
    <cfRule type="cellIs" dxfId="1" priority="188" operator="greaterThan">
      <formula>120</formula>
    </cfRule>
    <cfRule type="containsText" dxfId="2" priority="23" operator="between" text="库存为">
      <formula>NOT(ISERROR(SEARCH("库存为",AU148)))</formula>
    </cfRule>
  </conditionalFormatting>
  <conditionalFormatting sqref="AU149">
    <cfRule type="cellIs" dxfId="0" priority="352" operator="lessThan">
      <formula>20</formula>
    </cfRule>
    <cfRule type="cellIs" dxfId="1" priority="187" operator="greaterThan">
      <formula>120</formula>
    </cfRule>
    <cfRule type="containsText" dxfId="2" priority="22" operator="between" text="库存为">
      <formula>NOT(ISERROR(SEARCH("库存为",AU149)))</formula>
    </cfRule>
  </conditionalFormatting>
  <conditionalFormatting sqref="AU150">
    <cfRule type="cellIs" dxfId="0" priority="351" operator="lessThan">
      <formula>20</formula>
    </cfRule>
    <cfRule type="cellIs" dxfId="1" priority="186" operator="greaterThan">
      <formula>120</formula>
    </cfRule>
    <cfRule type="containsText" dxfId="2" priority="21" operator="between" text="库存为">
      <formula>NOT(ISERROR(SEARCH("库存为",AU150)))</formula>
    </cfRule>
  </conditionalFormatting>
  <conditionalFormatting sqref="AU151">
    <cfRule type="cellIs" dxfId="0" priority="350" operator="lessThan">
      <formula>20</formula>
    </cfRule>
    <cfRule type="cellIs" dxfId="1" priority="185" operator="greaterThan">
      <formula>120</formula>
    </cfRule>
    <cfRule type="containsText" dxfId="2" priority="20" operator="between" text="库存为">
      <formula>NOT(ISERROR(SEARCH("库存为",AU151)))</formula>
    </cfRule>
  </conditionalFormatting>
  <conditionalFormatting sqref="AU152">
    <cfRule type="cellIs" dxfId="0" priority="349" operator="lessThan">
      <formula>20</formula>
    </cfRule>
    <cfRule type="cellIs" dxfId="1" priority="184" operator="greaterThan">
      <formula>120</formula>
    </cfRule>
    <cfRule type="containsText" dxfId="2" priority="19" operator="between" text="库存为">
      <formula>NOT(ISERROR(SEARCH("库存为",AU152)))</formula>
    </cfRule>
  </conditionalFormatting>
  <conditionalFormatting sqref="AU153">
    <cfRule type="cellIs" dxfId="0" priority="348" operator="lessThan">
      <formula>20</formula>
    </cfRule>
    <cfRule type="cellIs" dxfId="1" priority="183" operator="greaterThan">
      <formula>120</formula>
    </cfRule>
    <cfRule type="containsText" dxfId="2" priority="18" operator="between" text="库存为">
      <formula>NOT(ISERROR(SEARCH("库存为",AU153)))</formula>
    </cfRule>
  </conditionalFormatting>
  <conditionalFormatting sqref="AU154">
    <cfRule type="cellIs" dxfId="0" priority="347" operator="lessThan">
      <formula>20</formula>
    </cfRule>
    <cfRule type="cellIs" dxfId="1" priority="182" operator="greaterThan">
      <formula>120</formula>
    </cfRule>
    <cfRule type="containsText" dxfId="2" priority="17" operator="between" text="库存为">
      <formula>NOT(ISERROR(SEARCH("库存为",AU154)))</formula>
    </cfRule>
  </conditionalFormatting>
  <conditionalFormatting sqref="AU155">
    <cfRule type="cellIs" dxfId="0" priority="346" operator="lessThan">
      <formula>20</formula>
    </cfRule>
    <cfRule type="cellIs" dxfId="1" priority="181" operator="greaterThan">
      <formula>120</formula>
    </cfRule>
    <cfRule type="containsText" dxfId="2" priority="16" operator="between" text="库存为">
      <formula>NOT(ISERROR(SEARCH("库存为",AU155)))</formula>
    </cfRule>
  </conditionalFormatting>
  <conditionalFormatting sqref="AU156">
    <cfRule type="cellIs" dxfId="0" priority="345" operator="lessThan">
      <formula>20</formula>
    </cfRule>
    <cfRule type="cellIs" dxfId="1" priority="180" operator="greaterThan">
      <formula>120</formula>
    </cfRule>
    <cfRule type="containsText" dxfId="2" priority="15" operator="between" text="库存为">
      <formula>NOT(ISERROR(SEARCH("库存为",AU156)))</formula>
    </cfRule>
  </conditionalFormatting>
  <conditionalFormatting sqref="AU157">
    <cfRule type="cellIs" dxfId="0" priority="344" operator="lessThan">
      <formula>20</formula>
    </cfRule>
    <cfRule type="cellIs" dxfId="1" priority="179" operator="greaterThan">
      <formula>120</formula>
    </cfRule>
    <cfRule type="containsText" dxfId="2" priority="14" operator="between" text="库存为">
      <formula>NOT(ISERROR(SEARCH("库存为",AU157)))</formula>
    </cfRule>
  </conditionalFormatting>
  <conditionalFormatting sqref="AU158">
    <cfRule type="cellIs" dxfId="0" priority="343" operator="lessThan">
      <formula>20</formula>
    </cfRule>
    <cfRule type="cellIs" dxfId="1" priority="178" operator="greaterThan">
      <formula>120</formula>
    </cfRule>
    <cfRule type="containsText" dxfId="2" priority="13" operator="between" text="库存为">
      <formula>NOT(ISERROR(SEARCH("库存为",AU158)))</formula>
    </cfRule>
  </conditionalFormatting>
  <conditionalFormatting sqref="AU159">
    <cfRule type="cellIs" dxfId="0" priority="342" operator="lessThan">
      <formula>20</formula>
    </cfRule>
    <cfRule type="cellIs" dxfId="1" priority="177" operator="greaterThan">
      <formula>120</formula>
    </cfRule>
    <cfRule type="containsText" dxfId="2" priority="12" operator="between" text="库存为">
      <formula>NOT(ISERROR(SEARCH("库存为",AU159)))</formula>
    </cfRule>
  </conditionalFormatting>
  <conditionalFormatting sqref="AU160">
    <cfRule type="cellIs" dxfId="0" priority="341" operator="lessThan">
      <formula>20</formula>
    </cfRule>
    <cfRule type="cellIs" dxfId="1" priority="176" operator="greaterThan">
      <formula>120</formula>
    </cfRule>
    <cfRule type="containsText" dxfId="2" priority="11" operator="between" text="库存为">
      <formula>NOT(ISERROR(SEARCH("库存为",AU160)))</formula>
    </cfRule>
  </conditionalFormatting>
  <conditionalFormatting sqref="AU161">
    <cfRule type="cellIs" dxfId="0" priority="340" operator="lessThan">
      <formula>20</formula>
    </cfRule>
    <cfRule type="cellIs" dxfId="1" priority="175" operator="greaterThan">
      <formula>120</formula>
    </cfRule>
    <cfRule type="containsText" dxfId="2" priority="10" operator="between" text="库存为">
      <formula>NOT(ISERROR(SEARCH("库存为",AU161)))</formula>
    </cfRule>
  </conditionalFormatting>
  <conditionalFormatting sqref="AU162">
    <cfRule type="cellIs" dxfId="0" priority="339" operator="lessThan">
      <formula>20</formula>
    </cfRule>
    <cfRule type="cellIs" dxfId="1" priority="174" operator="greaterThan">
      <formula>120</formula>
    </cfRule>
    <cfRule type="containsText" dxfId="2" priority="9" operator="between" text="库存为">
      <formula>NOT(ISERROR(SEARCH("库存为",AU162)))</formula>
    </cfRule>
  </conditionalFormatting>
  <conditionalFormatting sqref="AU163">
    <cfRule type="cellIs" dxfId="0" priority="338" operator="lessThan">
      <formula>20</formula>
    </cfRule>
    <cfRule type="cellIs" dxfId="1" priority="173" operator="greaterThan">
      <formula>120</formula>
    </cfRule>
    <cfRule type="containsText" dxfId="2" priority="8" operator="between" text="库存为">
      <formula>NOT(ISERROR(SEARCH("库存为",AU163)))</formula>
    </cfRule>
  </conditionalFormatting>
  <conditionalFormatting sqref="AU164">
    <cfRule type="cellIs" dxfId="0" priority="337" operator="lessThan">
      <formula>20</formula>
    </cfRule>
    <cfRule type="cellIs" dxfId="1" priority="172" operator="greaterThan">
      <formula>120</formula>
    </cfRule>
    <cfRule type="containsText" dxfId="2" priority="7" operator="between" text="库存为">
      <formula>NOT(ISERROR(SEARCH("库存为",AU164)))</formula>
    </cfRule>
  </conditionalFormatting>
  <conditionalFormatting sqref="AU165">
    <cfRule type="cellIs" dxfId="0" priority="336" operator="lessThan">
      <formula>20</formula>
    </cfRule>
    <cfRule type="cellIs" dxfId="1" priority="171" operator="greaterThan">
      <formula>120</formula>
    </cfRule>
    <cfRule type="containsText" dxfId="2" priority="6" operator="between" text="库存为">
      <formula>NOT(ISERROR(SEARCH("库存为",AU165)))</formula>
    </cfRule>
  </conditionalFormatting>
  <conditionalFormatting sqref="AU166">
    <cfRule type="cellIs" dxfId="0" priority="335" operator="lessThan">
      <formula>20</formula>
    </cfRule>
    <cfRule type="cellIs" dxfId="1" priority="170" operator="greaterThan">
      <formula>120</formula>
    </cfRule>
    <cfRule type="containsText" dxfId="2" priority="5" operator="between" text="库存为">
      <formula>NOT(ISERROR(SEARCH("库存为",AU166)))</formula>
    </cfRule>
  </conditionalFormatting>
  <conditionalFormatting sqref="AU167">
    <cfRule type="cellIs" dxfId="0" priority="334" operator="lessThan">
      <formula>20</formula>
    </cfRule>
    <cfRule type="cellIs" dxfId="1" priority="169" operator="greaterThan">
      <formula>120</formula>
    </cfRule>
    <cfRule type="containsText" dxfId="2" priority="4" operator="between" text="库存为">
      <formula>NOT(ISERROR(SEARCH("库存为",AU167)))</formula>
    </cfRule>
  </conditionalFormatting>
  <conditionalFormatting sqref="AU168">
    <cfRule type="cellIs" dxfId="0" priority="333" operator="lessThan">
      <formula>20</formula>
    </cfRule>
    <cfRule type="cellIs" dxfId="1" priority="168" operator="greaterThan">
      <formula>120</formula>
    </cfRule>
    <cfRule type="containsText" dxfId="2" priority="3" operator="between" text="库存为">
      <formula>NOT(ISERROR(SEARCH("库存为",AU168)))</formula>
    </cfRule>
  </conditionalFormatting>
  <conditionalFormatting sqref="AU169">
    <cfRule type="cellIs" dxfId="0" priority="332" operator="lessThan">
      <formula>20</formula>
    </cfRule>
    <cfRule type="cellIs" dxfId="1" priority="167" operator="greaterThan">
      <formula>120</formula>
    </cfRule>
    <cfRule type="containsText" dxfId="2" priority="2" operator="between" text="库存为">
      <formula>NOT(ISERROR(SEARCH("库存为",AU169)))</formula>
    </cfRule>
  </conditionalFormatting>
  <conditionalFormatting sqref="AU170">
    <cfRule type="cellIs" dxfId="0" priority="331" operator="lessThan">
      <formula>20</formula>
    </cfRule>
    <cfRule type="cellIs" dxfId="1" priority="166" operator="greaterThan">
      <formula>120</formula>
    </cfRule>
    <cfRule type="containsText" dxfId="2" priority="1" operator="between" text="库存为">
      <formula>NOT(ISERROR(SEARCH("库存为",AU170)))</formula>
    </cfRule>
  </conditionalFormatting>
  <conditionalFormatting sqref="AU171">
    <cfRule type="cellIs" dxfId="0" priority="2820" operator="lessThan">
      <formula>20</formula>
    </cfRule>
    <cfRule type="cellIs" dxfId="1" priority="2315" operator="greaterThan">
      <formula>120</formula>
    </cfRule>
    <cfRule type="containsText" dxfId="2" priority="1810" operator="between" text="库存为">
      <formula>NOT(ISERROR(SEARCH("库存为",AU171)))</formula>
    </cfRule>
  </conditionalFormatting>
  <conditionalFormatting sqref="AU172">
    <cfRule type="containsText" dxfId="2" priority="1805" operator="between" text="库存为">
      <formula>NOT(ISERROR(SEARCH("库存为",AU172)))</formula>
    </cfRule>
    <cfRule type="cellIs" dxfId="1" priority="2310" operator="greaterThan">
      <formula>120</formula>
    </cfRule>
    <cfRule type="cellIs" dxfId="0" priority="2815" operator="lessThan">
      <formula>20</formula>
    </cfRule>
  </conditionalFormatting>
  <conditionalFormatting sqref="AU173">
    <cfRule type="containsText" dxfId="2" priority="1804" operator="between" text="库存为">
      <formula>NOT(ISERROR(SEARCH("库存为",AU173)))</formula>
    </cfRule>
    <cfRule type="cellIs" dxfId="1" priority="2309" operator="greaterThan">
      <formula>120</formula>
    </cfRule>
    <cfRule type="cellIs" dxfId="0" priority="2814" operator="lessThan">
      <formula>20</formula>
    </cfRule>
  </conditionalFormatting>
  <conditionalFormatting sqref="AU174">
    <cfRule type="containsText" dxfId="2" priority="1803" operator="between" text="库存为">
      <formula>NOT(ISERROR(SEARCH("库存为",AU174)))</formula>
    </cfRule>
    <cfRule type="cellIs" dxfId="1" priority="2308" operator="greaterThan">
      <formula>120</formula>
    </cfRule>
    <cfRule type="cellIs" dxfId="0" priority="2813" operator="lessThan">
      <formula>20</formula>
    </cfRule>
  </conditionalFormatting>
  <conditionalFormatting sqref="AU175">
    <cfRule type="containsText" dxfId="2" priority="1802" operator="between" text="库存为">
      <formula>NOT(ISERROR(SEARCH("库存为",AU175)))</formula>
    </cfRule>
    <cfRule type="cellIs" dxfId="1" priority="2307" operator="greaterThan">
      <formula>120</formula>
    </cfRule>
    <cfRule type="cellIs" dxfId="0" priority="2812" operator="lessThan">
      <formula>20</formula>
    </cfRule>
  </conditionalFormatting>
  <conditionalFormatting sqref="AU176">
    <cfRule type="containsText" dxfId="2" priority="1801" operator="between" text="库存为">
      <formula>NOT(ISERROR(SEARCH("库存为",AU176)))</formula>
    </cfRule>
    <cfRule type="cellIs" dxfId="1" priority="2306" operator="greaterThan">
      <formula>120</formula>
    </cfRule>
    <cfRule type="cellIs" dxfId="0" priority="2811" operator="lessThan">
      <formula>20</formula>
    </cfRule>
  </conditionalFormatting>
  <conditionalFormatting sqref="AU177">
    <cfRule type="containsText" dxfId="2" priority="1800" operator="between" text="库存为">
      <formula>NOT(ISERROR(SEARCH("库存为",AU177)))</formula>
    </cfRule>
    <cfRule type="cellIs" dxfId="1" priority="2305" operator="greaterThan">
      <formula>120</formula>
    </cfRule>
    <cfRule type="cellIs" dxfId="0" priority="2810" operator="lessThan">
      <formula>20</formula>
    </cfRule>
  </conditionalFormatting>
  <conditionalFormatting sqref="AU178">
    <cfRule type="containsText" dxfId="2" priority="1799" operator="between" text="库存为">
      <formula>NOT(ISERROR(SEARCH("库存为",AU178)))</formula>
    </cfRule>
    <cfRule type="cellIs" dxfId="1" priority="2304" operator="greaterThan">
      <formula>120</formula>
    </cfRule>
    <cfRule type="cellIs" dxfId="0" priority="2809" operator="lessThan">
      <formula>20</formula>
    </cfRule>
  </conditionalFormatting>
  <conditionalFormatting sqref="AU179">
    <cfRule type="containsText" dxfId="2" priority="1798" operator="between" text="库存为">
      <formula>NOT(ISERROR(SEARCH("库存为",AU179)))</formula>
    </cfRule>
    <cfRule type="cellIs" dxfId="1" priority="2303" operator="greaterThan">
      <formula>120</formula>
    </cfRule>
    <cfRule type="cellIs" dxfId="0" priority="2808" operator="lessThan">
      <formula>20</formula>
    </cfRule>
  </conditionalFormatting>
  <conditionalFormatting sqref="AU180">
    <cfRule type="containsText" dxfId="2" priority="1797" operator="between" text="库存为">
      <formula>NOT(ISERROR(SEARCH("库存为",AU180)))</formula>
    </cfRule>
    <cfRule type="cellIs" dxfId="1" priority="2302" operator="greaterThan">
      <formula>120</formula>
    </cfRule>
    <cfRule type="cellIs" dxfId="0" priority="2807" operator="lessThan">
      <formula>20</formula>
    </cfRule>
  </conditionalFormatting>
  <conditionalFormatting sqref="AU181">
    <cfRule type="containsText" dxfId="2" priority="1796" operator="between" text="库存为">
      <formula>NOT(ISERROR(SEARCH("库存为",AU181)))</formula>
    </cfRule>
    <cfRule type="cellIs" dxfId="1" priority="2301" operator="greaterThan">
      <formula>120</formula>
    </cfRule>
    <cfRule type="cellIs" dxfId="0" priority="2806" operator="lessThan">
      <formula>20</formula>
    </cfRule>
  </conditionalFormatting>
  <conditionalFormatting sqref="AU182">
    <cfRule type="containsText" dxfId="2" priority="1795" operator="between" text="库存为">
      <formula>NOT(ISERROR(SEARCH("库存为",AU182)))</formula>
    </cfRule>
    <cfRule type="cellIs" dxfId="1" priority="2300" operator="greaterThan">
      <formula>120</formula>
    </cfRule>
    <cfRule type="cellIs" dxfId="0" priority="2805" operator="lessThan">
      <formula>20</formula>
    </cfRule>
  </conditionalFormatting>
  <conditionalFormatting sqref="AU183">
    <cfRule type="containsText" dxfId="2" priority="1794" operator="between" text="库存为">
      <formula>NOT(ISERROR(SEARCH("库存为",AU183)))</formula>
    </cfRule>
    <cfRule type="cellIs" dxfId="1" priority="2299" operator="greaterThan">
      <formula>120</formula>
    </cfRule>
    <cfRule type="cellIs" dxfId="0" priority="2804" operator="lessThan">
      <formula>20</formula>
    </cfRule>
  </conditionalFormatting>
  <conditionalFormatting sqref="AU184">
    <cfRule type="containsText" dxfId="2" priority="1793" operator="between" text="库存为">
      <formula>NOT(ISERROR(SEARCH("库存为",AU184)))</formula>
    </cfRule>
    <cfRule type="cellIs" dxfId="1" priority="2298" operator="greaterThan">
      <formula>120</formula>
    </cfRule>
    <cfRule type="cellIs" dxfId="0" priority="2803" operator="lessThan">
      <formula>20</formula>
    </cfRule>
  </conditionalFormatting>
  <conditionalFormatting sqref="AU185">
    <cfRule type="containsText" dxfId="2" priority="1792" operator="between" text="库存为">
      <formula>NOT(ISERROR(SEARCH("库存为",AU185)))</formula>
    </cfRule>
    <cfRule type="cellIs" dxfId="1" priority="2297" operator="greaterThan">
      <formula>120</formula>
    </cfRule>
    <cfRule type="cellIs" dxfId="0" priority="2802" operator="lessThan">
      <formula>20</formula>
    </cfRule>
  </conditionalFormatting>
  <conditionalFormatting sqref="AU186">
    <cfRule type="containsText" dxfId="2" priority="1791" operator="between" text="库存为">
      <formula>NOT(ISERROR(SEARCH("库存为",AU186)))</formula>
    </cfRule>
    <cfRule type="cellIs" dxfId="1" priority="2296" operator="greaterThan">
      <formula>120</formula>
    </cfRule>
    <cfRule type="cellIs" dxfId="0" priority="2801" operator="lessThan">
      <formula>20</formula>
    </cfRule>
  </conditionalFormatting>
  <conditionalFormatting sqref="AU187">
    <cfRule type="containsText" dxfId="2" priority="1790" operator="between" text="库存为">
      <formula>NOT(ISERROR(SEARCH("库存为",AU187)))</formula>
    </cfRule>
    <cfRule type="cellIs" dxfId="1" priority="2295" operator="greaterThan">
      <formula>120</formula>
    </cfRule>
    <cfRule type="cellIs" dxfId="0" priority="2800" operator="lessThan">
      <formula>20</formula>
    </cfRule>
  </conditionalFormatting>
  <conditionalFormatting sqref="AU188">
    <cfRule type="containsText" dxfId="2" priority="1789" operator="between" text="库存为">
      <formula>NOT(ISERROR(SEARCH("库存为",AU188)))</formula>
    </cfRule>
    <cfRule type="cellIs" dxfId="1" priority="2294" operator="greaterThan">
      <formula>120</formula>
    </cfRule>
    <cfRule type="cellIs" dxfId="0" priority="2799" operator="lessThan">
      <formula>20</formula>
    </cfRule>
  </conditionalFormatting>
  <conditionalFormatting sqref="AU189">
    <cfRule type="containsText" dxfId="2" priority="1788" operator="between" text="库存为">
      <formula>NOT(ISERROR(SEARCH("库存为",AU189)))</formula>
    </cfRule>
    <cfRule type="cellIs" dxfId="1" priority="2293" operator="greaterThan">
      <formula>120</formula>
    </cfRule>
    <cfRule type="cellIs" dxfId="0" priority="2798" operator="lessThan">
      <formula>20</formula>
    </cfRule>
  </conditionalFormatting>
  <conditionalFormatting sqref="AU190">
    <cfRule type="containsText" dxfId="2" priority="1787" operator="between" text="库存为">
      <formula>NOT(ISERROR(SEARCH("库存为",AU190)))</formula>
    </cfRule>
    <cfRule type="cellIs" dxfId="1" priority="2292" operator="greaterThan">
      <formula>120</formula>
    </cfRule>
    <cfRule type="cellIs" dxfId="0" priority="2797" operator="lessThan">
      <formula>20</formula>
    </cfRule>
  </conditionalFormatting>
  <conditionalFormatting sqref="AU191">
    <cfRule type="containsText" dxfId="2" priority="1786" operator="between" text="库存为">
      <formula>NOT(ISERROR(SEARCH("库存为",AU191)))</formula>
    </cfRule>
    <cfRule type="cellIs" dxfId="1" priority="2291" operator="greaterThan">
      <formula>120</formula>
    </cfRule>
    <cfRule type="cellIs" dxfId="0" priority="2796" operator="lessThan">
      <formula>20</formula>
    </cfRule>
  </conditionalFormatting>
  <conditionalFormatting sqref="AU192">
    <cfRule type="containsText" dxfId="2" priority="1785" operator="between" text="库存为">
      <formula>NOT(ISERROR(SEARCH("库存为",AU192)))</formula>
    </cfRule>
    <cfRule type="cellIs" dxfId="1" priority="2290" operator="greaterThan">
      <formula>120</formula>
    </cfRule>
    <cfRule type="cellIs" dxfId="0" priority="2795" operator="lessThan">
      <formula>20</formula>
    </cfRule>
  </conditionalFormatting>
  <conditionalFormatting sqref="AU193">
    <cfRule type="containsText" dxfId="2" priority="1784" operator="between" text="库存为">
      <formula>NOT(ISERROR(SEARCH("库存为",AU193)))</formula>
    </cfRule>
    <cfRule type="cellIs" dxfId="1" priority="2289" operator="greaterThan">
      <formula>120</formula>
    </cfRule>
    <cfRule type="cellIs" dxfId="0" priority="2794" operator="lessThan">
      <formula>20</formula>
    </cfRule>
  </conditionalFormatting>
  <conditionalFormatting sqref="AU194">
    <cfRule type="containsText" dxfId="2" priority="1783" operator="between" text="库存为">
      <formula>NOT(ISERROR(SEARCH("库存为",AU194)))</formula>
    </cfRule>
    <cfRule type="cellIs" dxfId="1" priority="2288" operator="greaterThan">
      <formula>120</formula>
    </cfRule>
    <cfRule type="cellIs" dxfId="0" priority="2793" operator="lessThan">
      <formula>20</formula>
    </cfRule>
  </conditionalFormatting>
  <conditionalFormatting sqref="AU195">
    <cfRule type="containsText" dxfId="2" priority="1782" operator="between" text="库存为">
      <formula>NOT(ISERROR(SEARCH("库存为",AU195)))</formula>
    </cfRule>
    <cfRule type="cellIs" dxfId="1" priority="2287" operator="greaterThan">
      <formula>120</formula>
    </cfRule>
    <cfRule type="cellIs" dxfId="0" priority="2792" operator="lessThan">
      <formula>20</formula>
    </cfRule>
  </conditionalFormatting>
  <conditionalFormatting sqref="AU196">
    <cfRule type="containsText" dxfId="2" priority="1781" operator="between" text="库存为">
      <formula>NOT(ISERROR(SEARCH("库存为",AU196)))</formula>
    </cfRule>
    <cfRule type="cellIs" dxfId="1" priority="2286" operator="greaterThan">
      <formula>120</formula>
    </cfRule>
    <cfRule type="cellIs" dxfId="0" priority="2791" operator="lessThan">
      <formula>20</formula>
    </cfRule>
  </conditionalFormatting>
  <conditionalFormatting sqref="AU197">
    <cfRule type="containsText" dxfId="2" priority="1780" operator="between" text="库存为">
      <formula>NOT(ISERROR(SEARCH("库存为",AU197)))</formula>
    </cfRule>
    <cfRule type="cellIs" dxfId="1" priority="2285" operator="greaterThan">
      <formula>120</formula>
    </cfRule>
    <cfRule type="cellIs" dxfId="0" priority="2790" operator="lessThan">
      <formula>20</formula>
    </cfRule>
  </conditionalFormatting>
  <conditionalFormatting sqref="AU198">
    <cfRule type="containsText" dxfId="2" priority="1779" operator="between" text="库存为">
      <formula>NOT(ISERROR(SEARCH("库存为",AU198)))</formula>
    </cfRule>
    <cfRule type="cellIs" dxfId="1" priority="2284" operator="greaterThan">
      <formula>120</formula>
    </cfRule>
    <cfRule type="cellIs" dxfId="0" priority="2789" operator="lessThan">
      <formula>20</formula>
    </cfRule>
  </conditionalFormatting>
  <conditionalFormatting sqref="AU199">
    <cfRule type="containsText" dxfId="2" priority="1778" operator="between" text="库存为">
      <formula>NOT(ISERROR(SEARCH("库存为",AU199)))</formula>
    </cfRule>
    <cfRule type="cellIs" dxfId="1" priority="2283" operator="greaterThan">
      <formula>120</formula>
    </cfRule>
    <cfRule type="cellIs" dxfId="0" priority="2788" operator="lessThan">
      <formula>20</formula>
    </cfRule>
  </conditionalFormatting>
  <conditionalFormatting sqref="AU200">
    <cfRule type="containsText" dxfId="2" priority="1777" operator="between" text="库存为">
      <formula>NOT(ISERROR(SEARCH("库存为",AU200)))</formula>
    </cfRule>
    <cfRule type="cellIs" dxfId="1" priority="2282" operator="greaterThan">
      <formula>120</formula>
    </cfRule>
    <cfRule type="cellIs" dxfId="0" priority="2787" operator="lessThan">
      <formula>20</formula>
    </cfRule>
  </conditionalFormatting>
  <conditionalFormatting sqref="AU201">
    <cfRule type="containsText" dxfId="2" priority="1776" operator="between" text="库存为">
      <formula>NOT(ISERROR(SEARCH("库存为",AU201)))</formula>
    </cfRule>
    <cfRule type="cellIs" dxfId="1" priority="2281" operator="greaterThan">
      <formula>120</formula>
    </cfRule>
    <cfRule type="cellIs" dxfId="0" priority="2786" operator="lessThan">
      <formula>20</formula>
    </cfRule>
  </conditionalFormatting>
  <conditionalFormatting sqref="AU202">
    <cfRule type="containsText" dxfId="2" priority="1775" operator="between" text="库存为">
      <formula>NOT(ISERROR(SEARCH("库存为",AU202)))</formula>
    </cfRule>
    <cfRule type="cellIs" dxfId="1" priority="2280" operator="greaterThan">
      <formula>120</formula>
    </cfRule>
    <cfRule type="cellIs" dxfId="0" priority="2785" operator="lessThan">
      <formula>20</formula>
    </cfRule>
  </conditionalFormatting>
  <conditionalFormatting sqref="AU203">
    <cfRule type="containsText" dxfId="2" priority="1774" operator="between" text="库存为">
      <formula>NOT(ISERROR(SEARCH("库存为",AU203)))</formula>
    </cfRule>
    <cfRule type="cellIs" dxfId="1" priority="2279" operator="greaterThan">
      <formula>120</formula>
    </cfRule>
    <cfRule type="cellIs" dxfId="0" priority="2784" operator="lessThan">
      <formula>20</formula>
    </cfRule>
  </conditionalFormatting>
  <conditionalFormatting sqref="AU204">
    <cfRule type="containsText" dxfId="2" priority="1773" operator="between" text="库存为">
      <formula>NOT(ISERROR(SEARCH("库存为",AU204)))</formula>
    </cfRule>
    <cfRule type="cellIs" dxfId="1" priority="2278" operator="greaterThan">
      <formula>120</formula>
    </cfRule>
    <cfRule type="cellIs" dxfId="0" priority="2783" operator="lessThan">
      <formula>20</formula>
    </cfRule>
  </conditionalFormatting>
  <conditionalFormatting sqref="AU205">
    <cfRule type="containsText" dxfId="2" priority="1772" operator="between" text="库存为">
      <formula>NOT(ISERROR(SEARCH("库存为",AU205)))</formula>
    </cfRule>
    <cfRule type="cellIs" dxfId="1" priority="2277" operator="greaterThan">
      <formula>120</formula>
    </cfRule>
    <cfRule type="cellIs" dxfId="0" priority="2782" operator="lessThan">
      <formula>20</formula>
    </cfRule>
  </conditionalFormatting>
  <conditionalFormatting sqref="AU206">
    <cfRule type="containsText" dxfId="2" priority="1771" operator="between" text="库存为">
      <formula>NOT(ISERROR(SEARCH("库存为",AU206)))</formula>
    </cfRule>
    <cfRule type="cellIs" dxfId="1" priority="2276" operator="greaterThan">
      <formula>120</formula>
    </cfRule>
    <cfRule type="cellIs" dxfId="0" priority="2781" operator="lessThan">
      <formula>20</formula>
    </cfRule>
  </conditionalFormatting>
  <conditionalFormatting sqref="AU207">
    <cfRule type="containsText" dxfId="2" priority="1770" operator="between" text="库存为">
      <formula>NOT(ISERROR(SEARCH("库存为",AU207)))</formula>
    </cfRule>
    <cfRule type="cellIs" dxfId="1" priority="2275" operator="greaterThan">
      <formula>120</formula>
    </cfRule>
    <cfRule type="cellIs" dxfId="0" priority="2780" operator="lessThan">
      <formula>20</formula>
    </cfRule>
  </conditionalFormatting>
  <conditionalFormatting sqref="AU208">
    <cfRule type="containsText" dxfId="2" priority="1769" operator="between" text="库存为">
      <formula>NOT(ISERROR(SEARCH("库存为",AU208)))</formula>
    </cfRule>
    <cfRule type="cellIs" dxfId="1" priority="2274" operator="greaterThan">
      <formula>120</formula>
    </cfRule>
    <cfRule type="cellIs" dxfId="0" priority="2779" operator="lessThan">
      <formula>20</formula>
    </cfRule>
  </conditionalFormatting>
  <conditionalFormatting sqref="AU209">
    <cfRule type="containsText" dxfId="2" priority="1768" operator="between" text="库存为">
      <formula>NOT(ISERROR(SEARCH("库存为",AU209)))</formula>
    </cfRule>
    <cfRule type="cellIs" dxfId="1" priority="2273" operator="greaterThan">
      <formula>120</formula>
    </cfRule>
    <cfRule type="cellIs" dxfId="0" priority="2778" operator="lessThan">
      <formula>20</formula>
    </cfRule>
  </conditionalFormatting>
  <conditionalFormatting sqref="AU210">
    <cfRule type="containsText" dxfId="2" priority="1767" operator="between" text="库存为">
      <formula>NOT(ISERROR(SEARCH("库存为",AU210)))</formula>
    </cfRule>
    <cfRule type="cellIs" dxfId="1" priority="2272" operator="greaterThan">
      <formula>120</formula>
    </cfRule>
    <cfRule type="cellIs" dxfId="0" priority="2777" operator="lessThan">
      <formula>20</formula>
    </cfRule>
  </conditionalFormatting>
  <conditionalFormatting sqref="AU211">
    <cfRule type="containsText" dxfId="2" priority="1766" operator="between" text="库存为">
      <formula>NOT(ISERROR(SEARCH("库存为",AU211)))</formula>
    </cfRule>
    <cfRule type="cellIs" dxfId="1" priority="2271" operator="greaterThan">
      <formula>120</formula>
    </cfRule>
    <cfRule type="cellIs" dxfId="0" priority="2776" operator="lessThan">
      <formula>20</formula>
    </cfRule>
  </conditionalFormatting>
  <conditionalFormatting sqref="AU212">
    <cfRule type="containsText" dxfId="2" priority="1765" operator="between" text="库存为">
      <formula>NOT(ISERROR(SEARCH("库存为",AU212)))</formula>
    </cfRule>
    <cfRule type="cellIs" dxfId="1" priority="2270" operator="greaterThan">
      <formula>120</formula>
    </cfRule>
    <cfRule type="cellIs" dxfId="0" priority="2775" operator="lessThan">
      <formula>20</formula>
    </cfRule>
  </conditionalFormatting>
  <conditionalFormatting sqref="AU213">
    <cfRule type="containsText" dxfId="2" priority="1764" operator="between" text="库存为">
      <formula>NOT(ISERROR(SEARCH("库存为",AU213)))</formula>
    </cfRule>
    <cfRule type="cellIs" dxfId="1" priority="2269" operator="greaterThan">
      <formula>120</formula>
    </cfRule>
    <cfRule type="cellIs" dxfId="0" priority="2774" operator="lessThan">
      <formula>20</formula>
    </cfRule>
  </conditionalFormatting>
  <conditionalFormatting sqref="AU214">
    <cfRule type="containsText" dxfId="2" priority="1763" operator="between" text="库存为">
      <formula>NOT(ISERROR(SEARCH("库存为",AU214)))</formula>
    </cfRule>
    <cfRule type="cellIs" dxfId="1" priority="2268" operator="greaterThan">
      <formula>120</formula>
    </cfRule>
    <cfRule type="cellIs" dxfId="0" priority="2773" operator="lessThan">
      <formula>20</formula>
    </cfRule>
  </conditionalFormatting>
  <conditionalFormatting sqref="AU215">
    <cfRule type="containsText" dxfId="2" priority="1762" operator="between" text="库存为">
      <formula>NOT(ISERROR(SEARCH("库存为",AU215)))</formula>
    </cfRule>
    <cfRule type="cellIs" dxfId="1" priority="2267" operator="greaterThan">
      <formula>120</formula>
    </cfRule>
    <cfRule type="cellIs" dxfId="0" priority="2772" operator="lessThan">
      <formula>20</formula>
    </cfRule>
  </conditionalFormatting>
  <conditionalFormatting sqref="AU216">
    <cfRule type="containsText" dxfId="2" priority="1761" operator="between" text="库存为">
      <formula>NOT(ISERROR(SEARCH("库存为",AU216)))</formula>
    </cfRule>
    <cfRule type="cellIs" dxfId="1" priority="2266" operator="greaterThan">
      <formula>120</formula>
    </cfRule>
    <cfRule type="cellIs" dxfId="0" priority="2771" operator="lessThan">
      <formula>20</formula>
    </cfRule>
  </conditionalFormatting>
  <conditionalFormatting sqref="AU217">
    <cfRule type="containsText" dxfId="2" priority="1760" operator="between" text="库存为">
      <formula>NOT(ISERROR(SEARCH("库存为",AU217)))</formula>
    </cfRule>
    <cfRule type="cellIs" dxfId="1" priority="2265" operator="greaterThan">
      <formula>120</formula>
    </cfRule>
    <cfRule type="cellIs" dxfId="0" priority="2770" operator="lessThan">
      <formula>20</formula>
    </cfRule>
  </conditionalFormatting>
  <conditionalFormatting sqref="AU218">
    <cfRule type="containsText" dxfId="2" priority="1759" operator="between" text="库存为">
      <formula>NOT(ISERROR(SEARCH("库存为",AU218)))</formula>
    </cfRule>
    <cfRule type="cellIs" dxfId="1" priority="2264" operator="greaterThan">
      <formula>120</formula>
    </cfRule>
    <cfRule type="cellIs" dxfId="0" priority="2769" operator="lessThan">
      <formula>20</formula>
    </cfRule>
  </conditionalFormatting>
  <conditionalFormatting sqref="AU219">
    <cfRule type="containsText" dxfId="2" priority="1758" operator="between" text="库存为">
      <formula>NOT(ISERROR(SEARCH("库存为",AU219)))</formula>
    </cfRule>
    <cfRule type="cellIs" dxfId="1" priority="2263" operator="greaterThan">
      <formula>120</formula>
    </cfRule>
    <cfRule type="cellIs" dxfId="0" priority="2768" operator="lessThan">
      <formula>20</formula>
    </cfRule>
  </conditionalFormatting>
  <conditionalFormatting sqref="AU220">
    <cfRule type="containsText" dxfId="2" priority="1757" operator="between" text="库存为">
      <formula>NOT(ISERROR(SEARCH("库存为",AU220)))</formula>
    </cfRule>
    <cfRule type="cellIs" dxfId="1" priority="2262" operator="greaterThan">
      <formula>120</formula>
    </cfRule>
    <cfRule type="cellIs" dxfId="0" priority="2767" operator="lessThan">
      <formula>20</formula>
    </cfRule>
  </conditionalFormatting>
  <conditionalFormatting sqref="AU221">
    <cfRule type="containsText" dxfId="2" priority="1756" operator="between" text="库存为">
      <formula>NOT(ISERROR(SEARCH("库存为",AU221)))</formula>
    </cfRule>
    <cfRule type="cellIs" dxfId="1" priority="2261" operator="greaterThan">
      <formula>120</formula>
    </cfRule>
    <cfRule type="cellIs" dxfId="0" priority="2766" operator="lessThan">
      <formula>20</formula>
    </cfRule>
  </conditionalFormatting>
  <conditionalFormatting sqref="AU222">
    <cfRule type="containsText" dxfId="2" priority="1755" operator="between" text="库存为">
      <formula>NOT(ISERROR(SEARCH("库存为",AU222)))</formula>
    </cfRule>
    <cfRule type="cellIs" dxfId="1" priority="2260" operator="greaterThan">
      <formula>120</formula>
    </cfRule>
    <cfRule type="cellIs" dxfId="0" priority="2765" operator="lessThan">
      <formula>20</formula>
    </cfRule>
  </conditionalFormatting>
  <conditionalFormatting sqref="AU223">
    <cfRule type="containsText" dxfId="2" priority="1754" operator="between" text="库存为">
      <formula>NOT(ISERROR(SEARCH("库存为",AU223)))</formula>
    </cfRule>
    <cfRule type="cellIs" dxfId="1" priority="2259" operator="greaterThan">
      <formula>120</formula>
    </cfRule>
    <cfRule type="cellIs" dxfId="0" priority="2764" operator="lessThan">
      <formula>20</formula>
    </cfRule>
  </conditionalFormatting>
  <conditionalFormatting sqref="AU224">
    <cfRule type="containsText" dxfId="2" priority="1753" operator="between" text="库存为">
      <formula>NOT(ISERROR(SEARCH("库存为",AU224)))</formula>
    </cfRule>
    <cfRule type="cellIs" dxfId="1" priority="2258" operator="greaterThan">
      <formula>120</formula>
    </cfRule>
    <cfRule type="cellIs" dxfId="0" priority="2763" operator="lessThan">
      <formula>20</formula>
    </cfRule>
  </conditionalFormatting>
  <conditionalFormatting sqref="AU225">
    <cfRule type="containsText" dxfId="2" priority="1752" operator="between" text="库存为">
      <formula>NOT(ISERROR(SEARCH("库存为",AU225)))</formula>
    </cfRule>
    <cfRule type="cellIs" dxfId="1" priority="2257" operator="greaterThan">
      <formula>120</formula>
    </cfRule>
    <cfRule type="cellIs" dxfId="0" priority="2762" operator="lessThan">
      <formula>20</formula>
    </cfRule>
  </conditionalFormatting>
  <conditionalFormatting sqref="AU226">
    <cfRule type="containsText" dxfId="2" priority="1751" operator="between" text="库存为">
      <formula>NOT(ISERROR(SEARCH("库存为",AU226)))</formula>
    </cfRule>
    <cfRule type="cellIs" dxfId="1" priority="2256" operator="greaterThan">
      <formula>120</formula>
    </cfRule>
    <cfRule type="cellIs" dxfId="0" priority="2761" operator="lessThan">
      <formula>20</formula>
    </cfRule>
  </conditionalFormatting>
  <conditionalFormatting sqref="AU227">
    <cfRule type="containsText" dxfId="2" priority="1750" operator="between" text="库存为">
      <formula>NOT(ISERROR(SEARCH("库存为",AU227)))</formula>
    </cfRule>
    <cfRule type="cellIs" dxfId="1" priority="2255" operator="greaterThan">
      <formula>120</formula>
    </cfRule>
    <cfRule type="cellIs" dxfId="0" priority="2760" operator="lessThan">
      <formula>20</formula>
    </cfRule>
  </conditionalFormatting>
  <conditionalFormatting sqref="AU228">
    <cfRule type="containsText" dxfId="2" priority="1749" operator="between" text="库存为">
      <formula>NOT(ISERROR(SEARCH("库存为",AU228)))</formula>
    </cfRule>
    <cfRule type="cellIs" dxfId="1" priority="2254" operator="greaterThan">
      <formula>120</formula>
    </cfRule>
    <cfRule type="cellIs" dxfId="0" priority="2759" operator="lessThan">
      <formula>20</formula>
    </cfRule>
  </conditionalFormatting>
  <conditionalFormatting sqref="AU229">
    <cfRule type="containsText" dxfId="2" priority="1748" operator="between" text="库存为">
      <formula>NOT(ISERROR(SEARCH("库存为",AU229)))</formula>
    </cfRule>
    <cfRule type="cellIs" dxfId="1" priority="2253" operator="greaterThan">
      <formula>120</formula>
    </cfRule>
    <cfRule type="cellIs" dxfId="0" priority="2758" operator="lessThan">
      <formula>20</formula>
    </cfRule>
  </conditionalFormatting>
  <conditionalFormatting sqref="AU230">
    <cfRule type="containsText" dxfId="2" priority="1747" operator="between" text="库存为">
      <formula>NOT(ISERROR(SEARCH("库存为",AU230)))</formula>
    </cfRule>
    <cfRule type="cellIs" dxfId="1" priority="2252" operator="greaterThan">
      <formula>120</formula>
    </cfRule>
    <cfRule type="cellIs" dxfId="0" priority="2757" operator="lessThan">
      <formula>20</formula>
    </cfRule>
  </conditionalFormatting>
  <conditionalFormatting sqref="AU231">
    <cfRule type="containsText" dxfId="2" priority="1746" operator="between" text="库存为">
      <formula>NOT(ISERROR(SEARCH("库存为",AU231)))</formula>
    </cfRule>
    <cfRule type="cellIs" dxfId="1" priority="2251" operator="greaterThan">
      <formula>120</formula>
    </cfRule>
    <cfRule type="cellIs" dxfId="0" priority="2756" operator="lessThan">
      <formula>20</formula>
    </cfRule>
  </conditionalFormatting>
  <conditionalFormatting sqref="AU232">
    <cfRule type="containsText" dxfId="2" priority="1745" operator="between" text="库存为">
      <formula>NOT(ISERROR(SEARCH("库存为",AU232)))</formula>
    </cfRule>
    <cfRule type="cellIs" dxfId="1" priority="2250" operator="greaterThan">
      <formula>120</formula>
    </cfRule>
    <cfRule type="cellIs" dxfId="0" priority="2755" operator="lessThan">
      <formula>20</formula>
    </cfRule>
  </conditionalFormatting>
  <conditionalFormatting sqref="AU233">
    <cfRule type="containsText" dxfId="2" priority="1744" operator="between" text="库存为">
      <formula>NOT(ISERROR(SEARCH("库存为",AU233)))</formula>
    </cfRule>
    <cfRule type="cellIs" dxfId="1" priority="2249" operator="greaterThan">
      <formula>120</formula>
    </cfRule>
    <cfRule type="cellIs" dxfId="0" priority="2754" operator="lessThan">
      <formula>20</formula>
    </cfRule>
  </conditionalFormatting>
  <conditionalFormatting sqref="AU234">
    <cfRule type="containsText" dxfId="2" priority="1743" operator="between" text="库存为">
      <formula>NOT(ISERROR(SEARCH("库存为",AU234)))</formula>
    </cfRule>
    <cfRule type="cellIs" dxfId="1" priority="2248" operator="greaterThan">
      <formula>120</formula>
    </cfRule>
    <cfRule type="cellIs" dxfId="0" priority="2753" operator="lessThan">
      <formula>20</formula>
    </cfRule>
  </conditionalFormatting>
  <conditionalFormatting sqref="AU235">
    <cfRule type="containsText" dxfId="2" priority="1742" operator="between" text="库存为">
      <formula>NOT(ISERROR(SEARCH("库存为",AU235)))</formula>
    </cfRule>
    <cfRule type="cellIs" dxfId="1" priority="2247" operator="greaterThan">
      <formula>120</formula>
    </cfRule>
    <cfRule type="cellIs" dxfId="0" priority="2752" operator="lessThan">
      <formula>20</formula>
    </cfRule>
  </conditionalFormatting>
  <conditionalFormatting sqref="AU236">
    <cfRule type="containsText" dxfId="2" priority="1741" operator="between" text="库存为">
      <formula>NOT(ISERROR(SEARCH("库存为",AU236)))</formula>
    </cfRule>
    <cfRule type="cellIs" dxfId="1" priority="2246" operator="greaterThan">
      <formula>120</formula>
    </cfRule>
    <cfRule type="cellIs" dxfId="0" priority="2751" operator="lessThan">
      <formula>20</formula>
    </cfRule>
  </conditionalFormatting>
  <conditionalFormatting sqref="AU237">
    <cfRule type="containsText" dxfId="2" priority="1740" operator="between" text="库存为">
      <formula>NOT(ISERROR(SEARCH("库存为",AU237)))</formula>
    </cfRule>
    <cfRule type="cellIs" dxfId="1" priority="2245" operator="greaterThan">
      <formula>120</formula>
    </cfRule>
    <cfRule type="cellIs" dxfId="0" priority="2750" operator="lessThan">
      <formula>20</formula>
    </cfRule>
  </conditionalFormatting>
  <conditionalFormatting sqref="AU238">
    <cfRule type="containsText" dxfId="2" priority="1739" operator="between" text="库存为">
      <formula>NOT(ISERROR(SEARCH("库存为",AU238)))</formula>
    </cfRule>
    <cfRule type="cellIs" dxfId="1" priority="2244" operator="greaterThan">
      <formula>120</formula>
    </cfRule>
    <cfRule type="cellIs" dxfId="0" priority="2749" operator="lessThan">
      <formula>20</formula>
    </cfRule>
  </conditionalFormatting>
  <conditionalFormatting sqref="AU239">
    <cfRule type="containsText" dxfId="2" priority="1738" operator="between" text="库存为">
      <formula>NOT(ISERROR(SEARCH("库存为",AU239)))</formula>
    </cfRule>
    <cfRule type="cellIs" dxfId="1" priority="2243" operator="greaterThan">
      <formula>120</formula>
    </cfRule>
    <cfRule type="cellIs" dxfId="0" priority="2748" operator="lessThan">
      <formula>20</formula>
    </cfRule>
  </conditionalFormatting>
  <conditionalFormatting sqref="AU240">
    <cfRule type="containsText" dxfId="2" priority="1737" operator="between" text="库存为">
      <formula>NOT(ISERROR(SEARCH("库存为",AU240)))</formula>
    </cfRule>
    <cfRule type="cellIs" dxfId="1" priority="2242" operator="greaterThan">
      <formula>120</formula>
    </cfRule>
    <cfRule type="cellIs" dxfId="0" priority="2747" operator="lessThan">
      <formula>20</formula>
    </cfRule>
  </conditionalFormatting>
  <conditionalFormatting sqref="AU241">
    <cfRule type="containsText" dxfId="2" priority="1736" operator="between" text="库存为">
      <formula>NOT(ISERROR(SEARCH("库存为",AU241)))</formula>
    </cfRule>
    <cfRule type="cellIs" dxfId="1" priority="2241" operator="greaterThan">
      <formula>120</formula>
    </cfRule>
    <cfRule type="cellIs" dxfId="0" priority="2746" operator="lessThan">
      <formula>20</formula>
    </cfRule>
  </conditionalFormatting>
  <conditionalFormatting sqref="AU242">
    <cfRule type="containsText" dxfId="2" priority="1735" operator="between" text="库存为">
      <formula>NOT(ISERROR(SEARCH("库存为",AU242)))</formula>
    </cfRule>
    <cfRule type="cellIs" dxfId="1" priority="2240" operator="greaterThan">
      <formula>120</formula>
    </cfRule>
    <cfRule type="cellIs" dxfId="0" priority="2745" operator="lessThan">
      <formula>20</formula>
    </cfRule>
  </conditionalFormatting>
  <conditionalFormatting sqref="AU243">
    <cfRule type="containsText" dxfId="2" priority="1734" operator="between" text="库存为">
      <formula>NOT(ISERROR(SEARCH("库存为",AU243)))</formula>
    </cfRule>
    <cfRule type="cellIs" dxfId="1" priority="2239" operator="greaterThan">
      <formula>120</formula>
    </cfRule>
    <cfRule type="cellIs" dxfId="0" priority="2744" operator="lessThan">
      <formula>20</formula>
    </cfRule>
  </conditionalFormatting>
  <conditionalFormatting sqref="AU244">
    <cfRule type="containsText" dxfId="2" priority="1733" operator="between" text="库存为">
      <formula>NOT(ISERROR(SEARCH("库存为",AU244)))</formula>
    </cfRule>
    <cfRule type="cellIs" dxfId="1" priority="2238" operator="greaterThan">
      <formula>120</formula>
    </cfRule>
    <cfRule type="cellIs" dxfId="0" priority="2743" operator="lessThan">
      <formula>20</formula>
    </cfRule>
  </conditionalFormatting>
  <conditionalFormatting sqref="AU245">
    <cfRule type="containsText" dxfId="2" priority="1732" operator="between" text="库存为">
      <formula>NOT(ISERROR(SEARCH("库存为",AU245)))</formula>
    </cfRule>
    <cfRule type="cellIs" dxfId="1" priority="2237" operator="greaterThan">
      <formula>120</formula>
    </cfRule>
    <cfRule type="cellIs" dxfId="0" priority="2742" operator="lessThan">
      <formula>20</formula>
    </cfRule>
  </conditionalFormatting>
  <conditionalFormatting sqref="AU246">
    <cfRule type="containsText" dxfId="2" priority="1731" operator="between" text="库存为">
      <formula>NOT(ISERROR(SEARCH("库存为",AU246)))</formula>
    </cfRule>
    <cfRule type="cellIs" dxfId="1" priority="2236" operator="greaterThan">
      <formula>120</formula>
    </cfRule>
    <cfRule type="cellIs" dxfId="0" priority="2741" operator="lessThan">
      <formula>20</formula>
    </cfRule>
  </conditionalFormatting>
  <conditionalFormatting sqref="AU247">
    <cfRule type="containsText" dxfId="2" priority="1730" operator="between" text="库存为">
      <formula>NOT(ISERROR(SEARCH("库存为",AU247)))</formula>
    </cfRule>
    <cfRule type="cellIs" dxfId="1" priority="2235" operator="greaterThan">
      <formula>120</formula>
    </cfRule>
    <cfRule type="cellIs" dxfId="0" priority="2740" operator="lessThan">
      <formula>20</formula>
    </cfRule>
  </conditionalFormatting>
  <conditionalFormatting sqref="AU248">
    <cfRule type="containsText" dxfId="2" priority="1729" operator="between" text="库存为">
      <formula>NOT(ISERROR(SEARCH("库存为",AU248)))</formula>
    </cfRule>
    <cfRule type="cellIs" dxfId="1" priority="2234" operator="greaterThan">
      <formula>120</formula>
    </cfRule>
    <cfRule type="cellIs" dxfId="0" priority="2739" operator="lessThan">
      <formula>20</formula>
    </cfRule>
  </conditionalFormatting>
  <conditionalFormatting sqref="AU249">
    <cfRule type="containsText" dxfId="2" priority="1728" operator="between" text="库存为">
      <formula>NOT(ISERROR(SEARCH("库存为",AU249)))</formula>
    </cfRule>
    <cfRule type="cellIs" dxfId="1" priority="2233" operator="greaterThan">
      <formula>120</formula>
    </cfRule>
    <cfRule type="cellIs" dxfId="0" priority="2738" operator="lessThan">
      <formula>20</formula>
    </cfRule>
  </conditionalFormatting>
  <conditionalFormatting sqref="AU250">
    <cfRule type="containsText" dxfId="2" priority="1727" operator="between" text="库存为">
      <formula>NOT(ISERROR(SEARCH("库存为",AU250)))</formula>
    </cfRule>
    <cfRule type="cellIs" dxfId="1" priority="2232" operator="greaterThan">
      <formula>120</formula>
    </cfRule>
    <cfRule type="cellIs" dxfId="0" priority="2737" operator="lessThan">
      <formula>20</formula>
    </cfRule>
  </conditionalFormatting>
  <conditionalFormatting sqref="AU251">
    <cfRule type="containsText" dxfId="2" priority="1726" operator="between" text="库存为">
      <formula>NOT(ISERROR(SEARCH("库存为",AU251)))</formula>
    </cfRule>
    <cfRule type="cellIs" dxfId="1" priority="2231" operator="greaterThan">
      <formula>120</formula>
    </cfRule>
    <cfRule type="cellIs" dxfId="0" priority="2736" operator="lessThan">
      <formula>20</formula>
    </cfRule>
  </conditionalFormatting>
  <conditionalFormatting sqref="AU252">
    <cfRule type="containsText" dxfId="2" priority="1725" operator="between" text="库存为">
      <formula>NOT(ISERROR(SEARCH("库存为",AU252)))</formula>
    </cfRule>
    <cfRule type="cellIs" dxfId="1" priority="2230" operator="greaterThan">
      <formula>120</formula>
    </cfRule>
    <cfRule type="cellIs" dxfId="0" priority="2735" operator="lessThan">
      <formula>20</formula>
    </cfRule>
  </conditionalFormatting>
  <conditionalFormatting sqref="AU253">
    <cfRule type="containsText" dxfId="2" priority="1724" operator="between" text="库存为">
      <formula>NOT(ISERROR(SEARCH("库存为",AU253)))</formula>
    </cfRule>
    <cfRule type="cellIs" dxfId="1" priority="2229" operator="greaterThan">
      <formula>120</formula>
    </cfRule>
    <cfRule type="cellIs" dxfId="0" priority="2734" operator="lessThan">
      <formula>20</formula>
    </cfRule>
  </conditionalFormatting>
  <conditionalFormatting sqref="AU254">
    <cfRule type="containsText" dxfId="2" priority="1723" operator="between" text="库存为">
      <formula>NOT(ISERROR(SEARCH("库存为",AU254)))</formula>
    </cfRule>
    <cfRule type="cellIs" dxfId="1" priority="2228" operator="greaterThan">
      <formula>120</formula>
    </cfRule>
    <cfRule type="cellIs" dxfId="0" priority="2733" operator="lessThan">
      <formula>20</formula>
    </cfRule>
  </conditionalFormatting>
  <conditionalFormatting sqref="AU255">
    <cfRule type="containsText" dxfId="2" priority="1722" operator="between" text="库存为">
      <formula>NOT(ISERROR(SEARCH("库存为",AU255)))</formula>
    </cfRule>
    <cfRule type="cellIs" dxfId="1" priority="2227" operator="greaterThan">
      <formula>120</formula>
    </cfRule>
    <cfRule type="cellIs" dxfId="0" priority="2732" operator="lessThan">
      <formula>20</formula>
    </cfRule>
  </conditionalFormatting>
  <conditionalFormatting sqref="AU256">
    <cfRule type="containsText" dxfId="2" priority="1721" operator="between" text="库存为">
      <formula>NOT(ISERROR(SEARCH("库存为",AU256)))</formula>
    </cfRule>
    <cfRule type="cellIs" dxfId="1" priority="2226" operator="greaterThan">
      <formula>120</formula>
    </cfRule>
    <cfRule type="cellIs" dxfId="0" priority="2731" operator="lessThan">
      <formula>20</formula>
    </cfRule>
  </conditionalFormatting>
  <conditionalFormatting sqref="AU257">
    <cfRule type="containsText" dxfId="2" priority="1720" operator="between" text="库存为">
      <formula>NOT(ISERROR(SEARCH("库存为",AU257)))</formula>
    </cfRule>
    <cfRule type="cellIs" dxfId="1" priority="2225" operator="greaterThan">
      <formula>120</formula>
    </cfRule>
    <cfRule type="cellIs" dxfId="0" priority="2730" operator="lessThan">
      <formula>20</formula>
    </cfRule>
  </conditionalFormatting>
  <conditionalFormatting sqref="AU258">
    <cfRule type="containsText" dxfId="2" priority="1719" operator="between" text="库存为">
      <formula>NOT(ISERROR(SEARCH("库存为",AU258)))</formula>
    </cfRule>
    <cfRule type="cellIs" dxfId="1" priority="2224" operator="greaterThan">
      <formula>120</formula>
    </cfRule>
    <cfRule type="cellIs" dxfId="0" priority="2729" operator="lessThan">
      <formula>20</formula>
    </cfRule>
  </conditionalFormatting>
  <conditionalFormatting sqref="AU259">
    <cfRule type="containsText" dxfId="2" priority="1718" operator="between" text="库存为">
      <formula>NOT(ISERROR(SEARCH("库存为",AU259)))</formula>
    </cfRule>
    <cfRule type="cellIs" dxfId="1" priority="2223" operator="greaterThan">
      <formula>120</formula>
    </cfRule>
    <cfRule type="cellIs" dxfId="0" priority="2728" operator="lessThan">
      <formula>20</formula>
    </cfRule>
  </conditionalFormatting>
  <conditionalFormatting sqref="AU260">
    <cfRule type="containsText" dxfId="2" priority="1717" operator="between" text="库存为">
      <formula>NOT(ISERROR(SEARCH("库存为",AU260)))</formula>
    </cfRule>
    <cfRule type="cellIs" dxfId="1" priority="2222" operator="greaterThan">
      <formula>120</formula>
    </cfRule>
    <cfRule type="cellIs" dxfId="0" priority="2727" operator="lessThan">
      <formula>20</formula>
    </cfRule>
  </conditionalFormatting>
  <conditionalFormatting sqref="AU261">
    <cfRule type="containsText" dxfId="2" priority="1716" operator="between" text="库存为">
      <formula>NOT(ISERROR(SEARCH("库存为",AU261)))</formula>
    </cfRule>
    <cfRule type="cellIs" dxfId="1" priority="2221" operator="greaterThan">
      <formula>120</formula>
    </cfRule>
    <cfRule type="cellIs" dxfId="0" priority="2726" operator="lessThan">
      <formula>20</formula>
    </cfRule>
  </conditionalFormatting>
  <conditionalFormatting sqref="AU262">
    <cfRule type="containsText" dxfId="2" priority="1715" operator="between" text="库存为">
      <formula>NOT(ISERROR(SEARCH("库存为",AU262)))</formula>
    </cfRule>
    <cfRule type="cellIs" dxfId="1" priority="2220" operator="greaterThan">
      <formula>120</formula>
    </cfRule>
    <cfRule type="cellIs" dxfId="0" priority="2725" operator="lessThan">
      <formula>20</formula>
    </cfRule>
  </conditionalFormatting>
  <conditionalFormatting sqref="AU263">
    <cfRule type="containsText" dxfId="2" priority="1714" operator="between" text="库存为">
      <formula>NOT(ISERROR(SEARCH("库存为",AU263)))</formula>
    </cfRule>
    <cfRule type="cellIs" dxfId="1" priority="2219" operator="greaterThan">
      <formula>120</formula>
    </cfRule>
    <cfRule type="cellIs" dxfId="0" priority="2724" operator="lessThan">
      <formula>20</formula>
    </cfRule>
  </conditionalFormatting>
  <conditionalFormatting sqref="AU264">
    <cfRule type="containsText" dxfId="2" priority="1713" operator="between" text="库存为">
      <formula>NOT(ISERROR(SEARCH("库存为",AU264)))</formula>
    </cfRule>
    <cfRule type="cellIs" dxfId="1" priority="2218" operator="greaterThan">
      <formula>120</formula>
    </cfRule>
    <cfRule type="cellIs" dxfId="0" priority="2723" operator="lessThan">
      <formula>20</formula>
    </cfRule>
  </conditionalFormatting>
  <conditionalFormatting sqref="AU265">
    <cfRule type="containsText" dxfId="2" priority="1712" operator="between" text="库存为">
      <formula>NOT(ISERROR(SEARCH("库存为",AU265)))</formula>
    </cfRule>
    <cfRule type="cellIs" dxfId="1" priority="2217" operator="greaterThan">
      <formula>120</formula>
    </cfRule>
    <cfRule type="cellIs" dxfId="0" priority="2722" operator="lessThan">
      <formula>20</formula>
    </cfRule>
  </conditionalFormatting>
  <conditionalFormatting sqref="AU266">
    <cfRule type="containsText" dxfId="2" priority="1711" operator="between" text="库存为">
      <formula>NOT(ISERROR(SEARCH("库存为",AU266)))</formula>
    </cfRule>
    <cfRule type="cellIs" dxfId="1" priority="2216" operator="greaterThan">
      <formula>120</formula>
    </cfRule>
    <cfRule type="cellIs" dxfId="0" priority="2721" operator="lessThan">
      <formula>20</formula>
    </cfRule>
  </conditionalFormatting>
  <conditionalFormatting sqref="AU267">
    <cfRule type="containsText" dxfId="2" priority="1710" operator="between" text="库存为">
      <formula>NOT(ISERROR(SEARCH("库存为",AU267)))</formula>
    </cfRule>
    <cfRule type="cellIs" dxfId="1" priority="2215" operator="greaterThan">
      <formula>120</formula>
    </cfRule>
    <cfRule type="cellIs" dxfId="0" priority="2720" operator="lessThan">
      <formula>20</formula>
    </cfRule>
  </conditionalFormatting>
  <conditionalFormatting sqref="AU268">
    <cfRule type="containsText" dxfId="2" priority="1709" operator="between" text="库存为">
      <formula>NOT(ISERROR(SEARCH("库存为",AU268)))</formula>
    </cfRule>
    <cfRule type="cellIs" dxfId="1" priority="2214" operator="greaterThan">
      <formula>120</formula>
    </cfRule>
    <cfRule type="cellIs" dxfId="0" priority="2719" operator="lessThan">
      <formula>20</formula>
    </cfRule>
  </conditionalFormatting>
  <conditionalFormatting sqref="AU269">
    <cfRule type="containsText" dxfId="2" priority="1708" operator="between" text="库存为">
      <formula>NOT(ISERROR(SEARCH("库存为",AU269)))</formula>
    </cfRule>
    <cfRule type="cellIs" dxfId="1" priority="2213" operator="greaterThan">
      <formula>120</formula>
    </cfRule>
    <cfRule type="cellIs" dxfId="0" priority="2718" operator="lessThan">
      <formula>20</formula>
    </cfRule>
  </conditionalFormatting>
  <conditionalFormatting sqref="AU270">
    <cfRule type="containsText" dxfId="2" priority="1707" operator="between" text="库存为">
      <formula>NOT(ISERROR(SEARCH("库存为",AU270)))</formula>
    </cfRule>
    <cfRule type="cellIs" dxfId="1" priority="2212" operator="greaterThan">
      <formula>120</formula>
    </cfRule>
    <cfRule type="cellIs" dxfId="0" priority="2717" operator="lessThan">
      <formula>20</formula>
    </cfRule>
  </conditionalFormatting>
  <conditionalFormatting sqref="AU271">
    <cfRule type="containsText" dxfId="2" priority="1706" operator="between" text="库存为">
      <formula>NOT(ISERROR(SEARCH("库存为",AU271)))</formula>
    </cfRule>
    <cfRule type="cellIs" dxfId="1" priority="2211" operator="greaterThan">
      <formula>120</formula>
    </cfRule>
    <cfRule type="cellIs" dxfId="0" priority="2716" operator="lessThan">
      <formula>20</formula>
    </cfRule>
  </conditionalFormatting>
  <conditionalFormatting sqref="AU272">
    <cfRule type="containsText" dxfId="2" priority="1705" operator="between" text="库存为">
      <formula>NOT(ISERROR(SEARCH("库存为",AU272)))</formula>
    </cfRule>
    <cfRule type="cellIs" dxfId="1" priority="2210" operator="greaterThan">
      <formula>120</formula>
    </cfRule>
    <cfRule type="cellIs" dxfId="0" priority="2715" operator="lessThan">
      <formula>20</formula>
    </cfRule>
  </conditionalFormatting>
  <conditionalFormatting sqref="AU273">
    <cfRule type="containsText" dxfId="2" priority="1704" operator="between" text="库存为">
      <formula>NOT(ISERROR(SEARCH("库存为",AU273)))</formula>
    </cfRule>
    <cfRule type="cellIs" dxfId="1" priority="2209" operator="greaterThan">
      <formula>120</formula>
    </cfRule>
    <cfRule type="cellIs" dxfId="0" priority="2714" operator="lessThan">
      <formula>20</formula>
    </cfRule>
  </conditionalFormatting>
  <conditionalFormatting sqref="AU274">
    <cfRule type="containsText" dxfId="2" priority="1703" operator="between" text="库存为">
      <formula>NOT(ISERROR(SEARCH("库存为",AU274)))</formula>
    </cfRule>
    <cfRule type="cellIs" dxfId="1" priority="2208" operator="greaterThan">
      <formula>120</formula>
    </cfRule>
    <cfRule type="cellIs" dxfId="0" priority="2713" operator="lessThan">
      <formula>20</formula>
    </cfRule>
  </conditionalFormatting>
  <conditionalFormatting sqref="AU275">
    <cfRule type="containsText" dxfId="2" priority="1702" operator="between" text="库存为">
      <formula>NOT(ISERROR(SEARCH("库存为",AU275)))</formula>
    </cfRule>
    <cfRule type="cellIs" dxfId="1" priority="2207" operator="greaterThan">
      <formula>120</formula>
    </cfRule>
    <cfRule type="cellIs" dxfId="0" priority="2712" operator="lessThan">
      <formula>20</formula>
    </cfRule>
  </conditionalFormatting>
  <conditionalFormatting sqref="AU276">
    <cfRule type="containsText" dxfId="2" priority="1701" operator="between" text="库存为">
      <formula>NOT(ISERROR(SEARCH("库存为",AU276)))</formula>
    </cfRule>
    <cfRule type="cellIs" dxfId="1" priority="2206" operator="greaterThan">
      <formula>120</formula>
    </cfRule>
    <cfRule type="cellIs" dxfId="0" priority="2711" operator="lessThan">
      <formula>20</formula>
    </cfRule>
  </conditionalFormatting>
  <conditionalFormatting sqref="AU277">
    <cfRule type="containsText" dxfId="2" priority="1700" operator="between" text="库存为">
      <formula>NOT(ISERROR(SEARCH("库存为",AU277)))</formula>
    </cfRule>
    <cfRule type="cellIs" dxfId="1" priority="2205" operator="greaterThan">
      <formula>120</formula>
    </cfRule>
    <cfRule type="cellIs" dxfId="0" priority="2710" operator="lessThan">
      <formula>20</formula>
    </cfRule>
  </conditionalFormatting>
  <conditionalFormatting sqref="AU278">
    <cfRule type="containsText" dxfId="2" priority="1699" operator="between" text="库存为">
      <formula>NOT(ISERROR(SEARCH("库存为",AU278)))</formula>
    </cfRule>
    <cfRule type="cellIs" dxfId="1" priority="2204" operator="greaterThan">
      <formula>120</formula>
    </cfRule>
    <cfRule type="cellIs" dxfId="0" priority="2709" operator="lessThan">
      <formula>20</formula>
    </cfRule>
  </conditionalFormatting>
  <conditionalFormatting sqref="AU279">
    <cfRule type="containsText" dxfId="2" priority="1698" operator="between" text="库存为">
      <formula>NOT(ISERROR(SEARCH("库存为",AU279)))</formula>
    </cfRule>
    <cfRule type="cellIs" dxfId="1" priority="2203" operator="greaterThan">
      <formula>120</formula>
    </cfRule>
    <cfRule type="cellIs" dxfId="0" priority="2708" operator="lessThan">
      <formula>20</formula>
    </cfRule>
  </conditionalFormatting>
  <conditionalFormatting sqref="AU280">
    <cfRule type="containsText" dxfId="2" priority="1697" operator="between" text="库存为">
      <formula>NOT(ISERROR(SEARCH("库存为",AU280)))</formula>
    </cfRule>
    <cfRule type="cellIs" dxfId="1" priority="2202" operator="greaterThan">
      <formula>120</formula>
    </cfRule>
    <cfRule type="cellIs" dxfId="0" priority="2707" operator="lessThan">
      <formula>20</formula>
    </cfRule>
  </conditionalFormatting>
  <conditionalFormatting sqref="AU281">
    <cfRule type="containsText" dxfId="2" priority="1696" operator="between" text="库存为">
      <formula>NOT(ISERROR(SEARCH("库存为",AU281)))</formula>
    </cfRule>
    <cfRule type="cellIs" dxfId="1" priority="2201" operator="greaterThan">
      <formula>120</formula>
    </cfRule>
    <cfRule type="cellIs" dxfId="0" priority="2706" operator="lessThan">
      <formula>20</formula>
    </cfRule>
  </conditionalFormatting>
  <conditionalFormatting sqref="AU282">
    <cfRule type="containsText" dxfId="2" priority="1695" operator="between" text="库存为">
      <formula>NOT(ISERROR(SEARCH("库存为",AU282)))</formula>
    </cfRule>
    <cfRule type="cellIs" dxfId="1" priority="2200" operator="greaterThan">
      <formula>120</formula>
    </cfRule>
    <cfRule type="cellIs" dxfId="0" priority="2705" operator="lessThan">
      <formula>20</formula>
    </cfRule>
  </conditionalFormatting>
  <conditionalFormatting sqref="AU283">
    <cfRule type="containsText" dxfId="2" priority="1694" operator="between" text="库存为">
      <formula>NOT(ISERROR(SEARCH("库存为",AU283)))</formula>
    </cfRule>
    <cfRule type="cellIs" dxfId="1" priority="2199" operator="greaterThan">
      <formula>120</formula>
    </cfRule>
    <cfRule type="cellIs" dxfId="0" priority="2704" operator="lessThan">
      <formula>20</formula>
    </cfRule>
  </conditionalFormatting>
  <conditionalFormatting sqref="AU284">
    <cfRule type="containsText" dxfId="2" priority="1693" operator="between" text="库存为">
      <formula>NOT(ISERROR(SEARCH("库存为",AU284)))</formula>
    </cfRule>
    <cfRule type="cellIs" dxfId="1" priority="2198" operator="greaterThan">
      <formula>120</formula>
    </cfRule>
    <cfRule type="cellIs" dxfId="0" priority="2703" operator="lessThan">
      <formula>20</formula>
    </cfRule>
  </conditionalFormatting>
  <conditionalFormatting sqref="AU285">
    <cfRule type="containsText" dxfId="2" priority="1692" operator="between" text="库存为">
      <formula>NOT(ISERROR(SEARCH("库存为",AU285)))</formula>
    </cfRule>
    <cfRule type="cellIs" dxfId="1" priority="2197" operator="greaterThan">
      <formula>120</formula>
    </cfRule>
    <cfRule type="cellIs" dxfId="0" priority="2702" operator="lessThan">
      <formula>20</formula>
    </cfRule>
  </conditionalFormatting>
  <conditionalFormatting sqref="AU286">
    <cfRule type="containsText" dxfId="2" priority="1691" operator="between" text="库存为">
      <formula>NOT(ISERROR(SEARCH("库存为",AU286)))</formula>
    </cfRule>
    <cfRule type="cellIs" dxfId="1" priority="2196" operator="greaterThan">
      <formula>120</formula>
    </cfRule>
    <cfRule type="cellIs" dxfId="0" priority="2701" operator="lessThan">
      <formula>20</formula>
    </cfRule>
  </conditionalFormatting>
  <conditionalFormatting sqref="AU287">
    <cfRule type="containsText" dxfId="2" priority="1690" operator="between" text="库存为">
      <formula>NOT(ISERROR(SEARCH("库存为",AU287)))</formula>
    </cfRule>
    <cfRule type="cellIs" dxfId="1" priority="2195" operator="greaterThan">
      <formula>120</formula>
    </cfRule>
    <cfRule type="cellIs" dxfId="0" priority="2700" operator="lessThan">
      <formula>20</formula>
    </cfRule>
  </conditionalFormatting>
  <conditionalFormatting sqref="AU288">
    <cfRule type="containsText" dxfId="2" priority="1689" operator="between" text="库存为">
      <formula>NOT(ISERROR(SEARCH("库存为",AU288)))</formula>
    </cfRule>
    <cfRule type="cellIs" dxfId="1" priority="2194" operator="greaterThan">
      <formula>120</formula>
    </cfRule>
    <cfRule type="cellIs" dxfId="0" priority="2699" operator="lessThan">
      <formula>20</formula>
    </cfRule>
  </conditionalFormatting>
  <conditionalFormatting sqref="AU289">
    <cfRule type="containsText" dxfId="2" priority="1688" operator="between" text="库存为">
      <formula>NOT(ISERROR(SEARCH("库存为",AU289)))</formula>
    </cfRule>
    <cfRule type="cellIs" dxfId="1" priority="2193" operator="greaterThan">
      <formula>120</formula>
    </cfRule>
    <cfRule type="cellIs" dxfId="0" priority="2698" operator="lessThan">
      <formula>20</formula>
    </cfRule>
  </conditionalFormatting>
  <conditionalFormatting sqref="AU290">
    <cfRule type="containsText" dxfId="2" priority="1687" operator="between" text="库存为">
      <formula>NOT(ISERROR(SEARCH("库存为",AU290)))</formula>
    </cfRule>
    <cfRule type="cellIs" dxfId="1" priority="2192" operator="greaterThan">
      <formula>120</formula>
    </cfRule>
    <cfRule type="cellIs" dxfId="0" priority="2697" operator="lessThan">
      <formula>20</formula>
    </cfRule>
  </conditionalFormatting>
  <conditionalFormatting sqref="AU291">
    <cfRule type="containsText" dxfId="2" priority="1686" operator="between" text="库存为">
      <formula>NOT(ISERROR(SEARCH("库存为",AU291)))</formula>
    </cfRule>
    <cfRule type="cellIs" dxfId="1" priority="2191" operator="greaterThan">
      <formula>120</formula>
    </cfRule>
    <cfRule type="cellIs" dxfId="0" priority="2696" operator="lessThan">
      <formula>20</formula>
    </cfRule>
  </conditionalFormatting>
  <conditionalFormatting sqref="AU292">
    <cfRule type="containsText" dxfId="2" priority="1685" operator="between" text="库存为">
      <formula>NOT(ISERROR(SEARCH("库存为",AU292)))</formula>
    </cfRule>
    <cfRule type="cellIs" dxfId="1" priority="2190" operator="greaterThan">
      <formula>120</formula>
    </cfRule>
    <cfRule type="cellIs" dxfId="0" priority="2695" operator="lessThan">
      <formula>20</formula>
    </cfRule>
  </conditionalFormatting>
  <conditionalFormatting sqref="AU293">
    <cfRule type="containsText" dxfId="2" priority="1684" operator="between" text="库存为">
      <formula>NOT(ISERROR(SEARCH("库存为",AU293)))</formula>
    </cfRule>
    <cfRule type="cellIs" dxfId="1" priority="2189" operator="greaterThan">
      <formula>120</formula>
    </cfRule>
    <cfRule type="cellIs" dxfId="0" priority="2694" operator="lessThan">
      <formula>20</formula>
    </cfRule>
  </conditionalFormatting>
  <conditionalFormatting sqref="AU294">
    <cfRule type="containsText" dxfId="2" priority="1683" operator="between" text="库存为">
      <formula>NOT(ISERROR(SEARCH("库存为",AU294)))</formula>
    </cfRule>
    <cfRule type="cellIs" dxfId="1" priority="2188" operator="greaterThan">
      <formula>120</formula>
    </cfRule>
    <cfRule type="cellIs" dxfId="0" priority="2693" operator="lessThan">
      <formula>20</formula>
    </cfRule>
  </conditionalFormatting>
  <conditionalFormatting sqref="AU295">
    <cfRule type="containsText" dxfId="2" priority="1682" operator="between" text="库存为">
      <formula>NOT(ISERROR(SEARCH("库存为",AU295)))</formula>
    </cfRule>
    <cfRule type="cellIs" dxfId="1" priority="2187" operator="greaterThan">
      <formula>120</formula>
    </cfRule>
    <cfRule type="cellIs" dxfId="0" priority="2692" operator="lessThan">
      <formula>20</formula>
    </cfRule>
  </conditionalFormatting>
  <conditionalFormatting sqref="AU296">
    <cfRule type="containsText" dxfId="2" priority="1681" operator="between" text="库存为">
      <formula>NOT(ISERROR(SEARCH("库存为",AU296)))</formula>
    </cfRule>
    <cfRule type="cellIs" dxfId="1" priority="2186" operator="greaterThan">
      <formula>120</formula>
    </cfRule>
    <cfRule type="cellIs" dxfId="0" priority="2691" operator="lessThan">
      <formula>20</formula>
    </cfRule>
  </conditionalFormatting>
  <conditionalFormatting sqref="AU297">
    <cfRule type="containsText" dxfId="2" priority="1680" operator="between" text="库存为">
      <formula>NOT(ISERROR(SEARCH("库存为",AU297)))</formula>
    </cfRule>
    <cfRule type="cellIs" dxfId="1" priority="2185" operator="greaterThan">
      <formula>120</formula>
    </cfRule>
    <cfRule type="cellIs" dxfId="0" priority="2690" operator="lessThan">
      <formula>20</formula>
    </cfRule>
  </conditionalFormatting>
  <conditionalFormatting sqref="AU298">
    <cfRule type="containsText" dxfId="2" priority="1679" operator="between" text="库存为">
      <formula>NOT(ISERROR(SEARCH("库存为",AU298)))</formula>
    </cfRule>
    <cfRule type="cellIs" dxfId="1" priority="2184" operator="greaterThan">
      <formula>120</formula>
    </cfRule>
    <cfRule type="cellIs" dxfId="0" priority="2689" operator="lessThan">
      <formula>20</formula>
    </cfRule>
  </conditionalFormatting>
  <conditionalFormatting sqref="AU299">
    <cfRule type="containsText" dxfId="2" priority="1678" operator="between" text="库存为">
      <formula>NOT(ISERROR(SEARCH("库存为",AU299)))</formula>
    </cfRule>
    <cfRule type="cellIs" dxfId="1" priority="2183" operator="greaterThan">
      <formula>120</formula>
    </cfRule>
    <cfRule type="cellIs" dxfId="0" priority="2688" operator="lessThan">
      <formula>20</formula>
    </cfRule>
  </conditionalFormatting>
  <conditionalFormatting sqref="AU300">
    <cfRule type="containsText" dxfId="2" priority="1677" operator="between" text="库存为">
      <formula>NOT(ISERROR(SEARCH("库存为",AU300)))</formula>
    </cfRule>
    <cfRule type="cellIs" dxfId="1" priority="2182" operator="greaterThan">
      <formula>120</formula>
    </cfRule>
    <cfRule type="cellIs" dxfId="0" priority="2687" operator="lessThan">
      <formula>20</formula>
    </cfRule>
  </conditionalFormatting>
  <conditionalFormatting sqref="AU301">
    <cfRule type="containsText" dxfId="2" priority="1676" operator="between" text="库存为">
      <formula>NOT(ISERROR(SEARCH("库存为",AU301)))</formula>
    </cfRule>
    <cfRule type="cellIs" dxfId="1" priority="2181" operator="greaterThan">
      <formula>120</formula>
    </cfRule>
    <cfRule type="cellIs" dxfId="0" priority="2686" operator="lessThan">
      <formula>20</formula>
    </cfRule>
  </conditionalFormatting>
  <conditionalFormatting sqref="AU302">
    <cfRule type="containsText" dxfId="2" priority="1675" operator="between" text="库存为">
      <formula>NOT(ISERROR(SEARCH("库存为",AU302)))</formula>
    </cfRule>
    <cfRule type="cellIs" dxfId="1" priority="2180" operator="greaterThan">
      <formula>120</formula>
    </cfRule>
    <cfRule type="cellIs" dxfId="0" priority="2685" operator="lessThan">
      <formula>20</formula>
    </cfRule>
  </conditionalFormatting>
  <conditionalFormatting sqref="AU303">
    <cfRule type="containsText" dxfId="2" priority="1674" operator="between" text="库存为">
      <formula>NOT(ISERROR(SEARCH("库存为",AU303)))</formula>
    </cfRule>
    <cfRule type="cellIs" dxfId="1" priority="2179" operator="greaterThan">
      <formula>120</formula>
    </cfRule>
    <cfRule type="cellIs" dxfId="0" priority="2684" operator="lessThan">
      <formula>20</formula>
    </cfRule>
  </conditionalFormatting>
  <conditionalFormatting sqref="AU304">
    <cfRule type="containsText" dxfId="2" priority="1673" operator="between" text="库存为">
      <formula>NOT(ISERROR(SEARCH("库存为",AU304)))</formula>
    </cfRule>
    <cfRule type="cellIs" dxfId="1" priority="2178" operator="greaterThan">
      <formula>120</formula>
    </cfRule>
    <cfRule type="cellIs" dxfId="0" priority="2683" operator="lessThan">
      <formula>20</formula>
    </cfRule>
  </conditionalFormatting>
  <conditionalFormatting sqref="AU305">
    <cfRule type="containsText" dxfId="2" priority="1672" operator="between" text="库存为">
      <formula>NOT(ISERROR(SEARCH("库存为",AU305)))</formula>
    </cfRule>
    <cfRule type="cellIs" dxfId="1" priority="2177" operator="greaterThan">
      <formula>120</formula>
    </cfRule>
    <cfRule type="cellIs" dxfId="0" priority="2682" operator="lessThan">
      <formula>20</formula>
    </cfRule>
  </conditionalFormatting>
  <conditionalFormatting sqref="AU306">
    <cfRule type="containsText" dxfId="2" priority="1671" operator="between" text="库存为">
      <formula>NOT(ISERROR(SEARCH("库存为",AU306)))</formula>
    </cfRule>
    <cfRule type="cellIs" dxfId="1" priority="2176" operator="greaterThan">
      <formula>120</formula>
    </cfRule>
    <cfRule type="cellIs" dxfId="0" priority="2681" operator="lessThan">
      <formula>20</formula>
    </cfRule>
  </conditionalFormatting>
  <conditionalFormatting sqref="AU307">
    <cfRule type="containsText" dxfId="2" priority="1670" operator="between" text="库存为">
      <formula>NOT(ISERROR(SEARCH("库存为",AU307)))</formula>
    </cfRule>
    <cfRule type="cellIs" dxfId="1" priority="2175" operator="greaterThan">
      <formula>120</formula>
    </cfRule>
    <cfRule type="cellIs" dxfId="0" priority="2680" operator="lessThan">
      <formula>20</formula>
    </cfRule>
  </conditionalFormatting>
  <conditionalFormatting sqref="AU308">
    <cfRule type="containsText" dxfId="2" priority="1669" operator="between" text="库存为">
      <formula>NOT(ISERROR(SEARCH("库存为",AU308)))</formula>
    </cfRule>
    <cfRule type="cellIs" dxfId="1" priority="2174" operator="greaterThan">
      <formula>120</formula>
    </cfRule>
    <cfRule type="cellIs" dxfId="0" priority="2679" operator="lessThan">
      <formula>20</formula>
    </cfRule>
  </conditionalFormatting>
  <conditionalFormatting sqref="AU309">
    <cfRule type="containsText" dxfId="2" priority="1668" operator="between" text="库存为">
      <formula>NOT(ISERROR(SEARCH("库存为",AU309)))</formula>
    </cfRule>
    <cfRule type="cellIs" dxfId="1" priority="2173" operator="greaterThan">
      <formula>120</formula>
    </cfRule>
    <cfRule type="cellIs" dxfId="0" priority="2678" operator="lessThan">
      <formula>20</formula>
    </cfRule>
  </conditionalFormatting>
  <conditionalFormatting sqref="AU310">
    <cfRule type="containsText" dxfId="2" priority="1667" operator="between" text="库存为">
      <formula>NOT(ISERROR(SEARCH("库存为",AU310)))</formula>
    </cfRule>
    <cfRule type="cellIs" dxfId="1" priority="2172" operator="greaterThan">
      <formula>120</formula>
    </cfRule>
    <cfRule type="cellIs" dxfId="0" priority="2677" operator="lessThan">
      <formula>20</formula>
    </cfRule>
  </conditionalFormatting>
  <conditionalFormatting sqref="AU311">
    <cfRule type="containsText" dxfId="2" priority="1666" operator="between" text="库存为">
      <formula>NOT(ISERROR(SEARCH("库存为",AU311)))</formula>
    </cfRule>
    <cfRule type="cellIs" dxfId="1" priority="2171" operator="greaterThan">
      <formula>120</formula>
    </cfRule>
    <cfRule type="cellIs" dxfId="0" priority="2676" operator="lessThan">
      <formula>20</formula>
    </cfRule>
  </conditionalFormatting>
  <conditionalFormatting sqref="AU312">
    <cfRule type="containsText" dxfId="2" priority="1665" operator="between" text="库存为">
      <formula>NOT(ISERROR(SEARCH("库存为",AU312)))</formula>
    </cfRule>
    <cfRule type="cellIs" dxfId="1" priority="2170" operator="greaterThan">
      <formula>120</formula>
    </cfRule>
    <cfRule type="cellIs" dxfId="0" priority="2675" operator="lessThan">
      <formula>20</formula>
    </cfRule>
  </conditionalFormatting>
  <conditionalFormatting sqref="AU313">
    <cfRule type="containsText" dxfId="2" priority="1664" operator="between" text="库存为">
      <formula>NOT(ISERROR(SEARCH("库存为",AU313)))</formula>
    </cfRule>
    <cfRule type="cellIs" dxfId="1" priority="2169" operator="greaterThan">
      <formula>120</formula>
    </cfRule>
    <cfRule type="cellIs" dxfId="0" priority="2674" operator="lessThan">
      <formula>20</formula>
    </cfRule>
  </conditionalFormatting>
  <conditionalFormatting sqref="AU314">
    <cfRule type="containsText" dxfId="2" priority="1663" operator="between" text="库存为">
      <formula>NOT(ISERROR(SEARCH("库存为",AU314)))</formula>
    </cfRule>
    <cfRule type="cellIs" dxfId="1" priority="2168" operator="greaterThan">
      <formula>120</formula>
    </cfRule>
    <cfRule type="cellIs" dxfId="0" priority="2673" operator="lessThan">
      <formula>20</formula>
    </cfRule>
  </conditionalFormatting>
  <conditionalFormatting sqref="AU315">
    <cfRule type="containsText" dxfId="2" priority="1662" operator="between" text="库存为">
      <formula>NOT(ISERROR(SEARCH("库存为",AU315)))</formula>
    </cfRule>
    <cfRule type="cellIs" dxfId="1" priority="2167" operator="greaterThan">
      <formula>120</formula>
    </cfRule>
    <cfRule type="cellIs" dxfId="0" priority="2672" operator="lessThan">
      <formula>20</formula>
    </cfRule>
  </conditionalFormatting>
  <conditionalFormatting sqref="AU316">
    <cfRule type="containsText" dxfId="2" priority="1661" operator="between" text="库存为">
      <formula>NOT(ISERROR(SEARCH("库存为",AU316)))</formula>
    </cfRule>
    <cfRule type="cellIs" dxfId="1" priority="2166" operator="greaterThan">
      <formula>120</formula>
    </cfRule>
    <cfRule type="cellIs" dxfId="0" priority="2671" operator="lessThan">
      <formula>20</formula>
    </cfRule>
  </conditionalFormatting>
  <conditionalFormatting sqref="AU317">
    <cfRule type="containsText" dxfId="2" priority="1660" operator="between" text="库存为">
      <formula>NOT(ISERROR(SEARCH("库存为",AU317)))</formula>
    </cfRule>
    <cfRule type="cellIs" dxfId="1" priority="2165" operator="greaterThan">
      <formula>120</formula>
    </cfRule>
    <cfRule type="cellIs" dxfId="0" priority="2670" operator="lessThan">
      <formula>20</formula>
    </cfRule>
  </conditionalFormatting>
  <conditionalFormatting sqref="AU318">
    <cfRule type="containsText" dxfId="2" priority="1659" operator="between" text="库存为">
      <formula>NOT(ISERROR(SEARCH("库存为",AU318)))</formula>
    </cfRule>
    <cfRule type="cellIs" dxfId="1" priority="2164" operator="greaterThan">
      <formula>120</formula>
    </cfRule>
    <cfRule type="cellIs" dxfId="0" priority="2669" operator="lessThan">
      <formula>20</formula>
    </cfRule>
  </conditionalFormatting>
  <conditionalFormatting sqref="AU319">
    <cfRule type="containsText" dxfId="2" priority="1658" operator="between" text="库存为">
      <formula>NOT(ISERROR(SEARCH("库存为",AU319)))</formula>
    </cfRule>
    <cfRule type="cellIs" dxfId="1" priority="2163" operator="greaterThan">
      <formula>120</formula>
    </cfRule>
    <cfRule type="cellIs" dxfId="0" priority="2668" operator="lessThan">
      <formula>20</formula>
    </cfRule>
  </conditionalFormatting>
  <conditionalFormatting sqref="AU320">
    <cfRule type="containsText" dxfId="2" priority="1657" operator="between" text="库存为">
      <formula>NOT(ISERROR(SEARCH("库存为",AU320)))</formula>
    </cfRule>
    <cfRule type="cellIs" dxfId="1" priority="2162" operator="greaterThan">
      <formula>120</formula>
    </cfRule>
    <cfRule type="cellIs" dxfId="0" priority="2667" operator="lessThan">
      <formula>20</formula>
    </cfRule>
  </conditionalFormatting>
  <conditionalFormatting sqref="AU321">
    <cfRule type="containsText" dxfId="2" priority="1656" operator="between" text="库存为">
      <formula>NOT(ISERROR(SEARCH("库存为",AU321)))</formula>
    </cfRule>
    <cfRule type="cellIs" dxfId="1" priority="2161" operator="greaterThan">
      <formula>120</formula>
    </cfRule>
    <cfRule type="cellIs" dxfId="0" priority="2666" operator="lessThan">
      <formula>20</formula>
    </cfRule>
  </conditionalFormatting>
  <conditionalFormatting sqref="AU322">
    <cfRule type="containsText" dxfId="2" priority="1655" operator="between" text="库存为">
      <formula>NOT(ISERROR(SEARCH("库存为",AU322)))</formula>
    </cfRule>
    <cfRule type="cellIs" dxfId="1" priority="2160" operator="greaterThan">
      <formula>120</formula>
    </cfRule>
    <cfRule type="cellIs" dxfId="0" priority="2665" operator="lessThan">
      <formula>20</formula>
    </cfRule>
  </conditionalFormatting>
  <conditionalFormatting sqref="AU323">
    <cfRule type="containsText" dxfId="2" priority="1654" operator="between" text="库存为">
      <formula>NOT(ISERROR(SEARCH("库存为",AU323)))</formula>
    </cfRule>
    <cfRule type="cellIs" dxfId="1" priority="2159" operator="greaterThan">
      <formula>120</formula>
    </cfRule>
    <cfRule type="cellIs" dxfId="0" priority="2664" operator="lessThan">
      <formula>20</formula>
    </cfRule>
  </conditionalFormatting>
  <conditionalFormatting sqref="AU324">
    <cfRule type="containsText" dxfId="2" priority="1653" operator="between" text="库存为">
      <formula>NOT(ISERROR(SEARCH("库存为",AU324)))</formula>
    </cfRule>
    <cfRule type="cellIs" dxfId="1" priority="2158" operator="greaterThan">
      <formula>120</formula>
    </cfRule>
    <cfRule type="cellIs" dxfId="0" priority="2663" operator="lessThan">
      <formula>20</formula>
    </cfRule>
  </conditionalFormatting>
  <conditionalFormatting sqref="AU325">
    <cfRule type="containsText" dxfId="2" priority="1652" operator="between" text="库存为">
      <formula>NOT(ISERROR(SEARCH("库存为",AU325)))</formula>
    </cfRule>
    <cfRule type="cellIs" dxfId="1" priority="2157" operator="greaterThan">
      <formula>120</formula>
    </cfRule>
    <cfRule type="cellIs" dxfId="0" priority="2662" operator="lessThan">
      <formula>20</formula>
    </cfRule>
  </conditionalFormatting>
  <conditionalFormatting sqref="AU326">
    <cfRule type="containsText" dxfId="2" priority="1651" operator="between" text="库存为">
      <formula>NOT(ISERROR(SEARCH("库存为",AU326)))</formula>
    </cfRule>
    <cfRule type="cellIs" dxfId="1" priority="2156" operator="greaterThan">
      <formula>120</formula>
    </cfRule>
    <cfRule type="cellIs" dxfId="0" priority="2661" operator="lessThan">
      <formula>20</formula>
    </cfRule>
  </conditionalFormatting>
  <conditionalFormatting sqref="AU327">
    <cfRule type="containsText" dxfId="2" priority="1650" operator="between" text="库存为">
      <formula>NOT(ISERROR(SEARCH("库存为",AU327)))</formula>
    </cfRule>
    <cfRule type="cellIs" dxfId="1" priority="2155" operator="greaterThan">
      <formula>120</formula>
    </cfRule>
    <cfRule type="cellIs" dxfId="0" priority="2660" operator="lessThan">
      <formula>20</formula>
    </cfRule>
  </conditionalFormatting>
  <conditionalFormatting sqref="AU328">
    <cfRule type="containsText" dxfId="2" priority="1649" operator="between" text="库存为">
      <formula>NOT(ISERROR(SEARCH("库存为",AU328)))</formula>
    </cfRule>
    <cfRule type="cellIs" dxfId="1" priority="2154" operator="greaterThan">
      <formula>120</formula>
    </cfRule>
    <cfRule type="cellIs" dxfId="0" priority="2659" operator="lessThan">
      <formula>20</formula>
    </cfRule>
  </conditionalFormatting>
  <conditionalFormatting sqref="AU329">
    <cfRule type="containsText" dxfId="2" priority="1648" operator="between" text="库存为">
      <formula>NOT(ISERROR(SEARCH("库存为",AU329)))</formula>
    </cfRule>
    <cfRule type="cellIs" dxfId="1" priority="2153" operator="greaterThan">
      <formula>120</formula>
    </cfRule>
    <cfRule type="cellIs" dxfId="0" priority="2658" operator="lessThan">
      <formula>20</formula>
    </cfRule>
  </conditionalFormatting>
  <conditionalFormatting sqref="AU330">
    <cfRule type="containsText" dxfId="2" priority="1647" operator="between" text="库存为">
      <formula>NOT(ISERROR(SEARCH("库存为",AU330)))</formula>
    </cfRule>
    <cfRule type="cellIs" dxfId="1" priority="2152" operator="greaterThan">
      <formula>120</formula>
    </cfRule>
    <cfRule type="cellIs" dxfId="0" priority="2657" operator="lessThan">
      <formula>20</formula>
    </cfRule>
  </conditionalFormatting>
  <conditionalFormatting sqref="AU331">
    <cfRule type="containsText" dxfId="2" priority="1646" operator="between" text="库存为">
      <formula>NOT(ISERROR(SEARCH("库存为",AU331)))</formula>
    </cfRule>
    <cfRule type="cellIs" dxfId="1" priority="2151" operator="greaterThan">
      <formula>120</formula>
    </cfRule>
    <cfRule type="cellIs" dxfId="0" priority="2656" operator="lessThan">
      <formula>20</formula>
    </cfRule>
  </conditionalFormatting>
  <conditionalFormatting sqref="AU332">
    <cfRule type="containsText" dxfId="2" priority="1645" operator="between" text="库存为">
      <formula>NOT(ISERROR(SEARCH("库存为",AU332)))</formula>
    </cfRule>
    <cfRule type="cellIs" dxfId="1" priority="2150" operator="greaterThan">
      <formula>120</formula>
    </cfRule>
    <cfRule type="cellIs" dxfId="0" priority="2655" operator="lessThan">
      <formula>20</formula>
    </cfRule>
  </conditionalFormatting>
  <conditionalFormatting sqref="AU333">
    <cfRule type="containsText" dxfId="2" priority="1644" operator="between" text="库存为">
      <formula>NOT(ISERROR(SEARCH("库存为",AU333)))</formula>
    </cfRule>
    <cfRule type="cellIs" dxfId="1" priority="2149" operator="greaterThan">
      <formula>120</formula>
    </cfRule>
    <cfRule type="cellIs" dxfId="0" priority="2654" operator="lessThan">
      <formula>20</formula>
    </cfRule>
  </conditionalFormatting>
  <conditionalFormatting sqref="AU334">
    <cfRule type="containsText" dxfId="2" priority="1643" operator="between" text="库存为">
      <formula>NOT(ISERROR(SEARCH("库存为",AU334)))</formula>
    </cfRule>
    <cfRule type="cellIs" dxfId="1" priority="2148" operator="greaterThan">
      <formula>120</formula>
    </cfRule>
    <cfRule type="cellIs" dxfId="0" priority="2653" operator="lessThan">
      <formula>20</formula>
    </cfRule>
  </conditionalFormatting>
  <conditionalFormatting sqref="AU335">
    <cfRule type="containsText" dxfId="2" priority="1642" operator="between" text="库存为">
      <formula>NOT(ISERROR(SEARCH("库存为",AU335)))</formula>
    </cfRule>
    <cfRule type="cellIs" dxfId="1" priority="2147" operator="greaterThan">
      <formula>120</formula>
    </cfRule>
    <cfRule type="cellIs" dxfId="0" priority="2652" operator="lessThan">
      <formula>20</formula>
    </cfRule>
  </conditionalFormatting>
  <conditionalFormatting sqref="AU336">
    <cfRule type="containsText" dxfId="2" priority="1641" operator="between" text="库存为">
      <formula>NOT(ISERROR(SEARCH("库存为",AU336)))</formula>
    </cfRule>
    <cfRule type="cellIs" dxfId="1" priority="2146" operator="greaterThan">
      <formula>120</formula>
    </cfRule>
    <cfRule type="cellIs" dxfId="0" priority="2651" operator="lessThan">
      <formula>20</formula>
    </cfRule>
  </conditionalFormatting>
  <conditionalFormatting sqref="AU337">
    <cfRule type="containsText" dxfId="2" priority="1640" operator="between" text="库存为">
      <formula>NOT(ISERROR(SEARCH("库存为",AU337)))</formula>
    </cfRule>
    <cfRule type="cellIs" dxfId="1" priority="2145" operator="greaterThan">
      <formula>120</formula>
    </cfRule>
    <cfRule type="cellIs" dxfId="0" priority="2650" operator="lessThan">
      <formula>20</formula>
    </cfRule>
  </conditionalFormatting>
  <conditionalFormatting sqref="AU338">
    <cfRule type="containsText" dxfId="2" priority="1639" operator="between" text="库存为">
      <formula>NOT(ISERROR(SEARCH("库存为",AU338)))</formula>
    </cfRule>
    <cfRule type="cellIs" dxfId="1" priority="2144" operator="greaterThan">
      <formula>120</formula>
    </cfRule>
    <cfRule type="cellIs" dxfId="0" priority="2649" operator="lessThan">
      <formula>20</formula>
    </cfRule>
  </conditionalFormatting>
  <conditionalFormatting sqref="AU339">
    <cfRule type="containsText" dxfId="2" priority="1638" operator="between" text="库存为">
      <formula>NOT(ISERROR(SEARCH("库存为",AU339)))</formula>
    </cfRule>
    <cfRule type="cellIs" dxfId="1" priority="2143" operator="greaterThan">
      <formula>120</formula>
    </cfRule>
    <cfRule type="cellIs" dxfId="0" priority="2648" operator="lessThan">
      <formula>20</formula>
    </cfRule>
  </conditionalFormatting>
  <conditionalFormatting sqref="AU340">
    <cfRule type="containsText" dxfId="2" priority="1637" operator="between" text="库存为">
      <formula>NOT(ISERROR(SEARCH("库存为",AU340)))</formula>
    </cfRule>
    <cfRule type="cellIs" dxfId="1" priority="2142" operator="greaterThan">
      <formula>120</formula>
    </cfRule>
    <cfRule type="cellIs" dxfId="0" priority="2647" operator="lessThan">
      <formula>20</formula>
    </cfRule>
  </conditionalFormatting>
  <conditionalFormatting sqref="AU341">
    <cfRule type="containsText" dxfId="2" priority="1636" operator="between" text="库存为">
      <formula>NOT(ISERROR(SEARCH("库存为",AU341)))</formula>
    </cfRule>
    <cfRule type="cellIs" dxfId="1" priority="2141" operator="greaterThan">
      <formula>120</formula>
    </cfRule>
    <cfRule type="cellIs" dxfId="0" priority="2646" operator="lessThan">
      <formula>20</formula>
    </cfRule>
  </conditionalFormatting>
  <conditionalFormatting sqref="AU342">
    <cfRule type="containsText" dxfId="2" priority="1635" operator="between" text="库存为">
      <formula>NOT(ISERROR(SEARCH("库存为",AU342)))</formula>
    </cfRule>
    <cfRule type="cellIs" dxfId="1" priority="2140" operator="greaterThan">
      <formula>120</formula>
    </cfRule>
    <cfRule type="cellIs" dxfId="0" priority="2645" operator="lessThan">
      <formula>20</formula>
    </cfRule>
  </conditionalFormatting>
  <conditionalFormatting sqref="AU343">
    <cfRule type="containsText" dxfId="2" priority="1634" operator="between" text="库存为">
      <formula>NOT(ISERROR(SEARCH("库存为",AU343)))</formula>
    </cfRule>
    <cfRule type="cellIs" dxfId="1" priority="2139" operator="greaterThan">
      <formula>120</formula>
    </cfRule>
    <cfRule type="cellIs" dxfId="0" priority="2644" operator="lessThan">
      <formula>20</formula>
    </cfRule>
  </conditionalFormatting>
  <conditionalFormatting sqref="AU344">
    <cfRule type="containsText" dxfId="2" priority="1633" operator="between" text="库存为">
      <formula>NOT(ISERROR(SEARCH("库存为",AU344)))</formula>
    </cfRule>
    <cfRule type="cellIs" dxfId="1" priority="2138" operator="greaterThan">
      <formula>120</formula>
    </cfRule>
    <cfRule type="cellIs" dxfId="0" priority="2643" operator="lessThan">
      <formula>20</formula>
    </cfRule>
  </conditionalFormatting>
  <conditionalFormatting sqref="AU345">
    <cfRule type="containsText" dxfId="2" priority="1632" operator="between" text="库存为">
      <formula>NOT(ISERROR(SEARCH("库存为",AU345)))</formula>
    </cfRule>
    <cfRule type="cellIs" dxfId="1" priority="2137" operator="greaterThan">
      <formula>120</formula>
    </cfRule>
    <cfRule type="cellIs" dxfId="0" priority="2642" operator="lessThan">
      <formula>20</formula>
    </cfRule>
  </conditionalFormatting>
  <conditionalFormatting sqref="AU346">
    <cfRule type="containsText" dxfId="2" priority="1631" operator="between" text="库存为">
      <formula>NOT(ISERROR(SEARCH("库存为",AU346)))</formula>
    </cfRule>
    <cfRule type="cellIs" dxfId="1" priority="2136" operator="greaterThan">
      <formula>120</formula>
    </cfRule>
    <cfRule type="cellIs" dxfId="0" priority="2641" operator="lessThan">
      <formula>20</formula>
    </cfRule>
  </conditionalFormatting>
  <conditionalFormatting sqref="AU347">
    <cfRule type="containsText" dxfId="2" priority="1630" operator="between" text="库存为">
      <formula>NOT(ISERROR(SEARCH("库存为",AU347)))</formula>
    </cfRule>
    <cfRule type="cellIs" dxfId="1" priority="2135" operator="greaterThan">
      <formula>120</formula>
    </cfRule>
    <cfRule type="cellIs" dxfId="0" priority="2640" operator="lessThan">
      <formula>20</formula>
    </cfRule>
  </conditionalFormatting>
  <conditionalFormatting sqref="AU348">
    <cfRule type="containsText" dxfId="2" priority="1629" operator="between" text="库存为">
      <formula>NOT(ISERROR(SEARCH("库存为",AU348)))</formula>
    </cfRule>
    <cfRule type="cellIs" dxfId="1" priority="2134" operator="greaterThan">
      <formula>120</formula>
    </cfRule>
    <cfRule type="cellIs" dxfId="0" priority="2639" operator="lessThan">
      <formula>20</formula>
    </cfRule>
  </conditionalFormatting>
  <conditionalFormatting sqref="AU349">
    <cfRule type="containsText" dxfId="2" priority="1628" operator="between" text="库存为">
      <formula>NOT(ISERROR(SEARCH("库存为",AU349)))</formula>
    </cfRule>
    <cfRule type="cellIs" dxfId="1" priority="2133" operator="greaterThan">
      <formula>120</formula>
    </cfRule>
    <cfRule type="cellIs" dxfId="0" priority="2638" operator="lessThan">
      <formula>20</formula>
    </cfRule>
  </conditionalFormatting>
  <conditionalFormatting sqref="AU350">
    <cfRule type="containsText" dxfId="2" priority="1627" operator="between" text="库存为">
      <formula>NOT(ISERROR(SEARCH("库存为",AU350)))</formula>
    </cfRule>
    <cfRule type="cellIs" dxfId="1" priority="2132" operator="greaterThan">
      <formula>120</formula>
    </cfRule>
    <cfRule type="cellIs" dxfId="0" priority="2637" operator="lessThan">
      <formula>20</formula>
    </cfRule>
  </conditionalFormatting>
  <conditionalFormatting sqref="AU351">
    <cfRule type="containsText" dxfId="2" priority="1626" operator="between" text="库存为">
      <formula>NOT(ISERROR(SEARCH("库存为",AU351)))</formula>
    </cfRule>
    <cfRule type="cellIs" dxfId="1" priority="2131" operator="greaterThan">
      <formula>120</formula>
    </cfRule>
    <cfRule type="cellIs" dxfId="0" priority="2636" operator="lessThan">
      <formula>20</formula>
    </cfRule>
  </conditionalFormatting>
  <conditionalFormatting sqref="AU352">
    <cfRule type="containsText" dxfId="2" priority="1625" operator="between" text="库存为">
      <formula>NOT(ISERROR(SEARCH("库存为",AU352)))</formula>
    </cfRule>
    <cfRule type="cellIs" dxfId="1" priority="2130" operator="greaterThan">
      <formula>120</formula>
    </cfRule>
    <cfRule type="cellIs" dxfId="0" priority="2635" operator="lessThan">
      <formula>20</formula>
    </cfRule>
  </conditionalFormatting>
  <conditionalFormatting sqref="AU353">
    <cfRule type="containsText" dxfId="2" priority="1624" operator="between" text="库存为">
      <formula>NOT(ISERROR(SEARCH("库存为",AU353)))</formula>
    </cfRule>
    <cfRule type="cellIs" dxfId="1" priority="2129" operator="greaterThan">
      <formula>120</formula>
    </cfRule>
    <cfRule type="cellIs" dxfId="0" priority="2634" operator="lessThan">
      <formula>20</formula>
    </cfRule>
  </conditionalFormatting>
  <conditionalFormatting sqref="AU354">
    <cfRule type="containsText" dxfId="2" priority="1623" operator="between" text="库存为">
      <formula>NOT(ISERROR(SEARCH("库存为",AU354)))</formula>
    </cfRule>
    <cfRule type="cellIs" dxfId="1" priority="2128" operator="greaterThan">
      <formula>120</formula>
    </cfRule>
    <cfRule type="cellIs" dxfId="0" priority="2633" operator="lessThan">
      <formula>20</formula>
    </cfRule>
  </conditionalFormatting>
  <conditionalFormatting sqref="AU355">
    <cfRule type="containsText" dxfId="2" priority="1622" operator="between" text="库存为">
      <formula>NOT(ISERROR(SEARCH("库存为",AU355)))</formula>
    </cfRule>
    <cfRule type="cellIs" dxfId="1" priority="2127" operator="greaterThan">
      <formula>120</formula>
    </cfRule>
    <cfRule type="cellIs" dxfId="0" priority="2632" operator="lessThan">
      <formula>20</formula>
    </cfRule>
  </conditionalFormatting>
  <conditionalFormatting sqref="AU356">
    <cfRule type="containsText" dxfId="2" priority="1621" operator="between" text="库存为">
      <formula>NOT(ISERROR(SEARCH("库存为",AU356)))</formula>
    </cfRule>
    <cfRule type="cellIs" dxfId="1" priority="2126" operator="greaterThan">
      <formula>120</formula>
    </cfRule>
    <cfRule type="cellIs" dxfId="0" priority="2631" operator="lessThan">
      <formula>20</formula>
    </cfRule>
  </conditionalFormatting>
  <conditionalFormatting sqref="AU357">
    <cfRule type="containsText" dxfId="2" priority="1620" operator="between" text="库存为">
      <formula>NOT(ISERROR(SEARCH("库存为",AU357)))</formula>
    </cfRule>
    <cfRule type="cellIs" dxfId="1" priority="2125" operator="greaterThan">
      <formula>120</formula>
    </cfRule>
    <cfRule type="cellIs" dxfId="0" priority="2630" operator="lessThan">
      <formula>20</formula>
    </cfRule>
  </conditionalFormatting>
  <conditionalFormatting sqref="AU358">
    <cfRule type="containsText" dxfId="2" priority="1619" operator="between" text="库存为">
      <formula>NOT(ISERROR(SEARCH("库存为",AU358)))</formula>
    </cfRule>
    <cfRule type="cellIs" dxfId="1" priority="2124" operator="greaterThan">
      <formula>120</formula>
    </cfRule>
    <cfRule type="cellIs" dxfId="0" priority="2629" operator="lessThan">
      <formula>20</formula>
    </cfRule>
  </conditionalFormatting>
  <conditionalFormatting sqref="AU359">
    <cfRule type="containsText" dxfId="2" priority="1618" operator="between" text="库存为">
      <formula>NOT(ISERROR(SEARCH("库存为",AU359)))</formula>
    </cfRule>
    <cfRule type="cellIs" dxfId="1" priority="2123" operator="greaterThan">
      <formula>120</formula>
    </cfRule>
    <cfRule type="cellIs" dxfId="0" priority="2628" operator="lessThan">
      <formula>20</formula>
    </cfRule>
  </conditionalFormatting>
  <conditionalFormatting sqref="AU360">
    <cfRule type="containsText" dxfId="2" priority="1617" operator="between" text="库存为">
      <formula>NOT(ISERROR(SEARCH("库存为",AU360)))</formula>
    </cfRule>
    <cfRule type="cellIs" dxfId="1" priority="2122" operator="greaterThan">
      <formula>120</formula>
    </cfRule>
    <cfRule type="cellIs" dxfId="0" priority="2627" operator="lessThan">
      <formula>20</formula>
    </cfRule>
  </conditionalFormatting>
  <conditionalFormatting sqref="AU361">
    <cfRule type="containsText" dxfId="2" priority="1616" operator="between" text="库存为">
      <formula>NOT(ISERROR(SEARCH("库存为",AU361)))</formula>
    </cfRule>
    <cfRule type="cellIs" dxfId="1" priority="2121" operator="greaterThan">
      <formula>120</formula>
    </cfRule>
    <cfRule type="cellIs" dxfId="0" priority="2626" operator="lessThan">
      <formula>20</formula>
    </cfRule>
  </conditionalFormatting>
  <conditionalFormatting sqref="AU362">
    <cfRule type="containsText" dxfId="2" priority="1615" operator="between" text="库存为">
      <formula>NOT(ISERROR(SEARCH("库存为",AU362)))</formula>
    </cfRule>
    <cfRule type="cellIs" dxfId="1" priority="2120" operator="greaterThan">
      <formula>120</formula>
    </cfRule>
    <cfRule type="cellIs" dxfId="0" priority="2625" operator="lessThan">
      <formula>20</formula>
    </cfRule>
  </conditionalFormatting>
  <conditionalFormatting sqref="AU363">
    <cfRule type="containsText" dxfId="2" priority="1614" operator="between" text="库存为">
      <formula>NOT(ISERROR(SEARCH("库存为",AU363)))</formula>
    </cfRule>
    <cfRule type="cellIs" dxfId="1" priority="2119" operator="greaterThan">
      <formula>120</formula>
    </cfRule>
    <cfRule type="cellIs" dxfId="0" priority="2624" operator="lessThan">
      <formula>20</formula>
    </cfRule>
  </conditionalFormatting>
  <conditionalFormatting sqref="AU364">
    <cfRule type="containsText" dxfId="2" priority="1613" operator="between" text="库存为">
      <formula>NOT(ISERROR(SEARCH("库存为",AU364)))</formula>
    </cfRule>
    <cfRule type="cellIs" dxfId="1" priority="2118" operator="greaterThan">
      <formula>120</formula>
    </cfRule>
    <cfRule type="cellIs" dxfId="0" priority="2623" operator="lessThan">
      <formula>20</formula>
    </cfRule>
  </conditionalFormatting>
  <conditionalFormatting sqref="AU365">
    <cfRule type="containsText" dxfId="2" priority="1612" operator="between" text="库存为">
      <formula>NOT(ISERROR(SEARCH("库存为",AU365)))</formula>
    </cfRule>
    <cfRule type="cellIs" dxfId="1" priority="2117" operator="greaterThan">
      <formula>120</formula>
    </cfRule>
    <cfRule type="cellIs" dxfId="0" priority="2622" operator="lessThan">
      <formula>20</formula>
    </cfRule>
  </conditionalFormatting>
  <conditionalFormatting sqref="AU366">
    <cfRule type="containsText" dxfId="2" priority="1611" operator="between" text="库存为">
      <formula>NOT(ISERROR(SEARCH("库存为",AU366)))</formula>
    </cfRule>
    <cfRule type="cellIs" dxfId="1" priority="2116" operator="greaterThan">
      <formula>120</formula>
    </cfRule>
    <cfRule type="cellIs" dxfId="0" priority="2621" operator="lessThan">
      <formula>20</formula>
    </cfRule>
  </conditionalFormatting>
  <conditionalFormatting sqref="AU367">
    <cfRule type="containsText" dxfId="2" priority="1610" operator="between" text="库存为">
      <formula>NOT(ISERROR(SEARCH("库存为",AU367)))</formula>
    </cfRule>
    <cfRule type="cellIs" dxfId="1" priority="2115" operator="greaterThan">
      <formula>120</formula>
    </cfRule>
    <cfRule type="cellIs" dxfId="0" priority="2620" operator="lessThan">
      <formula>20</formula>
    </cfRule>
  </conditionalFormatting>
  <conditionalFormatting sqref="AU368">
    <cfRule type="containsText" dxfId="2" priority="1609" operator="between" text="库存为">
      <formula>NOT(ISERROR(SEARCH("库存为",AU368)))</formula>
    </cfRule>
    <cfRule type="cellIs" dxfId="1" priority="2114" operator="greaterThan">
      <formula>120</formula>
    </cfRule>
    <cfRule type="cellIs" dxfId="0" priority="2619" operator="lessThan">
      <formula>20</formula>
    </cfRule>
  </conditionalFormatting>
  <conditionalFormatting sqref="AU369">
    <cfRule type="containsText" dxfId="2" priority="1608" operator="between" text="库存为">
      <formula>NOT(ISERROR(SEARCH("库存为",AU369)))</formula>
    </cfRule>
    <cfRule type="cellIs" dxfId="1" priority="2113" operator="greaterThan">
      <formula>120</formula>
    </cfRule>
    <cfRule type="cellIs" dxfId="0" priority="2618" operator="lessThan">
      <formula>20</formula>
    </cfRule>
  </conditionalFormatting>
  <conditionalFormatting sqref="AU370">
    <cfRule type="containsText" dxfId="2" priority="1607" operator="between" text="库存为">
      <formula>NOT(ISERROR(SEARCH("库存为",AU370)))</formula>
    </cfRule>
    <cfRule type="cellIs" dxfId="1" priority="2112" operator="greaterThan">
      <formula>120</formula>
    </cfRule>
    <cfRule type="cellIs" dxfId="0" priority="2617" operator="lessThan">
      <formula>20</formula>
    </cfRule>
  </conditionalFormatting>
  <conditionalFormatting sqref="AU371">
    <cfRule type="containsText" dxfId="2" priority="1606" operator="between" text="库存为">
      <formula>NOT(ISERROR(SEARCH("库存为",AU371)))</formula>
    </cfRule>
    <cfRule type="cellIs" dxfId="1" priority="2111" operator="greaterThan">
      <formula>120</formula>
    </cfRule>
    <cfRule type="cellIs" dxfId="0" priority="2616" operator="lessThan">
      <formula>20</formula>
    </cfRule>
  </conditionalFormatting>
  <conditionalFormatting sqref="AU372">
    <cfRule type="containsText" dxfId="2" priority="1605" operator="between" text="库存为">
      <formula>NOT(ISERROR(SEARCH("库存为",AU372)))</formula>
    </cfRule>
    <cfRule type="cellIs" dxfId="1" priority="2110" operator="greaterThan">
      <formula>120</formula>
    </cfRule>
    <cfRule type="cellIs" dxfId="0" priority="2615" operator="lessThan">
      <formula>20</formula>
    </cfRule>
  </conditionalFormatting>
  <conditionalFormatting sqref="AU373">
    <cfRule type="containsText" dxfId="2" priority="1604" operator="between" text="库存为">
      <formula>NOT(ISERROR(SEARCH("库存为",AU373)))</formula>
    </cfRule>
    <cfRule type="cellIs" dxfId="1" priority="2109" operator="greaterThan">
      <formula>120</formula>
    </cfRule>
    <cfRule type="cellIs" dxfId="0" priority="2614" operator="lessThan">
      <formula>20</formula>
    </cfRule>
  </conditionalFormatting>
  <conditionalFormatting sqref="AU374">
    <cfRule type="containsText" dxfId="2" priority="1603" operator="between" text="库存为">
      <formula>NOT(ISERROR(SEARCH("库存为",AU374)))</formula>
    </cfRule>
    <cfRule type="cellIs" dxfId="1" priority="2108" operator="greaterThan">
      <formula>120</formula>
    </cfRule>
    <cfRule type="cellIs" dxfId="0" priority="2613" operator="lessThan">
      <formula>20</formula>
    </cfRule>
  </conditionalFormatting>
  <conditionalFormatting sqref="AU375">
    <cfRule type="containsText" dxfId="2" priority="1602" operator="between" text="库存为">
      <formula>NOT(ISERROR(SEARCH("库存为",AU375)))</formula>
    </cfRule>
    <cfRule type="cellIs" dxfId="1" priority="2107" operator="greaterThan">
      <formula>120</formula>
    </cfRule>
    <cfRule type="cellIs" dxfId="0" priority="2612" operator="lessThan">
      <formula>20</formula>
    </cfRule>
  </conditionalFormatting>
  <conditionalFormatting sqref="AU376">
    <cfRule type="containsText" dxfId="2" priority="1601" operator="between" text="库存为">
      <formula>NOT(ISERROR(SEARCH("库存为",AU376)))</formula>
    </cfRule>
    <cfRule type="cellIs" dxfId="1" priority="2106" operator="greaterThan">
      <formula>120</formula>
    </cfRule>
    <cfRule type="cellIs" dxfId="0" priority="2611" operator="lessThan">
      <formula>20</formula>
    </cfRule>
  </conditionalFormatting>
  <conditionalFormatting sqref="AU377">
    <cfRule type="containsText" dxfId="2" priority="1600" operator="between" text="库存为">
      <formula>NOT(ISERROR(SEARCH("库存为",AU377)))</formula>
    </cfRule>
    <cfRule type="cellIs" dxfId="1" priority="2105" operator="greaterThan">
      <formula>120</formula>
    </cfRule>
    <cfRule type="cellIs" dxfId="0" priority="2610" operator="lessThan">
      <formula>20</formula>
    </cfRule>
  </conditionalFormatting>
  <conditionalFormatting sqref="AU378">
    <cfRule type="containsText" dxfId="2" priority="1599" operator="between" text="库存为">
      <formula>NOT(ISERROR(SEARCH("库存为",AU378)))</formula>
    </cfRule>
    <cfRule type="cellIs" dxfId="1" priority="2104" operator="greaterThan">
      <formula>120</formula>
    </cfRule>
    <cfRule type="cellIs" dxfId="0" priority="2609" operator="lessThan">
      <formula>20</formula>
    </cfRule>
  </conditionalFormatting>
  <conditionalFormatting sqref="AU379">
    <cfRule type="containsText" dxfId="2" priority="1598" operator="between" text="库存为">
      <formula>NOT(ISERROR(SEARCH("库存为",AU379)))</formula>
    </cfRule>
    <cfRule type="cellIs" dxfId="1" priority="2103" operator="greaterThan">
      <formula>120</formula>
    </cfRule>
    <cfRule type="cellIs" dxfId="0" priority="2608" operator="lessThan">
      <formula>20</formula>
    </cfRule>
  </conditionalFormatting>
  <conditionalFormatting sqref="AU380">
    <cfRule type="containsText" dxfId="2" priority="1597" operator="between" text="库存为">
      <formula>NOT(ISERROR(SEARCH("库存为",AU380)))</formula>
    </cfRule>
    <cfRule type="cellIs" dxfId="1" priority="2102" operator="greaterThan">
      <formula>120</formula>
    </cfRule>
    <cfRule type="cellIs" dxfId="0" priority="2607" operator="lessThan">
      <formula>20</formula>
    </cfRule>
  </conditionalFormatting>
  <conditionalFormatting sqref="AU381">
    <cfRule type="containsText" dxfId="2" priority="1596" operator="between" text="库存为">
      <formula>NOT(ISERROR(SEARCH("库存为",AU381)))</formula>
    </cfRule>
    <cfRule type="cellIs" dxfId="1" priority="2101" operator="greaterThan">
      <formula>120</formula>
    </cfRule>
    <cfRule type="cellIs" dxfId="0" priority="2606" operator="lessThan">
      <formula>20</formula>
    </cfRule>
  </conditionalFormatting>
  <conditionalFormatting sqref="AU382">
    <cfRule type="containsText" dxfId="2" priority="1595" operator="between" text="库存为">
      <formula>NOT(ISERROR(SEARCH("库存为",AU382)))</formula>
    </cfRule>
    <cfRule type="cellIs" dxfId="1" priority="2100" operator="greaterThan">
      <formula>120</formula>
    </cfRule>
    <cfRule type="cellIs" dxfId="0" priority="2605" operator="lessThan">
      <formula>20</formula>
    </cfRule>
  </conditionalFormatting>
  <conditionalFormatting sqref="AU383">
    <cfRule type="containsText" dxfId="2" priority="1594" operator="between" text="库存为">
      <formula>NOT(ISERROR(SEARCH("库存为",AU383)))</formula>
    </cfRule>
    <cfRule type="cellIs" dxfId="1" priority="2099" operator="greaterThan">
      <formula>120</formula>
    </cfRule>
    <cfRule type="cellIs" dxfId="0" priority="2604" operator="lessThan">
      <formula>20</formula>
    </cfRule>
  </conditionalFormatting>
  <conditionalFormatting sqref="AU384">
    <cfRule type="containsText" dxfId="2" priority="1593" operator="between" text="库存为">
      <formula>NOT(ISERROR(SEARCH("库存为",AU384)))</formula>
    </cfRule>
    <cfRule type="cellIs" dxfId="1" priority="2098" operator="greaterThan">
      <formula>120</formula>
    </cfRule>
    <cfRule type="cellIs" dxfId="0" priority="2603" operator="lessThan">
      <formula>20</formula>
    </cfRule>
  </conditionalFormatting>
  <conditionalFormatting sqref="AU385">
    <cfRule type="containsText" dxfId="2" priority="1592" operator="between" text="库存为">
      <formula>NOT(ISERROR(SEARCH("库存为",AU385)))</formula>
    </cfRule>
    <cfRule type="cellIs" dxfId="1" priority="2097" operator="greaterThan">
      <formula>120</formula>
    </cfRule>
    <cfRule type="cellIs" dxfId="0" priority="2602" operator="lessThan">
      <formula>20</formula>
    </cfRule>
  </conditionalFormatting>
  <conditionalFormatting sqref="AU386">
    <cfRule type="containsText" dxfId="2" priority="1591" operator="between" text="库存为">
      <formula>NOT(ISERROR(SEARCH("库存为",AU386)))</formula>
    </cfRule>
    <cfRule type="cellIs" dxfId="1" priority="2096" operator="greaterThan">
      <formula>120</formula>
    </cfRule>
    <cfRule type="cellIs" dxfId="0" priority="2601" operator="lessThan">
      <formula>20</formula>
    </cfRule>
  </conditionalFormatting>
  <conditionalFormatting sqref="AU387">
    <cfRule type="containsText" dxfId="2" priority="1590" operator="between" text="库存为">
      <formula>NOT(ISERROR(SEARCH("库存为",AU387)))</formula>
    </cfRule>
    <cfRule type="cellIs" dxfId="1" priority="2095" operator="greaterThan">
      <formula>120</formula>
    </cfRule>
    <cfRule type="cellIs" dxfId="0" priority="2600" operator="lessThan">
      <formula>20</formula>
    </cfRule>
  </conditionalFormatting>
  <conditionalFormatting sqref="AU388">
    <cfRule type="containsText" dxfId="2" priority="1589" operator="between" text="库存为">
      <formula>NOT(ISERROR(SEARCH("库存为",AU388)))</formula>
    </cfRule>
    <cfRule type="cellIs" dxfId="1" priority="2094" operator="greaterThan">
      <formula>120</formula>
    </cfRule>
    <cfRule type="cellIs" dxfId="0" priority="2599" operator="lessThan">
      <formula>20</formula>
    </cfRule>
  </conditionalFormatting>
  <conditionalFormatting sqref="AU389">
    <cfRule type="containsText" dxfId="2" priority="1588" operator="between" text="库存为">
      <formula>NOT(ISERROR(SEARCH("库存为",AU389)))</formula>
    </cfRule>
    <cfRule type="cellIs" dxfId="1" priority="2093" operator="greaterThan">
      <formula>120</formula>
    </cfRule>
    <cfRule type="cellIs" dxfId="0" priority="2598" operator="lessThan">
      <formula>20</formula>
    </cfRule>
  </conditionalFormatting>
  <conditionalFormatting sqref="AU390">
    <cfRule type="containsText" dxfId="2" priority="1587" operator="between" text="库存为">
      <formula>NOT(ISERROR(SEARCH("库存为",AU390)))</formula>
    </cfRule>
    <cfRule type="cellIs" dxfId="1" priority="2092" operator="greaterThan">
      <formula>120</formula>
    </cfRule>
    <cfRule type="cellIs" dxfId="0" priority="2597" operator="lessThan">
      <formula>20</formula>
    </cfRule>
  </conditionalFormatting>
  <conditionalFormatting sqref="AU391">
    <cfRule type="containsText" dxfId="2" priority="1586" operator="between" text="库存为">
      <formula>NOT(ISERROR(SEARCH("库存为",AU391)))</formula>
    </cfRule>
    <cfRule type="cellIs" dxfId="1" priority="2091" operator="greaterThan">
      <formula>120</formula>
    </cfRule>
    <cfRule type="cellIs" dxfId="0" priority="2596" operator="lessThan">
      <formula>20</formula>
    </cfRule>
  </conditionalFormatting>
  <conditionalFormatting sqref="AU392">
    <cfRule type="containsText" dxfId="2" priority="1585" operator="between" text="库存为">
      <formula>NOT(ISERROR(SEARCH("库存为",AU392)))</formula>
    </cfRule>
    <cfRule type="cellIs" dxfId="1" priority="2090" operator="greaterThan">
      <formula>120</formula>
    </cfRule>
    <cfRule type="cellIs" dxfId="0" priority="2595" operator="lessThan">
      <formula>20</formula>
    </cfRule>
  </conditionalFormatting>
  <conditionalFormatting sqref="AU393">
    <cfRule type="containsText" dxfId="2" priority="1584" operator="between" text="库存为">
      <formula>NOT(ISERROR(SEARCH("库存为",AU393)))</formula>
    </cfRule>
    <cfRule type="cellIs" dxfId="1" priority="2089" operator="greaterThan">
      <formula>120</formula>
    </cfRule>
    <cfRule type="cellIs" dxfId="0" priority="2594" operator="lessThan">
      <formula>20</formula>
    </cfRule>
  </conditionalFormatting>
  <conditionalFormatting sqref="AU394">
    <cfRule type="containsText" dxfId="2" priority="1583" operator="between" text="库存为">
      <formula>NOT(ISERROR(SEARCH("库存为",AU394)))</formula>
    </cfRule>
    <cfRule type="cellIs" dxfId="1" priority="2088" operator="greaterThan">
      <formula>120</formula>
    </cfRule>
    <cfRule type="cellIs" dxfId="0" priority="2593" operator="lessThan">
      <formula>20</formula>
    </cfRule>
  </conditionalFormatting>
  <conditionalFormatting sqref="AU395">
    <cfRule type="containsText" dxfId="2" priority="1582" operator="between" text="库存为">
      <formula>NOT(ISERROR(SEARCH("库存为",AU395)))</formula>
    </cfRule>
    <cfRule type="cellIs" dxfId="1" priority="2087" operator="greaterThan">
      <formula>120</formula>
    </cfRule>
    <cfRule type="cellIs" dxfId="0" priority="2592" operator="lessThan">
      <formula>20</formula>
    </cfRule>
  </conditionalFormatting>
  <conditionalFormatting sqref="AU396">
    <cfRule type="containsText" dxfId="2" priority="1581" operator="between" text="库存为">
      <formula>NOT(ISERROR(SEARCH("库存为",AU396)))</formula>
    </cfRule>
    <cfRule type="cellIs" dxfId="1" priority="2086" operator="greaterThan">
      <formula>120</formula>
    </cfRule>
    <cfRule type="cellIs" dxfId="0" priority="2591" operator="lessThan">
      <formula>20</formula>
    </cfRule>
  </conditionalFormatting>
  <conditionalFormatting sqref="AU397">
    <cfRule type="containsText" dxfId="2" priority="1580" operator="between" text="库存为">
      <formula>NOT(ISERROR(SEARCH("库存为",AU397)))</formula>
    </cfRule>
    <cfRule type="cellIs" dxfId="1" priority="2085" operator="greaterThan">
      <formula>120</formula>
    </cfRule>
    <cfRule type="cellIs" dxfId="0" priority="2590" operator="lessThan">
      <formula>20</formula>
    </cfRule>
  </conditionalFormatting>
  <conditionalFormatting sqref="AU398">
    <cfRule type="containsText" dxfId="2" priority="1579" operator="between" text="库存为">
      <formula>NOT(ISERROR(SEARCH("库存为",AU398)))</formula>
    </cfRule>
    <cfRule type="cellIs" dxfId="1" priority="2084" operator="greaterThan">
      <formula>120</formula>
    </cfRule>
    <cfRule type="cellIs" dxfId="0" priority="2589" operator="lessThan">
      <formula>20</formula>
    </cfRule>
  </conditionalFormatting>
  <conditionalFormatting sqref="AU399">
    <cfRule type="containsText" dxfId="2" priority="1578" operator="between" text="库存为">
      <formula>NOT(ISERROR(SEARCH("库存为",AU399)))</formula>
    </cfRule>
    <cfRule type="cellIs" dxfId="1" priority="2083" operator="greaterThan">
      <formula>120</formula>
    </cfRule>
    <cfRule type="cellIs" dxfId="0" priority="2588" operator="lessThan">
      <formula>20</formula>
    </cfRule>
  </conditionalFormatting>
  <conditionalFormatting sqref="AU400">
    <cfRule type="containsText" dxfId="2" priority="1577" operator="between" text="库存为">
      <formula>NOT(ISERROR(SEARCH("库存为",AU400)))</formula>
    </cfRule>
    <cfRule type="cellIs" dxfId="1" priority="2082" operator="greaterThan">
      <formula>120</formula>
    </cfRule>
    <cfRule type="cellIs" dxfId="0" priority="2587" operator="lessThan">
      <formula>20</formula>
    </cfRule>
  </conditionalFormatting>
  <conditionalFormatting sqref="AU401">
    <cfRule type="containsText" dxfId="2" priority="1576" operator="between" text="库存为">
      <formula>NOT(ISERROR(SEARCH("库存为",AU401)))</formula>
    </cfRule>
    <cfRule type="cellIs" dxfId="1" priority="2081" operator="greaterThan">
      <formula>120</formula>
    </cfRule>
    <cfRule type="cellIs" dxfId="0" priority="2586" operator="lessThan">
      <formula>20</formula>
    </cfRule>
  </conditionalFormatting>
  <conditionalFormatting sqref="AU402">
    <cfRule type="containsText" dxfId="2" priority="1575" operator="between" text="库存为">
      <formula>NOT(ISERROR(SEARCH("库存为",AU402)))</formula>
    </cfRule>
    <cfRule type="cellIs" dxfId="1" priority="2080" operator="greaterThan">
      <formula>120</formula>
    </cfRule>
    <cfRule type="cellIs" dxfId="0" priority="2585" operator="lessThan">
      <formula>20</formula>
    </cfRule>
  </conditionalFormatting>
  <conditionalFormatting sqref="AU403">
    <cfRule type="containsText" dxfId="2" priority="1574" operator="between" text="库存为">
      <formula>NOT(ISERROR(SEARCH("库存为",AU403)))</formula>
    </cfRule>
    <cfRule type="cellIs" dxfId="1" priority="2079" operator="greaterThan">
      <formula>120</formula>
    </cfRule>
    <cfRule type="cellIs" dxfId="0" priority="2584" operator="lessThan">
      <formula>20</formula>
    </cfRule>
  </conditionalFormatting>
  <conditionalFormatting sqref="AU404">
    <cfRule type="containsText" dxfId="2" priority="1573" operator="between" text="库存为">
      <formula>NOT(ISERROR(SEARCH("库存为",AU404)))</formula>
    </cfRule>
    <cfRule type="cellIs" dxfId="1" priority="2078" operator="greaterThan">
      <formula>120</formula>
    </cfRule>
    <cfRule type="cellIs" dxfId="0" priority="2583" operator="lessThan">
      <formula>20</formula>
    </cfRule>
  </conditionalFormatting>
  <conditionalFormatting sqref="AU405">
    <cfRule type="containsText" dxfId="2" priority="1572" operator="between" text="库存为">
      <formula>NOT(ISERROR(SEARCH("库存为",AU405)))</formula>
    </cfRule>
    <cfRule type="cellIs" dxfId="1" priority="2077" operator="greaterThan">
      <formula>120</formula>
    </cfRule>
    <cfRule type="cellIs" dxfId="0" priority="2582" operator="lessThan">
      <formula>20</formula>
    </cfRule>
  </conditionalFormatting>
  <conditionalFormatting sqref="AU406">
    <cfRule type="containsText" dxfId="2" priority="1571" operator="between" text="库存为">
      <formula>NOT(ISERROR(SEARCH("库存为",AU406)))</formula>
    </cfRule>
    <cfRule type="cellIs" dxfId="1" priority="2076" operator="greaterThan">
      <formula>120</formula>
    </cfRule>
    <cfRule type="cellIs" dxfId="0" priority="2581" operator="lessThan">
      <formula>20</formula>
    </cfRule>
  </conditionalFormatting>
  <conditionalFormatting sqref="AU407">
    <cfRule type="containsText" dxfId="2" priority="1570" operator="between" text="库存为">
      <formula>NOT(ISERROR(SEARCH("库存为",AU407)))</formula>
    </cfRule>
    <cfRule type="cellIs" dxfId="1" priority="2075" operator="greaterThan">
      <formula>120</formula>
    </cfRule>
    <cfRule type="cellIs" dxfId="0" priority="2580" operator="lessThan">
      <formula>20</formula>
    </cfRule>
  </conditionalFormatting>
  <conditionalFormatting sqref="AU408">
    <cfRule type="containsText" dxfId="2" priority="1569" operator="between" text="库存为">
      <formula>NOT(ISERROR(SEARCH("库存为",AU408)))</formula>
    </cfRule>
    <cfRule type="cellIs" dxfId="1" priority="2074" operator="greaterThan">
      <formula>120</formula>
    </cfRule>
    <cfRule type="cellIs" dxfId="0" priority="2579" operator="lessThan">
      <formula>20</formula>
    </cfRule>
  </conditionalFormatting>
  <conditionalFormatting sqref="AU409">
    <cfRule type="containsText" dxfId="2" priority="1568" operator="between" text="库存为">
      <formula>NOT(ISERROR(SEARCH("库存为",AU409)))</formula>
    </cfRule>
    <cfRule type="cellIs" dxfId="1" priority="2073" operator="greaterThan">
      <formula>120</formula>
    </cfRule>
    <cfRule type="cellIs" dxfId="0" priority="2578" operator="lessThan">
      <formula>20</formula>
    </cfRule>
  </conditionalFormatting>
  <conditionalFormatting sqref="AU410">
    <cfRule type="containsText" dxfId="2" priority="1567" operator="between" text="库存为">
      <formula>NOT(ISERROR(SEARCH("库存为",AU410)))</formula>
    </cfRule>
    <cfRule type="cellIs" dxfId="1" priority="2072" operator="greaterThan">
      <formula>120</formula>
    </cfRule>
    <cfRule type="cellIs" dxfId="0" priority="2577" operator="lessThan">
      <formula>20</formula>
    </cfRule>
  </conditionalFormatting>
  <conditionalFormatting sqref="AU411">
    <cfRule type="containsText" dxfId="2" priority="1566" operator="between" text="库存为">
      <formula>NOT(ISERROR(SEARCH("库存为",AU411)))</formula>
    </cfRule>
    <cfRule type="cellIs" dxfId="1" priority="2071" operator="greaterThan">
      <formula>120</formula>
    </cfRule>
    <cfRule type="cellIs" dxfId="0" priority="2576" operator="lessThan">
      <formula>20</formula>
    </cfRule>
  </conditionalFormatting>
  <conditionalFormatting sqref="AU412">
    <cfRule type="containsText" dxfId="2" priority="1565" operator="between" text="库存为">
      <formula>NOT(ISERROR(SEARCH("库存为",AU412)))</formula>
    </cfRule>
    <cfRule type="cellIs" dxfId="1" priority="2070" operator="greaterThan">
      <formula>120</formula>
    </cfRule>
    <cfRule type="cellIs" dxfId="0" priority="2575" operator="lessThan">
      <formula>20</formula>
    </cfRule>
  </conditionalFormatting>
  <conditionalFormatting sqref="AU413">
    <cfRule type="containsText" dxfId="2" priority="1564" operator="between" text="库存为">
      <formula>NOT(ISERROR(SEARCH("库存为",AU413)))</formula>
    </cfRule>
    <cfRule type="cellIs" dxfId="1" priority="2069" operator="greaterThan">
      <formula>120</formula>
    </cfRule>
    <cfRule type="cellIs" dxfId="0" priority="2574" operator="lessThan">
      <formula>20</formula>
    </cfRule>
  </conditionalFormatting>
  <conditionalFormatting sqref="AU414">
    <cfRule type="containsText" dxfId="2" priority="1563" operator="between" text="库存为">
      <formula>NOT(ISERROR(SEARCH("库存为",AU414)))</formula>
    </cfRule>
    <cfRule type="cellIs" dxfId="1" priority="2068" operator="greaterThan">
      <formula>120</formula>
    </cfRule>
    <cfRule type="cellIs" dxfId="0" priority="2573" operator="lessThan">
      <formula>20</formula>
    </cfRule>
  </conditionalFormatting>
  <conditionalFormatting sqref="AU415">
    <cfRule type="containsText" dxfId="2" priority="1562" operator="between" text="库存为">
      <formula>NOT(ISERROR(SEARCH("库存为",AU415)))</formula>
    </cfRule>
    <cfRule type="cellIs" dxfId="1" priority="2067" operator="greaterThan">
      <formula>120</formula>
    </cfRule>
    <cfRule type="cellIs" dxfId="0" priority="2572" operator="lessThan">
      <formula>20</formula>
    </cfRule>
  </conditionalFormatting>
  <conditionalFormatting sqref="AU416">
    <cfRule type="containsText" dxfId="2" priority="1561" operator="between" text="库存为">
      <formula>NOT(ISERROR(SEARCH("库存为",AU416)))</formula>
    </cfRule>
    <cfRule type="cellIs" dxfId="1" priority="2066" operator="greaterThan">
      <formula>120</formula>
    </cfRule>
    <cfRule type="cellIs" dxfId="0" priority="2571" operator="lessThan">
      <formula>20</formula>
    </cfRule>
  </conditionalFormatting>
  <conditionalFormatting sqref="AU417">
    <cfRule type="containsText" dxfId="2" priority="1560" operator="between" text="库存为">
      <formula>NOT(ISERROR(SEARCH("库存为",AU417)))</formula>
    </cfRule>
    <cfRule type="cellIs" dxfId="1" priority="2065" operator="greaterThan">
      <formula>120</formula>
    </cfRule>
    <cfRule type="cellIs" dxfId="0" priority="2570" operator="lessThan">
      <formula>20</formula>
    </cfRule>
  </conditionalFormatting>
  <conditionalFormatting sqref="AU418">
    <cfRule type="containsText" dxfId="2" priority="1559" operator="between" text="库存为">
      <formula>NOT(ISERROR(SEARCH("库存为",AU418)))</formula>
    </cfRule>
    <cfRule type="cellIs" dxfId="1" priority="2064" operator="greaterThan">
      <formula>120</formula>
    </cfRule>
    <cfRule type="cellIs" dxfId="0" priority="2569" operator="lessThan">
      <formula>20</formula>
    </cfRule>
  </conditionalFormatting>
  <conditionalFormatting sqref="AU419">
    <cfRule type="containsText" dxfId="2" priority="1558" operator="between" text="库存为">
      <formula>NOT(ISERROR(SEARCH("库存为",AU419)))</formula>
    </cfRule>
    <cfRule type="cellIs" dxfId="1" priority="2063" operator="greaterThan">
      <formula>120</formula>
    </cfRule>
    <cfRule type="cellIs" dxfId="0" priority="2568" operator="lessThan">
      <formula>20</formula>
    </cfRule>
  </conditionalFormatting>
  <conditionalFormatting sqref="AU420">
    <cfRule type="containsText" dxfId="2" priority="1557" operator="between" text="库存为">
      <formula>NOT(ISERROR(SEARCH("库存为",AU420)))</formula>
    </cfRule>
    <cfRule type="cellIs" dxfId="1" priority="2062" operator="greaterThan">
      <formula>120</formula>
    </cfRule>
    <cfRule type="cellIs" dxfId="0" priority="2567" operator="lessThan">
      <formula>20</formula>
    </cfRule>
  </conditionalFormatting>
  <conditionalFormatting sqref="AU421">
    <cfRule type="containsText" dxfId="2" priority="1556" operator="between" text="库存为">
      <formula>NOT(ISERROR(SEARCH("库存为",AU421)))</formula>
    </cfRule>
    <cfRule type="cellIs" dxfId="1" priority="2061" operator="greaterThan">
      <formula>120</formula>
    </cfRule>
    <cfRule type="cellIs" dxfId="0" priority="2566" operator="lessThan">
      <formula>20</formula>
    </cfRule>
  </conditionalFormatting>
  <conditionalFormatting sqref="AU422">
    <cfRule type="containsText" dxfId="2" priority="1555" operator="between" text="库存为">
      <formula>NOT(ISERROR(SEARCH("库存为",AU422)))</formula>
    </cfRule>
    <cfRule type="cellIs" dxfId="1" priority="2060" operator="greaterThan">
      <formula>120</formula>
    </cfRule>
    <cfRule type="cellIs" dxfId="0" priority="2565" operator="lessThan">
      <formula>20</formula>
    </cfRule>
  </conditionalFormatting>
  <conditionalFormatting sqref="AU423">
    <cfRule type="containsText" dxfId="2" priority="1554" operator="between" text="库存为">
      <formula>NOT(ISERROR(SEARCH("库存为",AU423)))</formula>
    </cfRule>
    <cfRule type="cellIs" dxfId="1" priority="2059" operator="greaterThan">
      <formula>120</formula>
    </cfRule>
    <cfRule type="cellIs" dxfId="0" priority="2564" operator="lessThan">
      <formula>20</formula>
    </cfRule>
  </conditionalFormatting>
  <conditionalFormatting sqref="AU424">
    <cfRule type="containsText" dxfId="2" priority="1553" operator="between" text="库存为">
      <formula>NOT(ISERROR(SEARCH("库存为",AU424)))</formula>
    </cfRule>
    <cfRule type="cellIs" dxfId="1" priority="2058" operator="greaterThan">
      <formula>120</formula>
    </cfRule>
    <cfRule type="cellIs" dxfId="0" priority="2563" operator="lessThan">
      <formula>20</formula>
    </cfRule>
  </conditionalFormatting>
  <conditionalFormatting sqref="AU425">
    <cfRule type="containsText" dxfId="2" priority="1552" operator="between" text="库存为">
      <formula>NOT(ISERROR(SEARCH("库存为",AU425)))</formula>
    </cfRule>
    <cfRule type="cellIs" dxfId="1" priority="2057" operator="greaterThan">
      <formula>120</formula>
    </cfRule>
    <cfRule type="cellIs" dxfId="0" priority="2562" operator="lessThan">
      <formula>20</formula>
    </cfRule>
  </conditionalFormatting>
  <conditionalFormatting sqref="AU426">
    <cfRule type="containsText" dxfId="2" priority="1551" operator="between" text="库存为">
      <formula>NOT(ISERROR(SEARCH("库存为",AU426)))</formula>
    </cfRule>
    <cfRule type="cellIs" dxfId="1" priority="2056" operator="greaterThan">
      <formula>120</formula>
    </cfRule>
    <cfRule type="cellIs" dxfId="0" priority="2561" operator="lessThan">
      <formula>20</formula>
    </cfRule>
  </conditionalFormatting>
  <conditionalFormatting sqref="AU427">
    <cfRule type="containsText" dxfId="2" priority="1550" operator="between" text="库存为">
      <formula>NOT(ISERROR(SEARCH("库存为",AU427)))</formula>
    </cfRule>
    <cfRule type="cellIs" dxfId="1" priority="2055" operator="greaterThan">
      <formula>120</formula>
    </cfRule>
    <cfRule type="cellIs" dxfId="0" priority="2560" operator="lessThan">
      <formula>20</formula>
    </cfRule>
  </conditionalFormatting>
  <conditionalFormatting sqref="AU428">
    <cfRule type="containsText" dxfId="2" priority="1549" operator="between" text="库存为">
      <formula>NOT(ISERROR(SEARCH("库存为",AU428)))</formula>
    </cfRule>
    <cfRule type="cellIs" dxfId="1" priority="2054" operator="greaterThan">
      <formula>120</formula>
    </cfRule>
    <cfRule type="cellIs" dxfId="0" priority="2559" operator="lessThan">
      <formula>20</formula>
    </cfRule>
  </conditionalFormatting>
  <conditionalFormatting sqref="AU429">
    <cfRule type="containsText" dxfId="2" priority="1548" operator="between" text="库存为">
      <formula>NOT(ISERROR(SEARCH("库存为",AU429)))</formula>
    </cfRule>
    <cfRule type="cellIs" dxfId="1" priority="2053" operator="greaterThan">
      <formula>120</formula>
    </cfRule>
    <cfRule type="cellIs" dxfId="0" priority="2558" operator="lessThan">
      <formula>20</formula>
    </cfRule>
  </conditionalFormatting>
  <conditionalFormatting sqref="AU430">
    <cfRule type="containsText" dxfId="2" priority="1547" operator="between" text="库存为">
      <formula>NOT(ISERROR(SEARCH("库存为",AU430)))</formula>
    </cfRule>
    <cfRule type="cellIs" dxfId="1" priority="2052" operator="greaterThan">
      <formula>120</formula>
    </cfRule>
    <cfRule type="cellIs" dxfId="0" priority="2557" operator="lessThan">
      <formula>20</formula>
    </cfRule>
  </conditionalFormatting>
  <conditionalFormatting sqref="AU431">
    <cfRule type="containsText" dxfId="2" priority="1546" operator="between" text="库存为">
      <formula>NOT(ISERROR(SEARCH("库存为",AU431)))</formula>
    </cfRule>
    <cfRule type="cellIs" dxfId="1" priority="2051" operator="greaterThan">
      <formula>120</formula>
    </cfRule>
    <cfRule type="cellIs" dxfId="0" priority="2556" operator="lessThan">
      <formula>20</formula>
    </cfRule>
  </conditionalFormatting>
  <conditionalFormatting sqref="AU432">
    <cfRule type="containsText" dxfId="2" priority="1545" operator="between" text="库存为">
      <formula>NOT(ISERROR(SEARCH("库存为",AU432)))</formula>
    </cfRule>
    <cfRule type="cellIs" dxfId="1" priority="2050" operator="greaterThan">
      <formula>120</formula>
    </cfRule>
    <cfRule type="cellIs" dxfId="0" priority="2555" operator="lessThan">
      <formula>20</formula>
    </cfRule>
  </conditionalFormatting>
  <conditionalFormatting sqref="AU433">
    <cfRule type="containsText" dxfId="2" priority="1544" operator="between" text="库存为">
      <formula>NOT(ISERROR(SEARCH("库存为",AU433)))</formula>
    </cfRule>
    <cfRule type="cellIs" dxfId="1" priority="2049" operator="greaterThan">
      <formula>120</formula>
    </cfRule>
    <cfRule type="cellIs" dxfId="0" priority="2554" operator="lessThan">
      <formula>20</formula>
    </cfRule>
  </conditionalFormatting>
  <conditionalFormatting sqref="AU434">
    <cfRule type="containsText" dxfId="2" priority="1543" operator="between" text="库存为">
      <formula>NOT(ISERROR(SEARCH("库存为",AU434)))</formula>
    </cfRule>
    <cfRule type="cellIs" dxfId="1" priority="2048" operator="greaterThan">
      <formula>120</formula>
    </cfRule>
    <cfRule type="cellIs" dxfId="0" priority="2553" operator="lessThan">
      <formula>20</formula>
    </cfRule>
  </conditionalFormatting>
  <conditionalFormatting sqref="AU435">
    <cfRule type="containsText" dxfId="2" priority="1542" operator="between" text="库存为">
      <formula>NOT(ISERROR(SEARCH("库存为",AU435)))</formula>
    </cfRule>
    <cfRule type="cellIs" dxfId="1" priority="2047" operator="greaterThan">
      <formula>120</formula>
    </cfRule>
    <cfRule type="cellIs" dxfId="0" priority="2552" operator="lessThan">
      <formula>20</formula>
    </cfRule>
  </conditionalFormatting>
  <conditionalFormatting sqref="AU436">
    <cfRule type="containsText" dxfId="2" priority="1541" operator="between" text="库存为">
      <formula>NOT(ISERROR(SEARCH("库存为",AU436)))</formula>
    </cfRule>
    <cfRule type="cellIs" dxfId="1" priority="2046" operator="greaterThan">
      <formula>120</formula>
    </cfRule>
    <cfRule type="cellIs" dxfId="0" priority="2551" operator="lessThan">
      <formula>20</formula>
    </cfRule>
  </conditionalFormatting>
  <conditionalFormatting sqref="AU437">
    <cfRule type="containsText" dxfId="2" priority="1540" operator="between" text="库存为">
      <formula>NOT(ISERROR(SEARCH("库存为",AU437)))</formula>
    </cfRule>
    <cfRule type="cellIs" dxfId="1" priority="2045" operator="greaterThan">
      <formula>120</formula>
    </cfRule>
    <cfRule type="cellIs" dxfId="0" priority="2550" operator="lessThan">
      <formula>20</formula>
    </cfRule>
  </conditionalFormatting>
  <conditionalFormatting sqref="AU438">
    <cfRule type="containsText" dxfId="2" priority="1539" operator="between" text="库存为">
      <formula>NOT(ISERROR(SEARCH("库存为",AU438)))</formula>
    </cfRule>
    <cfRule type="cellIs" dxfId="1" priority="2044" operator="greaterThan">
      <formula>120</formula>
    </cfRule>
    <cfRule type="cellIs" dxfId="0" priority="2549" operator="lessThan">
      <formula>20</formula>
    </cfRule>
  </conditionalFormatting>
  <conditionalFormatting sqref="AU439">
    <cfRule type="containsText" dxfId="2" priority="1538" operator="between" text="库存为">
      <formula>NOT(ISERROR(SEARCH("库存为",AU439)))</formula>
    </cfRule>
    <cfRule type="cellIs" dxfId="1" priority="2043" operator="greaterThan">
      <formula>120</formula>
    </cfRule>
    <cfRule type="cellIs" dxfId="0" priority="2548" operator="lessThan">
      <formula>20</formula>
    </cfRule>
  </conditionalFormatting>
  <conditionalFormatting sqref="AU440">
    <cfRule type="containsText" dxfId="2" priority="1537" operator="between" text="库存为">
      <formula>NOT(ISERROR(SEARCH("库存为",AU440)))</formula>
    </cfRule>
    <cfRule type="cellIs" dxfId="1" priority="2042" operator="greaterThan">
      <formula>120</formula>
    </cfRule>
    <cfRule type="cellIs" dxfId="0" priority="2547" operator="lessThan">
      <formula>20</formula>
    </cfRule>
  </conditionalFormatting>
  <conditionalFormatting sqref="AU441">
    <cfRule type="containsText" dxfId="2" priority="1536" operator="between" text="库存为">
      <formula>NOT(ISERROR(SEARCH("库存为",AU441)))</formula>
    </cfRule>
    <cfRule type="cellIs" dxfId="1" priority="2041" operator="greaterThan">
      <formula>120</formula>
    </cfRule>
    <cfRule type="cellIs" dxfId="0" priority="2546" operator="lessThan">
      <formula>20</formula>
    </cfRule>
  </conditionalFormatting>
  <conditionalFormatting sqref="AU442">
    <cfRule type="containsText" dxfId="2" priority="1535" operator="between" text="库存为">
      <formula>NOT(ISERROR(SEARCH("库存为",AU442)))</formula>
    </cfRule>
    <cfRule type="cellIs" dxfId="1" priority="2040" operator="greaterThan">
      <formula>120</formula>
    </cfRule>
    <cfRule type="cellIs" dxfId="0" priority="2545" operator="lessThan">
      <formula>20</formula>
    </cfRule>
  </conditionalFormatting>
  <conditionalFormatting sqref="AU443">
    <cfRule type="containsText" dxfId="2" priority="1534" operator="between" text="库存为">
      <formula>NOT(ISERROR(SEARCH("库存为",AU443)))</formula>
    </cfRule>
    <cfRule type="cellIs" dxfId="1" priority="2039" operator="greaterThan">
      <formula>120</formula>
    </cfRule>
    <cfRule type="cellIs" dxfId="0" priority="2544" operator="lessThan">
      <formula>20</formula>
    </cfRule>
  </conditionalFormatting>
  <conditionalFormatting sqref="AU444">
    <cfRule type="containsText" dxfId="2" priority="1533" operator="between" text="库存为">
      <formula>NOT(ISERROR(SEARCH("库存为",AU444)))</formula>
    </cfRule>
    <cfRule type="cellIs" dxfId="1" priority="2038" operator="greaterThan">
      <formula>120</formula>
    </cfRule>
    <cfRule type="cellIs" dxfId="0" priority="2543" operator="lessThan">
      <formula>20</formula>
    </cfRule>
  </conditionalFormatting>
  <conditionalFormatting sqref="AU445">
    <cfRule type="containsText" dxfId="2" priority="1532" operator="between" text="库存为">
      <formula>NOT(ISERROR(SEARCH("库存为",AU445)))</formula>
    </cfRule>
    <cfRule type="cellIs" dxfId="1" priority="2037" operator="greaterThan">
      <formula>120</formula>
    </cfRule>
    <cfRule type="cellIs" dxfId="0" priority="2542" operator="lessThan">
      <formula>20</formula>
    </cfRule>
  </conditionalFormatting>
  <conditionalFormatting sqref="AU446">
    <cfRule type="containsText" dxfId="2" priority="1531" operator="between" text="库存为">
      <formula>NOT(ISERROR(SEARCH("库存为",AU446)))</formula>
    </cfRule>
    <cfRule type="cellIs" dxfId="1" priority="2036" operator="greaterThan">
      <formula>120</formula>
    </cfRule>
    <cfRule type="cellIs" dxfId="0" priority="2541" operator="lessThan">
      <formula>20</formula>
    </cfRule>
  </conditionalFormatting>
  <conditionalFormatting sqref="AU447">
    <cfRule type="containsText" dxfId="2" priority="1530" operator="between" text="库存为">
      <formula>NOT(ISERROR(SEARCH("库存为",AU447)))</formula>
    </cfRule>
    <cfRule type="cellIs" dxfId="1" priority="2035" operator="greaterThan">
      <formula>120</formula>
    </cfRule>
    <cfRule type="cellIs" dxfId="0" priority="2540" operator="lessThan">
      <formula>20</formula>
    </cfRule>
  </conditionalFormatting>
  <conditionalFormatting sqref="AU448">
    <cfRule type="containsText" dxfId="2" priority="1529" operator="between" text="库存为">
      <formula>NOT(ISERROR(SEARCH("库存为",AU448)))</formula>
    </cfRule>
    <cfRule type="cellIs" dxfId="1" priority="2034" operator="greaterThan">
      <formula>120</formula>
    </cfRule>
    <cfRule type="cellIs" dxfId="0" priority="2539" operator="lessThan">
      <formula>20</formula>
    </cfRule>
  </conditionalFormatting>
  <conditionalFormatting sqref="AU449">
    <cfRule type="containsText" dxfId="2" priority="1528" operator="between" text="库存为">
      <formula>NOT(ISERROR(SEARCH("库存为",AU449)))</formula>
    </cfRule>
    <cfRule type="cellIs" dxfId="1" priority="2033" operator="greaterThan">
      <formula>120</formula>
    </cfRule>
    <cfRule type="cellIs" dxfId="0" priority="2538" operator="lessThan">
      <formula>20</formula>
    </cfRule>
  </conditionalFormatting>
  <conditionalFormatting sqref="AU450">
    <cfRule type="containsText" dxfId="2" priority="1527" operator="between" text="库存为">
      <formula>NOT(ISERROR(SEARCH("库存为",AU450)))</formula>
    </cfRule>
    <cfRule type="cellIs" dxfId="1" priority="2032" operator="greaterThan">
      <formula>120</formula>
    </cfRule>
    <cfRule type="cellIs" dxfId="0" priority="2537" operator="lessThan">
      <formula>20</formula>
    </cfRule>
  </conditionalFormatting>
  <conditionalFormatting sqref="AU451">
    <cfRule type="containsText" dxfId="2" priority="1526" operator="between" text="库存为">
      <formula>NOT(ISERROR(SEARCH("库存为",AU451)))</formula>
    </cfRule>
    <cfRule type="cellIs" dxfId="1" priority="2031" operator="greaterThan">
      <formula>120</formula>
    </cfRule>
    <cfRule type="cellIs" dxfId="0" priority="2536" operator="lessThan">
      <formula>20</formula>
    </cfRule>
  </conditionalFormatting>
  <conditionalFormatting sqref="AU452">
    <cfRule type="containsText" dxfId="2" priority="1525" operator="between" text="库存为">
      <formula>NOT(ISERROR(SEARCH("库存为",AU452)))</formula>
    </cfRule>
    <cfRule type="cellIs" dxfId="1" priority="2030" operator="greaterThan">
      <formula>120</formula>
    </cfRule>
    <cfRule type="cellIs" dxfId="0" priority="2535" operator="lessThan">
      <formula>20</formula>
    </cfRule>
  </conditionalFormatting>
  <conditionalFormatting sqref="AU453">
    <cfRule type="containsText" dxfId="2" priority="1524" operator="between" text="库存为">
      <formula>NOT(ISERROR(SEARCH("库存为",AU453)))</formula>
    </cfRule>
    <cfRule type="cellIs" dxfId="1" priority="2029" operator="greaterThan">
      <formula>120</formula>
    </cfRule>
    <cfRule type="cellIs" dxfId="0" priority="2534" operator="lessThan">
      <formula>20</formula>
    </cfRule>
  </conditionalFormatting>
  <conditionalFormatting sqref="AU454">
    <cfRule type="containsText" dxfId="2" priority="1523" operator="between" text="库存为">
      <formula>NOT(ISERROR(SEARCH("库存为",AU454)))</formula>
    </cfRule>
    <cfRule type="cellIs" dxfId="1" priority="2028" operator="greaterThan">
      <formula>120</formula>
    </cfRule>
    <cfRule type="cellIs" dxfId="0" priority="2533" operator="lessThan">
      <formula>20</formula>
    </cfRule>
  </conditionalFormatting>
  <conditionalFormatting sqref="AU455">
    <cfRule type="containsText" dxfId="2" priority="1522" operator="between" text="库存为">
      <formula>NOT(ISERROR(SEARCH("库存为",AU455)))</formula>
    </cfRule>
    <cfRule type="cellIs" dxfId="1" priority="2027" operator="greaterThan">
      <formula>120</formula>
    </cfRule>
    <cfRule type="cellIs" dxfId="0" priority="2532" operator="lessThan">
      <formula>20</formula>
    </cfRule>
  </conditionalFormatting>
  <conditionalFormatting sqref="AU456">
    <cfRule type="containsText" dxfId="2" priority="1521" operator="between" text="库存为">
      <formula>NOT(ISERROR(SEARCH("库存为",AU456)))</formula>
    </cfRule>
    <cfRule type="cellIs" dxfId="1" priority="2026" operator="greaterThan">
      <formula>120</formula>
    </cfRule>
    <cfRule type="cellIs" dxfId="0" priority="2531" operator="lessThan">
      <formula>20</formula>
    </cfRule>
  </conditionalFormatting>
  <conditionalFormatting sqref="AU457">
    <cfRule type="containsText" dxfId="2" priority="1520" operator="between" text="库存为">
      <formula>NOT(ISERROR(SEARCH("库存为",AU457)))</formula>
    </cfRule>
    <cfRule type="cellIs" dxfId="1" priority="2025" operator="greaterThan">
      <formula>120</formula>
    </cfRule>
    <cfRule type="cellIs" dxfId="0" priority="2530" operator="lessThan">
      <formula>20</formula>
    </cfRule>
  </conditionalFormatting>
  <conditionalFormatting sqref="AU458">
    <cfRule type="containsText" dxfId="2" priority="1519" operator="between" text="库存为">
      <formula>NOT(ISERROR(SEARCH("库存为",AU458)))</formula>
    </cfRule>
    <cfRule type="cellIs" dxfId="1" priority="2024" operator="greaterThan">
      <formula>120</formula>
    </cfRule>
    <cfRule type="cellIs" dxfId="0" priority="2529" operator="lessThan">
      <formula>20</formula>
    </cfRule>
  </conditionalFormatting>
  <conditionalFormatting sqref="AU459">
    <cfRule type="containsText" dxfId="2" priority="1518" operator="between" text="库存为">
      <formula>NOT(ISERROR(SEARCH("库存为",AU459)))</formula>
    </cfRule>
    <cfRule type="cellIs" dxfId="1" priority="2023" operator="greaterThan">
      <formula>120</formula>
    </cfRule>
    <cfRule type="cellIs" dxfId="0" priority="2528" operator="lessThan">
      <formula>20</formula>
    </cfRule>
  </conditionalFormatting>
  <conditionalFormatting sqref="AU460">
    <cfRule type="containsText" dxfId="2" priority="1517" operator="between" text="库存为">
      <formula>NOT(ISERROR(SEARCH("库存为",AU460)))</formula>
    </cfRule>
    <cfRule type="cellIs" dxfId="1" priority="2022" operator="greaterThan">
      <formula>120</formula>
    </cfRule>
    <cfRule type="cellIs" dxfId="0" priority="2527" operator="lessThan">
      <formula>20</formula>
    </cfRule>
  </conditionalFormatting>
  <conditionalFormatting sqref="AU461">
    <cfRule type="containsText" dxfId="2" priority="1516" operator="between" text="库存为">
      <formula>NOT(ISERROR(SEARCH("库存为",AU461)))</formula>
    </cfRule>
    <cfRule type="cellIs" dxfId="1" priority="2021" operator="greaterThan">
      <formula>120</formula>
    </cfRule>
    <cfRule type="cellIs" dxfId="0" priority="2526" operator="lessThan">
      <formula>20</formula>
    </cfRule>
  </conditionalFormatting>
  <conditionalFormatting sqref="AU462">
    <cfRule type="containsText" dxfId="2" priority="1515" operator="between" text="库存为">
      <formula>NOT(ISERROR(SEARCH("库存为",AU462)))</formula>
    </cfRule>
    <cfRule type="cellIs" dxfId="1" priority="2020" operator="greaterThan">
      <formula>120</formula>
    </cfRule>
    <cfRule type="cellIs" dxfId="0" priority="2525" operator="lessThan">
      <formula>20</formula>
    </cfRule>
  </conditionalFormatting>
  <conditionalFormatting sqref="AU463">
    <cfRule type="containsText" dxfId="2" priority="1514" operator="between" text="库存为">
      <formula>NOT(ISERROR(SEARCH("库存为",AU463)))</formula>
    </cfRule>
    <cfRule type="cellIs" dxfId="1" priority="2019" operator="greaterThan">
      <formula>120</formula>
    </cfRule>
    <cfRule type="cellIs" dxfId="0" priority="2524" operator="lessThan">
      <formula>20</formula>
    </cfRule>
  </conditionalFormatting>
  <conditionalFormatting sqref="AU464">
    <cfRule type="containsText" dxfId="2" priority="1513" operator="between" text="库存为">
      <formula>NOT(ISERROR(SEARCH("库存为",AU464)))</formula>
    </cfRule>
    <cfRule type="cellIs" dxfId="1" priority="2018" operator="greaterThan">
      <formula>120</formula>
    </cfRule>
    <cfRule type="cellIs" dxfId="0" priority="2523" operator="lessThan">
      <formula>20</formula>
    </cfRule>
  </conditionalFormatting>
  <conditionalFormatting sqref="AU465">
    <cfRule type="containsText" dxfId="2" priority="1512" operator="between" text="库存为">
      <formula>NOT(ISERROR(SEARCH("库存为",AU465)))</formula>
    </cfRule>
    <cfRule type="cellIs" dxfId="1" priority="2017" operator="greaterThan">
      <formula>120</formula>
    </cfRule>
    <cfRule type="cellIs" dxfId="0" priority="2522" operator="lessThan">
      <formula>20</formula>
    </cfRule>
  </conditionalFormatting>
  <conditionalFormatting sqref="AU466">
    <cfRule type="containsText" dxfId="2" priority="1511" operator="between" text="库存为">
      <formula>NOT(ISERROR(SEARCH("库存为",AU466)))</formula>
    </cfRule>
    <cfRule type="cellIs" dxfId="1" priority="2016" operator="greaterThan">
      <formula>120</formula>
    </cfRule>
    <cfRule type="cellIs" dxfId="0" priority="2521" operator="lessThan">
      <formula>20</formula>
    </cfRule>
  </conditionalFormatting>
  <conditionalFormatting sqref="AU467">
    <cfRule type="containsText" dxfId="2" priority="1510" operator="between" text="库存为">
      <formula>NOT(ISERROR(SEARCH("库存为",AU467)))</formula>
    </cfRule>
    <cfRule type="cellIs" dxfId="1" priority="2015" operator="greaterThan">
      <formula>120</formula>
    </cfRule>
    <cfRule type="cellIs" dxfId="0" priority="2520" operator="lessThan">
      <formula>20</formula>
    </cfRule>
  </conditionalFormatting>
  <conditionalFormatting sqref="AU468">
    <cfRule type="containsText" dxfId="2" priority="1509" operator="between" text="库存为">
      <formula>NOT(ISERROR(SEARCH("库存为",AU468)))</formula>
    </cfRule>
    <cfRule type="cellIs" dxfId="1" priority="2014" operator="greaterThan">
      <formula>120</formula>
    </cfRule>
    <cfRule type="cellIs" dxfId="0" priority="2519" operator="lessThan">
      <formula>20</formula>
    </cfRule>
  </conditionalFormatting>
  <conditionalFormatting sqref="AU469">
    <cfRule type="containsText" dxfId="2" priority="1508" operator="between" text="库存为">
      <formula>NOT(ISERROR(SEARCH("库存为",AU469)))</formula>
    </cfRule>
    <cfRule type="cellIs" dxfId="1" priority="2013" operator="greaterThan">
      <formula>120</formula>
    </cfRule>
    <cfRule type="cellIs" dxfId="0" priority="2518" operator="lessThan">
      <formula>20</formula>
    </cfRule>
  </conditionalFormatting>
  <conditionalFormatting sqref="AU470">
    <cfRule type="containsText" dxfId="2" priority="1507" operator="between" text="库存为">
      <formula>NOT(ISERROR(SEARCH("库存为",AU470)))</formula>
    </cfRule>
    <cfRule type="cellIs" dxfId="1" priority="2012" operator="greaterThan">
      <formula>120</formula>
    </cfRule>
    <cfRule type="cellIs" dxfId="0" priority="2517" operator="lessThan">
      <formula>20</formula>
    </cfRule>
  </conditionalFormatting>
  <conditionalFormatting sqref="AU471">
    <cfRule type="containsText" dxfId="2" priority="1506" operator="between" text="库存为">
      <formula>NOT(ISERROR(SEARCH("库存为",AU471)))</formula>
    </cfRule>
    <cfRule type="cellIs" dxfId="1" priority="2011" operator="greaterThan">
      <formula>120</formula>
    </cfRule>
    <cfRule type="cellIs" dxfId="0" priority="2516" operator="lessThan">
      <formula>20</formula>
    </cfRule>
  </conditionalFormatting>
  <conditionalFormatting sqref="AU472">
    <cfRule type="containsText" dxfId="2" priority="1505" operator="between" text="库存为">
      <formula>NOT(ISERROR(SEARCH("库存为",AU472)))</formula>
    </cfRule>
    <cfRule type="cellIs" dxfId="1" priority="2010" operator="greaterThan">
      <formula>120</formula>
    </cfRule>
    <cfRule type="cellIs" dxfId="0" priority="2515" operator="lessThan">
      <formula>20</formula>
    </cfRule>
  </conditionalFormatting>
  <conditionalFormatting sqref="AU473">
    <cfRule type="containsText" dxfId="2" priority="1504" operator="between" text="库存为">
      <formula>NOT(ISERROR(SEARCH("库存为",AU473)))</formula>
    </cfRule>
    <cfRule type="cellIs" dxfId="1" priority="2009" operator="greaterThan">
      <formula>120</formula>
    </cfRule>
    <cfRule type="cellIs" dxfId="0" priority="2514" operator="lessThan">
      <formula>20</formula>
    </cfRule>
  </conditionalFormatting>
  <conditionalFormatting sqref="AU474">
    <cfRule type="containsText" dxfId="2" priority="1503" operator="between" text="库存为">
      <formula>NOT(ISERROR(SEARCH("库存为",AU474)))</formula>
    </cfRule>
    <cfRule type="cellIs" dxfId="1" priority="2008" operator="greaterThan">
      <formula>120</formula>
    </cfRule>
    <cfRule type="cellIs" dxfId="0" priority="2513" operator="lessThan">
      <formula>20</formula>
    </cfRule>
  </conditionalFormatting>
  <conditionalFormatting sqref="AU475">
    <cfRule type="containsText" dxfId="2" priority="1502" operator="between" text="库存为">
      <formula>NOT(ISERROR(SEARCH("库存为",AU475)))</formula>
    </cfRule>
    <cfRule type="cellIs" dxfId="1" priority="2007" operator="greaterThan">
      <formula>120</formula>
    </cfRule>
    <cfRule type="cellIs" dxfId="0" priority="2512" operator="lessThan">
      <formula>20</formula>
    </cfRule>
  </conditionalFormatting>
  <conditionalFormatting sqref="AU476">
    <cfRule type="containsText" dxfId="2" priority="1501" operator="between" text="库存为">
      <formula>NOT(ISERROR(SEARCH("库存为",AU476)))</formula>
    </cfRule>
    <cfRule type="cellIs" dxfId="1" priority="2006" operator="greaterThan">
      <formula>120</formula>
    </cfRule>
    <cfRule type="cellIs" dxfId="0" priority="2511" operator="lessThan">
      <formula>20</formula>
    </cfRule>
  </conditionalFormatting>
  <conditionalFormatting sqref="AU477">
    <cfRule type="containsText" dxfId="2" priority="1500" operator="between" text="库存为">
      <formula>NOT(ISERROR(SEARCH("库存为",AU477)))</formula>
    </cfRule>
    <cfRule type="cellIs" dxfId="1" priority="2005" operator="greaterThan">
      <formula>120</formula>
    </cfRule>
    <cfRule type="cellIs" dxfId="0" priority="2510" operator="lessThan">
      <formula>20</formula>
    </cfRule>
  </conditionalFormatting>
  <conditionalFormatting sqref="AU478">
    <cfRule type="containsText" dxfId="2" priority="1499" operator="between" text="库存为">
      <formula>NOT(ISERROR(SEARCH("库存为",AU478)))</formula>
    </cfRule>
    <cfRule type="cellIs" dxfId="1" priority="2004" operator="greaterThan">
      <formula>120</formula>
    </cfRule>
    <cfRule type="cellIs" dxfId="0" priority="2509" operator="lessThan">
      <formula>20</formula>
    </cfRule>
  </conditionalFormatting>
  <conditionalFormatting sqref="AU479">
    <cfRule type="containsText" dxfId="2" priority="1498" operator="between" text="库存为">
      <formula>NOT(ISERROR(SEARCH("库存为",AU479)))</formula>
    </cfRule>
    <cfRule type="cellIs" dxfId="1" priority="2003" operator="greaterThan">
      <formula>120</formula>
    </cfRule>
    <cfRule type="cellIs" dxfId="0" priority="2508" operator="lessThan">
      <formula>20</formula>
    </cfRule>
  </conditionalFormatting>
  <conditionalFormatting sqref="AU480">
    <cfRule type="containsText" dxfId="2" priority="1497" operator="between" text="库存为">
      <formula>NOT(ISERROR(SEARCH("库存为",AU480)))</formula>
    </cfRule>
    <cfRule type="cellIs" dxfId="1" priority="2002" operator="greaterThan">
      <formula>120</formula>
    </cfRule>
    <cfRule type="cellIs" dxfId="0" priority="2507" operator="lessThan">
      <formula>20</formula>
    </cfRule>
  </conditionalFormatting>
  <conditionalFormatting sqref="AU481">
    <cfRule type="containsText" dxfId="2" priority="1496" operator="between" text="库存为">
      <formula>NOT(ISERROR(SEARCH("库存为",AU481)))</formula>
    </cfRule>
    <cfRule type="cellIs" dxfId="1" priority="2001" operator="greaterThan">
      <formula>120</formula>
    </cfRule>
    <cfRule type="cellIs" dxfId="0" priority="2506" operator="lessThan">
      <formula>20</formula>
    </cfRule>
  </conditionalFormatting>
  <conditionalFormatting sqref="AU482">
    <cfRule type="containsText" dxfId="2" priority="1495" operator="between" text="库存为">
      <formula>NOT(ISERROR(SEARCH("库存为",AU482)))</formula>
    </cfRule>
    <cfRule type="cellIs" dxfId="1" priority="2000" operator="greaterThan">
      <formula>120</formula>
    </cfRule>
    <cfRule type="cellIs" dxfId="0" priority="2505" operator="lessThan">
      <formula>20</formula>
    </cfRule>
  </conditionalFormatting>
  <conditionalFormatting sqref="AU483">
    <cfRule type="containsText" dxfId="2" priority="1494" operator="between" text="库存为">
      <formula>NOT(ISERROR(SEARCH("库存为",AU483)))</formula>
    </cfRule>
    <cfRule type="cellIs" dxfId="1" priority="1999" operator="greaterThan">
      <formula>120</formula>
    </cfRule>
    <cfRule type="cellIs" dxfId="0" priority="2504" operator="lessThan">
      <formula>20</formula>
    </cfRule>
  </conditionalFormatting>
  <conditionalFormatting sqref="AU484">
    <cfRule type="containsText" dxfId="2" priority="1493" operator="between" text="库存为">
      <formula>NOT(ISERROR(SEARCH("库存为",AU484)))</formula>
    </cfRule>
    <cfRule type="cellIs" dxfId="1" priority="1998" operator="greaterThan">
      <formula>120</formula>
    </cfRule>
    <cfRule type="cellIs" dxfId="0" priority="2503" operator="lessThan">
      <formula>20</formula>
    </cfRule>
  </conditionalFormatting>
  <conditionalFormatting sqref="AU485">
    <cfRule type="containsText" dxfId="2" priority="1492" operator="between" text="库存为">
      <formula>NOT(ISERROR(SEARCH("库存为",AU485)))</formula>
    </cfRule>
    <cfRule type="cellIs" dxfId="1" priority="1997" operator="greaterThan">
      <formula>120</formula>
    </cfRule>
    <cfRule type="cellIs" dxfId="0" priority="2502" operator="lessThan">
      <formula>20</formula>
    </cfRule>
  </conditionalFormatting>
  <conditionalFormatting sqref="AU486">
    <cfRule type="containsText" dxfId="2" priority="1491" operator="between" text="库存为">
      <formula>NOT(ISERROR(SEARCH("库存为",AU486)))</formula>
    </cfRule>
    <cfRule type="cellIs" dxfId="1" priority="1996" operator="greaterThan">
      <formula>120</formula>
    </cfRule>
    <cfRule type="cellIs" dxfId="0" priority="2501" operator="lessThan">
      <formula>20</formula>
    </cfRule>
  </conditionalFormatting>
  <conditionalFormatting sqref="AU487">
    <cfRule type="containsText" dxfId="2" priority="1490" operator="between" text="库存为">
      <formula>NOT(ISERROR(SEARCH("库存为",AU487)))</formula>
    </cfRule>
    <cfRule type="cellIs" dxfId="1" priority="1995" operator="greaterThan">
      <formula>120</formula>
    </cfRule>
    <cfRule type="cellIs" dxfId="0" priority="2500" operator="lessThan">
      <formula>20</formula>
    </cfRule>
  </conditionalFormatting>
  <conditionalFormatting sqref="AU488">
    <cfRule type="containsText" dxfId="2" priority="1489" operator="between" text="库存为">
      <formula>NOT(ISERROR(SEARCH("库存为",AU488)))</formula>
    </cfRule>
    <cfRule type="cellIs" dxfId="1" priority="1994" operator="greaterThan">
      <formula>120</formula>
    </cfRule>
    <cfRule type="cellIs" dxfId="0" priority="2499" operator="lessThan">
      <formula>20</formula>
    </cfRule>
  </conditionalFormatting>
  <conditionalFormatting sqref="AU489">
    <cfRule type="containsText" dxfId="2" priority="1488" operator="between" text="库存为">
      <formula>NOT(ISERROR(SEARCH("库存为",AU489)))</formula>
    </cfRule>
    <cfRule type="cellIs" dxfId="1" priority="1993" operator="greaterThan">
      <formula>120</formula>
    </cfRule>
    <cfRule type="cellIs" dxfId="0" priority="2498" operator="lessThan">
      <formula>20</formula>
    </cfRule>
  </conditionalFormatting>
  <conditionalFormatting sqref="AU490">
    <cfRule type="containsText" dxfId="2" priority="1487" operator="between" text="库存为">
      <formula>NOT(ISERROR(SEARCH("库存为",AU490)))</formula>
    </cfRule>
    <cfRule type="cellIs" dxfId="1" priority="1992" operator="greaterThan">
      <formula>120</formula>
    </cfRule>
    <cfRule type="cellIs" dxfId="0" priority="2497" operator="lessThan">
      <formula>20</formula>
    </cfRule>
  </conditionalFormatting>
  <conditionalFormatting sqref="AU491">
    <cfRule type="containsText" dxfId="2" priority="1486" operator="between" text="库存为">
      <formula>NOT(ISERROR(SEARCH("库存为",AU491)))</formula>
    </cfRule>
    <cfRule type="cellIs" dxfId="1" priority="1991" operator="greaterThan">
      <formula>120</formula>
    </cfRule>
    <cfRule type="cellIs" dxfId="0" priority="2496" operator="lessThan">
      <formula>20</formula>
    </cfRule>
  </conditionalFormatting>
  <conditionalFormatting sqref="AU492">
    <cfRule type="containsText" dxfId="2" priority="1485" operator="between" text="库存为">
      <formula>NOT(ISERROR(SEARCH("库存为",AU492)))</formula>
    </cfRule>
    <cfRule type="cellIs" dxfId="1" priority="1990" operator="greaterThan">
      <formula>120</formula>
    </cfRule>
    <cfRule type="cellIs" dxfId="0" priority="2495" operator="lessThan">
      <formula>20</formula>
    </cfRule>
  </conditionalFormatting>
  <conditionalFormatting sqref="AU493">
    <cfRule type="containsText" dxfId="2" priority="1484" operator="between" text="库存为">
      <formula>NOT(ISERROR(SEARCH("库存为",AU493)))</formula>
    </cfRule>
    <cfRule type="cellIs" dxfId="1" priority="1989" operator="greaterThan">
      <formula>120</formula>
    </cfRule>
    <cfRule type="cellIs" dxfId="0" priority="2494" operator="lessThan">
      <formula>20</formula>
    </cfRule>
  </conditionalFormatting>
  <conditionalFormatting sqref="AU494">
    <cfRule type="containsText" dxfId="2" priority="1483" operator="between" text="库存为">
      <formula>NOT(ISERROR(SEARCH("库存为",AU494)))</formula>
    </cfRule>
    <cfRule type="cellIs" dxfId="1" priority="1988" operator="greaterThan">
      <formula>120</formula>
    </cfRule>
    <cfRule type="cellIs" dxfId="0" priority="2493" operator="lessThan">
      <formula>20</formula>
    </cfRule>
  </conditionalFormatting>
  <conditionalFormatting sqref="AU495">
    <cfRule type="containsText" dxfId="2" priority="1482" operator="between" text="库存为">
      <formula>NOT(ISERROR(SEARCH("库存为",AU495)))</formula>
    </cfRule>
    <cfRule type="cellIs" dxfId="1" priority="1987" operator="greaterThan">
      <formula>120</formula>
    </cfRule>
    <cfRule type="cellIs" dxfId="0" priority="2492" operator="lessThan">
      <formula>20</formula>
    </cfRule>
  </conditionalFormatting>
  <conditionalFormatting sqref="AU496">
    <cfRule type="containsText" dxfId="2" priority="1481" operator="between" text="库存为">
      <formula>NOT(ISERROR(SEARCH("库存为",AU496)))</formula>
    </cfRule>
    <cfRule type="cellIs" dxfId="1" priority="1986" operator="greaterThan">
      <formula>120</formula>
    </cfRule>
    <cfRule type="cellIs" dxfId="0" priority="2491" operator="lessThan">
      <formula>20</formula>
    </cfRule>
  </conditionalFormatting>
  <conditionalFormatting sqref="AU497">
    <cfRule type="containsText" dxfId="2" priority="1480" operator="between" text="库存为">
      <formula>NOT(ISERROR(SEARCH("库存为",AU497)))</formula>
    </cfRule>
    <cfRule type="cellIs" dxfId="1" priority="1985" operator="greaterThan">
      <formula>120</formula>
    </cfRule>
    <cfRule type="cellIs" dxfId="0" priority="2490" operator="lessThan">
      <formula>20</formula>
    </cfRule>
  </conditionalFormatting>
  <conditionalFormatting sqref="AU498">
    <cfRule type="containsText" dxfId="2" priority="1479" operator="between" text="库存为">
      <formula>NOT(ISERROR(SEARCH("库存为",AU498)))</formula>
    </cfRule>
    <cfRule type="cellIs" dxfId="1" priority="1984" operator="greaterThan">
      <formula>120</formula>
    </cfRule>
    <cfRule type="cellIs" dxfId="0" priority="2489" operator="lessThan">
      <formula>20</formula>
    </cfRule>
  </conditionalFormatting>
  <conditionalFormatting sqref="AU499">
    <cfRule type="containsText" dxfId="2" priority="1478" operator="between" text="库存为">
      <formula>NOT(ISERROR(SEARCH("库存为",AU499)))</formula>
    </cfRule>
    <cfRule type="cellIs" dxfId="1" priority="1983" operator="greaterThan">
      <formula>120</formula>
    </cfRule>
    <cfRule type="cellIs" dxfId="0" priority="2488" operator="lessThan">
      <formula>20</formula>
    </cfRule>
  </conditionalFormatting>
  <conditionalFormatting sqref="AU500">
    <cfRule type="containsText" dxfId="2" priority="1477" operator="between" text="库存为">
      <formula>NOT(ISERROR(SEARCH("库存为",AU500)))</formula>
    </cfRule>
    <cfRule type="cellIs" dxfId="1" priority="1982" operator="greaterThan">
      <formula>120</formula>
    </cfRule>
    <cfRule type="cellIs" dxfId="0" priority="2487" operator="lessThan">
      <formula>20</formula>
    </cfRule>
  </conditionalFormatting>
  <conditionalFormatting sqref="AU501">
    <cfRule type="containsText" dxfId="2" priority="1476" operator="between" text="库存为">
      <formula>NOT(ISERROR(SEARCH("库存为",AU501)))</formula>
    </cfRule>
    <cfRule type="cellIs" dxfId="1" priority="1981" operator="greaterThan">
      <formula>120</formula>
    </cfRule>
    <cfRule type="cellIs" dxfId="0" priority="2486" operator="lessThan">
      <formula>20</formula>
    </cfRule>
  </conditionalFormatting>
  <conditionalFormatting sqref="AU502">
    <cfRule type="containsText" dxfId="2" priority="1475" operator="between" text="库存为">
      <formula>NOT(ISERROR(SEARCH("库存为",AU502)))</formula>
    </cfRule>
    <cfRule type="cellIs" dxfId="1" priority="1980" operator="greaterThan">
      <formula>120</formula>
    </cfRule>
    <cfRule type="cellIs" dxfId="0" priority="2485" operator="lessThan">
      <formula>20</formula>
    </cfRule>
  </conditionalFormatting>
  <conditionalFormatting sqref="AU503">
    <cfRule type="containsText" dxfId="2" priority="1474" operator="between" text="库存为">
      <formula>NOT(ISERROR(SEARCH("库存为",AU503)))</formula>
    </cfRule>
    <cfRule type="cellIs" dxfId="1" priority="1979" operator="greaterThan">
      <formula>120</formula>
    </cfRule>
    <cfRule type="cellIs" dxfId="0" priority="2484" operator="lessThan">
      <formula>20</formula>
    </cfRule>
  </conditionalFormatting>
  <conditionalFormatting sqref="AU504">
    <cfRule type="containsText" dxfId="2" priority="1473" operator="between" text="库存为">
      <formula>NOT(ISERROR(SEARCH("库存为",AU504)))</formula>
    </cfRule>
    <cfRule type="cellIs" dxfId="1" priority="1978" operator="greaterThan">
      <formula>120</formula>
    </cfRule>
    <cfRule type="cellIs" dxfId="0" priority="2483" operator="lessThan">
      <formula>20</formula>
    </cfRule>
  </conditionalFormatting>
  <conditionalFormatting sqref="AU505">
    <cfRule type="containsText" dxfId="2" priority="1472" operator="between" text="库存为">
      <formula>NOT(ISERROR(SEARCH("库存为",AU505)))</formula>
    </cfRule>
    <cfRule type="cellIs" dxfId="1" priority="1977" operator="greaterThan">
      <formula>120</formula>
    </cfRule>
    <cfRule type="cellIs" dxfId="0" priority="2482" operator="lessThan">
      <formula>20</formula>
    </cfRule>
  </conditionalFormatting>
  <conditionalFormatting sqref="AU506">
    <cfRule type="containsText" dxfId="2" priority="1471" operator="between" text="库存为">
      <formula>NOT(ISERROR(SEARCH("库存为",AU506)))</formula>
    </cfRule>
    <cfRule type="cellIs" dxfId="1" priority="1976" operator="greaterThan">
      <formula>120</formula>
    </cfRule>
    <cfRule type="cellIs" dxfId="0" priority="2481" operator="lessThan">
      <formula>20</formula>
    </cfRule>
  </conditionalFormatting>
  <conditionalFormatting sqref="AU507:AU1298">
    <cfRule type="containsText" dxfId="2" priority="2999" operator="between" text="库存为">
      <formula>NOT(ISERROR(SEARCH("库存为",AU507)))</formula>
    </cfRule>
    <cfRule type="cellIs" dxfId="1" priority="3000" operator="greaterThan">
      <formula>120</formula>
    </cfRule>
    <cfRule type="cellIs" dxfId="0" priority="300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20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571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572</v>
      </c>
      <c r="AI1" s="10"/>
      <c r="AJ1" s="10"/>
      <c r="AK1" s="10"/>
      <c r="AL1" s="10" t="s">
        <v>573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43269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2018/7/9-2018/7/15</v>
      </c>
      <c r="C3" s="13" t="str">
        <f>TEXT(时间!$B$8,"yyyy/M/d")&amp;"-"&amp;TEXT(时间!$B$7,"yyyy/M/d")</f>
        <v>2018/7/2-2018/7/8</v>
      </c>
      <c r="D3" s="13" t="str">
        <f>TEXT(时间!$B$10,"yyyy/M/d")&amp;"-"&amp;TEXT(时间!$B$9,"yyyy/M/d")</f>
        <v>2018/6/25-2018/7/1</v>
      </c>
      <c r="E3" s="13" t="str">
        <f>TEXT(时间!$B$12,"yyyy/M/d")&amp;"-"&amp;TEXT(时间!$B$11,"yyyy/M/d")</f>
        <v>2018/6/18-2018/6/24</v>
      </c>
      <c r="F3" s="14"/>
      <c r="G3" s="15"/>
      <c r="H3" s="15"/>
      <c r="I3" s="15"/>
      <c r="J3" s="15"/>
      <c r="K3" s="15"/>
      <c r="L3" s="15"/>
      <c r="M3" s="20" t="s">
        <v>574</v>
      </c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5"/>
      <c r="AR3" s="25"/>
      <c r="AS3" s="21"/>
      <c r="AT3" s="21"/>
    </row>
    <row r="4" spans="1:46">
      <c r="A4" s="5" t="s">
        <v>15</v>
      </c>
      <c r="B4" s="5" t="s">
        <v>575</v>
      </c>
      <c r="C4" s="5" t="s">
        <v>576</v>
      </c>
      <c r="D4" s="5" t="s">
        <v>577</v>
      </c>
      <c r="E4" s="5" t="s">
        <v>578</v>
      </c>
      <c r="F4" s="6" t="s">
        <v>20</v>
      </c>
      <c r="G4" t="s">
        <v>21</v>
      </c>
      <c r="H4" t="s">
        <v>22</v>
      </c>
      <c r="I4" t="s">
        <v>579</v>
      </c>
      <c r="J4" t="s">
        <v>24</v>
      </c>
      <c r="K4" t="s">
        <v>25</v>
      </c>
      <c r="L4" t="s">
        <v>26</v>
      </c>
      <c r="M4" t="s">
        <v>27</v>
      </c>
      <c r="N4" s="19" t="s">
        <v>28</v>
      </c>
      <c r="O4" s="19" t="s">
        <v>29</v>
      </c>
      <c r="P4" s="19" t="s">
        <v>30</v>
      </c>
      <c r="Q4" s="19" t="s">
        <v>31</v>
      </c>
      <c r="R4" s="19" t="s">
        <v>32</v>
      </c>
      <c r="S4" s="19" t="s">
        <v>33</v>
      </c>
      <c r="T4" s="19" t="s">
        <v>34</v>
      </c>
      <c r="U4" s="19" t="s">
        <v>35</v>
      </c>
      <c r="V4" s="19" t="s">
        <v>36</v>
      </c>
      <c r="W4" s="19" t="s">
        <v>37</v>
      </c>
      <c r="X4" s="19" t="s">
        <v>38</v>
      </c>
      <c r="Y4" s="19" t="s">
        <v>39</v>
      </c>
      <c r="Z4" s="19" t="s">
        <v>40</v>
      </c>
      <c r="AA4" s="19" t="s">
        <v>41</v>
      </c>
      <c r="AB4" s="19" t="s">
        <v>42</v>
      </c>
      <c r="AC4" s="19" t="s">
        <v>43</v>
      </c>
      <c r="AD4" s="19">
        <f>时间!$B$6</f>
        <v>43290</v>
      </c>
      <c r="AE4" s="19">
        <f>时间!$B$7</f>
        <v>43289</v>
      </c>
      <c r="AF4" s="19">
        <f>时间!$B$8</f>
        <v>43283</v>
      </c>
      <c r="AG4" s="19">
        <f>时间!$B$9</f>
        <v>43282</v>
      </c>
      <c r="AH4" s="19">
        <f>时间!$B$6</f>
        <v>43290</v>
      </c>
      <c r="AI4" s="19">
        <f>时间!$B$7</f>
        <v>43289</v>
      </c>
      <c r="AJ4" s="19">
        <f>时间!$B$8</f>
        <v>43283</v>
      </c>
      <c r="AK4" s="19">
        <f>时间!$B$9</f>
        <v>43282</v>
      </c>
      <c r="AL4" s="19">
        <f>时间!$B$6</f>
        <v>43290</v>
      </c>
      <c r="AM4" s="19">
        <f>时间!$B$7</f>
        <v>43289</v>
      </c>
      <c r="AN4" s="19">
        <f>时间!$B$8</f>
        <v>43283</v>
      </c>
      <c r="AO4" s="19">
        <f>时间!$B$9</f>
        <v>43282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260</v>
      </c>
      <c r="C5" s="16">
        <f t="shared" si="14"/>
        <v>228</v>
      </c>
      <c r="D5" s="16">
        <f t="shared" si="14"/>
        <v>261</v>
      </c>
      <c r="E5" s="16">
        <f t="shared" si="14"/>
        <v>233</v>
      </c>
      <c r="F5" s="17"/>
      <c r="G5" s="4">
        <f t="shared" si="14"/>
        <v>2333</v>
      </c>
      <c r="H5" s="4">
        <f t="shared" si="14"/>
        <v>98</v>
      </c>
      <c r="I5" s="4">
        <f t="shared" si="14"/>
        <v>11</v>
      </c>
      <c r="J5" s="4">
        <f t="shared" si="14"/>
        <v>172</v>
      </c>
      <c r="K5" s="4">
        <f t="shared" si="14"/>
        <v>2614</v>
      </c>
      <c r="L5" s="4">
        <f t="shared" si="14"/>
        <v>48</v>
      </c>
      <c r="M5" s="4">
        <f t="shared" si="14"/>
        <v>452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1172.06</v>
      </c>
      <c r="AA5" s="4">
        <f>SUM(AA6:AA9995)</f>
        <v>1058.24</v>
      </c>
      <c r="AB5" s="4">
        <f>SUM(AB6:AB9995)</f>
        <v>1164.84</v>
      </c>
      <c r="AC5" s="4">
        <f>SUM(AC6:AC9995)</f>
        <v>1347.57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27</v>
      </c>
      <c r="C6" s="5">
        <f>SUMIF('库存（子SKU）'!$C:$C,$A6,'库存（子SKU）'!E:E)</f>
        <v>24</v>
      </c>
      <c r="D6" s="5">
        <f>SUMIF('库存（子SKU）'!$C:$C,$A6,'库存（子SKU）'!F:F)</f>
        <v>24</v>
      </c>
      <c r="E6" s="5">
        <f>SUMIF('库存（子SKU）'!$C:$C,$A6,'库存（子SKU）'!G:G)</f>
        <v>31</v>
      </c>
      <c r="F6" s="6">
        <v>91.9899999999998</v>
      </c>
      <c r="G6">
        <f>SUMIF('库存（子SKU）'!$C:$C,$A6,'库存（子SKU）'!I:I)</f>
        <v>197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197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33402</v>
      </c>
      <c r="O6">
        <f>SUMIF('库存（子SKU）'!$C:$C,$A6,'库存（子SKU）'!Q:Q)</f>
        <v>17343</v>
      </c>
      <c r="P6">
        <f>SUMIF('库存（子SKU）'!$C:$C,$A6,'库存（子SKU）'!R:R)</f>
        <v>121521</v>
      </c>
      <c r="Q6">
        <f>SUMIF('库存（子SKU）'!$C:$C,$A6,'库存（子SKU）'!S:S)</f>
        <v>133645</v>
      </c>
      <c r="R6">
        <f>SUMIF('库存（子SKU）'!$C:$C,$A6,'库存（子SKU）'!T:T)</f>
        <v>206</v>
      </c>
      <c r="S6">
        <f>SUMIF('库存（子SKU）'!$C:$C,$A6,'库存（子SKU）'!U:U)</f>
        <v>76</v>
      </c>
      <c r="T6">
        <f>SUMIF('库存（子SKU）'!$C:$C,$A6,'库存（子SKU）'!V:V)</f>
        <v>679</v>
      </c>
      <c r="U6">
        <f>SUMIF('库存（子SKU）'!$C:$C,$A6,'库存（子SKU）'!W:W)</f>
        <v>816</v>
      </c>
      <c r="V6" s="23">
        <f t="shared" ref="V6:V69" si="15">IFERROR(R6/N6,"")</f>
        <v>0.00616729537153464</v>
      </c>
      <c r="W6" s="23">
        <f t="shared" ref="W6:W69" si="16">IFERROR(S6/O6,"")</f>
        <v>0.00438217148128928</v>
      </c>
      <c r="X6" s="23">
        <f t="shared" ref="X6:X69" si="17">IFERROR(T6/P6,"")</f>
        <v>0.0055875116235054</v>
      </c>
      <c r="Y6" s="23">
        <f t="shared" ref="Y6:Y69" si="18">IFERROR(U6/Q6,"")</f>
        <v>0.00610572786112462</v>
      </c>
      <c r="Z6">
        <f>SUMIF('库存（子SKU）'!$C:$C,$A6,'库存（子SKU）'!AB:AB)</f>
        <v>66.93</v>
      </c>
      <c r="AA6">
        <f>SUMIF('库存（子SKU）'!$C:$C,$A6,'库存（子SKU）'!AC:AC)</f>
        <v>12.56</v>
      </c>
      <c r="AB6">
        <f>SUMIF('库存（子SKU）'!$C:$C,$A6,'库存（子SKU）'!AD:AD)</f>
        <v>111.47</v>
      </c>
      <c r="AC6">
        <f>SUMIF('库存（子SKU）'!$C:$C,$A6,'库存（子SKU）'!AE:AE)</f>
        <v>130.78</v>
      </c>
      <c r="AD6" s="23">
        <f t="shared" si="2"/>
        <v>0.0269473735067822</v>
      </c>
      <c r="AE6" s="23">
        <f t="shared" si="3"/>
        <v>0.00568902416929378</v>
      </c>
      <c r="AF6" s="23">
        <f t="shared" si="4"/>
        <v>0.0504900895024823</v>
      </c>
      <c r="AG6" s="23">
        <f t="shared" si="5"/>
        <v>0.045860524811603</v>
      </c>
      <c r="AH6">
        <f>SUMIF('库存（子SKU）'!$C:$C,$A6,'库存（子SKU）'!AJ:AJ)</f>
        <v>1053</v>
      </c>
      <c r="AI6">
        <f>SUMIF('库存（子SKU）'!$C:$C,$A6,'库存（子SKU）'!AK:AK)</f>
        <v>732</v>
      </c>
      <c r="AJ6">
        <f>SUMIF('库存（子SKU）'!$C:$C,$A6,'库存（子SKU）'!AL:AL)</f>
        <v>1277</v>
      </c>
      <c r="AK6">
        <f>SUMIF('库存（子SKU）'!$C:$C,$A6,'库存（子SKU）'!AM:AM)</f>
        <v>1411</v>
      </c>
      <c r="AL6" s="23">
        <f t="shared" si="6"/>
        <v>0.0256410256410256</v>
      </c>
      <c r="AM6" s="23">
        <f t="shared" si="7"/>
        <v>0.0327868852459016</v>
      </c>
      <c r="AN6" s="23">
        <f t="shared" si="8"/>
        <v>0.0187940485512921</v>
      </c>
      <c r="AO6" s="23">
        <f t="shared" si="9"/>
        <v>0.0219702338766832</v>
      </c>
      <c r="AP6" s="7">
        <f t="shared" si="10"/>
        <v>3.85714285714286</v>
      </c>
      <c r="AQ6" s="7">
        <f t="shared" si="11"/>
        <v>231.428571428571</v>
      </c>
      <c r="AR6" s="7">
        <f t="shared" si="12"/>
        <v>-34.4285714285714</v>
      </c>
      <c r="AS6">
        <f t="shared" si="13"/>
        <v>51</v>
      </c>
      <c r="AT6" s="2">
        <f>IFERROR(时间!$B$4+AS6,"上周无销量")</f>
        <v>43348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9</v>
      </c>
      <c r="AI7">
        <f>SUMIF('库存（子SKU）'!$C:$C,$A7,'库存（子SKU）'!AK:AK)</f>
        <v>11</v>
      </c>
      <c r="AJ7">
        <f>SUMIF('库存（子SKU）'!$C:$C,$A7,'库存（子SKU）'!AL:AL)</f>
        <v>68</v>
      </c>
      <c r="AK7">
        <f>SUMIF('库存（子SKU）'!$C:$C,$A7,'库存（子SKU）'!AM:AM)</f>
        <v>21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0</v>
      </c>
      <c r="C8" s="5">
        <f>SUMIF('库存（子SKU）'!$C:$C,$A8,'库存（子SKU）'!E:E)</f>
        <v>1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v>31.99</v>
      </c>
      <c r="G8">
        <f>SUMIF('库存（子SKU）'!$C:$C,$A8,'库存（子SKU）'!I:I)</f>
        <v>127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127</v>
      </c>
      <c r="L8">
        <f>SUMIF('库存（子SKU）'!$C:$C,$A8,'库存（子SKU）'!N:N)</f>
        <v>0</v>
      </c>
      <c r="M8">
        <f>SUMIF('库存（子SKU）'!$C:$C,$A8,'库存（子SKU）'!O:O)</f>
        <v>4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>
        <f t="shared" si="3"/>
        <v>0</v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54</v>
      </c>
      <c r="AI8">
        <f>SUMIF('库存（子SKU）'!$C:$C,$A8,'库存（子SKU）'!AK:AK)</f>
        <v>30</v>
      </c>
      <c r="AJ8">
        <f>SUMIF('库存（子SKU）'!$C:$C,$A8,'库存（子SKU）'!AL:AL)</f>
        <v>21</v>
      </c>
      <c r="AK8">
        <f>SUMIF('库存（子SKU）'!$C:$C,$A8,'库存（子SKU）'!AM:AM)</f>
        <v>24</v>
      </c>
      <c r="AL8" s="23">
        <f t="shared" si="6"/>
        <v>0</v>
      </c>
      <c r="AM8" s="23">
        <f t="shared" si="7"/>
        <v>0.0333333333333333</v>
      </c>
      <c r="AN8" s="23">
        <f t="shared" si="8"/>
        <v>0.0476190476190476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127</v>
      </c>
      <c r="AS8" t="str">
        <f t="shared" si="13"/>
        <v>库存为127</v>
      </c>
      <c r="AT8" s="2" t="str">
        <f>IFERROR(时间!$B$4+AS8,"上周无销量")</f>
        <v>上周无销量</v>
      </c>
    </row>
    <row r="9" spans="1:46">
      <c r="A9" s="18" t="s">
        <v>65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57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</v>
      </c>
      <c r="AI9">
        <f>SUMIF('库存（子SKU）'!$C:$C,$A9,'库存（子SKU）'!AK:AK)</f>
        <v>1</v>
      </c>
      <c r="AJ9">
        <f>SUMIF('库存（子SKU）'!$C:$C,$A9,'库存（子SKU）'!AL:AL)</f>
        <v>5</v>
      </c>
      <c r="AK9">
        <f>SUMIF('库存（子SKU）'!$C:$C,$A9,'库存（子SKU）'!AM:AM)</f>
        <v>6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s="19" t="s">
        <v>68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57</v>
      </c>
      <c r="G10">
        <f>SUMIF('库存（子SKU）'!$C:$C,$A10,'库存（子SKU）'!I:I)</f>
        <v>13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13</v>
      </c>
      <c r="L10">
        <f>SUMIF('库存（子SKU）'!$C:$C,$A10,'库存（子SKU）'!N:N)</f>
        <v>0</v>
      </c>
      <c r="M10">
        <f>SUMIF('库存（子SKU）'!$C:$C,$A10,'库存（子SKU）'!O:O)</f>
        <v>3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48</v>
      </c>
      <c r="AI10">
        <f>SUMIF('库存（子SKU）'!$C:$C,$A10,'库存（子SKU）'!AK:AK)</f>
        <v>54</v>
      </c>
      <c r="AJ10">
        <f>SUMIF('库存（子SKU）'!$C:$C,$A10,'库存（子SKU）'!AL:AL)</f>
        <v>52</v>
      </c>
      <c r="AK10">
        <f>SUMIF('库存（子SKU）'!$C:$C,$A10,'库存（子SKU）'!AM:AM)</f>
        <v>64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13</v>
      </c>
      <c r="AS10" t="str">
        <f t="shared" si="13"/>
        <v>库存为13</v>
      </c>
      <c r="AT10" s="2" t="str">
        <f>IFERROR(时间!$B$4+AS10,"上周无销量")</f>
        <v>上周无销量</v>
      </c>
    </row>
    <row r="11" spans="1:46">
      <c r="A11" t="s">
        <v>75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57</v>
      </c>
      <c r="G11">
        <f>SUMIF('库存（子SKU）'!$C:$C,$A11,'库存（子SKU）'!I:I)</f>
        <v>41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11</v>
      </c>
      <c r="K11">
        <f t="shared" si="0"/>
        <v>52</v>
      </c>
      <c r="L11">
        <f>SUMIF('库存（子SKU）'!$C:$C,$A11,'库存（子SKU）'!N:N)</f>
        <v>0</v>
      </c>
      <c r="M11">
        <f>SUMIF('库存（子SKU）'!$C:$C,$A11,'库存（子SKU）'!O:O)</f>
        <v>19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37</v>
      </c>
      <c r="AI11">
        <f>SUMIF('库存（子SKU）'!$C:$C,$A11,'库存（子SKU）'!AK:AK)</f>
        <v>24</v>
      </c>
      <c r="AJ11">
        <f>SUMIF('库存（子SKU）'!$C:$C,$A11,'库存（子SKU）'!AL:AL)</f>
        <v>11</v>
      </c>
      <c r="AK11">
        <f>SUMIF('库存（子SKU）'!$C:$C,$A11,'库存（子SKU）'!AM:AM)</f>
        <v>22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52</v>
      </c>
      <c r="AS11" t="str">
        <f t="shared" si="13"/>
        <v>库存为52</v>
      </c>
      <c r="AT11" s="2" t="str">
        <f>IFERROR(时间!$B$4+AS11,"上周无销量")</f>
        <v>上周无销量</v>
      </c>
    </row>
    <row r="12" spans="1:46">
      <c r="A12" t="s">
        <v>80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57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83</v>
      </c>
      <c r="B13" s="5">
        <f>SUMIF('库存（子SKU）'!$C:$C,$A13,'库存（子SKU）'!D:D)</f>
        <v>3</v>
      </c>
      <c r="C13" s="5">
        <f>SUMIF('库存（子SKU）'!$C:$C,$A13,'库存（子SKU）'!E:E)</f>
        <v>5</v>
      </c>
      <c r="D13" s="5">
        <f>SUMIF('库存（子SKU）'!$C:$C,$A13,'库存（子SKU）'!F:F)</f>
        <v>4</v>
      </c>
      <c r="E13" s="5">
        <f>SUMIF('库存（子SKU）'!$C:$C,$A13,'库存（子SKU）'!G:G)</f>
        <v>5</v>
      </c>
      <c r="F13" s="6">
        <v>83.5194117647059</v>
      </c>
      <c r="G13">
        <f>SUMIF('库存（子SKU）'!$C:$C,$A13,'库存（子SKU）'!I:I)</f>
        <v>19</v>
      </c>
      <c r="H13">
        <f>SUMIF('库存（子SKU）'!$C:$C,$A13,'库存（子SKU）'!J:J)</f>
        <v>11</v>
      </c>
      <c r="I13">
        <f>SUMIF('库存（子SKU）'!$C:$C,$A13,'库存（子SKU）'!K:K)</f>
        <v>0</v>
      </c>
      <c r="J13">
        <f>SUMIF('库存（子SKU）'!$C:$C,$A13,'库存（子SKU）'!L:L)</f>
        <v>2</v>
      </c>
      <c r="K13">
        <f t="shared" si="0"/>
        <v>32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0</v>
      </c>
      <c r="O13">
        <f>SUMIF('库存（子SKU）'!$C:$C,$A13,'库存（子SKU）'!Q:Q)</f>
        <v>5872</v>
      </c>
      <c r="P13">
        <f>SUMIF('库存（子SKU）'!$C:$C,$A13,'库存（子SKU）'!R:R)</f>
        <v>37724</v>
      </c>
      <c r="Q13">
        <f>SUMIF('库存（子SKU）'!$C:$C,$A13,'库存（子SKU）'!S:S)</f>
        <v>26308</v>
      </c>
      <c r="R13">
        <f>SUMIF('库存（子SKU）'!$C:$C,$A13,'库存（子SKU）'!T:T)</f>
        <v>0</v>
      </c>
      <c r="S13">
        <f>SUMIF('库存（子SKU）'!$C:$C,$A13,'库存（子SKU）'!U:U)</f>
        <v>43</v>
      </c>
      <c r="T13">
        <f>SUMIF('库存（子SKU）'!$C:$C,$A13,'库存（子SKU）'!V:V)</f>
        <v>260</v>
      </c>
      <c r="U13">
        <f>SUMIF('库存（子SKU）'!$C:$C,$A13,'库存（子SKU）'!W:W)</f>
        <v>244</v>
      </c>
      <c r="V13" s="23" t="str">
        <f t="shared" si="15"/>
        <v/>
      </c>
      <c r="W13" s="23">
        <f t="shared" si="16"/>
        <v>0.00732288828337875</v>
      </c>
      <c r="X13" s="23">
        <f t="shared" si="17"/>
        <v>0.00689216413953982</v>
      </c>
      <c r="Y13" s="23">
        <f t="shared" si="18"/>
        <v>0.00927474532461609</v>
      </c>
      <c r="Z13">
        <f>SUMIF('库存（子SKU）'!$C:$C,$A13,'库存（子SKU）'!AB:AB)</f>
        <v>0</v>
      </c>
      <c r="AA13">
        <f>SUMIF('库存（子SKU）'!$C:$C,$A13,'库存（子SKU）'!AC:AC)</f>
        <v>5.92</v>
      </c>
      <c r="AB13">
        <f>SUMIF('库存（子SKU）'!$C:$C,$A13,'库存（子SKU）'!AD:AD)</f>
        <v>35.66</v>
      </c>
      <c r="AC13">
        <f>SUMIF('库存（子SKU）'!$C:$C,$A13,'库存（子SKU）'!AE:AE)</f>
        <v>33.78</v>
      </c>
      <c r="AD13" s="23">
        <f t="shared" si="2"/>
        <v>0</v>
      </c>
      <c r="AE13" s="23">
        <f t="shared" si="3"/>
        <v>0.014176345055394</v>
      </c>
      <c r="AF13" s="23">
        <f t="shared" si="4"/>
        <v>0.106741652169626</v>
      </c>
      <c r="AG13" s="23">
        <f t="shared" si="5"/>
        <v>0.0808913743194608</v>
      </c>
      <c r="AH13">
        <f>SUMIF('库存（子SKU）'!$C:$C,$A13,'库存（子SKU）'!AJ:AJ)</f>
        <v>122</v>
      </c>
      <c r="AI13">
        <f>SUMIF('库存（子SKU）'!$C:$C,$A13,'库存（子SKU）'!AK:AK)</f>
        <v>101</v>
      </c>
      <c r="AJ13">
        <f>SUMIF('库存（子SKU）'!$C:$C,$A13,'库存（子SKU）'!AL:AL)</f>
        <v>301</v>
      </c>
      <c r="AK13">
        <f>SUMIF('库存（子SKU）'!$C:$C,$A13,'库存（子SKU）'!AM:AM)</f>
        <v>295</v>
      </c>
      <c r="AL13" s="23">
        <f t="shared" si="6"/>
        <v>0.0245901639344262</v>
      </c>
      <c r="AM13" s="23">
        <f t="shared" si="7"/>
        <v>0.0495049504950495</v>
      </c>
      <c r="AN13" s="23">
        <f t="shared" si="8"/>
        <v>0.0132890365448505</v>
      </c>
      <c r="AO13" s="23">
        <f t="shared" si="9"/>
        <v>0.0169491525423729</v>
      </c>
      <c r="AP13" s="7">
        <f t="shared" si="10"/>
        <v>0.428571428571429</v>
      </c>
      <c r="AQ13" s="7">
        <f t="shared" si="11"/>
        <v>25.7142857142857</v>
      </c>
      <c r="AR13" s="7">
        <f t="shared" si="12"/>
        <v>6.28571428571429</v>
      </c>
      <c r="AS13">
        <f t="shared" si="13"/>
        <v>74</v>
      </c>
      <c r="AT13" s="2">
        <f>IFERROR(时间!$B$4+AS13,"上周无销量")</f>
        <v>43371</v>
      </c>
    </row>
    <row r="14" spans="1:46">
      <c r="A14" t="s">
        <v>90</v>
      </c>
      <c r="B14" s="5">
        <f>SUMIF('库存（子SKU）'!$C:$C,$A14,'库存（子SKU）'!D:D)</f>
        <v>3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>
        <v>79.99</v>
      </c>
      <c r="G14">
        <f>SUMIF('库存（子SKU）'!$C:$C,$A14,'库存（子SKU）'!I:I)</f>
        <v>19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19</v>
      </c>
      <c r="L14">
        <f>SUMIF('库存（子SKU）'!$C:$C,$A14,'库存（子SKU）'!N:N)</f>
        <v>0</v>
      </c>
      <c r="M14">
        <f>SUMIF('库存（子SKU）'!$C:$C,$A14,'库存（子SKU）'!O:O)</f>
        <v>20</v>
      </c>
      <c r="N14">
        <f>SUMIF('库存（子SKU）'!$C:$C,$A14,'库存（子SKU）'!P:P)</f>
        <v>277733</v>
      </c>
      <c r="O14">
        <f>SUMIF('库存（子SKU）'!$C:$C,$A14,'库存（子SKU）'!Q:Q)</f>
        <v>216972</v>
      </c>
      <c r="P14">
        <f>SUMIF('库存（子SKU）'!$C:$C,$A14,'库存（子SKU）'!R:R)</f>
        <v>12201</v>
      </c>
      <c r="Q14">
        <f>SUMIF('库存（子SKU）'!$C:$C,$A14,'库存（子SKU）'!S:S)</f>
        <v>13497</v>
      </c>
      <c r="R14">
        <f>SUMIF('库存（子SKU）'!$C:$C,$A14,'库存（子SKU）'!T:T)</f>
        <v>332</v>
      </c>
      <c r="S14">
        <f>SUMIF('库存（子SKU）'!$C:$C,$A14,'库存（子SKU）'!U:U)</f>
        <v>206</v>
      </c>
      <c r="T14">
        <f>SUMIF('库存（子SKU）'!$C:$C,$A14,'库存（子SKU）'!V:V)</f>
        <v>35</v>
      </c>
      <c r="U14">
        <f>SUMIF('库存（子SKU）'!$C:$C,$A14,'库存（子SKU）'!W:W)</f>
        <v>35</v>
      </c>
      <c r="V14" s="23">
        <f t="shared" si="15"/>
        <v>0.00119539269730281</v>
      </c>
      <c r="W14" s="23">
        <f t="shared" si="16"/>
        <v>0.000949431263020113</v>
      </c>
      <c r="X14" s="23">
        <f t="shared" si="17"/>
        <v>0.00286861732644865</v>
      </c>
      <c r="Y14" s="23">
        <f t="shared" si="18"/>
        <v>0.00259316885233756</v>
      </c>
      <c r="Z14">
        <f>SUMIF('库存（子SKU）'!$C:$C,$A14,'库存（子SKU）'!AB:AB)</f>
        <v>90.58</v>
      </c>
      <c r="AA14">
        <f>SUMIF('库存（子SKU）'!$C:$C,$A14,'库存（子SKU）'!AC:AC)</f>
        <v>53.14</v>
      </c>
      <c r="AB14">
        <f>SUMIF('库存（子SKU）'!$C:$C,$A14,'库存（子SKU）'!AD:AD)</f>
        <v>4.87</v>
      </c>
      <c r="AC14">
        <f>SUMIF('库存（子SKU）'!$C:$C,$A14,'库存（子SKU）'!AE:AE)</f>
        <v>5.1</v>
      </c>
      <c r="AD14" s="23">
        <f t="shared" si="2"/>
        <v>0.377463849647873</v>
      </c>
      <c r="AE14" s="23" t="str">
        <f t="shared" si="3"/>
        <v>无销量广告费为53.14</v>
      </c>
      <c r="AF14" s="23" t="str">
        <f t="shared" si="4"/>
        <v>无销量广告费为4.87</v>
      </c>
      <c r="AG14" s="23" t="str">
        <f t="shared" si="5"/>
        <v>无销量广告费为5.1</v>
      </c>
      <c r="AH14">
        <f>SUMIF('库存（子SKU）'!$C:$C,$A14,'库存（子SKU）'!AJ:AJ)</f>
        <v>253</v>
      </c>
      <c r="AI14">
        <f>SUMIF('库存（子SKU）'!$C:$C,$A14,'库存（子SKU）'!AK:AK)</f>
        <v>177</v>
      </c>
      <c r="AJ14">
        <f>SUMIF('库存（子SKU）'!$C:$C,$A14,'库存（子SKU）'!AL:AL)</f>
        <v>28</v>
      </c>
      <c r="AK14">
        <f>SUMIF('库存（子SKU）'!$C:$C,$A14,'库存（子SKU）'!AM:AM)</f>
        <v>48</v>
      </c>
      <c r="AL14" s="23">
        <f t="shared" si="6"/>
        <v>0.0118577075098814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7">
        <f t="shared" si="10"/>
        <v>0.428571428571429</v>
      </c>
      <c r="AQ14" s="7">
        <f t="shared" si="11"/>
        <v>25.7142857142857</v>
      </c>
      <c r="AR14" s="7">
        <f t="shared" si="12"/>
        <v>-6.71428571428571</v>
      </c>
      <c r="AS14">
        <f t="shared" si="13"/>
        <v>44</v>
      </c>
      <c r="AT14" s="2">
        <f>IFERROR(时间!$B$4+AS14,"上周无销量")</f>
        <v>43341</v>
      </c>
    </row>
    <row r="15" spans="1:46">
      <c r="A15" t="s">
        <v>96</v>
      </c>
      <c r="B15" s="5">
        <f>SUMIF('库存（子SKU）'!$C:$C,$A15,'库存（子SKU）'!D:D)</f>
        <v>1</v>
      </c>
      <c r="C15" s="5">
        <f>SUMIF('库存（子SKU）'!$C:$C,$A15,'库存（子SKU）'!E:E)</f>
        <v>2</v>
      </c>
      <c r="D15" s="5">
        <f>SUMIF('库存（子SKU）'!$C:$C,$A15,'库存（子SKU）'!F:F)</f>
        <v>2</v>
      </c>
      <c r="E15" s="5">
        <f>SUMIF('库存（子SKU）'!$C:$C,$A15,'库存（子SKU）'!G:G)</f>
        <v>3</v>
      </c>
      <c r="F15" s="6">
        <v>89.99</v>
      </c>
      <c r="G15">
        <f>SUMIF('库存（子SKU）'!$C:$C,$A15,'库存（子SKU）'!I:I)</f>
        <v>10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343</v>
      </c>
      <c r="O15">
        <f>SUMIF('库存（子SKU）'!$C:$C,$A15,'库存（子SKU）'!Q:Q)</f>
        <v>195</v>
      </c>
      <c r="P15">
        <f>SUMIF('库存（子SKU）'!$C:$C,$A15,'库存（子SKU）'!R:R)</f>
        <v>253</v>
      </c>
      <c r="Q15">
        <f>SUMIF('库存（子SKU）'!$C:$C,$A15,'库存（子SKU）'!S:S)</f>
        <v>550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1</v>
      </c>
      <c r="V15" s="23">
        <f t="shared" si="15"/>
        <v>0</v>
      </c>
      <c r="W15" s="23">
        <f t="shared" si="16"/>
        <v>0</v>
      </c>
      <c r="X15" s="23">
        <f t="shared" si="17"/>
        <v>0</v>
      </c>
      <c r="Y15" s="23">
        <f t="shared" si="18"/>
        <v>0.00181818181818182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0.21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0.000777864207134126</v>
      </c>
      <c r="AH15">
        <f>SUMIF('库存（子SKU）'!$C:$C,$A15,'库存（子SKU）'!AJ:AJ)</f>
        <v>62</v>
      </c>
      <c r="AI15">
        <f>SUMIF('库存（子SKU）'!$C:$C,$A15,'库存（子SKU）'!AK:AK)</f>
        <v>44</v>
      </c>
      <c r="AJ15">
        <f>SUMIF('库存（子SKU）'!$C:$C,$A15,'库存（子SKU）'!AL:AL)</f>
        <v>80</v>
      </c>
      <c r="AK15">
        <f>SUMIF('库存（子SKU）'!$C:$C,$A15,'库存（子SKU）'!AM:AM)</f>
        <v>49</v>
      </c>
      <c r="AL15" s="23">
        <f t="shared" si="6"/>
        <v>0.0161290322580645</v>
      </c>
      <c r="AM15" s="23">
        <f t="shared" si="7"/>
        <v>0.0454545454545455</v>
      </c>
      <c r="AN15" s="23">
        <f t="shared" si="8"/>
        <v>0.025</v>
      </c>
      <c r="AO15" s="23">
        <f t="shared" si="9"/>
        <v>0.0612244897959184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1.42857142857143</v>
      </c>
      <c r="AS15">
        <f t="shared" si="13"/>
        <v>70</v>
      </c>
      <c r="AT15" s="2">
        <f>IFERROR(时间!$B$4+AS15,"上周无销量")</f>
        <v>43367</v>
      </c>
    </row>
    <row r="16" spans="1:46">
      <c r="A16" t="s">
        <v>99</v>
      </c>
      <c r="B16" s="5">
        <f>SUMIF('库存（子SKU）'!$C:$C,$A16,'库存（子SKU）'!D:D)</f>
        <v>4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2</v>
      </c>
      <c r="F16" s="6">
        <v>88.3233333333333</v>
      </c>
      <c r="G16">
        <f>SUMIF('库存（子SKU）'!$C:$C,$A16,'库存（子SKU）'!I:I)</f>
        <v>18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18</v>
      </c>
      <c r="L16">
        <f>SUMIF('库存（子SKU）'!$C:$C,$A16,'库存（子SKU）'!N:N)</f>
        <v>1</v>
      </c>
      <c r="M16">
        <f>SUMIF('库存（子SKU）'!$C:$C,$A16,'库存（子SKU）'!O:O)</f>
        <v>15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</v>
      </c>
      <c r="AE16" s="23" t="str">
        <f t="shared" si="3"/>
        <v/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92</v>
      </c>
      <c r="AI16">
        <f>SUMIF('库存（子SKU）'!$C:$C,$A16,'库存（子SKU）'!AK:AK)</f>
        <v>31</v>
      </c>
      <c r="AJ16">
        <f>SUMIF('库存（子SKU）'!$C:$C,$A16,'库存（子SKU）'!AL:AL)</f>
        <v>42</v>
      </c>
      <c r="AK16">
        <f>SUMIF('库存（子SKU）'!$C:$C,$A16,'库存（子SKU）'!AM:AM)</f>
        <v>70</v>
      </c>
      <c r="AL16" s="23">
        <f t="shared" si="6"/>
        <v>0.0434782608695652</v>
      </c>
      <c r="AM16" s="23">
        <f t="shared" si="7"/>
        <v>0</v>
      </c>
      <c r="AN16" s="23">
        <f t="shared" si="8"/>
        <v>0</v>
      </c>
      <c r="AO16" s="23">
        <f t="shared" si="9"/>
        <v>0.0285714285714286</v>
      </c>
      <c r="AP16" s="7">
        <f t="shared" si="10"/>
        <v>0.571428571428571</v>
      </c>
      <c r="AQ16" s="7">
        <f t="shared" si="11"/>
        <v>34.2857142857143</v>
      </c>
      <c r="AR16" s="7">
        <f t="shared" si="12"/>
        <v>-16.2857142857143</v>
      </c>
      <c r="AS16">
        <f t="shared" si="13"/>
        <v>31</v>
      </c>
      <c r="AT16" s="2">
        <f>IFERROR(时间!$B$4+AS16,"上周无销量")</f>
        <v>43328</v>
      </c>
    </row>
    <row r="17" spans="1:46">
      <c r="A17" t="s">
        <v>104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1</v>
      </c>
      <c r="E17" s="5">
        <f>SUMIF('库存（子SKU）'!$C:$C,$A17,'库存（子SKU）'!G:G)</f>
        <v>0</v>
      </c>
      <c r="F17" s="6">
        <v>99.99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13</v>
      </c>
      <c r="L17">
        <f>SUMIF('库存（子SKU）'!$C:$C,$A17,'库存（子SKU）'!N:N)</f>
        <v>0</v>
      </c>
      <c r="M17">
        <f>SUMIF('库存（子SKU）'!$C:$C,$A17,'库存（子SKU）'!O:O)</f>
        <v>3</v>
      </c>
      <c r="N17">
        <f>SUMIF('库存（子SKU）'!$C:$C,$A17,'库存（子SKU）'!P:P)</f>
        <v>3322</v>
      </c>
      <c r="O17">
        <f>SUMIF('库存（子SKU）'!$C:$C,$A17,'库存（子SKU）'!Q:Q)</f>
        <v>2886</v>
      </c>
      <c r="P17">
        <f>SUMIF('库存（子SKU）'!$C:$C,$A17,'库存（子SKU）'!R:R)</f>
        <v>11758</v>
      </c>
      <c r="Q17">
        <f>SUMIF('库存（子SKU）'!$C:$C,$A17,'库存（子SKU）'!S:S)</f>
        <v>40891</v>
      </c>
      <c r="R17">
        <f>SUMIF('库存（子SKU）'!$C:$C,$A17,'库存（子SKU）'!T:T)</f>
        <v>26</v>
      </c>
      <c r="S17">
        <f>SUMIF('库存（子SKU）'!$C:$C,$A17,'库存（子SKU）'!U:U)</f>
        <v>10</v>
      </c>
      <c r="T17">
        <f>SUMIF('库存（子SKU）'!$C:$C,$A17,'库存（子SKU）'!V:V)</f>
        <v>36</v>
      </c>
      <c r="U17">
        <f>SUMIF('库存（子SKU）'!$C:$C,$A17,'库存（子SKU）'!W:W)</f>
        <v>154</v>
      </c>
      <c r="V17" s="23">
        <f t="shared" si="15"/>
        <v>0.0078266104756171</v>
      </c>
      <c r="W17" s="23">
        <f t="shared" si="16"/>
        <v>0.00346500346500346</v>
      </c>
      <c r="X17" s="23">
        <f t="shared" si="17"/>
        <v>0.00306174519476101</v>
      </c>
      <c r="Y17" s="23">
        <f t="shared" si="18"/>
        <v>0.00376610990193441</v>
      </c>
      <c r="Z17">
        <f>SUMIF('库存（子SKU）'!$C:$C,$A17,'库存（子SKU）'!AB:AB)</f>
        <v>4.35</v>
      </c>
      <c r="AA17">
        <f>SUMIF('库存（子SKU）'!$C:$C,$A17,'库存（子SKU）'!AC:AC)</f>
        <v>1.36</v>
      </c>
      <c r="AB17">
        <f>SUMIF('库存（子SKU）'!$C:$C,$A17,'库存（子SKU）'!AD:AD)</f>
        <v>6.01</v>
      </c>
      <c r="AC17">
        <f>SUMIF('库存（子SKU）'!$C:$C,$A17,'库存（子SKU）'!AE:AE)</f>
        <v>39.83</v>
      </c>
      <c r="AD17" s="23" t="str">
        <f t="shared" si="2"/>
        <v>无销量广告费为4.35</v>
      </c>
      <c r="AE17" s="23" t="str">
        <f t="shared" si="3"/>
        <v>无销量广告费为1.36</v>
      </c>
      <c r="AF17" s="23">
        <f t="shared" si="4"/>
        <v>0.0601060106010601</v>
      </c>
      <c r="AG17" s="23" t="str">
        <f t="shared" si="5"/>
        <v>无销量广告费为39.83</v>
      </c>
      <c r="AH17">
        <f>SUMIF('库存（子SKU）'!$C:$C,$A17,'库存（子SKU）'!AJ:AJ)</f>
        <v>22</v>
      </c>
      <c r="AI17">
        <f>SUMIF('库存（子SKU）'!$C:$C,$A17,'库存（子SKU）'!AK:AK)</f>
        <v>23</v>
      </c>
      <c r="AJ17">
        <f>SUMIF('库存（子SKU）'!$C:$C,$A17,'库存（子SKU）'!AL:AL)</f>
        <v>49</v>
      </c>
      <c r="AK17">
        <f>SUMIF('库存（子SKU）'!$C:$C,$A17,'库存（子SKU）'!AM:AM)</f>
        <v>121</v>
      </c>
      <c r="AL17" s="23">
        <f t="shared" si="6"/>
        <v>0</v>
      </c>
      <c r="AM17" s="23">
        <f t="shared" si="7"/>
        <v>0</v>
      </c>
      <c r="AN17" s="23">
        <f t="shared" si="8"/>
        <v>0.0204081632653061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13</v>
      </c>
      <c r="AS17" t="str">
        <f t="shared" si="13"/>
        <v>库存为13</v>
      </c>
      <c r="AT17" s="2" t="str">
        <f>IFERROR(时间!$B$4+AS17,"上周无销量")</f>
        <v>上周无销量</v>
      </c>
    </row>
    <row r="18" spans="1:46">
      <c r="A18" t="s">
        <v>112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57</v>
      </c>
      <c r="G18">
        <f>SUMIF('库存（子SKU）'!$C:$C,$A18,'库存（子SKU）'!I:I)</f>
        <v>0</v>
      </c>
      <c r="H18">
        <f>SUMIF('库存（子SKU）'!$C:$C,$A18,'库存（子SKU）'!J:J)</f>
        <v>5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5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5</v>
      </c>
      <c r="AS18" t="str">
        <f t="shared" si="13"/>
        <v>库存为5</v>
      </c>
      <c r="AT18" s="2" t="str">
        <f>IFERROR(时间!$B$4+AS18,"上周无销量")</f>
        <v>上周无销量</v>
      </c>
    </row>
    <row r="19" spans="1:46">
      <c r="A19" t="s">
        <v>115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57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</v>
      </c>
      <c r="AI19">
        <f>SUMIF('库存（子SKU）'!$C:$C,$A19,'库存（子SKU）'!AK:AK)</f>
        <v>2</v>
      </c>
      <c r="AJ19">
        <f>SUMIF('库存（子SKU）'!$C:$C,$A19,'库存（子SKU）'!AL:AL)</f>
        <v>1</v>
      </c>
      <c r="AK19">
        <f>SUMIF('库存（子SKU）'!$C:$C,$A19,'库存（子SKU）'!AM:AM)</f>
        <v>2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</v>
      </c>
      <c r="AS19" t="str">
        <f t="shared" si="13"/>
        <v>库存为5</v>
      </c>
      <c r="AT19" s="2" t="str">
        <f>IFERROR(时间!$B$4+AS19,"上周无销量")</f>
        <v>上周无销量</v>
      </c>
    </row>
    <row r="20" spans="1:46">
      <c r="A20" t="s">
        <v>118</v>
      </c>
      <c r="B20" s="5">
        <f>SUMIF('库存（子SKU）'!$C:$C,$A20,'库存（子SKU）'!D:D)</f>
        <v>4</v>
      </c>
      <c r="C20" s="5">
        <f>SUMIF('库存（子SKU）'!$C:$C,$A20,'库存（子SKU）'!E:E)</f>
        <v>1</v>
      </c>
      <c r="D20" s="5">
        <f>SUMIF('库存（子SKU）'!$C:$C,$A20,'库存（子SKU）'!F:F)</f>
        <v>2</v>
      </c>
      <c r="E20" s="5">
        <f>SUMIF('库存（子SKU）'!$C:$C,$A20,'库存（子SKU）'!G:G)</f>
        <v>2</v>
      </c>
      <c r="F20" s="6">
        <v>32.99</v>
      </c>
      <c r="G20">
        <f>SUMIF('库存（子SKU）'!$C:$C,$A20,'库存（子SKU）'!I:I)</f>
        <v>18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18</v>
      </c>
      <c r="L20">
        <f>SUMIF('库存（子SKU）'!$C:$C,$A20,'库存（子SKU）'!N:N)</f>
        <v>0</v>
      </c>
      <c r="M20">
        <f>SUMIF('库存（子SKU）'!$C:$C,$A20,'库存（子SKU）'!O:O)</f>
        <v>16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171</v>
      </c>
      <c r="AI20">
        <f>SUMIF('库存（子SKU）'!$C:$C,$A20,'库存（子SKU）'!AK:AK)</f>
        <v>119</v>
      </c>
      <c r="AJ20">
        <f>SUMIF('库存（子SKU）'!$C:$C,$A20,'库存（子SKU）'!AL:AL)</f>
        <v>106</v>
      </c>
      <c r="AK20">
        <f>SUMIF('库存（子SKU）'!$C:$C,$A20,'库存（子SKU）'!AM:AM)</f>
        <v>116</v>
      </c>
      <c r="AL20" s="23">
        <f t="shared" si="6"/>
        <v>0.0233918128654971</v>
      </c>
      <c r="AM20" s="23">
        <f t="shared" si="7"/>
        <v>0.00840336134453781</v>
      </c>
      <c r="AN20" s="23">
        <f t="shared" si="8"/>
        <v>0.0188679245283019</v>
      </c>
      <c r="AO20" s="23">
        <f t="shared" si="9"/>
        <v>0.0172413793103448</v>
      </c>
      <c r="AP20" s="7">
        <f t="shared" si="10"/>
        <v>0.571428571428571</v>
      </c>
      <c r="AQ20" s="7">
        <f t="shared" si="11"/>
        <v>34.2857142857143</v>
      </c>
      <c r="AR20" s="7">
        <f t="shared" si="12"/>
        <v>-16.2857142857143</v>
      </c>
      <c r="AS20">
        <f t="shared" si="13"/>
        <v>31</v>
      </c>
      <c r="AT20" s="2">
        <f>IFERROR(时间!$B$4+AS20,"上周无销量")</f>
        <v>43328</v>
      </c>
    </row>
    <row r="21" spans="1:46">
      <c r="A21" t="s">
        <v>123</v>
      </c>
      <c r="B21" s="5">
        <f>SUMIF('库存（子SKU）'!$C:$C,$A21,'库存（子SKU）'!D:D)</f>
        <v>1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3</v>
      </c>
      <c r="F21" s="6">
        <v>96.678</v>
      </c>
      <c r="G21">
        <f>SUMIF('库存（子SKU）'!$C:$C,$A21,'库存（子SKU）'!I:I)</f>
        <v>15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15</v>
      </c>
      <c r="L21">
        <f>SUMIF('库存（子SKU）'!$C:$C,$A21,'库存（子SKU）'!N:N)</f>
        <v>0</v>
      </c>
      <c r="M21">
        <f>SUMIF('库存（子SKU）'!$C:$C,$A21,'库存（子SKU）'!O:O)</f>
        <v>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132</v>
      </c>
      <c r="AI21">
        <f>SUMIF('库存（子SKU）'!$C:$C,$A21,'库存（子SKU）'!AK:AK)</f>
        <v>135</v>
      </c>
      <c r="AJ21">
        <f>SUMIF('库存（子SKU）'!$C:$C,$A21,'库存（子SKU）'!AL:AL)</f>
        <v>137</v>
      </c>
      <c r="AK21">
        <f>SUMIF('库存（子SKU）'!$C:$C,$A21,'库存（子SKU）'!AM:AM)</f>
        <v>178</v>
      </c>
      <c r="AL21" s="23">
        <f t="shared" si="6"/>
        <v>0.00757575757575758</v>
      </c>
      <c r="AM21" s="23">
        <f t="shared" si="7"/>
        <v>0</v>
      </c>
      <c r="AN21" s="23">
        <f t="shared" si="8"/>
        <v>0.0072992700729927</v>
      </c>
      <c r="AO21" s="23">
        <f t="shared" si="9"/>
        <v>0.0168539325842697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6.42857142857143</v>
      </c>
      <c r="AS21">
        <f t="shared" si="13"/>
        <v>105</v>
      </c>
      <c r="AT21" s="2">
        <f>IFERROR(时间!$B$4+AS21,"上周无销量")</f>
        <v>43402</v>
      </c>
    </row>
    <row r="22" spans="1:46">
      <c r="A22" t="s">
        <v>128</v>
      </c>
      <c r="B22" s="5">
        <f>SUMIF('库存（子SKU）'!$C:$C,$A22,'库存（子SKU）'!D:D)</f>
        <v>4</v>
      </c>
      <c r="C22" s="5">
        <f>SUMIF('库存（子SKU）'!$C:$C,$A22,'库存（子SKU）'!E:E)</f>
        <v>4</v>
      </c>
      <c r="D22" s="5">
        <f>SUMIF('库存（子SKU）'!$C:$C,$A22,'库存（子SKU）'!F:F)</f>
        <v>3</v>
      </c>
      <c r="E22" s="5">
        <f>SUMIF('库存（子SKU）'!$C:$C,$A22,'库存（子SKU）'!G:G)</f>
        <v>6</v>
      </c>
      <c r="F22" s="6">
        <v>89.6370588235294</v>
      </c>
      <c r="G22">
        <f>SUMIF('库存（子SKU）'!$C:$C,$A22,'库存（子SKU）'!I:I)</f>
        <v>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2</v>
      </c>
      <c r="K22">
        <f t="shared" si="0"/>
        <v>8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156</v>
      </c>
      <c r="AI22">
        <f>SUMIF('库存（子SKU）'!$C:$C,$A22,'库存（子SKU）'!AK:AK)</f>
        <v>178</v>
      </c>
      <c r="AJ22">
        <f>SUMIF('库存（子SKU）'!$C:$C,$A22,'库存（子SKU）'!AL:AL)</f>
        <v>222</v>
      </c>
      <c r="AK22">
        <f>SUMIF('库存（子SKU）'!$C:$C,$A22,'库存（子SKU）'!AM:AM)</f>
        <v>577</v>
      </c>
      <c r="AL22" s="23">
        <f t="shared" si="6"/>
        <v>0.0256410256410256</v>
      </c>
      <c r="AM22" s="23">
        <f t="shared" si="7"/>
        <v>0.0224719101123595</v>
      </c>
      <c r="AN22" s="23">
        <f t="shared" si="8"/>
        <v>0.0135135135135135</v>
      </c>
      <c r="AO22" s="23">
        <f t="shared" si="9"/>
        <v>0.0103986135181976</v>
      </c>
      <c r="AP22" s="7">
        <f t="shared" si="10"/>
        <v>0.571428571428571</v>
      </c>
      <c r="AQ22" s="7">
        <f t="shared" si="11"/>
        <v>34.2857142857143</v>
      </c>
      <c r="AR22" s="7">
        <f t="shared" si="12"/>
        <v>-26.2857142857143</v>
      </c>
      <c r="AS22">
        <f t="shared" si="13"/>
        <v>14</v>
      </c>
      <c r="AT22" s="2">
        <f>IFERROR(时间!$B$4+AS22,"上周无销量")</f>
        <v>43311</v>
      </c>
    </row>
    <row r="23" spans="1:46">
      <c r="A23" t="s">
        <v>131</v>
      </c>
      <c r="B23" s="5">
        <f>SUMIF('库存（子SKU）'!$C:$C,$A23,'库存（子SKU）'!D:D)</f>
        <v>1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>
        <v>79.99</v>
      </c>
      <c r="G23">
        <f>SUMIF('库存（子SKU）'!$C:$C,$A23,'库存（子SKU）'!I:I)</f>
        <v>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7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14854</v>
      </c>
      <c r="O23">
        <f>SUMIF('库存（子SKU）'!$C:$C,$A23,'库存（子SKU）'!Q:Q)</f>
        <v>4452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55</v>
      </c>
      <c r="S23">
        <f>SUMIF('库存（子SKU）'!$C:$C,$A23,'库存（子SKU）'!U:U)</f>
        <v>30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0.00370270634172613</v>
      </c>
      <c r="W23" s="23">
        <f t="shared" si="16"/>
        <v>0.00673854447439353</v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8.67</v>
      </c>
      <c r="AA23">
        <f>SUMIF('库存（子SKU）'!$C:$C,$A23,'库存（子SKU）'!AC:AC)</f>
        <v>4.11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0.108388548568571</v>
      </c>
      <c r="AE23" s="23" t="str">
        <f t="shared" si="3"/>
        <v>无销量广告费为4.11</v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35</v>
      </c>
      <c r="AI23">
        <f>SUMIF('库存（子SKU）'!$C:$C,$A23,'库存（子SKU）'!AK:AK)</f>
        <v>20</v>
      </c>
      <c r="AJ23">
        <f>SUMIF('库存（子SKU）'!$C:$C,$A23,'库存（子SKU）'!AL:AL)</f>
        <v>5</v>
      </c>
      <c r="AK23">
        <f>SUMIF('库存（子SKU）'!$C:$C,$A23,'库存（子SKU）'!AM:AM)</f>
        <v>6</v>
      </c>
      <c r="AL23" s="23">
        <f t="shared" si="6"/>
        <v>0.0285714285714286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-1.57142857142857</v>
      </c>
      <c r="AS23">
        <f t="shared" si="13"/>
        <v>49</v>
      </c>
      <c r="AT23" s="2">
        <f>IFERROR(时间!$B$4+AS23,"上周无销量")</f>
        <v>43346</v>
      </c>
    </row>
    <row r="24" spans="1:46">
      <c r="A24" t="s">
        <v>135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57</v>
      </c>
      <c r="G24">
        <f>SUMIF('库存（子SKU）'!$C:$C,$A24,'库存（子SKU）'!I:I)</f>
        <v>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14</v>
      </c>
      <c r="AI24">
        <f>SUMIF('库存（子SKU）'!$C:$C,$A24,'库存（子SKU）'!AK:AK)</f>
        <v>11</v>
      </c>
      <c r="AJ24">
        <f>SUMIF('库存（子SKU）'!$C:$C,$A24,'库存（子SKU）'!AL:AL)</f>
        <v>32</v>
      </c>
      <c r="AK24">
        <f>SUMIF('库存（子SKU）'!$C:$C,$A24,'库存（子SKU）'!AM:AM)</f>
        <v>28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8</v>
      </c>
      <c r="AS24" t="str">
        <f t="shared" si="13"/>
        <v>库存为8</v>
      </c>
      <c r="AT24" s="2" t="str">
        <f>IFERROR(时间!$B$4+AS24,"上周无销量")</f>
        <v>上周无销量</v>
      </c>
    </row>
    <row r="25" spans="1:46">
      <c r="A25" t="s">
        <v>138</v>
      </c>
      <c r="B25" s="5">
        <f>SUMIF('库存（子SKU）'!$C:$C,$A25,'库存（子SKU）'!D:D)</f>
        <v>3</v>
      </c>
      <c r="C25" s="5">
        <f>SUMIF('库存（子SKU）'!$C:$C,$A25,'库存（子SKU）'!E:E)</f>
        <v>3</v>
      </c>
      <c r="D25" s="5">
        <f>SUMIF('库存（子SKU）'!$C:$C,$A25,'库存（子SKU）'!F:F)</f>
        <v>4</v>
      </c>
      <c r="E25" s="5">
        <f>SUMIF('库存（子SKU）'!$C:$C,$A25,'库存（子SKU）'!G:G)</f>
        <v>1</v>
      </c>
      <c r="F25" s="6">
        <v>79.99</v>
      </c>
      <c r="G25">
        <f>SUMIF('库存（子SKU）'!$C:$C,$A25,'库存（子SKU）'!I:I)</f>
        <v>13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16</v>
      </c>
      <c r="K25">
        <f t="shared" si="0"/>
        <v>29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9958</v>
      </c>
      <c r="O25">
        <f>SUMIF('库存（子SKU）'!$C:$C,$A25,'库存（子SKU）'!Q:Q)</f>
        <v>13562</v>
      </c>
      <c r="P25">
        <f>SUMIF('库存（子SKU）'!$C:$C,$A25,'库存（子SKU）'!R:R)</f>
        <v>28780</v>
      </c>
      <c r="Q25">
        <f>SUMIF('库存（子SKU）'!$C:$C,$A25,'库存（子SKU）'!S:S)</f>
        <v>82101</v>
      </c>
      <c r="R25">
        <f>SUMIF('库存（子SKU）'!$C:$C,$A25,'库存（子SKU）'!T:T)</f>
        <v>52</v>
      </c>
      <c r="S25">
        <f>SUMIF('库存（子SKU）'!$C:$C,$A25,'库存（子SKU）'!U:U)</f>
        <v>72</v>
      </c>
      <c r="T25">
        <f>SUMIF('库存（子SKU）'!$C:$C,$A25,'库存（子SKU）'!V:V)</f>
        <v>116</v>
      </c>
      <c r="U25">
        <f>SUMIF('库存（子SKU）'!$C:$C,$A25,'库存（子SKU）'!W:W)</f>
        <v>196</v>
      </c>
      <c r="V25" s="23">
        <f t="shared" si="15"/>
        <v>0.00522193211488251</v>
      </c>
      <c r="W25" s="23">
        <f t="shared" si="16"/>
        <v>0.00530895148208229</v>
      </c>
      <c r="X25" s="23">
        <f t="shared" si="17"/>
        <v>0.00403057678943711</v>
      </c>
      <c r="Y25" s="23">
        <f t="shared" si="18"/>
        <v>0.00238730344331981</v>
      </c>
      <c r="Z25">
        <f>SUMIF('库存（子SKU）'!$C:$C,$A25,'库存（子SKU）'!AB:AB)</f>
        <v>10.17</v>
      </c>
      <c r="AA25">
        <f>SUMIF('库存（子SKU）'!$C:$C,$A25,'库存（子SKU）'!AC:AC)</f>
        <v>12.06</v>
      </c>
      <c r="AB25">
        <f>SUMIF('库存（子SKU）'!$C:$C,$A25,'库存（子SKU）'!AD:AD)</f>
        <v>25.87</v>
      </c>
      <c r="AC25">
        <f>SUMIF('库存（子SKU）'!$C:$C,$A25,'库存（子SKU）'!AE:AE)</f>
        <v>53.11</v>
      </c>
      <c r="AD25" s="23">
        <f t="shared" si="2"/>
        <v>0.0423802975371922</v>
      </c>
      <c r="AE25" s="23">
        <f t="shared" si="3"/>
        <v>0.0502562820352544</v>
      </c>
      <c r="AF25" s="23">
        <f t="shared" si="4"/>
        <v>0.0808538567320915</v>
      </c>
      <c r="AG25" s="23">
        <f t="shared" si="5"/>
        <v>0.663957994749344</v>
      </c>
      <c r="AH25">
        <f>SUMIF('库存（子SKU）'!$C:$C,$A25,'库存（子SKU）'!AJ:AJ)</f>
        <v>55</v>
      </c>
      <c r="AI25">
        <f>SUMIF('库存（子SKU）'!$C:$C,$A25,'库存（子SKU）'!AK:AK)</f>
        <v>98</v>
      </c>
      <c r="AJ25">
        <f>SUMIF('库存（子SKU）'!$C:$C,$A25,'库存（子SKU）'!AL:AL)</f>
        <v>147</v>
      </c>
      <c r="AK25">
        <f>SUMIF('库存（子SKU）'!$C:$C,$A25,'库存（子SKU）'!AM:AM)</f>
        <v>243</v>
      </c>
      <c r="AL25" s="23">
        <f t="shared" si="6"/>
        <v>0.0545454545454545</v>
      </c>
      <c r="AM25" s="23">
        <f t="shared" si="7"/>
        <v>0.0306122448979592</v>
      </c>
      <c r="AN25" s="23">
        <f t="shared" si="8"/>
        <v>0.0272108843537415</v>
      </c>
      <c r="AO25" s="23">
        <f t="shared" si="9"/>
        <v>0.00411522633744856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3.28571428571429</v>
      </c>
      <c r="AS25">
        <f t="shared" si="13"/>
        <v>67</v>
      </c>
      <c r="AT25" s="2">
        <f>IFERROR(时间!$B$4+AS25,"上周无销量")</f>
        <v>43364</v>
      </c>
    </row>
    <row r="26" spans="1:46">
      <c r="A26" t="s">
        <v>141</v>
      </c>
      <c r="B26" s="5">
        <f>SUMIF('库存（子SKU）'!$C:$C,$A26,'库存（子SKU）'!D:D)</f>
        <v>2</v>
      </c>
      <c r="C26" s="5">
        <f>SUMIF('库存（子SKU）'!$C:$C,$A26,'库存（子SKU）'!E:E)</f>
        <v>0</v>
      </c>
      <c r="D26" s="5">
        <f>SUMIF('库存（子SKU）'!$C:$C,$A26,'库存（子SKU）'!F:F)</f>
        <v>2</v>
      </c>
      <c r="E26" s="5">
        <f>SUMIF('库存（子SKU）'!$C:$C,$A26,'库存（子SKU）'!G:G)</f>
        <v>1</v>
      </c>
      <c r="F26" s="6">
        <v>79.99</v>
      </c>
      <c r="G26">
        <f>SUMIF('库存（子SKU）'!$C:$C,$A26,'库存（子SKU）'!I:I)</f>
        <v>7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5</v>
      </c>
      <c r="K26">
        <f t="shared" si="0"/>
        <v>12</v>
      </c>
      <c r="L26">
        <f>SUMIF('库存（子SKU）'!$C:$C,$A26,'库存（子SKU）'!N:N)</f>
        <v>0</v>
      </c>
      <c r="M26">
        <f>SUMIF('库存（子SKU）'!$C:$C,$A26,'库存（子SKU）'!O:O)</f>
        <v>1</v>
      </c>
      <c r="N26">
        <f>SUMIF('库存（子SKU）'!$C:$C,$A26,'库存（子SKU）'!P:P)</f>
        <v>15511</v>
      </c>
      <c r="O26">
        <f>SUMIF('库存（子SKU）'!$C:$C,$A26,'库存（子SKU）'!Q:Q)</f>
        <v>12333</v>
      </c>
      <c r="P26">
        <f>SUMIF('库存（子SKU）'!$C:$C,$A26,'库存（子SKU）'!R:R)</f>
        <v>5541</v>
      </c>
      <c r="Q26">
        <f>SUMIF('库存（子SKU）'!$C:$C,$A26,'库存（子SKU）'!S:S)</f>
        <v>5797</v>
      </c>
      <c r="R26">
        <f>SUMIF('库存（子SKU）'!$C:$C,$A26,'库存（子SKU）'!T:T)</f>
        <v>81</v>
      </c>
      <c r="S26">
        <f>SUMIF('库存（子SKU）'!$C:$C,$A26,'库存（子SKU）'!U:U)</f>
        <v>67</v>
      </c>
      <c r="T26">
        <f>SUMIF('库存（子SKU）'!$C:$C,$A26,'库存（子SKU）'!V:V)</f>
        <v>42</v>
      </c>
      <c r="U26">
        <f>SUMIF('库存（子SKU）'!$C:$C,$A26,'库存（子SKU）'!W:W)</f>
        <v>53</v>
      </c>
      <c r="V26" s="23">
        <f t="shared" si="15"/>
        <v>0.00522210044484559</v>
      </c>
      <c r="W26" s="23">
        <f t="shared" si="16"/>
        <v>0.00543257925889889</v>
      </c>
      <c r="X26" s="23">
        <f t="shared" si="17"/>
        <v>0.00757985923118571</v>
      </c>
      <c r="Y26" s="23">
        <f t="shared" si="18"/>
        <v>0.00914265999654994</v>
      </c>
      <c r="Z26">
        <f>SUMIF('库存（子SKU）'!$C:$C,$A26,'库存（子SKU）'!AB:AB)</f>
        <v>12.21</v>
      </c>
      <c r="AA26">
        <f>SUMIF('库存（子SKU）'!$C:$C,$A26,'库存（子SKU）'!AC:AC)</f>
        <v>10.38</v>
      </c>
      <c r="AB26">
        <f>SUMIF('库存（子SKU）'!$C:$C,$A26,'库存（子SKU）'!AD:AD)</f>
        <v>4.83</v>
      </c>
      <c r="AC26">
        <f>SUMIF('库存（子SKU）'!$C:$C,$A26,'库存（子SKU）'!AE:AE)</f>
        <v>7.95</v>
      </c>
      <c r="AD26" s="23">
        <f t="shared" si="2"/>
        <v>0.0763220402550319</v>
      </c>
      <c r="AE26" s="23" t="str">
        <f t="shared" si="3"/>
        <v>无销量广告费为10.38</v>
      </c>
      <c r="AF26" s="23">
        <f t="shared" si="4"/>
        <v>0.0301912739092387</v>
      </c>
      <c r="AG26" s="23">
        <f t="shared" si="5"/>
        <v>0.0993874234279285</v>
      </c>
      <c r="AH26">
        <f>SUMIF('库存（子SKU）'!$C:$C,$A26,'库存（子SKU）'!AJ:AJ)</f>
        <v>90</v>
      </c>
      <c r="AI26">
        <f>SUMIF('库存（子SKU）'!$C:$C,$A26,'库存（子SKU）'!AK:AK)</f>
        <v>98</v>
      </c>
      <c r="AJ26">
        <f>SUMIF('库存（子SKU）'!$C:$C,$A26,'库存（子SKU）'!AL:AL)</f>
        <v>70</v>
      </c>
      <c r="AK26">
        <f>SUMIF('库存（子SKU）'!$C:$C,$A26,'库存（子SKU）'!AM:AM)</f>
        <v>64</v>
      </c>
      <c r="AL26" s="23">
        <f t="shared" si="6"/>
        <v>0.0222222222222222</v>
      </c>
      <c r="AM26" s="23">
        <f t="shared" si="7"/>
        <v>0</v>
      </c>
      <c r="AN26" s="23">
        <f t="shared" si="8"/>
        <v>0.0285714285714286</v>
      </c>
      <c r="AO26" s="23">
        <f t="shared" si="9"/>
        <v>0.015625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-5.14285714285714</v>
      </c>
      <c r="AS26">
        <f t="shared" si="13"/>
        <v>42</v>
      </c>
      <c r="AT26" s="2">
        <f>IFERROR(时间!$B$4+AS26,"上周无销量")</f>
        <v>43339</v>
      </c>
    </row>
    <row r="27" spans="1:46">
      <c r="A27" t="s">
        <v>148</v>
      </c>
      <c r="B27" s="5">
        <f>SUMIF('库存（子SKU）'!$C:$C,$A27,'库存（子SKU）'!D:D)</f>
        <v>2</v>
      </c>
      <c r="C27" s="5">
        <f>SUMIF('库存（子SKU）'!$C:$C,$A27,'库存（子SKU）'!E:E)</f>
        <v>2</v>
      </c>
      <c r="D27" s="5">
        <f>SUMIF('库存（子SKU）'!$C:$C,$A27,'库存（子SKU）'!F:F)</f>
        <v>1</v>
      </c>
      <c r="E27" s="5">
        <f>SUMIF('库存（子SKU）'!$C:$C,$A27,'库存（子SKU）'!G:G)</f>
        <v>0</v>
      </c>
      <c r="F27" s="6">
        <v>89.99</v>
      </c>
      <c r="G27">
        <f>SUMIF('库存（子SKU）'!$C:$C,$A27,'库存（子SKU）'!I:I)</f>
        <v>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4</v>
      </c>
      <c r="K27">
        <f t="shared" si="0"/>
        <v>7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11527</v>
      </c>
      <c r="O27">
        <f>SUMIF('库存（子SKU）'!$C:$C,$A27,'库存（子SKU）'!Q:Q)</f>
        <v>7951</v>
      </c>
      <c r="P27">
        <f>SUMIF('库存（子SKU）'!$C:$C,$A27,'库存（子SKU）'!R:R)</f>
        <v>4380</v>
      </c>
      <c r="Q27">
        <f>SUMIF('库存（子SKU）'!$C:$C,$A27,'库存（子SKU）'!S:S)</f>
        <v>5669</v>
      </c>
      <c r="R27">
        <f>SUMIF('库存（子SKU）'!$C:$C,$A27,'库存（子SKU）'!T:T)</f>
        <v>91</v>
      </c>
      <c r="S27">
        <f>SUMIF('库存（子SKU）'!$C:$C,$A27,'库存（子SKU）'!U:U)</f>
        <v>41</v>
      </c>
      <c r="T27">
        <f>SUMIF('库存（子SKU）'!$C:$C,$A27,'库存（子SKU）'!V:V)</f>
        <v>35</v>
      </c>
      <c r="U27">
        <f>SUMIF('库存（子SKU）'!$C:$C,$A27,'库存（子SKU）'!W:W)</f>
        <v>45</v>
      </c>
      <c r="V27" s="23">
        <f t="shared" si="15"/>
        <v>0.00789450854515485</v>
      </c>
      <c r="W27" s="23">
        <f t="shared" si="16"/>
        <v>0.00515658407747453</v>
      </c>
      <c r="X27" s="23">
        <f t="shared" si="17"/>
        <v>0.00799086757990868</v>
      </c>
      <c r="Y27" s="23">
        <f t="shared" si="18"/>
        <v>0.00793790792026812</v>
      </c>
      <c r="Z27">
        <f>SUMIF('库存（子SKU）'!$C:$C,$A27,'库存（子SKU）'!AB:AB)</f>
        <v>14.61</v>
      </c>
      <c r="AA27">
        <f>SUMIF('库存（子SKU）'!$C:$C,$A27,'库存（子SKU）'!AC:AC)</f>
        <v>5.99</v>
      </c>
      <c r="AB27">
        <f>SUMIF('库存（子SKU）'!$C:$C,$A27,'库存（子SKU）'!AD:AD)</f>
        <v>4.66</v>
      </c>
      <c r="AC27">
        <f>SUMIF('库存（子SKU）'!$C:$C,$A27,'库存（子SKU）'!AE:AE)</f>
        <v>6.2</v>
      </c>
      <c r="AD27" s="23">
        <f t="shared" si="2"/>
        <v>0.0811756861873542</v>
      </c>
      <c r="AE27" s="23">
        <f t="shared" si="3"/>
        <v>0.0332814757195244</v>
      </c>
      <c r="AF27" s="23">
        <f t="shared" si="4"/>
        <v>0.0517835315035004</v>
      </c>
      <c r="AG27" s="23" t="str">
        <f t="shared" si="5"/>
        <v>无销量广告费为6.2</v>
      </c>
      <c r="AH27">
        <f>SUMIF('库存（子SKU）'!$C:$C,$A27,'库存（子SKU）'!AJ:AJ)</f>
        <v>98</v>
      </c>
      <c r="AI27">
        <f>SUMIF('库存（子SKU）'!$C:$C,$A27,'库存（子SKU）'!AK:AK)</f>
        <v>41</v>
      </c>
      <c r="AJ27">
        <f>SUMIF('库存（子SKU）'!$C:$C,$A27,'库存（子SKU）'!AL:AL)</f>
        <v>44</v>
      </c>
      <c r="AK27">
        <f>SUMIF('库存（子SKU）'!$C:$C,$A27,'库存（子SKU）'!AM:AM)</f>
        <v>40</v>
      </c>
      <c r="AL27" s="23">
        <f t="shared" si="6"/>
        <v>0.0204081632653061</v>
      </c>
      <c r="AM27" s="23">
        <f t="shared" si="7"/>
        <v>0.0487804878048781</v>
      </c>
      <c r="AN27" s="23">
        <f t="shared" si="8"/>
        <v>0.0227272727272727</v>
      </c>
      <c r="AO27" s="23">
        <f t="shared" si="9"/>
        <v>0</v>
      </c>
      <c r="AP27" s="7">
        <f t="shared" si="10"/>
        <v>0.285714285714286</v>
      </c>
      <c r="AQ27" s="7">
        <f t="shared" si="11"/>
        <v>17.1428571428571</v>
      </c>
      <c r="AR27" s="7">
        <f t="shared" si="12"/>
        <v>-10.1428571428571</v>
      </c>
      <c r="AS27">
        <f t="shared" si="13"/>
        <v>24</v>
      </c>
      <c r="AT27" s="2">
        <f>IFERROR(时间!$B$4+AS27,"上周无销量")</f>
        <v>43321</v>
      </c>
    </row>
    <row r="28" spans="1:46">
      <c r="A28" t="s">
        <v>152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37.99</v>
      </c>
      <c r="G28">
        <f>SUMIF('库存（子SKU）'!$C:$C,$A28,'库存（子SKU）'!I:I)</f>
        <v>16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2</v>
      </c>
      <c r="K28">
        <f t="shared" si="0"/>
        <v>18</v>
      </c>
      <c r="L28">
        <f>SUMIF('库存（子SKU）'!$C:$C,$A28,'库存（子SKU）'!N:N)</f>
        <v>0</v>
      </c>
      <c r="M28">
        <f>SUMIF('库存（子SKU）'!$C:$C,$A28,'库存（子SKU）'!O:O)</f>
        <v>7</v>
      </c>
      <c r="N28">
        <f>SUMIF('库存（子SKU）'!$C:$C,$A28,'库存（子SKU）'!P:P)</f>
        <v>5695</v>
      </c>
      <c r="O28">
        <f>SUMIF('库存（子SKU）'!$C:$C,$A28,'库存（子SKU）'!Q:Q)</f>
        <v>24753</v>
      </c>
      <c r="P28">
        <f>SUMIF('库存（子SKU）'!$C:$C,$A28,'库存（子SKU）'!R:R)</f>
        <v>34864</v>
      </c>
      <c r="Q28">
        <f>SUMIF('库存（子SKU）'!$C:$C,$A28,'库存（子SKU）'!S:S)</f>
        <v>40293</v>
      </c>
      <c r="R28">
        <f>SUMIF('库存（子SKU）'!$C:$C,$A28,'库存（子SKU）'!T:T)</f>
        <v>68</v>
      </c>
      <c r="S28">
        <f>SUMIF('库存（子SKU）'!$C:$C,$A28,'库存（子SKU）'!U:U)</f>
        <v>128</v>
      </c>
      <c r="T28">
        <f>SUMIF('库存（子SKU）'!$C:$C,$A28,'库存（子SKU）'!V:V)</f>
        <v>192</v>
      </c>
      <c r="U28">
        <f>SUMIF('库存（子SKU）'!$C:$C,$A28,'库存（子SKU）'!W:W)</f>
        <v>210</v>
      </c>
      <c r="V28" s="23">
        <f t="shared" si="15"/>
        <v>0.0119402985074627</v>
      </c>
      <c r="W28" s="23">
        <f t="shared" si="16"/>
        <v>0.00517109037288409</v>
      </c>
      <c r="X28" s="23">
        <f t="shared" si="17"/>
        <v>0.00550711335474988</v>
      </c>
      <c r="Y28" s="23">
        <f t="shared" si="18"/>
        <v>0.00521182339364158</v>
      </c>
      <c r="Z28">
        <f>SUMIF('库存（子SKU）'!$C:$C,$A28,'库存（子SKU）'!AB:AB)</f>
        <v>8.66</v>
      </c>
      <c r="AA28">
        <f>SUMIF('库存（子SKU）'!$C:$C,$A28,'库存（子SKU）'!AC:AC)</f>
        <v>21.82</v>
      </c>
      <c r="AB28">
        <f>SUMIF('库存（子SKU）'!$C:$C,$A28,'库存（子SKU）'!AD:AD)</f>
        <v>33.74</v>
      </c>
      <c r="AC28">
        <f>SUMIF('库存（子SKU）'!$C:$C,$A28,'库存（子SKU）'!AE:AE)</f>
        <v>37.08</v>
      </c>
      <c r="AD28" s="23" t="str">
        <f t="shared" si="2"/>
        <v>无销量广告费为8.66</v>
      </c>
      <c r="AE28" s="23" t="str">
        <f t="shared" si="3"/>
        <v>无销量广告费为21.82</v>
      </c>
      <c r="AF28" s="23">
        <f t="shared" si="4"/>
        <v>0.888128454856541</v>
      </c>
      <c r="AG28" s="23" t="str">
        <f t="shared" si="5"/>
        <v>无销量广告费为37.08</v>
      </c>
      <c r="AH28">
        <f>SUMIF('库存（子SKU）'!$C:$C,$A28,'库存（子SKU）'!AJ:AJ)</f>
        <v>62</v>
      </c>
      <c r="AI28">
        <f>SUMIF('库存（子SKU）'!$C:$C,$A28,'库存（子SKU）'!AK:AK)</f>
        <v>104</v>
      </c>
      <c r="AJ28">
        <f>SUMIF('库存（子SKU）'!$C:$C,$A28,'库存（子SKU）'!AL:AL)</f>
        <v>144</v>
      </c>
      <c r="AK28">
        <f>SUMIF('库存（子SKU）'!$C:$C,$A28,'库存（子SKU）'!AM:AM)</f>
        <v>130</v>
      </c>
      <c r="AL28" s="23">
        <f t="shared" si="6"/>
        <v>0</v>
      </c>
      <c r="AM28" s="23">
        <f t="shared" si="7"/>
        <v>0</v>
      </c>
      <c r="AN28" s="23">
        <f t="shared" si="8"/>
        <v>0.00694444444444444</v>
      </c>
      <c r="AO28" s="23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18</v>
      </c>
      <c r="AS28" t="str">
        <f t="shared" si="13"/>
        <v>库存为18</v>
      </c>
      <c r="AT28" s="2" t="str">
        <f>IFERROR(时间!$B$4+AS28,"上周无销量")</f>
        <v>上周无销量</v>
      </c>
    </row>
    <row r="29" spans="1:46">
      <c r="A29" t="s">
        <v>162</v>
      </c>
      <c r="B29" s="5">
        <f>SUMIF('库存（子SKU）'!$C:$C,$A29,'库存（子SKU）'!D:D)</f>
        <v>16</v>
      </c>
      <c r="C29" s="5">
        <f>SUMIF('库存（子SKU）'!$C:$C,$A29,'库存（子SKU）'!E:E)</f>
        <v>11</v>
      </c>
      <c r="D29" s="5">
        <f>SUMIF('库存（子SKU）'!$C:$C,$A29,'库存（子SKU）'!F:F)</f>
        <v>14</v>
      </c>
      <c r="E29" s="5">
        <f>SUMIF('库存（子SKU）'!$C:$C,$A29,'库存（子SKU）'!G:G)</f>
        <v>13</v>
      </c>
      <c r="F29" s="6">
        <v>84.712222222222</v>
      </c>
      <c r="G29">
        <f>SUMIF('库存（子SKU）'!$C:$C,$A29,'库存（子SKU）'!I:I)</f>
        <v>97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97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1318</v>
      </c>
      <c r="AI29">
        <f>SUMIF('库存（子SKU）'!$C:$C,$A29,'库存（子SKU）'!AK:AK)</f>
        <v>970</v>
      </c>
      <c r="AJ29">
        <f>SUMIF('库存（子SKU）'!$C:$C,$A29,'库存（子SKU）'!AL:AL)</f>
        <v>1335</v>
      </c>
      <c r="AK29">
        <f>SUMIF('库存（子SKU）'!$C:$C,$A29,'库存（子SKU）'!AM:AM)</f>
        <v>1058</v>
      </c>
      <c r="AL29" s="23">
        <f t="shared" si="6"/>
        <v>0.0121396054628225</v>
      </c>
      <c r="AM29" s="23">
        <f t="shared" si="7"/>
        <v>0.011340206185567</v>
      </c>
      <c r="AN29" s="23">
        <f t="shared" si="8"/>
        <v>0.0104868913857678</v>
      </c>
      <c r="AO29" s="23">
        <f t="shared" si="9"/>
        <v>0.0122873345935728</v>
      </c>
      <c r="AP29" s="7">
        <f t="shared" si="10"/>
        <v>2.28571428571429</v>
      </c>
      <c r="AQ29" s="7">
        <f t="shared" si="11"/>
        <v>137.142857142857</v>
      </c>
      <c r="AR29" s="7">
        <f t="shared" si="12"/>
        <v>-40.1428571428571</v>
      </c>
      <c r="AS29">
        <f t="shared" si="13"/>
        <v>42</v>
      </c>
      <c r="AT29" s="2">
        <f>IFERROR(时间!$B$4+AS29,"上周无销量")</f>
        <v>43339</v>
      </c>
    </row>
    <row r="30" spans="1:46">
      <c r="A30" t="s">
        <v>169</v>
      </c>
      <c r="B30" s="5">
        <f>SUMIF('库存（子SKU）'!$C:$C,$A30,'库存（子SKU）'!D:D)</f>
        <v>1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v>89.99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5527</v>
      </c>
      <c r="O30">
        <f>SUMIF('库存（子SKU）'!$C:$C,$A30,'库存（子SKU）'!Q:Q)</f>
        <v>12983</v>
      </c>
      <c r="P30">
        <f>SUMIF('库存（子SKU）'!$C:$C,$A30,'库存（子SKU）'!R:R)</f>
        <v>11916</v>
      </c>
      <c r="Q30">
        <f>SUMIF('库存（子SKU）'!$C:$C,$A30,'库存（子SKU）'!S:S)</f>
        <v>25713</v>
      </c>
      <c r="R30">
        <f>SUMIF('库存（子SKU）'!$C:$C,$A30,'库存（子SKU）'!T:T)</f>
        <v>35</v>
      </c>
      <c r="S30">
        <f>SUMIF('库存（子SKU）'!$C:$C,$A30,'库存（子SKU）'!U:U)</f>
        <v>83</v>
      </c>
      <c r="T30">
        <f>SUMIF('库存（子SKU）'!$C:$C,$A30,'库存（子SKU）'!V:V)</f>
        <v>55</v>
      </c>
      <c r="U30">
        <f>SUMIF('库存（子SKU）'!$C:$C,$A30,'库存（子SKU）'!W:W)</f>
        <v>99</v>
      </c>
      <c r="V30" s="23">
        <f t="shared" si="15"/>
        <v>0.00633254930341958</v>
      </c>
      <c r="W30" s="23">
        <f t="shared" si="16"/>
        <v>0.00639297542940769</v>
      </c>
      <c r="X30" s="23">
        <f t="shared" si="17"/>
        <v>0.00461564283316549</v>
      </c>
      <c r="Y30" s="23">
        <f t="shared" si="18"/>
        <v>0.00385019250962548</v>
      </c>
      <c r="Z30">
        <f>SUMIF('库存（子SKU）'!$C:$C,$A30,'库存（子SKU）'!AB:AB)</f>
        <v>5.76</v>
      </c>
      <c r="AA30">
        <f>SUMIF('库存（子SKU）'!$C:$C,$A30,'库存（子SKU）'!AC:AC)</f>
        <v>13.19</v>
      </c>
      <c r="AB30">
        <f>SUMIF('库存（子SKU）'!$C:$C,$A30,'库存（子SKU）'!AD:AD)</f>
        <v>7.45</v>
      </c>
      <c r="AC30">
        <f>SUMIF('库存（子SKU）'!$C:$C,$A30,'库存（子SKU）'!AE:AE)</f>
        <v>14.6</v>
      </c>
      <c r="AD30" s="23">
        <f t="shared" si="2"/>
        <v>0.0640071119013224</v>
      </c>
      <c r="AE30" s="23" t="str">
        <f t="shared" si="3"/>
        <v>无销量广告费为13.19</v>
      </c>
      <c r="AF30" s="23" t="str">
        <f t="shared" si="4"/>
        <v>无销量广告费为7.45</v>
      </c>
      <c r="AG30" s="23" t="str">
        <f t="shared" si="5"/>
        <v>无销量广告费为14.6</v>
      </c>
      <c r="AH30">
        <f>SUMIF('库存（子SKU）'!$C:$C,$A30,'库存（子SKU）'!AJ:AJ)</f>
        <v>25</v>
      </c>
      <c r="AI30">
        <f>SUMIF('库存（子SKU）'!$C:$C,$A30,'库存（子SKU）'!AK:AK)</f>
        <v>37</v>
      </c>
      <c r="AJ30">
        <f>SUMIF('库存（子SKU）'!$C:$C,$A30,'库存（子SKU）'!AL:AL)</f>
        <v>34</v>
      </c>
      <c r="AK30">
        <f>SUMIF('库存（子SKU）'!$C:$C,$A30,'库存（子SKU）'!AM:AM)</f>
        <v>54</v>
      </c>
      <c r="AL30" s="23">
        <f t="shared" si="6"/>
        <v>0.04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-2.57142857142857</v>
      </c>
      <c r="AS30">
        <f t="shared" si="13"/>
        <v>42</v>
      </c>
      <c r="AT30" s="2">
        <f>IFERROR(时间!$B$4+AS30,"上周无销量")</f>
        <v>43339</v>
      </c>
    </row>
    <row r="31" spans="1:46">
      <c r="A31" t="s">
        <v>175</v>
      </c>
      <c r="B31" s="5">
        <f>SUMIF('库存（子SKU）'!$C:$C,$A31,'库存（子SKU）'!D:D)</f>
        <v>2</v>
      </c>
      <c r="C31" s="5">
        <f>SUMIF('库存（子SKU）'!$C:$C,$A31,'库存（子SKU）'!E:E)</f>
        <v>1</v>
      </c>
      <c r="D31" s="5">
        <f>SUMIF('库存（子SKU）'!$C:$C,$A31,'库存（子SKU）'!F:F)</f>
        <v>5</v>
      </c>
      <c r="E31" s="5">
        <f>SUMIF('库存（子SKU）'!$C:$C,$A31,'库存（子SKU）'!G:G)</f>
        <v>2</v>
      </c>
      <c r="F31" s="6">
        <v>89.99</v>
      </c>
      <c r="G31">
        <f>SUMIF('库存（子SKU）'!$C:$C,$A31,'库存（子SKU）'!I:I)</f>
        <v>10</v>
      </c>
      <c r="H31">
        <f>SUMIF('库存（子SKU）'!$C:$C,$A31,'库存（子SKU）'!J:J)</f>
        <v>10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20</v>
      </c>
      <c r="L31">
        <f>SUMIF('库存（子SKU）'!$C:$C,$A31,'库存（子SKU）'!N:N)</f>
        <v>1</v>
      </c>
      <c r="M31">
        <f>SUMIF('库存（子SKU）'!$C:$C,$A31,'库存（子SKU）'!O:O)</f>
        <v>0</v>
      </c>
      <c r="N31">
        <f>SUMIF('库存（子SKU）'!$C:$C,$A31,'库存（子SKU）'!P:P)</f>
        <v>12733</v>
      </c>
      <c r="O31">
        <f>SUMIF('库存（子SKU）'!$C:$C,$A31,'库存（子SKU）'!Q:Q)</f>
        <v>10184</v>
      </c>
      <c r="P31">
        <f>SUMIF('库存（子SKU）'!$C:$C,$A31,'库存（子SKU）'!R:R)</f>
        <v>27566</v>
      </c>
      <c r="Q31">
        <f>SUMIF('库存（子SKU）'!$C:$C,$A31,'库存（子SKU）'!S:S)</f>
        <v>109409</v>
      </c>
      <c r="R31">
        <f>SUMIF('库存（子SKU）'!$C:$C,$A31,'库存（子SKU）'!T:T)</f>
        <v>81</v>
      </c>
      <c r="S31">
        <f>SUMIF('库存（子SKU）'!$C:$C,$A31,'库存（子SKU）'!U:U)</f>
        <v>45</v>
      </c>
      <c r="T31">
        <f>SUMIF('库存（子SKU）'!$C:$C,$A31,'库存（子SKU）'!V:V)</f>
        <v>95</v>
      </c>
      <c r="U31">
        <f>SUMIF('库存（子SKU）'!$C:$C,$A31,'库存（子SKU）'!W:W)</f>
        <v>347</v>
      </c>
      <c r="V31" s="23">
        <f t="shared" si="15"/>
        <v>0.00636142307390246</v>
      </c>
      <c r="W31" s="23">
        <f t="shared" si="16"/>
        <v>0.00441869599371563</v>
      </c>
      <c r="X31" s="23">
        <f t="shared" si="17"/>
        <v>0.00344627439599507</v>
      </c>
      <c r="Y31" s="23">
        <f t="shared" si="18"/>
        <v>0.0031715855185588</v>
      </c>
      <c r="Z31">
        <f>SUMIF('库存（子SKU）'!$C:$C,$A31,'库存（子SKU）'!AB:AB)</f>
        <v>14.54</v>
      </c>
      <c r="AA31">
        <f>SUMIF('库存（子SKU）'!$C:$C,$A31,'库存（子SKU）'!AC:AC)</f>
        <v>6.7</v>
      </c>
      <c r="AB31">
        <f>SUMIF('库存（子SKU）'!$C:$C,$A31,'库存（子SKU）'!AD:AD)</f>
        <v>22.6</v>
      </c>
      <c r="AC31">
        <f>SUMIF('库存（子SKU）'!$C:$C,$A31,'库存（子SKU）'!AE:AE)</f>
        <v>98.76</v>
      </c>
      <c r="AD31" s="23">
        <f t="shared" si="2"/>
        <v>0.0807867540837871</v>
      </c>
      <c r="AE31" s="23">
        <f t="shared" si="3"/>
        <v>0.0744527169685521</v>
      </c>
      <c r="AF31" s="23">
        <f t="shared" si="4"/>
        <v>0.0502278030892321</v>
      </c>
      <c r="AG31" s="23">
        <f t="shared" si="5"/>
        <v>0.548727636404045</v>
      </c>
      <c r="AH31">
        <f>SUMIF('库存（子SKU）'!$C:$C,$A31,'库存（子SKU）'!AJ:AJ)</f>
        <v>65</v>
      </c>
      <c r="AI31">
        <f>SUMIF('库存（子SKU）'!$C:$C,$A31,'库存（子SKU）'!AK:AK)</f>
        <v>66</v>
      </c>
      <c r="AJ31">
        <f>SUMIF('库存（子SKU）'!$C:$C,$A31,'库存（子SKU）'!AL:AL)</f>
        <v>109</v>
      </c>
      <c r="AK31">
        <f>SUMIF('库存（子SKU）'!$C:$C,$A31,'库存（子SKU）'!AM:AM)</f>
        <v>245</v>
      </c>
      <c r="AL31" s="23">
        <f t="shared" si="6"/>
        <v>0.0307692307692308</v>
      </c>
      <c r="AM31" s="23">
        <f t="shared" si="7"/>
        <v>0.0151515151515152</v>
      </c>
      <c r="AN31" s="23">
        <f t="shared" si="8"/>
        <v>0.0458715596330275</v>
      </c>
      <c r="AO31" s="23">
        <f t="shared" si="9"/>
        <v>0.00816326530612245</v>
      </c>
      <c r="AP31" s="7">
        <f t="shared" si="10"/>
        <v>0.285714285714286</v>
      </c>
      <c r="AQ31" s="7">
        <f t="shared" si="11"/>
        <v>17.1428571428571</v>
      </c>
      <c r="AR31" s="7">
        <f t="shared" si="12"/>
        <v>2.85714285714286</v>
      </c>
      <c r="AS31">
        <f t="shared" si="13"/>
        <v>70</v>
      </c>
      <c r="AT31" s="2">
        <f>IFERROR(时间!$B$4+AS31,"上周无销量")</f>
        <v>43367</v>
      </c>
    </row>
    <row r="32" spans="1:46">
      <c r="A32" t="s">
        <v>178</v>
      </c>
      <c r="B32" s="5">
        <f>SUMIF('库存（子SKU）'!$C:$C,$A32,'库存（子SKU）'!D:D)</f>
        <v>0</v>
      </c>
      <c r="C32" s="5">
        <f>SUMIF('库存（子SKU）'!$C:$C,$A32,'库存（子SKU）'!E:E)</f>
        <v>1</v>
      </c>
      <c r="D32" s="5">
        <f>SUMIF('库存（子SKU）'!$C:$C,$A32,'库存（子SKU）'!F:F)</f>
        <v>6</v>
      </c>
      <c r="E32" s="5">
        <f>SUMIF('库存（子SKU）'!$C:$C,$A32,'库存（子SKU）'!G:G)</f>
        <v>0</v>
      </c>
      <c r="F32" s="6">
        <v>82.5614285714286</v>
      </c>
      <c r="G32">
        <f>SUMIF('库存（子SKU）'!$C:$C,$A32,'库存（子SKU）'!I:I)</f>
        <v>40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10</v>
      </c>
      <c r="K32">
        <f t="shared" si="0"/>
        <v>50</v>
      </c>
      <c r="L32">
        <f>SUMIF('库存（子SKU）'!$C:$C,$A32,'库存（子SKU）'!N:N)</f>
        <v>0</v>
      </c>
      <c r="M32">
        <f>SUMIF('库存（子SKU）'!$C:$C,$A32,'库存（子SKU）'!O:O)</f>
        <v>5</v>
      </c>
      <c r="N32">
        <f>SUMIF('库存（子SKU）'!$C:$C,$A32,'库存（子SKU）'!P:P)</f>
        <v>0</v>
      </c>
      <c r="O32">
        <f>SUMIF('库存（子SKU）'!$C:$C,$A32,'库存（子SKU）'!Q:Q)</f>
        <v>9447</v>
      </c>
      <c r="P32">
        <f>SUMIF('库存（子SKU）'!$C:$C,$A32,'库存（子SKU）'!R:R)</f>
        <v>31775</v>
      </c>
      <c r="Q32">
        <f>SUMIF('库存（子SKU）'!$C:$C,$A32,'库存（子SKU）'!S:S)</f>
        <v>8734</v>
      </c>
      <c r="R32">
        <f>SUMIF('库存（子SKU）'!$C:$C,$A32,'库存（子SKU）'!T:T)</f>
        <v>0</v>
      </c>
      <c r="S32">
        <f>SUMIF('库存（子SKU）'!$C:$C,$A32,'库存（子SKU）'!U:U)</f>
        <v>34</v>
      </c>
      <c r="T32">
        <f>SUMIF('库存（子SKU）'!$C:$C,$A32,'库存（子SKU）'!V:V)</f>
        <v>189</v>
      </c>
      <c r="U32">
        <f>SUMIF('库存（子SKU）'!$C:$C,$A32,'库存（子SKU）'!W:W)</f>
        <v>92</v>
      </c>
      <c r="V32" s="23" t="str">
        <f t="shared" si="15"/>
        <v/>
      </c>
      <c r="W32" s="23">
        <f t="shared" si="16"/>
        <v>0.00359902614586641</v>
      </c>
      <c r="X32" s="23">
        <f t="shared" si="17"/>
        <v>0.00594807238394965</v>
      </c>
      <c r="Y32" s="23">
        <f t="shared" si="18"/>
        <v>0.0105335470574765</v>
      </c>
      <c r="Z32">
        <f>SUMIF('库存（子SKU）'!$C:$C,$A32,'库存（子SKU）'!AB:AB)</f>
        <v>0</v>
      </c>
      <c r="AA32">
        <f>SUMIF('库存（子SKU）'!$C:$C,$A32,'库存（子SKU）'!AC:AC)</f>
        <v>5.61</v>
      </c>
      <c r="AB32">
        <f>SUMIF('库存（子SKU）'!$C:$C,$A32,'库存（子SKU）'!AD:AD)</f>
        <v>30.97</v>
      </c>
      <c r="AC32">
        <f>SUMIF('库存（子SKU）'!$C:$C,$A32,'库存（子SKU）'!AE:AE)</f>
        <v>13.86</v>
      </c>
      <c r="AD32" s="23" t="str">
        <f t="shared" si="2"/>
        <v/>
      </c>
      <c r="AE32" s="23">
        <f t="shared" si="3"/>
        <v>0.0679494056373609</v>
      </c>
      <c r="AF32" s="23">
        <f t="shared" si="4"/>
        <v>0.0625191055433472</v>
      </c>
      <c r="AG32" s="23" t="str">
        <f t="shared" si="5"/>
        <v>无销量广告费为13.86</v>
      </c>
      <c r="AH32">
        <f>SUMIF('库存（子SKU）'!$C:$C,$A32,'库存（子SKU）'!AJ:AJ)</f>
        <v>5</v>
      </c>
      <c r="AI32">
        <f>SUMIF('库存（子SKU）'!$C:$C,$A32,'库存（子SKU）'!AK:AK)</f>
        <v>70</v>
      </c>
      <c r="AJ32">
        <f>SUMIF('库存（子SKU）'!$C:$C,$A32,'库存（子SKU）'!AL:AL)</f>
        <v>200</v>
      </c>
      <c r="AK32">
        <f>SUMIF('库存（子SKU）'!$C:$C,$A32,'库存（子SKU）'!AM:AM)</f>
        <v>70</v>
      </c>
      <c r="AL32" s="23">
        <f t="shared" si="6"/>
        <v>0</v>
      </c>
      <c r="AM32" s="23">
        <f t="shared" si="7"/>
        <v>0.0142857142857143</v>
      </c>
      <c r="AN32" s="23">
        <f t="shared" si="8"/>
        <v>0.03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50</v>
      </c>
      <c r="AS32" t="str">
        <f t="shared" si="13"/>
        <v>库存为50</v>
      </c>
      <c r="AT32" s="2" t="str">
        <f>IFERROR(时间!$B$4+AS32,"上周无销量")</f>
        <v>上周无销量</v>
      </c>
    </row>
    <row r="33" spans="1:46">
      <c r="A33" t="s">
        <v>184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1</v>
      </c>
      <c r="E33" s="5">
        <f>SUMIF('库存（子SKU）'!$C:$C,$A33,'库存（子SKU）'!G:G)</f>
        <v>0</v>
      </c>
      <c r="F33" s="6">
        <v>89.6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>
        <f t="shared" si="4"/>
        <v>0</v>
      </c>
      <c r="AG33" s="23" t="str">
        <f t="shared" si="5"/>
        <v/>
      </c>
      <c r="AH33">
        <f>SUMIF('库存（子SKU）'!$C:$C,$A33,'库存（子SKU）'!AJ:AJ)</f>
        <v>7</v>
      </c>
      <c r="AI33">
        <f>SUMIF('库存（子SKU）'!$C:$C,$A33,'库存（子SKU）'!AK:AK)</f>
        <v>21</v>
      </c>
      <c r="AJ33">
        <f>SUMIF('库存（子SKU）'!$C:$C,$A33,'库存（子SKU）'!AL:AL)</f>
        <v>19</v>
      </c>
      <c r="AK33">
        <f>SUMIF('库存（子SKU）'!$C:$C,$A33,'库存（子SKU）'!AM:AM)</f>
        <v>18</v>
      </c>
      <c r="AL33" s="23">
        <f t="shared" si="6"/>
        <v>0</v>
      </c>
      <c r="AM33" s="23">
        <f t="shared" si="7"/>
        <v>0</v>
      </c>
      <c r="AN33" s="23">
        <f t="shared" si="8"/>
        <v>0.0526315789473684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4</v>
      </c>
      <c r="AS33" t="str">
        <f t="shared" si="13"/>
        <v>库存为4</v>
      </c>
      <c r="AT33" s="2" t="str">
        <f>IFERROR(时间!$B$4+AS33,"上周无销量")</f>
        <v>上周无销量</v>
      </c>
    </row>
    <row r="34" spans="1:46">
      <c r="A34" t="s">
        <v>187</v>
      </c>
      <c r="B34" s="5">
        <f>SUMIF('库存（子SKU）'!$C:$C,$A34,'库存（子SKU）'!D:D)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1</v>
      </c>
      <c r="F34" s="6">
        <v>89.99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2</v>
      </c>
      <c r="K34">
        <f t="shared" si="0"/>
        <v>8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10008</v>
      </c>
      <c r="P34">
        <f>SUMIF('库存（子SKU）'!$C:$C,$A34,'库存（子SKU）'!R:R)</f>
        <v>10862</v>
      </c>
      <c r="Q34">
        <f>SUMIF('库存（子SKU）'!$C:$C,$A34,'库存（子SKU）'!S:S)</f>
        <v>15420</v>
      </c>
      <c r="R34">
        <f>SUMIF('库存（子SKU）'!$C:$C,$A34,'库存（子SKU）'!T:T)</f>
        <v>0</v>
      </c>
      <c r="S34">
        <f>SUMIF('库存（子SKU）'!$C:$C,$A34,'库存（子SKU）'!U:U)</f>
        <v>87</v>
      </c>
      <c r="T34">
        <f>SUMIF('库存（子SKU）'!$C:$C,$A34,'库存（子SKU）'!V:V)</f>
        <v>128</v>
      </c>
      <c r="U34">
        <f>SUMIF('库存（子SKU）'!$C:$C,$A34,'库存（子SKU）'!W:W)</f>
        <v>135</v>
      </c>
      <c r="V34" s="23" t="str">
        <f t="shared" si="15"/>
        <v/>
      </c>
      <c r="W34" s="23">
        <f t="shared" si="16"/>
        <v>0.00869304556354916</v>
      </c>
      <c r="X34" s="23">
        <f t="shared" si="17"/>
        <v>0.0117842018044559</v>
      </c>
      <c r="Y34" s="23">
        <f t="shared" si="18"/>
        <v>0.00875486381322957</v>
      </c>
      <c r="Z34">
        <f>SUMIF('库存（子SKU）'!$C:$C,$A34,'库存（子SKU）'!AB:AB)</f>
        <v>0</v>
      </c>
      <c r="AA34">
        <f>SUMIF('库存（子SKU）'!$C:$C,$A34,'库存（子SKU）'!AC:AC)</f>
        <v>13.03</v>
      </c>
      <c r="AB34">
        <f>SUMIF('库存（子SKU）'!$C:$C,$A34,'库存（子SKU）'!AD:AD)</f>
        <v>16.5</v>
      </c>
      <c r="AC34">
        <f>SUMIF('库存（子SKU）'!$C:$C,$A34,'库存（子SKU）'!AE:AE)</f>
        <v>17.65</v>
      </c>
      <c r="AD34" s="23" t="str">
        <f t="shared" si="2"/>
        <v/>
      </c>
      <c r="AE34" s="23">
        <f t="shared" si="3"/>
        <v>0.144793865985109</v>
      </c>
      <c r="AF34" s="23" t="str">
        <f t="shared" si="4"/>
        <v>无销量广告费为16.5</v>
      </c>
      <c r="AG34" s="23">
        <f t="shared" si="5"/>
        <v>0.196132903655962</v>
      </c>
      <c r="AH34">
        <f>SUMIF('库存（子SKU）'!$C:$C,$A34,'库存（子SKU）'!AJ:AJ)</f>
        <v>45</v>
      </c>
      <c r="AI34">
        <f>SUMIF('库存（子SKU）'!$C:$C,$A34,'库存（子SKU）'!AK:AK)</f>
        <v>142</v>
      </c>
      <c r="AJ34">
        <f>SUMIF('库存（子SKU）'!$C:$C,$A34,'库存（子SKU）'!AL:AL)</f>
        <v>124</v>
      </c>
      <c r="AK34">
        <f>SUMIF('库存（子SKU）'!$C:$C,$A34,'库存（子SKU）'!AM:AM)</f>
        <v>129</v>
      </c>
      <c r="AL34" s="23">
        <f t="shared" si="6"/>
        <v>0</v>
      </c>
      <c r="AM34" s="23">
        <f t="shared" si="7"/>
        <v>0.00704225352112676</v>
      </c>
      <c r="AN34" s="23">
        <f t="shared" si="8"/>
        <v>0</v>
      </c>
      <c r="AO34" s="23">
        <f t="shared" si="9"/>
        <v>0.00775193798449612</v>
      </c>
      <c r="AP34" s="7">
        <f t="shared" si="10"/>
        <v>0</v>
      </c>
      <c r="AQ34" s="7">
        <f t="shared" si="11"/>
        <v>0</v>
      </c>
      <c r="AR34" s="7">
        <f t="shared" si="12"/>
        <v>8</v>
      </c>
      <c r="AS34" t="str">
        <f t="shared" si="13"/>
        <v>库存为8</v>
      </c>
      <c r="AT34" s="2" t="str">
        <f>IFERROR(时间!$B$4+AS34,"上周无销量")</f>
        <v>上周无销量</v>
      </c>
    </row>
    <row r="35" spans="1:46">
      <c r="A35" t="s">
        <v>191</v>
      </c>
      <c r="B35" s="5">
        <f>SUMIF('库存（子SKU）'!$C:$C,$A35,'库存（子SKU）'!D:D)</f>
        <v>8</v>
      </c>
      <c r="C35" s="5">
        <f>SUMIF('库存（子SKU）'!$C:$C,$A35,'库存（子SKU）'!E:E)</f>
        <v>6</v>
      </c>
      <c r="D35" s="5">
        <f>SUMIF('库存（子SKU）'!$C:$C,$A35,'库存（子SKU）'!F:F)</f>
        <v>3</v>
      </c>
      <c r="E35" s="5">
        <f>SUMIF('库存（子SKU）'!$C:$C,$A35,'库存（子SKU）'!G:G)</f>
        <v>6</v>
      </c>
      <c r="F35" s="6">
        <v>89.99</v>
      </c>
      <c r="G35">
        <f>SUMIF('库存（子SKU）'!$C:$C,$A35,'库存（子SKU）'!I:I)</f>
        <v>17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8</v>
      </c>
      <c r="K35">
        <f t="shared" si="0"/>
        <v>25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121972</v>
      </c>
      <c r="O35">
        <f>SUMIF('库存（子SKU）'!$C:$C,$A35,'库存（子SKU）'!Q:Q)</f>
        <v>73791</v>
      </c>
      <c r="P35">
        <f>SUMIF('库存（子SKU）'!$C:$C,$A35,'库存（子SKU）'!R:R)</f>
        <v>30106</v>
      </c>
      <c r="Q35">
        <f>SUMIF('库存（子SKU）'!$C:$C,$A35,'库存（子SKU）'!S:S)</f>
        <v>27626</v>
      </c>
      <c r="R35">
        <f>SUMIF('库存（子SKU）'!$C:$C,$A35,'库存（子SKU）'!T:T)</f>
        <v>768</v>
      </c>
      <c r="S35">
        <f>SUMIF('库存（子SKU）'!$C:$C,$A35,'库存（子SKU）'!U:U)</f>
        <v>542</v>
      </c>
      <c r="T35">
        <f>SUMIF('库存（子SKU）'!$C:$C,$A35,'库存（子SKU）'!V:V)</f>
        <v>317</v>
      </c>
      <c r="U35">
        <f>SUMIF('库存（子SKU）'!$C:$C,$A35,'库存（子SKU）'!W:W)</f>
        <v>320</v>
      </c>
      <c r="V35" s="23">
        <f t="shared" si="15"/>
        <v>0.00629652707178697</v>
      </c>
      <c r="W35" s="23">
        <f t="shared" si="16"/>
        <v>0.00734506918187855</v>
      </c>
      <c r="X35" s="23">
        <f t="shared" si="17"/>
        <v>0.0105294625656015</v>
      </c>
      <c r="Y35" s="23">
        <f t="shared" si="18"/>
        <v>0.0115832911025845</v>
      </c>
      <c r="Z35">
        <f>SUMIF('库存（子SKU）'!$C:$C,$A35,'库存（子SKU）'!AB:AB)</f>
        <v>117.9</v>
      </c>
      <c r="AA35">
        <f>SUMIF('库存（子SKU）'!$C:$C,$A35,'库存（子SKU）'!AC:AC)</f>
        <v>82.57</v>
      </c>
      <c r="AB35">
        <f>SUMIF('库存（子SKU）'!$C:$C,$A35,'库存（子SKU）'!AD:AD)</f>
        <v>43.45</v>
      </c>
      <c r="AC35">
        <f>SUMIF('库存（子SKU）'!$C:$C,$A35,'库存（子SKU）'!AE:AE)</f>
        <v>46.23</v>
      </c>
      <c r="AD35" s="23">
        <f t="shared" si="2"/>
        <v>0.163768196466274</v>
      </c>
      <c r="AE35" s="23">
        <f t="shared" si="3"/>
        <v>0.152924399007297</v>
      </c>
      <c r="AF35" s="23">
        <f t="shared" si="4"/>
        <v>0.160943808571323</v>
      </c>
      <c r="AG35" s="23">
        <f t="shared" si="5"/>
        <v>0.0856206245138349</v>
      </c>
      <c r="AH35">
        <f>SUMIF('库存（子SKU）'!$C:$C,$A35,'库存（子SKU）'!AJ:AJ)</f>
        <v>727</v>
      </c>
      <c r="AI35">
        <f>SUMIF('库存（子SKU）'!$C:$C,$A35,'库存（子SKU）'!AK:AK)</f>
        <v>582</v>
      </c>
      <c r="AJ35">
        <f>SUMIF('库存（子SKU）'!$C:$C,$A35,'库存（子SKU）'!AL:AL)</f>
        <v>393</v>
      </c>
      <c r="AK35">
        <f>SUMIF('库存（子SKU）'!$C:$C,$A35,'库存（子SKU）'!AM:AM)</f>
        <v>358</v>
      </c>
      <c r="AL35" s="23">
        <f t="shared" si="6"/>
        <v>0.0110041265474553</v>
      </c>
      <c r="AM35" s="23">
        <f t="shared" si="7"/>
        <v>0.0103092783505155</v>
      </c>
      <c r="AN35" s="23">
        <f t="shared" si="8"/>
        <v>0.00763358778625954</v>
      </c>
      <c r="AO35" s="23">
        <f t="shared" si="9"/>
        <v>0.0167597765363128</v>
      </c>
      <c r="AP35" s="7">
        <f t="shared" si="10"/>
        <v>1.14285714285714</v>
      </c>
      <c r="AQ35" s="7">
        <f t="shared" si="11"/>
        <v>68.5714285714286</v>
      </c>
      <c r="AR35" s="7">
        <f t="shared" si="12"/>
        <v>-43.5714285714286</v>
      </c>
      <c r="AS35">
        <f t="shared" si="13"/>
        <v>21</v>
      </c>
      <c r="AT35" s="2">
        <f>IFERROR(时间!$B$4+AS35,"上周无销量")</f>
        <v>43318</v>
      </c>
    </row>
    <row r="36" spans="1:46">
      <c r="A36" t="s">
        <v>196</v>
      </c>
      <c r="B36" s="5">
        <f>SUMIF('库存（子SKU）'!$C:$C,$A36,'库存（子SKU）'!D:D)</f>
        <v>3</v>
      </c>
      <c r="C36" s="5">
        <f>SUMIF('库存（子SKU）'!$C:$C,$A36,'库存（子SKU）'!E:E)</f>
        <v>4</v>
      </c>
      <c r="D36" s="5">
        <f>SUMIF('库存（子SKU）'!$C:$C,$A36,'库存（子SKU）'!F:F)</f>
        <v>4</v>
      </c>
      <c r="E36" s="5">
        <f>SUMIF('库存（子SKU）'!$C:$C,$A36,'库存（子SKU）'!G:G)</f>
        <v>4</v>
      </c>
      <c r="F36" s="6">
        <v>88.79</v>
      </c>
      <c r="G36">
        <f>SUMIF('库存（子SKU）'!$C:$C,$A36,'库存（子SKU）'!I:I)</f>
        <v>28</v>
      </c>
      <c r="H36">
        <f>SUMIF('库存（子SKU）'!$C:$C,$A36,'库存（子SKU）'!J:J)</f>
        <v>10</v>
      </c>
      <c r="I36">
        <f>SUMIF('库存（子SKU）'!$C:$C,$A36,'库存（子SKU）'!K:K)</f>
        <v>0</v>
      </c>
      <c r="J36">
        <f>SUMIF('库存（子SKU）'!$C:$C,$A36,'库存（子SKU）'!L:L)</f>
        <v>12</v>
      </c>
      <c r="K36">
        <f t="shared" si="0"/>
        <v>50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50019</v>
      </c>
      <c r="O36">
        <f>SUMIF('库存（子SKU）'!$C:$C,$A36,'库存（子SKU）'!Q:Q)</f>
        <v>10923</v>
      </c>
      <c r="P36">
        <f>SUMIF('库存（子SKU）'!$C:$C,$A36,'库存（子SKU）'!R:R)</f>
        <v>57795</v>
      </c>
      <c r="Q36">
        <f>SUMIF('库存（子SKU）'!$C:$C,$A36,'库存（子SKU）'!S:S)</f>
        <v>31313</v>
      </c>
      <c r="R36">
        <f>SUMIF('库存（子SKU）'!$C:$C,$A36,'库存（子SKU）'!T:T)</f>
        <v>339</v>
      </c>
      <c r="S36">
        <f>SUMIF('库存（子SKU）'!$C:$C,$A36,'库存（子SKU）'!U:U)</f>
        <v>114</v>
      </c>
      <c r="T36">
        <f>SUMIF('库存（子SKU）'!$C:$C,$A36,'库存（子SKU）'!V:V)</f>
        <v>431</v>
      </c>
      <c r="U36">
        <f>SUMIF('库存（子SKU）'!$C:$C,$A36,'库存（子SKU）'!W:W)</f>
        <v>317</v>
      </c>
      <c r="V36" s="23">
        <f t="shared" si="15"/>
        <v>0.00677742457866011</v>
      </c>
      <c r="W36" s="23">
        <f t="shared" si="16"/>
        <v>0.0104366932161494</v>
      </c>
      <c r="X36" s="23">
        <f t="shared" si="17"/>
        <v>0.00745739250800242</v>
      </c>
      <c r="Y36" s="23">
        <f t="shared" si="18"/>
        <v>0.0101235908408648</v>
      </c>
      <c r="Z36">
        <f>SUMIF('库存（子SKU）'!$C:$C,$A36,'库存（子SKU）'!AB:AB)</f>
        <v>60.89</v>
      </c>
      <c r="AA36">
        <f>SUMIF('库存（子SKU）'!$C:$C,$A36,'库存（子SKU）'!AC:AC)</f>
        <v>16.46</v>
      </c>
      <c r="AB36">
        <f>SUMIF('库存（子SKU）'!$C:$C,$A36,'库存（子SKU）'!AD:AD)</f>
        <v>59</v>
      </c>
      <c r="AC36">
        <f>SUMIF('库存（子SKU）'!$C:$C,$A36,'库存（子SKU）'!AE:AE)</f>
        <v>41.32</v>
      </c>
      <c r="AD36" s="23">
        <f t="shared" si="2"/>
        <v>0.22859180838683</v>
      </c>
      <c r="AE36" s="23">
        <f t="shared" si="3"/>
        <v>0.0463453091564365</v>
      </c>
      <c r="AF36" s="23">
        <f t="shared" si="4"/>
        <v>0.166122311071067</v>
      </c>
      <c r="AG36" s="23">
        <f t="shared" si="5"/>
        <v>0.116341930397567</v>
      </c>
      <c r="AH36">
        <f>SUMIF('库存（子SKU）'!$C:$C,$A36,'库存（子SKU）'!AJ:AJ)</f>
        <v>386</v>
      </c>
      <c r="AI36">
        <f>SUMIF('库存（子SKU）'!$C:$C,$A36,'库存（子SKU）'!AK:AK)</f>
        <v>258</v>
      </c>
      <c r="AJ36">
        <f>SUMIF('库存（子SKU）'!$C:$C,$A36,'库存（子SKU）'!AL:AL)</f>
        <v>443</v>
      </c>
      <c r="AK36">
        <f>SUMIF('库存（子SKU）'!$C:$C,$A36,'库存（子SKU）'!AM:AM)</f>
        <v>300</v>
      </c>
      <c r="AL36" s="23">
        <f t="shared" si="6"/>
        <v>0.0077720207253886</v>
      </c>
      <c r="AM36" s="23">
        <f t="shared" si="7"/>
        <v>0.0155038759689922</v>
      </c>
      <c r="AN36" s="23">
        <f t="shared" si="8"/>
        <v>0.0090293453724605</v>
      </c>
      <c r="AO36" s="23">
        <f t="shared" si="9"/>
        <v>0.0133333333333333</v>
      </c>
      <c r="AP36" s="7">
        <f t="shared" si="10"/>
        <v>0.428571428571429</v>
      </c>
      <c r="AQ36" s="7">
        <f t="shared" si="11"/>
        <v>25.7142857142857</v>
      </c>
      <c r="AR36" s="7">
        <f t="shared" si="12"/>
        <v>24.2857142857143</v>
      </c>
      <c r="AS36">
        <f t="shared" si="13"/>
        <v>116</v>
      </c>
      <c r="AT36" s="2">
        <f>IFERROR(时间!$B$4+AS36,"上周无销量")</f>
        <v>43413</v>
      </c>
    </row>
    <row r="37" spans="1:46">
      <c r="A37" t="s">
        <v>205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57</v>
      </c>
      <c r="G37">
        <f>SUMIF('库存（子SKU）'!$C:$C,$A37,'库存（子SKU）'!I:I)</f>
        <v>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3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16939</v>
      </c>
      <c r="O37">
        <f>SUMIF('库存（子SKU）'!$C:$C,$A37,'库存（子SKU）'!Q:Q)</f>
        <v>15790</v>
      </c>
      <c r="P37">
        <f>SUMIF('库存（子SKU）'!$C:$C,$A37,'库存（子SKU）'!R:R)</f>
        <v>16898</v>
      </c>
      <c r="Q37">
        <f>SUMIF('库存（子SKU）'!$C:$C,$A37,'库存（子SKU）'!S:S)</f>
        <v>7029</v>
      </c>
      <c r="R37">
        <f>SUMIF('库存（子SKU）'!$C:$C,$A37,'库存（子SKU）'!T:T)</f>
        <v>56</v>
      </c>
      <c r="S37">
        <f>SUMIF('库存（子SKU）'!$C:$C,$A37,'库存（子SKU）'!U:U)</f>
        <v>46</v>
      </c>
      <c r="T37">
        <f>SUMIF('库存（子SKU）'!$C:$C,$A37,'库存（子SKU）'!V:V)</f>
        <v>41</v>
      </c>
      <c r="U37">
        <f>SUMIF('库存（子SKU）'!$C:$C,$A37,'库存（子SKU）'!W:W)</f>
        <v>53</v>
      </c>
      <c r="V37" s="23">
        <f t="shared" si="15"/>
        <v>0.00330598028218903</v>
      </c>
      <c r="W37" s="23">
        <f t="shared" si="16"/>
        <v>0.00291323622545915</v>
      </c>
      <c r="X37" s="23">
        <f t="shared" si="17"/>
        <v>0.00242632264173275</v>
      </c>
      <c r="Y37" s="23">
        <f t="shared" si="18"/>
        <v>0.00754019063878219</v>
      </c>
      <c r="Z37">
        <f>SUMIF('库存（子SKU）'!$C:$C,$A37,'库存（子SKU）'!AB:AB)</f>
        <v>8.46</v>
      </c>
      <c r="AA37">
        <f>SUMIF('库存（子SKU）'!$C:$C,$A37,'库存（子SKU）'!AC:AC)</f>
        <v>7</v>
      </c>
      <c r="AB37">
        <f>SUMIF('库存（子SKU）'!$C:$C,$A37,'库存（子SKU）'!AD:AD)</f>
        <v>5.98</v>
      </c>
      <c r="AC37">
        <f>SUMIF('库存（子SKU）'!$C:$C,$A37,'库存（子SKU）'!AE:AE)</f>
        <v>6.92</v>
      </c>
      <c r="AD37" s="23" t="str">
        <f t="shared" si="2"/>
        <v>无销量广告费为8.46</v>
      </c>
      <c r="AE37" s="23" t="str">
        <f t="shared" si="3"/>
        <v>无销量广告费为7</v>
      </c>
      <c r="AF37" s="23" t="str">
        <f t="shared" si="4"/>
        <v>无销量广告费为5.98</v>
      </c>
      <c r="AG37" s="23" t="str">
        <f t="shared" si="5"/>
        <v>无销量广告费为6.92</v>
      </c>
      <c r="AH37">
        <f>SUMIF('库存（子SKU）'!$C:$C,$A37,'库存（子SKU）'!AJ:AJ)</f>
        <v>48</v>
      </c>
      <c r="AI37">
        <f>SUMIF('库存（子SKU）'!$C:$C,$A37,'库存（子SKU）'!AK:AK)</f>
        <v>49</v>
      </c>
      <c r="AJ37">
        <f>SUMIF('库存（子SKU）'!$C:$C,$A37,'库存（子SKU）'!AL:AL)</f>
        <v>20</v>
      </c>
      <c r="AK37">
        <f>SUMIF('库存（子SKU）'!$C:$C,$A37,'库存（子SKU）'!AM:AM)</f>
        <v>33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3</v>
      </c>
      <c r="AS37" t="str">
        <f t="shared" si="13"/>
        <v>库存为3</v>
      </c>
      <c r="AT37" s="2" t="str">
        <f>IFERROR(时间!$B$4+AS37,"上周无销量")</f>
        <v>上周无销量</v>
      </c>
    </row>
    <row r="38" spans="1:46">
      <c r="A38" t="s">
        <v>212</v>
      </c>
      <c r="B38" s="5">
        <f>SUMIF('库存（子SKU）'!$C:$C,$A38,'库存（子SKU）'!D:D)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1</v>
      </c>
      <c r="E38" s="5">
        <f>SUMIF('库存（子SKU）'!$C:$C,$A38,'库存（子SKU）'!G:G)</f>
        <v>3</v>
      </c>
      <c r="F38" s="6">
        <v>89.99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1</v>
      </c>
      <c r="M38">
        <f>SUMIF('库存（子SKU）'!$C:$C,$A38,'库存（子SKU）'!O:O)</f>
        <v>3</v>
      </c>
      <c r="N38">
        <f>SUMIF('库存（子SKU）'!$C:$C,$A38,'库存（子SKU）'!P:P)</f>
        <v>85766</v>
      </c>
      <c r="O38">
        <f>SUMIF('库存（子SKU）'!$C:$C,$A38,'库存（子SKU）'!Q:Q)</f>
        <v>48647</v>
      </c>
      <c r="P38">
        <f>SUMIF('库存（子SKU）'!$C:$C,$A38,'库存（子SKU）'!R:R)</f>
        <v>8601</v>
      </c>
      <c r="Q38">
        <f>SUMIF('库存（子SKU）'!$C:$C,$A38,'库存（子SKU）'!S:S)</f>
        <v>5740</v>
      </c>
      <c r="R38">
        <f>SUMIF('库存（子SKU）'!$C:$C,$A38,'库存（子SKU）'!T:T)</f>
        <v>262</v>
      </c>
      <c r="S38">
        <f>SUMIF('库存（子SKU）'!$C:$C,$A38,'库存（子SKU）'!U:U)</f>
        <v>171</v>
      </c>
      <c r="T38">
        <f>SUMIF('库存（子SKU）'!$C:$C,$A38,'库存（子SKU）'!V:V)</f>
        <v>63</v>
      </c>
      <c r="U38">
        <f>SUMIF('库存（子SKU）'!$C:$C,$A38,'库存（子SKU）'!W:W)</f>
        <v>61</v>
      </c>
      <c r="V38" s="23">
        <f t="shared" si="15"/>
        <v>0.00305482358976751</v>
      </c>
      <c r="W38" s="23">
        <f t="shared" si="16"/>
        <v>0.00351511912348141</v>
      </c>
      <c r="X38" s="23">
        <f t="shared" si="17"/>
        <v>0.00732472968259505</v>
      </c>
      <c r="Y38" s="23">
        <f t="shared" si="18"/>
        <v>0.0106271777003484</v>
      </c>
      <c r="Z38">
        <f>SUMIF('库存（子SKU）'!$C:$C,$A38,'库存（子SKU）'!AB:AB)</f>
        <v>38.18</v>
      </c>
      <c r="AA38">
        <f>SUMIF('库存（子SKU）'!$C:$C,$A38,'库存（子SKU）'!AC:AC)</f>
        <v>24.28</v>
      </c>
      <c r="AB38">
        <f>SUMIF('库存（子SKU）'!$C:$C,$A38,'库存（子SKU）'!AD:AD)</f>
        <v>7.37</v>
      </c>
      <c r="AC38">
        <f>SUMIF('库存（子SKU）'!$C:$C,$A38,'库存（子SKU）'!AE:AE)</f>
        <v>8.48</v>
      </c>
      <c r="AD38" s="23" t="str">
        <f t="shared" si="2"/>
        <v>无销量广告费为38.18</v>
      </c>
      <c r="AE38" s="23">
        <f t="shared" si="3"/>
        <v>0.26980775641738</v>
      </c>
      <c r="AF38" s="23">
        <f t="shared" si="4"/>
        <v>0.0818979886654073</v>
      </c>
      <c r="AG38" s="23">
        <f t="shared" si="5"/>
        <v>0.0314108975071304</v>
      </c>
      <c r="AH38">
        <f>SUMIF('库存（子SKU）'!$C:$C,$A38,'库存（子SKU）'!AJ:AJ)</f>
        <v>226</v>
      </c>
      <c r="AI38">
        <f>SUMIF('库存（子SKU）'!$C:$C,$A38,'库存（子SKU）'!AK:AK)</f>
        <v>119</v>
      </c>
      <c r="AJ38">
        <f>SUMIF('库存（子SKU）'!$C:$C,$A38,'库存（子SKU）'!AL:AL)</f>
        <v>94</v>
      </c>
      <c r="AK38">
        <f>SUMIF('库存（子SKU）'!$C:$C,$A38,'库存（子SKU）'!AM:AM)</f>
        <v>59</v>
      </c>
      <c r="AL38" s="23">
        <f t="shared" si="6"/>
        <v>0</v>
      </c>
      <c r="AM38" s="23">
        <f t="shared" si="7"/>
        <v>0.00840336134453781</v>
      </c>
      <c r="AN38" s="23">
        <f t="shared" si="8"/>
        <v>0.0106382978723404</v>
      </c>
      <c r="AO38" s="23">
        <f t="shared" si="9"/>
        <v>0.0508474576271186</v>
      </c>
      <c r="AP38" s="7">
        <f t="shared" si="10"/>
        <v>0</v>
      </c>
      <c r="AQ38" s="7">
        <f t="shared" si="11"/>
        <v>0</v>
      </c>
      <c r="AR38" s="7">
        <f t="shared" si="12"/>
        <v>9</v>
      </c>
      <c r="AS38" t="str">
        <f t="shared" si="13"/>
        <v>库存为9</v>
      </c>
      <c r="AT38" s="2" t="str">
        <f>IFERROR(时间!$B$4+AS38,"上周无销量")</f>
        <v>上周无销量</v>
      </c>
    </row>
    <row r="39" spans="1:46">
      <c r="A39" t="s">
        <v>222</v>
      </c>
      <c r="B39" s="5">
        <f>SUMIF('库存（子SKU）'!$C:$C,$A39,'库存（子SKU）'!D:D)</f>
        <v>8</v>
      </c>
      <c r="C39" s="5">
        <f>SUMIF('库存（子SKU）'!$C:$C,$A39,'库存（子SKU）'!E:E)</f>
        <v>4</v>
      </c>
      <c r="D39" s="5">
        <f>SUMIF('库存（子SKU）'!$C:$C,$A39,'库存（子SKU）'!F:F)</f>
        <v>0</v>
      </c>
      <c r="E39" s="5">
        <f>SUMIF('库存（子SKU）'!$C:$C,$A39,'库存（子SKU）'!G:G)</f>
        <v>2</v>
      </c>
      <c r="F39" s="6">
        <v>95.99</v>
      </c>
      <c r="G39">
        <f>SUMIF('库存（子SKU）'!$C:$C,$A39,'库存（子SKU）'!I:I)</f>
        <v>1</v>
      </c>
      <c r="H39">
        <f>SUMIF('库存（子SKU）'!$C:$C,$A39,'库存（子SKU）'!J:J)</f>
        <v>6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7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16728</v>
      </c>
      <c r="O39">
        <f>SUMIF('库存（子SKU）'!$C:$C,$A39,'库存（子SKU）'!Q:Q)</f>
        <v>18560</v>
      </c>
      <c r="P39">
        <f>SUMIF('库存（子SKU）'!$C:$C,$A39,'库存（子SKU）'!R:R)</f>
        <v>7031</v>
      </c>
      <c r="Q39">
        <f>SUMIF('库存（子SKU）'!$C:$C,$A39,'库存（子SKU）'!S:S)</f>
        <v>8266</v>
      </c>
      <c r="R39">
        <f>SUMIF('库存（子SKU）'!$C:$C,$A39,'库存（子SKU）'!T:T)</f>
        <v>85</v>
      </c>
      <c r="S39">
        <f>SUMIF('库存（子SKU）'!$C:$C,$A39,'库存（子SKU）'!U:U)</f>
        <v>108</v>
      </c>
      <c r="T39">
        <f>SUMIF('库存（子SKU）'!$C:$C,$A39,'库存（子SKU）'!V:V)</f>
        <v>61</v>
      </c>
      <c r="U39">
        <f>SUMIF('库存（子SKU）'!$C:$C,$A39,'库存（子SKU）'!W:W)</f>
        <v>53</v>
      </c>
      <c r="V39" s="23">
        <f t="shared" si="15"/>
        <v>0.00508130081300813</v>
      </c>
      <c r="W39" s="23">
        <f t="shared" si="16"/>
        <v>0.00581896551724138</v>
      </c>
      <c r="X39" s="23">
        <f t="shared" si="17"/>
        <v>0.00867586403072109</v>
      </c>
      <c r="Y39" s="23">
        <f t="shared" si="18"/>
        <v>0.00641180740382289</v>
      </c>
      <c r="Z39">
        <f>SUMIF('库存（子SKU）'!$C:$C,$A39,'库存（子SKU）'!AB:AB)</f>
        <v>14.62</v>
      </c>
      <c r="AA39">
        <f>SUMIF('库存（子SKU）'!$C:$C,$A39,'库存（子SKU）'!AC:AC)</f>
        <v>16.87</v>
      </c>
      <c r="AB39">
        <f>SUMIF('库存（子SKU）'!$C:$C,$A39,'库存（子SKU）'!AD:AD)</f>
        <v>8.23</v>
      </c>
      <c r="AC39">
        <f>SUMIF('库存（子SKU）'!$C:$C,$A39,'库存（子SKU）'!AE:AE)</f>
        <v>6.96</v>
      </c>
      <c r="AD39" s="23">
        <f t="shared" si="2"/>
        <v>0.0190384415043234</v>
      </c>
      <c r="AE39" s="23">
        <f t="shared" si="3"/>
        <v>0.0439368684237941</v>
      </c>
      <c r="AF39" s="23" t="str">
        <f t="shared" si="4"/>
        <v>无销量广告费为8.23</v>
      </c>
      <c r="AG39" s="23">
        <f t="shared" si="5"/>
        <v>0.0362537764350453</v>
      </c>
      <c r="AH39">
        <f>SUMIF('库存（子SKU）'!$C:$C,$A39,'库存（子SKU）'!AJ:AJ)</f>
        <v>199</v>
      </c>
      <c r="AI39">
        <f>SUMIF('库存（子SKU）'!$C:$C,$A39,'库存（子SKU）'!AK:AK)</f>
        <v>142</v>
      </c>
      <c r="AJ39">
        <f>SUMIF('库存（子SKU）'!$C:$C,$A39,'库存（子SKU）'!AL:AL)</f>
        <v>111</v>
      </c>
      <c r="AK39">
        <f>SUMIF('库存（子SKU）'!$C:$C,$A39,'库存（子SKU）'!AM:AM)</f>
        <v>86</v>
      </c>
      <c r="AL39" s="23">
        <f t="shared" si="6"/>
        <v>0.0402010050251256</v>
      </c>
      <c r="AM39" s="23">
        <f t="shared" si="7"/>
        <v>0.028169014084507</v>
      </c>
      <c r="AN39" s="23">
        <f t="shared" si="8"/>
        <v>0</v>
      </c>
      <c r="AO39" s="23">
        <f t="shared" si="9"/>
        <v>0.0232558139534884</v>
      </c>
      <c r="AP39" s="7">
        <f t="shared" si="10"/>
        <v>1.14285714285714</v>
      </c>
      <c r="AQ39" s="7">
        <f t="shared" si="11"/>
        <v>68.5714285714286</v>
      </c>
      <c r="AR39" s="7">
        <f t="shared" si="12"/>
        <v>-61.5714285714286</v>
      </c>
      <c r="AS39">
        <f t="shared" si="13"/>
        <v>6</v>
      </c>
      <c r="AT39" s="2">
        <f>IFERROR(时间!$B$4+AS39,"上周无销量")</f>
        <v>43303</v>
      </c>
    </row>
    <row r="40" spans="1:46">
      <c r="A40" t="s">
        <v>228</v>
      </c>
      <c r="B40" s="5">
        <f>SUMIF('库存（子SKU）'!$C:$C,$A40,'库存（子SKU）'!D:D)</f>
        <v>1</v>
      </c>
      <c r="C40" s="5">
        <f>SUMIF('库存（子SKU）'!$C:$C,$A40,'库存（子SKU）'!E:E)</f>
        <v>1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>
        <v>99.6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186509</v>
      </c>
      <c r="O40">
        <f>SUMIF('库存（子SKU）'!$C:$C,$A40,'库存（子SKU）'!Q:Q)</f>
        <v>137909</v>
      </c>
      <c r="P40">
        <f>SUMIF('库存（子SKU）'!$C:$C,$A40,'库存（子SKU）'!R:R)</f>
        <v>7694</v>
      </c>
      <c r="Q40">
        <f>SUMIF('库存（子SKU）'!$C:$C,$A40,'库存（子SKU）'!S:S)</f>
        <v>0</v>
      </c>
      <c r="R40">
        <f>SUMIF('库存（子SKU）'!$C:$C,$A40,'库存（子SKU）'!T:T)</f>
        <v>430</v>
      </c>
      <c r="S40">
        <f>SUMIF('库存（子SKU）'!$C:$C,$A40,'库存（子SKU）'!U:U)</f>
        <v>334</v>
      </c>
      <c r="T40">
        <f>SUMIF('库存（子SKU）'!$C:$C,$A40,'库存（子SKU）'!V:V)</f>
        <v>66</v>
      </c>
      <c r="U40">
        <f>SUMIF('库存（子SKU）'!$C:$C,$A40,'库存（子SKU）'!W:W)</f>
        <v>0</v>
      </c>
      <c r="V40" s="23">
        <f t="shared" si="15"/>
        <v>0.00230551876853128</v>
      </c>
      <c r="W40" s="23">
        <f t="shared" si="16"/>
        <v>0.00242188689643171</v>
      </c>
      <c r="X40" s="23">
        <f t="shared" si="17"/>
        <v>0.00857811281518066</v>
      </c>
      <c r="Y40" s="23" t="str">
        <f t="shared" si="18"/>
        <v/>
      </c>
      <c r="Z40">
        <f>SUMIF('库存（子SKU）'!$C:$C,$A40,'库存（子SKU）'!AB:AB)</f>
        <v>114.11</v>
      </c>
      <c r="AA40">
        <f>SUMIF('库存（子SKU）'!$C:$C,$A40,'库存（子SKU）'!AC:AC)</f>
        <v>85.35</v>
      </c>
      <c r="AB40">
        <f>SUMIF('库存（子SKU）'!$C:$C,$A40,'库存（子SKU）'!AD:AD)</f>
        <v>9.51</v>
      </c>
      <c r="AC40">
        <f>SUMIF('库存（子SKU）'!$C:$C,$A40,'库存（子SKU）'!AE:AE)</f>
        <v>0</v>
      </c>
      <c r="AD40" s="23">
        <f t="shared" si="2"/>
        <v>1.14568273092369</v>
      </c>
      <c r="AE40" s="23">
        <f t="shared" si="3"/>
        <v>0.856927710843373</v>
      </c>
      <c r="AF40" s="23" t="str">
        <f t="shared" si="4"/>
        <v>无销量广告费为9.51</v>
      </c>
      <c r="AG40" s="23" t="str">
        <f t="shared" si="5"/>
        <v/>
      </c>
      <c r="AH40">
        <f>SUMIF('库存（子SKU）'!$C:$C,$A40,'库存（子SKU）'!AJ:AJ)</f>
        <v>316</v>
      </c>
      <c r="AI40">
        <f>SUMIF('库存（子SKU）'!$C:$C,$A40,'库存（子SKU）'!AK:AK)</f>
        <v>252</v>
      </c>
      <c r="AJ40">
        <f>SUMIF('库存（子SKU）'!$C:$C,$A40,'库存（子SKU）'!AL:AL)</f>
        <v>57</v>
      </c>
      <c r="AK40">
        <f>SUMIF('库存（子SKU）'!$C:$C,$A40,'库存（子SKU）'!AM:AM)</f>
        <v>56</v>
      </c>
      <c r="AL40" s="23">
        <f t="shared" si="6"/>
        <v>0.00316455696202532</v>
      </c>
      <c r="AM40" s="23">
        <f t="shared" si="7"/>
        <v>0.00396825396825397</v>
      </c>
      <c r="AN40" s="23">
        <f t="shared" si="8"/>
        <v>0</v>
      </c>
      <c r="AO40" s="23">
        <f t="shared" si="9"/>
        <v>0</v>
      </c>
      <c r="AP40" s="7">
        <f t="shared" si="10"/>
        <v>0.142857142857143</v>
      </c>
      <c r="AQ40" s="7">
        <f t="shared" si="11"/>
        <v>8.57142857142857</v>
      </c>
      <c r="AR40" s="7">
        <f t="shared" si="12"/>
        <v>-5.57142857142857</v>
      </c>
      <c r="AS40">
        <f t="shared" si="13"/>
        <v>21</v>
      </c>
      <c r="AT40" s="2">
        <f>IFERROR(时间!$B$4+AS40,"上周无销量")</f>
        <v>43318</v>
      </c>
    </row>
    <row r="41" spans="1:46">
      <c r="A41" t="s">
        <v>232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>
        <f t="shared" si="4"/>
        <v>0</v>
      </c>
      <c r="AG41" s="23">
        <f t="shared" si="5"/>
        <v>0</v>
      </c>
      <c r="AH41">
        <f>SUMIF('库存（子SKU）'!$C:$C,$A41,'库存（子SKU）'!AJ:AJ)</f>
        <v>34</v>
      </c>
      <c r="AI41">
        <f>SUMIF('库存（子SKU）'!$C:$C,$A41,'库存（子SKU）'!AK:AK)</f>
        <v>26</v>
      </c>
      <c r="AJ41">
        <f>SUMIF('库存（子SKU）'!$C:$C,$A41,'库存（子SKU）'!AL:AL)</f>
        <v>23</v>
      </c>
      <c r="AK41">
        <f>SUMIF('库存（子SKU）'!$C:$C,$A41,'库存（子SKU）'!AM:AM)</f>
        <v>43</v>
      </c>
      <c r="AL41" s="23">
        <f t="shared" si="6"/>
        <v>0</v>
      </c>
      <c r="AM41" s="23">
        <f t="shared" si="7"/>
        <v>0</v>
      </c>
      <c r="AN41" s="23">
        <f t="shared" si="8"/>
        <v>0.0434782608695652</v>
      </c>
      <c r="AO41" s="23">
        <f t="shared" si="9"/>
        <v>0.0232558139534884</v>
      </c>
      <c r="AP41" s="7">
        <f t="shared" si="10"/>
        <v>0</v>
      </c>
      <c r="AQ41" s="7">
        <f t="shared" si="11"/>
        <v>0</v>
      </c>
      <c r="AR41" s="7">
        <f t="shared" si="12"/>
        <v>27</v>
      </c>
      <c r="AS41" t="str">
        <f t="shared" si="13"/>
        <v>库存为27</v>
      </c>
      <c r="AT41" s="2" t="str">
        <f>IFERROR(时间!$B$4+AS41,"上周无销量")</f>
        <v>上周无销量</v>
      </c>
    </row>
    <row r="42" spans="1:46">
      <c r="A42" t="s">
        <v>235</v>
      </c>
      <c r="B42" s="5">
        <f>SUMIF('库存（子SKU）'!$C:$C,$A42,'库存（子SKU）'!D:D)</f>
        <v>1</v>
      </c>
      <c r="C42" s="5">
        <f>SUMIF('库存（子SKU）'!$C:$C,$A42,'库存（子SKU）'!E:E)</f>
        <v>0</v>
      </c>
      <c r="D42" s="5">
        <f>SUMIF('库存（子SKU）'!$C:$C,$A42,'库存（子SKU）'!F:F)</f>
        <v>1</v>
      </c>
      <c r="E42" s="5">
        <f>SUMIF('库存（子SKU）'!$C:$C,$A42,'库存（子SKU）'!G:G)</f>
        <v>1</v>
      </c>
      <c r="F42" s="6">
        <v>86.6566666666667</v>
      </c>
      <c r="G42">
        <f>SUMIF('库存（子SKU）'!$C:$C,$A42,'库存（子SKU）'!I:I)</f>
        <v>5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5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83653</v>
      </c>
      <c r="O42">
        <f>SUMIF('库存（子SKU）'!$C:$C,$A42,'库存（子SKU）'!Q:Q)</f>
        <v>56518</v>
      </c>
      <c r="P42">
        <f>SUMIF('库存（子SKU）'!$C:$C,$A42,'库存（子SKU）'!R:R)</f>
        <v>37334</v>
      </c>
      <c r="Q42">
        <f>SUMIF('库存（子SKU）'!$C:$C,$A42,'库存（子SKU）'!S:S)</f>
        <v>48500</v>
      </c>
      <c r="R42">
        <f>SUMIF('库存（子SKU）'!$C:$C,$A42,'库存（子SKU）'!T:T)</f>
        <v>286</v>
      </c>
      <c r="S42">
        <f>SUMIF('库存（子SKU）'!$C:$C,$A42,'库存（子SKU）'!U:U)</f>
        <v>228</v>
      </c>
      <c r="T42">
        <f>SUMIF('库存（子SKU）'!$C:$C,$A42,'库存（子SKU）'!V:V)</f>
        <v>129</v>
      </c>
      <c r="U42">
        <f>SUMIF('库存（子SKU）'!$C:$C,$A42,'库存（子SKU）'!W:W)</f>
        <v>220</v>
      </c>
      <c r="V42" s="23">
        <f t="shared" si="15"/>
        <v>0.00341888515653951</v>
      </c>
      <c r="W42" s="23">
        <f t="shared" si="16"/>
        <v>0.00403411302593864</v>
      </c>
      <c r="X42" s="23">
        <f t="shared" si="17"/>
        <v>0.00345529544115284</v>
      </c>
      <c r="Y42" s="23">
        <f t="shared" si="18"/>
        <v>0.0045360824742268</v>
      </c>
      <c r="Z42">
        <f>SUMIF('库存（子SKU）'!$C:$C,$A42,'库存（子SKU）'!AB:AB)</f>
        <v>45.43</v>
      </c>
      <c r="AA42">
        <f>SUMIF('库存（子SKU）'!$C:$C,$A42,'库存（子SKU）'!AC:AC)</f>
        <v>37.17</v>
      </c>
      <c r="AB42">
        <f>SUMIF('库存（子SKU）'!$C:$C,$A42,'库存（子SKU）'!AD:AD)</f>
        <v>21.16</v>
      </c>
      <c r="AC42">
        <f>SUMIF('库存（子SKU）'!$C:$C,$A42,'库存（子SKU）'!AE:AE)</f>
        <v>43.82</v>
      </c>
      <c r="AD42" s="23">
        <f t="shared" si="2"/>
        <v>0.524252798399815</v>
      </c>
      <c r="AE42" s="23" t="str">
        <f t="shared" si="3"/>
        <v>无销量广告费为37.17</v>
      </c>
      <c r="AF42" s="23">
        <f t="shared" si="4"/>
        <v>0.244182021002423</v>
      </c>
      <c r="AG42" s="23">
        <f t="shared" si="5"/>
        <v>0.505673731584413</v>
      </c>
      <c r="AH42">
        <f>SUMIF('库存（子SKU）'!$C:$C,$A42,'库存（子SKU）'!AJ:AJ)</f>
        <v>264</v>
      </c>
      <c r="AI42">
        <f>SUMIF('库存（子SKU）'!$C:$C,$A42,'库存（子SKU）'!AK:AK)</f>
        <v>215</v>
      </c>
      <c r="AJ42">
        <f>SUMIF('库存（子SKU）'!$C:$C,$A42,'库存（子SKU）'!AL:AL)</f>
        <v>146</v>
      </c>
      <c r="AK42">
        <f>SUMIF('库存（子SKU）'!$C:$C,$A42,'库存（子SKU）'!AM:AM)</f>
        <v>181</v>
      </c>
      <c r="AL42" s="23">
        <f t="shared" si="6"/>
        <v>0.00378787878787879</v>
      </c>
      <c r="AM42" s="23">
        <f t="shared" si="7"/>
        <v>0</v>
      </c>
      <c r="AN42" s="23">
        <f t="shared" si="8"/>
        <v>0.00684931506849315</v>
      </c>
      <c r="AO42" s="23">
        <f t="shared" si="9"/>
        <v>0.00552486187845304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-3.57142857142857</v>
      </c>
      <c r="AS42">
        <f t="shared" si="13"/>
        <v>35</v>
      </c>
      <c r="AT42" s="2">
        <f>IFERROR(时间!$B$4+AS42,"上周无销量")</f>
        <v>43332</v>
      </c>
    </row>
    <row r="43" spans="1:46">
      <c r="A43" t="s">
        <v>242</v>
      </c>
      <c r="B43" s="5">
        <f>SUMIF('库存（子SKU）'!$C:$C,$A43,'库存（子SKU）'!D:D)</f>
        <v>1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1</v>
      </c>
      <c r="F43" s="6">
        <v>85.99</v>
      </c>
      <c r="G43">
        <f>SUMIF('库存（子SKU）'!$C:$C,$A43,'库存（子SKU）'!I:I)</f>
        <v>4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4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16494</v>
      </c>
      <c r="O43">
        <f>SUMIF('库存（子SKU）'!$C:$C,$A43,'库存（子SKU）'!Q:Q)</f>
        <v>4035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64</v>
      </c>
      <c r="S43">
        <f>SUMIF('库存（子SKU）'!$C:$C,$A43,'库存（子SKU）'!U:U)</f>
        <v>26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>
        <f t="shared" si="15"/>
        <v>0.00388019886019158</v>
      </c>
      <c r="W43" s="23">
        <f t="shared" si="16"/>
        <v>0.00644361833952912</v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12.54</v>
      </c>
      <c r="AA43">
        <f>SUMIF('库存（子SKU）'!$C:$C,$A43,'库存（子SKU）'!AC:AC)</f>
        <v>4.44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>
        <f t="shared" si="2"/>
        <v>0.145830910570997</v>
      </c>
      <c r="AE43" s="23" t="str">
        <f t="shared" si="3"/>
        <v>无销量广告费为4.44</v>
      </c>
      <c r="AF43" s="23" t="str">
        <f t="shared" si="4"/>
        <v/>
      </c>
      <c r="AG43" s="23">
        <f t="shared" si="5"/>
        <v>0</v>
      </c>
      <c r="AH43">
        <f>SUMIF('库存（子SKU）'!$C:$C,$A43,'库存（子SKU）'!AJ:AJ)</f>
        <v>46</v>
      </c>
      <c r="AI43">
        <f>SUMIF('库存（子SKU）'!$C:$C,$A43,'库存（子SKU）'!AK:AK)</f>
        <v>16</v>
      </c>
      <c r="AJ43">
        <f>SUMIF('库存（子SKU）'!$C:$C,$A43,'库存（子SKU）'!AL:AL)</f>
        <v>10</v>
      </c>
      <c r="AK43">
        <f>SUMIF('库存（子SKU）'!$C:$C,$A43,'库存（子SKU）'!AM:AM)</f>
        <v>20</v>
      </c>
      <c r="AL43" s="23">
        <f t="shared" si="6"/>
        <v>0.0217391304347826</v>
      </c>
      <c r="AM43" s="23">
        <f t="shared" si="7"/>
        <v>0</v>
      </c>
      <c r="AN43" s="23">
        <f t="shared" si="8"/>
        <v>0</v>
      </c>
      <c r="AO43" s="23">
        <f t="shared" si="9"/>
        <v>0.05</v>
      </c>
      <c r="AP43" s="7">
        <f t="shared" si="10"/>
        <v>0.142857142857143</v>
      </c>
      <c r="AQ43" s="7">
        <f t="shared" si="11"/>
        <v>8.57142857142857</v>
      </c>
      <c r="AR43" s="7">
        <f t="shared" si="12"/>
        <v>-4.57142857142857</v>
      </c>
      <c r="AS43">
        <f t="shared" si="13"/>
        <v>28</v>
      </c>
      <c r="AT43" s="2">
        <f>IFERROR(时间!$B$4+AS43,"上周无销量")</f>
        <v>43325</v>
      </c>
    </row>
    <row r="44" spans="1:46">
      <c r="A44" t="s">
        <v>246</v>
      </c>
      <c r="B44" s="5">
        <f>SUMIF('库存（子SKU）'!$C:$C,$A44,'库存（子SKU）'!D:D)</f>
        <v>4</v>
      </c>
      <c r="C44" s="5">
        <f>SUMIF('库存（子SKU）'!$C:$C,$A44,'库存（子SKU）'!E:E)</f>
        <v>6</v>
      </c>
      <c r="D44" s="5">
        <f>SUMIF('库存（子SKU）'!$C:$C,$A44,'库存（子SKU）'!F:F)</f>
        <v>4</v>
      </c>
      <c r="E44" s="5">
        <f>SUMIF('库存（子SKU）'!$C:$C,$A44,'库存（子SKU）'!G:G)</f>
        <v>2</v>
      </c>
      <c r="F44" s="6">
        <v>89.99</v>
      </c>
      <c r="G44">
        <f>SUMIF('库存（子SKU）'!$C:$C,$A44,'库存（子SKU）'!I:I)</f>
        <v>7</v>
      </c>
      <c r="H44">
        <f>SUMIF('库存（子SKU）'!$C:$C,$A44,'库存（子SKU）'!J:J)</f>
        <v>3</v>
      </c>
      <c r="I44">
        <f>SUMIF('库存（子SKU）'!$C:$C,$A44,'库存（子SKU）'!K:K)</f>
        <v>0</v>
      </c>
      <c r="J44">
        <f>SUMIF('库存（子SKU）'!$C:$C,$A44,'库存（子SKU）'!L:L)</f>
        <v>3</v>
      </c>
      <c r="K44">
        <f t="shared" si="0"/>
        <v>13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20773</v>
      </c>
      <c r="O44">
        <f>SUMIF('库存（子SKU）'!$C:$C,$A44,'库存（子SKU）'!Q:Q)</f>
        <v>26863</v>
      </c>
      <c r="P44">
        <f>SUMIF('库存（子SKU）'!$C:$C,$A44,'库存（子SKU）'!R:R)</f>
        <v>6856</v>
      </c>
      <c r="Q44">
        <f>SUMIF('库存（子SKU）'!$C:$C,$A44,'库存（子SKU）'!S:S)</f>
        <v>13960</v>
      </c>
      <c r="R44">
        <f>SUMIF('库存（子SKU）'!$C:$C,$A44,'库存（子SKU）'!T:T)</f>
        <v>119</v>
      </c>
      <c r="S44">
        <f>SUMIF('库存（子SKU）'!$C:$C,$A44,'库存（子SKU）'!U:U)</f>
        <v>151</v>
      </c>
      <c r="T44">
        <f>SUMIF('库存（子SKU）'!$C:$C,$A44,'库存（子SKU）'!V:V)</f>
        <v>67</v>
      </c>
      <c r="U44">
        <f>SUMIF('库存（子SKU）'!$C:$C,$A44,'库存（子SKU）'!W:W)</f>
        <v>82</v>
      </c>
      <c r="V44" s="23">
        <f t="shared" si="15"/>
        <v>0.00572858999663024</v>
      </c>
      <c r="W44" s="23">
        <f t="shared" si="16"/>
        <v>0.00562111454416856</v>
      </c>
      <c r="X44" s="23">
        <f t="shared" si="17"/>
        <v>0.00977246207701284</v>
      </c>
      <c r="Y44" s="23">
        <f t="shared" si="18"/>
        <v>0.00587392550143266</v>
      </c>
      <c r="Z44">
        <f>SUMIF('库存（子SKU）'!$C:$C,$A44,'库存（子SKU）'!AB:AB)</f>
        <v>18.31</v>
      </c>
      <c r="AA44">
        <f>SUMIF('库存（子SKU）'!$C:$C,$A44,'库存（子SKU）'!AC:AC)</f>
        <v>22.5</v>
      </c>
      <c r="AB44">
        <f>SUMIF('库存（子SKU）'!$C:$C,$A44,'库存（子SKU）'!AD:AD)</f>
        <v>8.03</v>
      </c>
      <c r="AC44">
        <f>SUMIF('库存（子SKU）'!$C:$C,$A44,'库存（子SKU）'!AE:AE)</f>
        <v>9.72</v>
      </c>
      <c r="AD44" s="23">
        <f t="shared" si="2"/>
        <v>0.0508667629736637</v>
      </c>
      <c r="AE44" s="23">
        <f t="shared" si="3"/>
        <v>0.0416712968107568</v>
      </c>
      <c r="AF44" s="23">
        <f t="shared" si="4"/>
        <v>0.0223080342260251</v>
      </c>
      <c r="AG44" s="23">
        <f t="shared" si="5"/>
        <v>0.0540060006667408</v>
      </c>
      <c r="AH44">
        <f>SUMIF('库存（子SKU）'!$C:$C,$A44,'库存（子SKU）'!AJ:AJ)</f>
        <v>375</v>
      </c>
      <c r="AI44">
        <f>SUMIF('库存（子SKU）'!$C:$C,$A44,'库存（子SKU）'!AK:AK)</f>
        <v>352</v>
      </c>
      <c r="AJ44">
        <f>SUMIF('库存（子SKU）'!$C:$C,$A44,'库存（子SKU）'!AL:AL)</f>
        <v>254</v>
      </c>
      <c r="AK44">
        <f>SUMIF('库存（子SKU）'!$C:$C,$A44,'库存（子SKU）'!AM:AM)</f>
        <v>232</v>
      </c>
      <c r="AL44" s="23">
        <f t="shared" si="6"/>
        <v>0.0106666666666667</v>
      </c>
      <c r="AM44" s="23">
        <f t="shared" si="7"/>
        <v>0.0170454545454545</v>
      </c>
      <c r="AN44" s="23">
        <f t="shared" si="8"/>
        <v>0.015748031496063</v>
      </c>
      <c r="AO44" s="23">
        <f t="shared" si="9"/>
        <v>0.00862068965517241</v>
      </c>
      <c r="AP44" s="7">
        <f t="shared" si="10"/>
        <v>0.571428571428571</v>
      </c>
      <c r="AQ44" s="7">
        <f t="shared" si="11"/>
        <v>34.2857142857143</v>
      </c>
      <c r="AR44" s="7">
        <f t="shared" si="12"/>
        <v>-21.2857142857143</v>
      </c>
      <c r="AS44">
        <f t="shared" si="13"/>
        <v>22</v>
      </c>
      <c r="AT44" s="2">
        <f>IFERROR(时间!$B$4+AS44,"上周无销量")</f>
        <v>43319</v>
      </c>
    </row>
    <row r="45" spans="1:46">
      <c r="A45" t="s">
        <v>250</v>
      </c>
      <c r="B45" s="5">
        <f>SUMIF('库存（子SKU）'!$C:$C,$A45,'库存（子SKU）'!D:D)</f>
        <v>1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79.99</v>
      </c>
      <c r="G45">
        <f>SUMIF('库存（子SKU）'!$C:$C,$A45,'库存（子SKU）'!I:I)</f>
        <v>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9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>
        <f t="shared" si="2"/>
        <v>0</v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11</v>
      </c>
      <c r="AI45">
        <f>SUMIF('库存（子SKU）'!$C:$C,$A45,'库存（子SKU）'!AK:AK)</f>
        <v>11</v>
      </c>
      <c r="AJ45">
        <f>SUMIF('库存（子SKU）'!$C:$C,$A45,'库存（子SKU）'!AL:AL)</f>
        <v>8</v>
      </c>
      <c r="AK45">
        <f>SUMIF('库存（子SKU）'!$C:$C,$A45,'库存（子SKU）'!AM:AM)</f>
        <v>6</v>
      </c>
      <c r="AL45" s="23">
        <f t="shared" si="6"/>
        <v>0.0909090909090909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0.142857142857143</v>
      </c>
      <c r="AQ45" s="7">
        <f t="shared" si="11"/>
        <v>8.57142857142857</v>
      </c>
      <c r="AR45" s="7">
        <f t="shared" si="12"/>
        <v>0.428571428571429</v>
      </c>
      <c r="AS45">
        <f t="shared" si="13"/>
        <v>63</v>
      </c>
      <c r="AT45" s="2">
        <f>IFERROR(时间!$B$4+AS45,"上周无销量")</f>
        <v>43360</v>
      </c>
    </row>
    <row r="46" spans="1:46">
      <c r="A46" t="s">
        <v>255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57</v>
      </c>
      <c r="G46">
        <f>SUMIF('库存（子SKU）'!$C:$C,$A46,'库存（子SKU）'!I:I)</f>
        <v>0</v>
      </c>
      <c r="H46">
        <f>SUMIF('库存（子SKU）'!$C:$C,$A46,'库存（子SKU）'!J:J)</f>
        <v>3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258</v>
      </c>
      <c r="B47" s="5">
        <f>SUMIF('库存（子SKU）'!$C:$C,$A47,'库存（子SKU）'!D:D)</f>
        <v>5</v>
      </c>
      <c r="C47" s="5">
        <f>SUMIF('库存（子SKU）'!$C:$C,$A47,'库存（子SKU）'!E:E)</f>
        <v>4</v>
      </c>
      <c r="D47" s="5">
        <f>SUMIF('库存（子SKU）'!$C:$C,$A47,'库存（子SKU）'!F:F)</f>
        <v>1</v>
      </c>
      <c r="E47" s="5">
        <f>SUMIF('库存（子SKU）'!$C:$C,$A47,'库存（子SKU）'!G:G)</f>
        <v>1</v>
      </c>
      <c r="F47" s="6">
        <v>91.9236363636364</v>
      </c>
      <c r="G47">
        <f>SUMIF('库存（子SKU）'!$C:$C,$A47,'库存（子SKU）'!I:I)</f>
        <v>10</v>
      </c>
      <c r="H47">
        <f>SUMIF('库存（子SKU）'!$C:$C,$A47,'库存（子SKU）'!J:J)</f>
        <v>10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20</v>
      </c>
      <c r="L47">
        <f>SUMIF('库存（子SKU）'!$C:$C,$A47,'库存（子SKU）'!N:N)</f>
        <v>1</v>
      </c>
      <c r="M47">
        <f>SUMIF('库存（子SKU）'!$C:$C,$A47,'库存（子SKU）'!O:O)</f>
        <v>0</v>
      </c>
      <c r="N47">
        <f>SUMIF('库存（子SKU）'!$C:$C,$A47,'库存（子SKU）'!P:P)</f>
        <v>36328</v>
      </c>
      <c r="O47">
        <f>SUMIF('库存（子SKU）'!$C:$C,$A47,'库存（子SKU）'!Q:Q)</f>
        <v>28569</v>
      </c>
      <c r="P47">
        <f>SUMIF('库存（子SKU）'!$C:$C,$A47,'库存（子SKU）'!R:R)</f>
        <v>9772</v>
      </c>
      <c r="Q47">
        <f>SUMIF('库存（子SKU）'!$C:$C,$A47,'库存（子SKU）'!S:S)</f>
        <v>7260</v>
      </c>
      <c r="R47">
        <f>SUMIF('库存（子SKU）'!$C:$C,$A47,'库存（子SKU）'!T:T)</f>
        <v>169</v>
      </c>
      <c r="S47">
        <f>SUMIF('库存（子SKU）'!$C:$C,$A47,'库存（子SKU）'!U:U)</f>
        <v>131</v>
      </c>
      <c r="T47">
        <f>SUMIF('库存（子SKU）'!$C:$C,$A47,'库存（子SKU）'!V:V)</f>
        <v>65</v>
      </c>
      <c r="U47">
        <f>SUMIF('库存（子SKU）'!$C:$C,$A47,'库存（子SKU）'!W:W)</f>
        <v>46</v>
      </c>
      <c r="V47" s="23">
        <f t="shared" si="15"/>
        <v>0.00465205901783748</v>
      </c>
      <c r="W47" s="23">
        <f t="shared" si="16"/>
        <v>0.00458538975812944</v>
      </c>
      <c r="X47" s="23">
        <f t="shared" si="17"/>
        <v>0.0066516577977896</v>
      </c>
      <c r="Y47" s="23">
        <f t="shared" si="18"/>
        <v>0.00633608815426997</v>
      </c>
      <c r="Z47">
        <f>SUMIF('库存（子SKU）'!$C:$C,$A47,'库存（子SKU）'!AB:AB)</f>
        <v>27.01</v>
      </c>
      <c r="AA47">
        <f>SUMIF('库存（子SKU）'!$C:$C,$A47,'库存（子SKU）'!AC:AC)</f>
        <v>21.5</v>
      </c>
      <c r="AB47">
        <f>SUMIF('库存（子SKU）'!$C:$C,$A47,'库存（子SKU）'!AD:AD)</f>
        <v>8.48</v>
      </c>
      <c r="AC47">
        <f>SUMIF('库存（子SKU）'!$C:$C,$A47,'库存（子SKU）'!AE:AE)</f>
        <v>6.16</v>
      </c>
      <c r="AD47" s="23">
        <f t="shared" si="2"/>
        <v>0.058766169547846</v>
      </c>
      <c r="AE47" s="23">
        <f t="shared" si="3"/>
        <v>0.0584724474860556</v>
      </c>
      <c r="AF47" s="23">
        <f t="shared" si="4"/>
        <v>0.0922504845919538</v>
      </c>
      <c r="AG47" s="23">
        <f t="shared" si="5"/>
        <v>0.06701214446774</v>
      </c>
      <c r="AH47">
        <f>SUMIF('库存（子SKU）'!$C:$C,$A47,'库存（子SKU）'!AJ:AJ)</f>
        <v>240</v>
      </c>
      <c r="AI47">
        <f>SUMIF('库存（子SKU）'!$C:$C,$A47,'库存（子SKU）'!AK:AK)</f>
        <v>167</v>
      </c>
      <c r="AJ47">
        <f>SUMIF('库存（子SKU）'!$C:$C,$A47,'库存（子SKU）'!AL:AL)</f>
        <v>105</v>
      </c>
      <c r="AK47">
        <f>SUMIF('库存（子SKU）'!$C:$C,$A47,'库存（子SKU）'!AM:AM)</f>
        <v>73</v>
      </c>
      <c r="AL47" s="23">
        <f t="shared" si="6"/>
        <v>0.0208333333333333</v>
      </c>
      <c r="AM47" s="23">
        <f t="shared" si="7"/>
        <v>0.0239520958083832</v>
      </c>
      <c r="AN47" s="23">
        <f t="shared" si="8"/>
        <v>0.00952380952380952</v>
      </c>
      <c r="AO47" s="23">
        <f t="shared" si="9"/>
        <v>0.0136986301369863</v>
      </c>
      <c r="AP47" s="7">
        <f t="shared" si="10"/>
        <v>0.714285714285714</v>
      </c>
      <c r="AQ47" s="7">
        <f t="shared" si="11"/>
        <v>42.8571428571429</v>
      </c>
      <c r="AR47" s="7">
        <f t="shared" si="12"/>
        <v>-22.8571428571429</v>
      </c>
      <c r="AS47">
        <f t="shared" si="13"/>
        <v>28</v>
      </c>
      <c r="AT47" s="2">
        <f>IFERROR(时间!$B$4+AS47,"上周无销量")</f>
        <v>43325</v>
      </c>
    </row>
    <row r="48" spans="1:46">
      <c r="A48" t="s">
        <v>264</v>
      </c>
      <c r="B48" s="5">
        <f>SUMIF('库存（子SKU）'!$C:$C,$A48,'库存（子SKU）'!D:D)</f>
        <v>1</v>
      </c>
      <c r="C48" s="5">
        <f>SUMIF('库存（子SKU）'!$C:$C,$A48,'库存（子SKU）'!E:E)</f>
        <v>1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>
        <v>79.99</v>
      </c>
      <c r="G48">
        <f>SUMIF('库存（子SKU）'!$C:$C,$A48,'库存（子SKU）'!I:I)</f>
        <v>5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5</v>
      </c>
      <c r="L48">
        <f>SUMIF('库存（子SKU）'!$C:$C,$A48,'库存（子SKU）'!N:N)</f>
        <v>0</v>
      </c>
      <c r="M48">
        <f>SUMIF('库存（子SKU）'!$C:$C,$A48,'库存（子SKU）'!O:O)</f>
        <v>5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>
        <f t="shared" si="2"/>
        <v>0</v>
      </c>
      <c r="AE48" s="23">
        <f t="shared" si="3"/>
        <v>0</v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8</v>
      </c>
      <c r="AI48">
        <f>SUMIF('库存（子SKU）'!$C:$C,$A48,'库存（子SKU）'!AK:AK)</f>
        <v>8</v>
      </c>
      <c r="AJ48">
        <f>SUMIF('库存（子SKU）'!$C:$C,$A48,'库存（子SKU）'!AL:AL)</f>
        <v>2</v>
      </c>
      <c r="AK48">
        <f>SUMIF('库存（子SKU）'!$C:$C,$A48,'库存（子SKU）'!AM:AM)</f>
        <v>8</v>
      </c>
      <c r="AL48" s="23">
        <f t="shared" si="6"/>
        <v>0.125</v>
      </c>
      <c r="AM48" s="23">
        <f t="shared" si="7"/>
        <v>0.125</v>
      </c>
      <c r="AN48" s="23">
        <f t="shared" si="8"/>
        <v>0</v>
      </c>
      <c r="AO48" s="23">
        <f t="shared" si="9"/>
        <v>0</v>
      </c>
      <c r="AP48" s="7">
        <f t="shared" si="10"/>
        <v>0.142857142857143</v>
      </c>
      <c r="AQ48" s="7">
        <f t="shared" si="11"/>
        <v>8.57142857142857</v>
      </c>
      <c r="AR48" s="7">
        <f t="shared" si="12"/>
        <v>-3.57142857142857</v>
      </c>
      <c r="AS48">
        <f t="shared" si="13"/>
        <v>35</v>
      </c>
      <c r="AT48" s="2">
        <f>IFERROR(时间!$B$4+AS48,"上周无销量")</f>
        <v>43332</v>
      </c>
    </row>
    <row r="49" spans="1:46">
      <c r="A49" t="s">
        <v>267</v>
      </c>
      <c r="B49" s="5">
        <f>SUMIF('库存（子SKU）'!$C:$C,$A49,'库存（子SKU）'!D:D)</f>
        <v>10</v>
      </c>
      <c r="C49" s="5">
        <f>SUMIF('库存（子SKU）'!$C:$C,$A49,'库存（子SKU）'!E:E)</f>
        <v>16</v>
      </c>
      <c r="D49" s="5">
        <f>SUMIF('库存（子SKU）'!$C:$C,$A49,'库存（子SKU）'!F:F)</f>
        <v>9</v>
      </c>
      <c r="E49" s="5">
        <f>SUMIF('库存（子SKU）'!$C:$C,$A49,'库存（子SKU）'!G:G)</f>
        <v>5</v>
      </c>
      <c r="F49" s="6">
        <v>89.99</v>
      </c>
      <c r="G49">
        <f>SUMIF('库存（子SKU）'!$C:$C,$A49,'库存（子SKU）'!I:I)</f>
        <v>19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19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16319</v>
      </c>
      <c r="P49">
        <f>SUMIF('库存（子SKU）'!$C:$C,$A49,'库存（子SKU）'!R:R)</f>
        <v>49973</v>
      </c>
      <c r="Q49">
        <f>SUMIF('库存（子SKU）'!$C:$C,$A49,'库存（子SKU）'!S:S)</f>
        <v>28227</v>
      </c>
      <c r="R49">
        <f>SUMIF('库存（子SKU）'!$C:$C,$A49,'库存（子SKU）'!T:T)</f>
        <v>0</v>
      </c>
      <c r="S49">
        <f>SUMIF('库存（子SKU）'!$C:$C,$A49,'库存（子SKU）'!U:U)</f>
        <v>100</v>
      </c>
      <c r="T49">
        <f>SUMIF('库存（子SKU）'!$C:$C,$A49,'库存（子SKU）'!V:V)</f>
        <v>390</v>
      </c>
      <c r="U49">
        <f>SUMIF('库存（子SKU）'!$C:$C,$A49,'库存（子SKU）'!W:W)</f>
        <v>387</v>
      </c>
      <c r="V49" s="23" t="str">
        <f t="shared" si="15"/>
        <v/>
      </c>
      <c r="W49" s="23">
        <f t="shared" si="16"/>
        <v>0.00612782645995465</v>
      </c>
      <c r="X49" s="23">
        <f t="shared" si="17"/>
        <v>0.00780421427570888</v>
      </c>
      <c r="Y49" s="23">
        <f t="shared" si="18"/>
        <v>0.0137102773939845</v>
      </c>
      <c r="Z49">
        <f>SUMIF('库存（子SKU）'!$C:$C,$A49,'库存（子SKU）'!AB:AB)</f>
        <v>0</v>
      </c>
      <c r="AA49">
        <f>SUMIF('库存（子SKU）'!$C:$C,$A49,'库存（子SKU）'!AC:AC)</f>
        <v>14.13</v>
      </c>
      <c r="AB49">
        <f>SUMIF('库存（子SKU）'!$C:$C,$A49,'库存（子SKU）'!AD:AD)</f>
        <v>51.75</v>
      </c>
      <c r="AC49">
        <f>SUMIF('库存（子SKU）'!$C:$C,$A49,'库存（子SKU）'!AE:AE)</f>
        <v>54.46</v>
      </c>
      <c r="AD49" s="23">
        <f t="shared" si="2"/>
        <v>0</v>
      </c>
      <c r="AE49" s="23">
        <f t="shared" si="3"/>
        <v>0.00981359039893322</v>
      </c>
      <c r="AF49" s="23">
        <f t="shared" si="4"/>
        <v>0.0638959884431604</v>
      </c>
      <c r="AG49" s="23">
        <f t="shared" si="5"/>
        <v>0.12103567063007</v>
      </c>
      <c r="AH49">
        <f>SUMIF('库存（子SKU）'!$C:$C,$A49,'库存（子SKU）'!AJ:AJ)</f>
        <v>676</v>
      </c>
      <c r="AI49">
        <f>SUMIF('库存（子SKU）'!$C:$C,$A49,'库存（子SKU）'!AK:AK)</f>
        <v>678</v>
      </c>
      <c r="AJ49">
        <f>SUMIF('库存（子SKU）'!$C:$C,$A49,'库存（子SKU）'!AL:AL)</f>
        <v>708</v>
      </c>
      <c r="AK49">
        <f>SUMIF('库存（子SKU）'!$C:$C,$A49,'库存（子SKU）'!AM:AM)</f>
        <v>515</v>
      </c>
      <c r="AL49" s="23">
        <f t="shared" si="6"/>
        <v>0.014792899408284</v>
      </c>
      <c r="AM49" s="23">
        <f t="shared" si="7"/>
        <v>0.023598820058997</v>
      </c>
      <c r="AN49" s="23">
        <f t="shared" si="8"/>
        <v>0.0127118644067797</v>
      </c>
      <c r="AO49" s="23">
        <f t="shared" si="9"/>
        <v>0.00970873786407767</v>
      </c>
      <c r="AP49" s="7">
        <f t="shared" si="10"/>
        <v>1.42857142857143</v>
      </c>
      <c r="AQ49" s="7">
        <f t="shared" si="11"/>
        <v>85.7142857142857</v>
      </c>
      <c r="AR49" s="7">
        <f t="shared" si="12"/>
        <v>-66.7142857142857</v>
      </c>
      <c r="AS49">
        <f t="shared" si="13"/>
        <v>13</v>
      </c>
      <c r="AT49" s="2">
        <f>IFERROR(时间!$B$4+AS49,"上周无销量")</f>
        <v>43310</v>
      </c>
    </row>
    <row r="50" spans="1:46">
      <c r="A50" t="s">
        <v>270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2</v>
      </c>
      <c r="E50" s="5">
        <f>SUMIF('库存（子SKU）'!$C:$C,$A50,'库存（子SKU）'!G:G)</f>
        <v>0</v>
      </c>
      <c r="F50" s="6">
        <v>32.99</v>
      </c>
      <c r="G50">
        <f>SUMIF('库存（子SKU）'!$C:$C,$A50,'库存（子SKU）'!I:I)</f>
        <v>24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55</v>
      </c>
      <c r="AI50">
        <f>SUMIF('库存（子SKU）'!$C:$C,$A50,'库存（子SKU）'!AK:AK)</f>
        <v>87</v>
      </c>
      <c r="AJ50">
        <f>SUMIF('库存（子SKU）'!$C:$C,$A50,'库存（子SKU）'!AL:AL)</f>
        <v>51</v>
      </c>
      <c r="AK50">
        <f>SUMIF('库存（子SKU）'!$C:$C,$A50,'库存（子SKU）'!AM:AM)</f>
        <v>68</v>
      </c>
      <c r="AL50" s="23">
        <f t="shared" si="6"/>
        <v>0</v>
      </c>
      <c r="AM50" s="23">
        <f t="shared" si="7"/>
        <v>0</v>
      </c>
      <c r="AN50" s="23">
        <f t="shared" si="8"/>
        <v>0.0392156862745098</v>
      </c>
      <c r="AO50" s="23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275</v>
      </c>
      <c r="B51" s="5">
        <f>SUMIF('库存（子SKU）'!$C:$C,$A51,'库存（子SKU）'!D:D)</f>
        <v>1</v>
      </c>
      <c r="C51" s="5">
        <f>SUMIF('库存（子SKU）'!$C:$C,$A51,'库存（子SKU）'!E:E)</f>
        <v>0</v>
      </c>
      <c r="D51" s="5">
        <f>SUMIF('库存（子SKU）'!$C:$C,$A51,'库存（子SKU）'!F:F)</f>
        <v>2</v>
      </c>
      <c r="E51" s="5">
        <f>SUMIF('库存（子SKU）'!$C:$C,$A51,'库存（子SKU）'!G:G)</f>
        <v>2</v>
      </c>
      <c r="F51" s="6">
        <v>89.99</v>
      </c>
      <c r="G51">
        <f>SUMIF('库存（子SKU）'!$C:$C,$A51,'库存（子SKU）'!I:I)</f>
        <v>14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>
        <f t="shared" si="4"/>
        <v>0</v>
      </c>
      <c r="AG51" s="23">
        <f t="shared" si="5"/>
        <v>0</v>
      </c>
      <c r="AH51">
        <f>SUMIF('库存（子SKU）'!$C:$C,$A51,'库存（子SKU）'!AJ:AJ)</f>
        <v>26</v>
      </c>
      <c r="AI51">
        <f>SUMIF('库存（子SKU）'!$C:$C,$A51,'库存（子SKU）'!AK:AK)</f>
        <v>9</v>
      </c>
      <c r="AJ51">
        <f>SUMIF('库存（子SKU）'!$C:$C,$A51,'库存（子SKU）'!AL:AL)</f>
        <v>7</v>
      </c>
      <c r="AK51">
        <f>SUMIF('库存（子SKU）'!$C:$C,$A51,'库存（子SKU）'!AM:AM)</f>
        <v>15</v>
      </c>
      <c r="AL51" s="23">
        <f t="shared" si="6"/>
        <v>0.0384615384615385</v>
      </c>
      <c r="AM51" s="23">
        <f t="shared" si="7"/>
        <v>0</v>
      </c>
      <c r="AN51" s="23">
        <f t="shared" si="8"/>
        <v>0.285714285714286</v>
      </c>
      <c r="AO51" s="23">
        <f t="shared" si="9"/>
        <v>0.133333333333333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5.42857142857143</v>
      </c>
      <c r="AS51">
        <f t="shared" si="13"/>
        <v>98</v>
      </c>
      <c r="AT51" s="2">
        <f>IFERROR(时间!$B$4+AS51,"上周无销量")</f>
        <v>43395</v>
      </c>
    </row>
    <row r="52" spans="1:46">
      <c r="A52" t="s">
        <v>278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57</v>
      </c>
      <c r="G52">
        <f>SUMIF('库存（子SKU）'!$C:$C,$A52,'库存（子SKU）'!I:I)</f>
        <v>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3</v>
      </c>
      <c r="L52">
        <f>SUMIF('库存（子SKU）'!$C:$C,$A52,'库存（子SKU）'!N:N)</f>
        <v>0</v>
      </c>
      <c r="M52">
        <f>SUMIF('库存（子SKU）'!$C:$C,$A52,'库存（子SKU）'!O:O)</f>
        <v>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</v>
      </c>
      <c r="AI52">
        <f>SUMIF('库存（子SKU）'!$C:$C,$A52,'库存（子SKU）'!AK:AK)</f>
        <v>0</v>
      </c>
      <c r="AJ52">
        <f>SUMIF('库存（子SKU）'!$C:$C,$A52,'库存（子SKU）'!AL:AL)</f>
        <v>2</v>
      </c>
      <c r="AK52">
        <f>SUMIF('库存（子SKU）'!$C:$C,$A52,'库存（子SKU）'!AM:AM)</f>
        <v>1</v>
      </c>
      <c r="AL52" s="23">
        <f t="shared" si="6"/>
        <v>0</v>
      </c>
      <c r="AM52" s="23" t="str">
        <f t="shared" si="7"/>
        <v/>
      </c>
      <c r="AN52" s="23">
        <f t="shared" si="8"/>
        <v>0</v>
      </c>
      <c r="AO52" s="23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3</v>
      </c>
      <c r="AS52" t="str">
        <f t="shared" si="13"/>
        <v>库存为3</v>
      </c>
      <c r="AT52" s="2" t="str">
        <f>IFERROR(时间!$B$4+AS52,"上周无销量")</f>
        <v>上周无销量</v>
      </c>
    </row>
    <row r="53" spans="1:46">
      <c r="A53" t="s">
        <v>281</v>
      </c>
      <c r="B53" s="5">
        <f>SUMIF('库存（子SKU）'!$C:$C,$A53,'库存（子SKU）'!D:D)</f>
        <v>8</v>
      </c>
      <c r="C53" s="5">
        <f>SUMIF('库存（子SKU）'!$C:$C,$A53,'库存（子SKU）'!E:E)</f>
        <v>7</v>
      </c>
      <c r="D53" s="5">
        <f>SUMIF('库存（子SKU）'!$C:$C,$A53,'库存（子SKU）'!F:F)</f>
        <v>8</v>
      </c>
      <c r="E53" s="5">
        <f>SUMIF('库存（子SKU）'!$C:$C,$A53,'库存（子SKU）'!G:G)</f>
        <v>7</v>
      </c>
      <c r="F53" s="6">
        <v>79.99</v>
      </c>
      <c r="G53">
        <f>SUMIF('库存（子SKU）'!$C:$C,$A53,'库存（子SKU）'!I:I)</f>
        <v>13</v>
      </c>
      <c r="H53">
        <f>SUMIF('库存（子SKU）'!$C:$C,$A53,'库存（子SKU）'!J:J)</f>
        <v>7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20</v>
      </c>
      <c r="L53">
        <f>SUMIF('库存（子SKU）'!$C:$C,$A53,'库存（子SKU）'!N:N)</f>
        <v>2</v>
      </c>
      <c r="M53">
        <f>SUMIF('库存（子SKU）'!$C:$C,$A53,'库存（子SKU）'!O:O)</f>
        <v>0</v>
      </c>
      <c r="N53">
        <f>SUMIF('库存（子SKU）'!$C:$C,$A53,'库存（子SKU）'!P:P)</f>
        <v>5862</v>
      </c>
      <c r="O53">
        <f>SUMIF('库存（子SKU）'!$C:$C,$A53,'库存（子SKU）'!Q:Q)</f>
        <v>23164</v>
      </c>
      <c r="P53">
        <f>SUMIF('库存（子SKU）'!$C:$C,$A53,'库存（子SKU）'!R:R)</f>
        <v>41794</v>
      </c>
      <c r="Q53">
        <f>SUMIF('库存（子SKU）'!$C:$C,$A53,'库存（子SKU）'!S:S)</f>
        <v>98217</v>
      </c>
      <c r="R53">
        <f>SUMIF('库存（子SKU）'!$C:$C,$A53,'库存（子SKU）'!T:T)</f>
        <v>28</v>
      </c>
      <c r="S53">
        <f>SUMIF('库存（子SKU）'!$C:$C,$A53,'库存（子SKU）'!U:U)</f>
        <v>112</v>
      </c>
      <c r="T53">
        <f>SUMIF('库存（子SKU）'!$C:$C,$A53,'库存（子SKU）'!V:V)</f>
        <v>164</v>
      </c>
      <c r="U53">
        <f>SUMIF('库存（子SKU）'!$C:$C,$A53,'库存（子SKU）'!W:W)</f>
        <v>269</v>
      </c>
      <c r="V53" s="23">
        <f t="shared" si="15"/>
        <v>0.00477652678266803</v>
      </c>
      <c r="W53" s="23">
        <f t="shared" si="16"/>
        <v>0.00483508893109998</v>
      </c>
      <c r="X53" s="23">
        <f t="shared" si="17"/>
        <v>0.00392400823084653</v>
      </c>
      <c r="Y53" s="23">
        <f t="shared" si="18"/>
        <v>0.00273883339951332</v>
      </c>
      <c r="Z53">
        <f>SUMIF('库存（子SKU）'!$C:$C,$A53,'库存（子SKU）'!AB:AB)</f>
        <v>4.06</v>
      </c>
      <c r="AA53">
        <f>SUMIF('库存（子SKU）'!$C:$C,$A53,'库存（子SKU）'!AC:AC)</f>
        <v>14.83</v>
      </c>
      <c r="AB53">
        <f>SUMIF('库存（子SKU）'!$C:$C,$A53,'库存（子SKU）'!AD:AD)</f>
        <v>28.21</v>
      </c>
      <c r="AC53">
        <f>SUMIF('库存（子SKU）'!$C:$C,$A53,'库存（子SKU）'!AE:AE)</f>
        <v>58.3</v>
      </c>
      <c r="AD53" s="23">
        <f t="shared" si="2"/>
        <v>0.00634454306788349</v>
      </c>
      <c r="AE53" s="23">
        <f t="shared" si="3"/>
        <v>0.0264854535388352</v>
      </c>
      <c r="AF53" s="23">
        <f t="shared" si="4"/>
        <v>0.0440836354544318</v>
      </c>
      <c r="AG53" s="23">
        <f t="shared" si="5"/>
        <v>0.104120157876877</v>
      </c>
      <c r="AH53">
        <f>SUMIF('库存（子SKU）'!$C:$C,$A53,'库存（子SKU）'!AJ:AJ)</f>
        <v>128</v>
      </c>
      <c r="AI53">
        <f>SUMIF('库存（子SKU）'!$C:$C,$A53,'库存（子SKU）'!AK:AK)</f>
        <v>221</v>
      </c>
      <c r="AJ53">
        <f>SUMIF('库存（子SKU）'!$C:$C,$A53,'库存（子SKU）'!AL:AL)</f>
        <v>285</v>
      </c>
      <c r="AK53">
        <f>SUMIF('库存（子SKU）'!$C:$C,$A53,'库存（子SKU）'!AM:AM)</f>
        <v>362</v>
      </c>
      <c r="AL53" s="23">
        <f t="shared" si="6"/>
        <v>0.0625</v>
      </c>
      <c r="AM53" s="23">
        <f t="shared" si="7"/>
        <v>0.0316742081447964</v>
      </c>
      <c r="AN53" s="23">
        <f t="shared" si="8"/>
        <v>0.0280701754385965</v>
      </c>
      <c r="AO53" s="23">
        <f t="shared" si="9"/>
        <v>0.0193370165745856</v>
      </c>
      <c r="AP53" s="7">
        <f t="shared" si="10"/>
        <v>1.14285714285714</v>
      </c>
      <c r="AQ53" s="7">
        <f t="shared" si="11"/>
        <v>68.5714285714286</v>
      </c>
      <c r="AR53" s="7">
        <f t="shared" si="12"/>
        <v>-48.5714285714286</v>
      </c>
      <c r="AS53">
        <f t="shared" si="13"/>
        <v>17</v>
      </c>
      <c r="AT53" s="2">
        <f>IFERROR(时间!$B$4+AS53,"上周无销量")</f>
        <v>43314</v>
      </c>
    </row>
    <row r="54" spans="1:46">
      <c r="A54" t="s">
        <v>284</v>
      </c>
      <c r="B54" s="5">
        <f>SUMIF('库存（子SKU）'!$C:$C,$A54,'库存（子SKU）'!D:D)</f>
        <v>1</v>
      </c>
      <c r="C54" s="5">
        <f>SUMIF('库存（子SKU）'!$C:$C,$A54,'库存（子SKU）'!E:E)</f>
        <v>3</v>
      </c>
      <c r="D54" s="5">
        <f>SUMIF('库存（子SKU）'!$C:$C,$A54,'库存（子SKU）'!F:F)</f>
        <v>2</v>
      </c>
      <c r="E54" s="5">
        <f>SUMIF('库存（子SKU）'!$C:$C,$A54,'库存（子SKU）'!G:G)</f>
        <v>0</v>
      </c>
      <c r="F54" s="6">
        <v>32.99</v>
      </c>
      <c r="G54">
        <f>SUMIF('库存（子SKU）'!$C:$C,$A54,'库存（子SKU）'!I:I)</f>
        <v>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2</v>
      </c>
      <c r="K54">
        <f t="shared" si="0"/>
        <v>9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5283</v>
      </c>
      <c r="P54">
        <f>SUMIF('库存（子SKU）'!$C:$C,$A54,'库存（子SKU）'!R:R)</f>
        <v>5288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52</v>
      </c>
      <c r="T54">
        <f>SUMIF('库存（子SKU）'!$C:$C,$A54,'库存（子SKU）'!V:V)</f>
        <v>64</v>
      </c>
      <c r="U54">
        <f>SUMIF('库存（子SKU）'!$C:$C,$A54,'库存（子SKU）'!W:W)</f>
        <v>0</v>
      </c>
      <c r="V54" s="23" t="str">
        <f t="shared" si="15"/>
        <v/>
      </c>
      <c r="W54" s="23">
        <f t="shared" si="16"/>
        <v>0.00984289229604391</v>
      </c>
      <c r="X54" s="23">
        <f t="shared" si="17"/>
        <v>0.0121028744326778</v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9.13</v>
      </c>
      <c r="AB54">
        <f>SUMIF('库存（子SKU）'!$C:$C,$A54,'库存（子SKU）'!AD:AD)</f>
        <v>10.83</v>
      </c>
      <c r="AC54">
        <f>SUMIF('库存（子SKU）'!$C:$C,$A54,'库存（子SKU）'!AE:AE)</f>
        <v>0</v>
      </c>
      <c r="AD54" s="23">
        <f t="shared" si="2"/>
        <v>0</v>
      </c>
      <c r="AE54" s="23">
        <f t="shared" si="3"/>
        <v>0.092250176821259</v>
      </c>
      <c r="AF54" s="23">
        <f t="shared" si="4"/>
        <v>0.164140648681419</v>
      </c>
      <c r="AG54" s="23" t="str">
        <f t="shared" si="5"/>
        <v/>
      </c>
      <c r="AH54">
        <f>SUMIF('库存（子SKU）'!$C:$C,$A54,'库存（子SKU）'!AJ:AJ)</f>
        <v>53</v>
      </c>
      <c r="AI54">
        <f>SUMIF('库存（子SKU）'!$C:$C,$A54,'库存（子SKU）'!AK:AK)</f>
        <v>46</v>
      </c>
      <c r="AJ54">
        <f>SUMIF('库存（子SKU）'!$C:$C,$A54,'库存（子SKU）'!AL:AL)</f>
        <v>56</v>
      </c>
      <c r="AK54">
        <f>SUMIF('库存（子SKU）'!$C:$C,$A54,'库存（子SKU）'!AM:AM)</f>
        <v>0</v>
      </c>
      <c r="AL54" s="23">
        <f t="shared" si="6"/>
        <v>0.0188679245283019</v>
      </c>
      <c r="AM54" s="23">
        <f t="shared" si="7"/>
        <v>0.0652173913043478</v>
      </c>
      <c r="AN54" s="23">
        <f t="shared" si="8"/>
        <v>0.0357142857142857</v>
      </c>
      <c r="AO54" s="23" t="str">
        <f t="shared" si="9"/>
        <v/>
      </c>
      <c r="AP54" s="7">
        <f t="shared" si="10"/>
        <v>0.142857142857143</v>
      </c>
      <c r="AQ54" s="7">
        <f t="shared" si="11"/>
        <v>8.57142857142857</v>
      </c>
      <c r="AR54" s="7">
        <f t="shared" si="12"/>
        <v>0.428571428571429</v>
      </c>
      <c r="AS54">
        <f t="shared" si="13"/>
        <v>63</v>
      </c>
      <c r="AT54" s="2">
        <f>IFERROR(时间!$B$4+AS54,"上周无销量")</f>
        <v>43360</v>
      </c>
    </row>
    <row r="55" spans="1:46">
      <c r="A55" t="s">
        <v>287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57</v>
      </c>
      <c r="G55">
        <f>SUMIF('库存（子SKU）'!$C:$C,$A55,'库存（子SKU）'!I:I)</f>
        <v>5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5</v>
      </c>
      <c r="AS55" t="str">
        <f t="shared" si="13"/>
        <v>库存为5</v>
      </c>
      <c r="AT55" s="2" t="str">
        <f>IFERROR(时间!$B$4+AS55,"上周无销量")</f>
        <v>上周无销量</v>
      </c>
    </row>
    <row r="56" spans="1:46">
      <c r="A56" t="s">
        <v>290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57</v>
      </c>
      <c r="G56">
        <f>SUMIF('库存（子SKU）'!$C:$C,$A56,'库存（子SKU）'!I:I)</f>
        <v>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</v>
      </c>
      <c r="L56">
        <f>SUMIF('库存（子SKU）'!$C:$C,$A56,'库存（子SKU）'!N:N)</f>
        <v>0</v>
      </c>
      <c r="M56">
        <f>SUMIF('库存（子SKU）'!$C:$C,$A56,'库存（子SKU）'!O:O)</f>
        <v>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5</v>
      </c>
      <c r="AI56">
        <f>SUMIF('库存（子SKU）'!$C:$C,$A56,'库存（子SKU）'!AK:AK)</f>
        <v>0</v>
      </c>
      <c r="AJ56">
        <f>SUMIF('库存（子SKU）'!$C:$C,$A56,'库存（子SKU）'!AL:AL)</f>
        <v>3</v>
      </c>
      <c r="AK56">
        <f>SUMIF('库存（子SKU）'!$C:$C,$A56,'库存（子SKU）'!AM:AM)</f>
        <v>5</v>
      </c>
      <c r="AL56" s="23">
        <f t="shared" si="6"/>
        <v>0</v>
      </c>
      <c r="AM56" s="23" t="str">
        <f t="shared" si="7"/>
        <v/>
      </c>
      <c r="AN56" s="23">
        <f t="shared" si="8"/>
        <v>0</v>
      </c>
      <c r="AO56" s="23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6</v>
      </c>
      <c r="AS56" t="str">
        <f t="shared" si="13"/>
        <v>库存为6</v>
      </c>
      <c r="AT56" s="2" t="str">
        <f>IFERROR(时间!$B$4+AS56,"上周无销量")</f>
        <v>上周无销量</v>
      </c>
    </row>
    <row r="57" spans="1:46">
      <c r="A57" t="s">
        <v>293</v>
      </c>
      <c r="B57" s="5">
        <f>SUMIF('库存（子SKU）'!$C:$C,$A57,'库存（子SKU）'!D:D)</f>
        <v>0</v>
      </c>
      <c r="C57" s="5">
        <f>SUMIF('库存（子SKU）'!$C:$C,$A57,'库存（子SKU）'!E:E)</f>
        <v>1</v>
      </c>
      <c r="D57" s="5">
        <f>SUMIF('库存（子SKU）'!$C:$C,$A57,'库存（子SKU）'!F:F)</f>
        <v>2</v>
      </c>
      <c r="E57" s="5">
        <f>SUMIF('库存（子SKU）'!$C:$C,$A57,'库存（子SKU）'!G:G)</f>
        <v>0</v>
      </c>
      <c r="F57" s="6">
        <v>89.99</v>
      </c>
      <c r="G57">
        <f>SUMIF('库存（子SKU）'!$C:$C,$A57,'库存（子SKU）'!I:I)</f>
        <v>5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5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>
        <f t="shared" si="3"/>
        <v>0</v>
      </c>
      <c r="AF57" s="23">
        <f t="shared" si="4"/>
        <v>0</v>
      </c>
      <c r="AG57" s="23" t="str">
        <f t="shared" si="5"/>
        <v/>
      </c>
      <c r="AH57">
        <f>SUMIF('库存（子SKU）'!$C:$C,$A57,'库存（子SKU）'!AJ:AJ)</f>
        <v>18</v>
      </c>
      <c r="AI57">
        <f>SUMIF('库存（子SKU）'!$C:$C,$A57,'库存（子SKU）'!AK:AK)</f>
        <v>10</v>
      </c>
      <c r="AJ57">
        <f>SUMIF('库存（子SKU）'!$C:$C,$A57,'库存（子SKU）'!AL:AL)</f>
        <v>16</v>
      </c>
      <c r="AK57">
        <f>SUMIF('库存（子SKU）'!$C:$C,$A57,'库存（子SKU）'!AM:AM)</f>
        <v>13</v>
      </c>
      <c r="AL57" s="23">
        <f t="shared" si="6"/>
        <v>0</v>
      </c>
      <c r="AM57" s="23">
        <f t="shared" si="7"/>
        <v>0.1</v>
      </c>
      <c r="AN57" s="23">
        <f t="shared" si="8"/>
        <v>0.125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5</v>
      </c>
      <c r="AS57" t="str">
        <f t="shared" si="13"/>
        <v>库存为5</v>
      </c>
      <c r="AT57" s="2" t="str">
        <f>IFERROR(时间!$B$4+AS57,"上周无销量")</f>
        <v>上周无销量</v>
      </c>
    </row>
    <row r="58" spans="1:46">
      <c r="A58" t="s">
        <v>296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57</v>
      </c>
      <c r="G58">
        <f>SUMIF('库存（子SKU）'!$C:$C,$A58,'库存（子SKU）'!I:I)</f>
        <v>10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9</v>
      </c>
      <c r="AI58">
        <f>SUMIF('库存（子SKU）'!$C:$C,$A58,'库存（子SKU）'!AK:AK)</f>
        <v>7</v>
      </c>
      <c r="AJ58">
        <f>SUMIF('库存（子SKU）'!$C:$C,$A58,'库存（子SKU）'!AL:AL)</f>
        <v>4</v>
      </c>
      <c r="AK58">
        <f>SUMIF('库存（子SKU）'!$C:$C,$A58,'库存（子SKU）'!AM:AM)</f>
        <v>10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10</v>
      </c>
      <c r="AS58" t="str">
        <f t="shared" si="13"/>
        <v>库存为10</v>
      </c>
      <c r="AT58" s="2" t="str">
        <f>IFERROR(时间!$B$4+AS58,"上周无销量")</f>
        <v>上周无销量</v>
      </c>
    </row>
    <row r="59" spans="1:46">
      <c r="A59" t="s">
        <v>299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57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3</v>
      </c>
      <c r="L59">
        <f>SUMIF('库存（子SKU）'!$C:$C,$A59,'库存（子SKU）'!N:N)</f>
        <v>0</v>
      </c>
      <c r="M59">
        <f>SUMIF('库存（子SKU）'!$C:$C,$A59,'库存（子SKU）'!O:O)</f>
        <v>3</v>
      </c>
      <c r="N59">
        <f>SUMIF('库存（子SKU）'!$C:$C,$A59,'库存（子SKU）'!P:P)</f>
        <v>1454</v>
      </c>
      <c r="O59">
        <f>SUMIF('库存（子SKU）'!$C:$C,$A59,'库存（子SKU）'!Q:Q)</f>
        <v>957</v>
      </c>
      <c r="P59">
        <f>SUMIF('库存（子SKU）'!$C:$C,$A59,'库存（子SKU）'!R:R)</f>
        <v>708</v>
      </c>
      <c r="Q59">
        <f>SUMIF('库存（子SKU）'!$C:$C,$A59,'库存（子SKU）'!S:S)</f>
        <v>1148</v>
      </c>
      <c r="R59">
        <f>SUMIF('库存（子SKU）'!$C:$C,$A59,'库存（子SKU）'!T:T)</f>
        <v>2</v>
      </c>
      <c r="S59">
        <f>SUMIF('库存（子SKU）'!$C:$C,$A59,'库存（子SKU）'!U:U)</f>
        <v>2</v>
      </c>
      <c r="T59">
        <f>SUMIF('库存（子SKU）'!$C:$C,$A59,'库存（子SKU）'!V:V)</f>
        <v>0</v>
      </c>
      <c r="U59">
        <f>SUMIF('库存（子SKU）'!$C:$C,$A59,'库存（子SKU）'!W:W)</f>
        <v>1</v>
      </c>
      <c r="V59" s="23">
        <f t="shared" si="15"/>
        <v>0.00137551581843191</v>
      </c>
      <c r="W59" s="23">
        <f t="shared" si="16"/>
        <v>0.00208986415882968</v>
      </c>
      <c r="X59" s="23">
        <f t="shared" si="17"/>
        <v>0</v>
      </c>
      <c r="Y59" s="23">
        <f t="shared" si="18"/>
        <v>0.000871080139372822</v>
      </c>
      <c r="Z59">
        <f>SUMIF('库存（子SKU）'!$C:$C,$A59,'库存（子SKU）'!AB:AB)</f>
        <v>0.36</v>
      </c>
      <c r="AA59">
        <f>SUMIF('库存（子SKU）'!$C:$C,$A59,'库存（子SKU）'!AC:AC)</f>
        <v>0.42</v>
      </c>
      <c r="AB59">
        <f>SUMIF('库存（子SKU）'!$C:$C,$A59,'库存（子SKU）'!AD:AD)</f>
        <v>0</v>
      </c>
      <c r="AC59">
        <f>SUMIF('库存（子SKU）'!$C:$C,$A59,'库存（子SKU）'!AE:AE)</f>
        <v>0.2</v>
      </c>
      <c r="AD59" s="23" t="str">
        <f t="shared" si="2"/>
        <v>无销量广告费为0.36</v>
      </c>
      <c r="AE59" s="23" t="str">
        <f t="shared" si="3"/>
        <v>无销量广告费为0.42</v>
      </c>
      <c r="AF59" s="23" t="str">
        <f t="shared" si="4"/>
        <v/>
      </c>
      <c r="AG59" s="23" t="str">
        <f t="shared" si="5"/>
        <v>无销量广告费为0.2</v>
      </c>
      <c r="AH59">
        <f>SUMIF('库存（子SKU）'!$C:$C,$A59,'库存（子SKU）'!AJ:AJ)</f>
        <v>6</v>
      </c>
      <c r="AI59">
        <f>SUMIF('库存（子SKU）'!$C:$C,$A59,'库存（子SKU）'!AK:AK)</f>
        <v>3</v>
      </c>
      <c r="AJ59">
        <f>SUMIF('库存（子SKU）'!$C:$C,$A59,'库存（子SKU）'!AL:AL)</f>
        <v>10</v>
      </c>
      <c r="AK59">
        <f>SUMIF('库存（子SKU）'!$C:$C,$A59,'库存（子SKU）'!AM:AM)</f>
        <v>6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3</v>
      </c>
      <c r="AS59" t="str">
        <f t="shared" si="13"/>
        <v>库存为3</v>
      </c>
      <c r="AT59" s="2" t="str">
        <f>IFERROR(时间!$B$4+AS59,"上周无销量")</f>
        <v>上周无销量</v>
      </c>
    </row>
    <row r="60" spans="1:46">
      <c r="A60" t="s">
        <v>305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57</v>
      </c>
      <c r="G60">
        <f>SUMIF('库存（子SKU）'!$C:$C,$A60,'库存（子SKU）'!I:I)</f>
        <v>0</v>
      </c>
      <c r="H60">
        <f>SUMIF('库存（子SKU）'!$C:$C,$A60,'库存（子SKU）'!J:J)</f>
        <v>3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3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3</v>
      </c>
      <c r="AS60" t="str">
        <f t="shared" si="13"/>
        <v>库存为3</v>
      </c>
      <c r="AT60" s="2" t="str">
        <f>IFERROR(时间!$B$4+AS60,"上周无销量")</f>
        <v>上周无销量</v>
      </c>
    </row>
    <row r="61" spans="1:46">
      <c r="A61" t="s">
        <v>308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57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311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1</v>
      </c>
      <c r="E62" s="5">
        <f>SUMIF('库存（子SKU）'!$C:$C,$A62,'库存（子SKU）'!G:G)</f>
        <v>0</v>
      </c>
      <c r="F62" s="6">
        <v>89.99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1267</v>
      </c>
      <c r="O62">
        <f>SUMIF('库存（子SKU）'!$C:$C,$A62,'库存（子SKU）'!Q:Q)</f>
        <v>304</v>
      </c>
      <c r="P62">
        <f>SUMIF('库存（子SKU）'!$C:$C,$A62,'库存（子SKU）'!R:R)</f>
        <v>256</v>
      </c>
      <c r="Q62">
        <f>SUMIF('库存（子SKU）'!$C:$C,$A62,'库存（子SKU）'!S:S)</f>
        <v>50</v>
      </c>
      <c r="R62">
        <f>SUMIF('库存（子SKU）'!$C:$C,$A62,'库存（子SKU）'!T:T)</f>
        <v>13</v>
      </c>
      <c r="S62">
        <f>SUMIF('库存（子SKU）'!$C:$C,$A62,'库存（子SKU）'!U:U)</f>
        <v>6</v>
      </c>
      <c r="T62">
        <f>SUMIF('库存（子SKU）'!$C:$C,$A62,'库存（子SKU）'!V:V)</f>
        <v>4</v>
      </c>
      <c r="U62">
        <f>SUMIF('库存（子SKU）'!$C:$C,$A62,'库存（子SKU）'!W:W)</f>
        <v>1</v>
      </c>
      <c r="V62" s="23">
        <f t="shared" si="15"/>
        <v>0.0102604577742699</v>
      </c>
      <c r="W62" s="23">
        <f t="shared" si="16"/>
        <v>0.0197368421052632</v>
      </c>
      <c r="X62" s="23">
        <f t="shared" si="17"/>
        <v>0.015625</v>
      </c>
      <c r="Y62" s="23">
        <f t="shared" si="18"/>
        <v>0.02</v>
      </c>
      <c r="Z62">
        <f>SUMIF('库存（子SKU）'!$C:$C,$A62,'库存（子SKU）'!AB:AB)</f>
        <v>1.63</v>
      </c>
      <c r="AA62">
        <f>SUMIF('库存（子SKU）'!$C:$C,$A62,'库存（子SKU）'!AC:AC)</f>
        <v>0.63</v>
      </c>
      <c r="AB62">
        <f>SUMIF('库存（子SKU）'!$C:$C,$A62,'库存（子SKU）'!AD:AD)</f>
        <v>0.4</v>
      </c>
      <c r="AC62">
        <f>SUMIF('库存（子SKU）'!$C:$C,$A62,'库存（子SKU）'!AE:AE)</f>
        <v>0.15</v>
      </c>
      <c r="AD62" s="23" t="str">
        <f t="shared" si="2"/>
        <v>无销量广告费为1.63</v>
      </c>
      <c r="AE62" s="23" t="str">
        <f t="shared" si="3"/>
        <v>无销量广告费为0.63</v>
      </c>
      <c r="AF62" s="23">
        <f t="shared" si="4"/>
        <v>0.00444493832648072</v>
      </c>
      <c r="AG62" s="23" t="str">
        <f t="shared" si="5"/>
        <v>无销量广告费为0.15</v>
      </c>
      <c r="AH62">
        <f>SUMIF('库存（子SKU）'!$C:$C,$A62,'库存（子SKU）'!AJ:AJ)</f>
        <v>32</v>
      </c>
      <c r="AI62">
        <f>SUMIF('库存（子SKU）'!$C:$C,$A62,'库存（子SKU）'!AK:AK)</f>
        <v>23</v>
      </c>
      <c r="AJ62">
        <f>SUMIF('库存（子SKU）'!$C:$C,$A62,'库存（子SKU）'!AL:AL)</f>
        <v>9</v>
      </c>
      <c r="AK62">
        <f>SUMIF('库存（子SKU）'!$C:$C,$A62,'库存（子SKU）'!AM:AM)</f>
        <v>21</v>
      </c>
      <c r="AL62" s="23">
        <f t="shared" si="6"/>
        <v>0</v>
      </c>
      <c r="AM62" s="23">
        <f t="shared" si="7"/>
        <v>0</v>
      </c>
      <c r="AN62" s="23">
        <f t="shared" si="8"/>
        <v>0.111111111111111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9</v>
      </c>
      <c r="AS62" t="str">
        <f t="shared" si="13"/>
        <v>库存为9</v>
      </c>
      <c r="AT62" s="2" t="str">
        <f>IFERROR(时间!$B$4+AS62,"上周无销量")</f>
        <v>上周无销量</v>
      </c>
    </row>
    <row r="63" spans="1:46">
      <c r="A63" t="s">
        <v>317</v>
      </c>
      <c r="B63" s="5">
        <f>SUMIF('库存（子SKU）'!$C:$C,$A63,'库存（子SKU）'!D:D)</f>
        <v>3</v>
      </c>
      <c r="C63" s="5">
        <f>SUMIF('库存（子SKU）'!$C:$C,$A63,'库存（子SKU）'!E:E)</f>
        <v>1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v>89.99</v>
      </c>
      <c r="G63">
        <f>SUMIF('库存（子SKU）'!$C:$C,$A63,'库存（子SKU）'!I:I)</f>
        <v>21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21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>
        <f t="shared" si="2"/>
        <v>0</v>
      </c>
      <c r="AE63" s="23">
        <f t="shared" si="3"/>
        <v>0</v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28</v>
      </c>
      <c r="AI63">
        <f>SUMIF('库存（子SKU）'!$C:$C,$A63,'库存（子SKU）'!AK:AK)</f>
        <v>28</v>
      </c>
      <c r="AJ63">
        <f>SUMIF('库存（子SKU）'!$C:$C,$A63,'库存（子SKU）'!AL:AL)</f>
        <v>78</v>
      </c>
      <c r="AK63">
        <f>SUMIF('库存（子SKU）'!$C:$C,$A63,'库存（子SKU）'!AM:AM)</f>
        <v>166</v>
      </c>
      <c r="AL63" s="23">
        <f t="shared" si="6"/>
        <v>0.107142857142857</v>
      </c>
      <c r="AM63" s="23">
        <f t="shared" si="7"/>
        <v>0.0357142857142857</v>
      </c>
      <c r="AN63" s="23">
        <f t="shared" si="8"/>
        <v>0</v>
      </c>
      <c r="AO63" s="23">
        <f t="shared" si="9"/>
        <v>0</v>
      </c>
      <c r="AP63" s="7">
        <f t="shared" si="10"/>
        <v>0.428571428571429</v>
      </c>
      <c r="AQ63" s="7">
        <f t="shared" si="11"/>
        <v>25.7142857142857</v>
      </c>
      <c r="AR63" s="7">
        <f t="shared" si="12"/>
        <v>-4.71428571428571</v>
      </c>
      <c r="AS63">
        <f t="shared" si="13"/>
        <v>49</v>
      </c>
      <c r="AT63" s="2">
        <f>IFERROR(时间!$B$4+AS63,"上周无销量")</f>
        <v>43346</v>
      </c>
    </row>
    <row r="64" spans="1:46">
      <c r="A64" t="s">
        <v>320</v>
      </c>
      <c r="B64" s="5">
        <f>SUMIF('库存（子SKU）'!$C:$C,$A64,'库存（子SKU）'!D:D)</f>
        <v>4</v>
      </c>
      <c r="C64" s="5">
        <f>SUMIF('库存（子SKU）'!$C:$C,$A64,'库存（子SKU）'!E:E)</f>
        <v>0</v>
      </c>
      <c r="D64" s="5">
        <f>SUMIF('库存（子SKU）'!$C:$C,$A64,'库存（子SKU）'!F:F)</f>
        <v>3</v>
      </c>
      <c r="E64" s="5">
        <f>SUMIF('库存（子SKU）'!$C:$C,$A64,'库存（子SKU）'!G:G)</f>
        <v>0</v>
      </c>
      <c r="F64" s="6">
        <v>79.99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8077</v>
      </c>
      <c r="O64">
        <f>SUMIF('库存（子SKU）'!$C:$C,$A64,'库存（子SKU）'!Q:Q)</f>
        <v>10597</v>
      </c>
      <c r="P64">
        <f>SUMIF('库存（子SKU）'!$C:$C,$A64,'库存（子SKU）'!R:R)</f>
        <v>5295</v>
      </c>
      <c r="Q64">
        <f>SUMIF('库存（子SKU）'!$C:$C,$A64,'库存（子SKU）'!S:S)</f>
        <v>4483</v>
      </c>
      <c r="R64">
        <f>SUMIF('库存（子SKU）'!$C:$C,$A64,'库存（子SKU）'!T:T)</f>
        <v>108</v>
      </c>
      <c r="S64">
        <f>SUMIF('库存（子SKU）'!$C:$C,$A64,'库存（子SKU）'!U:U)</f>
        <v>139</v>
      </c>
      <c r="T64">
        <f>SUMIF('库存（子SKU）'!$C:$C,$A64,'库存（子SKU）'!V:V)</f>
        <v>55</v>
      </c>
      <c r="U64">
        <f>SUMIF('库存（子SKU）'!$C:$C,$A64,'库存（子SKU）'!W:W)</f>
        <v>50</v>
      </c>
      <c r="V64" s="23">
        <f t="shared" si="15"/>
        <v>0.0133713012257026</v>
      </c>
      <c r="W64" s="23">
        <f t="shared" si="16"/>
        <v>0.0131169198829857</v>
      </c>
      <c r="X64" s="23">
        <f t="shared" si="17"/>
        <v>0.0103871576959396</v>
      </c>
      <c r="Y64" s="23">
        <f t="shared" si="18"/>
        <v>0.011153245594468</v>
      </c>
      <c r="Z64">
        <f>SUMIF('库存（子SKU）'!$C:$C,$A64,'库存（子SKU）'!AB:AB)</f>
        <v>16.58</v>
      </c>
      <c r="AA64">
        <f>SUMIF('库存（子SKU）'!$C:$C,$A64,'库存（子SKU）'!AC:AC)</f>
        <v>19.92</v>
      </c>
      <c r="AB64">
        <f>SUMIF('库存（子SKU）'!$C:$C,$A64,'库存（子SKU）'!AD:AD)</f>
        <v>5.94</v>
      </c>
      <c r="AC64">
        <f>SUMIF('库存（子SKU）'!$C:$C,$A64,'库存（子SKU）'!AE:AE)</f>
        <v>5.99</v>
      </c>
      <c r="AD64" s="23">
        <f t="shared" si="2"/>
        <v>0.0518189773721715</v>
      </c>
      <c r="AE64" s="23" t="str">
        <f t="shared" si="3"/>
        <v>无销量广告费为19.92</v>
      </c>
      <c r="AF64" s="23">
        <f t="shared" si="4"/>
        <v>0.0247530941367671</v>
      </c>
      <c r="AG64" s="23" t="str">
        <f t="shared" si="5"/>
        <v>无销量广告费为5.99</v>
      </c>
      <c r="AH64">
        <f>SUMIF('库存（子SKU）'!$C:$C,$A64,'库存（子SKU）'!AJ:AJ)</f>
        <v>168</v>
      </c>
      <c r="AI64">
        <f>SUMIF('库存（子SKU）'!$C:$C,$A64,'库存（子SKU）'!AK:AK)</f>
        <v>142</v>
      </c>
      <c r="AJ64">
        <f>SUMIF('库存（子SKU）'!$C:$C,$A64,'库存（子SKU）'!AL:AL)</f>
        <v>78</v>
      </c>
      <c r="AK64">
        <f>SUMIF('库存（子SKU）'!$C:$C,$A64,'库存（子SKU）'!AM:AM)</f>
        <v>59</v>
      </c>
      <c r="AL64" s="23">
        <f t="shared" si="6"/>
        <v>0.0238095238095238</v>
      </c>
      <c r="AM64" s="23">
        <f t="shared" si="7"/>
        <v>0</v>
      </c>
      <c r="AN64" s="23">
        <f t="shared" si="8"/>
        <v>0.0384615384615385</v>
      </c>
      <c r="AO64" s="23">
        <f t="shared" si="9"/>
        <v>0</v>
      </c>
      <c r="AP64" s="7">
        <f t="shared" si="10"/>
        <v>0.571428571428571</v>
      </c>
      <c r="AQ64" s="7">
        <f t="shared" si="11"/>
        <v>34.2857142857143</v>
      </c>
      <c r="AR64" s="7">
        <f t="shared" si="12"/>
        <v>-33.2857142857143</v>
      </c>
      <c r="AS64">
        <f t="shared" si="13"/>
        <v>1</v>
      </c>
      <c r="AT64" s="2">
        <f>IFERROR(时间!$B$4+AS64,"上周无销量")</f>
        <v>43298</v>
      </c>
    </row>
    <row r="65" spans="1:46">
      <c r="A65" t="s">
        <v>327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57</v>
      </c>
      <c r="G65">
        <f>SUMIF('库存（子SKU）'!$C:$C,$A65,'库存（子SKU）'!I:I)</f>
        <v>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5</v>
      </c>
      <c r="L65">
        <f>SUMIF('库存（子SKU）'!$C:$C,$A65,'库存（子SKU）'!N:N)</f>
        <v>0</v>
      </c>
      <c r="M65">
        <f>SUMIF('库存（子SKU）'!$C:$C,$A65,'库存（子SKU）'!O:O)</f>
        <v>5</v>
      </c>
      <c r="N65">
        <f>SUMIF('库存（子SKU）'!$C:$C,$A65,'库存（子SKU）'!P:P)</f>
        <v>2754</v>
      </c>
      <c r="O65">
        <f>SUMIF('库存（子SKU）'!$C:$C,$A65,'库存（子SKU）'!Q:Q)</f>
        <v>2222</v>
      </c>
      <c r="P65">
        <f>SUMIF('库存（子SKU）'!$C:$C,$A65,'库存（子SKU）'!R:R)</f>
        <v>1128</v>
      </c>
      <c r="Q65">
        <f>SUMIF('库存（子SKU）'!$C:$C,$A65,'库存（子SKU）'!S:S)</f>
        <v>821</v>
      </c>
      <c r="R65">
        <f>SUMIF('库存（子SKU）'!$C:$C,$A65,'库存（子SKU）'!T:T)</f>
        <v>35</v>
      </c>
      <c r="S65">
        <f>SUMIF('库存（子SKU）'!$C:$C,$A65,'库存（子SKU）'!U:U)</f>
        <v>19</v>
      </c>
      <c r="T65">
        <f>SUMIF('库存（子SKU）'!$C:$C,$A65,'库存（子SKU）'!V:V)</f>
        <v>12</v>
      </c>
      <c r="U65">
        <f>SUMIF('库存（子SKU）'!$C:$C,$A65,'库存（子SKU）'!W:W)</f>
        <v>5</v>
      </c>
      <c r="V65" s="23">
        <f t="shared" si="15"/>
        <v>0.0127087872185911</v>
      </c>
      <c r="W65" s="23">
        <f t="shared" si="16"/>
        <v>0.00855085508550855</v>
      </c>
      <c r="X65" s="23">
        <f t="shared" si="17"/>
        <v>0.0106382978723404</v>
      </c>
      <c r="Y65" s="23">
        <f t="shared" si="18"/>
        <v>0.00609013398294762</v>
      </c>
      <c r="Z65">
        <f>SUMIF('库存（子SKU）'!$C:$C,$A65,'库存（子SKU）'!AB:AB)</f>
        <v>5.51</v>
      </c>
      <c r="AA65">
        <f>SUMIF('库存（子SKU）'!$C:$C,$A65,'库存（子SKU）'!AC:AC)</f>
        <v>2.35</v>
      </c>
      <c r="AB65">
        <f>SUMIF('库存（子SKU）'!$C:$C,$A65,'库存（子SKU）'!AD:AD)</f>
        <v>1.62</v>
      </c>
      <c r="AC65">
        <f>SUMIF('库存（子SKU）'!$C:$C,$A65,'库存（子SKU）'!AE:AE)</f>
        <v>0.52</v>
      </c>
      <c r="AD65" s="23" t="str">
        <f t="shared" si="2"/>
        <v>无销量广告费为5.51</v>
      </c>
      <c r="AE65" s="23" t="str">
        <f t="shared" si="3"/>
        <v>无销量广告费为2.35</v>
      </c>
      <c r="AF65" s="23" t="str">
        <f t="shared" si="4"/>
        <v>无销量广告费为1.62</v>
      </c>
      <c r="AG65" s="23" t="str">
        <f t="shared" si="5"/>
        <v>无销量广告费为0.52</v>
      </c>
      <c r="AH65">
        <f>SUMIF('库存（子SKU）'!$C:$C,$A65,'库存（子SKU）'!AJ:AJ)</f>
        <v>31</v>
      </c>
      <c r="AI65">
        <f>SUMIF('库存（子SKU）'!$C:$C,$A65,'库存（子SKU）'!AK:AK)</f>
        <v>14</v>
      </c>
      <c r="AJ65">
        <f>SUMIF('库存（子SKU）'!$C:$C,$A65,'库存（子SKU）'!AL:AL)</f>
        <v>13</v>
      </c>
      <c r="AK65">
        <f>SUMIF('库存（子SKU）'!$C:$C,$A65,'库存（子SKU）'!AM:AM)</f>
        <v>9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5</v>
      </c>
      <c r="AS65" t="str">
        <f t="shared" si="13"/>
        <v>库存为5</v>
      </c>
      <c r="AT65" s="2" t="str">
        <f>IFERROR(时间!$B$4+AS65,"上周无销量")</f>
        <v>上周无销量</v>
      </c>
    </row>
    <row r="66" spans="1:46">
      <c r="A66" t="s">
        <v>334</v>
      </c>
      <c r="B66" s="5">
        <f>SUMIF('库存（子SKU）'!$C:$C,$A66,'库存（子SKU）'!D:D)</f>
        <v>1</v>
      </c>
      <c r="C66" s="5">
        <f>SUMIF('库存（子SKU）'!$C:$C,$A66,'库存（子SKU）'!E:E)</f>
        <v>1</v>
      </c>
      <c r="D66" s="5">
        <f>SUMIF('库存（子SKU）'!$C:$C,$A66,'库存（子SKU）'!F:F)</f>
        <v>0</v>
      </c>
      <c r="E66" s="5">
        <f>SUMIF('库存（子SKU）'!$C:$C,$A66,'库存（子SKU）'!G:G)</f>
        <v>1</v>
      </c>
      <c r="F66" s="6">
        <v>89.99</v>
      </c>
      <c r="G66">
        <f>SUMIF('库存（子SKU）'!$C:$C,$A66,'库存（子SKU）'!I:I)</f>
        <v>7</v>
      </c>
      <c r="H66">
        <f>SUMIF('库存（子SKU）'!$C:$C,$A66,'库存（子SKU）'!J:J)</f>
        <v>0</v>
      </c>
      <c r="I66">
        <f>SUMIF('库存（子SKU）'!$C:$C,$A66,'库存（子SKU）'!K:K)</f>
        <v>10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8152</v>
      </c>
      <c r="P66">
        <f>SUMIF('库存（子SKU）'!$C:$C,$A66,'库存（子SKU）'!R:R)</f>
        <v>65749</v>
      </c>
      <c r="Q66">
        <f>SUMIF('库存（子SKU）'!$C:$C,$A66,'库存（子SKU）'!S:S)</f>
        <v>19177</v>
      </c>
      <c r="R66">
        <f>SUMIF('库存（子SKU）'!$C:$C,$A66,'库存（子SKU）'!T:T)</f>
        <v>0</v>
      </c>
      <c r="S66">
        <f>SUMIF('库存（子SKU）'!$C:$C,$A66,'库存（子SKU）'!U:U)</f>
        <v>57</v>
      </c>
      <c r="T66">
        <f>SUMIF('库存（子SKU）'!$C:$C,$A66,'库存（子SKU）'!V:V)</f>
        <v>391</v>
      </c>
      <c r="U66">
        <f>SUMIF('库存（子SKU）'!$C:$C,$A66,'库存（子SKU）'!W:W)</f>
        <v>127</v>
      </c>
      <c r="V66" s="23" t="str">
        <f t="shared" si="15"/>
        <v/>
      </c>
      <c r="W66" s="23">
        <f t="shared" si="16"/>
        <v>0.00699214916584887</v>
      </c>
      <c r="X66" s="23">
        <f t="shared" si="17"/>
        <v>0.00594685850735372</v>
      </c>
      <c r="Y66" s="23">
        <f t="shared" si="18"/>
        <v>0.00662251655629139</v>
      </c>
      <c r="Z66">
        <f>SUMIF('库存（子SKU）'!$C:$C,$A66,'库存（子SKU）'!AB:AB)</f>
        <v>0</v>
      </c>
      <c r="AA66">
        <f>SUMIF('库存（子SKU）'!$C:$C,$A66,'库存（子SKU）'!AC:AC)</f>
        <v>7.52</v>
      </c>
      <c r="AB66">
        <f>SUMIF('库存（子SKU）'!$C:$C,$A66,'库存（子SKU）'!AD:AD)</f>
        <v>55.45</v>
      </c>
      <c r="AC66">
        <f>SUMIF('库存（子SKU）'!$C:$C,$A66,'库存（子SKU）'!AE:AE)</f>
        <v>18.35</v>
      </c>
      <c r="AD66" s="23">
        <f t="shared" si="2"/>
        <v>0</v>
      </c>
      <c r="AE66" s="23">
        <f t="shared" si="3"/>
        <v>0.0835648405378375</v>
      </c>
      <c r="AF66" s="23" t="str">
        <f t="shared" si="4"/>
        <v>无销量广告费为55.45</v>
      </c>
      <c r="AG66" s="23">
        <f t="shared" si="5"/>
        <v>0.203911545727303</v>
      </c>
      <c r="AH66">
        <f>SUMIF('库存（子SKU）'!$C:$C,$A66,'库存（子SKU）'!AJ:AJ)</f>
        <v>32</v>
      </c>
      <c r="AI66">
        <f>SUMIF('库存（子SKU）'!$C:$C,$A66,'库存（子SKU）'!AK:AK)</f>
        <v>87</v>
      </c>
      <c r="AJ66">
        <f>SUMIF('库存（子SKU）'!$C:$C,$A66,'库存（子SKU）'!AL:AL)</f>
        <v>399</v>
      </c>
      <c r="AK66">
        <f>SUMIF('库存（子SKU）'!$C:$C,$A66,'库存（子SKU）'!AM:AM)</f>
        <v>92</v>
      </c>
      <c r="AL66" s="23">
        <f t="shared" si="6"/>
        <v>0.03125</v>
      </c>
      <c r="AM66" s="23">
        <f t="shared" si="7"/>
        <v>0.0114942528735632</v>
      </c>
      <c r="AN66" s="23">
        <f t="shared" si="8"/>
        <v>0</v>
      </c>
      <c r="AO66" s="23">
        <f t="shared" si="9"/>
        <v>0.0108695652173913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8.42857142857143</v>
      </c>
      <c r="AS66">
        <f t="shared" si="13"/>
        <v>119</v>
      </c>
      <c r="AT66" s="2">
        <f>IFERROR(时间!$B$4+AS66,"上周无销量")</f>
        <v>43416</v>
      </c>
    </row>
    <row r="67" spans="1:46">
      <c r="A67" t="s">
        <v>338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57</v>
      </c>
      <c r="G67">
        <f>SUMIF('库存（子SKU）'!$C:$C,$A67,'库存（子SKU）'!I:I)</f>
        <v>8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</v>
      </c>
      <c r="L67">
        <f>SUMIF('库存（子SKU）'!$C:$C,$A67,'库存（子SKU）'!N:N)</f>
        <v>0</v>
      </c>
      <c r="M67">
        <f>SUMIF('库存（子SKU）'!$C:$C,$A67,'库存（子SKU）'!O:O)</f>
        <v>8</v>
      </c>
      <c r="N67">
        <f>SUMIF('库存（子SKU）'!$C:$C,$A67,'库存（子SKU）'!P:P)</f>
        <v>5176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48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>
        <f t="shared" si="15"/>
        <v>0.00927357032457496</v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12.29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>无销量广告费为12.29</v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34</v>
      </c>
      <c r="AI67">
        <f>SUMIF('库存（子SKU）'!$C:$C,$A67,'库存（子SKU）'!AK:AK)</f>
        <v>11</v>
      </c>
      <c r="AJ67">
        <f>SUMIF('库存（子SKU）'!$C:$C,$A67,'库存（子SKU）'!AL:AL)</f>
        <v>24</v>
      </c>
      <c r="AK67">
        <f>SUMIF('库存（子SKU）'!$C:$C,$A67,'库存（子SKU）'!AM:AM)</f>
        <v>22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8</v>
      </c>
      <c r="AS67" t="str">
        <f t="shared" si="13"/>
        <v>库存为8</v>
      </c>
      <c r="AT67" s="2" t="str">
        <f>IFERROR(时间!$B$4+AS67,"上周无销量")</f>
        <v>上周无销量</v>
      </c>
    </row>
    <row r="68" spans="1:46">
      <c r="A68" t="s">
        <v>342</v>
      </c>
      <c r="B68" s="5">
        <f>SUMIF('库存（子SKU）'!$C:$C,$A68,'库存（子SKU）'!D:D)</f>
        <v>4</v>
      </c>
      <c r="C68" s="5">
        <f>SUMIF('库存（子SKU）'!$C:$C,$A68,'库存（子SKU）'!E:E)</f>
        <v>3</v>
      </c>
      <c r="D68" s="5">
        <f>SUMIF('库存（子SKU）'!$C:$C,$A68,'库存（子SKU）'!F:F)</f>
        <v>3</v>
      </c>
      <c r="E68" s="5">
        <f>SUMIF('库存（子SKU）'!$C:$C,$A68,'库存（子SKU）'!G:G)</f>
        <v>8</v>
      </c>
      <c r="F68" s="6">
        <v>81.9344444444444</v>
      </c>
      <c r="G68">
        <f>SUMIF('库存（子SKU）'!$C:$C,$A68,'库存（子SKU）'!I:I)</f>
        <v>10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7</v>
      </c>
      <c r="K68">
        <f t="shared" si="0"/>
        <v>17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101222</v>
      </c>
      <c r="O68">
        <f>SUMIF('库存（子SKU）'!$C:$C,$A68,'库存（子SKU）'!Q:Q)</f>
        <v>137408</v>
      </c>
      <c r="P68">
        <f>SUMIF('库存（子SKU）'!$C:$C,$A68,'库存（子SKU）'!R:R)</f>
        <v>41367</v>
      </c>
      <c r="Q68">
        <f>SUMIF('库存（子SKU）'!$C:$C,$A68,'库存（子SKU）'!S:S)</f>
        <v>24569</v>
      </c>
      <c r="R68">
        <f>SUMIF('库存（子SKU）'!$C:$C,$A68,'库存（子SKU）'!T:T)</f>
        <v>395</v>
      </c>
      <c r="S68">
        <f>SUMIF('库存（子SKU）'!$C:$C,$A68,'库存（子SKU）'!U:U)</f>
        <v>589</v>
      </c>
      <c r="T68">
        <f>SUMIF('库存（子SKU）'!$C:$C,$A68,'库存（子SKU）'!V:V)</f>
        <v>251</v>
      </c>
      <c r="U68">
        <f>SUMIF('库存（子SKU）'!$C:$C,$A68,'库存（子SKU）'!W:W)</f>
        <v>197</v>
      </c>
      <c r="V68" s="23">
        <f t="shared" si="15"/>
        <v>0.00390231372626504</v>
      </c>
      <c r="W68" s="23">
        <f t="shared" si="16"/>
        <v>0.00428650442477876</v>
      </c>
      <c r="X68" s="23">
        <f t="shared" si="17"/>
        <v>0.00606763845577393</v>
      </c>
      <c r="Y68" s="23">
        <f t="shared" si="18"/>
        <v>0.00801823436037283</v>
      </c>
      <c r="Z68">
        <f>SUMIF('库存（子SKU）'!$C:$C,$A68,'库存（子SKU）'!AB:AB)</f>
        <v>66.44</v>
      </c>
      <c r="AA68">
        <f>SUMIF('库存（子SKU）'!$C:$C,$A68,'库存（子SKU）'!AC:AC)</f>
        <v>97.28</v>
      </c>
      <c r="AB68">
        <f>SUMIF('库存（子SKU）'!$C:$C,$A68,'库存（子SKU）'!AD:AD)</f>
        <v>42.83</v>
      </c>
      <c r="AC68">
        <f>SUMIF('库存（子SKU）'!$C:$C,$A68,'库存（子SKU）'!AE:AE)</f>
        <v>30.69</v>
      </c>
      <c r="AD68" s="23">
        <f t="shared" si="2"/>
        <v>0.202723044168102</v>
      </c>
      <c r="AE68" s="23">
        <f t="shared" si="3"/>
        <v>0.3957635508062</v>
      </c>
      <c r="AF68" s="23">
        <f t="shared" si="4"/>
        <v>0.174244992609268</v>
      </c>
      <c r="AG68" s="23">
        <f t="shared" si="5"/>
        <v>0.0468209679825335</v>
      </c>
      <c r="AH68">
        <f>SUMIF('库存（子SKU）'!$C:$C,$A68,'库存（子SKU）'!AJ:AJ)</f>
        <v>332</v>
      </c>
      <c r="AI68">
        <f>SUMIF('库存（子SKU）'!$C:$C,$A68,'库存（子SKU）'!AK:AK)</f>
        <v>409</v>
      </c>
      <c r="AJ68">
        <f>SUMIF('库存（子SKU）'!$C:$C,$A68,'库存（子SKU）'!AL:AL)</f>
        <v>285</v>
      </c>
      <c r="AK68">
        <f>SUMIF('库存（子SKU）'!$C:$C,$A68,'库存（子SKU）'!AM:AM)</f>
        <v>237</v>
      </c>
      <c r="AL68" s="23">
        <f t="shared" si="6"/>
        <v>0.0120481927710843</v>
      </c>
      <c r="AM68" s="23">
        <f t="shared" si="7"/>
        <v>0.00733496332518337</v>
      </c>
      <c r="AN68" s="23">
        <f t="shared" si="8"/>
        <v>0.0105263157894737</v>
      </c>
      <c r="AO68" s="23">
        <f t="shared" si="9"/>
        <v>0.0337552742616034</v>
      </c>
      <c r="AP68" s="7">
        <f t="shared" si="10"/>
        <v>0.571428571428571</v>
      </c>
      <c r="AQ68" s="7">
        <f t="shared" si="11"/>
        <v>34.2857142857143</v>
      </c>
      <c r="AR68" s="7">
        <f t="shared" si="12"/>
        <v>-17.2857142857143</v>
      </c>
      <c r="AS68">
        <f t="shared" si="13"/>
        <v>29</v>
      </c>
      <c r="AT68" s="2">
        <f>IFERROR(时间!$B$4+AS68,"上周无销量")</f>
        <v>43326</v>
      </c>
    </row>
    <row r="69" spans="1:46">
      <c r="A69" t="s">
        <v>347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1</v>
      </c>
      <c r="E69" s="5">
        <f>SUMIF('库存（子SKU）'!$C:$C,$A69,'库存（子SKU）'!G:G)</f>
        <v>0</v>
      </c>
      <c r="F69" s="6">
        <v>79.99</v>
      </c>
      <c r="G69">
        <f>SUMIF('库存（子SKU）'!$C:$C,$A69,'库存（子SKU）'!I:I)</f>
        <v>17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20" si="19">SUM(G69:J69)</f>
        <v>17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20" si="20">IF(AND(Z69&gt;0,B69=0),"无销量广告费为"&amp;Z69,IFERROR(Z69/(B69*$F69),""))</f>
        <v/>
      </c>
      <c r="AE69" s="23" t="str">
        <f t="shared" ref="AE69:AE120" si="21">IF(AND(AA69&gt;0,C69=0),"无销量广告费为"&amp;AA69,IFERROR(AA69/(C69*$F69),""))</f>
        <v/>
      </c>
      <c r="AF69" s="23">
        <f t="shared" ref="AF69:AF120" si="22">IF(AND(AB69&gt;0,D69=0),"无销量广告费为"&amp;AB69,IFERROR(AB69/(D69*$F69),""))</f>
        <v>0</v>
      </c>
      <c r="AG69" s="23" t="str">
        <f t="shared" ref="AG69:AG120" si="23">IF(AND(AC69&gt;0,E69=0),"无销量广告费为"&amp;AC69,IFERROR(AC69/(E69*$F69),""))</f>
        <v/>
      </c>
      <c r="AH69">
        <f>SUMIF('库存（子SKU）'!$C:$C,$A69,'库存（子SKU）'!AJ:AJ)</f>
        <v>57</v>
      </c>
      <c r="AI69">
        <f>SUMIF('库存（子SKU）'!$C:$C,$A69,'库存（子SKU）'!AK:AK)</f>
        <v>15</v>
      </c>
      <c r="AJ69">
        <f>SUMIF('库存（子SKU）'!$C:$C,$A69,'库存（子SKU）'!AL:AL)</f>
        <v>26</v>
      </c>
      <c r="AK69">
        <f>SUMIF('库存（子SKU）'!$C:$C,$A69,'库存（子SKU）'!AM:AM)</f>
        <v>22</v>
      </c>
      <c r="AL69" s="23">
        <f t="shared" ref="AL69:AL120" si="24">IFERROR(B69/AH69,"")</f>
        <v>0</v>
      </c>
      <c r="AM69" s="23">
        <f t="shared" ref="AM69:AM120" si="25">IFERROR(C69/AI69,"")</f>
        <v>0</v>
      </c>
      <c r="AN69" s="23">
        <f t="shared" ref="AN69:AN120" si="26">IFERROR(D69/AJ69,"")</f>
        <v>0.0384615384615385</v>
      </c>
      <c r="AO69" s="23">
        <f t="shared" ref="AO69:AO120" si="27">IFERROR(E69/AK69,"")</f>
        <v>0</v>
      </c>
      <c r="AP69" s="7">
        <f t="shared" ref="AP69:AP120" si="28">B69/7</f>
        <v>0</v>
      </c>
      <c r="AQ69" s="7">
        <f t="shared" ref="AQ69:AQ120" si="29">AP69*60</f>
        <v>0</v>
      </c>
      <c r="AR69" s="7">
        <f t="shared" ref="AR69:AR120" si="30">K69-AQ69</f>
        <v>17</v>
      </c>
      <c r="AS69" t="str">
        <f t="shared" ref="AS69:AS120" si="31">IF(AP69=0,"库存为"&amp;K69,INT(K69/AP69))</f>
        <v>库存为17</v>
      </c>
      <c r="AT69" s="2" t="str">
        <f>IFERROR(时间!$B$4+AS69,"上周无销量")</f>
        <v>上周无销量</v>
      </c>
    </row>
    <row r="70" spans="1:46">
      <c r="A70" t="s">
        <v>350</v>
      </c>
      <c r="B70" s="5">
        <f>SUMIF('库存（子SKU）'!$C:$C,$A70,'库存（子SKU）'!D:D)</f>
        <v>0</v>
      </c>
      <c r="C70" s="5">
        <f>SUMIF('库存（子SKU）'!$C:$C,$A70,'库存（子SKU）'!E:E)</f>
        <v>3</v>
      </c>
      <c r="D70" s="5">
        <f>SUMIF('库存（子SKU）'!$C:$C,$A70,'库存（子SKU）'!F:F)</f>
        <v>0</v>
      </c>
      <c r="E70" s="5">
        <f>SUMIF('库存（子SKU）'!$C:$C,$A70,'库存（子SKU）'!G:G)</f>
        <v>1</v>
      </c>
      <c r="F70" s="6">
        <v>99.99</v>
      </c>
      <c r="G70">
        <f>SUMIF('库存（子SKU）'!$C:$C,$A70,'库存（子SKU）'!I:I)</f>
        <v>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4</v>
      </c>
      <c r="L70">
        <f>SUMIF('库存（子SKU）'!$C:$C,$A70,'库存（子SKU）'!N:N)</f>
        <v>1</v>
      </c>
      <c r="M70">
        <f>SUMIF('库存（子SKU）'!$C:$C,$A70,'库存（子SKU）'!O:O)</f>
        <v>0</v>
      </c>
      <c r="N70">
        <f>SUMIF('库存（子SKU）'!$C:$C,$A70,'库存（子SKU）'!P:P)</f>
        <v>15047</v>
      </c>
      <c r="O70">
        <f>SUMIF('库存（子SKU）'!$C:$C,$A70,'库存（子SKU）'!Q:Q)</f>
        <v>12235</v>
      </c>
      <c r="P70">
        <f>SUMIF('库存（子SKU）'!$C:$C,$A70,'库存（子SKU）'!R:R)</f>
        <v>5362</v>
      </c>
      <c r="Q70">
        <f>SUMIF('库存（子SKU）'!$C:$C,$A70,'库存（子SKU）'!S:S)</f>
        <v>3265</v>
      </c>
      <c r="R70">
        <f>SUMIF('库存（子SKU）'!$C:$C,$A70,'库存（子SKU）'!T:T)</f>
        <v>125</v>
      </c>
      <c r="S70">
        <f>SUMIF('库存（子SKU）'!$C:$C,$A70,'库存（子SKU）'!U:U)</f>
        <v>88</v>
      </c>
      <c r="T70">
        <f>SUMIF('库存（子SKU）'!$C:$C,$A70,'库存（子SKU）'!V:V)</f>
        <v>43</v>
      </c>
      <c r="U70">
        <f>SUMIF('库存（子SKU）'!$C:$C,$A70,'库存（子SKU）'!W:W)</f>
        <v>30</v>
      </c>
      <c r="V70" s="23">
        <f t="shared" ref="V70:V120" si="32">IFERROR(R70/N70,"")</f>
        <v>0.00830730378148468</v>
      </c>
      <c r="W70" s="23">
        <f t="shared" ref="W70:W120" si="33">IFERROR(S70/O70,"")</f>
        <v>0.00719248058847568</v>
      </c>
      <c r="X70" s="23">
        <f t="shared" ref="X70:X120" si="34">IFERROR(T70/P70,"")</f>
        <v>0.00801939574785528</v>
      </c>
      <c r="Y70" s="23">
        <f t="shared" ref="Y70:Y120" si="35">IFERROR(U70/Q70,"")</f>
        <v>0.00918836140888208</v>
      </c>
      <c r="Z70">
        <f>SUMIF('库存（子SKU）'!$C:$C,$A70,'库存（子SKU）'!AB:AB)</f>
        <v>19.96</v>
      </c>
      <c r="AA70">
        <f>SUMIF('库存（子SKU）'!$C:$C,$A70,'库存（子SKU）'!AC:AC)</f>
        <v>12.24</v>
      </c>
      <c r="AB70">
        <f>SUMIF('库存（子SKU）'!$C:$C,$A70,'库存（子SKU）'!AD:AD)</f>
        <v>4.83</v>
      </c>
      <c r="AC70">
        <f>SUMIF('库存（子SKU）'!$C:$C,$A70,'库存（子SKU）'!AE:AE)</f>
        <v>3.7</v>
      </c>
      <c r="AD70" s="23" t="str">
        <f t="shared" si="20"/>
        <v>无销量广告费为19.96</v>
      </c>
      <c r="AE70" s="23">
        <f t="shared" si="21"/>
        <v>0.0408040804080408</v>
      </c>
      <c r="AF70" s="23" t="str">
        <f t="shared" si="22"/>
        <v>无销量广告费为4.83</v>
      </c>
      <c r="AG70" s="23">
        <f t="shared" si="23"/>
        <v>0.037003700370037</v>
      </c>
      <c r="AH70">
        <f>SUMIF('库存（子SKU）'!$C:$C,$A70,'库存（子SKU）'!AJ:AJ)</f>
        <v>116</v>
      </c>
      <c r="AI70">
        <f>SUMIF('库存（子SKU）'!$C:$C,$A70,'库存（子SKU）'!AK:AK)</f>
        <v>125</v>
      </c>
      <c r="AJ70">
        <f>SUMIF('库存（子SKU）'!$C:$C,$A70,'库存（子SKU）'!AL:AL)</f>
        <v>74</v>
      </c>
      <c r="AK70">
        <f>SUMIF('库存（子SKU）'!$C:$C,$A70,'库存（子SKU）'!AM:AM)</f>
        <v>99</v>
      </c>
      <c r="AL70" s="23">
        <f t="shared" si="24"/>
        <v>0</v>
      </c>
      <c r="AM70" s="23">
        <f t="shared" si="25"/>
        <v>0.024</v>
      </c>
      <c r="AN70" s="23">
        <f t="shared" si="26"/>
        <v>0</v>
      </c>
      <c r="AO70" s="23">
        <f t="shared" si="27"/>
        <v>0.0101010101010101</v>
      </c>
      <c r="AP70" s="7">
        <f t="shared" si="28"/>
        <v>0</v>
      </c>
      <c r="AQ70" s="7">
        <f t="shared" si="29"/>
        <v>0</v>
      </c>
      <c r="AR70" s="7">
        <f t="shared" si="30"/>
        <v>4</v>
      </c>
      <c r="AS70" t="str">
        <f t="shared" si="31"/>
        <v>库存为4</v>
      </c>
      <c r="AT70" s="2" t="str">
        <f>IFERROR(时间!$B$4+AS70,"上周无销量")</f>
        <v>上周无销量</v>
      </c>
    </row>
    <row r="71" spans="1:46">
      <c r="A71" t="s">
        <v>355</v>
      </c>
      <c r="B71" s="5">
        <f>SUMIF('库存（子SKU）'!$C:$C,$A71,'库存（子SKU）'!D:D)</f>
        <v>1</v>
      </c>
      <c r="C71" s="5">
        <f>SUMIF('库存（子SKU）'!$C:$C,$A71,'库存（子SKU）'!E:E)</f>
        <v>0</v>
      </c>
      <c r="D71" s="5">
        <f>SUMIF('库存（子SKU）'!$C:$C,$A71,'库存（子SKU）'!F:F)</f>
        <v>2</v>
      </c>
      <c r="E71" s="5">
        <f>SUMIF('库存（子SKU）'!$C:$C,$A71,'库存（子SKU）'!G:G)</f>
        <v>0</v>
      </c>
      <c r="F71" s="6">
        <v>99.6</v>
      </c>
      <c r="G71">
        <f>SUMIF('库存（子SKU）'!$C:$C,$A71,'库存（子SKU）'!I:I)</f>
        <v>81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81</v>
      </c>
      <c r="L71">
        <f>SUMIF('库存（子SKU）'!$C:$C,$A71,'库存（子SKU）'!N:N)</f>
        <v>0</v>
      </c>
      <c r="M71">
        <f>SUMIF('库存（子SKU）'!$C:$C,$A71,'库存（子SKU）'!O:O)</f>
        <v>2</v>
      </c>
      <c r="N71">
        <f>SUMIF('库存（子SKU）'!$C:$C,$A71,'库存（子SKU）'!P:P)</f>
        <v>13</v>
      </c>
      <c r="O71">
        <f>SUMIF('库存（子SKU）'!$C:$C,$A71,'库存（子SKU）'!Q:Q)</f>
        <v>6</v>
      </c>
      <c r="P71">
        <f>SUMIF('库存（子SKU）'!$C:$C,$A71,'库存（子SKU）'!R:R)</f>
        <v>5</v>
      </c>
      <c r="Q71">
        <f>SUMIF('库存（子SKU）'!$C:$C,$A71,'库存（子SKU）'!S:S)</f>
        <v>12</v>
      </c>
      <c r="R71">
        <f>SUMIF('库存（子SKU）'!$C:$C,$A71,'库存（子SKU）'!T:T)</f>
        <v>3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1</v>
      </c>
      <c r="V71" s="23">
        <f t="shared" si="32"/>
        <v>0.230769230769231</v>
      </c>
      <c r="W71" s="23">
        <f t="shared" si="33"/>
        <v>0</v>
      </c>
      <c r="X71" s="23">
        <f t="shared" si="34"/>
        <v>0</v>
      </c>
      <c r="Y71" s="23">
        <f t="shared" si="35"/>
        <v>0.0833333333333333</v>
      </c>
      <c r="Z71">
        <f>SUMIF('库存（子SKU）'!$C:$C,$A71,'库存（子SKU）'!AB:AB)</f>
        <v>0.76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0.33</v>
      </c>
      <c r="AD71" s="23">
        <f t="shared" si="20"/>
        <v>0.00763052208835341</v>
      </c>
      <c r="AE71" s="23" t="str">
        <f t="shared" si="21"/>
        <v/>
      </c>
      <c r="AF71" s="23">
        <f t="shared" si="22"/>
        <v>0</v>
      </c>
      <c r="AG71" s="23" t="str">
        <f t="shared" si="23"/>
        <v>无销量广告费为0.33</v>
      </c>
      <c r="AH71">
        <f>SUMIF('库存（子SKU）'!$C:$C,$A71,'库存（子SKU）'!AJ:AJ)</f>
        <v>93</v>
      </c>
      <c r="AI71">
        <f>SUMIF('库存（子SKU）'!$C:$C,$A71,'库存（子SKU）'!AK:AK)</f>
        <v>57</v>
      </c>
      <c r="AJ71">
        <f>SUMIF('库存（子SKU）'!$C:$C,$A71,'库存（子SKU）'!AL:AL)</f>
        <v>90</v>
      </c>
      <c r="AK71">
        <f>SUMIF('库存（子SKU）'!$C:$C,$A71,'库存（子SKU）'!AM:AM)</f>
        <v>60</v>
      </c>
      <c r="AL71" s="23">
        <f t="shared" si="24"/>
        <v>0.010752688172043</v>
      </c>
      <c r="AM71" s="23">
        <f t="shared" si="25"/>
        <v>0</v>
      </c>
      <c r="AN71" s="23">
        <f t="shared" si="26"/>
        <v>0.0222222222222222</v>
      </c>
      <c r="AO71" s="23">
        <f t="shared" si="27"/>
        <v>0</v>
      </c>
      <c r="AP71" s="7">
        <f t="shared" si="28"/>
        <v>0.142857142857143</v>
      </c>
      <c r="AQ71" s="7">
        <f t="shared" si="29"/>
        <v>8.57142857142857</v>
      </c>
      <c r="AR71" s="7">
        <f t="shared" si="30"/>
        <v>72.4285714285714</v>
      </c>
      <c r="AS71">
        <f t="shared" si="31"/>
        <v>567</v>
      </c>
      <c r="AT71" s="2">
        <f>IFERROR(时间!$B$4+AS71,"上周无销量")</f>
        <v>43864</v>
      </c>
    </row>
    <row r="72" spans="1:46">
      <c r="A72" t="s">
        <v>362</v>
      </c>
      <c r="B72" s="5">
        <f>SUMIF('库存（子SKU）'!$C:$C,$A72,'库存（子SKU）'!D:D)</f>
        <v>0</v>
      </c>
      <c r="C72" s="5">
        <f>SUMIF('库存（子SKU）'!$C:$C,$A72,'库存（子SKU）'!E:E)</f>
        <v>3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>
        <v>99.99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1</v>
      </c>
      <c r="J72">
        <f>SUMIF('库存（子SKU）'!$C:$C,$A72,'库存（子SKU）'!L:L)</f>
        <v>1</v>
      </c>
      <c r="K72">
        <f t="shared" si="19"/>
        <v>10</v>
      </c>
      <c r="L72">
        <f>SUMIF('库存（子SKU）'!$C:$C,$A72,'库存（子SKU）'!N:N)</f>
        <v>0</v>
      </c>
      <c r="M72">
        <f>SUMIF('库存（子SKU）'!$C:$C,$A72,'库存（子SKU）'!O:O)</f>
        <v>1</v>
      </c>
      <c r="N72">
        <f>SUMIF('库存（子SKU）'!$C:$C,$A72,'库存（子SKU）'!P:P)</f>
        <v>8</v>
      </c>
      <c r="O72">
        <f>SUMIF('库存（子SKU）'!$C:$C,$A72,'库存（子SKU）'!Q:Q)</f>
        <v>2</v>
      </c>
      <c r="P72">
        <f>SUMIF('库存（子SKU）'!$C:$C,$A72,'库存（子SKU）'!R:R)</f>
        <v>0</v>
      </c>
      <c r="Q72">
        <f>SUMIF('库存（子SKU）'!$C:$C,$A72,'库存（子SKU）'!S:S)</f>
        <v>6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 t="str">
        <f t="shared" si="34"/>
        <v/>
      </c>
      <c r="Y72" s="23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>
        <f t="shared" si="21"/>
        <v>0</v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51</v>
      </c>
      <c r="AI72">
        <f>SUMIF('库存（子SKU）'!$C:$C,$A72,'库存（子SKU）'!AK:AK)</f>
        <v>31</v>
      </c>
      <c r="AJ72">
        <f>SUMIF('库存（子SKU）'!$C:$C,$A72,'库存（子SKU）'!AL:AL)</f>
        <v>13</v>
      </c>
      <c r="AK72">
        <f>SUMIF('库存（子SKU）'!$C:$C,$A72,'库存（子SKU）'!AM:AM)</f>
        <v>15</v>
      </c>
      <c r="AL72" s="23">
        <f t="shared" si="24"/>
        <v>0</v>
      </c>
      <c r="AM72" s="23">
        <f t="shared" si="25"/>
        <v>0.0967741935483871</v>
      </c>
      <c r="AN72" s="23">
        <f t="shared" si="26"/>
        <v>0</v>
      </c>
      <c r="AO72" s="23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10</v>
      </c>
      <c r="AS72" t="str">
        <f t="shared" si="31"/>
        <v>库存为10</v>
      </c>
      <c r="AT72" s="2" t="str">
        <f>IFERROR(时间!$B$4+AS72,"上周无销量")</f>
        <v>上周无销量</v>
      </c>
    </row>
    <row r="73" spans="1:46">
      <c r="A73" t="s">
        <v>367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1</v>
      </c>
      <c r="E73" s="5">
        <f>SUMIF('库存（子SKU）'!$C:$C,$A73,'库存（子SKU）'!G:G)</f>
        <v>0</v>
      </c>
      <c r="F73" s="6">
        <v>79.99</v>
      </c>
      <c r="G73">
        <f>SUMIF('库存（子SKU）'!$C:$C,$A73,'库存（子SKU）'!I:I)</f>
        <v>11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11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>
        <f t="shared" si="22"/>
        <v>0</v>
      </c>
      <c r="AG73" s="23" t="str">
        <f t="shared" si="23"/>
        <v/>
      </c>
      <c r="AH73">
        <f>SUMIF('库存（子SKU）'!$C:$C,$A73,'库存（子SKU）'!AJ:AJ)</f>
        <v>8</v>
      </c>
      <c r="AI73">
        <f>SUMIF('库存（子SKU）'!$C:$C,$A73,'库存（子SKU）'!AK:AK)</f>
        <v>6</v>
      </c>
      <c r="AJ73">
        <f>SUMIF('库存（子SKU）'!$C:$C,$A73,'库存（子SKU）'!AL:AL)</f>
        <v>4</v>
      </c>
      <c r="AK73">
        <f>SUMIF('库存（子SKU）'!$C:$C,$A73,'库存（子SKU）'!AM:AM)</f>
        <v>7</v>
      </c>
      <c r="AL73" s="23">
        <f t="shared" si="24"/>
        <v>0</v>
      </c>
      <c r="AM73" s="23">
        <f t="shared" si="25"/>
        <v>0</v>
      </c>
      <c r="AN73" s="23">
        <f t="shared" si="26"/>
        <v>0.25</v>
      </c>
      <c r="AO73" s="23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11</v>
      </c>
      <c r="AS73" t="str">
        <f t="shared" si="31"/>
        <v>库存为11</v>
      </c>
      <c r="AT73" s="2" t="str">
        <f>IFERROR(时间!$B$4+AS73,"上周无销量")</f>
        <v>上周无销量</v>
      </c>
    </row>
    <row r="74" spans="1:46">
      <c r="A74" t="s">
        <v>370</v>
      </c>
      <c r="B74" s="5">
        <f>SUMIF('库存（子SKU）'!$C:$C,$A74,'库存（子SKU）'!D:D)</f>
        <v>4</v>
      </c>
      <c r="C74" s="5">
        <f>SUMIF('库存（子SKU）'!$C:$C,$A74,'库存（子SKU）'!E:E)</f>
        <v>1</v>
      </c>
      <c r="D74" s="5">
        <f>SUMIF('库存（子SKU）'!$C:$C,$A74,'库存（子SKU）'!F:F)</f>
        <v>3</v>
      </c>
      <c r="E74" s="5">
        <f>SUMIF('库存（子SKU）'!$C:$C,$A74,'库存（子SKU）'!G:G)</f>
        <v>0</v>
      </c>
      <c r="F74" s="6">
        <v>79.99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1</v>
      </c>
      <c r="K74">
        <f t="shared" si="19"/>
        <v>6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26452</v>
      </c>
      <c r="O74">
        <f>SUMIF('库存（子SKU）'!$C:$C,$A74,'库存（子SKU）'!Q:Q)</f>
        <v>16179</v>
      </c>
      <c r="P74">
        <f>SUMIF('库存（子SKU）'!$C:$C,$A74,'库存（子SKU）'!R:R)</f>
        <v>5474</v>
      </c>
      <c r="Q74">
        <f>SUMIF('库存（子SKU）'!$C:$C,$A74,'库存（子SKU）'!S:S)</f>
        <v>7373</v>
      </c>
      <c r="R74">
        <f>SUMIF('库存（子SKU）'!$C:$C,$A74,'库存（子SKU）'!T:T)</f>
        <v>200</v>
      </c>
      <c r="S74">
        <f>SUMIF('库存（子SKU）'!$C:$C,$A74,'库存（子SKU）'!U:U)</f>
        <v>152</v>
      </c>
      <c r="T74">
        <f>SUMIF('库存（子SKU）'!$C:$C,$A74,'库存（子SKU）'!V:V)</f>
        <v>43</v>
      </c>
      <c r="U74">
        <f>SUMIF('库存（子SKU）'!$C:$C,$A74,'库存（子SKU）'!W:W)</f>
        <v>67</v>
      </c>
      <c r="V74" s="23">
        <f t="shared" si="32"/>
        <v>0.00756086496295176</v>
      </c>
      <c r="W74" s="23">
        <f t="shared" si="33"/>
        <v>0.00939489461647815</v>
      </c>
      <c r="X74" s="23">
        <f t="shared" si="34"/>
        <v>0.00785531603945926</v>
      </c>
      <c r="Y74" s="23">
        <f t="shared" si="35"/>
        <v>0.0090872100908721</v>
      </c>
      <c r="Z74">
        <f>SUMIF('库存（子SKU）'!$C:$C,$A74,'库存（子SKU）'!AB:AB)</f>
        <v>34.53</v>
      </c>
      <c r="AA74">
        <f>SUMIF('库存（子SKU）'!$C:$C,$A74,'库存（子SKU）'!AC:AC)</f>
        <v>23.52</v>
      </c>
      <c r="AB74">
        <f>SUMIF('库存（子SKU）'!$C:$C,$A74,'库存（子SKU）'!AD:AD)</f>
        <v>5.92</v>
      </c>
      <c r="AC74">
        <f>SUMIF('库存（子SKU）'!$C:$C,$A74,'库存（子SKU）'!AE:AE)</f>
        <v>10.41</v>
      </c>
      <c r="AD74" s="23">
        <f t="shared" si="20"/>
        <v>0.107919739967496</v>
      </c>
      <c r="AE74" s="23">
        <f t="shared" si="21"/>
        <v>0.294036754594324</v>
      </c>
      <c r="AF74" s="23">
        <f t="shared" si="22"/>
        <v>0.0246697503854649</v>
      </c>
      <c r="AG74" s="23" t="str">
        <f t="shared" si="23"/>
        <v>无销量广告费为10.41</v>
      </c>
      <c r="AH74">
        <f>SUMIF('库存（子SKU）'!$C:$C,$A74,'库存（子SKU）'!AJ:AJ)</f>
        <v>173</v>
      </c>
      <c r="AI74">
        <f>SUMIF('库存（子SKU）'!$C:$C,$A74,'库存（子SKU）'!AK:AK)</f>
        <v>128</v>
      </c>
      <c r="AJ74">
        <f>SUMIF('库存（子SKU）'!$C:$C,$A74,'库存（子SKU）'!AL:AL)</f>
        <v>48</v>
      </c>
      <c r="AK74">
        <f>SUMIF('库存（子SKU）'!$C:$C,$A74,'库存（子SKU）'!AM:AM)</f>
        <v>49</v>
      </c>
      <c r="AL74" s="23">
        <f t="shared" si="24"/>
        <v>0.023121387283237</v>
      </c>
      <c r="AM74" s="23">
        <f t="shared" si="25"/>
        <v>0.0078125</v>
      </c>
      <c r="AN74" s="23">
        <f t="shared" si="26"/>
        <v>0.0625</v>
      </c>
      <c r="AO74" s="23">
        <f t="shared" si="27"/>
        <v>0</v>
      </c>
      <c r="AP74" s="7">
        <f t="shared" si="28"/>
        <v>0.571428571428571</v>
      </c>
      <c r="AQ74" s="7">
        <f t="shared" si="29"/>
        <v>34.2857142857143</v>
      </c>
      <c r="AR74" s="7">
        <f t="shared" si="30"/>
        <v>-28.2857142857143</v>
      </c>
      <c r="AS74">
        <f t="shared" si="31"/>
        <v>10</v>
      </c>
      <c r="AT74" s="2">
        <f>IFERROR(时间!$B$4+AS74,"上周无销量")</f>
        <v>43307</v>
      </c>
    </row>
    <row r="75" spans="1:46">
      <c r="A75" t="s">
        <v>374</v>
      </c>
      <c r="B75" s="5">
        <f>SUMIF('库存（子SKU）'!$C:$C,$A75,'库存（子SKU）'!D:D)</f>
        <v>1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4</v>
      </c>
      <c r="F75" s="6">
        <v>99.99</v>
      </c>
      <c r="G75">
        <f>SUMIF('库存（子SKU）'!$C:$C,$A75,'库存（子SKU）'!I:I)</f>
        <v>7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7</v>
      </c>
      <c r="L75">
        <f>SUMIF('库存（子SKU）'!$C:$C,$A75,'库存（子SKU）'!N:N)</f>
        <v>1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12479</v>
      </c>
      <c r="P75">
        <f>SUMIF('库存（子SKU）'!$C:$C,$A75,'库存（子SKU）'!R:R)</f>
        <v>82771</v>
      </c>
      <c r="Q75">
        <f>SUMIF('库存（子SKU）'!$C:$C,$A75,'库存（子SKU）'!S:S)</f>
        <v>79221</v>
      </c>
      <c r="R75">
        <f>SUMIF('库存（子SKU）'!$C:$C,$A75,'库存（子SKU）'!T:T)</f>
        <v>0</v>
      </c>
      <c r="S75">
        <f>SUMIF('库存（子SKU）'!$C:$C,$A75,'库存（子SKU）'!U:U)</f>
        <v>86</v>
      </c>
      <c r="T75">
        <f>SUMIF('库存（子SKU）'!$C:$C,$A75,'库存（子SKU）'!V:V)</f>
        <v>538</v>
      </c>
      <c r="U75">
        <f>SUMIF('库存（子SKU）'!$C:$C,$A75,'库存（子SKU）'!W:W)</f>
        <v>655</v>
      </c>
      <c r="V75" s="23" t="str">
        <f t="shared" si="32"/>
        <v/>
      </c>
      <c r="W75" s="23">
        <f t="shared" si="33"/>
        <v>0.00689157785078933</v>
      </c>
      <c r="X75" s="23">
        <f t="shared" si="34"/>
        <v>0.00649986106244941</v>
      </c>
      <c r="Y75" s="23">
        <f t="shared" si="35"/>
        <v>0.00826800974489087</v>
      </c>
      <c r="Z75">
        <f>SUMIF('库存（子SKU）'!$C:$C,$A75,'库存（子SKU）'!AB:AB)</f>
        <v>0</v>
      </c>
      <c r="AA75">
        <f>SUMIF('库存（子SKU）'!$C:$C,$A75,'库存（子SKU）'!AC:AC)</f>
        <v>13.54</v>
      </c>
      <c r="AB75">
        <f>SUMIF('库存（子SKU）'!$C:$C,$A75,'库存（子SKU）'!AD:AD)</f>
        <v>80.08</v>
      </c>
      <c r="AC75">
        <f>SUMIF('库存（子SKU）'!$C:$C,$A75,'库存（子SKU）'!AE:AE)</f>
        <v>97.36</v>
      </c>
      <c r="AD75" s="23">
        <f t="shared" si="20"/>
        <v>0</v>
      </c>
      <c r="AE75" s="23">
        <f t="shared" si="21"/>
        <v>0.135413541354135</v>
      </c>
      <c r="AF75" s="23" t="str">
        <f t="shared" si="22"/>
        <v>无销量广告费为80.08</v>
      </c>
      <c r="AG75" s="23">
        <f t="shared" si="23"/>
        <v>0.243424342434243</v>
      </c>
      <c r="AH75">
        <f>SUMIF('库存（子SKU）'!$C:$C,$A75,'库存（子SKU）'!AJ:AJ)</f>
        <v>245</v>
      </c>
      <c r="AI75">
        <f>SUMIF('库存（子SKU）'!$C:$C,$A75,'库存（子SKU）'!AK:AK)</f>
        <v>333</v>
      </c>
      <c r="AJ75">
        <f>SUMIF('库存（子SKU）'!$C:$C,$A75,'库存（子SKU）'!AL:AL)</f>
        <v>709</v>
      </c>
      <c r="AK75">
        <f>SUMIF('库存（子SKU）'!$C:$C,$A75,'库存（子SKU）'!AM:AM)</f>
        <v>823</v>
      </c>
      <c r="AL75" s="23">
        <f t="shared" si="24"/>
        <v>0.00408163265306122</v>
      </c>
      <c r="AM75" s="23">
        <f t="shared" si="25"/>
        <v>0.003003003003003</v>
      </c>
      <c r="AN75" s="23">
        <f t="shared" si="26"/>
        <v>0</v>
      </c>
      <c r="AO75" s="23">
        <f t="shared" si="27"/>
        <v>0.00486026731470231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-1.57142857142857</v>
      </c>
      <c r="AS75">
        <f t="shared" si="31"/>
        <v>49</v>
      </c>
      <c r="AT75" s="2">
        <f>IFERROR(时间!$B$4+AS75,"上周无销量")</f>
        <v>43346</v>
      </c>
    </row>
    <row r="76" spans="1:46">
      <c r="A76" t="s">
        <v>378</v>
      </c>
      <c r="B76" s="5">
        <f>SUMIF('库存（子SKU）'!$C:$C,$A76,'库存（子SKU）'!D:D)</f>
        <v>0</v>
      </c>
      <c r="C76" s="5">
        <f>SUMIF('库存（子SKU）'!$C:$C,$A76,'库存（子SKU）'!E:E)</f>
        <v>5</v>
      </c>
      <c r="D76" s="5">
        <f>SUMIF('库存（子SKU）'!$C:$C,$A76,'库存（子SKU）'!F:F)</f>
        <v>3</v>
      </c>
      <c r="E76" s="5">
        <f>SUMIF('库存（子SKU）'!$C:$C,$A76,'库存（子SKU）'!G:G)</f>
        <v>4</v>
      </c>
      <c r="F76" s="6">
        <v>93.1566666666667</v>
      </c>
      <c r="G76">
        <f>SUMIF('库存（子SKU）'!$C:$C,$A76,'库存（子SKU）'!I:I)</f>
        <v>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3</v>
      </c>
      <c r="K76">
        <f t="shared" si="19"/>
        <v>5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17685</v>
      </c>
      <c r="O76">
        <f>SUMIF('库存（子SKU）'!$C:$C,$A76,'库存（子SKU）'!Q:Q)</f>
        <v>34598</v>
      </c>
      <c r="P76">
        <f>SUMIF('库存（子SKU）'!$C:$C,$A76,'库存（子SKU）'!R:R)</f>
        <v>36905</v>
      </c>
      <c r="Q76">
        <f>SUMIF('库存（子SKU）'!$C:$C,$A76,'库存（子SKU）'!S:S)</f>
        <v>27411</v>
      </c>
      <c r="R76">
        <f>SUMIF('库存（子SKU）'!$C:$C,$A76,'库存（子SKU）'!T:T)</f>
        <v>84</v>
      </c>
      <c r="S76">
        <f>SUMIF('库存（子SKU）'!$C:$C,$A76,'库存（子SKU）'!U:U)</f>
        <v>157</v>
      </c>
      <c r="T76">
        <f>SUMIF('库存（子SKU）'!$C:$C,$A76,'库存（子SKU）'!V:V)</f>
        <v>140</v>
      </c>
      <c r="U76">
        <f>SUMIF('库存（子SKU）'!$C:$C,$A76,'库存（子SKU）'!W:W)</f>
        <v>185</v>
      </c>
      <c r="V76" s="23">
        <f t="shared" si="32"/>
        <v>0.00474978795589483</v>
      </c>
      <c r="W76" s="23">
        <f t="shared" si="33"/>
        <v>0.0045378345569108</v>
      </c>
      <c r="X76" s="23">
        <f t="shared" si="34"/>
        <v>0.00379352391274895</v>
      </c>
      <c r="Y76" s="23">
        <f t="shared" si="35"/>
        <v>0.00674911531866769</v>
      </c>
      <c r="Z76">
        <f>SUMIF('库存（子SKU）'!$C:$C,$A76,'库存（子SKU）'!AB:AB)</f>
        <v>13.4</v>
      </c>
      <c r="AA76">
        <f>SUMIF('库存（子SKU）'!$C:$C,$A76,'库存（子SKU）'!AC:AC)</f>
        <v>23.61</v>
      </c>
      <c r="AB76">
        <f>SUMIF('库存（子SKU）'!$C:$C,$A76,'库存（子SKU）'!AD:AD)</f>
        <v>20.48</v>
      </c>
      <c r="AC76">
        <f>SUMIF('库存（子SKU）'!$C:$C,$A76,'库存（子SKU）'!AE:AE)</f>
        <v>31.33</v>
      </c>
      <c r="AD76" s="23" t="str">
        <f t="shared" si="20"/>
        <v>无销量广告费为13.4</v>
      </c>
      <c r="AE76" s="23">
        <f t="shared" si="21"/>
        <v>0.0506888038072065</v>
      </c>
      <c r="AF76" s="23">
        <f t="shared" si="22"/>
        <v>0.0732815686835796</v>
      </c>
      <c r="AG76" s="23">
        <f t="shared" si="23"/>
        <v>0.0840787919991412</v>
      </c>
      <c r="AH76">
        <f>SUMIF('库存（子SKU）'!$C:$C,$A76,'库存（子SKU）'!AJ:AJ)</f>
        <v>60</v>
      </c>
      <c r="AI76">
        <f>SUMIF('库存（子SKU）'!$C:$C,$A76,'库存（子SKU）'!AK:AK)</f>
        <v>163</v>
      </c>
      <c r="AJ76">
        <f>SUMIF('库存（子SKU）'!$C:$C,$A76,'库存（子SKU）'!AL:AL)</f>
        <v>180</v>
      </c>
      <c r="AK76">
        <f>SUMIF('库存（子SKU）'!$C:$C,$A76,'库存（子SKU）'!AM:AM)</f>
        <v>221</v>
      </c>
      <c r="AL76" s="23">
        <f t="shared" si="24"/>
        <v>0</v>
      </c>
      <c r="AM76" s="23">
        <f t="shared" si="25"/>
        <v>0.0306748466257669</v>
      </c>
      <c r="AN76" s="23">
        <f t="shared" si="26"/>
        <v>0.0166666666666667</v>
      </c>
      <c r="AO76" s="23">
        <f t="shared" si="27"/>
        <v>0.0180995475113122</v>
      </c>
      <c r="AP76" s="7">
        <f t="shared" si="28"/>
        <v>0</v>
      </c>
      <c r="AQ76" s="7">
        <f t="shared" si="29"/>
        <v>0</v>
      </c>
      <c r="AR76" s="7">
        <f t="shared" si="30"/>
        <v>5</v>
      </c>
      <c r="AS76" t="str">
        <f t="shared" si="31"/>
        <v>库存为5</v>
      </c>
      <c r="AT76" s="2" t="str">
        <f>IFERROR(时间!$B$4+AS76,"上周无销量")</f>
        <v>上周无销量</v>
      </c>
    </row>
    <row r="77" spans="1:46">
      <c r="A77" t="s">
        <v>382</v>
      </c>
      <c r="B77" s="5">
        <f>SUMIF('库存（子SKU）'!$C:$C,$A77,'库存（子SKU）'!D:D)</f>
        <v>5</v>
      </c>
      <c r="C77" s="5">
        <f>SUMIF('库存（子SKU）'!$C:$C,$A77,'库存（子SKU）'!E:E)</f>
        <v>1</v>
      </c>
      <c r="D77" s="5">
        <f>SUMIF('库存（子SKU）'!$C:$C,$A77,'库存（子SKU）'!F:F)</f>
        <v>3</v>
      </c>
      <c r="E77" s="5">
        <f>SUMIF('库存（子SKU）'!$C:$C,$A77,'库存（子SKU）'!G:G)</f>
        <v>1</v>
      </c>
      <c r="F77" s="6">
        <v>99.99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52531</v>
      </c>
      <c r="O77">
        <f>SUMIF('库存（子SKU）'!$C:$C,$A77,'库存（子SKU）'!Q:Q)</f>
        <v>92672</v>
      </c>
      <c r="P77">
        <f>SUMIF('库存（子SKU）'!$C:$C,$A77,'库存（子SKU）'!R:R)</f>
        <v>10568</v>
      </c>
      <c r="Q77">
        <f>SUMIF('库存（子SKU）'!$C:$C,$A77,'库存（子SKU）'!S:S)</f>
        <v>7099</v>
      </c>
      <c r="R77">
        <f>SUMIF('库存（子SKU）'!$C:$C,$A77,'库存（子SKU）'!T:T)</f>
        <v>298</v>
      </c>
      <c r="S77">
        <f>SUMIF('库存（子SKU）'!$C:$C,$A77,'库存（子SKU）'!U:U)</f>
        <v>479</v>
      </c>
      <c r="T77">
        <f>SUMIF('库存（子SKU）'!$C:$C,$A77,'库存（子SKU）'!V:V)</f>
        <v>99</v>
      </c>
      <c r="U77">
        <f>SUMIF('库存（子SKU）'!$C:$C,$A77,'库存（子SKU）'!W:W)</f>
        <v>105</v>
      </c>
      <c r="V77" s="23">
        <f t="shared" si="32"/>
        <v>0.00567284079876644</v>
      </c>
      <c r="W77" s="23">
        <f t="shared" si="33"/>
        <v>0.00516876726519337</v>
      </c>
      <c r="X77" s="23">
        <f t="shared" si="34"/>
        <v>0.00936790310370931</v>
      </c>
      <c r="Y77" s="23">
        <f t="shared" si="35"/>
        <v>0.0147908156078321</v>
      </c>
      <c r="Z77">
        <f>SUMIF('库存（子SKU）'!$C:$C,$A77,'库存（子SKU）'!AB:AB)</f>
        <v>39.93</v>
      </c>
      <c r="AA77">
        <f>SUMIF('库存（子SKU）'!$C:$C,$A77,'库存（子SKU）'!AC:AC)</f>
        <v>68.35</v>
      </c>
      <c r="AB77">
        <f>SUMIF('库存（子SKU）'!$C:$C,$A77,'库存（子SKU）'!AD:AD)</f>
        <v>11.48</v>
      </c>
      <c r="AC77">
        <f>SUMIF('库存（子SKU）'!$C:$C,$A77,'库存（子SKU）'!AE:AE)</f>
        <v>12.13</v>
      </c>
      <c r="AD77" s="23">
        <f t="shared" si="20"/>
        <v>0.0798679867986799</v>
      </c>
      <c r="AE77" s="23">
        <f t="shared" si="21"/>
        <v>0.683568356835684</v>
      </c>
      <c r="AF77" s="23">
        <f t="shared" si="22"/>
        <v>0.0382704937160383</v>
      </c>
      <c r="AG77" s="23">
        <f t="shared" si="23"/>
        <v>0.121312131213121</v>
      </c>
      <c r="AH77">
        <f>SUMIF('库存（子SKU）'!$C:$C,$A77,'库存（子SKU）'!AJ:AJ)</f>
        <v>256</v>
      </c>
      <c r="AI77">
        <f>SUMIF('库存（子SKU）'!$C:$C,$A77,'库存（子SKU）'!AK:AK)</f>
        <v>467</v>
      </c>
      <c r="AJ77">
        <f>SUMIF('库存（子SKU）'!$C:$C,$A77,'库存（子SKU）'!AL:AL)</f>
        <v>181</v>
      </c>
      <c r="AK77">
        <f>SUMIF('库存（子SKU）'!$C:$C,$A77,'库存（子SKU）'!AM:AM)</f>
        <v>109</v>
      </c>
      <c r="AL77" s="23">
        <f t="shared" si="24"/>
        <v>0.01953125</v>
      </c>
      <c r="AM77" s="23">
        <f t="shared" si="25"/>
        <v>0.00214132762312634</v>
      </c>
      <c r="AN77" s="23">
        <f t="shared" si="26"/>
        <v>0.0165745856353591</v>
      </c>
      <c r="AO77" s="23">
        <f t="shared" si="27"/>
        <v>0.00917431192660551</v>
      </c>
      <c r="AP77" s="7">
        <f t="shared" si="28"/>
        <v>0.714285714285714</v>
      </c>
      <c r="AQ77" s="7">
        <f t="shared" si="29"/>
        <v>42.8571428571429</v>
      </c>
      <c r="AR77" s="7">
        <f t="shared" si="30"/>
        <v>-42.8571428571429</v>
      </c>
      <c r="AS77">
        <f t="shared" si="31"/>
        <v>0</v>
      </c>
      <c r="AT77" s="2">
        <f>IFERROR(时间!$B$4+AS77,"上周无销量")</f>
        <v>43297</v>
      </c>
    </row>
    <row r="78" spans="1:46">
      <c r="A78" t="s">
        <v>385</v>
      </c>
      <c r="B78" s="5">
        <f>SUMIF('库存（子SKU）'!$C:$C,$A78,'库存（子SKU）'!D:D)</f>
        <v>3</v>
      </c>
      <c r="C78" s="5">
        <f>SUMIF('库存（子SKU）'!$C:$C,$A78,'库存（子SKU）'!E:E)</f>
        <v>0</v>
      </c>
      <c r="D78" s="5">
        <f>SUMIF('库存（子SKU）'!$C:$C,$A78,'库存（子SKU）'!F:F)</f>
        <v>1</v>
      </c>
      <c r="E78" s="5">
        <f>SUMIF('库存（子SKU）'!$C:$C,$A78,'库存（子SKU）'!G:G)</f>
        <v>0</v>
      </c>
      <c r="F78" s="6">
        <v>89.99</v>
      </c>
      <c r="G78">
        <f>SUMIF('库存（子SKU）'!$C:$C,$A78,'库存（子SKU）'!I:I)</f>
        <v>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74578</v>
      </c>
      <c r="O78">
        <f>SUMIF('库存（子SKU）'!$C:$C,$A78,'库存（子SKU）'!Q:Q)</f>
        <v>32901</v>
      </c>
      <c r="P78">
        <f>SUMIF('库存（子SKU）'!$C:$C,$A78,'库存（子SKU）'!R:R)</f>
        <v>17223</v>
      </c>
      <c r="Q78">
        <f>SUMIF('库存（子SKU）'!$C:$C,$A78,'库存（子SKU）'!S:S)</f>
        <v>12588</v>
      </c>
      <c r="R78">
        <f>SUMIF('库存（子SKU）'!$C:$C,$A78,'库存（子SKU）'!T:T)</f>
        <v>265</v>
      </c>
      <c r="S78">
        <f>SUMIF('库存（子SKU）'!$C:$C,$A78,'库存（子SKU）'!U:U)</f>
        <v>131</v>
      </c>
      <c r="T78">
        <f>SUMIF('库存（子SKU）'!$C:$C,$A78,'库存（子SKU）'!V:V)</f>
        <v>59</v>
      </c>
      <c r="U78">
        <f>SUMIF('库存（子SKU）'!$C:$C,$A78,'库存（子SKU）'!W:W)</f>
        <v>58</v>
      </c>
      <c r="V78" s="23">
        <f t="shared" si="32"/>
        <v>0.00355332671833517</v>
      </c>
      <c r="W78" s="23">
        <f t="shared" si="33"/>
        <v>0.00398164189538312</v>
      </c>
      <c r="X78" s="23">
        <f t="shared" si="34"/>
        <v>0.00342565174475991</v>
      </c>
      <c r="Y78" s="23">
        <f t="shared" si="35"/>
        <v>0.0046075627581824</v>
      </c>
      <c r="Z78">
        <f>SUMIF('库存（子SKU）'!$C:$C,$A78,'库存（子SKU）'!AB:AB)</f>
        <v>43.47</v>
      </c>
      <c r="AA78">
        <f>SUMIF('库存（子SKU）'!$C:$C,$A78,'库存（子SKU）'!AC:AC)</f>
        <v>19.6</v>
      </c>
      <c r="AB78">
        <f>SUMIF('库存（子SKU）'!$C:$C,$A78,'库存（子SKU）'!AD:AD)</f>
        <v>7.62</v>
      </c>
      <c r="AC78">
        <f>SUMIF('库存（子SKU）'!$C:$C,$A78,'库存（子SKU）'!AE:AE)</f>
        <v>8.89</v>
      </c>
      <c r="AD78" s="23">
        <f t="shared" si="20"/>
        <v>0.161017890876764</v>
      </c>
      <c r="AE78" s="23" t="str">
        <f t="shared" si="21"/>
        <v>无销量广告费为19.6</v>
      </c>
      <c r="AF78" s="23">
        <f t="shared" si="22"/>
        <v>0.0846760751194577</v>
      </c>
      <c r="AG78" s="23" t="str">
        <f t="shared" si="23"/>
        <v>无销量广告费为8.89</v>
      </c>
      <c r="AH78">
        <f>SUMIF('库存（子SKU）'!$C:$C,$A78,'库存（子SKU）'!AJ:AJ)</f>
        <v>231</v>
      </c>
      <c r="AI78">
        <f>SUMIF('库存（子SKU）'!$C:$C,$A78,'库存（子SKU）'!AK:AK)</f>
        <v>96</v>
      </c>
      <c r="AJ78">
        <f>SUMIF('库存（子SKU）'!$C:$C,$A78,'库存（子SKU）'!AL:AL)</f>
        <v>59</v>
      </c>
      <c r="AK78">
        <f>SUMIF('库存（子SKU）'!$C:$C,$A78,'库存（子SKU）'!AM:AM)</f>
        <v>78</v>
      </c>
      <c r="AL78" s="23">
        <f t="shared" si="24"/>
        <v>0.012987012987013</v>
      </c>
      <c r="AM78" s="23">
        <f t="shared" si="25"/>
        <v>0</v>
      </c>
      <c r="AN78" s="23">
        <f t="shared" si="26"/>
        <v>0.0169491525423729</v>
      </c>
      <c r="AO78" s="23">
        <f t="shared" si="27"/>
        <v>0</v>
      </c>
      <c r="AP78" s="7">
        <f t="shared" si="28"/>
        <v>0.428571428571429</v>
      </c>
      <c r="AQ78" s="7">
        <f t="shared" si="29"/>
        <v>25.7142857142857</v>
      </c>
      <c r="AR78" s="7">
        <f t="shared" si="30"/>
        <v>-20.7142857142857</v>
      </c>
      <c r="AS78">
        <f t="shared" si="31"/>
        <v>11</v>
      </c>
      <c r="AT78" s="2">
        <f>IFERROR(时间!$B$4+AS78,"上周无销量")</f>
        <v>43308</v>
      </c>
    </row>
    <row r="79" spans="1:46">
      <c r="A79" t="s">
        <v>390</v>
      </c>
      <c r="B79" s="5">
        <f>SUMIF('库存（子SKU）'!$C:$C,$A79,'库存（子SKU）'!D:D)</f>
        <v>1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1</v>
      </c>
      <c r="F79" s="6">
        <v>108.99</v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</v>
      </c>
      <c r="L79">
        <f>SUMIF('库存（子SKU）'!$C:$C,$A79,'库存（子SKU）'!N:N)</f>
        <v>1</v>
      </c>
      <c r="M79">
        <f>SUMIF('库存（子SKU）'!$C:$C,$A79,'库存（子SKU）'!O:O)</f>
        <v>0</v>
      </c>
      <c r="N79">
        <f>SUMIF('库存（子SKU）'!$C:$C,$A79,'库存（子SKU）'!P:P)</f>
        <v>2176</v>
      </c>
      <c r="O79">
        <f>SUMIF('库存（子SKU）'!$C:$C,$A79,'库存（子SKU）'!Q:Q)</f>
        <v>861</v>
      </c>
      <c r="P79">
        <f>SUMIF('库存（子SKU）'!$C:$C,$A79,'库存（子SKU）'!R:R)</f>
        <v>488</v>
      </c>
      <c r="Q79">
        <f>SUMIF('库存（子SKU）'!$C:$C,$A79,'库存（子SKU）'!S:S)</f>
        <v>141</v>
      </c>
      <c r="R79">
        <f>SUMIF('库存（子SKU）'!$C:$C,$A79,'库存（子SKU）'!T:T)</f>
        <v>21</v>
      </c>
      <c r="S79">
        <f>SUMIF('库存（子SKU）'!$C:$C,$A79,'库存（子SKU）'!U:U)</f>
        <v>8</v>
      </c>
      <c r="T79">
        <f>SUMIF('库存（子SKU）'!$C:$C,$A79,'库存（子SKU）'!V:V)</f>
        <v>7</v>
      </c>
      <c r="U79">
        <f>SUMIF('库存（子SKU）'!$C:$C,$A79,'库存（子SKU）'!W:W)</f>
        <v>5</v>
      </c>
      <c r="V79" s="23">
        <f t="shared" si="32"/>
        <v>0.00965073529411765</v>
      </c>
      <c r="W79" s="23">
        <f t="shared" si="33"/>
        <v>0.00929152148664344</v>
      </c>
      <c r="X79" s="23">
        <f t="shared" si="34"/>
        <v>0.014344262295082</v>
      </c>
      <c r="Y79" s="23">
        <f t="shared" si="35"/>
        <v>0.0354609929078014</v>
      </c>
      <c r="Z79">
        <f>SUMIF('库存（子SKU）'!$C:$C,$A79,'库存（子SKU）'!AB:AB)</f>
        <v>6.18</v>
      </c>
      <c r="AA79">
        <f>SUMIF('库存（子SKU）'!$C:$C,$A79,'库存（子SKU）'!AC:AC)</f>
        <v>1.99</v>
      </c>
      <c r="AB79">
        <f>SUMIF('库存（子SKU）'!$C:$C,$A79,'库存（子SKU）'!AD:AD)</f>
        <v>1.92</v>
      </c>
      <c r="AC79">
        <f>SUMIF('库存（子SKU）'!$C:$C,$A79,'库存（子SKU）'!AE:AE)</f>
        <v>0.5</v>
      </c>
      <c r="AD79" s="23">
        <f t="shared" si="20"/>
        <v>0.0567024497660336</v>
      </c>
      <c r="AE79" s="23" t="str">
        <f t="shared" si="21"/>
        <v>无销量广告费为1.99</v>
      </c>
      <c r="AF79" s="23" t="str">
        <f t="shared" si="22"/>
        <v>无销量广告费为1.92</v>
      </c>
      <c r="AG79" s="23">
        <f t="shared" si="23"/>
        <v>0.0045875768419121</v>
      </c>
      <c r="AH79">
        <f>SUMIF('库存（子SKU）'!$C:$C,$A79,'库存（子SKU）'!AJ:AJ)</f>
        <v>31</v>
      </c>
      <c r="AI79">
        <f>SUMIF('库存（子SKU）'!$C:$C,$A79,'库存（子SKU）'!AK:AK)</f>
        <v>15</v>
      </c>
      <c r="AJ79">
        <f>SUMIF('库存（子SKU）'!$C:$C,$A79,'库存（子SKU）'!AL:AL)</f>
        <v>6</v>
      </c>
      <c r="AK79">
        <f>SUMIF('库存（子SKU）'!$C:$C,$A79,'库存（子SKU）'!AM:AM)</f>
        <v>10</v>
      </c>
      <c r="AL79" s="23">
        <f t="shared" si="24"/>
        <v>0.032258064516129</v>
      </c>
      <c r="AM79" s="23">
        <f t="shared" si="25"/>
        <v>0</v>
      </c>
      <c r="AN79" s="23">
        <f t="shared" si="26"/>
        <v>0</v>
      </c>
      <c r="AO79" s="23">
        <f t="shared" si="27"/>
        <v>0.1</v>
      </c>
      <c r="AP79" s="7">
        <f t="shared" si="28"/>
        <v>0.142857142857143</v>
      </c>
      <c r="AQ79" s="7">
        <f t="shared" si="29"/>
        <v>8.57142857142857</v>
      </c>
      <c r="AR79" s="7">
        <f t="shared" si="30"/>
        <v>-5.57142857142857</v>
      </c>
      <c r="AS79">
        <f t="shared" si="31"/>
        <v>21</v>
      </c>
      <c r="AT79" s="2">
        <f>IFERROR(时间!$B$4+AS79,"上周无销量")</f>
        <v>43318</v>
      </c>
    </row>
    <row r="80" spans="1:46">
      <c r="A80" t="s">
        <v>395</v>
      </c>
      <c r="B80" s="5">
        <f>SUMIF('库存（子SKU）'!$C:$C,$A80,'库存（子SKU）'!D:D)</f>
        <v>1</v>
      </c>
      <c r="C80" s="5">
        <f>SUMIF('库存（子SKU）'!$C:$C,$A80,'库存（子SKU）'!E:E)</f>
        <v>1</v>
      </c>
      <c r="D80" s="5">
        <f>SUMIF('库存（子SKU）'!$C:$C,$A80,'库存（子SKU）'!F:F)</f>
        <v>2</v>
      </c>
      <c r="E80" s="5">
        <f>SUMIF('库存（子SKU）'!$C:$C,$A80,'库存（子SKU）'!G:G)</f>
        <v>1</v>
      </c>
      <c r="F80" s="6">
        <v>34.59</v>
      </c>
      <c r="G80">
        <f>SUMIF('库存（子SKU）'!$C:$C,$A80,'库存（子SKU）'!I:I)</f>
        <v>41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41</v>
      </c>
      <c r="L80">
        <f>SUMIF('库存（子SKU）'!$C:$C,$A80,'库存（子SKU）'!N:N)</f>
        <v>1</v>
      </c>
      <c r="M80">
        <f>SUMIF('库存（子SKU）'!$C:$C,$A80,'库存（子SKU）'!O:O)</f>
        <v>7</v>
      </c>
      <c r="N80">
        <f>SUMIF('库存（子SKU）'!$C:$C,$A80,'库存（子SKU）'!P:P)</f>
        <v>457</v>
      </c>
      <c r="O80">
        <f>SUMIF('库存（子SKU）'!$C:$C,$A80,'库存（子SKU）'!Q:Q)</f>
        <v>271</v>
      </c>
      <c r="P80">
        <f>SUMIF('库存（子SKU）'!$C:$C,$A80,'库存（子SKU）'!R:R)</f>
        <v>423</v>
      </c>
      <c r="Q80">
        <f>SUMIF('库存（子SKU）'!$C:$C,$A80,'库存（子SKU）'!S:S)</f>
        <v>221</v>
      </c>
      <c r="R80">
        <f>SUMIF('库存（子SKU）'!$C:$C,$A80,'库存（子SKU）'!T:T)</f>
        <v>6</v>
      </c>
      <c r="S80">
        <f>SUMIF('库存（子SKU）'!$C:$C,$A80,'库存（子SKU）'!U:U)</f>
        <v>6</v>
      </c>
      <c r="T80">
        <f>SUMIF('库存（子SKU）'!$C:$C,$A80,'库存（子SKU）'!V:V)</f>
        <v>4</v>
      </c>
      <c r="U80">
        <f>SUMIF('库存（子SKU）'!$C:$C,$A80,'库存（子SKU）'!W:W)</f>
        <v>2</v>
      </c>
      <c r="V80" s="23">
        <f t="shared" si="32"/>
        <v>0.0131291028446389</v>
      </c>
      <c r="W80" s="23">
        <f t="shared" si="33"/>
        <v>0.022140221402214</v>
      </c>
      <c r="X80" s="23">
        <f t="shared" si="34"/>
        <v>0.00945626477541371</v>
      </c>
      <c r="Y80" s="23">
        <f t="shared" si="35"/>
        <v>0.00904977375565611</v>
      </c>
      <c r="Z80">
        <f>SUMIF('库存（子SKU）'!$C:$C,$A80,'库存（子SKU）'!AB:AB)</f>
        <v>2.31</v>
      </c>
      <c r="AA80">
        <f>SUMIF('库存（子SKU）'!$C:$C,$A80,'库存（子SKU）'!AC:AC)</f>
        <v>1.77</v>
      </c>
      <c r="AB80">
        <f>SUMIF('库存（子SKU）'!$C:$C,$A80,'库存（子SKU）'!AD:AD)</f>
        <v>2.14</v>
      </c>
      <c r="AC80">
        <f>SUMIF('库存（子SKU）'!$C:$C,$A80,'库存（子SKU）'!AE:AE)</f>
        <v>0.25</v>
      </c>
      <c r="AD80" s="23">
        <f t="shared" si="20"/>
        <v>0.0667823070251518</v>
      </c>
      <c r="AE80" s="23">
        <f t="shared" si="21"/>
        <v>0.0511708586296617</v>
      </c>
      <c r="AF80" s="23">
        <f t="shared" si="22"/>
        <v>0.0309337958947673</v>
      </c>
      <c r="AG80" s="23">
        <f t="shared" si="23"/>
        <v>0.00722752240531946</v>
      </c>
      <c r="AH80">
        <f>SUMIF('库存（子SKU）'!$C:$C,$A80,'库存（子SKU）'!AJ:AJ)</f>
        <v>108</v>
      </c>
      <c r="AI80">
        <f>SUMIF('库存（子SKU）'!$C:$C,$A80,'库存（子SKU）'!AK:AK)</f>
        <v>139</v>
      </c>
      <c r="AJ80">
        <f>SUMIF('库存（子SKU）'!$C:$C,$A80,'库存（子SKU）'!AL:AL)</f>
        <v>85</v>
      </c>
      <c r="AK80">
        <f>SUMIF('库存（子SKU）'!$C:$C,$A80,'库存（子SKU）'!AM:AM)</f>
        <v>85</v>
      </c>
      <c r="AL80" s="23">
        <f t="shared" si="24"/>
        <v>0.00925925925925926</v>
      </c>
      <c r="AM80" s="23">
        <f t="shared" si="25"/>
        <v>0.00719424460431655</v>
      </c>
      <c r="AN80" s="23">
        <f t="shared" si="26"/>
        <v>0.0235294117647059</v>
      </c>
      <c r="AO80" s="23">
        <f t="shared" si="27"/>
        <v>0.0117647058823529</v>
      </c>
      <c r="AP80" s="7">
        <f t="shared" si="28"/>
        <v>0.142857142857143</v>
      </c>
      <c r="AQ80" s="7">
        <f t="shared" si="29"/>
        <v>8.57142857142857</v>
      </c>
      <c r="AR80" s="7">
        <f t="shared" si="30"/>
        <v>32.4285714285714</v>
      </c>
      <c r="AS80">
        <f t="shared" si="31"/>
        <v>287</v>
      </c>
      <c r="AT80" s="2">
        <f>IFERROR(时间!$B$4+AS80,"上周无销量")</f>
        <v>43584</v>
      </c>
    </row>
    <row r="81" spans="1:46">
      <c r="A81" t="s">
        <v>408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57</v>
      </c>
      <c r="G81">
        <f>SUMIF('库存（子SKU）'!$C:$C,$A81,'库存（子SKU）'!I:I)</f>
        <v>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3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1985</v>
      </c>
      <c r="O81">
        <f>SUMIF('库存（子SKU）'!$C:$C,$A81,'库存（子SKU）'!Q:Q)</f>
        <v>553</v>
      </c>
      <c r="P81">
        <f>SUMIF('库存（子SKU）'!$C:$C,$A81,'库存（子SKU）'!R:R)</f>
        <v>235</v>
      </c>
      <c r="Q81">
        <f>SUMIF('库存（子SKU）'!$C:$C,$A81,'库存（子SKU）'!S:S)</f>
        <v>39</v>
      </c>
      <c r="R81">
        <f>SUMIF('库存（子SKU）'!$C:$C,$A81,'库存（子SKU）'!T:T)</f>
        <v>9</v>
      </c>
      <c r="S81">
        <f>SUMIF('库存（子SKU）'!$C:$C,$A81,'库存（子SKU）'!U:U)</f>
        <v>3</v>
      </c>
      <c r="T81">
        <f>SUMIF('库存（子SKU）'!$C:$C,$A81,'库存（子SKU）'!V:V)</f>
        <v>1</v>
      </c>
      <c r="U81">
        <f>SUMIF('库存（子SKU）'!$C:$C,$A81,'库存（子SKU）'!W:W)</f>
        <v>0</v>
      </c>
      <c r="V81" s="23">
        <f t="shared" si="32"/>
        <v>0.00453400503778338</v>
      </c>
      <c r="W81" s="23">
        <f t="shared" si="33"/>
        <v>0.0054249547920434</v>
      </c>
      <c r="X81" s="23">
        <f t="shared" si="34"/>
        <v>0.00425531914893617</v>
      </c>
      <c r="Y81" s="23">
        <f t="shared" si="35"/>
        <v>0</v>
      </c>
      <c r="Z81">
        <f>SUMIF('库存（子SKU）'!$C:$C,$A81,'库存（子SKU）'!AB:AB)</f>
        <v>3.76</v>
      </c>
      <c r="AA81">
        <f>SUMIF('库存（子SKU）'!$C:$C,$A81,'库存（子SKU）'!AC:AC)</f>
        <v>0.51</v>
      </c>
      <c r="AB81">
        <f>SUMIF('库存（子SKU）'!$C:$C,$A81,'库存（子SKU）'!AD:AD)</f>
        <v>0.27</v>
      </c>
      <c r="AC81">
        <f>SUMIF('库存（子SKU）'!$C:$C,$A81,'库存（子SKU）'!AE:AE)</f>
        <v>0</v>
      </c>
      <c r="AD81" s="23" t="str">
        <f t="shared" si="20"/>
        <v>无销量广告费为3.76</v>
      </c>
      <c r="AE81" s="23" t="str">
        <f t="shared" si="21"/>
        <v>无销量广告费为0.51</v>
      </c>
      <c r="AF81" s="23" t="str">
        <f t="shared" si="22"/>
        <v>无销量广告费为0.27</v>
      </c>
      <c r="AG81" s="23" t="str">
        <f t="shared" si="23"/>
        <v/>
      </c>
      <c r="AH81">
        <f>SUMIF('库存（子SKU）'!$C:$C,$A81,'库存（子SKU）'!AJ:AJ)</f>
        <v>8</v>
      </c>
      <c r="AI81">
        <f>SUMIF('库存（子SKU）'!$C:$C,$A81,'库存（子SKU）'!AK:AK)</f>
        <v>2</v>
      </c>
      <c r="AJ81">
        <f>SUMIF('库存（子SKU）'!$C:$C,$A81,'库存（子SKU）'!AL:AL)</f>
        <v>0</v>
      </c>
      <c r="AK81">
        <f>SUMIF('库存（子SKU）'!$C:$C,$A81,'库存（子SKU）'!AM:AM)</f>
        <v>3</v>
      </c>
      <c r="AL81" s="23">
        <f t="shared" si="24"/>
        <v>0</v>
      </c>
      <c r="AM81" s="23">
        <f t="shared" si="25"/>
        <v>0</v>
      </c>
      <c r="AN81" s="23" t="str">
        <f t="shared" si="26"/>
        <v/>
      </c>
      <c r="AO81" s="23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3</v>
      </c>
      <c r="AS81" t="str">
        <f t="shared" si="31"/>
        <v>库存为3</v>
      </c>
      <c r="AT81" s="2" t="str">
        <f>IFERROR(时间!$B$4+AS81,"上周无销量")</f>
        <v>上周无销量</v>
      </c>
    </row>
    <row r="82" spans="1:46">
      <c r="A82" t="s">
        <v>414</v>
      </c>
      <c r="B82" s="5">
        <f>SUMIF('库存（子SKU）'!$C:$C,$A82,'库存（子SKU）'!D:D)</f>
        <v>9</v>
      </c>
      <c r="C82" s="5">
        <f>SUMIF('库存（子SKU）'!$C:$C,$A82,'库存（子SKU）'!E:E)</f>
        <v>5</v>
      </c>
      <c r="D82" s="5">
        <f>SUMIF('库存（子SKU）'!$C:$C,$A82,'库存（子SKU）'!F:F)</f>
        <v>2</v>
      </c>
      <c r="E82" s="5">
        <f>SUMIF('库存（子SKU）'!$C:$C,$A82,'库存（子SKU）'!G:G)</f>
        <v>1</v>
      </c>
      <c r="F82" s="6">
        <v>108.99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1</v>
      </c>
      <c r="K82">
        <f t="shared" si="19"/>
        <v>5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24766</v>
      </c>
      <c r="O82">
        <f>SUMIF('库存（子SKU）'!$C:$C,$A82,'库存（子SKU）'!Q:Q)</f>
        <v>20220</v>
      </c>
      <c r="P82">
        <f>SUMIF('库存（子SKU）'!$C:$C,$A82,'库存（子SKU）'!R:R)</f>
        <v>9021</v>
      </c>
      <c r="Q82">
        <f>SUMIF('库存（子SKU）'!$C:$C,$A82,'库存（子SKU）'!S:S)</f>
        <v>10190</v>
      </c>
      <c r="R82">
        <f>SUMIF('库存（子SKU）'!$C:$C,$A82,'库存（子SKU）'!T:T)</f>
        <v>107</v>
      </c>
      <c r="S82">
        <f>SUMIF('库存（子SKU）'!$C:$C,$A82,'库存（子SKU）'!U:U)</f>
        <v>49</v>
      </c>
      <c r="T82">
        <f>SUMIF('库存（子SKU）'!$C:$C,$A82,'库存（子SKU）'!V:V)</f>
        <v>29</v>
      </c>
      <c r="U82">
        <f>SUMIF('库存（子SKU）'!$C:$C,$A82,'库存（子SKU）'!W:W)</f>
        <v>59</v>
      </c>
      <c r="V82" s="23">
        <f t="shared" si="32"/>
        <v>0.00432043931195995</v>
      </c>
      <c r="W82" s="23">
        <f t="shared" si="33"/>
        <v>0.00242334322453017</v>
      </c>
      <c r="X82" s="23">
        <f t="shared" si="34"/>
        <v>0.00321472120607471</v>
      </c>
      <c r="Y82" s="23">
        <f t="shared" si="35"/>
        <v>0.00578999018645731</v>
      </c>
      <c r="Z82">
        <f>SUMIF('库存（子SKU）'!$C:$C,$A82,'库存（子SKU）'!AB:AB)</f>
        <v>16.71</v>
      </c>
      <c r="AA82">
        <f>SUMIF('库存（子SKU）'!$C:$C,$A82,'库存（子SKU）'!AC:AC)</f>
        <v>6.97</v>
      </c>
      <c r="AB82">
        <f>SUMIF('库存（子SKU）'!$C:$C,$A82,'库存（子SKU）'!AD:AD)</f>
        <v>4.02</v>
      </c>
      <c r="AC82">
        <f>SUMIF('库存（子SKU）'!$C:$C,$A82,'库存（子SKU）'!AE:AE)</f>
        <v>11.27</v>
      </c>
      <c r="AD82" s="23">
        <f t="shared" si="20"/>
        <v>0.0170352020063003</v>
      </c>
      <c r="AE82" s="23">
        <f t="shared" si="21"/>
        <v>0.0127901642352509</v>
      </c>
      <c r="AF82" s="23">
        <f t="shared" si="22"/>
        <v>0.0184420589044866</v>
      </c>
      <c r="AG82" s="23">
        <f t="shared" si="23"/>
        <v>0.103403982016699</v>
      </c>
      <c r="AH82">
        <f>SUMIF('库存（子SKU）'!$C:$C,$A82,'库存（子SKU）'!AJ:AJ)</f>
        <v>190</v>
      </c>
      <c r="AI82">
        <f>SUMIF('库存（子SKU）'!$C:$C,$A82,'库存（子SKU）'!AK:AK)</f>
        <v>120</v>
      </c>
      <c r="AJ82">
        <f>SUMIF('库存（子SKU）'!$C:$C,$A82,'库存（子SKU）'!AL:AL)</f>
        <v>59</v>
      </c>
      <c r="AK82">
        <f>SUMIF('库存（子SKU）'!$C:$C,$A82,'库存（子SKU）'!AM:AM)</f>
        <v>75</v>
      </c>
      <c r="AL82" s="23">
        <f t="shared" si="24"/>
        <v>0.0473684210526316</v>
      </c>
      <c r="AM82" s="23">
        <f t="shared" si="25"/>
        <v>0.0416666666666667</v>
      </c>
      <c r="AN82" s="23">
        <f t="shared" si="26"/>
        <v>0.0338983050847458</v>
      </c>
      <c r="AO82" s="23">
        <f t="shared" si="27"/>
        <v>0.0133333333333333</v>
      </c>
      <c r="AP82" s="7">
        <f t="shared" si="28"/>
        <v>1.28571428571429</v>
      </c>
      <c r="AQ82" s="7">
        <f t="shared" si="29"/>
        <v>77.1428571428572</v>
      </c>
      <c r="AR82" s="7">
        <f t="shared" si="30"/>
        <v>-72.1428571428572</v>
      </c>
      <c r="AS82">
        <f t="shared" si="31"/>
        <v>3</v>
      </c>
      <c r="AT82" s="2">
        <f>IFERROR(时间!$B$4+AS82,"上周无销量")</f>
        <v>43300</v>
      </c>
    </row>
    <row r="83" spans="1:46">
      <c r="A83" t="s">
        <v>417</v>
      </c>
      <c r="B83" s="5">
        <f>SUMIF('库存（子SKU）'!$C:$C,$A83,'库存（子SKU）'!D:D)</f>
        <v>1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>
        <v>108.99</v>
      </c>
      <c r="G83">
        <f>SUMIF('库存（子SKU）'!$C:$C,$A83,'库存（子SKU）'!I:I)</f>
        <v>6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6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27938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105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>
        <f t="shared" si="32"/>
        <v>0.00375832199871143</v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16.87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0.154784842646114</v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101</v>
      </c>
      <c r="AI83">
        <f>SUMIF('库存（子SKU）'!$C:$C,$A83,'库存（子SKU）'!AK:AK)</f>
        <v>17</v>
      </c>
      <c r="AJ83">
        <f>SUMIF('库存（子SKU）'!$C:$C,$A83,'库存（子SKU）'!AL:AL)</f>
        <v>9</v>
      </c>
      <c r="AK83">
        <f>SUMIF('库存（子SKU）'!$C:$C,$A83,'库存（子SKU）'!AM:AM)</f>
        <v>0</v>
      </c>
      <c r="AL83" s="23">
        <f t="shared" si="24"/>
        <v>0.0099009900990099</v>
      </c>
      <c r="AM83" s="23">
        <f t="shared" si="25"/>
        <v>0</v>
      </c>
      <c r="AN83" s="23">
        <f t="shared" si="26"/>
        <v>0</v>
      </c>
      <c r="AO83" s="23" t="str">
        <f t="shared" si="27"/>
        <v/>
      </c>
      <c r="AP83" s="7">
        <f t="shared" si="28"/>
        <v>0.142857142857143</v>
      </c>
      <c r="AQ83" s="7">
        <f t="shared" si="29"/>
        <v>8.57142857142857</v>
      </c>
      <c r="AR83" s="7">
        <f t="shared" si="30"/>
        <v>-2.57142857142857</v>
      </c>
      <c r="AS83">
        <f t="shared" si="31"/>
        <v>42</v>
      </c>
      <c r="AT83" s="2">
        <f>IFERROR(时间!$B$4+AS83,"上周无销量")</f>
        <v>43339</v>
      </c>
    </row>
    <row r="84" spans="1:46">
      <c r="A84" t="s">
        <v>420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57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423</v>
      </c>
      <c r="B85" s="5">
        <f>SUMIF('库存（子SKU）'!$C:$C,$A85,'库存（子SKU）'!D:D)</f>
        <v>3</v>
      </c>
      <c r="C85" s="5">
        <f>SUMIF('库存（子SKU）'!$C:$C,$A85,'库存（子SKU）'!E:E)</f>
        <v>1</v>
      </c>
      <c r="D85" s="5">
        <f>SUMIF('库存（子SKU）'!$C:$C,$A85,'库存（子SKU）'!F:F)</f>
        <v>5</v>
      </c>
      <c r="E85" s="5">
        <f>SUMIF('库存（子SKU）'!$C:$C,$A85,'库存（子SKU）'!G:G)</f>
        <v>2</v>
      </c>
      <c r="F85" s="6">
        <v>89.99</v>
      </c>
      <c r="G85">
        <f>SUMIF('库存（子SKU）'!$C:$C,$A85,'库存（子SKU）'!I:I)</f>
        <v>12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4</v>
      </c>
      <c r="K85">
        <f t="shared" si="19"/>
        <v>16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>
        <f t="shared" si="20"/>
        <v>0</v>
      </c>
      <c r="AE85" s="23">
        <f t="shared" si="21"/>
        <v>0</v>
      </c>
      <c r="AF85" s="23">
        <f t="shared" si="22"/>
        <v>0</v>
      </c>
      <c r="AG85" s="23">
        <f t="shared" si="23"/>
        <v>0</v>
      </c>
      <c r="AH85">
        <f>SUMIF('库存（子SKU）'!$C:$C,$A85,'库存（子SKU）'!AJ:AJ)</f>
        <v>100</v>
      </c>
      <c r="AI85">
        <f>SUMIF('库存（子SKU）'!$C:$C,$A85,'库存（子SKU）'!AK:AK)</f>
        <v>81</v>
      </c>
      <c r="AJ85">
        <f>SUMIF('库存（子SKU）'!$C:$C,$A85,'库存（子SKU）'!AL:AL)</f>
        <v>82</v>
      </c>
      <c r="AK85">
        <f>SUMIF('库存（子SKU）'!$C:$C,$A85,'库存（子SKU）'!AM:AM)</f>
        <v>47</v>
      </c>
      <c r="AL85" s="23">
        <f t="shared" si="24"/>
        <v>0.03</v>
      </c>
      <c r="AM85" s="23">
        <f t="shared" si="25"/>
        <v>0.0123456790123457</v>
      </c>
      <c r="AN85" s="23">
        <f t="shared" si="26"/>
        <v>0.0609756097560976</v>
      </c>
      <c r="AO85" s="23">
        <f t="shared" si="27"/>
        <v>0.0425531914893617</v>
      </c>
      <c r="AP85" s="7">
        <f t="shared" si="28"/>
        <v>0.428571428571429</v>
      </c>
      <c r="AQ85" s="7">
        <f t="shared" si="29"/>
        <v>25.7142857142857</v>
      </c>
      <c r="AR85" s="7">
        <f t="shared" si="30"/>
        <v>-9.71428571428571</v>
      </c>
      <c r="AS85">
        <f t="shared" si="31"/>
        <v>37</v>
      </c>
      <c r="AT85" s="2">
        <f>IFERROR(时间!$B$4+AS85,"上周无销量")</f>
        <v>43334</v>
      </c>
    </row>
    <row r="86" spans="1:46">
      <c r="A86" t="s">
        <v>426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57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33</v>
      </c>
      <c r="AI86">
        <f>SUMIF('库存（子SKU）'!$C:$C,$A86,'库存（子SKU）'!AK:AK)</f>
        <v>12</v>
      </c>
      <c r="AJ86">
        <f>SUMIF('库存（子SKU）'!$C:$C,$A86,'库存（子SKU）'!AL:AL)</f>
        <v>21</v>
      </c>
      <c r="AK86">
        <f>SUMIF('库存（子SKU）'!$C:$C,$A86,'库存（子SKU）'!AM:AM)</f>
        <v>29</v>
      </c>
      <c r="AL86" s="23">
        <f t="shared" si="24"/>
        <v>0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429</v>
      </c>
      <c r="B87" s="5">
        <f>SUMIF('库存（子SKU）'!$C:$C,$A87,'库存（子SKU）'!D:D)</f>
        <v>0</v>
      </c>
      <c r="C87" s="5">
        <f>SUMIF('库存（子SKU）'!$C:$C,$A87,'库存（子SKU）'!E:E)</f>
        <v>1</v>
      </c>
      <c r="D87" s="5">
        <f>SUMIF('库存（子SKU）'!$C:$C,$A87,'库存（子SKU）'!F:F)</f>
        <v>1</v>
      </c>
      <c r="E87" s="5">
        <f>SUMIF('库存（子SKU）'!$C:$C,$A87,'库存（子SKU）'!G:G)</f>
        <v>0</v>
      </c>
      <c r="F87" s="6">
        <v>106.99</v>
      </c>
      <c r="G87">
        <f>SUMIF('库存（子SKU）'!$C:$C,$A87,'库存（子SKU）'!I:I)</f>
        <v>19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19</v>
      </c>
      <c r="L87">
        <f>SUMIF('库存（子SKU）'!$C:$C,$A87,'库存（子SKU）'!N:N)</f>
        <v>0</v>
      </c>
      <c r="M87">
        <f>SUMIF('库存（子SKU）'!$C:$C,$A87,'库存（子SKU）'!O:O)</f>
        <v>8</v>
      </c>
      <c r="N87">
        <f>SUMIF('库存（子SKU）'!$C:$C,$A87,'库存（子SKU）'!P:P)</f>
        <v>4</v>
      </c>
      <c r="O87">
        <f>SUMIF('库存（子SKU）'!$C:$C,$A87,'库存（子SKU）'!Q:Q)</f>
        <v>0</v>
      </c>
      <c r="P87">
        <f>SUMIF('库存（子SKU）'!$C:$C,$A87,'库存（子SKU）'!R:R)</f>
        <v>4</v>
      </c>
      <c r="Q87">
        <f>SUMIF('库存（子SKU）'!$C:$C,$A87,'库存（子SKU）'!S:S)</f>
        <v>2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>
        <f t="shared" si="32"/>
        <v>0</v>
      </c>
      <c r="W87" s="23" t="str">
        <f t="shared" si="33"/>
        <v/>
      </c>
      <c r="X87" s="23">
        <f t="shared" si="34"/>
        <v>0</v>
      </c>
      <c r="Y87" s="23">
        <f t="shared" si="35"/>
        <v>0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>
        <f t="shared" si="21"/>
        <v>0</v>
      </c>
      <c r="AF87" s="23">
        <f t="shared" si="22"/>
        <v>0</v>
      </c>
      <c r="AG87" s="23" t="str">
        <f t="shared" si="23"/>
        <v/>
      </c>
      <c r="AH87">
        <f>SUMIF('库存（子SKU）'!$C:$C,$A87,'库存（子SKU）'!AJ:AJ)</f>
        <v>109</v>
      </c>
      <c r="AI87">
        <f>SUMIF('库存（子SKU）'!$C:$C,$A87,'库存（子SKU）'!AK:AK)</f>
        <v>130</v>
      </c>
      <c r="AJ87">
        <f>SUMIF('库存（子SKU）'!$C:$C,$A87,'库存（子SKU）'!AL:AL)</f>
        <v>104</v>
      </c>
      <c r="AK87">
        <f>SUMIF('库存（子SKU）'!$C:$C,$A87,'库存（子SKU）'!AM:AM)</f>
        <v>106</v>
      </c>
      <c r="AL87" s="23">
        <f t="shared" si="24"/>
        <v>0</v>
      </c>
      <c r="AM87" s="23">
        <f t="shared" si="25"/>
        <v>0.00769230769230769</v>
      </c>
      <c r="AN87" s="23">
        <f t="shared" si="26"/>
        <v>0.00961538461538462</v>
      </c>
      <c r="AO87" s="23">
        <f t="shared" si="27"/>
        <v>0</v>
      </c>
      <c r="AP87" s="7">
        <f t="shared" si="28"/>
        <v>0</v>
      </c>
      <c r="AQ87" s="7">
        <f t="shared" si="29"/>
        <v>0</v>
      </c>
      <c r="AR87" s="7">
        <f t="shared" si="30"/>
        <v>19</v>
      </c>
      <c r="AS87" t="str">
        <f t="shared" si="31"/>
        <v>库存为19</v>
      </c>
      <c r="AT87" s="2" t="str">
        <f>IFERROR(时间!$B$4+AS87,"上周无销量")</f>
        <v>上周无销量</v>
      </c>
    </row>
    <row r="88" spans="1:46">
      <c r="A88" t="s">
        <v>434</v>
      </c>
      <c r="B88" s="5">
        <f>SUMIF('库存（子SKU）'!$C:$C,$A88,'库存（子SKU）'!D:D)</f>
        <v>4</v>
      </c>
      <c r="C88" s="5">
        <f>SUMIF('库存（子SKU）'!$C:$C,$A88,'库存（子SKU）'!E:E)</f>
        <v>6</v>
      </c>
      <c r="D88" s="5">
        <f>SUMIF('库存（子SKU）'!$C:$C,$A88,'库存（子SKU）'!F:F)</f>
        <v>4</v>
      </c>
      <c r="E88" s="5">
        <f>SUMIF('库存（子SKU）'!$C:$C,$A88,'库存（子SKU）'!G:G)</f>
        <v>3</v>
      </c>
      <c r="F88" s="6">
        <v>32.99</v>
      </c>
      <c r="G88">
        <f>SUMIF('库存（子SKU）'!$C:$C,$A88,'库存（子SKU）'!I:I)</f>
        <v>29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29</v>
      </c>
      <c r="L88">
        <f>SUMIF('库存（子SKU）'!$C:$C,$A88,'库存（子SKU）'!N:N)</f>
        <v>0</v>
      </c>
      <c r="M88">
        <f>SUMIF('库存（子SKU）'!$C:$C,$A88,'库存（子SKU）'!O:O)</f>
        <v>13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>
        <f t="shared" si="20"/>
        <v>0</v>
      </c>
      <c r="AE88" s="23">
        <f t="shared" si="21"/>
        <v>0</v>
      </c>
      <c r="AF88" s="23">
        <f t="shared" si="22"/>
        <v>0</v>
      </c>
      <c r="AG88" s="23">
        <f t="shared" si="23"/>
        <v>0</v>
      </c>
      <c r="AH88">
        <f>SUMIF('库存（子SKU）'!$C:$C,$A88,'库存（子SKU）'!AJ:AJ)</f>
        <v>242</v>
      </c>
      <c r="AI88">
        <f>SUMIF('库存（子SKU）'!$C:$C,$A88,'库存（子SKU）'!AK:AK)</f>
        <v>184</v>
      </c>
      <c r="AJ88">
        <f>SUMIF('库存（子SKU）'!$C:$C,$A88,'库存（子SKU）'!AL:AL)</f>
        <v>249</v>
      </c>
      <c r="AK88">
        <f>SUMIF('库存（子SKU）'!$C:$C,$A88,'库存（子SKU）'!AM:AM)</f>
        <v>168</v>
      </c>
      <c r="AL88" s="23">
        <f t="shared" si="24"/>
        <v>0.0165289256198347</v>
      </c>
      <c r="AM88" s="23">
        <f t="shared" si="25"/>
        <v>0.0326086956521739</v>
      </c>
      <c r="AN88" s="23">
        <f t="shared" si="26"/>
        <v>0.0160642570281124</v>
      </c>
      <c r="AO88" s="23">
        <f t="shared" si="27"/>
        <v>0.0178571428571429</v>
      </c>
      <c r="AP88" s="7">
        <f t="shared" si="28"/>
        <v>0.571428571428571</v>
      </c>
      <c r="AQ88" s="7">
        <f t="shared" si="29"/>
        <v>34.2857142857143</v>
      </c>
      <c r="AR88" s="7">
        <f t="shared" si="30"/>
        <v>-5.28571428571428</v>
      </c>
      <c r="AS88">
        <f t="shared" si="31"/>
        <v>50</v>
      </c>
      <c r="AT88" s="2">
        <f>IFERROR(时间!$B$4+AS88,"上周无销量")</f>
        <v>43347</v>
      </c>
    </row>
    <row r="89" spans="1:46">
      <c r="A89" t="s">
        <v>440</v>
      </c>
      <c r="B89" s="5">
        <f>SUMIF('库存（子SKU）'!$C:$C,$A89,'库存（子SKU）'!D:D)</f>
        <v>3</v>
      </c>
      <c r="C89" s="5">
        <f>SUMIF('库存（子SKU）'!$C:$C,$A89,'库存（子SKU）'!E:E)</f>
        <v>2</v>
      </c>
      <c r="D89" s="5">
        <f>SUMIF('库存（子SKU）'!$C:$C,$A89,'库存（子SKU）'!F:F)</f>
        <v>2</v>
      </c>
      <c r="E89" s="5">
        <f>SUMIF('库存（子SKU）'!$C:$C,$A89,'库存（子SKU）'!G:G)</f>
        <v>0</v>
      </c>
      <c r="F89" s="6">
        <v>26.99</v>
      </c>
      <c r="G89">
        <f>SUMIF('库存（子SKU）'!$C:$C,$A89,'库存（子SKU）'!I:I)</f>
        <v>9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9</v>
      </c>
      <c r="L89">
        <f>SUMIF('库存（子SKU）'!$C:$C,$A89,'库存（子SKU）'!N:N)</f>
        <v>0</v>
      </c>
      <c r="M89">
        <f>SUMIF('库存（子SKU）'!$C:$C,$A89,'库存（子SKU）'!O:O)</f>
        <v>6</v>
      </c>
      <c r="N89">
        <f>SUMIF('库存（子SKU）'!$C:$C,$A89,'库存（子SKU）'!P:P)</f>
        <v>0</v>
      </c>
      <c r="O89">
        <f>SUMIF('库存（子SKU）'!$C:$C,$A89,'库存（子SKU）'!Q:Q)</f>
        <v>9719</v>
      </c>
      <c r="P89">
        <f>SUMIF('库存（子SKU）'!$C:$C,$A89,'库存（子SKU）'!R:R)</f>
        <v>84141</v>
      </c>
      <c r="Q89">
        <f>SUMIF('库存（子SKU）'!$C:$C,$A89,'库存（子SKU）'!S:S)</f>
        <v>56796</v>
      </c>
      <c r="R89">
        <f>SUMIF('库存（子SKU）'!$C:$C,$A89,'库存（子SKU）'!T:T)</f>
        <v>0</v>
      </c>
      <c r="S89">
        <f>SUMIF('库存（子SKU）'!$C:$C,$A89,'库存（子SKU）'!U:U)</f>
        <v>58</v>
      </c>
      <c r="T89">
        <f>SUMIF('库存（子SKU）'!$C:$C,$A89,'库存（子SKU）'!V:V)</f>
        <v>374</v>
      </c>
      <c r="U89">
        <f>SUMIF('库存（子SKU）'!$C:$C,$A89,'库存（子SKU）'!W:W)</f>
        <v>242</v>
      </c>
      <c r="V89" s="23" t="str">
        <f t="shared" si="32"/>
        <v/>
      </c>
      <c r="W89" s="23">
        <f t="shared" si="33"/>
        <v>0.00596769214939809</v>
      </c>
      <c r="X89" s="23">
        <f t="shared" si="34"/>
        <v>0.00444491983694037</v>
      </c>
      <c r="Y89" s="23">
        <f t="shared" si="35"/>
        <v>0.0042608634410874</v>
      </c>
      <c r="Z89">
        <f>SUMIF('库存（子SKU）'!$C:$C,$A89,'库存（子SKU）'!AB:AB)</f>
        <v>0</v>
      </c>
      <c r="AA89">
        <f>SUMIF('库存（子SKU）'!$C:$C,$A89,'库存（子SKU）'!AC:AC)</f>
        <v>10.13</v>
      </c>
      <c r="AB89">
        <f>SUMIF('库存（子SKU）'!$C:$C,$A89,'库存（子SKU）'!AD:AD)</f>
        <v>65.2</v>
      </c>
      <c r="AC89">
        <f>SUMIF('库存（子SKU）'!$C:$C,$A89,'库存（子SKU）'!AE:AE)</f>
        <v>42.21</v>
      </c>
      <c r="AD89" s="23">
        <f t="shared" si="20"/>
        <v>0</v>
      </c>
      <c r="AE89" s="23">
        <f t="shared" si="21"/>
        <v>0.18766209707299</v>
      </c>
      <c r="AF89" s="23">
        <f t="shared" si="22"/>
        <v>1.2078547610226</v>
      </c>
      <c r="AG89" s="23" t="str">
        <f t="shared" si="23"/>
        <v>无销量广告费为42.21</v>
      </c>
      <c r="AH89">
        <f>SUMIF('库存（子SKU）'!$C:$C,$A89,'库存（子SKU）'!AJ:AJ)</f>
        <v>107</v>
      </c>
      <c r="AI89">
        <f>SUMIF('库存（子SKU）'!$C:$C,$A89,'库存（子SKU）'!AK:AK)</f>
        <v>100</v>
      </c>
      <c r="AJ89">
        <f>SUMIF('库存（子SKU）'!$C:$C,$A89,'库存（子SKU）'!AL:AL)</f>
        <v>287</v>
      </c>
      <c r="AK89">
        <f>SUMIF('库存（子SKU）'!$C:$C,$A89,'库存（子SKU）'!AM:AM)</f>
        <v>216</v>
      </c>
      <c r="AL89" s="23">
        <f t="shared" si="24"/>
        <v>0.0280373831775701</v>
      </c>
      <c r="AM89" s="23">
        <f t="shared" si="25"/>
        <v>0.02</v>
      </c>
      <c r="AN89" s="23">
        <f t="shared" si="26"/>
        <v>0.00696864111498258</v>
      </c>
      <c r="AO89" s="23">
        <f t="shared" si="27"/>
        <v>0</v>
      </c>
      <c r="AP89" s="7">
        <f t="shared" si="28"/>
        <v>0.428571428571429</v>
      </c>
      <c r="AQ89" s="7">
        <f t="shared" si="29"/>
        <v>25.7142857142857</v>
      </c>
      <c r="AR89" s="7">
        <f t="shared" si="30"/>
        <v>-16.7142857142857</v>
      </c>
      <c r="AS89">
        <f t="shared" si="31"/>
        <v>21</v>
      </c>
      <c r="AT89" s="2">
        <f>IFERROR(时间!$B$4+AS89,"上周无销量")</f>
        <v>43318</v>
      </c>
    </row>
    <row r="90" spans="1:46">
      <c r="A90" t="s">
        <v>444</v>
      </c>
      <c r="B90" s="5">
        <f>SUMIF('库存（子SKU）'!$C:$C,$A90,'库存（子SKU）'!D:D)</f>
        <v>3</v>
      </c>
      <c r="C90" s="5">
        <f>SUMIF('库存（子SKU）'!$C:$C,$A90,'库存（子SKU）'!E:E)</f>
        <v>4</v>
      </c>
      <c r="D90" s="5">
        <f>SUMIF('库存（子SKU）'!$C:$C,$A90,'库存（子SKU）'!F:F)</f>
        <v>6</v>
      </c>
      <c r="E90" s="5">
        <f>SUMIF('库存（子SKU）'!$C:$C,$A90,'库存（子SKU）'!G:G)</f>
        <v>4</v>
      </c>
      <c r="F90" s="6">
        <v>27.1664705882353</v>
      </c>
      <c r="G90">
        <f>SUMIF('库存（子SKU）'!$C:$C,$A90,'库存（子SKU）'!I:I)</f>
        <v>37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37</v>
      </c>
      <c r="L90">
        <f>SUMIF('库存（子SKU）'!$C:$C,$A90,'库存（子SKU）'!N:N)</f>
        <v>0</v>
      </c>
      <c r="M90">
        <f>SUMIF('库存（子SKU）'!$C:$C,$A90,'库存（子SKU）'!O:O)</f>
        <v>16</v>
      </c>
      <c r="N90">
        <f>SUMIF('库存（子SKU）'!$C:$C,$A90,'库存（子SKU）'!P:P)</f>
        <v>0</v>
      </c>
      <c r="O90">
        <f>SUMIF('库存（子SKU）'!$C:$C,$A90,'库存（子SKU）'!Q:Q)</f>
        <v>7461</v>
      </c>
      <c r="P90">
        <f>SUMIF('库存（子SKU）'!$C:$C,$A90,'库存（子SKU）'!R:R)</f>
        <v>55106</v>
      </c>
      <c r="Q90">
        <f>SUMIF('库存（子SKU）'!$C:$C,$A90,'库存（子SKU）'!S:S)</f>
        <v>26899</v>
      </c>
      <c r="R90">
        <f>SUMIF('库存（子SKU）'!$C:$C,$A90,'库存（子SKU）'!T:T)</f>
        <v>0</v>
      </c>
      <c r="S90">
        <f>SUMIF('库存（子SKU）'!$C:$C,$A90,'库存（子SKU）'!U:U)</f>
        <v>46</v>
      </c>
      <c r="T90">
        <f>SUMIF('库存（子SKU）'!$C:$C,$A90,'库存（子SKU）'!V:V)</f>
        <v>305</v>
      </c>
      <c r="U90">
        <f>SUMIF('库存（子SKU）'!$C:$C,$A90,'库存（子SKU）'!W:W)</f>
        <v>278</v>
      </c>
      <c r="V90" s="23" t="str">
        <f t="shared" si="32"/>
        <v/>
      </c>
      <c r="W90" s="23">
        <f t="shared" si="33"/>
        <v>0.00616539337890363</v>
      </c>
      <c r="X90" s="23">
        <f t="shared" si="34"/>
        <v>0.00553478750045367</v>
      </c>
      <c r="Y90" s="23">
        <f t="shared" si="35"/>
        <v>0.0103349566898398</v>
      </c>
      <c r="Z90">
        <f>SUMIF('库存（子SKU）'!$C:$C,$A90,'库存（子SKU）'!AB:AB)</f>
        <v>0</v>
      </c>
      <c r="AA90">
        <f>SUMIF('库存（子SKU）'!$C:$C,$A90,'库存（子SKU）'!AC:AC)</f>
        <v>8.01</v>
      </c>
      <c r="AB90">
        <f>SUMIF('库存（子SKU）'!$C:$C,$A90,'库存（子SKU）'!AD:AD)</f>
        <v>52.42</v>
      </c>
      <c r="AC90">
        <f>SUMIF('库存（子SKU）'!$C:$C,$A90,'库存（子SKU）'!AE:AE)</f>
        <v>49.92</v>
      </c>
      <c r="AD90" s="23">
        <f t="shared" si="20"/>
        <v>0</v>
      </c>
      <c r="AE90" s="23">
        <f t="shared" si="21"/>
        <v>0.0737121884676179</v>
      </c>
      <c r="AF90" s="23">
        <f t="shared" si="22"/>
        <v>0.321597413189557</v>
      </c>
      <c r="AG90" s="23">
        <f t="shared" si="23"/>
        <v>0.45938981876448</v>
      </c>
      <c r="AH90">
        <f>SUMIF('库存（子SKU）'!$C:$C,$A90,'库存（子SKU）'!AJ:AJ)</f>
        <v>201</v>
      </c>
      <c r="AI90">
        <f>SUMIF('库存（子SKU）'!$C:$C,$A90,'库存（子SKU）'!AK:AK)</f>
        <v>207</v>
      </c>
      <c r="AJ90">
        <f>SUMIF('库存（子SKU）'!$C:$C,$A90,'库存（子SKU）'!AL:AL)</f>
        <v>453</v>
      </c>
      <c r="AK90">
        <f>SUMIF('库存（子SKU）'!$C:$C,$A90,'库存（子SKU）'!AM:AM)</f>
        <v>295</v>
      </c>
      <c r="AL90" s="23">
        <f t="shared" si="24"/>
        <v>0.0149253731343284</v>
      </c>
      <c r="AM90" s="23">
        <f t="shared" si="25"/>
        <v>0.0193236714975845</v>
      </c>
      <c r="AN90" s="23">
        <f t="shared" si="26"/>
        <v>0.0132450331125828</v>
      </c>
      <c r="AO90" s="23">
        <f t="shared" si="27"/>
        <v>0.0135593220338983</v>
      </c>
      <c r="AP90" s="7">
        <f t="shared" si="28"/>
        <v>0.428571428571429</v>
      </c>
      <c r="AQ90" s="7">
        <f t="shared" si="29"/>
        <v>25.7142857142857</v>
      </c>
      <c r="AR90" s="7">
        <f t="shared" si="30"/>
        <v>11.2857142857143</v>
      </c>
      <c r="AS90">
        <f t="shared" si="31"/>
        <v>86</v>
      </c>
      <c r="AT90" s="2">
        <f>IFERROR(时间!$B$4+AS90,"上周无销量")</f>
        <v>43383</v>
      </c>
    </row>
    <row r="91" spans="1:46">
      <c r="A91" t="s">
        <v>449</v>
      </c>
      <c r="B91" s="5">
        <f>SUMIF('库存（子SKU）'!$C:$C,$A91,'库存（子SKU）'!D:D)</f>
        <v>1</v>
      </c>
      <c r="C91" s="5">
        <f>SUMIF('库存（子SKU）'!$C:$C,$A91,'库存（子SKU）'!E:E)</f>
        <v>1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79.99</v>
      </c>
      <c r="G91">
        <f>SUMIF('库存（子SKU）'!$C:$C,$A91,'库存（子SKU）'!I:I)</f>
        <v>25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25</v>
      </c>
      <c r="L91">
        <f>SUMIF('库存（子SKU）'!$C:$C,$A91,'库存（子SKU）'!N:N)</f>
        <v>0</v>
      </c>
      <c r="M91">
        <f>SUMIF('库存（子SKU）'!$C:$C,$A91,'库存（子SKU）'!O:O)</f>
        <v>25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>
        <f t="shared" si="20"/>
        <v>0</v>
      </c>
      <c r="AE91" s="23">
        <f t="shared" si="21"/>
        <v>0</v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113</v>
      </c>
      <c r="AI91">
        <f>SUMIF('库存（子SKU）'!$C:$C,$A91,'库存（子SKU）'!AK:AK)</f>
        <v>52</v>
      </c>
      <c r="AJ91">
        <f>SUMIF('库存（子SKU）'!$C:$C,$A91,'库存（子SKU）'!AL:AL)</f>
        <v>33</v>
      </c>
      <c r="AK91">
        <f>SUMIF('库存（子SKU）'!$C:$C,$A91,'库存（子SKU）'!AM:AM)</f>
        <v>58</v>
      </c>
      <c r="AL91" s="23">
        <f t="shared" si="24"/>
        <v>0.00884955752212389</v>
      </c>
      <c r="AM91" s="23">
        <f t="shared" si="25"/>
        <v>0.0192307692307692</v>
      </c>
      <c r="AN91" s="23">
        <f t="shared" si="26"/>
        <v>0</v>
      </c>
      <c r="AO91" s="23">
        <f t="shared" si="27"/>
        <v>0</v>
      </c>
      <c r="AP91" s="7">
        <f t="shared" si="28"/>
        <v>0.142857142857143</v>
      </c>
      <c r="AQ91" s="7">
        <f t="shared" si="29"/>
        <v>8.57142857142857</v>
      </c>
      <c r="AR91" s="7">
        <f t="shared" si="30"/>
        <v>16.4285714285714</v>
      </c>
      <c r="AS91">
        <f t="shared" si="31"/>
        <v>175</v>
      </c>
      <c r="AT91" s="2">
        <f>IFERROR(时间!$B$4+AS91,"上周无销量")</f>
        <v>43472</v>
      </c>
    </row>
    <row r="92" spans="1:46">
      <c r="A92" t="s">
        <v>454</v>
      </c>
      <c r="B92" s="5">
        <f>SUMIF('库存（子SKU）'!$C:$C,$A92,'库存（子SKU）'!D:D)</f>
        <v>1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3</v>
      </c>
      <c r="F92" s="6">
        <v>89.6</v>
      </c>
      <c r="G92">
        <f>SUMIF('库存（子SKU）'!$C:$C,$A92,'库存（子SKU）'!I:I)</f>
        <v>2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4</v>
      </c>
      <c r="K92">
        <f t="shared" si="19"/>
        <v>6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6349</v>
      </c>
      <c r="P92">
        <f>SUMIF('库存（子SKU）'!$C:$C,$A92,'库存（子SKU）'!R:R)</f>
        <v>20591</v>
      </c>
      <c r="Q92">
        <f>SUMIF('库存（子SKU）'!$C:$C,$A92,'库存（子SKU）'!S:S)</f>
        <v>8072</v>
      </c>
      <c r="R92">
        <f>SUMIF('库存（子SKU）'!$C:$C,$A92,'库存（子SKU）'!T:T)</f>
        <v>0</v>
      </c>
      <c r="S92">
        <f>SUMIF('库存（子SKU）'!$C:$C,$A92,'库存（子SKU）'!U:U)</f>
        <v>67</v>
      </c>
      <c r="T92">
        <f>SUMIF('库存（子SKU）'!$C:$C,$A92,'库存（子SKU）'!V:V)</f>
        <v>225</v>
      </c>
      <c r="U92">
        <f>SUMIF('库存（子SKU）'!$C:$C,$A92,'库存（子SKU）'!W:W)</f>
        <v>61</v>
      </c>
      <c r="V92" s="23" t="str">
        <f t="shared" si="32"/>
        <v/>
      </c>
      <c r="W92" s="23">
        <f t="shared" si="33"/>
        <v>0.0105528429673964</v>
      </c>
      <c r="X92" s="23">
        <f t="shared" si="34"/>
        <v>0.0109271040745957</v>
      </c>
      <c r="Y92" s="23">
        <f t="shared" si="35"/>
        <v>0.00755698711595639</v>
      </c>
      <c r="Z92">
        <f>SUMIF('库存（子SKU）'!$C:$C,$A92,'库存（子SKU）'!AB:AB)</f>
        <v>0</v>
      </c>
      <c r="AA92">
        <f>SUMIF('库存（子SKU）'!$C:$C,$A92,'库存（子SKU）'!AC:AC)</f>
        <v>8.88</v>
      </c>
      <c r="AB92">
        <f>SUMIF('库存（子SKU）'!$C:$C,$A92,'库存（子SKU）'!AD:AD)</f>
        <v>29.26</v>
      </c>
      <c r="AC92">
        <f>SUMIF('库存（子SKU）'!$C:$C,$A92,'库存（子SKU）'!AE:AE)</f>
        <v>8.21</v>
      </c>
      <c r="AD92" s="23">
        <f t="shared" si="20"/>
        <v>0</v>
      </c>
      <c r="AE92" s="23" t="str">
        <f t="shared" si="21"/>
        <v>无销量广告费为8.88</v>
      </c>
      <c r="AF92" s="23" t="str">
        <f t="shared" si="22"/>
        <v>无销量广告费为29.26</v>
      </c>
      <c r="AG92" s="23">
        <f t="shared" si="23"/>
        <v>0.0305431547619048</v>
      </c>
      <c r="AH92">
        <f>SUMIF('库存（子SKU）'!$C:$C,$A92,'库存（子SKU）'!AJ:AJ)</f>
        <v>32</v>
      </c>
      <c r="AI92">
        <f>SUMIF('库存（子SKU）'!$C:$C,$A92,'库存（子SKU）'!AK:AK)</f>
        <v>115</v>
      </c>
      <c r="AJ92">
        <f>SUMIF('库存（子SKU）'!$C:$C,$A92,'库存（子SKU）'!AL:AL)</f>
        <v>171</v>
      </c>
      <c r="AK92">
        <f>SUMIF('库存（子SKU）'!$C:$C,$A92,'库存（子SKU）'!AM:AM)</f>
        <v>70</v>
      </c>
      <c r="AL92" s="23">
        <f t="shared" si="24"/>
        <v>0.03125</v>
      </c>
      <c r="AM92" s="23">
        <f t="shared" si="25"/>
        <v>0</v>
      </c>
      <c r="AN92" s="23">
        <f t="shared" si="26"/>
        <v>0</v>
      </c>
      <c r="AO92" s="23">
        <f t="shared" si="27"/>
        <v>0.0428571428571429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-2.57142857142857</v>
      </c>
      <c r="AS92">
        <f t="shared" si="31"/>
        <v>42</v>
      </c>
      <c r="AT92" s="2">
        <f>IFERROR(时间!$B$4+AS92,"上周无销量")</f>
        <v>43339</v>
      </c>
    </row>
    <row r="93" spans="1:46">
      <c r="A93" t="s">
        <v>459</v>
      </c>
      <c r="B93" s="5">
        <f>SUMIF('库存（子SKU）'!$C:$C,$A93,'库存（子SKU）'!D:D)</f>
        <v>16</v>
      </c>
      <c r="C93" s="5">
        <f>SUMIF('库存（子SKU）'!$C:$C,$A93,'库存（子SKU）'!E:E)</f>
        <v>21</v>
      </c>
      <c r="D93" s="5">
        <f>SUMIF('库存（子SKU）'!$C:$C,$A93,'库存（子SKU）'!F:F)</f>
        <v>25</v>
      </c>
      <c r="E93" s="5">
        <f>SUMIF('库存（子SKU）'!$C:$C,$A93,'库存（子SKU）'!G:G)</f>
        <v>28</v>
      </c>
      <c r="F93" s="6">
        <v>98.9899999999999</v>
      </c>
      <c r="G93">
        <f>SUMIF('库存（子SKU）'!$C:$C,$A93,'库存（子SKU）'!I:I)</f>
        <v>226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226</v>
      </c>
      <c r="L93">
        <f>SUMIF('库存（子SKU）'!$C:$C,$A93,'库存（子SKU）'!N:N)</f>
        <v>6</v>
      </c>
      <c r="M93">
        <f>SUMIF('库存（子SKU）'!$C:$C,$A93,'库存（子SKU）'!O:O)</f>
        <v>0</v>
      </c>
      <c r="N93">
        <f>SUMIF('库存（子SKU）'!$C:$C,$A93,'库存（子SKU）'!P:P)</f>
        <v>99933</v>
      </c>
      <c r="O93">
        <f>SUMIF('库存（子SKU）'!$C:$C,$A93,'库存（子SKU）'!Q:Q)</f>
        <v>86912</v>
      </c>
      <c r="P93">
        <f>SUMIF('库存（子SKU）'!$C:$C,$A93,'库存（子SKU）'!R:R)</f>
        <v>45908</v>
      </c>
      <c r="Q93">
        <f>SUMIF('库存（子SKU）'!$C:$C,$A93,'库存（子SKU）'!S:S)</f>
        <v>61140</v>
      </c>
      <c r="R93">
        <f>SUMIF('库存（子SKU）'!$C:$C,$A93,'库存（子SKU）'!T:T)</f>
        <v>568</v>
      </c>
      <c r="S93">
        <f>SUMIF('库存（子SKU）'!$C:$C,$A93,'库存（子SKU）'!U:U)</f>
        <v>458</v>
      </c>
      <c r="T93">
        <f>SUMIF('库存（子SKU）'!$C:$C,$A93,'库存（子SKU）'!V:V)</f>
        <v>267</v>
      </c>
      <c r="U93">
        <f>SUMIF('库存（子SKU）'!$C:$C,$A93,'库存（子SKU）'!W:W)</f>
        <v>390</v>
      </c>
      <c r="V93" s="23">
        <f t="shared" si="32"/>
        <v>0.00568380815146148</v>
      </c>
      <c r="W93" s="23">
        <f t="shared" si="33"/>
        <v>0.00526969808541974</v>
      </c>
      <c r="X93" s="23">
        <f t="shared" si="34"/>
        <v>0.00581597978565827</v>
      </c>
      <c r="Y93" s="23">
        <f t="shared" si="35"/>
        <v>0.00637880274779195</v>
      </c>
      <c r="Z93">
        <f>SUMIF('库存（子SKU）'!$C:$C,$A93,'库存（子SKU）'!AB:AB)</f>
        <v>89.2</v>
      </c>
      <c r="AA93">
        <f>SUMIF('库存（子SKU）'!$C:$C,$A93,'库存（子SKU）'!AC:AC)</f>
        <v>72.5</v>
      </c>
      <c r="AB93">
        <f>SUMIF('库存（子SKU）'!$C:$C,$A93,'库存（子SKU）'!AD:AD)</f>
        <v>35.53</v>
      </c>
      <c r="AC93">
        <f>SUMIF('库存（子SKU）'!$C:$C,$A93,'库存（子SKU）'!AE:AE)</f>
        <v>54.45</v>
      </c>
      <c r="AD93" s="23">
        <f t="shared" si="20"/>
        <v>0.0563188200828367</v>
      </c>
      <c r="AE93" s="23">
        <f t="shared" si="21"/>
        <v>0.0348760577066467</v>
      </c>
      <c r="AF93" s="23">
        <f t="shared" si="22"/>
        <v>0.0143570057581574</v>
      </c>
      <c r="AG93" s="23">
        <f t="shared" si="23"/>
        <v>0.0196448414702784</v>
      </c>
      <c r="AH93">
        <f>SUMIF('库存（子SKU）'!$C:$C,$A93,'库存（子SKU）'!AJ:AJ)</f>
        <v>1474</v>
      </c>
      <c r="AI93">
        <f>SUMIF('库存（子SKU）'!$C:$C,$A93,'库存（子SKU）'!AK:AK)</f>
        <v>1288</v>
      </c>
      <c r="AJ93">
        <f>SUMIF('库存（子SKU）'!$C:$C,$A93,'库存（子SKU）'!AL:AL)</f>
        <v>1147</v>
      </c>
      <c r="AK93">
        <f>SUMIF('库存（子SKU）'!$C:$C,$A93,'库存（子SKU）'!AM:AM)</f>
        <v>1112</v>
      </c>
      <c r="AL93" s="23">
        <f t="shared" si="24"/>
        <v>0.0108548168249661</v>
      </c>
      <c r="AM93" s="23">
        <f t="shared" si="25"/>
        <v>0.016304347826087</v>
      </c>
      <c r="AN93" s="23">
        <f t="shared" si="26"/>
        <v>0.021795989537925</v>
      </c>
      <c r="AO93" s="23">
        <f t="shared" si="27"/>
        <v>0.0251798561151079</v>
      </c>
      <c r="AP93" s="7">
        <f t="shared" si="28"/>
        <v>2.28571428571429</v>
      </c>
      <c r="AQ93" s="7">
        <f t="shared" si="29"/>
        <v>137.142857142857</v>
      </c>
      <c r="AR93" s="7">
        <f t="shared" si="30"/>
        <v>88.8571428571429</v>
      </c>
      <c r="AS93">
        <f t="shared" si="31"/>
        <v>98</v>
      </c>
      <c r="AT93" s="2">
        <f>IFERROR(时间!$B$4+AS93,"上周无销量")</f>
        <v>43395</v>
      </c>
    </row>
    <row r="94" spans="1:46">
      <c r="A94" t="s">
        <v>462</v>
      </c>
      <c r="B94" s="5">
        <f>SUMIF('库存（子SKU）'!$C:$C,$A94,'库存（子SKU）'!D:D)</f>
        <v>9</v>
      </c>
      <c r="C94" s="5">
        <f>SUMIF('库存（子SKU）'!$C:$C,$A94,'库存（子SKU）'!E:E)</f>
        <v>11</v>
      </c>
      <c r="D94" s="5">
        <f>SUMIF('库存（子SKU）'!$C:$C,$A94,'库存（子SKU）'!F:F)</f>
        <v>16</v>
      </c>
      <c r="E94" s="5">
        <f>SUMIF('库存（子SKU）'!$C:$C,$A94,'库存（子SKU）'!G:G)</f>
        <v>5</v>
      </c>
      <c r="F94" s="6">
        <v>89.99</v>
      </c>
      <c r="G94">
        <f>SUMIF('库存（子SKU）'!$C:$C,$A94,'库存（子SKU）'!I:I)</f>
        <v>37</v>
      </c>
      <c r="H94">
        <f>SUMIF('库存（子SKU）'!$C:$C,$A94,'库存（子SKU）'!J:J)</f>
        <v>4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41</v>
      </c>
      <c r="L94">
        <f>SUMIF('库存（子SKU）'!$C:$C,$A94,'库存（子SKU）'!N:N)</f>
        <v>2</v>
      </c>
      <c r="M94">
        <f>SUMIF('库存（子SKU）'!$C:$C,$A94,'库存（子SKU）'!O:O)</f>
        <v>0</v>
      </c>
      <c r="N94">
        <f>SUMIF('库存（子SKU）'!$C:$C,$A94,'库存（子SKU）'!P:P)</f>
        <v>38813</v>
      </c>
      <c r="O94">
        <f>SUMIF('库存（子SKU）'!$C:$C,$A94,'库存（子SKU）'!Q:Q)</f>
        <v>38847</v>
      </c>
      <c r="P94">
        <f>SUMIF('库存（子SKU）'!$C:$C,$A94,'库存（子SKU）'!R:R)</f>
        <v>30176</v>
      </c>
      <c r="Q94">
        <f>SUMIF('库存（子SKU）'!$C:$C,$A94,'库存（子SKU）'!S:S)</f>
        <v>38382</v>
      </c>
      <c r="R94">
        <f>SUMIF('库存（子SKU）'!$C:$C,$A94,'库存（子SKU）'!T:T)</f>
        <v>442</v>
      </c>
      <c r="S94">
        <f>SUMIF('库存（子SKU）'!$C:$C,$A94,'库存（子SKU）'!U:U)</f>
        <v>372</v>
      </c>
      <c r="T94">
        <f>SUMIF('库存（子SKU）'!$C:$C,$A94,'库存（子SKU）'!V:V)</f>
        <v>266</v>
      </c>
      <c r="U94">
        <f>SUMIF('库存（子SKU）'!$C:$C,$A94,'库存（子SKU）'!W:W)</f>
        <v>359</v>
      </c>
      <c r="V94" s="23">
        <f t="shared" si="32"/>
        <v>0.011387937031407</v>
      </c>
      <c r="W94" s="23">
        <f t="shared" si="33"/>
        <v>0.00957602903699127</v>
      </c>
      <c r="X94" s="23">
        <f t="shared" si="34"/>
        <v>0.00881495227995758</v>
      </c>
      <c r="Y94" s="23">
        <f t="shared" si="35"/>
        <v>0.00935334271272993</v>
      </c>
      <c r="Z94">
        <f>SUMIF('库存（子SKU）'!$C:$C,$A94,'库存（子SKU）'!AB:AB)</f>
        <v>70.57</v>
      </c>
      <c r="AA94">
        <f>SUMIF('库存（子SKU）'!$C:$C,$A94,'库存（子SKU）'!AC:AC)</f>
        <v>56.45</v>
      </c>
      <c r="AB94">
        <f>SUMIF('库存（子SKU）'!$C:$C,$A94,'库存（子SKU）'!AD:AD)</f>
        <v>37.47</v>
      </c>
      <c r="AC94">
        <f>SUMIF('库存（子SKU）'!$C:$C,$A94,'库存（子SKU）'!AE:AE)</f>
        <v>48.67</v>
      </c>
      <c r="AD94" s="23">
        <f t="shared" si="20"/>
        <v>0.087133138249929</v>
      </c>
      <c r="AE94" s="23">
        <f t="shared" si="21"/>
        <v>0.0570265383022356</v>
      </c>
      <c r="AF94" s="23">
        <f t="shared" si="22"/>
        <v>0.0260237248583176</v>
      </c>
      <c r="AG94" s="23">
        <f t="shared" si="23"/>
        <v>0.108167574174908</v>
      </c>
      <c r="AH94">
        <f>SUMIF('库存（子SKU）'!$C:$C,$A94,'库存（子SKU）'!AJ:AJ)</f>
        <v>755</v>
      </c>
      <c r="AI94">
        <f>SUMIF('库存（子SKU）'!$C:$C,$A94,'库存（子SKU）'!AK:AK)</f>
        <v>671</v>
      </c>
      <c r="AJ94">
        <f>SUMIF('库存（子SKU）'!$C:$C,$A94,'库存（子SKU）'!AL:AL)</f>
        <v>617</v>
      </c>
      <c r="AK94">
        <f>SUMIF('库存（子SKU）'!$C:$C,$A94,'库存（子SKU）'!AM:AM)</f>
        <v>631</v>
      </c>
      <c r="AL94" s="23">
        <f t="shared" si="24"/>
        <v>0.0119205298013245</v>
      </c>
      <c r="AM94" s="23">
        <f t="shared" si="25"/>
        <v>0.0163934426229508</v>
      </c>
      <c r="AN94" s="23">
        <f t="shared" si="26"/>
        <v>0.0259319286871961</v>
      </c>
      <c r="AO94" s="23">
        <f t="shared" si="27"/>
        <v>0.00792393026941363</v>
      </c>
      <c r="AP94" s="7">
        <f t="shared" si="28"/>
        <v>1.28571428571429</v>
      </c>
      <c r="AQ94" s="7">
        <f t="shared" si="29"/>
        <v>77.1428571428572</v>
      </c>
      <c r="AR94" s="7">
        <f t="shared" si="30"/>
        <v>-36.1428571428572</v>
      </c>
      <c r="AS94">
        <f t="shared" si="31"/>
        <v>31</v>
      </c>
      <c r="AT94" s="2">
        <f>IFERROR(时间!$B$4+AS94,"上周无销量")</f>
        <v>43328</v>
      </c>
    </row>
    <row r="95" spans="1:46">
      <c r="A95" t="s">
        <v>465</v>
      </c>
      <c r="B95" s="5">
        <f>SUMIF('库存（子SKU）'!$C:$C,$A95,'库存（子SKU）'!D:D)</f>
        <v>5</v>
      </c>
      <c r="C95" s="5">
        <f>SUMIF('库存（子SKU）'!$C:$C,$A95,'库存（子SKU）'!E:E)</f>
        <v>7</v>
      </c>
      <c r="D95" s="5">
        <f>SUMIF('库存（子SKU）'!$C:$C,$A95,'库存（子SKU）'!F:F)</f>
        <v>9</v>
      </c>
      <c r="E95" s="5">
        <f>SUMIF('库存（子SKU）'!$C:$C,$A95,'库存（子SKU）'!G:G)</f>
        <v>9</v>
      </c>
      <c r="F95" s="6">
        <v>89.99</v>
      </c>
      <c r="G95">
        <f>SUMIF('库存（子SKU）'!$C:$C,$A95,'库存（子SKU）'!I:I)</f>
        <v>85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7</v>
      </c>
      <c r="K95">
        <f t="shared" si="19"/>
        <v>92</v>
      </c>
      <c r="L95">
        <f>SUMIF('库存（子SKU）'!$C:$C,$A95,'库存（子SKU）'!N:N)</f>
        <v>3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>
        <f t="shared" si="20"/>
        <v>0</v>
      </c>
      <c r="AE95" s="23">
        <f t="shared" si="21"/>
        <v>0</v>
      </c>
      <c r="AF95" s="23">
        <f t="shared" si="22"/>
        <v>0</v>
      </c>
      <c r="AG95" s="23">
        <f t="shared" si="23"/>
        <v>0</v>
      </c>
      <c r="AH95">
        <f>SUMIF('库存（子SKU）'!$C:$C,$A95,'库存（子SKU）'!AJ:AJ)</f>
        <v>382</v>
      </c>
      <c r="AI95">
        <f>SUMIF('库存（子SKU）'!$C:$C,$A95,'库存（子SKU）'!AK:AK)</f>
        <v>395</v>
      </c>
      <c r="AJ95">
        <f>SUMIF('库存（子SKU）'!$C:$C,$A95,'库存（子SKU）'!AL:AL)</f>
        <v>405</v>
      </c>
      <c r="AK95">
        <f>SUMIF('库存（子SKU）'!$C:$C,$A95,'库存（子SKU）'!AM:AM)</f>
        <v>410</v>
      </c>
      <c r="AL95" s="23">
        <f t="shared" si="24"/>
        <v>0.0130890052356021</v>
      </c>
      <c r="AM95" s="23">
        <f t="shared" si="25"/>
        <v>0.0177215189873418</v>
      </c>
      <c r="AN95" s="23">
        <f t="shared" si="26"/>
        <v>0.0222222222222222</v>
      </c>
      <c r="AO95" s="23">
        <f t="shared" si="27"/>
        <v>0.0219512195121951</v>
      </c>
      <c r="AP95" s="7">
        <f t="shared" si="28"/>
        <v>0.714285714285714</v>
      </c>
      <c r="AQ95" s="7">
        <f t="shared" si="29"/>
        <v>42.8571428571429</v>
      </c>
      <c r="AR95" s="7">
        <f t="shared" si="30"/>
        <v>49.1428571428571</v>
      </c>
      <c r="AS95">
        <f t="shared" si="31"/>
        <v>128</v>
      </c>
      <c r="AT95" s="2">
        <f>IFERROR(时间!$B$4+AS95,"上周无销量")</f>
        <v>43425</v>
      </c>
    </row>
    <row r="96" spans="1:46">
      <c r="A96" t="s">
        <v>468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57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1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33</v>
      </c>
      <c r="AI96">
        <f>SUMIF('库存（子SKU）'!$C:$C,$A96,'库存（子SKU）'!AK:AK)</f>
        <v>41</v>
      </c>
      <c r="AJ96">
        <f>SUMIF('库存（子SKU）'!$C:$C,$A96,'库存（子SKU）'!AL:AL)</f>
        <v>50</v>
      </c>
      <c r="AK96">
        <f>SUMIF('库存（子SKU）'!$C:$C,$A96,'库存（子SKU）'!AM:AM)</f>
        <v>46</v>
      </c>
      <c r="AL96" s="23">
        <f t="shared" si="24"/>
        <v>0</v>
      </c>
      <c r="AM96" s="23">
        <f t="shared" si="25"/>
        <v>0</v>
      </c>
      <c r="AN96" s="23">
        <f t="shared" si="26"/>
        <v>0</v>
      </c>
      <c r="AO96" s="23">
        <f t="shared" si="27"/>
        <v>0</v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470</v>
      </c>
      <c r="B97" s="5">
        <f>SUMIF('库存（子SKU）'!$C:$C,$A97,'库存（子SKU）'!D:D)</f>
        <v>1</v>
      </c>
      <c r="C97" s="5">
        <f>SUMIF('库存（子SKU）'!$C:$C,$A97,'库存（子SKU）'!E:E)</f>
        <v>1</v>
      </c>
      <c r="D97" s="5">
        <f>SUMIF('库存（子SKU）'!$C:$C,$A97,'库存（子SKU）'!F:F)</f>
        <v>2</v>
      </c>
      <c r="E97" s="5">
        <f>SUMIF('库存（子SKU）'!$C:$C,$A97,'库存（子SKU）'!G:G)</f>
        <v>0</v>
      </c>
      <c r="F97" s="6">
        <v>89.6</v>
      </c>
      <c r="G97">
        <f>SUMIF('库存（子SKU）'!$C:$C,$A97,'库存（子SKU）'!I:I)</f>
        <v>55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14</v>
      </c>
      <c r="K97">
        <f t="shared" si="19"/>
        <v>69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>
        <f t="shared" si="20"/>
        <v>0</v>
      </c>
      <c r="AE97" s="23">
        <f t="shared" si="21"/>
        <v>0</v>
      </c>
      <c r="AF97" s="23">
        <f t="shared" si="22"/>
        <v>0</v>
      </c>
      <c r="AG97" s="23" t="str">
        <f t="shared" si="23"/>
        <v/>
      </c>
      <c r="AH97">
        <f>SUMIF('库存（子SKU）'!$C:$C,$A97,'库存（子SKU）'!AJ:AJ)</f>
        <v>33</v>
      </c>
      <c r="AI97">
        <f>SUMIF('库存（子SKU）'!$C:$C,$A97,'库存（子SKU）'!AK:AK)</f>
        <v>41</v>
      </c>
      <c r="AJ97">
        <f>SUMIF('库存（子SKU）'!$C:$C,$A97,'库存（子SKU）'!AL:AL)</f>
        <v>50</v>
      </c>
      <c r="AK97">
        <f>SUMIF('库存（子SKU）'!$C:$C,$A97,'库存（子SKU）'!AM:AM)</f>
        <v>46</v>
      </c>
      <c r="AL97" s="23">
        <f t="shared" si="24"/>
        <v>0.0303030303030303</v>
      </c>
      <c r="AM97" s="23">
        <f t="shared" si="25"/>
        <v>0.024390243902439</v>
      </c>
      <c r="AN97" s="23">
        <f t="shared" si="26"/>
        <v>0.04</v>
      </c>
      <c r="AO97" s="23">
        <f t="shared" si="27"/>
        <v>0</v>
      </c>
      <c r="AP97" s="7">
        <f t="shared" si="28"/>
        <v>0.142857142857143</v>
      </c>
      <c r="AQ97" s="7">
        <f t="shared" si="29"/>
        <v>8.57142857142857</v>
      </c>
      <c r="AR97" s="7">
        <f t="shared" si="30"/>
        <v>60.4285714285714</v>
      </c>
      <c r="AS97">
        <f t="shared" si="31"/>
        <v>483</v>
      </c>
      <c r="AT97" s="2">
        <f>IFERROR(时间!$B$4+AS97,"上周无销量")</f>
        <v>43780</v>
      </c>
    </row>
    <row r="98" spans="1:46">
      <c r="A98" t="s">
        <v>473</v>
      </c>
      <c r="B98" s="5">
        <f>SUMIF('库存（子SKU）'!$C:$C,$A98,'库存（子SKU）'!D:D)</f>
        <v>12</v>
      </c>
      <c r="C98" s="5">
        <f>SUMIF('库存（子SKU）'!$C:$C,$A98,'库存（子SKU）'!E:E)</f>
        <v>8</v>
      </c>
      <c r="D98" s="5">
        <f>SUMIF('库存（子SKU）'!$C:$C,$A98,'库存（子SKU）'!F:F)</f>
        <v>7</v>
      </c>
      <c r="E98" s="5">
        <f>SUMIF('库存（子SKU）'!$C:$C,$A98,'库存（子SKU）'!G:G)</f>
        <v>12</v>
      </c>
      <c r="F98" s="6">
        <v>89.99</v>
      </c>
      <c r="G98">
        <f>SUMIF('库存（子SKU）'!$C:$C,$A98,'库存（子SKU）'!I:I)</f>
        <v>93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13</v>
      </c>
      <c r="K98">
        <f t="shared" si="19"/>
        <v>106</v>
      </c>
      <c r="L98">
        <f>SUMIF('库存（子SKU）'!$C:$C,$A98,'库存（子SKU）'!N:N)</f>
        <v>4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25214</v>
      </c>
      <c r="P98">
        <f>SUMIF('库存（子SKU）'!$C:$C,$A98,'库存（子SKU）'!R:R)</f>
        <v>100057</v>
      </c>
      <c r="Q98">
        <f>SUMIF('库存（子SKU）'!$C:$C,$A98,'库存（子SKU）'!S:S)</f>
        <v>114056</v>
      </c>
      <c r="R98">
        <f>SUMIF('库存（子SKU）'!$C:$C,$A98,'库存（子SKU）'!T:T)</f>
        <v>0</v>
      </c>
      <c r="S98">
        <f>SUMIF('库存（子SKU）'!$C:$C,$A98,'库存（子SKU）'!U:U)</f>
        <v>163</v>
      </c>
      <c r="T98">
        <f>SUMIF('库存（子SKU）'!$C:$C,$A98,'库存（子SKU）'!V:V)</f>
        <v>502</v>
      </c>
      <c r="U98">
        <f>SUMIF('库存（子SKU）'!$C:$C,$A98,'库存（子SKU）'!W:W)</f>
        <v>650</v>
      </c>
      <c r="V98" s="23" t="str">
        <f t="shared" si="32"/>
        <v/>
      </c>
      <c r="W98" s="23">
        <f t="shared" si="33"/>
        <v>0.00646466248909336</v>
      </c>
      <c r="X98" s="23">
        <f t="shared" si="34"/>
        <v>0.00501714023006886</v>
      </c>
      <c r="Y98" s="23">
        <f t="shared" si="35"/>
        <v>0.00569895489934769</v>
      </c>
      <c r="Z98">
        <f>SUMIF('库存（子SKU）'!$C:$C,$A98,'库存（子SKU）'!AB:AB)</f>
        <v>0</v>
      </c>
      <c r="AA98">
        <f>SUMIF('库存（子SKU）'!$C:$C,$A98,'库存（子SKU）'!AC:AC)</f>
        <v>24.17</v>
      </c>
      <c r="AB98">
        <f>SUMIF('库存（子SKU）'!$C:$C,$A98,'库存（子SKU）'!AD:AD)</f>
        <v>69.96</v>
      </c>
      <c r="AC98">
        <f>SUMIF('库存（子SKU）'!$C:$C,$A98,'库存（子SKU）'!AE:AE)</f>
        <v>90.23</v>
      </c>
      <c r="AD98" s="23">
        <f t="shared" si="20"/>
        <v>0</v>
      </c>
      <c r="AE98" s="23">
        <f t="shared" si="21"/>
        <v>0.0335731747971997</v>
      </c>
      <c r="AF98" s="23">
        <f t="shared" si="22"/>
        <v>0.111059959043068</v>
      </c>
      <c r="AG98" s="23">
        <f t="shared" si="23"/>
        <v>0.0835555802496574</v>
      </c>
      <c r="AH98">
        <f>SUMIF('库存（子SKU）'!$C:$C,$A98,'库存（子SKU）'!AJ:AJ)</f>
        <v>501</v>
      </c>
      <c r="AI98">
        <f>SUMIF('库存（子SKU）'!$C:$C,$A98,'库存（子SKU）'!AK:AK)</f>
        <v>476</v>
      </c>
      <c r="AJ98">
        <f>SUMIF('库存（子SKU）'!$C:$C,$A98,'库存（子SKU）'!AL:AL)</f>
        <v>769</v>
      </c>
      <c r="AK98">
        <f>SUMIF('库存（子SKU）'!$C:$C,$A98,'库存（子SKU）'!AM:AM)</f>
        <v>816</v>
      </c>
      <c r="AL98" s="23">
        <f t="shared" si="24"/>
        <v>0.0239520958083832</v>
      </c>
      <c r="AM98" s="23">
        <f t="shared" si="25"/>
        <v>0.0168067226890756</v>
      </c>
      <c r="AN98" s="23">
        <f t="shared" si="26"/>
        <v>0.00910273081924577</v>
      </c>
      <c r="AO98" s="23">
        <f t="shared" si="27"/>
        <v>0.0147058823529412</v>
      </c>
      <c r="AP98" s="7">
        <f t="shared" si="28"/>
        <v>1.71428571428571</v>
      </c>
      <c r="AQ98" s="7">
        <f t="shared" si="29"/>
        <v>102.857142857143</v>
      </c>
      <c r="AR98" s="7">
        <f t="shared" si="30"/>
        <v>3.14285714285715</v>
      </c>
      <c r="AS98">
        <f t="shared" si="31"/>
        <v>61</v>
      </c>
      <c r="AT98" s="2">
        <f>IFERROR(时间!$B$4+AS98,"上周无销量")</f>
        <v>43358</v>
      </c>
    </row>
    <row r="99" spans="1:46">
      <c r="A99" t="s">
        <v>476</v>
      </c>
      <c r="B99" s="5">
        <f>SUMIF('库存（子SKU）'!$C:$C,$A99,'库存（子SKU）'!D:D)</f>
        <v>4</v>
      </c>
      <c r="C99" s="5">
        <f>SUMIF('库存（子SKU）'!$C:$C,$A99,'库存（子SKU）'!E:E)</f>
        <v>2</v>
      </c>
      <c r="D99" s="5">
        <f>SUMIF('库存（子SKU）'!$C:$C,$A99,'库存（子SKU）'!F:F)</f>
        <v>9</v>
      </c>
      <c r="E99" s="5">
        <f>SUMIF('库存（子SKU）'!$C:$C,$A99,'库存（子SKU）'!G:G)</f>
        <v>1</v>
      </c>
      <c r="F99" s="6">
        <v>89.99</v>
      </c>
      <c r="G99">
        <f>SUMIF('库存（子SKU）'!$C:$C,$A99,'库存（子SKU）'!I:I)</f>
        <v>76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76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18559</v>
      </c>
      <c r="P99">
        <f>SUMIF('库存（子SKU）'!$C:$C,$A99,'库存（子SKU）'!R:R)</f>
        <v>37826</v>
      </c>
      <c r="Q99">
        <f>SUMIF('库存（子SKU）'!$C:$C,$A99,'库存（子SKU）'!S:S)</f>
        <v>52332</v>
      </c>
      <c r="R99">
        <f>SUMIF('库存（子SKU）'!$C:$C,$A99,'库存（子SKU）'!T:T)</f>
        <v>0</v>
      </c>
      <c r="S99">
        <f>SUMIF('库存（子SKU）'!$C:$C,$A99,'库存（子SKU）'!U:U)</f>
        <v>100</v>
      </c>
      <c r="T99">
        <f>SUMIF('库存（子SKU）'!$C:$C,$A99,'库存（子SKU）'!V:V)</f>
        <v>188</v>
      </c>
      <c r="U99">
        <f>SUMIF('库存（子SKU）'!$C:$C,$A99,'库存（子SKU）'!W:W)</f>
        <v>262</v>
      </c>
      <c r="V99" s="23" t="str">
        <f t="shared" si="32"/>
        <v/>
      </c>
      <c r="W99" s="23">
        <f t="shared" si="33"/>
        <v>0.00538822134813298</v>
      </c>
      <c r="X99" s="23">
        <f t="shared" si="34"/>
        <v>0.00497012636810659</v>
      </c>
      <c r="Y99" s="23">
        <f t="shared" si="35"/>
        <v>0.0050064969808148</v>
      </c>
      <c r="Z99">
        <f>SUMIF('库存（子SKU）'!$C:$C,$A99,'库存（子SKU）'!AB:AB)</f>
        <v>0</v>
      </c>
      <c r="AA99">
        <f>SUMIF('库存（子SKU）'!$C:$C,$A99,'库存（子SKU）'!AC:AC)</f>
        <v>13.69</v>
      </c>
      <c r="AB99">
        <f>SUMIF('库存（子SKU）'!$C:$C,$A99,'库存（子SKU）'!AD:AD)</f>
        <v>25.34</v>
      </c>
      <c r="AC99">
        <f>SUMIF('库存（子SKU）'!$C:$C,$A99,'库存（子SKU）'!AE:AE)</f>
        <v>34.94</v>
      </c>
      <c r="AD99" s="23">
        <f t="shared" si="20"/>
        <v>0</v>
      </c>
      <c r="AE99" s="23">
        <f t="shared" si="21"/>
        <v>0.0760640071119013</v>
      </c>
      <c r="AF99" s="23">
        <f t="shared" si="22"/>
        <v>0.0312874269980615</v>
      </c>
      <c r="AG99" s="23">
        <f t="shared" si="23"/>
        <v>0.388265362818091</v>
      </c>
      <c r="AH99">
        <f>SUMIF('库存（子SKU）'!$C:$C,$A99,'库存（子SKU）'!AJ:AJ)</f>
        <v>358</v>
      </c>
      <c r="AI99">
        <f>SUMIF('库存（子SKU）'!$C:$C,$A99,'库存（子SKU）'!AK:AK)</f>
        <v>131</v>
      </c>
      <c r="AJ99">
        <f>SUMIF('库存（子SKU）'!$C:$C,$A99,'库存（子SKU）'!AL:AL)</f>
        <v>264</v>
      </c>
      <c r="AK99">
        <f>SUMIF('库存（子SKU）'!$C:$C,$A99,'库存（子SKU）'!AM:AM)</f>
        <v>265</v>
      </c>
      <c r="AL99" s="23">
        <f t="shared" si="24"/>
        <v>0.0111731843575419</v>
      </c>
      <c r="AM99" s="23">
        <f t="shared" si="25"/>
        <v>0.0152671755725191</v>
      </c>
      <c r="AN99" s="23">
        <f t="shared" si="26"/>
        <v>0.0340909090909091</v>
      </c>
      <c r="AO99" s="23">
        <f t="shared" si="27"/>
        <v>0.00377358490566038</v>
      </c>
      <c r="AP99" s="7">
        <f t="shared" si="28"/>
        <v>0.571428571428571</v>
      </c>
      <c r="AQ99" s="7">
        <f t="shared" si="29"/>
        <v>34.2857142857143</v>
      </c>
      <c r="AR99" s="7">
        <f t="shared" si="30"/>
        <v>41.7142857142857</v>
      </c>
      <c r="AS99">
        <f t="shared" si="31"/>
        <v>133</v>
      </c>
      <c r="AT99" s="2">
        <f>IFERROR(时间!$B$4+AS99,"上周无销量")</f>
        <v>43430</v>
      </c>
    </row>
    <row r="100" spans="1:46">
      <c r="A100" t="s">
        <v>479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57</v>
      </c>
      <c r="G100">
        <f>SUMIF('库存（子SKU）'!$C:$C,$A100,'库存（子SKU）'!I:I)</f>
        <v>7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7</v>
      </c>
      <c r="L100">
        <f>SUMIF('库存（子SKU）'!$C:$C,$A100,'库存（子SKU）'!N:N)</f>
        <v>0</v>
      </c>
      <c r="M100">
        <f>SUMIF('库存（子SKU）'!$C:$C,$A100,'库存（子SKU）'!O:O)</f>
        <v>7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6</v>
      </c>
      <c r="AI100">
        <f>SUMIF('库存（子SKU）'!$C:$C,$A100,'库存（子SKU）'!AK:AK)</f>
        <v>3</v>
      </c>
      <c r="AJ100">
        <f>SUMIF('库存（子SKU）'!$C:$C,$A100,'库存（子SKU）'!AL:AL)</f>
        <v>4</v>
      </c>
      <c r="AK100">
        <f>SUMIF('库存（子SKU）'!$C:$C,$A100,'库存（子SKU）'!AM:AM)</f>
        <v>1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</v>
      </c>
      <c r="AP100" s="7">
        <f t="shared" si="28"/>
        <v>0</v>
      </c>
      <c r="AQ100" s="7">
        <f t="shared" si="29"/>
        <v>0</v>
      </c>
      <c r="AR100" s="7">
        <f t="shared" si="30"/>
        <v>7</v>
      </c>
      <c r="AS100" t="str">
        <f t="shared" si="31"/>
        <v>库存为7</v>
      </c>
      <c r="AT100" s="2" t="str">
        <f>IFERROR(时间!$B$4+AS100,"上周无销量")</f>
        <v>上周无销量</v>
      </c>
    </row>
    <row r="101" spans="1:46">
      <c r="A101" t="s">
        <v>482</v>
      </c>
      <c r="B101" s="5">
        <f>SUMIF('库存（子SKU）'!$C:$C,$A101,'库存（子SKU）'!D:D)</f>
        <v>0</v>
      </c>
      <c r="C101" s="5">
        <f>SUMIF('库存（子SKU）'!$C:$C,$A101,'库存（子SKU）'!E:E)</f>
        <v>1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>
        <v>79.99</v>
      </c>
      <c r="G101">
        <f>SUMIF('库存（子SKU）'!$C:$C,$A101,'库存（子SKU）'!I:I)</f>
        <v>16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16</v>
      </c>
      <c r="L101">
        <f>SUMIF('库存（子SKU）'!$C:$C,$A101,'库存（子SKU）'!N:N)</f>
        <v>0</v>
      </c>
      <c r="M101">
        <f>SUMIF('库存（子SKU）'!$C:$C,$A101,'库存（子SKU）'!O:O)</f>
        <v>6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>
        <f t="shared" si="21"/>
        <v>0</v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30</v>
      </c>
      <c r="AI101">
        <f>SUMIF('库存（子SKU）'!$C:$C,$A101,'库存（子SKU）'!AK:AK)</f>
        <v>46</v>
      </c>
      <c r="AJ101">
        <f>SUMIF('库存（子SKU）'!$C:$C,$A101,'库存（子SKU）'!AL:AL)</f>
        <v>36</v>
      </c>
      <c r="AK101">
        <f>SUMIF('库存（子SKU）'!$C:$C,$A101,'库存（子SKU）'!AM:AM)</f>
        <v>14</v>
      </c>
      <c r="AL101" s="23">
        <f t="shared" si="24"/>
        <v>0</v>
      </c>
      <c r="AM101" s="23">
        <f t="shared" si="25"/>
        <v>0.0217391304347826</v>
      </c>
      <c r="AN101" s="23">
        <f t="shared" si="26"/>
        <v>0</v>
      </c>
      <c r="AO101" s="23">
        <f t="shared" si="27"/>
        <v>0</v>
      </c>
      <c r="AP101" s="7">
        <f t="shared" si="28"/>
        <v>0</v>
      </c>
      <c r="AQ101" s="7">
        <f t="shared" si="29"/>
        <v>0</v>
      </c>
      <c r="AR101" s="7">
        <f t="shared" si="30"/>
        <v>16</v>
      </c>
      <c r="AS101" t="str">
        <f t="shared" si="31"/>
        <v>库存为16</v>
      </c>
      <c r="AT101" s="2" t="str">
        <f>IFERROR(时间!$B$4+AS101,"上周无销量")</f>
        <v>上周无销量</v>
      </c>
    </row>
    <row r="102" spans="1:46">
      <c r="A102" t="s">
        <v>485</v>
      </c>
      <c r="B102" s="5">
        <f>SUMIF('库存（子SKU）'!$C:$C,$A102,'库存（子SKU）'!D:D)</f>
        <v>1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1</v>
      </c>
      <c r="F102" s="6">
        <v>59.99</v>
      </c>
      <c r="G102">
        <f>SUMIF('库存（子SKU）'!$C:$C,$A102,'库存（子SKU）'!I:I)</f>
        <v>65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65</v>
      </c>
      <c r="L102">
        <f>SUMIF('库存（子SKU）'!$C:$C,$A102,'库存（子SKU）'!N:N)</f>
        <v>1</v>
      </c>
      <c r="M102">
        <f>SUMIF('库存（子SKU）'!$C:$C,$A102,'库存（子SKU）'!O:O)</f>
        <v>63</v>
      </c>
      <c r="N102">
        <f>SUMIF('库存（子SKU）'!$C:$C,$A102,'库存（子SKU）'!P:P)</f>
        <v>4870</v>
      </c>
      <c r="O102">
        <f>SUMIF('库存（子SKU）'!$C:$C,$A102,'库存（子SKU）'!Q:Q)</f>
        <v>6229</v>
      </c>
      <c r="P102">
        <f>SUMIF('库存（子SKU）'!$C:$C,$A102,'库存（子SKU）'!R:R)</f>
        <v>7789</v>
      </c>
      <c r="Q102">
        <f>SUMIF('库存（子SKU）'!$C:$C,$A102,'库存（子SKU）'!S:S)</f>
        <v>10973</v>
      </c>
      <c r="R102">
        <f>SUMIF('库存（子SKU）'!$C:$C,$A102,'库存（子SKU）'!T:T)</f>
        <v>47</v>
      </c>
      <c r="S102">
        <f>SUMIF('库存（子SKU）'!$C:$C,$A102,'库存（子SKU）'!U:U)</f>
        <v>78</v>
      </c>
      <c r="T102">
        <f>SUMIF('库存（子SKU）'!$C:$C,$A102,'库存（子SKU）'!V:V)</f>
        <v>98</v>
      </c>
      <c r="U102">
        <f>SUMIF('库存（子SKU）'!$C:$C,$A102,'库存（子SKU）'!W:W)</f>
        <v>102</v>
      </c>
      <c r="V102" s="23">
        <f t="shared" si="32"/>
        <v>0.00965092402464066</v>
      </c>
      <c r="W102" s="23">
        <f t="shared" si="33"/>
        <v>0.0125220741692085</v>
      </c>
      <c r="X102" s="23">
        <f t="shared" si="34"/>
        <v>0.0125818461933496</v>
      </c>
      <c r="Y102" s="23">
        <f t="shared" si="35"/>
        <v>0.00929554360703545</v>
      </c>
      <c r="Z102">
        <f>SUMIF('库存（子SKU）'!$C:$C,$A102,'库存（子SKU）'!AB:AB)</f>
        <v>7.01</v>
      </c>
      <c r="AA102">
        <f>SUMIF('库存（子SKU）'!$C:$C,$A102,'库存（子SKU）'!AC:AC)</f>
        <v>12.21</v>
      </c>
      <c r="AB102">
        <f>SUMIF('库存（子SKU）'!$C:$C,$A102,'库存（子SKU）'!AD:AD)</f>
        <v>17.38</v>
      </c>
      <c r="AC102">
        <f>SUMIF('库存（子SKU）'!$C:$C,$A102,'库存（子SKU）'!AE:AE)</f>
        <v>16.72</v>
      </c>
      <c r="AD102" s="23">
        <f t="shared" si="20"/>
        <v>0.116852808801467</v>
      </c>
      <c r="AE102" s="23" t="str">
        <f t="shared" si="21"/>
        <v>无销量广告费为12.21</v>
      </c>
      <c r="AF102" s="23" t="str">
        <f t="shared" si="22"/>
        <v>无销量广告费为17.38</v>
      </c>
      <c r="AG102" s="23">
        <f t="shared" si="23"/>
        <v>0.278713118853142</v>
      </c>
      <c r="AH102">
        <f>SUMIF('库存（子SKU）'!$C:$C,$A102,'库存（子SKU）'!AJ:AJ)</f>
        <v>60</v>
      </c>
      <c r="AI102">
        <f>SUMIF('库存（子SKU）'!$C:$C,$A102,'库存（子SKU）'!AK:AK)</f>
        <v>86</v>
      </c>
      <c r="AJ102">
        <f>SUMIF('库存（子SKU）'!$C:$C,$A102,'库存（子SKU）'!AL:AL)</f>
        <v>226</v>
      </c>
      <c r="AK102">
        <f>SUMIF('库存（子SKU）'!$C:$C,$A102,'库存（子SKU）'!AM:AM)</f>
        <v>111</v>
      </c>
      <c r="AL102" s="23">
        <f t="shared" si="24"/>
        <v>0.0166666666666667</v>
      </c>
      <c r="AM102" s="23">
        <f t="shared" si="25"/>
        <v>0</v>
      </c>
      <c r="AN102" s="23">
        <f t="shared" si="26"/>
        <v>0</v>
      </c>
      <c r="AO102" s="23">
        <f t="shared" si="27"/>
        <v>0.00900900900900901</v>
      </c>
      <c r="AP102" s="7">
        <f t="shared" si="28"/>
        <v>0.142857142857143</v>
      </c>
      <c r="AQ102" s="7">
        <f t="shared" si="29"/>
        <v>8.57142857142857</v>
      </c>
      <c r="AR102" s="7">
        <f t="shared" si="30"/>
        <v>56.4285714285714</v>
      </c>
      <c r="AS102">
        <f t="shared" si="31"/>
        <v>455</v>
      </c>
      <c r="AT102" s="2">
        <f>IFERROR(时间!$B$4+AS102,"上周无销量")</f>
        <v>43752</v>
      </c>
    </row>
    <row r="103" spans="1:46">
      <c r="A103" t="s">
        <v>501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1</v>
      </c>
      <c r="E103" s="5">
        <f>SUMIF('库存（子SKU）'!$C:$C,$A103,'库存（子SKU）'!G:G)</f>
        <v>3</v>
      </c>
      <c r="F103" s="6">
        <v>99.99</v>
      </c>
      <c r="G103">
        <f>SUMIF('库存（子SKU）'!$C:$C,$A103,'库存（子SKU）'!I:I)</f>
        <v>13</v>
      </c>
      <c r="H103">
        <f>SUMIF('库存（子SKU）'!$C:$C,$A103,'库存（子SKU）'!J:J)</f>
        <v>3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16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3</v>
      </c>
      <c r="O103">
        <f>SUMIF('库存（子SKU）'!$C:$C,$A103,'库存（子SKU）'!Q:Q)</f>
        <v>2</v>
      </c>
      <c r="P103">
        <f>SUMIF('库存（子SKU）'!$C:$C,$A103,'库存（子SKU）'!R:R)</f>
        <v>1</v>
      </c>
      <c r="Q103">
        <f>SUMIF('库存（子SKU）'!$C:$C,$A103,'库存（子SKU）'!S:S)</f>
        <v>5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>
        <f t="shared" si="32"/>
        <v>0</v>
      </c>
      <c r="W103" s="23">
        <f t="shared" si="33"/>
        <v>0</v>
      </c>
      <c r="X103" s="23">
        <f t="shared" si="34"/>
        <v>0</v>
      </c>
      <c r="Y103" s="23">
        <f t="shared" si="35"/>
        <v>0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>
        <f t="shared" si="22"/>
        <v>0</v>
      </c>
      <c r="AG103" s="23">
        <f t="shared" si="23"/>
        <v>0</v>
      </c>
      <c r="AH103">
        <f>SUMIF('库存（子SKU）'!$C:$C,$A103,'库存（子SKU）'!AJ:AJ)</f>
        <v>110</v>
      </c>
      <c r="AI103">
        <f>SUMIF('库存（子SKU）'!$C:$C,$A103,'库存（子SKU）'!AK:AK)</f>
        <v>106</v>
      </c>
      <c r="AJ103">
        <f>SUMIF('库存（子SKU）'!$C:$C,$A103,'库存（子SKU）'!AL:AL)</f>
        <v>99</v>
      </c>
      <c r="AK103">
        <f>SUMIF('库存（子SKU）'!$C:$C,$A103,'库存（子SKU）'!AM:AM)</f>
        <v>75</v>
      </c>
      <c r="AL103" s="23">
        <f t="shared" si="24"/>
        <v>0</v>
      </c>
      <c r="AM103" s="23">
        <f t="shared" si="25"/>
        <v>0</v>
      </c>
      <c r="AN103" s="23">
        <f t="shared" si="26"/>
        <v>0.0101010101010101</v>
      </c>
      <c r="AO103" s="23">
        <f t="shared" si="27"/>
        <v>0.04</v>
      </c>
      <c r="AP103" s="7">
        <f t="shared" si="28"/>
        <v>0</v>
      </c>
      <c r="AQ103" s="7">
        <f t="shared" si="29"/>
        <v>0</v>
      </c>
      <c r="AR103" s="7">
        <f t="shared" si="30"/>
        <v>16</v>
      </c>
      <c r="AS103" t="str">
        <f t="shared" si="31"/>
        <v>库存为16</v>
      </c>
      <c r="AT103" s="2" t="str">
        <f>IFERROR(时间!$B$4+AS103,"上周无销量")</f>
        <v>上周无销量</v>
      </c>
    </row>
    <row r="104" spans="1:46">
      <c r="A104" t="s">
        <v>504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57</v>
      </c>
      <c r="G104">
        <f>SUMIF('库存（子SKU）'!$C:$C,$A104,'库存（子SKU）'!I:I)</f>
        <v>16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16</v>
      </c>
      <c r="L104">
        <f>SUMIF('库存（子SKU）'!$C:$C,$A104,'库存（子SKU）'!N:N)</f>
        <v>0</v>
      </c>
      <c r="M104">
        <f>SUMIF('库存（子SKU）'!$C:$C,$A104,'库存（子SKU）'!O:O)</f>
        <v>1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5</v>
      </c>
      <c r="AI104">
        <f>SUMIF('库存（子SKU）'!$C:$C,$A104,'库存（子SKU）'!AK:AK)</f>
        <v>1</v>
      </c>
      <c r="AJ104">
        <f>SUMIF('库存（子SKU）'!$C:$C,$A104,'库存（子SKU）'!AL:AL)</f>
        <v>4</v>
      </c>
      <c r="AK104">
        <f>SUMIF('库存（子SKU）'!$C:$C,$A104,'库存（子SKU）'!AM:AM)</f>
        <v>8</v>
      </c>
      <c r="AL104" s="23">
        <f t="shared" si="24"/>
        <v>0</v>
      </c>
      <c r="AM104" s="23">
        <f t="shared" si="25"/>
        <v>0</v>
      </c>
      <c r="AN104" s="23">
        <f t="shared" si="26"/>
        <v>0</v>
      </c>
      <c r="AO104" s="23">
        <f t="shared" si="27"/>
        <v>0</v>
      </c>
      <c r="AP104" s="7">
        <f t="shared" si="28"/>
        <v>0</v>
      </c>
      <c r="AQ104" s="7">
        <f t="shared" si="29"/>
        <v>0</v>
      </c>
      <c r="AR104" s="7">
        <f t="shared" si="30"/>
        <v>16</v>
      </c>
      <c r="AS104" t="str">
        <f t="shared" si="31"/>
        <v>库存为16</v>
      </c>
      <c r="AT104" s="2" t="str">
        <f>IFERROR(时间!$B$4+AS104,"上周无销量")</f>
        <v>上周无销量</v>
      </c>
    </row>
    <row r="105" spans="1:46">
      <c r="A105" t="s">
        <v>507</v>
      </c>
      <c r="B105" s="5">
        <f>SUMIF('库存（子SKU）'!$C:$C,$A105,'库存（子SKU）'!D:D)</f>
        <v>2</v>
      </c>
      <c r="C105" s="5">
        <f>SUMIF('库存（子SKU）'!$C:$C,$A105,'库存（子SKU）'!E:E)</f>
        <v>3</v>
      </c>
      <c r="D105" s="5">
        <f>SUMIF('库存（子SKU）'!$C:$C,$A105,'库存（子SKU）'!F:F)</f>
        <v>6</v>
      </c>
      <c r="E105" s="5">
        <f>SUMIF('库存（子SKU）'!$C:$C,$A105,'库存（子SKU）'!G:G)</f>
        <v>5</v>
      </c>
      <c r="F105" s="6">
        <v>33.99</v>
      </c>
      <c r="G105">
        <f>SUMIF('库存（子SKU）'!$C:$C,$A105,'库存（子SKU）'!I:I)</f>
        <v>60</v>
      </c>
      <c r="H105">
        <f>SUMIF('库存（子SKU）'!$C:$C,$A105,'库存（子SKU）'!J:J)</f>
        <v>8</v>
      </c>
      <c r="I105">
        <f>SUMIF('库存（子SKU）'!$C:$C,$A105,'库存（子SKU）'!K:K)</f>
        <v>0</v>
      </c>
      <c r="J105">
        <f>SUMIF('库存（子SKU）'!$C:$C,$A105,'库存（子SKU）'!L:L)</f>
        <v>22</v>
      </c>
      <c r="K105">
        <f t="shared" si="19"/>
        <v>90</v>
      </c>
      <c r="L105">
        <f>SUMIF('库存（子SKU）'!$C:$C,$A105,'库存（子SKU）'!N:N)</f>
        <v>0</v>
      </c>
      <c r="M105">
        <f>SUMIF('库存（子SKU）'!$C:$C,$A105,'库存（子SKU）'!O:O)</f>
        <v>16</v>
      </c>
      <c r="N105">
        <f>SUMIF('库存（子SKU）'!$C:$C,$A105,'库存（子SKU）'!P:P)</f>
        <v>8414</v>
      </c>
      <c r="O105">
        <f>SUMIF('库存（子SKU）'!$C:$C,$A105,'库存（子SKU）'!Q:Q)</f>
        <v>12755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40</v>
      </c>
      <c r="S105">
        <f>SUMIF('库存（子SKU）'!$C:$C,$A105,'库存（子SKU）'!U:U)</f>
        <v>73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>
        <f t="shared" si="32"/>
        <v>0.00475398145947231</v>
      </c>
      <c r="W105" s="23">
        <f t="shared" si="33"/>
        <v>0.00572324578596629</v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6.6</v>
      </c>
      <c r="AA105">
        <f>SUMIF('库存（子SKU）'!$C:$C,$A105,'库存（子SKU）'!AC:AC)</f>
        <v>13.33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0.0970873786407767</v>
      </c>
      <c r="AE105" s="23">
        <f t="shared" si="21"/>
        <v>0.130724722957733</v>
      </c>
      <c r="AF105" s="23">
        <f t="shared" si="22"/>
        <v>0</v>
      </c>
      <c r="AG105" s="23">
        <f t="shared" si="23"/>
        <v>0</v>
      </c>
      <c r="AH105">
        <f>SUMIF('库存（子SKU）'!$C:$C,$A105,'库存（子SKU）'!AJ:AJ)</f>
        <v>523</v>
      </c>
      <c r="AI105">
        <f>SUMIF('库存（子SKU）'!$C:$C,$A105,'库存（子SKU）'!AK:AK)</f>
        <v>383</v>
      </c>
      <c r="AJ105">
        <f>SUMIF('库存（子SKU）'!$C:$C,$A105,'库存（子SKU）'!AL:AL)</f>
        <v>496</v>
      </c>
      <c r="AK105">
        <f>SUMIF('库存（子SKU）'!$C:$C,$A105,'库存（子SKU）'!AM:AM)</f>
        <v>388</v>
      </c>
      <c r="AL105" s="23">
        <f t="shared" si="24"/>
        <v>0.00382409177820268</v>
      </c>
      <c r="AM105" s="23">
        <f t="shared" si="25"/>
        <v>0.00783289817232376</v>
      </c>
      <c r="AN105" s="23">
        <f t="shared" si="26"/>
        <v>0.0120967741935484</v>
      </c>
      <c r="AO105" s="23">
        <f t="shared" si="27"/>
        <v>0.0128865979381443</v>
      </c>
      <c r="AP105" s="7">
        <f t="shared" si="28"/>
        <v>0.285714285714286</v>
      </c>
      <c r="AQ105" s="7">
        <f t="shared" si="29"/>
        <v>17.1428571428571</v>
      </c>
      <c r="AR105" s="7">
        <f t="shared" si="30"/>
        <v>72.8571428571429</v>
      </c>
      <c r="AS105">
        <f t="shared" si="31"/>
        <v>315</v>
      </c>
      <c r="AT105" s="2">
        <f>IFERROR(时间!$B$4+AS105,"上周无销量")</f>
        <v>43612</v>
      </c>
    </row>
    <row r="106" spans="1:46">
      <c r="A106" t="s">
        <v>514</v>
      </c>
      <c r="B106" s="5">
        <f>SUMIF('库存（子SKU）'!$C:$C,$A106,'库存（子SKU）'!D:D)</f>
        <v>1</v>
      </c>
      <c r="C106" s="5">
        <f>SUMIF('库存（子SKU）'!$C:$C,$A106,'库存（子SKU）'!E:E)</f>
        <v>0</v>
      </c>
      <c r="D106" s="5">
        <f>SUMIF('库存（子SKU）'!$C:$C,$A106,'库存（子SKU）'!F:F)</f>
        <v>3</v>
      </c>
      <c r="E106" s="5">
        <f>SUMIF('库存（子SKU）'!$C:$C,$A106,'库存（子SKU）'!G:G)</f>
        <v>3</v>
      </c>
      <c r="F106" s="6">
        <v>88.74</v>
      </c>
      <c r="G106">
        <f>SUMIF('库存（子SKU）'!$C:$C,$A106,'库存（子SKU）'!I:I)</f>
        <v>60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4</v>
      </c>
      <c r="K106">
        <f t="shared" si="19"/>
        <v>64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>
        <f t="shared" si="20"/>
        <v>0</v>
      </c>
      <c r="AE106" s="23" t="str">
        <f t="shared" si="21"/>
        <v/>
      </c>
      <c r="AF106" s="23">
        <f t="shared" si="22"/>
        <v>0</v>
      </c>
      <c r="AG106" s="23">
        <f t="shared" si="23"/>
        <v>0</v>
      </c>
      <c r="AH106">
        <f>SUMIF('库存（子SKU）'!$C:$C,$A106,'库存（子SKU）'!AJ:AJ)</f>
        <v>48</v>
      </c>
      <c r="AI106">
        <f>SUMIF('库存（子SKU）'!$C:$C,$A106,'库存（子SKU）'!AK:AK)</f>
        <v>75</v>
      </c>
      <c r="AJ106">
        <f>SUMIF('库存（子SKU）'!$C:$C,$A106,'库存（子SKU）'!AL:AL)</f>
        <v>64</v>
      </c>
      <c r="AK106">
        <f>SUMIF('库存（子SKU）'!$C:$C,$A106,'库存（子SKU）'!AM:AM)</f>
        <v>69</v>
      </c>
      <c r="AL106" s="23">
        <f t="shared" si="24"/>
        <v>0.0208333333333333</v>
      </c>
      <c r="AM106" s="23">
        <f t="shared" si="25"/>
        <v>0</v>
      </c>
      <c r="AN106" s="23">
        <f t="shared" si="26"/>
        <v>0.046875</v>
      </c>
      <c r="AO106" s="23">
        <f t="shared" si="27"/>
        <v>0.0434782608695652</v>
      </c>
      <c r="AP106" s="7">
        <f t="shared" si="28"/>
        <v>0.142857142857143</v>
      </c>
      <c r="AQ106" s="7">
        <f t="shared" si="29"/>
        <v>8.57142857142857</v>
      </c>
      <c r="AR106" s="7">
        <f t="shared" si="30"/>
        <v>55.4285714285714</v>
      </c>
      <c r="AS106">
        <f t="shared" si="31"/>
        <v>448</v>
      </c>
      <c r="AT106" s="2">
        <f>IFERROR(时间!$B$4+AS106,"上周无销量")</f>
        <v>43745</v>
      </c>
    </row>
    <row r="107" spans="1:46">
      <c r="A107" t="s">
        <v>517</v>
      </c>
      <c r="B107" s="5">
        <f>SUMIF('库存（子SKU）'!$C:$C,$A107,'库存（子SKU）'!D:D)</f>
        <v>1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>
        <v>89.6</v>
      </c>
      <c r="G107">
        <f>SUMIF('库存（子SKU）'!$C:$C,$A107,'库存（子SKU）'!I:I)</f>
        <v>11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11</v>
      </c>
      <c r="L107">
        <f>SUMIF('库存（子SKU）'!$C:$C,$A107,'库存（子SKU）'!N:N)</f>
        <v>0</v>
      </c>
      <c r="M107">
        <f>SUMIF('库存（子SKU）'!$C:$C,$A107,'库存（子SKU）'!O:O)</f>
        <v>11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>
        <f t="shared" si="20"/>
        <v>0</v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12</v>
      </c>
      <c r="AI107">
        <f>SUMIF('库存（子SKU）'!$C:$C,$A107,'库存（子SKU）'!AK:AK)</f>
        <v>13</v>
      </c>
      <c r="AJ107">
        <f>SUMIF('库存（子SKU）'!$C:$C,$A107,'库存（子SKU）'!AL:AL)</f>
        <v>14</v>
      </c>
      <c r="AK107">
        <f>SUMIF('库存（子SKU）'!$C:$C,$A107,'库存（子SKU）'!AM:AM)</f>
        <v>22</v>
      </c>
      <c r="AL107" s="23">
        <f t="shared" si="24"/>
        <v>0.0833333333333333</v>
      </c>
      <c r="AM107" s="23">
        <f t="shared" si="25"/>
        <v>0</v>
      </c>
      <c r="AN107" s="23">
        <f t="shared" si="26"/>
        <v>0</v>
      </c>
      <c r="AO107" s="23">
        <f t="shared" si="27"/>
        <v>0</v>
      </c>
      <c r="AP107" s="7">
        <f t="shared" si="28"/>
        <v>0.142857142857143</v>
      </c>
      <c r="AQ107" s="7">
        <f t="shared" si="29"/>
        <v>8.57142857142857</v>
      </c>
      <c r="AR107" s="7">
        <f t="shared" si="30"/>
        <v>2.42857142857143</v>
      </c>
      <c r="AS107">
        <f t="shared" si="31"/>
        <v>77</v>
      </c>
      <c r="AT107" s="2">
        <f>IFERROR(时间!$B$4+AS107,"上周无销量")</f>
        <v>43374</v>
      </c>
    </row>
    <row r="108" spans="1:46">
      <c r="A108" t="s">
        <v>520</v>
      </c>
      <c r="B108" s="5">
        <f>SUMIF('库存（子SKU）'!$C:$C,$A108,'库存（子SKU）'!D:D)</f>
        <v>0</v>
      </c>
      <c r="C108" s="5">
        <f>SUMIF('库存（子SKU）'!$C:$C,$A108,'库存（子SKU）'!E:E)</f>
        <v>2</v>
      </c>
      <c r="D108" s="5">
        <f>SUMIF('库存（子SKU）'!$C:$C,$A108,'库存（子SKU）'!F:F)</f>
        <v>1</v>
      </c>
      <c r="E108" s="5">
        <f>SUMIF('库存（子SKU）'!$C:$C,$A108,'库存（子SKU）'!G:G)</f>
        <v>1</v>
      </c>
      <c r="F108" s="6">
        <v>99.6</v>
      </c>
      <c r="G108">
        <f>SUMIF('库存（子SKU）'!$C:$C,$A108,'库存（子SKU）'!I:I)</f>
        <v>36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36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16432</v>
      </c>
      <c r="P108">
        <f>SUMIF('库存（子SKU）'!$C:$C,$A108,'库存（子SKU）'!R:R)</f>
        <v>24189</v>
      </c>
      <c r="Q108">
        <f>SUMIF('库存（子SKU）'!$C:$C,$A108,'库存（子SKU）'!S:S)</f>
        <v>30268</v>
      </c>
      <c r="R108">
        <f>SUMIF('库存（子SKU）'!$C:$C,$A108,'库存（子SKU）'!T:T)</f>
        <v>0</v>
      </c>
      <c r="S108">
        <f>SUMIF('库存（子SKU）'!$C:$C,$A108,'库存（子SKU）'!U:U)</f>
        <v>115</v>
      </c>
      <c r="T108">
        <f>SUMIF('库存（子SKU）'!$C:$C,$A108,'库存（子SKU）'!V:V)</f>
        <v>135</v>
      </c>
      <c r="U108">
        <f>SUMIF('库存（子SKU）'!$C:$C,$A108,'库存（子SKU）'!W:W)</f>
        <v>208</v>
      </c>
      <c r="V108" s="23" t="str">
        <f t="shared" si="32"/>
        <v/>
      </c>
      <c r="W108" s="23">
        <f t="shared" si="33"/>
        <v>0.0069985394352483</v>
      </c>
      <c r="X108" s="23">
        <f t="shared" si="34"/>
        <v>0.0055810492372566</v>
      </c>
      <c r="Y108" s="23">
        <f t="shared" si="35"/>
        <v>0.00687194396722611</v>
      </c>
      <c r="Z108">
        <f>SUMIF('库存（子SKU）'!$C:$C,$A108,'库存（子SKU）'!AB:AB)</f>
        <v>0</v>
      </c>
      <c r="AA108">
        <f>SUMIF('库存（子SKU）'!$C:$C,$A108,'库存（子SKU）'!AC:AC)</f>
        <v>16.55</v>
      </c>
      <c r="AB108">
        <f>SUMIF('库存（子SKU）'!$C:$C,$A108,'库存（子SKU）'!AD:AD)</f>
        <v>20.65</v>
      </c>
      <c r="AC108">
        <f>SUMIF('库存（子SKU）'!$C:$C,$A108,'库存（子SKU）'!AE:AE)</f>
        <v>28.87</v>
      </c>
      <c r="AD108" s="23" t="str">
        <f t="shared" si="20"/>
        <v/>
      </c>
      <c r="AE108" s="23">
        <f t="shared" si="21"/>
        <v>0.0830823293172691</v>
      </c>
      <c r="AF108" s="23">
        <f t="shared" si="22"/>
        <v>0.207329317269076</v>
      </c>
      <c r="AG108" s="23">
        <f t="shared" si="23"/>
        <v>0.289859437751004</v>
      </c>
      <c r="AH108">
        <f>SUMIF('库存（子SKU）'!$C:$C,$A108,'库存（子SKU）'!AJ:AJ)</f>
        <v>136</v>
      </c>
      <c r="AI108">
        <f>SUMIF('库存（子SKU）'!$C:$C,$A108,'库存（子SKU）'!AK:AK)</f>
        <v>177</v>
      </c>
      <c r="AJ108">
        <f>SUMIF('库存（子SKU）'!$C:$C,$A108,'库存（子SKU）'!AL:AL)</f>
        <v>146</v>
      </c>
      <c r="AK108">
        <f>SUMIF('库存（子SKU）'!$C:$C,$A108,'库存（子SKU）'!AM:AM)</f>
        <v>177</v>
      </c>
      <c r="AL108" s="23">
        <f t="shared" si="24"/>
        <v>0</v>
      </c>
      <c r="AM108" s="23">
        <f t="shared" si="25"/>
        <v>0.0112994350282486</v>
      </c>
      <c r="AN108" s="23">
        <f t="shared" si="26"/>
        <v>0.00684931506849315</v>
      </c>
      <c r="AO108" s="23">
        <f t="shared" si="27"/>
        <v>0.00564971751412429</v>
      </c>
      <c r="AP108" s="7">
        <f t="shared" si="28"/>
        <v>0</v>
      </c>
      <c r="AQ108" s="7">
        <f t="shared" si="29"/>
        <v>0</v>
      </c>
      <c r="AR108" s="7">
        <f t="shared" si="30"/>
        <v>36</v>
      </c>
      <c r="AS108" t="str">
        <f t="shared" si="31"/>
        <v>库存为36</v>
      </c>
      <c r="AT108" s="2" t="str">
        <f>IFERROR(时间!$B$4+AS108,"上周无销量")</f>
        <v>上周无销量</v>
      </c>
    </row>
    <row r="109" spans="1:46">
      <c r="A109" t="s">
        <v>523</v>
      </c>
      <c r="B109" s="5">
        <f>SUMIF('库存（子SKU）'!$C:$C,$A109,'库存（子SKU）'!D:D)</f>
        <v>9</v>
      </c>
      <c r="C109" s="5">
        <f>SUMIF('库存（子SKU）'!$C:$C,$A109,'库存（子SKU）'!E:E)</f>
        <v>12</v>
      </c>
      <c r="D109" s="5">
        <f>SUMIF('库存（子SKU）'!$C:$C,$A109,'库存（子SKU）'!F:F)</f>
        <v>8</v>
      </c>
      <c r="E109" s="5">
        <f>SUMIF('库存（子SKU）'!$C:$C,$A109,'库存（子SKU）'!G:G)</f>
        <v>10</v>
      </c>
      <c r="F109" s="6">
        <v>21.7335897435897</v>
      </c>
      <c r="G109">
        <f>SUMIF('库存（子SKU）'!$C:$C,$A109,'库存（子SKU）'!I:I)</f>
        <v>62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62</v>
      </c>
      <c r="L109">
        <f>SUMIF('库存（子SKU）'!$C:$C,$A109,'库存（子SKU）'!N:N)</f>
        <v>10</v>
      </c>
      <c r="M109">
        <f>SUMIF('库存（子SKU）'!$C:$C,$A109,'库存（子SKU）'!O:O)</f>
        <v>65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>
        <f t="shared" si="21"/>
        <v>0</v>
      </c>
      <c r="AF109" s="23">
        <f t="shared" si="22"/>
        <v>0</v>
      </c>
      <c r="AG109" s="23">
        <f t="shared" si="23"/>
        <v>0</v>
      </c>
      <c r="AH109">
        <f>SUMIF('库存（子SKU）'!$C:$C,$A109,'库存（子SKU）'!AJ:AJ)</f>
        <v>205</v>
      </c>
      <c r="AI109">
        <f>SUMIF('库存（子SKU）'!$C:$C,$A109,'库存（子SKU）'!AK:AK)</f>
        <v>117</v>
      </c>
      <c r="AJ109">
        <f>SUMIF('库存（子SKU）'!$C:$C,$A109,'库存（子SKU）'!AL:AL)</f>
        <v>130</v>
      </c>
      <c r="AK109">
        <f>SUMIF('库存（子SKU）'!$C:$C,$A109,'库存（子SKU）'!AM:AM)</f>
        <v>114</v>
      </c>
      <c r="AL109" s="23">
        <f t="shared" si="24"/>
        <v>0.0439024390243902</v>
      </c>
      <c r="AM109" s="23">
        <f t="shared" si="25"/>
        <v>0.102564102564103</v>
      </c>
      <c r="AN109" s="23">
        <f t="shared" si="26"/>
        <v>0.0615384615384615</v>
      </c>
      <c r="AO109" s="23">
        <f t="shared" si="27"/>
        <v>0.087719298245614</v>
      </c>
      <c r="AP109" s="7">
        <f t="shared" si="28"/>
        <v>1.28571428571429</v>
      </c>
      <c r="AQ109" s="7">
        <f t="shared" si="29"/>
        <v>77.1428571428572</v>
      </c>
      <c r="AR109" s="7">
        <f t="shared" si="30"/>
        <v>-15.1428571428572</v>
      </c>
      <c r="AS109">
        <f t="shared" si="31"/>
        <v>48</v>
      </c>
      <c r="AT109" s="2">
        <f>IFERROR(时间!$B$4+AS109,"上周无销量")</f>
        <v>43345</v>
      </c>
    </row>
    <row r="110" spans="1:46">
      <c r="A110" t="s">
        <v>534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1</v>
      </c>
      <c r="E110" s="5">
        <f>SUMIF('库存（子SKU）'!$C:$C,$A110,'库存（子SKU）'!G:G)</f>
        <v>0</v>
      </c>
      <c r="F110" s="6">
        <v>23.99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>
        <f t="shared" si="22"/>
        <v>0</v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2</v>
      </c>
      <c r="AJ110">
        <f>SUMIF('库存（子SKU）'!$C:$C,$A110,'库存（子SKU）'!AL:AL)</f>
        <v>2</v>
      </c>
      <c r="AK110">
        <f>SUMIF('库存（子SKU）'!$C:$C,$A110,'库存（子SKU）'!AM:AM)</f>
        <v>2</v>
      </c>
      <c r="AL110" s="23" t="str">
        <f t="shared" si="24"/>
        <v/>
      </c>
      <c r="AM110" s="23">
        <f t="shared" si="25"/>
        <v>0</v>
      </c>
      <c r="AN110" s="23">
        <f t="shared" si="26"/>
        <v>0.5</v>
      </c>
      <c r="AO110" s="23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2</v>
      </c>
      <c r="AS110" t="str">
        <f t="shared" si="31"/>
        <v>库存为2</v>
      </c>
      <c r="AT110" s="2" t="str">
        <f>IFERROR(时间!$B$4+AS110,"上周无销量")</f>
        <v>上周无销量</v>
      </c>
    </row>
    <row r="111" spans="1:46">
      <c r="A111" t="s">
        <v>535</v>
      </c>
      <c r="B111" s="5">
        <f>SUMIF('库存（子SKU）'!$C:$C,$A111,'库存（子SKU）'!D:D)</f>
        <v>0</v>
      </c>
      <c r="C111" s="5">
        <f>SUMIF('库存（子SKU）'!$C:$C,$A111,'库存（子SKU）'!E:E)</f>
        <v>1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16.99</v>
      </c>
      <c r="G111">
        <f>SUMIF('库存（子SKU）'!$C:$C,$A111,'库存（子SKU）'!I:I)</f>
        <v>14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14</v>
      </c>
      <c r="L111">
        <f>SUMIF('库存（子SKU）'!$C:$C,$A111,'库存（子SKU）'!N:N)</f>
        <v>0</v>
      </c>
      <c r="M111">
        <f>SUMIF('库存（子SKU）'!$C:$C,$A111,'库存（子SKU）'!O:O)</f>
        <v>14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>
        <f t="shared" si="21"/>
        <v>0</v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11</v>
      </c>
      <c r="AI111">
        <f>SUMIF('库存（子SKU）'!$C:$C,$A111,'库存（子SKU）'!AK:AK)</f>
        <v>22</v>
      </c>
      <c r="AJ111">
        <f>SUMIF('库存（子SKU）'!$C:$C,$A111,'库存（子SKU）'!AL:AL)</f>
        <v>12</v>
      </c>
      <c r="AK111">
        <f>SUMIF('库存（子SKU）'!$C:$C,$A111,'库存（子SKU）'!AM:AM)</f>
        <v>14</v>
      </c>
      <c r="AL111" s="23">
        <f t="shared" si="24"/>
        <v>0</v>
      </c>
      <c r="AM111" s="23">
        <f t="shared" si="25"/>
        <v>0.0454545454545455</v>
      </c>
      <c r="AN111" s="23">
        <f t="shared" si="26"/>
        <v>0</v>
      </c>
      <c r="AO111" s="23">
        <f t="shared" si="27"/>
        <v>0</v>
      </c>
      <c r="AP111" s="7">
        <f t="shared" si="28"/>
        <v>0</v>
      </c>
      <c r="AQ111" s="7">
        <f t="shared" si="29"/>
        <v>0</v>
      </c>
      <c r="AR111" s="7">
        <f t="shared" si="30"/>
        <v>14</v>
      </c>
      <c r="AS111" t="str">
        <f t="shared" si="31"/>
        <v>库存为14</v>
      </c>
      <c r="AT111" s="2" t="str">
        <f>IFERROR(时间!$B$4+AS111,"上周无销量")</f>
        <v>上周无销量</v>
      </c>
    </row>
    <row r="112" spans="1:46">
      <c r="A112" t="s">
        <v>539</v>
      </c>
      <c r="B112" s="5">
        <f>SUMIF('库存（子SKU）'!$C:$C,$A112,'库存（子SKU）'!D:D)</f>
        <v>3</v>
      </c>
      <c r="C112" s="5">
        <f>SUMIF('库存（子SKU）'!$C:$C,$A112,'库存（子SKU）'!E:E)</f>
        <v>2</v>
      </c>
      <c r="D112" s="5">
        <f>SUMIF('库存（子SKU）'!$C:$C,$A112,'库存（子SKU）'!F:F)</f>
        <v>1</v>
      </c>
      <c r="E112" s="5">
        <f>SUMIF('库存（子SKU）'!$C:$C,$A112,'库存（子SKU）'!G:G)</f>
        <v>4</v>
      </c>
      <c r="F112" s="6">
        <v>21.99</v>
      </c>
      <c r="G112">
        <f>SUMIF('库存（子SKU）'!$C:$C,$A112,'库存（子SKU）'!I:I)</f>
        <v>5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3</v>
      </c>
      <c r="K112">
        <f t="shared" si="19"/>
        <v>8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>
        <f t="shared" si="20"/>
        <v>0</v>
      </c>
      <c r="AE112" s="23">
        <f t="shared" si="21"/>
        <v>0</v>
      </c>
      <c r="AF112" s="23">
        <f t="shared" si="22"/>
        <v>0</v>
      </c>
      <c r="AG112" s="23">
        <f t="shared" si="23"/>
        <v>0</v>
      </c>
      <c r="AH112">
        <f>SUMIF('库存（子SKU）'!$C:$C,$A112,'库存（子SKU）'!AJ:AJ)</f>
        <v>43</v>
      </c>
      <c r="AI112">
        <f>SUMIF('库存（子SKU）'!$C:$C,$A112,'库存（子SKU）'!AK:AK)</f>
        <v>40</v>
      </c>
      <c r="AJ112">
        <f>SUMIF('库存（子SKU）'!$C:$C,$A112,'库存（子SKU）'!AL:AL)</f>
        <v>18</v>
      </c>
      <c r="AK112">
        <f>SUMIF('库存（子SKU）'!$C:$C,$A112,'库存（子SKU）'!AM:AM)</f>
        <v>16</v>
      </c>
      <c r="AL112" s="23">
        <f t="shared" si="24"/>
        <v>0.0697674418604651</v>
      </c>
      <c r="AM112" s="23">
        <f t="shared" si="25"/>
        <v>0.05</v>
      </c>
      <c r="AN112" s="23">
        <f t="shared" si="26"/>
        <v>0.0555555555555556</v>
      </c>
      <c r="AO112" s="23">
        <f t="shared" si="27"/>
        <v>0.25</v>
      </c>
      <c r="AP112" s="7">
        <f t="shared" si="28"/>
        <v>0.428571428571429</v>
      </c>
      <c r="AQ112" s="7">
        <f t="shared" si="29"/>
        <v>25.7142857142857</v>
      </c>
      <c r="AR112" s="7">
        <f t="shared" si="30"/>
        <v>-17.7142857142857</v>
      </c>
      <c r="AS112">
        <f t="shared" si="31"/>
        <v>18</v>
      </c>
      <c r="AT112" s="2">
        <f>IFERROR(时间!$B$4+AS112,"上周无销量")</f>
        <v>43315</v>
      </c>
    </row>
    <row r="113" spans="1:46">
      <c r="A113" t="s">
        <v>542</v>
      </c>
      <c r="B113" s="5">
        <f>SUMIF('库存（子SKU）'!$C:$C,$A113,'库存（子SKU）'!D:D)</f>
        <v>3</v>
      </c>
      <c r="C113" s="5">
        <f>SUMIF('库存（子SKU）'!$C:$C,$A113,'库存（子SKU）'!E:E)</f>
        <v>2</v>
      </c>
      <c r="D113" s="5">
        <f>SUMIF('库存（子SKU）'!$C:$C,$A113,'库存（子SKU）'!F:F)</f>
        <v>0</v>
      </c>
      <c r="E113" s="5">
        <f>SUMIF('库存（子SKU）'!$C:$C,$A113,'库存（子SKU）'!G:G)</f>
        <v>1</v>
      </c>
      <c r="F113" s="6">
        <v>21.99</v>
      </c>
      <c r="G113">
        <f>SUMIF('库存（子SKU）'!$C:$C,$A113,'库存（子SKU）'!I:I)</f>
        <v>4</v>
      </c>
      <c r="H113">
        <f>SUMIF('库存（子SKU）'!$C:$C,$A113,'库存（子SKU）'!J:J)</f>
        <v>5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9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>
        <f t="shared" si="20"/>
        <v>0</v>
      </c>
      <c r="AE113" s="23">
        <f t="shared" si="21"/>
        <v>0</v>
      </c>
      <c r="AF113" s="23" t="str">
        <f t="shared" si="22"/>
        <v/>
      </c>
      <c r="AG113" s="23">
        <f t="shared" si="23"/>
        <v>0</v>
      </c>
      <c r="AH113">
        <f>SUMIF('库存（子SKU）'!$C:$C,$A113,'库存（子SKU）'!AJ:AJ)</f>
        <v>51</v>
      </c>
      <c r="AI113">
        <f>SUMIF('库存（子SKU）'!$C:$C,$A113,'库存（子SKU）'!AK:AK)</f>
        <v>7</v>
      </c>
      <c r="AJ113">
        <f>SUMIF('库存（子SKU）'!$C:$C,$A113,'库存（子SKU）'!AL:AL)</f>
        <v>15</v>
      </c>
      <c r="AK113">
        <f>SUMIF('库存（子SKU）'!$C:$C,$A113,'库存（子SKU）'!AM:AM)</f>
        <v>19</v>
      </c>
      <c r="AL113" s="23">
        <f t="shared" si="24"/>
        <v>0.0588235294117647</v>
      </c>
      <c r="AM113" s="23">
        <f t="shared" si="25"/>
        <v>0.285714285714286</v>
      </c>
      <c r="AN113" s="23">
        <f t="shared" si="26"/>
        <v>0</v>
      </c>
      <c r="AO113" s="23">
        <f t="shared" si="27"/>
        <v>0.0526315789473684</v>
      </c>
      <c r="AP113" s="7">
        <f t="shared" si="28"/>
        <v>0.428571428571429</v>
      </c>
      <c r="AQ113" s="7">
        <f t="shared" si="29"/>
        <v>25.7142857142857</v>
      </c>
      <c r="AR113" s="7">
        <f t="shared" si="30"/>
        <v>-16.7142857142857</v>
      </c>
      <c r="AS113">
        <f t="shared" si="31"/>
        <v>21</v>
      </c>
      <c r="AT113" s="2">
        <f>IFERROR(时间!$B$4+AS113,"上周无销量")</f>
        <v>43318</v>
      </c>
    </row>
    <row r="114" spans="1:46">
      <c r="A114" t="s">
        <v>545</v>
      </c>
      <c r="B114" s="5">
        <f>SUMIF('库存（子SKU）'!$C:$C,$A114,'库存（子SKU）'!D:D)</f>
        <v>10</v>
      </c>
      <c r="C114" s="5">
        <f>SUMIF('库存（子SKU）'!$C:$C,$A114,'库存（子SKU）'!E:E)</f>
        <v>3</v>
      </c>
      <c r="D114" s="5">
        <f>SUMIF('库存（子SKU）'!$C:$C,$A114,'库存（子SKU）'!F:F)</f>
        <v>12</v>
      </c>
      <c r="E114" s="5">
        <f>SUMIF('库存（子SKU）'!$C:$C,$A114,'库存（子SKU）'!G:G)</f>
        <v>5</v>
      </c>
      <c r="F114" s="6">
        <v>21.99</v>
      </c>
      <c r="G114">
        <f>SUMIF('库存（子SKU）'!$C:$C,$A114,'库存（子SKU）'!I:I)</f>
        <v>6</v>
      </c>
      <c r="H114">
        <f>SUMIF('库存（子SKU）'!$C:$C,$A114,'库存（子SKU）'!J:J)</f>
        <v>10</v>
      </c>
      <c r="I114">
        <f>SUMIF('库存（子SKU）'!$C:$C,$A114,'库存（子SKU）'!K:K)</f>
        <v>0</v>
      </c>
      <c r="J114">
        <f>SUMIF('库存（子SKU）'!$C:$C,$A114,'库存（子SKU）'!L:L)</f>
        <v>8</v>
      </c>
      <c r="K114">
        <f t="shared" si="19"/>
        <v>24</v>
      </c>
      <c r="L114">
        <f>SUMIF('库存（子SKU）'!$C:$C,$A114,'库存（子SKU）'!N:N)</f>
        <v>1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>
        <f t="shared" si="20"/>
        <v>0</v>
      </c>
      <c r="AE114" s="23">
        <f t="shared" si="21"/>
        <v>0</v>
      </c>
      <c r="AF114" s="23">
        <f t="shared" si="22"/>
        <v>0</v>
      </c>
      <c r="AG114" s="23">
        <f t="shared" si="23"/>
        <v>0</v>
      </c>
      <c r="AH114">
        <f>SUMIF('库存（子SKU）'!$C:$C,$A114,'库存（子SKU）'!AJ:AJ)</f>
        <v>174</v>
      </c>
      <c r="AI114">
        <f>SUMIF('库存（子SKU）'!$C:$C,$A114,'库存（子SKU）'!AK:AK)</f>
        <v>96</v>
      </c>
      <c r="AJ114">
        <f>SUMIF('库存（子SKU）'!$C:$C,$A114,'库存（子SKU）'!AL:AL)</f>
        <v>115</v>
      </c>
      <c r="AK114">
        <f>SUMIF('库存（子SKU）'!$C:$C,$A114,'库存（子SKU）'!AM:AM)</f>
        <v>95</v>
      </c>
      <c r="AL114" s="23">
        <f t="shared" si="24"/>
        <v>0.0574712643678161</v>
      </c>
      <c r="AM114" s="23">
        <f t="shared" si="25"/>
        <v>0.03125</v>
      </c>
      <c r="AN114" s="23">
        <f t="shared" si="26"/>
        <v>0.104347826086957</v>
      </c>
      <c r="AO114" s="23">
        <f t="shared" si="27"/>
        <v>0.0526315789473684</v>
      </c>
      <c r="AP114" s="7">
        <f t="shared" si="28"/>
        <v>1.42857142857143</v>
      </c>
      <c r="AQ114" s="7">
        <f t="shared" si="29"/>
        <v>85.7142857142857</v>
      </c>
      <c r="AR114" s="7">
        <f t="shared" si="30"/>
        <v>-61.7142857142857</v>
      </c>
      <c r="AS114">
        <f t="shared" si="31"/>
        <v>16</v>
      </c>
      <c r="AT114" s="2">
        <f>IFERROR(时间!$B$4+AS114,"上周无销量")</f>
        <v>43313</v>
      </c>
    </row>
    <row r="115" spans="1:46">
      <c r="A115" t="s">
        <v>548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57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551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57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554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">
        <v>57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7">
        <f t="shared" si="28"/>
        <v>0</v>
      </c>
      <c r="AQ117" s="7">
        <f t="shared" si="29"/>
        <v>0</v>
      </c>
      <c r="AR117" s="7">
        <f t="shared" si="30"/>
        <v>0</v>
      </c>
      <c r="AS117" t="str">
        <f t="shared" si="31"/>
        <v>库存为0</v>
      </c>
      <c r="AT117" s="2" t="str">
        <f>IFERROR(时间!$B$4+AS117,"上周无销量")</f>
        <v>上周无销量</v>
      </c>
    </row>
    <row r="118" spans="1:46">
      <c r="A118" t="s">
        <v>557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1</v>
      </c>
      <c r="F118" s="6">
        <v>21.99</v>
      </c>
      <c r="G118">
        <f>SUMIF('库存（子SKU）'!$C:$C,$A118,'库存（子SKU）'!I:I)</f>
        <v>12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12</v>
      </c>
      <c r="L118">
        <f>SUMIF('库存（子SKU）'!$C:$C,$A118,'库存（子SKU）'!N:N)</f>
        <v>0</v>
      </c>
      <c r="M118">
        <f>SUMIF('库存（子SKU）'!$C:$C,$A118,'库存（子SKU）'!O:O)</f>
        <v>12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>
        <f t="shared" si="23"/>
        <v>0</v>
      </c>
      <c r="AH118">
        <f>SUMIF('库存（子SKU）'!$C:$C,$A118,'库存（子SKU）'!AJ:AJ)</f>
        <v>13</v>
      </c>
      <c r="AI118">
        <f>SUMIF('库存（子SKU）'!$C:$C,$A118,'库存（子SKU）'!AK:AK)</f>
        <v>14</v>
      </c>
      <c r="AJ118">
        <f>SUMIF('库存（子SKU）'!$C:$C,$A118,'库存（子SKU）'!AL:AL)</f>
        <v>7</v>
      </c>
      <c r="AK118">
        <f>SUMIF('库存（子SKU）'!$C:$C,$A118,'库存（子SKU）'!AM:AM)</f>
        <v>6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0.166666666666667</v>
      </c>
      <c r="AP118" s="7">
        <f t="shared" si="28"/>
        <v>0</v>
      </c>
      <c r="AQ118" s="7">
        <f t="shared" si="29"/>
        <v>0</v>
      </c>
      <c r="AR118" s="7">
        <f t="shared" si="30"/>
        <v>12</v>
      </c>
      <c r="AS118" t="str">
        <f t="shared" si="31"/>
        <v>库存为12</v>
      </c>
      <c r="AT118" s="2" t="str">
        <f>IFERROR(时间!$B$4+AS118,"上周无销量")</f>
        <v>上周无销量</v>
      </c>
    </row>
    <row r="119" spans="1:46">
      <c r="A119" t="s">
        <v>560</v>
      </c>
      <c r="B119" s="5">
        <f>SUMIF('库存（子SKU）'!$C:$C,$A119,'库存（子SKU）'!D:D)</f>
        <v>3</v>
      </c>
      <c r="C119" s="5">
        <f>SUMIF('库存（子SKU）'!$C:$C,$A119,'库存（子SKU）'!E:E)</f>
        <v>1</v>
      </c>
      <c r="D119" s="5">
        <f>SUMIF('库存（子SKU）'!$C:$C,$A119,'库存（子SKU）'!F:F)</f>
        <v>4</v>
      </c>
      <c r="E119" s="5">
        <f>SUMIF('库存（子SKU）'!$C:$C,$A119,'库存（子SKU）'!G:G)</f>
        <v>3</v>
      </c>
      <c r="F119" s="6">
        <v>21.99</v>
      </c>
      <c r="G119">
        <f>SUMIF('库存（子SKU）'!$C:$C,$A119,'库存（子SKU）'!I:I)</f>
        <v>7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7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>
        <f t="shared" si="20"/>
        <v>0</v>
      </c>
      <c r="AE119" s="23">
        <f t="shared" si="21"/>
        <v>0</v>
      </c>
      <c r="AF119" s="23">
        <f t="shared" si="22"/>
        <v>0</v>
      </c>
      <c r="AG119" s="23">
        <f t="shared" si="23"/>
        <v>0</v>
      </c>
      <c r="AH119">
        <f>SUMIF('库存（子SKU）'!$C:$C,$A119,'库存（子SKU）'!AJ:AJ)</f>
        <v>23</v>
      </c>
      <c r="AI119">
        <f>SUMIF('库存（子SKU）'!$C:$C,$A119,'库存（子SKU）'!AK:AK)</f>
        <v>15</v>
      </c>
      <c r="AJ119">
        <f>SUMIF('库存（子SKU）'!$C:$C,$A119,'库存（子SKU）'!AL:AL)</f>
        <v>37</v>
      </c>
      <c r="AK119">
        <f>SUMIF('库存（子SKU）'!$C:$C,$A119,'库存（子SKU）'!AM:AM)</f>
        <v>29</v>
      </c>
      <c r="AL119" s="23">
        <f t="shared" si="24"/>
        <v>0.130434782608696</v>
      </c>
      <c r="AM119" s="23">
        <f t="shared" si="25"/>
        <v>0.0666666666666667</v>
      </c>
      <c r="AN119" s="23">
        <f t="shared" si="26"/>
        <v>0.108108108108108</v>
      </c>
      <c r="AO119" s="23">
        <f t="shared" si="27"/>
        <v>0.103448275862069</v>
      </c>
      <c r="AP119" s="7">
        <f t="shared" si="28"/>
        <v>0.428571428571429</v>
      </c>
      <c r="AQ119" s="7">
        <f t="shared" si="29"/>
        <v>25.7142857142857</v>
      </c>
      <c r="AR119" s="7">
        <f t="shared" si="30"/>
        <v>-18.7142857142857</v>
      </c>
      <c r="AS119">
        <f t="shared" si="31"/>
        <v>16</v>
      </c>
      <c r="AT119" s="2">
        <f>IFERROR(时间!$B$4+AS119,"上周无销量")</f>
        <v>43313</v>
      </c>
    </row>
    <row r="120" spans="1:46">
      <c r="A120" t="s">
        <v>563</v>
      </c>
      <c r="B120" s="5">
        <f>SUMIF('库存（子SKU）'!$C:$C,$A120,'库存（子SKU）'!D:D)</f>
        <v>0</v>
      </c>
      <c r="C120" s="5">
        <f>SUMIF('库存（子SKU）'!$C:$C,$A120,'库存（子SKU）'!E:E)</f>
        <v>1</v>
      </c>
      <c r="D120" s="5">
        <f>SUMIF('库存（子SKU）'!$C:$C,$A120,'库存（子SKU）'!F:F)</f>
        <v>1</v>
      </c>
      <c r="E120" s="5">
        <f>SUMIF('库存（子SKU）'!$C:$C,$A120,'库存（子SKU）'!G:G)</f>
        <v>2</v>
      </c>
      <c r="F120" s="6">
        <v>21.99</v>
      </c>
      <c r="G120">
        <f>SUMIF('库存（子SKU）'!$C:$C,$A120,'库存（子SKU）'!I:I)</f>
        <v>13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13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>
        <f t="shared" si="21"/>
        <v>0</v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29</v>
      </c>
      <c r="AI120">
        <f>SUMIF('库存（子SKU）'!$C:$C,$A120,'库存（子SKU）'!AK:AK)</f>
        <v>21</v>
      </c>
      <c r="AJ120">
        <f>SUMIF('库存（子SKU）'!$C:$C,$A120,'库存（子SKU）'!AL:AL)</f>
        <v>19</v>
      </c>
      <c r="AK120">
        <f>SUMIF('库存（子SKU）'!$C:$C,$A120,'库存（子SKU）'!AM:AM)</f>
        <v>14</v>
      </c>
      <c r="AL120" s="23">
        <f t="shared" si="24"/>
        <v>0</v>
      </c>
      <c r="AM120" s="23">
        <f t="shared" si="25"/>
        <v>0.0476190476190476</v>
      </c>
      <c r="AN120" s="23">
        <f t="shared" si="26"/>
        <v>0.0526315789473684</v>
      </c>
      <c r="AO120" s="23">
        <f t="shared" si="27"/>
        <v>0.142857142857143</v>
      </c>
      <c r="AP120" s="7">
        <f t="shared" si="28"/>
        <v>0</v>
      </c>
      <c r="AQ120" s="7">
        <f t="shared" si="29"/>
        <v>0</v>
      </c>
      <c r="AR120" s="7">
        <f t="shared" si="30"/>
        <v>13</v>
      </c>
      <c r="AS120" t="str">
        <f t="shared" si="31"/>
        <v>库存为13</v>
      </c>
      <c r="AT120" s="2" t="str">
        <f>IFERROR(时间!$B$4+AS120,"上周无销量")</f>
        <v>上周无销量</v>
      </c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770" operator="lessThan">
      <formula>20</formula>
    </cfRule>
    <cfRule type="cellIs" dxfId="1" priority="1769" operator="greaterThan">
      <formula>120</formula>
    </cfRule>
    <cfRule type="containsText" dxfId="3" priority="1768" operator="between" text="库存">
      <formula>NOT(ISERROR(SEARCH("库存",AS2)))</formula>
    </cfRule>
  </conditionalFormatting>
  <conditionalFormatting sqref="AS6">
    <cfRule type="cellIs" dxfId="0" priority="345" operator="lessThan">
      <formula>20</formula>
    </cfRule>
    <cfRule type="cellIs" dxfId="1" priority="230" operator="greaterThan">
      <formula>120</formula>
    </cfRule>
    <cfRule type="containsText" dxfId="3" priority="115" operator="between" text="库存">
      <formula>NOT(ISERROR(SEARCH("库存",AS6)))</formula>
    </cfRule>
  </conditionalFormatting>
  <conditionalFormatting sqref="AS7">
    <cfRule type="cellIs" dxfId="0" priority="344" operator="lessThan">
      <formula>20</formula>
    </cfRule>
    <cfRule type="cellIs" dxfId="1" priority="229" operator="greaterThan">
      <formula>120</formula>
    </cfRule>
    <cfRule type="containsText" dxfId="3" priority="114" operator="between" text="库存">
      <formula>NOT(ISERROR(SEARCH("库存",AS7)))</formula>
    </cfRule>
  </conditionalFormatting>
  <conditionalFormatting sqref="AS8">
    <cfRule type="cellIs" dxfId="0" priority="343" operator="lessThan">
      <formula>20</formula>
    </cfRule>
    <cfRule type="cellIs" dxfId="1" priority="228" operator="greaterThan">
      <formula>120</formula>
    </cfRule>
    <cfRule type="containsText" dxfId="3" priority="113" operator="between" text="库存">
      <formula>NOT(ISERROR(SEARCH("库存",AS8)))</formula>
    </cfRule>
  </conditionalFormatting>
  <conditionalFormatting sqref="AS9">
    <cfRule type="cellIs" dxfId="0" priority="342" operator="lessThan">
      <formula>20</formula>
    </cfRule>
    <cfRule type="cellIs" dxfId="1" priority="227" operator="greaterThan">
      <formula>120</formula>
    </cfRule>
    <cfRule type="containsText" dxfId="3" priority="112" operator="between" text="库存">
      <formula>NOT(ISERROR(SEARCH("库存",AS9)))</formula>
    </cfRule>
  </conditionalFormatting>
  <conditionalFormatting sqref="AS10">
    <cfRule type="cellIs" dxfId="0" priority="341" operator="lessThan">
      <formula>20</formula>
    </cfRule>
    <cfRule type="cellIs" dxfId="1" priority="226" operator="greaterThan">
      <formula>120</formula>
    </cfRule>
    <cfRule type="containsText" dxfId="3" priority="111" operator="between" text="库存">
      <formula>NOT(ISERROR(SEARCH("库存",AS10)))</formula>
    </cfRule>
  </conditionalFormatting>
  <conditionalFormatting sqref="AS11">
    <cfRule type="cellIs" dxfId="0" priority="340" operator="lessThan">
      <formula>20</formula>
    </cfRule>
    <cfRule type="cellIs" dxfId="1" priority="225" operator="greaterThan">
      <formula>120</formula>
    </cfRule>
    <cfRule type="containsText" dxfId="3" priority="110" operator="between" text="库存">
      <formula>NOT(ISERROR(SEARCH("库存",AS11)))</formula>
    </cfRule>
  </conditionalFormatting>
  <conditionalFormatting sqref="AS12">
    <cfRule type="cellIs" dxfId="0" priority="339" operator="lessThan">
      <formula>20</formula>
    </cfRule>
    <cfRule type="cellIs" dxfId="1" priority="224" operator="greaterThan">
      <formula>120</formula>
    </cfRule>
    <cfRule type="containsText" dxfId="3" priority="109" operator="between" text="库存">
      <formula>NOT(ISERROR(SEARCH("库存",AS12)))</formula>
    </cfRule>
  </conditionalFormatting>
  <conditionalFormatting sqref="AS13">
    <cfRule type="cellIs" dxfId="0" priority="338" operator="lessThan">
      <formula>20</formula>
    </cfRule>
    <cfRule type="cellIs" dxfId="1" priority="223" operator="greaterThan">
      <formula>120</formula>
    </cfRule>
    <cfRule type="containsText" dxfId="3" priority="108" operator="between" text="库存">
      <formula>NOT(ISERROR(SEARCH("库存",AS13)))</formula>
    </cfRule>
  </conditionalFormatting>
  <conditionalFormatting sqref="AS14">
    <cfRule type="cellIs" dxfId="0" priority="337" operator="lessThan">
      <formula>20</formula>
    </cfRule>
    <cfRule type="cellIs" dxfId="1" priority="222" operator="greaterThan">
      <formula>120</formula>
    </cfRule>
    <cfRule type="containsText" dxfId="3" priority="107" operator="between" text="库存">
      <formula>NOT(ISERROR(SEARCH("库存",AS14)))</formula>
    </cfRule>
  </conditionalFormatting>
  <conditionalFormatting sqref="AS15">
    <cfRule type="cellIs" dxfId="0" priority="336" operator="lessThan">
      <formula>20</formula>
    </cfRule>
    <cfRule type="cellIs" dxfId="1" priority="221" operator="greaterThan">
      <formula>120</formula>
    </cfRule>
    <cfRule type="containsText" dxfId="3" priority="106" operator="between" text="库存">
      <formula>NOT(ISERROR(SEARCH("库存",AS15)))</formula>
    </cfRule>
  </conditionalFormatting>
  <conditionalFormatting sqref="AS16">
    <cfRule type="cellIs" dxfId="0" priority="335" operator="lessThan">
      <formula>20</formula>
    </cfRule>
    <cfRule type="cellIs" dxfId="1" priority="220" operator="greaterThan">
      <formula>120</formula>
    </cfRule>
    <cfRule type="containsText" dxfId="3" priority="105" operator="between" text="库存">
      <formula>NOT(ISERROR(SEARCH("库存",AS16)))</formula>
    </cfRule>
  </conditionalFormatting>
  <conditionalFormatting sqref="AS17">
    <cfRule type="cellIs" dxfId="0" priority="334" operator="lessThan">
      <formula>20</formula>
    </cfRule>
    <cfRule type="cellIs" dxfId="1" priority="219" operator="greaterThan">
      <formula>120</formula>
    </cfRule>
    <cfRule type="containsText" dxfId="3" priority="104" operator="between" text="库存">
      <formula>NOT(ISERROR(SEARCH("库存",AS17)))</formula>
    </cfRule>
  </conditionalFormatting>
  <conditionalFormatting sqref="AS18">
    <cfRule type="cellIs" dxfId="0" priority="333" operator="lessThan">
      <formula>20</formula>
    </cfRule>
    <cfRule type="cellIs" dxfId="1" priority="218" operator="greaterThan">
      <formula>120</formula>
    </cfRule>
    <cfRule type="containsText" dxfId="3" priority="103" operator="between" text="库存">
      <formula>NOT(ISERROR(SEARCH("库存",AS18)))</formula>
    </cfRule>
  </conditionalFormatting>
  <conditionalFormatting sqref="AS19">
    <cfRule type="cellIs" dxfId="0" priority="332" operator="lessThan">
      <formula>20</formula>
    </cfRule>
    <cfRule type="cellIs" dxfId="1" priority="217" operator="greaterThan">
      <formula>120</formula>
    </cfRule>
    <cfRule type="containsText" dxfId="3" priority="102" operator="between" text="库存">
      <formula>NOT(ISERROR(SEARCH("库存",AS19)))</formula>
    </cfRule>
  </conditionalFormatting>
  <conditionalFormatting sqref="AS20">
    <cfRule type="cellIs" dxfId="0" priority="331" operator="lessThan">
      <formula>20</formula>
    </cfRule>
    <cfRule type="cellIs" dxfId="1" priority="216" operator="greaterThan">
      <formula>120</formula>
    </cfRule>
    <cfRule type="containsText" dxfId="3" priority="101" operator="between" text="库存">
      <formula>NOT(ISERROR(SEARCH("库存",AS20)))</formula>
    </cfRule>
  </conditionalFormatting>
  <conditionalFormatting sqref="AS21">
    <cfRule type="cellIs" dxfId="0" priority="330" operator="lessThan">
      <formula>20</formula>
    </cfRule>
    <cfRule type="cellIs" dxfId="1" priority="215" operator="greaterThan">
      <formula>120</formula>
    </cfRule>
    <cfRule type="containsText" dxfId="3" priority="100" operator="between" text="库存">
      <formula>NOT(ISERROR(SEARCH("库存",AS21)))</formula>
    </cfRule>
  </conditionalFormatting>
  <conditionalFormatting sqref="AS22">
    <cfRule type="cellIs" dxfId="0" priority="329" operator="lessThan">
      <formula>20</formula>
    </cfRule>
    <cfRule type="cellIs" dxfId="1" priority="214" operator="greaterThan">
      <formula>120</formula>
    </cfRule>
    <cfRule type="containsText" dxfId="3" priority="99" operator="between" text="库存">
      <formula>NOT(ISERROR(SEARCH("库存",AS22)))</formula>
    </cfRule>
  </conditionalFormatting>
  <conditionalFormatting sqref="AS23">
    <cfRule type="cellIs" dxfId="0" priority="328" operator="lessThan">
      <formula>20</formula>
    </cfRule>
    <cfRule type="cellIs" dxfId="1" priority="213" operator="greaterThan">
      <formula>120</formula>
    </cfRule>
    <cfRule type="containsText" dxfId="3" priority="98" operator="between" text="库存">
      <formula>NOT(ISERROR(SEARCH("库存",AS23)))</formula>
    </cfRule>
  </conditionalFormatting>
  <conditionalFormatting sqref="AS24">
    <cfRule type="cellIs" dxfId="0" priority="327" operator="lessThan">
      <formula>20</formula>
    </cfRule>
    <cfRule type="cellIs" dxfId="1" priority="212" operator="greaterThan">
      <formula>120</formula>
    </cfRule>
    <cfRule type="containsText" dxfId="3" priority="97" operator="between" text="库存">
      <formula>NOT(ISERROR(SEARCH("库存",AS24)))</formula>
    </cfRule>
  </conditionalFormatting>
  <conditionalFormatting sqref="AS25">
    <cfRule type="cellIs" dxfId="0" priority="326" operator="lessThan">
      <formula>20</formula>
    </cfRule>
    <cfRule type="cellIs" dxfId="1" priority="211" operator="greaterThan">
      <formula>120</formula>
    </cfRule>
    <cfRule type="containsText" dxfId="3" priority="96" operator="between" text="库存">
      <formula>NOT(ISERROR(SEARCH("库存",AS25)))</formula>
    </cfRule>
  </conditionalFormatting>
  <conditionalFormatting sqref="AS26">
    <cfRule type="cellIs" dxfId="0" priority="325" operator="lessThan">
      <formula>20</formula>
    </cfRule>
    <cfRule type="cellIs" dxfId="1" priority="210" operator="greaterThan">
      <formula>120</formula>
    </cfRule>
    <cfRule type="containsText" dxfId="3" priority="95" operator="between" text="库存">
      <formula>NOT(ISERROR(SEARCH("库存",AS26)))</formula>
    </cfRule>
  </conditionalFormatting>
  <conditionalFormatting sqref="AS27">
    <cfRule type="cellIs" dxfId="0" priority="324" operator="lessThan">
      <formula>20</formula>
    </cfRule>
    <cfRule type="cellIs" dxfId="1" priority="209" operator="greaterThan">
      <formula>120</formula>
    </cfRule>
    <cfRule type="containsText" dxfId="3" priority="94" operator="between" text="库存">
      <formula>NOT(ISERROR(SEARCH("库存",AS27)))</formula>
    </cfRule>
  </conditionalFormatting>
  <conditionalFormatting sqref="AS28">
    <cfRule type="cellIs" dxfId="0" priority="323" operator="lessThan">
      <formula>20</formula>
    </cfRule>
    <cfRule type="cellIs" dxfId="1" priority="208" operator="greaterThan">
      <formula>120</formula>
    </cfRule>
    <cfRule type="containsText" dxfId="3" priority="93" operator="between" text="库存">
      <formula>NOT(ISERROR(SEARCH("库存",AS28)))</formula>
    </cfRule>
  </conditionalFormatting>
  <conditionalFormatting sqref="AS29">
    <cfRule type="cellIs" dxfId="0" priority="322" operator="lessThan">
      <formula>20</formula>
    </cfRule>
    <cfRule type="cellIs" dxfId="1" priority="207" operator="greaterThan">
      <formula>120</formula>
    </cfRule>
    <cfRule type="containsText" dxfId="3" priority="92" operator="between" text="库存">
      <formula>NOT(ISERROR(SEARCH("库存",AS29)))</formula>
    </cfRule>
  </conditionalFormatting>
  <conditionalFormatting sqref="AS30">
    <cfRule type="cellIs" dxfId="0" priority="321" operator="lessThan">
      <formula>20</formula>
    </cfRule>
    <cfRule type="cellIs" dxfId="1" priority="206" operator="greaterThan">
      <formula>120</formula>
    </cfRule>
    <cfRule type="containsText" dxfId="3" priority="91" operator="between" text="库存">
      <formula>NOT(ISERROR(SEARCH("库存",AS30)))</formula>
    </cfRule>
  </conditionalFormatting>
  <conditionalFormatting sqref="AS31">
    <cfRule type="cellIs" dxfId="0" priority="320" operator="lessThan">
      <formula>20</formula>
    </cfRule>
    <cfRule type="cellIs" dxfId="1" priority="205" operator="greaterThan">
      <formula>120</formula>
    </cfRule>
    <cfRule type="containsText" dxfId="3" priority="90" operator="between" text="库存">
      <formula>NOT(ISERROR(SEARCH("库存",AS31)))</formula>
    </cfRule>
  </conditionalFormatting>
  <conditionalFormatting sqref="AS32">
    <cfRule type="cellIs" dxfId="0" priority="319" operator="lessThan">
      <formula>20</formula>
    </cfRule>
    <cfRule type="cellIs" dxfId="1" priority="204" operator="greaterThan">
      <formula>120</formula>
    </cfRule>
    <cfRule type="containsText" dxfId="3" priority="89" operator="between" text="库存">
      <formula>NOT(ISERROR(SEARCH("库存",AS32)))</formula>
    </cfRule>
  </conditionalFormatting>
  <conditionalFormatting sqref="AS33">
    <cfRule type="cellIs" dxfId="0" priority="318" operator="lessThan">
      <formula>20</formula>
    </cfRule>
    <cfRule type="cellIs" dxfId="1" priority="203" operator="greaterThan">
      <formula>120</formula>
    </cfRule>
    <cfRule type="containsText" dxfId="3" priority="88" operator="between" text="库存">
      <formula>NOT(ISERROR(SEARCH("库存",AS33)))</formula>
    </cfRule>
  </conditionalFormatting>
  <conditionalFormatting sqref="AS34">
    <cfRule type="cellIs" dxfId="0" priority="317" operator="lessThan">
      <formula>20</formula>
    </cfRule>
    <cfRule type="cellIs" dxfId="1" priority="202" operator="greaterThan">
      <formula>120</formula>
    </cfRule>
    <cfRule type="containsText" dxfId="3" priority="87" operator="between" text="库存">
      <formula>NOT(ISERROR(SEARCH("库存",AS34)))</formula>
    </cfRule>
  </conditionalFormatting>
  <conditionalFormatting sqref="AS35">
    <cfRule type="cellIs" dxfId="0" priority="316" operator="lessThan">
      <formula>20</formula>
    </cfRule>
    <cfRule type="cellIs" dxfId="1" priority="201" operator="greaterThan">
      <formula>120</formula>
    </cfRule>
    <cfRule type="containsText" dxfId="3" priority="86" operator="between" text="库存">
      <formula>NOT(ISERROR(SEARCH("库存",AS35)))</formula>
    </cfRule>
  </conditionalFormatting>
  <conditionalFormatting sqref="AS36">
    <cfRule type="cellIs" dxfId="0" priority="315" operator="lessThan">
      <formula>20</formula>
    </cfRule>
    <cfRule type="cellIs" dxfId="1" priority="200" operator="greaterThan">
      <formula>120</formula>
    </cfRule>
    <cfRule type="containsText" dxfId="3" priority="85" operator="between" text="库存">
      <formula>NOT(ISERROR(SEARCH("库存",AS36)))</formula>
    </cfRule>
  </conditionalFormatting>
  <conditionalFormatting sqref="AS37">
    <cfRule type="cellIs" dxfId="0" priority="314" operator="lessThan">
      <formula>20</formula>
    </cfRule>
    <cfRule type="cellIs" dxfId="1" priority="199" operator="greaterThan">
      <formula>120</formula>
    </cfRule>
    <cfRule type="containsText" dxfId="3" priority="84" operator="between" text="库存">
      <formula>NOT(ISERROR(SEARCH("库存",AS37)))</formula>
    </cfRule>
  </conditionalFormatting>
  <conditionalFormatting sqref="AS38">
    <cfRule type="cellIs" dxfId="0" priority="313" operator="lessThan">
      <formula>20</formula>
    </cfRule>
    <cfRule type="cellIs" dxfId="1" priority="198" operator="greaterThan">
      <formula>120</formula>
    </cfRule>
    <cfRule type="containsText" dxfId="3" priority="83" operator="between" text="库存">
      <formula>NOT(ISERROR(SEARCH("库存",AS38)))</formula>
    </cfRule>
  </conditionalFormatting>
  <conditionalFormatting sqref="AS39">
    <cfRule type="cellIs" dxfId="0" priority="312" operator="lessThan">
      <formula>20</formula>
    </cfRule>
    <cfRule type="cellIs" dxfId="1" priority="197" operator="greaterThan">
      <formula>120</formula>
    </cfRule>
    <cfRule type="containsText" dxfId="3" priority="82" operator="between" text="库存">
      <formula>NOT(ISERROR(SEARCH("库存",AS39)))</formula>
    </cfRule>
  </conditionalFormatting>
  <conditionalFormatting sqref="AS40">
    <cfRule type="cellIs" dxfId="0" priority="311" operator="lessThan">
      <formula>20</formula>
    </cfRule>
    <cfRule type="cellIs" dxfId="1" priority="196" operator="greaterThan">
      <formula>120</formula>
    </cfRule>
    <cfRule type="containsText" dxfId="3" priority="81" operator="between" text="库存">
      <formula>NOT(ISERROR(SEARCH("库存",AS40)))</formula>
    </cfRule>
  </conditionalFormatting>
  <conditionalFormatting sqref="AS41">
    <cfRule type="cellIs" dxfId="0" priority="310" operator="lessThan">
      <formula>20</formula>
    </cfRule>
    <cfRule type="cellIs" dxfId="1" priority="195" operator="greaterThan">
      <formula>120</formula>
    </cfRule>
    <cfRule type="containsText" dxfId="3" priority="80" operator="between" text="库存">
      <formula>NOT(ISERROR(SEARCH("库存",AS41)))</formula>
    </cfRule>
  </conditionalFormatting>
  <conditionalFormatting sqref="AS42">
    <cfRule type="cellIs" dxfId="0" priority="309" operator="lessThan">
      <formula>20</formula>
    </cfRule>
    <cfRule type="cellIs" dxfId="1" priority="194" operator="greaterThan">
      <formula>120</formula>
    </cfRule>
    <cfRule type="containsText" dxfId="3" priority="79" operator="between" text="库存">
      <formula>NOT(ISERROR(SEARCH("库存",AS42)))</formula>
    </cfRule>
  </conditionalFormatting>
  <conditionalFormatting sqref="AS43">
    <cfRule type="cellIs" dxfId="0" priority="308" operator="lessThan">
      <formula>20</formula>
    </cfRule>
    <cfRule type="cellIs" dxfId="1" priority="193" operator="greaterThan">
      <formula>120</formula>
    </cfRule>
    <cfRule type="containsText" dxfId="3" priority="78" operator="between" text="库存">
      <formula>NOT(ISERROR(SEARCH("库存",AS43)))</formula>
    </cfRule>
  </conditionalFormatting>
  <conditionalFormatting sqref="AS44">
    <cfRule type="cellIs" dxfId="0" priority="307" operator="lessThan">
      <formula>20</formula>
    </cfRule>
    <cfRule type="cellIs" dxfId="1" priority="192" operator="greaterThan">
      <formula>120</formula>
    </cfRule>
    <cfRule type="containsText" dxfId="3" priority="77" operator="between" text="库存">
      <formula>NOT(ISERROR(SEARCH("库存",AS44)))</formula>
    </cfRule>
  </conditionalFormatting>
  <conditionalFormatting sqref="AS45">
    <cfRule type="cellIs" dxfId="0" priority="306" operator="lessThan">
      <formula>20</formula>
    </cfRule>
    <cfRule type="cellIs" dxfId="1" priority="191" operator="greaterThan">
      <formula>120</formula>
    </cfRule>
    <cfRule type="containsText" dxfId="3" priority="76" operator="between" text="库存">
      <formula>NOT(ISERROR(SEARCH("库存",AS45)))</formula>
    </cfRule>
  </conditionalFormatting>
  <conditionalFormatting sqref="AS46">
    <cfRule type="cellIs" dxfId="0" priority="305" operator="lessThan">
      <formula>20</formula>
    </cfRule>
    <cfRule type="cellIs" dxfId="1" priority="190" operator="greaterThan">
      <formula>120</formula>
    </cfRule>
    <cfRule type="containsText" dxfId="3" priority="75" operator="between" text="库存">
      <formula>NOT(ISERROR(SEARCH("库存",AS46)))</formula>
    </cfRule>
  </conditionalFormatting>
  <conditionalFormatting sqref="AS47">
    <cfRule type="cellIs" dxfId="0" priority="304" operator="lessThan">
      <formula>20</formula>
    </cfRule>
    <cfRule type="cellIs" dxfId="1" priority="189" operator="greaterThan">
      <formula>120</formula>
    </cfRule>
    <cfRule type="containsText" dxfId="3" priority="74" operator="between" text="库存">
      <formula>NOT(ISERROR(SEARCH("库存",AS47)))</formula>
    </cfRule>
  </conditionalFormatting>
  <conditionalFormatting sqref="AS48">
    <cfRule type="cellIs" dxfId="0" priority="303" operator="lessThan">
      <formula>20</formula>
    </cfRule>
    <cfRule type="cellIs" dxfId="1" priority="188" operator="greaterThan">
      <formula>120</formula>
    </cfRule>
    <cfRule type="containsText" dxfId="3" priority="73" operator="between" text="库存">
      <formula>NOT(ISERROR(SEARCH("库存",AS48)))</formula>
    </cfRule>
  </conditionalFormatting>
  <conditionalFormatting sqref="AS49">
    <cfRule type="cellIs" dxfId="0" priority="302" operator="lessThan">
      <formula>20</formula>
    </cfRule>
    <cfRule type="cellIs" dxfId="1" priority="187" operator="greaterThan">
      <formula>120</formula>
    </cfRule>
    <cfRule type="containsText" dxfId="3" priority="72" operator="between" text="库存">
      <formula>NOT(ISERROR(SEARCH("库存",AS49)))</formula>
    </cfRule>
  </conditionalFormatting>
  <conditionalFormatting sqref="AS50">
    <cfRule type="cellIs" dxfId="0" priority="301" operator="lessThan">
      <formula>20</formula>
    </cfRule>
    <cfRule type="cellIs" dxfId="1" priority="186" operator="greaterThan">
      <formula>120</formula>
    </cfRule>
    <cfRule type="containsText" dxfId="3" priority="71" operator="between" text="库存">
      <formula>NOT(ISERROR(SEARCH("库存",AS50)))</formula>
    </cfRule>
  </conditionalFormatting>
  <conditionalFormatting sqref="AS51">
    <cfRule type="cellIs" dxfId="0" priority="300" operator="lessThan">
      <formula>20</formula>
    </cfRule>
    <cfRule type="cellIs" dxfId="1" priority="185" operator="greaterThan">
      <formula>120</formula>
    </cfRule>
    <cfRule type="containsText" dxfId="3" priority="70" operator="between" text="库存">
      <formula>NOT(ISERROR(SEARCH("库存",AS51)))</formula>
    </cfRule>
  </conditionalFormatting>
  <conditionalFormatting sqref="AS52">
    <cfRule type="cellIs" dxfId="0" priority="299" operator="lessThan">
      <formula>20</formula>
    </cfRule>
    <cfRule type="cellIs" dxfId="1" priority="184" operator="greaterThan">
      <formula>120</formula>
    </cfRule>
    <cfRule type="containsText" dxfId="3" priority="69" operator="between" text="库存">
      <formula>NOT(ISERROR(SEARCH("库存",AS52)))</formula>
    </cfRule>
  </conditionalFormatting>
  <conditionalFormatting sqref="AS53">
    <cfRule type="cellIs" dxfId="0" priority="298" operator="lessThan">
      <formula>20</formula>
    </cfRule>
    <cfRule type="cellIs" dxfId="1" priority="183" operator="greaterThan">
      <formula>120</formula>
    </cfRule>
    <cfRule type="containsText" dxfId="3" priority="68" operator="between" text="库存">
      <formula>NOT(ISERROR(SEARCH("库存",AS53)))</formula>
    </cfRule>
  </conditionalFormatting>
  <conditionalFormatting sqref="AS54">
    <cfRule type="cellIs" dxfId="0" priority="297" operator="lessThan">
      <formula>20</formula>
    </cfRule>
    <cfRule type="cellIs" dxfId="1" priority="182" operator="greaterThan">
      <formula>120</formula>
    </cfRule>
    <cfRule type="containsText" dxfId="3" priority="67" operator="between" text="库存">
      <formula>NOT(ISERROR(SEARCH("库存",AS54)))</formula>
    </cfRule>
  </conditionalFormatting>
  <conditionalFormatting sqref="AS55">
    <cfRule type="cellIs" dxfId="0" priority="296" operator="lessThan">
      <formula>20</formula>
    </cfRule>
    <cfRule type="cellIs" dxfId="1" priority="181" operator="greaterThan">
      <formula>120</formula>
    </cfRule>
    <cfRule type="containsText" dxfId="3" priority="66" operator="between" text="库存">
      <formula>NOT(ISERROR(SEARCH("库存",AS55)))</formula>
    </cfRule>
  </conditionalFormatting>
  <conditionalFormatting sqref="AS56">
    <cfRule type="cellIs" dxfId="0" priority="295" operator="lessThan">
      <formula>20</formula>
    </cfRule>
    <cfRule type="cellIs" dxfId="1" priority="180" operator="greaterThan">
      <formula>120</formula>
    </cfRule>
    <cfRule type="containsText" dxfId="3" priority="65" operator="between" text="库存">
      <formula>NOT(ISERROR(SEARCH("库存",AS56)))</formula>
    </cfRule>
  </conditionalFormatting>
  <conditionalFormatting sqref="AS57">
    <cfRule type="cellIs" dxfId="0" priority="294" operator="lessThan">
      <formula>20</formula>
    </cfRule>
    <cfRule type="cellIs" dxfId="1" priority="179" operator="greaterThan">
      <formula>120</formula>
    </cfRule>
    <cfRule type="containsText" dxfId="3" priority="64" operator="between" text="库存">
      <formula>NOT(ISERROR(SEARCH("库存",AS57)))</formula>
    </cfRule>
  </conditionalFormatting>
  <conditionalFormatting sqref="AS58">
    <cfRule type="cellIs" dxfId="0" priority="293" operator="lessThan">
      <formula>20</formula>
    </cfRule>
    <cfRule type="cellIs" dxfId="1" priority="178" operator="greaterThan">
      <formula>120</formula>
    </cfRule>
    <cfRule type="containsText" dxfId="3" priority="63" operator="between" text="库存">
      <formula>NOT(ISERROR(SEARCH("库存",AS58)))</formula>
    </cfRule>
  </conditionalFormatting>
  <conditionalFormatting sqref="AS59">
    <cfRule type="cellIs" dxfId="0" priority="292" operator="lessThan">
      <formula>20</formula>
    </cfRule>
    <cfRule type="cellIs" dxfId="1" priority="177" operator="greaterThan">
      <formula>120</formula>
    </cfRule>
    <cfRule type="containsText" dxfId="3" priority="62" operator="between" text="库存">
      <formula>NOT(ISERROR(SEARCH("库存",AS59)))</formula>
    </cfRule>
  </conditionalFormatting>
  <conditionalFormatting sqref="AS60">
    <cfRule type="cellIs" dxfId="0" priority="291" operator="lessThan">
      <formula>20</formula>
    </cfRule>
    <cfRule type="cellIs" dxfId="1" priority="176" operator="greaterThan">
      <formula>120</formula>
    </cfRule>
    <cfRule type="containsText" dxfId="3" priority="61" operator="between" text="库存">
      <formula>NOT(ISERROR(SEARCH("库存",AS60)))</formula>
    </cfRule>
  </conditionalFormatting>
  <conditionalFormatting sqref="AS61">
    <cfRule type="cellIs" dxfId="0" priority="290" operator="lessThan">
      <formula>20</formula>
    </cfRule>
    <cfRule type="cellIs" dxfId="1" priority="175" operator="greaterThan">
      <formula>120</formula>
    </cfRule>
    <cfRule type="containsText" dxfId="3" priority="60" operator="between" text="库存">
      <formula>NOT(ISERROR(SEARCH("库存",AS61)))</formula>
    </cfRule>
  </conditionalFormatting>
  <conditionalFormatting sqref="AS62">
    <cfRule type="cellIs" dxfId="0" priority="289" operator="lessThan">
      <formula>20</formula>
    </cfRule>
    <cfRule type="cellIs" dxfId="1" priority="174" operator="greaterThan">
      <formula>120</formula>
    </cfRule>
    <cfRule type="containsText" dxfId="3" priority="59" operator="between" text="库存">
      <formula>NOT(ISERROR(SEARCH("库存",AS62)))</formula>
    </cfRule>
  </conditionalFormatting>
  <conditionalFormatting sqref="AS63">
    <cfRule type="cellIs" dxfId="0" priority="288" operator="lessThan">
      <formula>20</formula>
    </cfRule>
    <cfRule type="cellIs" dxfId="1" priority="173" operator="greaterThan">
      <formula>120</formula>
    </cfRule>
    <cfRule type="containsText" dxfId="3" priority="58" operator="between" text="库存">
      <formula>NOT(ISERROR(SEARCH("库存",AS63)))</formula>
    </cfRule>
  </conditionalFormatting>
  <conditionalFormatting sqref="AS64">
    <cfRule type="cellIs" dxfId="0" priority="287" operator="lessThan">
      <formula>20</formula>
    </cfRule>
    <cfRule type="cellIs" dxfId="1" priority="172" operator="greaterThan">
      <formula>120</formula>
    </cfRule>
    <cfRule type="containsText" dxfId="3" priority="57" operator="between" text="库存">
      <formula>NOT(ISERROR(SEARCH("库存",AS64)))</formula>
    </cfRule>
  </conditionalFormatting>
  <conditionalFormatting sqref="AS65">
    <cfRule type="cellIs" dxfId="0" priority="286" operator="lessThan">
      <formula>20</formula>
    </cfRule>
    <cfRule type="cellIs" dxfId="1" priority="171" operator="greaterThan">
      <formula>120</formula>
    </cfRule>
    <cfRule type="containsText" dxfId="3" priority="56" operator="between" text="库存">
      <formula>NOT(ISERROR(SEARCH("库存",AS65)))</formula>
    </cfRule>
  </conditionalFormatting>
  <conditionalFormatting sqref="AS66">
    <cfRule type="cellIs" dxfId="0" priority="285" operator="lessThan">
      <formula>20</formula>
    </cfRule>
    <cfRule type="cellIs" dxfId="1" priority="170" operator="greaterThan">
      <formula>120</formula>
    </cfRule>
    <cfRule type="containsText" dxfId="3" priority="55" operator="between" text="库存">
      <formula>NOT(ISERROR(SEARCH("库存",AS66)))</formula>
    </cfRule>
  </conditionalFormatting>
  <conditionalFormatting sqref="AS67">
    <cfRule type="cellIs" dxfId="0" priority="284" operator="lessThan">
      <formula>20</formula>
    </cfRule>
    <cfRule type="cellIs" dxfId="1" priority="169" operator="greaterThan">
      <formula>120</formula>
    </cfRule>
    <cfRule type="containsText" dxfId="3" priority="54" operator="between" text="库存">
      <formula>NOT(ISERROR(SEARCH("库存",AS67)))</formula>
    </cfRule>
  </conditionalFormatting>
  <conditionalFormatting sqref="AS68">
    <cfRule type="cellIs" dxfId="0" priority="283" operator="lessThan">
      <formula>20</formula>
    </cfRule>
    <cfRule type="cellIs" dxfId="1" priority="168" operator="greaterThan">
      <formula>120</formula>
    </cfRule>
    <cfRule type="containsText" dxfId="3" priority="53" operator="between" text="库存">
      <formula>NOT(ISERROR(SEARCH("库存",AS68)))</formula>
    </cfRule>
  </conditionalFormatting>
  <conditionalFormatting sqref="AS69">
    <cfRule type="cellIs" dxfId="0" priority="282" operator="lessThan">
      <formula>20</formula>
    </cfRule>
    <cfRule type="cellIs" dxfId="1" priority="167" operator="greaterThan">
      <formula>120</formula>
    </cfRule>
    <cfRule type="containsText" dxfId="3" priority="52" operator="between" text="库存">
      <formula>NOT(ISERROR(SEARCH("库存",AS69)))</formula>
    </cfRule>
  </conditionalFormatting>
  <conditionalFormatting sqref="AS70">
    <cfRule type="cellIs" dxfId="0" priority="281" operator="lessThan">
      <formula>20</formula>
    </cfRule>
    <cfRule type="cellIs" dxfId="1" priority="166" operator="greaterThan">
      <formula>120</formula>
    </cfRule>
    <cfRule type="containsText" dxfId="3" priority="51" operator="between" text="库存">
      <formula>NOT(ISERROR(SEARCH("库存",AS70)))</formula>
    </cfRule>
  </conditionalFormatting>
  <conditionalFormatting sqref="AS71">
    <cfRule type="cellIs" dxfId="0" priority="280" operator="lessThan">
      <formula>20</formula>
    </cfRule>
    <cfRule type="cellIs" dxfId="1" priority="165" operator="greaterThan">
      <formula>120</formula>
    </cfRule>
    <cfRule type="containsText" dxfId="3" priority="50" operator="between" text="库存">
      <formula>NOT(ISERROR(SEARCH("库存",AS71)))</formula>
    </cfRule>
  </conditionalFormatting>
  <conditionalFormatting sqref="AS72">
    <cfRule type="cellIs" dxfId="0" priority="279" operator="lessThan">
      <formula>20</formula>
    </cfRule>
    <cfRule type="cellIs" dxfId="1" priority="164" operator="greaterThan">
      <formula>120</formula>
    </cfRule>
    <cfRule type="containsText" dxfId="3" priority="49" operator="between" text="库存">
      <formula>NOT(ISERROR(SEARCH("库存",AS72)))</formula>
    </cfRule>
  </conditionalFormatting>
  <conditionalFormatting sqref="AS73">
    <cfRule type="cellIs" dxfId="0" priority="278" operator="lessThan">
      <formula>20</formula>
    </cfRule>
    <cfRule type="cellIs" dxfId="1" priority="163" operator="greaterThan">
      <formula>120</formula>
    </cfRule>
    <cfRule type="containsText" dxfId="3" priority="48" operator="between" text="库存">
      <formula>NOT(ISERROR(SEARCH("库存",AS73)))</formula>
    </cfRule>
  </conditionalFormatting>
  <conditionalFormatting sqref="AS74">
    <cfRule type="cellIs" dxfId="0" priority="277" operator="lessThan">
      <formula>20</formula>
    </cfRule>
    <cfRule type="cellIs" dxfId="1" priority="162" operator="greaterThan">
      <formula>120</formula>
    </cfRule>
    <cfRule type="containsText" dxfId="3" priority="47" operator="between" text="库存">
      <formula>NOT(ISERROR(SEARCH("库存",AS74)))</formula>
    </cfRule>
  </conditionalFormatting>
  <conditionalFormatting sqref="AS75">
    <cfRule type="cellIs" dxfId="0" priority="276" operator="lessThan">
      <formula>20</formula>
    </cfRule>
    <cfRule type="cellIs" dxfId="1" priority="161" operator="greaterThan">
      <formula>120</formula>
    </cfRule>
    <cfRule type="containsText" dxfId="3" priority="46" operator="between" text="库存">
      <formula>NOT(ISERROR(SEARCH("库存",AS75)))</formula>
    </cfRule>
  </conditionalFormatting>
  <conditionalFormatting sqref="AS76">
    <cfRule type="cellIs" dxfId="0" priority="275" operator="lessThan">
      <formula>20</formula>
    </cfRule>
    <cfRule type="cellIs" dxfId="1" priority="160" operator="greaterThan">
      <formula>120</formula>
    </cfRule>
    <cfRule type="containsText" dxfId="3" priority="45" operator="between" text="库存">
      <formula>NOT(ISERROR(SEARCH("库存",AS76)))</formula>
    </cfRule>
  </conditionalFormatting>
  <conditionalFormatting sqref="AS77">
    <cfRule type="cellIs" dxfId="0" priority="274" operator="lessThan">
      <formula>20</formula>
    </cfRule>
    <cfRule type="cellIs" dxfId="1" priority="159" operator="greaterThan">
      <formula>120</formula>
    </cfRule>
    <cfRule type="containsText" dxfId="3" priority="44" operator="between" text="库存">
      <formula>NOT(ISERROR(SEARCH("库存",AS77)))</formula>
    </cfRule>
  </conditionalFormatting>
  <conditionalFormatting sqref="AS78">
    <cfRule type="cellIs" dxfId="0" priority="273" operator="lessThan">
      <formula>20</formula>
    </cfRule>
    <cfRule type="cellIs" dxfId="1" priority="158" operator="greaterThan">
      <formula>120</formula>
    </cfRule>
    <cfRule type="containsText" dxfId="3" priority="43" operator="between" text="库存">
      <formula>NOT(ISERROR(SEARCH("库存",AS78)))</formula>
    </cfRule>
  </conditionalFormatting>
  <conditionalFormatting sqref="AS79">
    <cfRule type="cellIs" dxfId="0" priority="272" operator="lessThan">
      <formula>20</formula>
    </cfRule>
    <cfRule type="cellIs" dxfId="1" priority="157" operator="greaterThan">
      <formula>120</formula>
    </cfRule>
    <cfRule type="containsText" dxfId="3" priority="42" operator="between" text="库存">
      <formula>NOT(ISERROR(SEARCH("库存",AS79)))</formula>
    </cfRule>
  </conditionalFormatting>
  <conditionalFormatting sqref="AS80">
    <cfRule type="cellIs" dxfId="0" priority="271" operator="lessThan">
      <formula>20</formula>
    </cfRule>
    <cfRule type="cellIs" dxfId="1" priority="156" operator="greaterThan">
      <formula>120</formula>
    </cfRule>
    <cfRule type="containsText" dxfId="3" priority="41" operator="between" text="库存">
      <formula>NOT(ISERROR(SEARCH("库存",AS80)))</formula>
    </cfRule>
  </conditionalFormatting>
  <conditionalFormatting sqref="AS81">
    <cfRule type="cellIs" dxfId="0" priority="270" operator="lessThan">
      <formula>20</formula>
    </cfRule>
    <cfRule type="cellIs" dxfId="1" priority="155" operator="greaterThan">
      <formula>120</formula>
    </cfRule>
    <cfRule type="containsText" dxfId="3" priority="40" operator="between" text="库存">
      <formula>NOT(ISERROR(SEARCH("库存",AS81)))</formula>
    </cfRule>
  </conditionalFormatting>
  <conditionalFormatting sqref="AS82">
    <cfRule type="cellIs" dxfId="0" priority="269" operator="lessThan">
      <formula>20</formula>
    </cfRule>
    <cfRule type="cellIs" dxfId="1" priority="154" operator="greaterThan">
      <formula>120</formula>
    </cfRule>
    <cfRule type="containsText" dxfId="3" priority="39" operator="between" text="库存">
      <formula>NOT(ISERROR(SEARCH("库存",AS82)))</formula>
    </cfRule>
  </conditionalFormatting>
  <conditionalFormatting sqref="AS83">
    <cfRule type="cellIs" dxfId="0" priority="268" operator="lessThan">
      <formula>20</formula>
    </cfRule>
    <cfRule type="cellIs" dxfId="1" priority="153" operator="greaterThan">
      <formula>120</formula>
    </cfRule>
    <cfRule type="containsText" dxfId="3" priority="38" operator="between" text="库存">
      <formula>NOT(ISERROR(SEARCH("库存",AS83)))</formula>
    </cfRule>
  </conditionalFormatting>
  <conditionalFormatting sqref="AS84">
    <cfRule type="cellIs" dxfId="0" priority="267" operator="lessThan">
      <formula>20</formula>
    </cfRule>
    <cfRule type="cellIs" dxfId="1" priority="152" operator="greaterThan">
      <formula>120</formula>
    </cfRule>
    <cfRule type="containsText" dxfId="3" priority="37" operator="between" text="库存">
      <formula>NOT(ISERROR(SEARCH("库存",AS84)))</formula>
    </cfRule>
  </conditionalFormatting>
  <conditionalFormatting sqref="AS85">
    <cfRule type="cellIs" dxfId="0" priority="266" operator="lessThan">
      <formula>20</formula>
    </cfRule>
    <cfRule type="cellIs" dxfId="1" priority="151" operator="greaterThan">
      <formula>120</formula>
    </cfRule>
    <cfRule type="containsText" dxfId="3" priority="36" operator="between" text="库存">
      <formula>NOT(ISERROR(SEARCH("库存",AS85)))</formula>
    </cfRule>
  </conditionalFormatting>
  <conditionalFormatting sqref="AS86">
    <cfRule type="cellIs" dxfId="0" priority="265" operator="lessThan">
      <formula>20</formula>
    </cfRule>
    <cfRule type="cellIs" dxfId="1" priority="150" operator="greaterThan">
      <formula>120</formula>
    </cfRule>
    <cfRule type="containsText" dxfId="3" priority="35" operator="between" text="库存">
      <formula>NOT(ISERROR(SEARCH("库存",AS86)))</formula>
    </cfRule>
  </conditionalFormatting>
  <conditionalFormatting sqref="AS87">
    <cfRule type="cellIs" dxfId="0" priority="264" operator="lessThan">
      <formula>20</formula>
    </cfRule>
    <cfRule type="cellIs" dxfId="1" priority="149" operator="greaterThan">
      <formula>120</formula>
    </cfRule>
    <cfRule type="containsText" dxfId="3" priority="34" operator="between" text="库存">
      <formula>NOT(ISERROR(SEARCH("库存",AS87)))</formula>
    </cfRule>
  </conditionalFormatting>
  <conditionalFormatting sqref="AS88">
    <cfRule type="cellIs" dxfId="0" priority="263" operator="lessThan">
      <formula>20</formula>
    </cfRule>
    <cfRule type="cellIs" dxfId="1" priority="148" operator="greaterThan">
      <formula>120</formula>
    </cfRule>
    <cfRule type="containsText" dxfId="3" priority="33" operator="between" text="库存">
      <formula>NOT(ISERROR(SEARCH("库存",AS88)))</formula>
    </cfRule>
  </conditionalFormatting>
  <conditionalFormatting sqref="AS89">
    <cfRule type="cellIs" dxfId="0" priority="262" operator="lessThan">
      <formula>20</formula>
    </cfRule>
    <cfRule type="cellIs" dxfId="1" priority="147" operator="greaterThan">
      <formula>120</formula>
    </cfRule>
    <cfRule type="containsText" dxfId="3" priority="32" operator="between" text="库存">
      <formula>NOT(ISERROR(SEARCH("库存",AS89)))</formula>
    </cfRule>
  </conditionalFormatting>
  <conditionalFormatting sqref="AS90">
    <cfRule type="cellIs" dxfId="0" priority="261" operator="lessThan">
      <formula>20</formula>
    </cfRule>
    <cfRule type="cellIs" dxfId="1" priority="146" operator="greaterThan">
      <formula>120</formula>
    </cfRule>
    <cfRule type="containsText" dxfId="3" priority="31" operator="between" text="库存">
      <formula>NOT(ISERROR(SEARCH("库存",AS90)))</formula>
    </cfRule>
  </conditionalFormatting>
  <conditionalFormatting sqref="AS91">
    <cfRule type="cellIs" dxfId="0" priority="260" operator="lessThan">
      <formula>20</formula>
    </cfRule>
    <cfRule type="cellIs" dxfId="1" priority="145" operator="greaterThan">
      <formula>120</formula>
    </cfRule>
    <cfRule type="containsText" dxfId="3" priority="30" operator="between" text="库存">
      <formula>NOT(ISERROR(SEARCH("库存",AS91)))</formula>
    </cfRule>
  </conditionalFormatting>
  <conditionalFormatting sqref="AS92">
    <cfRule type="cellIs" dxfId="0" priority="259" operator="lessThan">
      <formula>20</formula>
    </cfRule>
    <cfRule type="cellIs" dxfId="1" priority="144" operator="greaterThan">
      <formula>120</formula>
    </cfRule>
    <cfRule type="containsText" dxfId="3" priority="29" operator="between" text="库存">
      <formula>NOT(ISERROR(SEARCH("库存",AS92)))</formula>
    </cfRule>
  </conditionalFormatting>
  <conditionalFormatting sqref="AS93">
    <cfRule type="cellIs" dxfId="0" priority="258" operator="lessThan">
      <formula>20</formula>
    </cfRule>
    <cfRule type="cellIs" dxfId="1" priority="143" operator="greaterThan">
      <formula>120</formula>
    </cfRule>
    <cfRule type="containsText" dxfId="3" priority="28" operator="between" text="库存">
      <formula>NOT(ISERROR(SEARCH("库存",AS93)))</formula>
    </cfRule>
  </conditionalFormatting>
  <conditionalFormatting sqref="AS94">
    <cfRule type="cellIs" dxfId="0" priority="257" operator="lessThan">
      <formula>20</formula>
    </cfRule>
    <cfRule type="cellIs" dxfId="1" priority="142" operator="greaterThan">
      <formula>120</formula>
    </cfRule>
    <cfRule type="containsText" dxfId="3" priority="27" operator="between" text="库存">
      <formula>NOT(ISERROR(SEARCH("库存",AS94)))</formula>
    </cfRule>
  </conditionalFormatting>
  <conditionalFormatting sqref="AS95">
    <cfRule type="cellIs" dxfId="0" priority="256" operator="lessThan">
      <formula>20</formula>
    </cfRule>
    <cfRule type="cellIs" dxfId="1" priority="141" operator="greaterThan">
      <formula>120</formula>
    </cfRule>
    <cfRule type="containsText" dxfId="3" priority="26" operator="between" text="库存">
      <formula>NOT(ISERROR(SEARCH("库存",AS95)))</formula>
    </cfRule>
  </conditionalFormatting>
  <conditionalFormatting sqref="AS96">
    <cfRule type="cellIs" dxfId="0" priority="255" operator="lessThan">
      <formula>20</formula>
    </cfRule>
    <cfRule type="cellIs" dxfId="1" priority="140" operator="greaterThan">
      <formula>120</formula>
    </cfRule>
    <cfRule type="containsText" dxfId="3" priority="25" operator="between" text="库存">
      <formula>NOT(ISERROR(SEARCH("库存",AS96)))</formula>
    </cfRule>
  </conditionalFormatting>
  <conditionalFormatting sqref="AS97">
    <cfRule type="cellIs" dxfId="0" priority="254" operator="lessThan">
      <formula>20</formula>
    </cfRule>
    <cfRule type="cellIs" dxfId="1" priority="139" operator="greaterThan">
      <formula>120</formula>
    </cfRule>
    <cfRule type="containsText" dxfId="3" priority="24" operator="between" text="库存">
      <formula>NOT(ISERROR(SEARCH("库存",AS97)))</formula>
    </cfRule>
  </conditionalFormatting>
  <conditionalFormatting sqref="AS98">
    <cfRule type="cellIs" dxfId="0" priority="253" operator="lessThan">
      <formula>20</formula>
    </cfRule>
    <cfRule type="cellIs" dxfId="1" priority="138" operator="greaterThan">
      <formula>120</formula>
    </cfRule>
    <cfRule type="containsText" dxfId="3" priority="23" operator="between" text="库存">
      <formula>NOT(ISERROR(SEARCH("库存",AS98)))</formula>
    </cfRule>
  </conditionalFormatting>
  <conditionalFormatting sqref="AS99">
    <cfRule type="cellIs" dxfId="0" priority="252" operator="lessThan">
      <formula>20</formula>
    </cfRule>
    <cfRule type="cellIs" dxfId="1" priority="137" operator="greaterThan">
      <formula>120</formula>
    </cfRule>
    <cfRule type="containsText" dxfId="3" priority="22" operator="between" text="库存">
      <formula>NOT(ISERROR(SEARCH("库存",AS99)))</formula>
    </cfRule>
  </conditionalFormatting>
  <conditionalFormatting sqref="AS100">
    <cfRule type="cellIs" dxfId="0" priority="251" operator="lessThan">
      <formula>20</formula>
    </cfRule>
    <cfRule type="cellIs" dxfId="1" priority="136" operator="greaterThan">
      <formula>120</formula>
    </cfRule>
    <cfRule type="containsText" dxfId="3" priority="21" operator="between" text="库存">
      <formula>NOT(ISERROR(SEARCH("库存",AS100)))</formula>
    </cfRule>
  </conditionalFormatting>
  <conditionalFormatting sqref="AS101">
    <cfRule type="cellIs" dxfId="0" priority="250" operator="lessThan">
      <formula>20</formula>
    </cfRule>
    <cfRule type="cellIs" dxfId="1" priority="135" operator="greaterThan">
      <formula>120</formula>
    </cfRule>
    <cfRule type="containsText" dxfId="3" priority="20" operator="between" text="库存">
      <formula>NOT(ISERROR(SEARCH("库存",AS101)))</formula>
    </cfRule>
  </conditionalFormatting>
  <conditionalFormatting sqref="AS102">
    <cfRule type="cellIs" dxfId="0" priority="249" operator="lessThan">
      <formula>20</formula>
    </cfRule>
    <cfRule type="cellIs" dxfId="1" priority="134" operator="greaterThan">
      <formula>120</formula>
    </cfRule>
    <cfRule type="containsText" dxfId="3" priority="19" operator="between" text="库存">
      <formula>NOT(ISERROR(SEARCH("库存",AS102)))</formula>
    </cfRule>
  </conditionalFormatting>
  <conditionalFormatting sqref="AS103">
    <cfRule type="cellIs" dxfId="0" priority="248" operator="lessThan">
      <formula>20</formula>
    </cfRule>
    <cfRule type="cellIs" dxfId="1" priority="133" operator="greaterThan">
      <formula>120</formula>
    </cfRule>
    <cfRule type="containsText" dxfId="3" priority="18" operator="between" text="库存">
      <formula>NOT(ISERROR(SEARCH("库存",AS103)))</formula>
    </cfRule>
  </conditionalFormatting>
  <conditionalFormatting sqref="AS104">
    <cfRule type="cellIs" dxfId="0" priority="247" operator="lessThan">
      <formula>20</formula>
    </cfRule>
    <cfRule type="cellIs" dxfId="1" priority="132" operator="greaterThan">
      <formula>120</formula>
    </cfRule>
    <cfRule type="containsText" dxfId="3" priority="17" operator="between" text="库存">
      <formula>NOT(ISERROR(SEARCH("库存",AS104)))</formula>
    </cfRule>
  </conditionalFormatting>
  <conditionalFormatting sqref="AS105">
    <cfRule type="cellIs" dxfId="0" priority="246" operator="lessThan">
      <formula>20</formula>
    </cfRule>
    <cfRule type="cellIs" dxfId="1" priority="131" operator="greaterThan">
      <formula>120</formula>
    </cfRule>
    <cfRule type="containsText" dxfId="3" priority="16" operator="between" text="库存">
      <formula>NOT(ISERROR(SEARCH("库存",AS105)))</formula>
    </cfRule>
  </conditionalFormatting>
  <conditionalFormatting sqref="AS106">
    <cfRule type="cellIs" dxfId="0" priority="245" operator="lessThan">
      <formula>20</formula>
    </cfRule>
    <cfRule type="cellIs" dxfId="1" priority="130" operator="greaterThan">
      <formula>120</formula>
    </cfRule>
    <cfRule type="containsText" dxfId="3" priority="15" operator="between" text="库存">
      <formula>NOT(ISERROR(SEARCH("库存",AS106)))</formula>
    </cfRule>
  </conditionalFormatting>
  <conditionalFormatting sqref="AS107">
    <cfRule type="cellIs" dxfId="0" priority="244" operator="lessThan">
      <formula>20</formula>
    </cfRule>
    <cfRule type="cellIs" dxfId="1" priority="129" operator="greaterThan">
      <formula>120</formula>
    </cfRule>
    <cfRule type="containsText" dxfId="3" priority="14" operator="between" text="库存">
      <formula>NOT(ISERROR(SEARCH("库存",AS107)))</formula>
    </cfRule>
  </conditionalFormatting>
  <conditionalFormatting sqref="AS108">
    <cfRule type="cellIs" dxfId="0" priority="243" operator="lessThan">
      <formula>20</formula>
    </cfRule>
    <cfRule type="cellIs" dxfId="1" priority="128" operator="greaterThan">
      <formula>120</formula>
    </cfRule>
    <cfRule type="containsText" dxfId="3" priority="13" operator="between" text="库存">
      <formula>NOT(ISERROR(SEARCH("库存",AS108)))</formula>
    </cfRule>
  </conditionalFormatting>
  <conditionalFormatting sqref="AS109">
    <cfRule type="cellIs" dxfId="0" priority="242" operator="lessThan">
      <formula>20</formula>
    </cfRule>
    <cfRule type="cellIs" dxfId="1" priority="127" operator="greaterThan">
      <formula>120</formula>
    </cfRule>
    <cfRule type="containsText" dxfId="3" priority="12" operator="between" text="库存">
      <formula>NOT(ISERROR(SEARCH("库存",AS109)))</formula>
    </cfRule>
  </conditionalFormatting>
  <conditionalFormatting sqref="AS110">
    <cfRule type="cellIs" dxfId="0" priority="241" operator="lessThan">
      <formula>20</formula>
    </cfRule>
    <cfRule type="cellIs" dxfId="1" priority="126" operator="greaterThan">
      <formula>120</formula>
    </cfRule>
    <cfRule type="containsText" dxfId="3" priority="11" operator="between" text="库存">
      <formula>NOT(ISERROR(SEARCH("库存",AS110)))</formula>
    </cfRule>
  </conditionalFormatting>
  <conditionalFormatting sqref="AS111">
    <cfRule type="cellIs" dxfId="0" priority="240" operator="lessThan">
      <formula>20</formula>
    </cfRule>
    <cfRule type="cellIs" dxfId="1" priority="125" operator="greaterThan">
      <formula>120</formula>
    </cfRule>
    <cfRule type="containsText" dxfId="3" priority="10" operator="between" text="库存">
      <formula>NOT(ISERROR(SEARCH("库存",AS111)))</formula>
    </cfRule>
  </conditionalFormatting>
  <conditionalFormatting sqref="AS112">
    <cfRule type="cellIs" dxfId="0" priority="239" operator="lessThan">
      <formula>20</formula>
    </cfRule>
    <cfRule type="cellIs" dxfId="1" priority="124" operator="greaterThan">
      <formula>120</formula>
    </cfRule>
    <cfRule type="containsText" dxfId="3" priority="9" operator="between" text="库存">
      <formula>NOT(ISERROR(SEARCH("库存",AS112)))</formula>
    </cfRule>
  </conditionalFormatting>
  <conditionalFormatting sqref="AS113">
    <cfRule type="cellIs" dxfId="0" priority="238" operator="lessThan">
      <formula>20</formula>
    </cfRule>
    <cfRule type="cellIs" dxfId="1" priority="123" operator="greaterThan">
      <formula>120</formula>
    </cfRule>
    <cfRule type="containsText" dxfId="3" priority="8" operator="between" text="库存">
      <formula>NOT(ISERROR(SEARCH("库存",AS113)))</formula>
    </cfRule>
  </conditionalFormatting>
  <conditionalFormatting sqref="AS114">
    <cfRule type="cellIs" dxfId="0" priority="237" operator="lessThan">
      <formula>20</formula>
    </cfRule>
    <cfRule type="cellIs" dxfId="1" priority="122" operator="greaterThan">
      <formula>120</formula>
    </cfRule>
    <cfRule type="containsText" dxfId="3" priority="7" operator="between" text="库存">
      <formula>NOT(ISERROR(SEARCH("库存",AS114)))</formula>
    </cfRule>
  </conditionalFormatting>
  <conditionalFormatting sqref="AS115">
    <cfRule type="cellIs" dxfId="0" priority="236" operator="lessThan">
      <formula>20</formula>
    </cfRule>
    <cfRule type="cellIs" dxfId="1" priority="121" operator="greaterThan">
      <formula>120</formula>
    </cfRule>
    <cfRule type="containsText" dxfId="3" priority="6" operator="between" text="库存">
      <formula>NOT(ISERROR(SEARCH("库存",AS115)))</formula>
    </cfRule>
  </conditionalFormatting>
  <conditionalFormatting sqref="AS116">
    <cfRule type="cellIs" dxfId="0" priority="235" operator="lessThan">
      <formula>20</formula>
    </cfRule>
    <cfRule type="cellIs" dxfId="1" priority="120" operator="greaterThan">
      <formula>120</formula>
    </cfRule>
    <cfRule type="containsText" dxfId="3" priority="5" operator="between" text="库存">
      <formula>NOT(ISERROR(SEARCH("库存",AS116)))</formula>
    </cfRule>
  </conditionalFormatting>
  <conditionalFormatting sqref="AS117">
    <cfRule type="cellIs" dxfId="0" priority="234" operator="lessThan">
      <formula>20</formula>
    </cfRule>
    <cfRule type="cellIs" dxfId="1" priority="119" operator="greaterThan">
      <formula>120</formula>
    </cfRule>
    <cfRule type="containsText" dxfId="3" priority="4" operator="between" text="库存">
      <formula>NOT(ISERROR(SEARCH("库存",AS117)))</formula>
    </cfRule>
  </conditionalFormatting>
  <conditionalFormatting sqref="AS118">
    <cfRule type="cellIs" dxfId="0" priority="233" operator="lessThan">
      <formula>20</formula>
    </cfRule>
    <cfRule type="cellIs" dxfId="1" priority="118" operator="greaterThan">
      <formula>120</formula>
    </cfRule>
    <cfRule type="containsText" dxfId="3" priority="3" operator="between" text="库存">
      <formula>NOT(ISERROR(SEARCH("库存",AS118)))</formula>
    </cfRule>
  </conditionalFormatting>
  <conditionalFormatting sqref="AS119">
    <cfRule type="cellIs" dxfId="0" priority="232" operator="lessThan">
      <formula>20</formula>
    </cfRule>
    <cfRule type="cellIs" dxfId="1" priority="117" operator="greaterThan">
      <formula>120</formula>
    </cfRule>
    <cfRule type="containsText" dxfId="3" priority="2" operator="between" text="库存">
      <formula>NOT(ISERROR(SEARCH("库存",AS119)))</formula>
    </cfRule>
  </conditionalFormatting>
  <conditionalFormatting sqref="AS120">
    <cfRule type="cellIs" dxfId="0" priority="231" operator="lessThan">
      <formula>20</formula>
    </cfRule>
    <cfRule type="cellIs" dxfId="1" priority="116" operator="greaterThan">
      <formula>120</formula>
    </cfRule>
    <cfRule type="containsText" dxfId="3" priority="1" operator="between" text="库存">
      <formula>NOT(ISERROR(SEARCH("库存",AS120)))</formula>
    </cfRule>
  </conditionalFormatting>
  <conditionalFormatting sqref="AS121">
    <cfRule type="cellIs" dxfId="0" priority="1652" operator="lessThan">
      <formula>20</formula>
    </cfRule>
    <cfRule type="cellIs" dxfId="1" priority="1499" operator="greaterThan">
      <formula>120</formula>
    </cfRule>
    <cfRule type="containsText" dxfId="3" priority="1346" operator="between" text="库存">
      <formula>NOT(ISERROR(SEARCH("库存",AS121)))</formula>
    </cfRule>
  </conditionalFormatting>
  <conditionalFormatting sqref="AS122">
    <cfRule type="cellIs" dxfId="0" priority="1651" operator="lessThan">
      <formula>20</formula>
    </cfRule>
    <cfRule type="cellIs" dxfId="1" priority="1498" operator="greaterThan">
      <formula>120</formula>
    </cfRule>
    <cfRule type="containsText" dxfId="3" priority="1345" operator="between" text="库存">
      <formula>NOT(ISERROR(SEARCH("库存",AS122)))</formula>
    </cfRule>
  </conditionalFormatting>
  <conditionalFormatting sqref="AS123">
    <cfRule type="cellIs" dxfId="0" priority="1650" operator="lessThan">
      <formula>20</formula>
    </cfRule>
    <cfRule type="cellIs" dxfId="1" priority="1497" operator="greaterThan">
      <formula>120</formula>
    </cfRule>
    <cfRule type="containsText" dxfId="3" priority="1344" operator="between" text="库存">
      <formula>NOT(ISERROR(SEARCH("库存",AS123)))</formula>
    </cfRule>
  </conditionalFormatting>
  <conditionalFormatting sqref="AS124">
    <cfRule type="cellIs" dxfId="0" priority="1649" operator="lessThan">
      <formula>20</formula>
    </cfRule>
    <cfRule type="cellIs" dxfId="1" priority="1496" operator="greaterThan">
      <formula>120</formula>
    </cfRule>
    <cfRule type="containsText" dxfId="3" priority="1343" operator="between" text="库存">
      <formula>NOT(ISERROR(SEARCH("库存",AS124)))</formula>
    </cfRule>
  </conditionalFormatting>
  <conditionalFormatting sqref="AS125">
    <cfRule type="cellIs" dxfId="0" priority="1648" operator="lessThan">
      <formula>20</formula>
    </cfRule>
    <cfRule type="cellIs" dxfId="1" priority="1495" operator="greaterThan">
      <formula>120</formula>
    </cfRule>
    <cfRule type="containsText" dxfId="3" priority="1342" operator="between" text="库存">
      <formula>NOT(ISERROR(SEARCH("库存",AS125)))</formula>
    </cfRule>
  </conditionalFormatting>
  <conditionalFormatting sqref="AS126">
    <cfRule type="cellIs" dxfId="0" priority="1647" operator="lessThan">
      <formula>20</formula>
    </cfRule>
    <cfRule type="cellIs" dxfId="1" priority="1494" operator="greaterThan">
      <formula>120</formula>
    </cfRule>
    <cfRule type="containsText" dxfId="3" priority="1341" operator="between" text="库存">
      <formula>NOT(ISERROR(SEARCH("库存",AS126)))</formula>
    </cfRule>
  </conditionalFormatting>
  <conditionalFormatting sqref="AS127">
    <cfRule type="cellIs" dxfId="0" priority="1646" operator="lessThan">
      <formula>20</formula>
    </cfRule>
    <cfRule type="cellIs" dxfId="1" priority="1493" operator="greaterThan">
      <formula>120</formula>
    </cfRule>
    <cfRule type="containsText" dxfId="3" priority="1340" operator="between" text="库存">
      <formula>NOT(ISERROR(SEARCH("库存",AS127)))</formula>
    </cfRule>
  </conditionalFormatting>
  <conditionalFormatting sqref="AS128">
    <cfRule type="cellIs" dxfId="0" priority="1645" operator="lessThan">
      <formula>20</formula>
    </cfRule>
    <cfRule type="cellIs" dxfId="1" priority="1492" operator="greaterThan">
      <formula>120</formula>
    </cfRule>
    <cfRule type="containsText" dxfId="3" priority="1339" operator="between" text="库存">
      <formula>NOT(ISERROR(SEARCH("库存",AS128)))</formula>
    </cfRule>
  </conditionalFormatting>
  <conditionalFormatting sqref="AS129">
    <cfRule type="cellIs" dxfId="0" priority="1644" operator="lessThan">
      <formula>20</formula>
    </cfRule>
    <cfRule type="cellIs" dxfId="1" priority="1491" operator="greaterThan">
      <formula>120</formula>
    </cfRule>
    <cfRule type="containsText" dxfId="3" priority="1338" operator="between" text="库存">
      <formula>NOT(ISERROR(SEARCH("库存",AS129)))</formula>
    </cfRule>
  </conditionalFormatting>
  <conditionalFormatting sqref="AS130">
    <cfRule type="cellIs" dxfId="0" priority="1643" operator="lessThan">
      <formula>20</formula>
    </cfRule>
    <cfRule type="cellIs" dxfId="1" priority="1490" operator="greaterThan">
      <formula>120</formula>
    </cfRule>
    <cfRule type="containsText" dxfId="3" priority="1337" operator="between" text="库存">
      <formula>NOT(ISERROR(SEARCH("库存",AS130)))</formula>
    </cfRule>
  </conditionalFormatting>
  <conditionalFormatting sqref="AS131">
    <cfRule type="cellIs" dxfId="0" priority="1642" operator="lessThan">
      <formula>20</formula>
    </cfRule>
    <cfRule type="cellIs" dxfId="1" priority="1489" operator="greaterThan">
      <formula>120</formula>
    </cfRule>
    <cfRule type="containsText" dxfId="3" priority="1336" operator="between" text="库存">
      <formula>NOT(ISERROR(SEARCH("库存",AS131)))</formula>
    </cfRule>
  </conditionalFormatting>
  <conditionalFormatting sqref="AS132">
    <cfRule type="cellIs" dxfId="0" priority="1641" operator="lessThan">
      <formula>20</formula>
    </cfRule>
    <cfRule type="cellIs" dxfId="1" priority="1488" operator="greaterThan">
      <formula>120</formula>
    </cfRule>
    <cfRule type="containsText" dxfId="3" priority="1335" operator="between" text="库存">
      <formula>NOT(ISERROR(SEARCH("库存",AS132)))</formula>
    </cfRule>
  </conditionalFormatting>
  <conditionalFormatting sqref="AS133">
    <cfRule type="cellIs" dxfId="0" priority="1640" operator="lessThan">
      <formula>20</formula>
    </cfRule>
    <cfRule type="cellIs" dxfId="1" priority="1487" operator="greaterThan">
      <formula>120</formula>
    </cfRule>
    <cfRule type="containsText" dxfId="3" priority="1334" operator="between" text="库存">
      <formula>NOT(ISERROR(SEARCH("库存",AS133)))</formula>
    </cfRule>
  </conditionalFormatting>
  <conditionalFormatting sqref="AS134">
    <cfRule type="cellIs" dxfId="0" priority="1639" operator="lessThan">
      <formula>20</formula>
    </cfRule>
    <cfRule type="cellIs" dxfId="1" priority="1486" operator="greaterThan">
      <formula>120</formula>
    </cfRule>
    <cfRule type="containsText" dxfId="3" priority="1333" operator="between" text="库存">
      <formula>NOT(ISERROR(SEARCH("库存",AS134)))</formula>
    </cfRule>
  </conditionalFormatting>
  <conditionalFormatting sqref="AS135">
    <cfRule type="cellIs" dxfId="0" priority="1638" operator="lessThan">
      <formula>20</formula>
    </cfRule>
    <cfRule type="cellIs" dxfId="1" priority="1485" operator="greaterThan">
      <formula>120</formula>
    </cfRule>
    <cfRule type="containsText" dxfId="3" priority="1332" operator="between" text="库存">
      <formula>NOT(ISERROR(SEARCH("库存",AS135)))</formula>
    </cfRule>
  </conditionalFormatting>
  <conditionalFormatting sqref="AS136">
    <cfRule type="cellIs" dxfId="0" priority="1637" operator="lessThan">
      <formula>20</formula>
    </cfRule>
    <cfRule type="cellIs" dxfId="1" priority="1484" operator="greaterThan">
      <formula>120</formula>
    </cfRule>
    <cfRule type="containsText" dxfId="3" priority="1331" operator="between" text="库存">
      <formula>NOT(ISERROR(SEARCH("库存",AS136)))</formula>
    </cfRule>
  </conditionalFormatting>
  <conditionalFormatting sqref="AS137">
    <cfRule type="cellIs" dxfId="0" priority="1636" operator="lessThan">
      <formula>20</formula>
    </cfRule>
    <cfRule type="cellIs" dxfId="1" priority="1483" operator="greaterThan">
      <formula>120</formula>
    </cfRule>
    <cfRule type="containsText" dxfId="3" priority="1330" operator="between" text="库存">
      <formula>NOT(ISERROR(SEARCH("库存",AS137)))</formula>
    </cfRule>
  </conditionalFormatting>
  <conditionalFormatting sqref="AS138">
    <cfRule type="cellIs" dxfId="0" priority="1635" operator="lessThan">
      <formula>20</formula>
    </cfRule>
    <cfRule type="cellIs" dxfId="1" priority="1482" operator="greaterThan">
      <formula>120</formula>
    </cfRule>
    <cfRule type="containsText" dxfId="3" priority="1329" operator="between" text="库存">
      <formula>NOT(ISERROR(SEARCH("库存",AS138)))</formula>
    </cfRule>
  </conditionalFormatting>
  <conditionalFormatting sqref="AS139">
    <cfRule type="cellIs" dxfId="0" priority="1634" operator="lessThan">
      <formula>20</formula>
    </cfRule>
    <cfRule type="cellIs" dxfId="1" priority="1481" operator="greaterThan">
      <formula>120</formula>
    </cfRule>
    <cfRule type="containsText" dxfId="3" priority="1328" operator="between" text="库存">
      <formula>NOT(ISERROR(SEARCH("库存",AS139)))</formula>
    </cfRule>
  </conditionalFormatting>
  <conditionalFormatting sqref="AS140">
    <cfRule type="cellIs" dxfId="0" priority="1633" operator="lessThan">
      <formula>20</formula>
    </cfRule>
    <cfRule type="cellIs" dxfId="1" priority="1480" operator="greaterThan">
      <formula>120</formula>
    </cfRule>
    <cfRule type="containsText" dxfId="3" priority="1327" operator="between" text="库存">
      <formula>NOT(ISERROR(SEARCH("库存",AS140)))</formula>
    </cfRule>
  </conditionalFormatting>
  <conditionalFormatting sqref="AS141">
    <cfRule type="cellIs" dxfId="0" priority="1632" operator="lessThan">
      <formula>20</formula>
    </cfRule>
    <cfRule type="cellIs" dxfId="1" priority="1479" operator="greaterThan">
      <formula>120</formula>
    </cfRule>
    <cfRule type="containsText" dxfId="3" priority="1326" operator="between" text="库存">
      <formula>NOT(ISERROR(SEARCH("库存",AS141)))</formula>
    </cfRule>
  </conditionalFormatting>
  <conditionalFormatting sqref="AS142">
    <cfRule type="cellIs" dxfId="0" priority="1631" operator="lessThan">
      <formula>20</formula>
    </cfRule>
    <cfRule type="cellIs" dxfId="1" priority="1478" operator="greaterThan">
      <formula>120</formula>
    </cfRule>
    <cfRule type="containsText" dxfId="3" priority="1325" operator="between" text="库存">
      <formula>NOT(ISERROR(SEARCH("库存",AS142)))</formula>
    </cfRule>
  </conditionalFormatting>
  <conditionalFormatting sqref="AS143">
    <cfRule type="cellIs" dxfId="0" priority="1630" operator="lessThan">
      <formula>20</formula>
    </cfRule>
    <cfRule type="cellIs" dxfId="1" priority="1477" operator="greaterThan">
      <formula>120</formula>
    </cfRule>
    <cfRule type="containsText" dxfId="3" priority="1324" operator="between" text="库存">
      <formula>NOT(ISERROR(SEARCH("库存",AS143)))</formula>
    </cfRule>
  </conditionalFormatting>
  <conditionalFormatting sqref="AS144">
    <cfRule type="cellIs" dxfId="0" priority="1629" operator="lessThan">
      <formula>20</formula>
    </cfRule>
    <cfRule type="cellIs" dxfId="1" priority="1476" operator="greaterThan">
      <formula>120</formula>
    </cfRule>
    <cfRule type="containsText" dxfId="3" priority="1323" operator="between" text="库存">
      <formula>NOT(ISERROR(SEARCH("库存",AS144)))</formula>
    </cfRule>
  </conditionalFormatting>
  <conditionalFormatting sqref="AS145">
    <cfRule type="cellIs" dxfId="0" priority="1628" operator="lessThan">
      <formula>20</formula>
    </cfRule>
    <cfRule type="cellIs" dxfId="1" priority="1475" operator="greaterThan">
      <formula>120</formula>
    </cfRule>
    <cfRule type="containsText" dxfId="3" priority="1322" operator="between" text="库存">
      <formula>NOT(ISERROR(SEARCH("库存",AS145)))</formula>
    </cfRule>
  </conditionalFormatting>
  <conditionalFormatting sqref="AS146">
    <cfRule type="cellIs" dxfId="0" priority="1627" operator="lessThan">
      <formula>20</formula>
    </cfRule>
    <cfRule type="cellIs" dxfId="1" priority="1474" operator="greaterThan">
      <formula>120</formula>
    </cfRule>
    <cfRule type="containsText" dxfId="3" priority="1321" operator="between" text="库存">
      <formula>NOT(ISERROR(SEARCH("库存",AS146)))</formula>
    </cfRule>
  </conditionalFormatting>
  <conditionalFormatting sqref="AS147">
    <cfRule type="cellIs" dxfId="0" priority="1626" operator="lessThan">
      <formula>20</formula>
    </cfRule>
    <cfRule type="cellIs" dxfId="1" priority="1473" operator="greaterThan">
      <formula>120</formula>
    </cfRule>
    <cfRule type="containsText" dxfId="3" priority="1320" operator="between" text="库存">
      <formula>NOT(ISERROR(SEARCH("库存",AS147)))</formula>
    </cfRule>
  </conditionalFormatting>
  <conditionalFormatting sqref="AS148">
    <cfRule type="cellIs" dxfId="0" priority="1625" operator="lessThan">
      <formula>20</formula>
    </cfRule>
    <cfRule type="cellIs" dxfId="1" priority="1472" operator="greaterThan">
      <formula>120</formula>
    </cfRule>
    <cfRule type="containsText" dxfId="3" priority="1319" operator="between" text="库存">
      <formula>NOT(ISERROR(SEARCH("库存",AS148)))</formula>
    </cfRule>
  </conditionalFormatting>
  <conditionalFormatting sqref="AS149">
    <cfRule type="cellIs" dxfId="0" priority="1624" operator="lessThan">
      <formula>20</formula>
    </cfRule>
    <cfRule type="cellIs" dxfId="1" priority="1471" operator="greaterThan">
      <formula>120</formula>
    </cfRule>
    <cfRule type="containsText" dxfId="3" priority="1318" operator="between" text="库存">
      <formula>NOT(ISERROR(SEARCH("库存",AS149)))</formula>
    </cfRule>
  </conditionalFormatting>
  <conditionalFormatting sqref="AS150">
    <cfRule type="cellIs" dxfId="0" priority="1623" operator="lessThan">
      <formula>20</formula>
    </cfRule>
    <cfRule type="cellIs" dxfId="1" priority="1470" operator="greaterThan">
      <formula>120</formula>
    </cfRule>
    <cfRule type="containsText" dxfId="3" priority="1317" operator="between" text="库存">
      <formula>NOT(ISERROR(SEARCH("库存",AS150)))</formula>
    </cfRule>
  </conditionalFormatting>
  <conditionalFormatting sqref="AS151">
    <cfRule type="cellIs" dxfId="0" priority="1622" operator="lessThan">
      <formula>20</formula>
    </cfRule>
    <cfRule type="cellIs" dxfId="1" priority="1469" operator="greaterThan">
      <formula>120</formula>
    </cfRule>
    <cfRule type="containsText" dxfId="3" priority="1316" operator="between" text="库存">
      <formula>NOT(ISERROR(SEARCH("库存",AS151)))</formula>
    </cfRule>
  </conditionalFormatting>
  <conditionalFormatting sqref="AS152">
    <cfRule type="cellIs" dxfId="0" priority="1621" operator="lessThan">
      <formula>20</formula>
    </cfRule>
    <cfRule type="cellIs" dxfId="1" priority="1468" operator="greaterThan">
      <formula>120</formula>
    </cfRule>
    <cfRule type="containsText" dxfId="3" priority="1315" operator="between" text="库存">
      <formula>NOT(ISERROR(SEARCH("库存",AS152)))</formula>
    </cfRule>
  </conditionalFormatting>
  <conditionalFormatting sqref="AS153">
    <cfRule type="cellIs" dxfId="0" priority="1620" operator="lessThan">
      <formula>20</formula>
    </cfRule>
    <cfRule type="cellIs" dxfId="1" priority="1467" operator="greaterThan">
      <formula>120</formula>
    </cfRule>
    <cfRule type="containsText" dxfId="3" priority="1314" operator="between" text="库存">
      <formula>NOT(ISERROR(SEARCH("库存",AS153)))</formula>
    </cfRule>
  </conditionalFormatting>
  <conditionalFormatting sqref="AS154">
    <cfRule type="cellIs" dxfId="0" priority="1619" operator="lessThan">
      <formula>20</formula>
    </cfRule>
    <cfRule type="cellIs" dxfId="1" priority="1466" operator="greaterThan">
      <formula>120</formula>
    </cfRule>
    <cfRule type="containsText" dxfId="3" priority="1313" operator="between" text="库存">
      <formula>NOT(ISERROR(SEARCH("库存",AS154)))</formula>
    </cfRule>
  </conditionalFormatting>
  <conditionalFormatting sqref="AS155">
    <cfRule type="cellIs" dxfId="0" priority="1618" operator="lessThan">
      <formula>20</formula>
    </cfRule>
    <cfRule type="cellIs" dxfId="1" priority="1465" operator="greaterThan">
      <formula>120</formula>
    </cfRule>
    <cfRule type="containsText" dxfId="3" priority="1312" operator="between" text="库存">
      <formula>NOT(ISERROR(SEARCH("库存",AS155)))</formula>
    </cfRule>
  </conditionalFormatting>
  <conditionalFormatting sqref="AS156">
    <cfRule type="cellIs" dxfId="0" priority="1617" operator="lessThan">
      <formula>20</formula>
    </cfRule>
    <cfRule type="cellIs" dxfId="1" priority="1464" operator="greaterThan">
      <formula>120</formula>
    </cfRule>
    <cfRule type="containsText" dxfId="3" priority="1311" operator="between" text="库存">
      <formula>NOT(ISERROR(SEARCH("库存",AS156)))</formula>
    </cfRule>
  </conditionalFormatting>
  <conditionalFormatting sqref="AS157">
    <cfRule type="cellIs" dxfId="0" priority="1616" operator="lessThan">
      <formula>20</formula>
    </cfRule>
    <cfRule type="cellIs" dxfId="1" priority="1463" operator="greaterThan">
      <formula>120</formula>
    </cfRule>
    <cfRule type="containsText" dxfId="3" priority="1310" operator="between" text="库存">
      <formula>NOT(ISERROR(SEARCH("库存",AS157)))</formula>
    </cfRule>
  </conditionalFormatting>
  <conditionalFormatting sqref="AS158">
    <cfRule type="cellIs" dxfId="0" priority="1615" operator="lessThan">
      <formula>20</formula>
    </cfRule>
    <cfRule type="cellIs" dxfId="1" priority="1462" operator="greaterThan">
      <formula>120</formula>
    </cfRule>
    <cfRule type="containsText" dxfId="3" priority="1309" operator="between" text="库存">
      <formula>NOT(ISERROR(SEARCH("库存",AS158)))</formula>
    </cfRule>
  </conditionalFormatting>
  <conditionalFormatting sqref="AS1 AS3:AS5 AS159:AS1048576">
    <cfRule type="containsText" dxfId="3" priority="1771" operator="between" text="库存">
      <formula>NOT(ISERROR(SEARCH("库存",AS1)))</formula>
    </cfRule>
    <cfRule type="cellIs" dxfId="1" priority="1772" operator="greaterThan">
      <formula>120</formula>
    </cfRule>
    <cfRule type="cellIs" dxfId="0" priority="1773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18" sqref="G1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580</v>
      </c>
      <c r="B1" s="1">
        <f>B12</f>
        <v>43269</v>
      </c>
    </row>
    <row r="2" spans="1:2">
      <c r="A2" t="s">
        <v>581</v>
      </c>
      <c r="B2" s="1">
        <v>43296</v>
      </c>
    </row>
    <row r="4" spans="1:2">
      <c r="A4" t="s">
        <v>582</v>
      </c>
      <c r="B4" s="2">
        <f>B2+1</f>
        <v>43297</v>
      </c>
    </row>
    <row r="5" spans="1:2">
      <c r="A5" t="s">
        <v>583</v>
      </c>
      <c r="B5" s="3">
        <f>B2</f>
        <v>43296</v>
      </c>
    </row>
    <row r="6" spans="1:2">
      <c r="A6" t="s">
        <v>584</v>
      </c>
      <c r="B6" s="2">
        <f>B5-6</f>
        <v>43290</v>
      </c>
    </row>
    <row r="7" spans="1:2">
      <c r="A7" t="s">
        <v>585</v>
      </c>
      <c r="B7" s="2">
        <f>B5-7</f>
        <v>43289</v>
      </c>
    </row>
    <row r="8" spans="1:2">
      <c r="A8" t="s">
        <v>586</v>
      </c>
      <c r="B8" s="2">
        <f>B5-13</f>
        <v>43283</v>
      </c>
    </row>
    <row r="9" spans="1:2">
      <c r="A9" t="s">
        <v>587</v>
      </c>
      <c r="B9" s="2">
        <f>B5-14</f>
        <v>43282</v>
      </c>
    </row>
    <row r="10" spans="1:2">
      <c r="A10" t="s">
        <v>588</v>
      </c>
      <c r="B10" s="2">
        <f>B5-20</f>
        <v>43276</v>
      </c>
    </row>
    <row r="11" spans="1:2">
      <c r="A11" t="s">
        <v>589</v>
      </c>
      <c r="B11" s="2">
        <f>B5-21</f>
        <v>43275</v>
      </c>
    </row>
    <row r="12" spans="1:2">
      <c r="A12" t="s">
        <v>590</v>
      </c>
      <c r="B12" s="2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2018-07-17T08:01:47Z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