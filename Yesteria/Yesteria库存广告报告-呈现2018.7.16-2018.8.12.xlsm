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'库存（子SKU）'!$A$4:$BI$189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<sst xmlns="http://schemas.openxmlformats.org/spreadsheetml/2006/main" count="680">
  <si>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</si>
  <si>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</si>
  <si>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</si>
  <si>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</si>
  <si>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</si>
  <si>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</si>
  <si>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</si>
  <si>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</si>
  <si>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</si>
  <si>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</si>
  <si>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</si>
  <si>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</si>
  <si>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</si>
  <si>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</si>
  <si>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</si>
  <si>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</si>
  <si>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</si>
  <si>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</si>
  <si>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</si>
  <si>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</si>
  <si>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</si>
  <si>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</si>
  <si>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</si>
  <si>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</si>
  <si>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</si>
  <si>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</si>
  <si>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</si>
  <si>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</si>
  <si>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</si>
  <si>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</si>
  <si>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</si>
  <si>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</si>
  <si>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</si>
  <si>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</si>
  <si>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</si>
  <si>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</si>
  <si>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</si>
  <si>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</si>
  <si>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</si>
  <si>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</si>
  <si>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</si>
  <si>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</si>
  <si>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</si>
  <si>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</si>
  <si>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</si>
  <si>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</si>
  <si>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</si>
  <si>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</si>
  <si>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</si>
  <si>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</si>
  <si>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</si>
  <si>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</si>
  <si>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B079JQCWQ6</t>
  </si>
  <si>
    <t>DO-YULQ001</t>
  </si>
  <si>
    <t>DO-YULQ002-PI-22</t>
  </si>
  <si>
    <t>B078X6K4KJ</t>
  </si>
  <si>
    <t>DO-YULQ002</t>
  </si>
  <si>
    <t/>
  </si>
  <si>
    <t>DO-YULQ004-B7-11</t>
  </si>
  <si>
    <t>B078Y5BTZC</t>
  </si>
  <si>
    <t>DO-YULQ004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</si>
  <si>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</si>
  <si>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</si>
  <si>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</si>
  <si>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</si>
  <si>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</si>
  <si>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</si>
  <si>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</si>
  <si>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</si>
  <si>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DO-YULQ006-PI-10</t>
  </si>
  <si>
    <t>B078XZR24D</t>
  </si>
  <si>
    <t>DO-YULQ006-PI-11</t>
  </si>
  <si>
    <t>DO-YULQ008-LGR-16</t>
  </si>
  <si>
    <t>B0795D6KPS</t>
  </si>
  <si>
    <t>DO-YULQ008</t>
  </si>
  <si>
    <t>无销量广告费为8.63</t>
  </si>
  <si>
    <t>DO-YULQ008-Y0-17</t>
  </si>
  <si>
    <t>B0795VRN2N</t>
  </si>
  <si>
    <t>无销量广告费为0.76</t>
  </si>
  <si>
    <t>DO-YULQ009-PI-16</t>
  </si>
  <si>
    <t>B07FDCC8ZC</t>
  </si>
  <si>
    <t>DO-YULQ009</t>
  </si>
  <si>
    <t>无销量广告费为9.99</t>
  </si>
  <si>
    <t>DO-YULQ010-P0-22</t>
  </si>
  <si>
    <t>B078X59HSZ</t>
  </si>
  <si>
    <t>DO-YULQ010</t>
  </si>
  <si>
    <t>无销量广告费为42.8</t>
  </si>
  <si>
    <t>无销量广告费为14.12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</si>
  <si>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</si>
  <si>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</si>
  <si>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</si>
  <si>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</si>
  <si>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</si>
  <si>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</si>
  <si>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</si>
  <si>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无销量广告费为145.43</t>
  </si>
  <si>
    <t>无销量广告费为1.33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</si>
  <si>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</si>
  <si>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</si>
  <si>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</si>
  <si>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</si>
  <si>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</si>
  <si>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</si>
  <si>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</si>
  <si>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</si>
  <si>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无销量广告费为4.69</t>
  </si>
  <si>
    <t>DO-YULQ021-PI-22</t>
  </si>
  <si>
    <t>B079NWXG5Z</t>
  </si>
  <si>
    <t>DO-YULQ021</t>
  </si>
  <si>
    <t>DO-YULQ021-W0-22</t>
  </si>
  <si>
    <t>B079P52R76</t>
  </si>
  <si>
    <t>无销量广告费为13.72</t>
  </si>
  <si>
    <t>无销量广告费为13.86</t>
  </si>
  <si>
    <t>无销量广告费为3.26</t>
  </si>
  <si>
    <t>无销量广告费为2.55</t>
  </si>
  <si>
    <t>DO-YULQ039-R0-22</t>
  </si>
  <si>
    <t>B07F73THXK</t>
  </si>
  <si>
    <t>DO-YULQ039</t>
  </si>
  <si>
    <t>无销量广告费为3.4</t>
  </si>
  <si>
    <t>无销量广告费为0.97</t>
  </si>
  <si>
    <t>DO-YULQ042-W0-22</t>
  </si>
  <si>
    <t>B07B9C9WPT</t>
  </si>
  <si>
    <t>DO-YULQ042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</si>
  <si>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</si>
  <si>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</si>
  <si>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</si>
  <si>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</si>
  <si>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</si>
  <si>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</si>
  <si>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</si>
  <si>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</si>
  <si>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</si>
  <si>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</si>
  <si>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</si>
  <si>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</si>
  <si>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</si>
  <si>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</si>
  <si>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</si>
  <si>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</si>
  <si>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无销量广告费为52.68</t>
  </si>
  <si>
    <t>无销量广告费为18.68</t>
  </si>
  <si>
    <t>无销量广告费为15.59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</si>
  <si>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</si>
  <si>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</si>
  <si>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</si>
  <si>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</si>
  <si>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</si>
  <si>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</si>
  <si>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</si>
  <si>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</si>
  <si>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</si>
  <si>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无销量广告费为49.78</t>
  </si>
  <si>
    <t>无销量广告费为50.19</t>
  </si>
  <si>
    <t>无销量广告费为15.68</t>
  </si>
  <si>
    <t>DO-YULQ071-PI-16</t>
  </si>
  <si>
    <t>B07BFVXXX8</t>
  </si>
  <si>
    <t>DO-YULQ073-LGR-22</t>
  </si>
  <si>
    <t>B0792VRZ89</t>
  </si>
  <si>
    <t>DO-YULQ073</t>
  </si>
  <si>
    <t>无销量广告费为60.04</t>
  </si>
  <si>
    <t>DO-YULQ081-B7-10</t>
  </si>
  <si>
    <t>B07BLRH5BR</t>
  </si>
  <si>
    <t>DO-YULQ081</t>
  </si>
  <si>
    <t>无销量广告费为34.46</t>
  </si>
  <si>
    <t>无销量广告费为1.02</t>
  </si>
  <si>
    <t>无销量广告费为4.59</t>
  </si>
  <si>
    <t>DO-YULQ081-PI-10</t>
  </si>
  <si>
    <t>B07BLRWT2V</t>
  </si>
  <si>
    <t>无销量广告费为5.28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</si>
  <si>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</si>
  <si>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</si>
  <si>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</si>
  <si>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</si>
  <si>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</si>
  <si>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</si>
  <si>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</si>
  <si>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DO-YULQ105-R2-22</t>
  </si>
  <si>
    <t>B0794Z23LW</t>
  </si>
  <si>
    <t>DO-YULQ105</t>
  </si>
  <si>
    <t>无销量广告费为18.87</t>
  </si>
  <si>
    <t>DO-YULQ107-PI-22</t>
  </si>
  <si>
    <t>B0795PQJS1</t>
  </si>
  <si>
    <t>DO-YULQ107</t>
  </si>
  <si>
    <t>DO-YULQ111-PI-22</t>
  </si>
  <si>
    <t>B079JQ6R99</t>
  </si>
  <si>
    <t>DO-YULQ111</t>
  </si>
  <si>
    <t>无销量广告费为16.25</t>
  </si>
  <si>
    <t>DO-YULQ111-R2-22</t>
  </si>
  <si>
    <t>B078X5HG51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</si>
  <si>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</si>
  <si>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</si>
  <si>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</si>
  <si>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</si>
  <si>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</si>
  <si>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</si>
  <si>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无销量广告费为124.8</t>
  </si>
  <si>
    <t>无销量广告费为125.86</t>
  </si>
  <si>
    <t>无销量广告费为38.93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</si>
  <si>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</si>
  <si>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</si>
  <si>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</si>
  <si>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</si>
  <si>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</si>
  <si>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</si>
  <si>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</si>
  <si>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</si>
  <si>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无销量广告费为13.94</t>
  </si>
  <si>
    <t>DO-YULQ150-K0-22</t>
  </si>
  <si>
    <t>B07CN274MC</t>
  </si>
  <si>
    <t>无销量广告费为59.66</t>
  </si>
  <si>
    <t>无销量广告费为20.21</t>
  </si>
  <si>
    <t>无销量广告费为15.03</t>
  </si>
  <si>
    <t>DO-YULQ150-PI-20</t>
  </si>
  <si>
    <t>B07CM664M7</t>
  </si>
  <si>
    <t>DO-YULQ151-W0-16</t>
  </si>
  <si>
    <t>B07CN4J157</t>
  </si>
  <si>
    <t>DO-YULQ151</t>
  </si>
  <si>
    <t>无销量广告费为52.56</t>
  </si>
  <si>
    <t>无销量广告费为12.09</t>
  </si>
  <si>
    <t>无销量广告费为23.43</t>
  </si>
  <si>
    <t>DO-YULQ152-B7-22</t>
  </si>
  <si>
    <t>B079JRG1TM</t>
  </si>
  <si>
    <t>DO-YULQ152</t>
  </si>
  <si>
    <t>无销量广告费为76.69</t>
  </si>
  <si>
    <t>无销量广告费为11.06</t>
  </si>
  <si>
    <t>无销量广告费为27.58</t>
  </si>
  <si>
    <t>DO-YULQ152-Z1-22</t>
  </si>
  <si>
    <t>B07CN4J1B2</t>
  </si>
  <si>
    <t>无销量广告费为85.38</t>
  </si>
  <si>
    <t>无销量广告费为16.37</t>
  </si>
  <si>
    <t>DO-YULQ153-B7-22</t>
  </si>
  <si>
    <t>B07BDDC5WH</t>
  </si>
  <si>
    <t>DO-YULQ153</t>
  </si>
  <si>
    <t>无销量广告费为88.57</t>
  </si>
  <si>
    <t>DO-YULQ153-TW-20</t>
  </si>
  <si>
    <t>B07CLYNY71</t>
  </si>
  <si>
    <t>DO-YULQ158-W0-22</t>
  </si>
  <si>
    <t>B0795M2NML</t>
  </si>
  <si>
    <t>DO-YULQ158</t>
  </si>
  <si>
    <t>无销量广告费为202.38</t>
  </si>
  <si>
    <t>无销量广告费为1.22</t>
  </si>
  <si>
    <t>无销量广告费为3.85</t>
  </si>
  <si>
    <t>DO-YULQ159-R2-22</t>
  </si>
  <si>
    <t>B07BNCFZXN</t>
  </si>
  <si>
    <t>DO-YULQ159</t>
  </si>
  <si>
    <t>DO-YULQ161-G0-16</t>
  </si>
  <si>
    <t>B079NY4PYK</t>
  </si>
  <si>
    <t>DO-YULQ161</t>
  </si>
  <si>
    <t>DO-YULQ161-PI-22</t>
  </si>
  <si>
    <t>B078XBY1MZ</t>
  </si>
  <si>
    <t>无销量广告费为88.02</t>
  </si>
  <si>
    <t>DO-YULQ162-PI-16</t>
  </si>
  <si>
    <t>B07BFVF3GM</t>
  </si>
  <si>
    <t>DO-YULQ162</t>
  </si>
  <si>
    <t>无销量广告费为57.21</t>
  </si>
  <si>
    <t>无销量广告费为11.85</t>
  </si>
  <si>
    <t>DO-YULQ163-B7-22</t>
  </si>
  <si>
    <t>B078XBDF6J</t>
  </si>
  <si>
    <t>DO-YULQ163</t>
  </si>
  <si>
    <t>无销量广告费为142.57</t>
  </si>
  <si>
    <t>DO-YULQ163-PI-22</t>
  </si>
  <si>
    <t>DO-YULQ165-B7-16</t>
  </si>
  <si>
    <t>B07BLVB7FH</t>
  </si>
  <si>
    <t>DO-YULQ165</t>
  </si>
  <si>
    <t>无销量广告费为7.94</t>
  </si>
  <si>
    <t>无销量广告费为8.23</t>
  </si>
  <si>
    <t>无销量广告费为7.07</t>
  </si>
  <si>
    <t>DO-YULQ165-PI-16</t>
  </si>
  <si>
    <t>B07BLTPG2G</t>
  </si>
  <si>
    <t>DO-YULQ170-SH-22</t>
  </si>
  <si>
    <t>B07F72X354</t>
  </si>
  <si>
    <t>DO-YULQ170</t>
  </si>
  <si>
    <t>无销量广告费为3.09</t>
  </si>
  <si>
    <t>无销量广告费为0.25</t>
  </si>
  <si>
    <t>DO-YULQ171-B0-22</t>
  </si>
  <si>
    <t>B079NW9791</t>
  </si>
  <si>
    <t>DO-YULQ171</t>
  </si>
  <si>
    <t>无销量广告费为20.36</t>
  </si>
  <si>
    <t>DO-YULQ171-LGR-22</t>
  </si>
  <si>
    <t>B0795117ZD</t>
  </si>
  <si>
    <t>无销量广告费为122.1</t>
  </si>
  <si>
    <t>无销量广告费为29.5</t>
  </si>
  <si>
    <t>DO-YULQ172-BD-22</t>
  </si>
  <si>
    <t>B079513H1Q</t>
  </si>
  <si>
    <t>DO-YULQ172</t>
  </si>
  <si>
    <t>DO-YULQ173-B7-22</t>
  </si>
  <si>
    <t>B07BFVYCH2</t>
  </si>
  <si>
    <t>DO-YULQ173</t>
  </si>
  <si>
    <t>DO-YULQ188-PI-22</t>
  </si>
  <si>
    <t>B07G156Z7C</t>
  </si>
  <si>
    <t>DO-YULQ188</t>
  </si>
  <si>
    <t>DO-YULQ189-PI-22</t>
  </si>
  <si>
    <t>B07G16J3HL</t>
  </si>
  <si>
    <t>DO-YULQ189</t>
  </si>
  <si>
    <t>DO-YULQ190-B7-22</t>
  </si>
  <si>
    <t>B07G2BPXQ7</t>
  </si>
  <si>
    <t>DO-YULQ190</t>
  </si>
  <si>
    <t>DO-YULQ191-E0-22</t>
  </si>
  <si>
    <t>B07G1Z8D76</t>
  </si>
  <si>
    <t>DO-YULQ191</t>
  </si>
  <si>
    <t>DO-YULQ192-G0-22</t>
  </si>
  <si>
    <t>B07G41G2GB</t>
  </si>
  <si>
    <t>DO-YULQ192</t>
  </si>
  <si>
    <t>DO-YULQ193-PI-24</t>
  </si>
  <si>
    <t>B07GDM6C8J</t>
  </si>
  <si>
    <t>DO-YULQ193</t>
  </si>
  <si>
    <t>DO-YULQ194-R0-24</t>
  </si>
  <si>
    <t>B07GDPF7DB</t>
  </si>
  <si>
    <t>DO-YULQ194</t>
  </si>
  <si>
    <t>DO-YULQ195-R0-24</t>
  </si>
  <si>
    <t>B07GDNLTVF</t>
  </si>
  <si>
    <t>DO-YULQ195</t>
  </si>
  <si>
    <t>DO-YULQ196-PI-24</t>
  </si>
  <si>
    <t>B07GDQS6D2</t>
  </si>
  <si>
    <t>DO-YULQ196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</si>
  <si>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</si>
  <si>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</si>
  <si>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</si>
  <si>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</si>
  <si>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</si>
  <si>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</si>
  <si>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</si>
  <si>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</si>
  <si>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</si>
  <si>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</si>
  <si>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</si>
  <si>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</si>
  <si>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</si>
  <si>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</si>
  <si>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</si>
  <si>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</si>
  <si>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</si>
  <si>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无销量广告费为17.3</t>
  </si>
  <si>
    <t>DO-YULQ259-PI-22</t>
  </si>
  <si>
    <t>B07DQH5M4P</t>
  </si>
  <si>
    <t>DO-YULQ259</t>
  </si>
  <si>
    <t>DO-YULQ330-PI-18</t>
  </si>
  <si>
    <t>B0792VK5C4</t>
  </si>
  <si>
    <t>DO-YULQ330</t>
  </si>
  <si>
    <t>无销量广告费为63.99</t>
  </si>
  <si>
    <t>无销量广告费为64.49</t>
  </si>
  <si>
    <t>无销量广告费为38.85</t>
  </si>
  <si>
    <t>DO-YULQ332-LGR-20</t>
  </si>
  <si>
    <t>B0792VHP6W</t>
  </si>
  <si>
    <t>DO-YULQ332</t>
  </si>
  <si>
    <t>DO-YULQ350-PI-22</t>
  </si>
  <si>
    <t>B0795M8ZGB</t>
  </si>
  <si>
    <t>DO-YULQ350</t>
  </si>
  <si>
    <t>无销量广告费为13.02</t>
  </si>
  <si>
    <t>无销量广告费为8.5</t>
  </si>
  <si>
    <t>无销量广告费为2.53</t>
  </si>
  <si>
    <t>DO-YULQ372-R0-22</t>
  </si>
  <si>
    <t>B07BSC5Q33</t>
  </si>
  <si>
    <t>DO-YULQ372</t>
  </si>
  <si>
    <t>无销量广告费为6.34</t>
  </si>
  <si>
    <t>无销量广告费为1.78</t>
  </si>
  <si>
    <t>无销量广告费为0.72</t>
  </si>
  <si>
    <t>DO-YULQ504-PI-22</t>
  </si>
  <si>
    <t>B07F71667Y</t>
  </si>
  <si>
    <t>DO-YULQ504</t>
  </si>
  <si>
    <t>无销量广告费为2.25</t>
  </si>
  <si>
    <t>无销量广告费为0.52</t>
  </si>
  <si>
    <t>DO-YULQ507-PI-24</t>
  </si>
  <si>
    <t>B07FD9B9Q1</t>
  </si>
  <si>
    <t>DO-YULQ507</t>
  </si>
  <si>
    <t>DO-YULQ516-B0-22</t>
  </si>
  <si>
    <t>B07BFVWCV4</t>
  </si>
  <si>
    <t>DO-YULQ516</t>
  </si>
  <si>
    <t>无销量广告费为152.51</t>
  </si>
  <si>
    <t>无销量广告费为70.86</t>
  </si>
  <si>
    <t>DO-YULQ604-PI-22</t>
  </si>
  <si>
    <t>B078XB1WC9</t>
  </si>
  <si>
    <t>DO-YULQ604</t>
  </si>
  <si>
    <t>DO-YULQ605-PI-16</t>
  </si>
  <si>
    <t>B0792PFKL5</t>
  </si>
  <si>
    <t>DO-YULQ605</t>
  </si>
  <si>
    <t>无销量广告费为2.45</t>
  </si>
  <si>
    <t>DO-YULQ605-PI-22</t>
  </si>
  <si>
    <t>B07BSD41QJ</t>
  </si>
  <si>
    <t>无销量广告费为36.43</t>
  </si>
  <si>
    <t>DO-YULQ606-W0-22</t>
  </si>
  <si>
    <t>B07BSFP5QZ</t>
  </si>
  <si>
    <t>DO-YULQ606</t>
  </si>
  <si>
    <t>无销量广告费为6.06</t>
  </si>
  <si>
    <t>无销量广告费为3.78</t>
  </si>
  <si>
    <t>DO-YULQ610-R2-22</t>
  </si>
  <si>
    <t>B0793RW7P4</t>
  </si>
  <si>
    <t>DO-YULQ610</t>
  </si>
  <si>
    <t>无销量广告费为13.3</t>
  </si>
  <si>
    <t>DO-YULQ611-TW-22</t>
  </si>
  <si>
    <t>B0793RG3PM</t>
  </si>
  <si>
    <t>DO-YULQ611</t>
  </si>
  <si>
    <t>无销量广告费为339.63</t>
  </si>
  <si>
    <t>无销量广告费为120.89</t>
  </si>
  <si>
    <t>DO-YULQ620-NZ-22</t>
  </si>
  <si>
    <t>B079JXQJSM</t>
  </si>
  <si>
    <t>DO-YULQ620</t>
  </si>
  <si>
    <t>DO-YULQ620-PI-22</t>
  </si>
  <si>
    <t>B079JQDDN7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</si>
  <si>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</si>
  <si>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</si>
  <si>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</si>
  <si>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</si>
  <si>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</si>
  <si>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</si>
  <si>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无销量广告费为136.75</t>
  </si>
  <si>
    <t>无销量广告费为137.63</t>
  </si>
  <si>
    <t>DO-YULQ638-LGR-20</t>
  </si>
  <si>
    <t>B07B7G22RT</t>
  </si>
  <si>
    <t>DO-YULQ638</t>
  </si>
  <si>
    <t>无销量广告费为0.48</t>
  </si>
  <si>
    <t>DO-YULQ638-PI-20</t>
  </si>
  <si>
    <t>B07929YDZM</t>
  </si>
  <si>
    <t>无销量广告费为66.61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</si>
  <si>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</si>
  <si>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</si>
  <si>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</si>
  <si>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</si>
  <si>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</si>
  <si>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</si>
  <si>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</si>
  <si>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</si>
  <si>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</si>
  <si>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</si>
  <si>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</si>
  <si>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无销量广告费为137.12</t>
  </si>
  <si>
    <t>无销量广告费为35.22</t>
  </si>
  <si>
    <t>无销量广告费为37.65</t>
  </si>
  <si>
    <t>DO-YULQ698-W0-22</t>
  </si>
  <si>
    <t>B07GDLQ6SZ</t>
  </si>
  <si>
    <t>DO-YULQ698</t>
  </si>
  <si>
    <t>DO-YULQ699-B7-11</t>
  </si>
  <si>
    <t>B07GDL3PH6</t>
  </si>
  <si>
    <t>DO-YULQ699</t>
  </si>
  <si>
    <t>DO-YULQ699-B7-22</t>
  </si>
  <si>
    <t>B07GDJ7XVW</t>
  </si>
  <si>
    <t>DO-YULQ699-PI-22</t>
  </si>
  <si>
    <t>B07GDJYGMH</t>
  </si>
  <si>
    <t>DO-YULQ700-PI-22</t>
  </si>
  <si>
    <t>B07CM58KHK</t>
  </si>
  <si>
    <t>DO-YULQ700</t>
  </si>
  <si>
    <t>无销量广告费为256.75</t>
  </si>
  <si>
    <t>DO-YULQ701-PI-22</t>
  </si>
  <si>
    <t>B07CM9N213</t>
  </si>
  <si>
    <t>DO-YULQ701</t>
  </si>
  <si>
    <t>无销量广告费为89.8</t>
  </si>
  <si>
    <t>DO-YULQ702-PI-22</t>
  </si>
  <si>
    <t>B07CM6R65H</t>
  </si>
  <si>
    <t>DO-YULQ702</t>
  </si>
  <si>
    <t>无销量广告费为42.95</t>
  </si>
  <si>
    <t>DO-YULQ703-PI-22</t>
  </si>
  <si>
    <t>B07CN76YH9</t>
  </si>
  <si>
    <t>DO-YULQ703</t>
  </si>
  <si>
    <t>无销量广告费为14.18</t>
  </si>
  <si>
    <t>无销量广告费为25.23</t>
  </si>
  <si>
    <t>DO-YULQ704-B0-24</t>
  </si>
  <si>
    <t>B07D4DDT41</t>
  </si>
  <si>
    <t>DO-YULQ704</t>
  </si>
  <si>
    <t>无销量广告费为25.22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</si>
  <si>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</si>
  <si>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</si>
  <si>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</si>
  <si>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</si>
  <si>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</si>
  <si>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</si>
  <si>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</si>
  <si>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</si>
  <si>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B07D4D4876</t>
  </si>
  <si>
    <t>无销量广告费为18.49</t>
  </si>
  <si>
    <t>无销量广告费为6.07</t>
  </si>
  <si>
    <t>无销量广告费为5.36</t>
  </si>
  <si>
    <t>DO-YULQ706-R0-24</t>
  </si>
  <si>
    <t>B07D4D6Q9C</t>
  </si>
  <si>
    <t>DO-YULQ706</t>
  </si>
  <si>
    <t>无销量广告费为14.84</t>
  </si>
  <si>
    <t>无销量广告费为2.63</t>
  </si>
  <si>
    <t>无销量广告费为2.61</t>
  </si>
  <si>
    <t>DO-YULQ707-PI-24</t>
  </si>
  <si>
    <t>B07D4DRFYN</t>
  </si>
  <si>
    <t>DO-YULQ707</t>
  </si>
  <si>
    <t>无销量广告费为60.22</t>
  </si>
  <si>
    <t>DO-YULQ708-W0-24</t>
  </si>
  <si>
    <t>B07D4DC72D</t>
  </si>
  <si>
    <t>DO-YULQ708</t>
  </si>
  <si>
    <t>DO-YULQ712-W0-22</t>
  </si>
  <si>
    <t>B07FD6C9T4</t>
  </si>
  <si>
    <t>DO-YULQ712</t>
  </si>
  <si>
    <t>DO-YULQ718-WA-16</t>
  </si>
  <si>
    <t>B07FNY8W44</t>
  </si>
  <si>
    <t>DO-YULQ718</t>
  </si>
  <si>
    <t>DO-YULQ719-B7-16</t>
  </si>
  <si>
    <t>B07FNKS38N</t>
  </si>
  <si>
    <t>DO-YULQ719</t>
  </si>
  <si>
    <t>无销量广告费为0.64</t>
  </si>
  <si>
    <t>DO-YULQ720-W0-16</t>
  </si>
  <si>
    <t>B07FNL69J7</t>
  </si>
  <si>
    <t>DO-YULQ720</t>
  </si>
  <si>
    <t>无销量广告费为2.06</t>
  </si>
  <si>
    <t>DO-YULQ721-PI-16</t>
  </si>
  <si>
    <t>B07FNJYWTX</t>
  </si>
  <si>
    <t>DO-YULQ721</t>
  </si>
  <si>
    <t>无销量广告费为0.74</t>
  </si>
  <si>
    <t>DO-YULQ812-W0-18</t>
  </si>
  <si>
    <t>B0792VKCCR</t>
  </si>
  <si>
    <t>DO-YULQ812</t>
  </si>
  <si>
    <t>DO-YULQ904-B7-22</t>
  </si>
  <si>
    <t>B078XC1QQQ</t>
  </si>
  <si>
    <t>DO-YULQ904</t>
  </si>
  <si>
    <t>DO-YULQ905-B7-22</t>
  </si>
  <si>
    <t>B076J5RSFF</t>
  </si>
  <si>
    <t>DO-YULQ905</t>
  </si>
  <si>
    <t>DO-YULQ985-B7-20</t>
  </si>
  <si>
    <t>B07CM67KDW</t>
  </si>
  <si>
    <t>DOLL-004-LB-10</t>
  </si>
  <si>
    <t>B076Q71HXL</t>
  </si>
  <si>
    <t>DOLL-004</t>
  </si>
  <si>
    <t>DOLL-004-LB-11</t>
  </si>
  <si>
    <t>DOLL-004-PI-10</t>
  </si>
  <si>
    <t>B076Q8RG21</t>
  </si>
  <si>
    <t>DOLL-005-WO-11</t>
  </si>
  <si>
    <t>B076PDDZW9</t>
  </si>
  <si>
    <t>DOLL-005</t>
  </si>
  <si>
    <t>无销量广告费为29.1</t>
  </si>
  <si>
    <t>无销量广告费为3.44</t>
  </si>
  <si>
    <t>无销量广告费为5.99</t>
  </si>
  <si>
    <t>DOLL-006-LB-11</t>
  </si>
  <si>
    <t>B076Q79H79</t>
  </si>
  <si>
    <t>DOLL-006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</si>
  <si>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</si>
  <si>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</si>
  <si>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</si>
  <si>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</si>
  <si>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</si>
  <si>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</si>
  <si>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</si>
  <si>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</si>
  <si>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</si>
  <si>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</si>
  <si>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无销量广告费为12.73</t>
  </si>
  <si>
    <t>DOLL-010-PI-22</t>
  </si>
  <si>
    <t>B06XPJWWR4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</si>
  <si>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</si>
  <si>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</si>
  <si>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</si>
  <si>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</si>
  <si>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</si>
  <si>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</si>
  <si>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</si>
  <si>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DOLL-0603-NZ-22</t>
  </si>
  <si>
    <t>B077SDPC6N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</si>
  <si>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</si>
  <si>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</si>
  <si>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</si>
  <si>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</si>
  <si>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</si>
  <si>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</si>
  <si>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</si>
  <si>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无销量广告费为16.6</t>
  </si>
  <si>
    <t>DOLL-100-LB-22</t>
  </si>
  <si>
    <t>B077SHDMC8</t>
  </si>
  <si>
    <t>DOLL-100</t>
  </si>
  <si>
    <t>DOLL-1523-B7-22</t>
  </si>
  <si>
    <t>B0784T23ZQ</t>
  </si>
  <si>
    <t>DOLL-1523</t>
  </si>
  <si>
    <t>DOLL-1613-LB-11</t>
  </si>
  <si>
    <t>B076MVRP3M</t>
  </si>
  <si>
    <t>DOLL-1613</t>
  </si>
  <si>
    <t>无销量广告费为20.17</t>
  </si>
  <si>
    <t>DOLL-1613-LB-22</t>
  </si>
  <si>
    <t>B076MT3BDS</t>
  </si>
  <si>
    <t>无销量广告费为22.29</t>
  </si>
  <si>
    <t>无销量广告费为13.1</t>
  </si>
  <si>
    <t>无销量广告费为6.09</t>
  </si>
  <si>
    <t>DOLL-1613-PI-11</t>
  </si>
  <si>
    <t>B076MTPGQ1</t>
  </si>
  <si>
    <t>DOLL-1613-PI-22</t>
  </si>
  <si>
    <t>B076MW1Y4F</t>
  </si>
  <si>
    <t>无销量广告费为3.98</t>
  </si>
  <si>
    <t>无销量广告费为1.09</t>
  </si>
  <si>
    <t>无销量广告费为0.8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</si>
  <si>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</si>
  <si>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</si>
  <si>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</si>
  <si>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</si>
  <si>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</si>
  <si>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</si>
  <si>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</si>
  <si>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</si>
  <si>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</si>
  <si>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</si>
  <si>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</si>
  <si>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</si>
  <si>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</si>
  <si>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DOLL-7056B-YO-11</t>
  </si>
  <si>
    <t>DOLL-9042-B0-22</t>
  </si>
  <si>
    <t>DOLL-9042</t>
  </si>
  <si>
    <t>DOLL-AD010-03R-22</t>
  </si>
  <si>
    <t>B0788N4FMR</t>
  </si>
  <si>
    <t>DOLL-AD010</t>
  </si>
  <si>
    <t>DOLL-AD011-PI-22</t>
  </si>
  <si>
    <t>B077SGXYL6</t>
  </si>
  <si>
    <t>DOLL-AD011</t>
  </si>
  <si>
    <t>DOLLDRESS-003-PI-20</t>
  </si>
  <si>
    <t>B076K8YDNV</t>
  </si>
  <si>
    <t>DOLLDRESS-003</t>
  </si>
  <si>
    <t>DOLLDRESS-003-PI-M</t>
  </si>
  <si>
    <t>B0785S857P</t>
  </si>
  <si>
    <t>DOLLDRESS-003-R2-20</t>
  </si>
  <si>
    <t>B076KQB6X1</t>
  </si>
  <si>
    <t>DOLLDRESS-003-R2-M</t>
  </si>
  <si>
    <t>B077Z474QH</t>
  </si>
  <si>
    <t>DOLLDRESS-003-WO-M</t>
  </si>
  <si>
    <t>B077Z6B9TS</t>
  </si>
  <si>
    <t>无销量广告费为44.24</t>
  </si>
  <si>
    <t>DOLLDRESS-007-PI-20</t>
  </si>
  <si>
    <t>B074P4D14G</t>
  </si>
  <si>
    <t>DOLLDRESS-007</t>
  </si>
  <si>
    <t>DOLLDRESS-1612-GO-23</t>
  </si>
  <si>
    <t>B0778B83P8</t>
  </si>
  <si>
    <t>DOLLDRESS-1612</t>
  </si>
  <si>
    <t>NZZH-FLQ52</t>
  </si>
  <si>
    <t>B077VNWLJW</t>
  </si>
  <si>
    <t>YF-YULQ002-B7-20</t>
  </si>
  <si>
    <t>B079NXJZ52</t>
  </si>
  <si>
    <t>YF-YULQ002</t>
  </si>
  <si>
    <t>YF-YULQ003-R2-20</t>
  </si>
  <si>
    <t>YF-YULQ003</t>
  </si>
  <si>
    <t>YF-YULQ003-W0-20</t>
  </si>
  <si>
    <t>B077T29TYP</t>
  </si>
  <si>
    <t>YF-YULQ007-PI-20</t>
  </si>
  <si>
    <t>YF-YULQ007</t>
  </si>
  <si>
    <t>YF-YULQ008-BL-22</t>
  </si>
  <si>
    <t>B07FDCRR6Q</t>
  </si>
  <si>
    <t>YF-YULQ008</t>
  </si>
  <si>
    <t>YF-YULQ009-YE-22</t>
  </si>
  <si>
    <t>B07FDD4P8H</t>
  </si>
  <si>
    <t>YF-YULQ009</t>
  </si>
  <si>
    <t>YF-YULQ010-PI-22</t>
  </si>
  <si>
    <t>B07FD841D5</t>
  </si>
  <si>
    <t>YF-YULQ010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</si>
  <si>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</si>
  <si>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</si>
  <si>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</si>
  <si>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</si>
  <si>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</si>
  <si>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</si>
  <si>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</si>
  <si>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</si>
  <si>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</si>
  <si>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DOLL-0602-NZ-22</t>
  </si>
  <si>
    <t>DOLL-0602</t>
  </si>
  <si>
    <t>DO-YULQ187-BR-22</t>
  </si>
  <si>
    <t>B07FYF8J1H</t>
  </si>
  <si>
    <t>DO-YULQ187</t>
  </si>
  <si>
    <t>无销量广告费为3.12</t>
  </si>
  <si>
    <t>无销量广告费为2.11</t>
  </si>
  <si>
    <t>DO-YULQ101-PI-22</t>
  </si>
  <si>
    <t>B078YMSFZJ</t>
  </si>
  <si>
    <t>DO-YULQ101</t>
  </si>
  <si>
    <t>无销量广告费为0.6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</si>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</sst>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9" fillId="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9" fillId="8" borderId="5" applyNumberFormat="0" applyAlignment="0" applyProtection="0">
      <alignment vertical="center"/>
    </xf>
    <xf numFmtId="0" fontId="13" fillId="8" borderId="1" applyNumberFormat="0" applyAlignment="0" applyProtection="0">
      <alignment vertical="center"/>
    </xf>
    <xf numFmtId="0" fontId="18" fillId="14" borderId="4" applyNumberFormat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0" fillId="0" borderId="0" xfId="0" applyBorder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B079JQCWQ6</v>
          </cell>
          <cell r="B2">
            <v>1221</v>
          </cell>
          <cell r="C2">
            <v>1631</v>
          </cell>
          <cell r="D2">
            <v>1067</v>
          </cell>
          <cell r="E2">
            <v>2338</v>
          </cell>
        </row>
        <row r="3">
          <cell r="A3" t="str">
            <v>B06XPJWWR4</v>
          </cell>
          <cell r="B3">
            <v>1332</v>
          </cell>
          <cell r="C3">
            <v>1292</v>
          </cell>
          <cell r="D3">
            <v>1354</v>
          </cell>
          <cell r="E3">
            <v>1882</v>
          </cell>
        </row>
        <row r="4">
          <cell r="A4" t="str">
            <v>B077HNP6TL</v>
          </cell>
          <cell r="B4">
            <v>127</v>
          </cell>
          <cell r="C4">
            <v>135</v>
          </cell>
          <cell r="D4">
            <v>227</v>
          </cell>
          <cell r="E4">
            <v>668</v>
          </cell>
        </row>
        <row r="5">
          <cell r="A5" t="str">
            <v>B079JRPXZ8</v>
          </cell>
          <cell r="B5">
            <v>1005</v>
          </cell>
          <cell r="C5">
            <v>673</v>
          </cell>
          <cell r="D5">
            <v>831</v>
          </cell>
          <cell r="E5">
            <v>1322</v>
          </cell>
        </row>
        <row r="6">
          <cell r="A6" t="str">
            <v>B076J2TBNG</v>
          </cell>
          <cell r="B6">
            <v>642</v>
          </cell>
          <cell r="C6">
            <v>343</v>
          </cell>
          <cell r="D6">
            <v>357</v>
          </cell>
          <cell r="E6">
            <v>1130</v>
          </cell>
        </row>
        <row r="7">
          <cell r="A7" t="str">
            <v>B07BFVYCH2</v>
          </cell>
          <cell r="B7">
            <v>798</v>
          </cell>
          <cell r="C7">
            <v>635</v>
          </cell>
          <cell r="D7">
            <v>817</v>
          </cell>
          <cell r="E7">
            <v>850</v>
          </cell>
        </row>
        <row r="8">
          <cell r="A8" t="str">
            <v>B076J6949M</v>
          </cell>
          <cell r="B8">
            <v>381</v>
          </cell>
          <cell r="C8">
            <v>429</v>
          </cell>
          <cell r="D8">
            <v>356</v>
          </cell>
          <cell r="E8">
            <v>452</v>
          </cell>
        </row>
        <row r="9">
          <cell r="A9" t="str">
            <v>B077SDPC6N</v>
          </cell>
          <cell r="B9">
            <v>223</v>
          </cell>
          <cell r="C9">
            <v>252</v>
          </cell>
          <cell r="D9">
            <v>331</v>
          </cell>
          <cell r="E9">
            <v>394</v>
          </cell>
        </row>
        <row r="10">
          <cell r="A10" t="str">
            <v>B0792VZN9S</v>
          </cell>
          <cell r="B10">
            <v>368</v>
          </cell>
          <cell r="C10">
            <v>547</v>
          </cell>
          <cell r="D10">
            <v>536</v>
          </cell>
          <cell r="E10">
            <v>551</v>
          </cell>
        </row>
        <row r="11">
          <cell r="A11" t="str">
            <v>B074P4D14G</v>
          </cell>
          <cell r="B11">
            <v>181</v>
          </cell>
          <cell r="C11">
            <v>188</v>
          </cell>
          <cell r="D11">
            <v>208</v>
          </cell>
          <cell r="E11">
            <v>183</v>
          </cell>
        </row>
        <row r="12">
          <cell r="A12" t="str">
            <v>B0792VKCCR</v>
          </cell>
          <cell r="B12">
            <v>174</v>
          </cell>
          <cell r="C12">
            <v>96</v>
          </cell>
          <cell r="D12">
            <v>124</v>
          </cell>
          <cell r="E12">
            <v>119</v>
          </cell>
        </row>
        <row r="13">
          <cell r="A13" t="str">
            <v>B07CM664M7</v>
          </cell>
          <cell r="B13">
            <v>677</v>
          </cell>
          <cell r="C13">
            <v>944</v>
          </cell>
          <cell r="D13">
            <v>868</v>
          </cell>
          <cell r="E13">
            <v>656</v>
          </cell>
        </row>
        <row r="14">
          <cell r="A14" t="str">
            <v>B06XPKHVHC</v>
          </cell>
          <cell r="B14">
            <v>813</v>
          </cell>
          <cell r="C14">
            <v>798</v>
          </cell>
          <cell r="D14">
            <v>672</v>
          </cell>
          <cell r="E14">
            <v>768</v>
          </cell>
        </row>
        <row r="15">
          <cell r="A15" t="str">
            <v>B079NXJZ52</v>
          </cell>
          <cell r="B15">
            <v>26</v>
          </cell>
          <cell r="C15">
            <v>44</v>
          </cell>
          <cell r="D15">
            <v>35</v>
          </cell>
          <cell r="E15">
            <v>44</v>
          </cell>
        </row>
        <row r="16">
          <cell r="A16" t="str">
            <v>B076J2H7FC</v>
          </cell>
          <cell r="B16">
            <v>124</v>
          </cell>
          <cell r="C16">
            <v>76</v>
          </cell>
          <cell r="D16">
            <v>88</v>
          </cell>
          <cell r="E16">
            <v>77</v>
          </cell>
        </row>
        <row r="17">
          <cell r="A17" t="str">
            <v>B076KQB6X1</v>
          </cell>
          <cell r="B17">
            <v>49</v>
          </cell>
          <cell r="C17">
            <v>21</v>
          </cell>
          <cell r="D17">
            <v>36</v>
          </cell>
          <cell r="E17">
            <v>98</v>
          </cell>
        </row>
        <row r="18">
          <cell r="A18" t="str">
            <v>B079P55XYW</v>
          </cell>
          <cell r="B18">
            <v>11</v>
          </cell>
          <cell r="C18">
            <v>11</v>
          </cell>
          <cell r="D18">
            <v>18</v>
          </cell>
          <cell r="E18">
            <v>35</v>
          </cell>
        </row>
        <row r="19">
          <cell r="A19" t="str">
            <v>B07D4DRFYN</v>
          </cell>
          <cell r="B19">
            <v>174</v>
          </cell>
          <cell r="C19">
            <v>124</v>
          </cell>
          <cell r="D19">
            <v>44</v>
          </cell>
          <cell r="E19">
            <v>149</v>
          </cell>
        </row>
        <row r="20">
          <cell r="A20" t="str">
            <v>B076J4L24W</v>
          </cell>
          <cell r="B20">
            <v>57</v>
          </cell>
          <cell r="C20">
            <v>62</v>
          </cell>
          <cell r="D20">
            <v>67</v>
          </cell>
          <cell r="E20">
            <v>242</v>
          </cell>
        </row>
        <row r="21">
          <cell r="A21" t="str">
            <v>B076J5RSFF</v>
          </cell>
          <cell r="B21">
            <v>141</v>
          </cell>
          <cell r="C21">
            <v>64</v>
          </cell>
          <cell r="D21">
            <v>132</v>
          </cell>
          <cell r="E21">
            <v>211</v>
          </cell>
        </row>
        <row r="22">
          <cell r="A22" t="str">
            <v>B076K8YDNV</v>
          </cell>
          <cell r="B22">
            <v>30</v>
          </cell>
          <cell r="C22">
            <v>46</v>
          </cell>
          <cell r="D22">
            <v>39</v>
          </cell>
          <cell r="E22">
            <v>38</v>
          </cell>
        </row>
        <row r="23">
          <cell r="A23" t="str">
            <v>B0785S857P</v>
          </cell>
          <cell r="B23">
            <v>14</v>
          </cell>
          <cell r="C23">
            <v>26</v>
          </cell>
          <cell r="D23">
            <v>53</v>
          </cell>
          <cell r="E23">
            <v>33</v>
          </cell>
        </row>
        <row r="24">
          <cell r="A24" t="str">
            <v>B07D4DC72D</v>
          </cell>
          <cell r="B24">
            <v>100</v>
          </cell>
          <cell r="C24">
            <v>79</v>
          </cell>
          <cell r="D24">
            <v>141</v>
          </cell>
          <cell r="E24">
            <v>132</v>
          </cell>
        </row>
        <row r="25">
          <cell r="A25" t="str">
            <v>B077Z6B9TS</v>
          </cell>
          <cell r="B25">
            <v>0</v>
          </cell>
          <cell r="C25">
            <v>0</v>
          </cell>
          <cell r="D25">
            <v>11</v>
          </cell>
          <cell r="E25">
            <v>36</v>
          </cell>
        </row>
        <row r="26">
          <cell r="A26" t="str">
            <v>B078X5HG51</v>
          </cell>
          <cell r="B26">
            <v>12</v>
          </cell>
          <cell r="C26">
            <v>4</v>
          </cell>
          <cell r="D26">
            <v>10</v>
          </cell>
          <cell r="E26">
            <v>104</v>
          </cell>
        </row>
        <row r="27">
          <cell r="A27" t="str">
            <v>B078XBDF6J</v>
          </cell>
          <cell r="B27">
            <v>303</v>
          </cell>
          <cell r="C27">
            <v>225</v>
          </cell>
          <cell r="D27">
            <v>110</v>
          </cell>
          <cell r="E27">
            <v>258</v>
          </cell>
        </row>
        <row r="28">
          <cell r="A28" t="str">
            <v>B0795D6KPS</v>
          </cell>
          <cell r="B28">
            <v>12</v>
          </cell>
          <cell r="C28">
            <v>7</v>
          </cell>
          <cell r="D28">
            <v>10</v>
          </cell>
          <cell r="E28">
            <v>78</v>
          </cell>
        </row>
        <row r="29">
          <cell r="A29" t="str">
            <v>B0795M8J8G</v>
          </cell>
          <cell r="B29">
            <v>191</v>
          </cell>
          <cell r="C29">
            <v>141</v>
          </cell>
          <cell r="D29">
            <v>125</v>
          </cell>
          <cell r="E29">
            <v>144</v>
          </cell>
        </row>
        <row r="30">
          <cell r="A30" t="str">
            <v>B0795PQJS1</v>
          </cell>
          <cell r="B30">
            <v>198</v>
          </cell>
          <cell r="C30">
            <v>182</v>
          </cell>
          <cell r="D30">
            <v>175</v>
          </cell>
          <cell r="E30">
            <v>140</v>
          </cell>
        </row>
        <row r="31">
          <cell r="A31" t="str">
            <v>B079JRDT89</v>
          </cell>
          <cell r="B31">
            <v>111</v>
          </cell>
          <cell r="C31">
            <v>94</v>
          </cell>
          <cell r="D31">
            <v>120</v>
          </cell>
          <cell r="E31">
            <v>133</v>
          </cell>
        </row>
        <row r="32">
          <cell r="A32" t="str">
            <v>B079NYR8GC</v>
          </cell>
          <cell r="B32">
            <v>513</v>
          </cell>
          <cell r="C32">
            <v>267</v>
          </cell>
          <cell r="D32">
            <v>142</v>
          </cell>
          <cell r="E32">
            <v>105</v>
          </cell>
        </row>
        <row r="33">
          <cell r="A33" t="str">
            <v>B07DL5ZGP8</v>
          </cell>
          <cell r="B33">
            <v>53</v>
          </cell>
          <cell r="C33">
            <v>27</v>
          </cell>
          <cell r="D33">
            <v>63</v>
          </cell>
          <cell r="E33">
            <v>104</v>
          </cell>
        </row>
        <row r="34">
          <cell r="A34" t="str">
            <v>B077VNWLJW</v>
          </cell>
          <cell r="B34">
            <v>8</v>
          </cell>
          <cell r="C34">
            <v>12</v>
          </cell>
          <cell r="D34">
            <v>5</v>
          </cell>
          <cell r="E34">
            <v>5</v>
          </cell>
        </row>
        <row r="35">
          <cell r="A35" t="str">
            <v>B077Z474QH</v>
          </cell>
          <cell r="B35">
            <v>43</v>
          </cell>
          <cell r="C35">
            <v>24</v>
          </cell>
          <cell r="D35">
            <v>22</v>
          </cell>
          <cell r="E35">
            <v>29</v>
          </cell>
        </row>
        <row r="36">
          <cell r="A36" t="str">
            <v>B0788NF4TB</v>
          </cell>
          <cell r="B36">
            <v>22</v>
          </cell>
          <cell r="C36">
            <v>25</v>
          </cell>
          <cell r="D36">
            <v>45</v>
          </cell>
          <cell r="E36">
            <v>62</v>
          </cell>
        </row>
        <row r="37">
          <cell r="A37" t="str">
            <v>B0788P8DCG</v>
          </cell>
          <cell r="B37">
            <v>29</v>
          </cell>
          <cell r="C37">
            <v>51</v>
          </cell>
          <cell r="D37">
            <v>62</v>
          </cell>
          <cell r="E37">
            <v>50</v>
          </cell>
        </row>
        <row r="38">
          <cell r="A38" t="str">
            <v>B078Y2G7XW</v>
          </cell>
          <cell r="B38">
            <v>42</v>
          </cell>
          <cell r="C38">
            <v>25</v>
          </cell>
          <cell r="D38">
            <v>27</v>
          </cell>
          <cell r="E38">
            <v>181</v>
          </cell>
        </row>
        <row r="39">
          <cell r="A39" t="str">
            <v>B07929YDZM</v>
          </cell>
          <cell r="B39">
            <v>140</v>
          </cell>
          <cell r="C39">
            <v>207</v>
          </cell>
          <cell r="D39">
            <v>251</v>
          </cell>
          <cell r="E39">
            <v>244</v>
          </cell>
        </row>
        <row r="40">
          <cell r="A40" t="str">
            <v>B0793PS7QX</v>
          </cell>
          <cell r="B40">
            <v>53</v>
          </cell>
          <cell r="C40">
            <v>48</v>
          </cell>
          <cell r="D40">
            <v>42</v>
          </cell>
          <cell r="E40">
            <v>54</v>
          </cell>
        </row>
        <row r="41">
          <cell r="A41" t="str">
            <v>B0795117ZD</v>
          </cell>
          <cell r="B41">
            <v>75</v>
          </cell>
          <cell r="C41">
            <v>184</v>
          </cell>
          <cell r="D41">
            <v>104</v>
          </cell>
          <cell r="E41">
            <v>114</v>
          </cell>
        </row>
        <row r="42">
          <cell r="A42" t="str">
            <v>B079DRCQ6B</v>
          </cell>
          <cell r="B42">
            <v>85</v>
          </cell>
          <cell r="C42">
            <v>46</v>
          </cell>
          <cell r="D42">
            <v>71</v>
          </cell>
          <cell r="E42">
            <v>94</v>
          </cell>
        </row>
        <row r="43">
          <cell r="A43" t="str">
            <v>B079JXQJSM</v>
          </cell>
          <cell r="B43">
            <v>621</v>
          </cell>
          <cell r="C43">
            <v>328</v>
          </cell>
          <cell r="D43">
            <v>297</v>
          </cell>
          <cell r="E43">
            <v>276</v>
          </cell>
        </row>
        <row r="44">
          <cell r="A44" t="str">
            <v>B079NX5R9C</v>
          </cell>
          <cell r="B44">
            <v>58</v>
          </cell>
          <cell r="C44">
            <v>31</v>
          </cell>
          <cell r="D44">
            <v>37</v>
          </cell>
          <cell r="E44">
            <v>26</v>
          </cell>
        </row>
        <row r="45">
          <cell r="A45" t="str">
            <v>B07B9Q9YNG</v>
          </cell>
          <cell r="B45">
            <v>72</v>
          </cell>
          <cell r="C45">
            <v>31</v>
          </cell>
          <cell r="D45">
            <v>32</v>
          </cell>
          <cell r="E45">
            <v>58</v>
          </cell>
        </row>
        <row r="46">
          <cell r="A46" t="str">
            <v>B07BDDC5WH</v>
          </cell>
          <cell r="B46">
            <v>90</v>
          </cell>
          <cell r="C46">
            <v>144</v>
          </cell>
          <cell r="D46">
            <v>120</v>
          </cell>
          <cell r="E46">
            <v>57</v>
          </cell>
        </row>
        <row r="47">
          <cell r="A47" t="str">
            <v>B07BFVF3GM</v>
          </cell>
          <cell r="B47">
            <v>106</v>
          </cell>
          <cell r="C47">
            <v>71</v>
          </cell>
          <cell r="D47">
            <v>81</v>
          </cell>
          <cell r="E47">
            <v>107</v>
          </cell>
        </row>
        <row r="48">
          <cell r="A48" t="str">
            <v>B07CM58KHK</v>
          </cell>
          <cell r="B48">
            <v>0</v>
          </cell>
          <cell r="C48">
            <v>289</v>
          </cell>
          <cell r="D48">
            <v>1002</v>
          </cell>
          <cell r="E48">
            <v>614</v>
          </cell>
        </row>
        <row r="49">
          <cell r="A49" t="str">
            <v>B07CM9N213</v>
          </cell>
          <cell r="B49">
            <v>216</v>
          </cell>
          <cell r="C49">
            <v>14</v>
          </cell>
          <cell r="D49">
            <v>163</v>
          </cell>
          <cell r="E49">
            <v>171</v>
          </cell>
        </row>
        <row r="50">
          <cell r="A50" t="str">
            <v>B076Q71HXL</v>
          </cell>
          <cell r="B50">
            <v>118</v>
          </cell>
          <cell r="C50">
            <v>151</v>
          </cell>
          <cell r="D50">
            <v>145</v>
          </cell>
          <cell r="E50">
            <v>49</v>
          </cell>
        </row>
        <row r="51">
          <cell r="A51" t="str">
            <v>B076Q79H79</v>
          </cell>
          <cell r="B51">
            <v>42</v>
          </cell>
          <cell r="C51">
            <v>34</v>
          </cell>
          <cell r="D51">
            <v>37</v>
          </cell>
          <cell r="E51">
            <v>44</v>
          </cell>
        </row>
        <row r="52">
          <cell r="A52" t="str">
            <v>B076Q7DCP1</v>
          </cell>
          <cell r="B52">
            <v>72</v>
          </cell>
          <cell r="C52">
            <v>134</v>
          </cell>
          <cell r="D52">
            <v>144</v>
          </cell>
          <cell r="E52">
            <v>127</v>
          </cell>
        </row>
        <row r="53">
          <cell r="A53" t="str">
            <v>B076Q8RG21</v>
          </cell>
          <cell r="B53">
            <v>260</v>
          </cell>
          <cell r="C53">
            <v>173</v>
          </cell>
          <cell r="D53">
            <v>149</v>
          </cell>
          <cell r="E53">
            <v>150</v>
          </cell>
        </row>
        <row r="54">
          <cell r="A54" t="str">
            <v>B077SHDMC8</v>
          </cell>
          <cell r="B54">
            <v>65</v>
          </cell>
          <cell r="C54">
            <v>16</v>
          </cell>
          <cell r="D54">
            <v>11</v>
          </cell>
          <cell r="E54">
            <v>6</v>
          </cell>
        </row>
        <row r="55">
          <cell r="A55" t="str">
            <v>B077T29TYP</v>
          </cell>
          <cell r="B55">
            <v>36</v>
          </cell>
          <cell r="C55">
            <v>39</v>
          </cell>
          <cell r="D55">
            <v>52</v>
          </cell>
          <cell r="E55">
            <v>37</v>
          </cell>
        </row>
        <row r="56">
          <cell r="A56" t="str">
            <v>B078X5DZRT</v>
          </cell>
          <cell r="B56">
            <v>62</v>
          </cell>
          <cell r="C56">
            <v>74</v>
          </cell>
          <cell r="D56">
            <v>71</v>
          </cell>
          <cell r="E56">
            <v>75</v>
          </cell>
        </row>
        <row r="57">
          <cell r="A57" t="str">
            <v>B078XB1WC9</v>
          </cell>
          <cell r="B57">
            <v>46</v>
          </cell>
          <cell r="C57">
            <v>27</v>
          </cell>
          <cell r="D57">
            <v>39</v>
          </cell>
          <cell r="E57">
            <v>47</v>
          </cell>
        </row>
        <row r="58">
          <cell r="A58" t="str">
            <v>B078XZR24D</v>
          </cell>
          <cell r="B58">
            <v>13</v>
          </cell>
          <cell r="C58">
            <v>3</v>
          </cell>
          <cell r="D58">
            <v>12</v>
          </cell>
          <cell r="E58">
            <v>11</v>
          </cell>
        </row>
        <row r="59">
          <cell r="A59" t="str">
            <v>B078Y5BTZC</v>
          </cell>
          <cell r="B59">
            <v>47</v>
          </cell>
          <cell r="C59">
            <v>13</v>
          </cell>
          <cell r="D59">
            <v>39</v>
          </cell>
          <cell r="E59">
            <v>44</v>
          </cell>
        </row>
        <row r="60">
          <cell r="A60" t="str">
            <v>B0792PFKL5</v>
          </cell>
          <cell r="B60">
            <v>0</v>
          </cell>
          <cell r="C60">
            <v>0</v>
          </cell>
          <cell r="D60">
            <v>0</v>
          </cell>
          <cell r="E60">
            <v>12</v>
          </cell>
        </row>
        <row r="61">
          <cell r="A61" t="str">
            <v>B0792VG6VZ</v>
          </cell>
          <cell r="B61">
            <v>102</v>
          </cell>
          <cell r="C61">
            <v>42</v>
          </cell>
          <cell r="D61">
            <v>65</v>
          </cell>
          <cell r="E61">
            <v>136</v>
          </cell>
        </row>
        <row r="62">
          <cell r="A62" t="str">
            <v>B0792VHP6W</v>
          </cell>
          <cell r="B62">
            <v>24</v>
          </cell>
          <cell r="C62">
            <v>8</v>
          </cell>
          <cell r="D62">
            <v>10</v>
          </cell>
          <cell r="E62">
            <v>15</v>
          </cell>
        </row>
        <row r="63">
          <cell r="A63" t="str">
            <v>B0792VK5C4</v>
          </cell>
          <cell r="B63">
            <v>134</v>
          </cell>
          <cell r="C63">
            <v>168</v>
          </cell>
          <cell r="D63">
            <v>168</v>
          </cell>
          <cell r="E63">
            <v>80</v>
          </cell>
        </row>
        <row r="64">
          <cell r="A64" t="str">
            <v>B0792VRZ89</v>
          </cell>
          <cell r="B64">
            <v>50</v>
          </cell>
          <cell r="C64">
            <v>78</v>
          </cell>
          <cell r="D64">
            <v>68</v>
          </cell>
          <cell r="E64">
            <v>54</v>
          </cell>
        </row>
        <row r="65">
          <cell r="A65" t="str">
            <v>B0793QLQ3Z</v>
          </cell>
          <cell r="B65">
            <v>58</v>
          </cell>
          <cell r="C65">
            <v>36</v>
          </cell>
          <cell r="D65">
            <v>15</v>
          </cell>
          <cell r="E65">
            <v>36</v>
          </cell>
        </row>
        <row r="66">
          <cell r="A66" t="str">
            <v>B0793QZPK1</v>
          </cell>
          <cell r="B66">
            <v>61</v>
          </cell>
          <cell r="C66">
            <v>82</v>
          </cell>
          <cell r="D66">
            <v>120</v>
          </cell>
          <cell r="E66">
            <v>105</v>
          </cell>
        </row>
        <row r="67">
          <cell r="A67" t="str">
            <v>B0794Z23LW</v>
          </cell>
          <cell r="B67">
            <v>51</v>
          </cell>
          <cell r="C67">
            <v>12</v>
          </cell>
          <cell r="D67">
            <v>5</v>
          </cell>
          <cell r="E67">
            <v>14</v>
          </cell>
        </row>
        <row r="68">
          <cell r="A68" t="str">
            <v>B0794ZPQ8B</v>
          </cell>
          <cell r="B68">
            <v>51</v>
          </cell>
          <cell r="C68">
            <v>58</v>
          </cell>
          <cell r="D68">
            <v>57</v>
          </cell>
          <cell r="E68">
            <v>58</v>
          </cell>
        </row>
        <row r="69">
          <cell r="A69" t="str">
            <v>B079JQDDN7</v>
          </cell>
          <cell r="B69">
            <v>484</v>
          </cell>
          <cell r="C69">
            <v>235</v>
          </cell>
          <cell r="D69">
            <v>159</v>
          </cell>
          <cell r="E69">
            <v>64</v>
          </cell>
        </row>
        <row r="70">
          <cell r="A70" t="str">
            <v>B079JWNR6Z</v>
          </cell>
          <cell r="B70">
            <v>52</v>
          </cell>
          <cell r="C70">
            <v>52</v>
          </cell>
          <cell r="D70">
            <v>52</v>
          </cell>
          <cell r="E70">
            <v>56</v>
          </cell>
        </row>
        <row r="71">
          <cell r="A71" t="str">
            <v>B079K3D4WY</v>
          </cell>
          <cell r="B71">
            <v>54</v>
          </cell>
          <cell r="C71">
            <v>40</v>
          </cell>
          <cell r="D71">
            <v>37</v>
          </cell>
          <cell r="E71">
            <v>43</v>
          </cell>
        </row>
        <row r="72">
          <cell r="A72" t="str">
            <v>B079M128Y6</v>
          </cell>
          <cell r="B72">
            <v>25</v>
          </cell>
          <cell r="C72">
            <v>11</v>
          </cell>
          <cell r="D72">
            <v>26</v>
          </cell>
          <cell r="E72">
            <v>44</v>
          </cell>
        </row>
        <row r="73">
          <cell r="A73" t="str">
            <v>B079NY4SZ4</v>
          </cell>
          <cell r="B73">
            <v>14</v>
          </cell>
          <cell r="C73">
            <v>15</v>
          </cell>
          <cell r="D73">
            <v>11</v>
          </cell>
          <cell r="E73">
            <v>7</v>
          </cell>
        </row>
        <row r="74">
          <cell r="A74" t="str">
            <v>B079P28VV3</v>
          </cell>
          <cell r="B74">
            <v>15</v>
          </cell>
          <cell r="C74">
            <v>16</v>
          </cell>
          <cell r="D74">
            <v>14</v>
          </cell>
          <cell r="E74">
            <v>8</v>
          </cell>
        </row>
        <row r="75">
          <cell r="A75" t="str">
            <v>B07B7G22RT</v>
          </cell>
          <cell r="B75">
            <v>52</v>
          </cell>
          <cell r="C75">
            <v>58</v>
          </cell>
          <cell r="D75">
            <v>65</v>
          </cell>
          <cell r="E75">
            <v>74</v>
          </cell>
        </row>
        <row r="76">
          <cell r="A76" t="str">
            <v>B07B94LQJR</v>
          </cell>
          <cell r="B76">
            <v>74</v>
          </cell>
          <cell r="C76">
            <v>82</v>
          </cell>
          <cell r="D76">
            <v>55</v>
          </cell>
          <cell r="E76">
            <v>62</v>
          </cell>
        </row>
        <row r="77">
          <cell r="A77" t="str">
            <v>B07BFVHDDP</v>
          </cell>
          <cell r="B77">
            <v>36</v>
          </cell>
          <cell r="C77">
            <v>8</v>
          </cell>
          <cell r="D77">
            <v>24</v>
          </cell>
          <cell r="E77">
            <v>37</v>
          </cell>
        </row>
        <row r="78">
          <cell r="A78" t="str">
            <v>B07BLVB7FH</v>
          </cell>
          <cell r="B78">
            <v>137</v>
          </cell>
          <cell r="C78">
            <v>28</v>
          </cell>
          <cell r="D78">
            <v>41</v>
          </cell>
          <cell r="E78">
            <v>9</v>
          </cell>
        </row>
        <row r="79">
          <cell r="A79" t="str">
            <v>B07BSHY6ZL</v>
          </cell>
          <cell r="B79">
            <v>119</v>
          </cell>
          <cell r="C79">
            <v>205</v>
          </cell>
          <cell r="D79">
            <v>115</v>
          </cell>
          <cell r="E79">
            <v>220</v>
          </cell>
        </row>
        <row r="80">
          <cell r="A80" t="str">
            <v>B07CM67KDW</v>
          </cell>
          <cell r="B80">
            <v>99</v>
          </cell>
          <cell r="C80">
            <v>255</v>
          </cell>
          <cell r="D80">
            <v>298</v>
          </cell>
          <cell r="E80">
            <v>192</v>
          </cell>
        </row>
        <row r="81">
          <cell r="A81" t="str">
            <v>B07CN4J1B2</v>
          </cell>
          <cell r="B81">
            <v>48</v>
          </cell>
          <cell r="C81">
            <v>59</v>
          </cell>
          <cell r="D81">
            <v>89</v>
          </cell>
          <cell r="E81">
            <v>75</v>
          </cell>
        </row>
        <row r="82">
          <cell r="A82" t="str">
            <v>B07D4DDT41</v>
          </cell>
          <cell r="B82">
            <v>147</v>
          </cell>
          <cell r="C82">
            <v>90</v>
          </cell>
          <cell r="D82">
            <v>44</v>
          </cell>
          <cell r="E82">
            <v>37</v>
          </cell>
        </row>
        <row r="83">
          <cell r="A83" t="str">
            <v>B076MT3BDS</v>
          </cell>
          <cell r="B83">
            <v>26</v>
          </cell>
          <cell r="C83">
            <v>56</v>
          </cell>
          <cell r="D83">
            <v>55</v>
          </cell>
          <cell r="E83">
            <v>21</v>
          </cell>
        </row>
        <row r="84">
          <cell r="A84" t="str">
            <v>B076MTPGQ1</v>
          </cell>
          <cell r="B84">
            <v>0</v>
          </cell>
          <cell r="C84">
            <v>0</v>
          </cell>
          <cell r="D84">
            <v>2</v>
          </cell>
          <cell r="E84">
            <v>3</v>
          </cell>
        </row>
        <row r="85">
          <cell r="A85" t="str">
            <v>B076MVRP3M</v>
          </cell>
          <cell r="B85">
            <v>6</v>
          </cell>
          <cell r="C85">
            <v>12</v>
          </cell>
          <cell r="D85">
            <v>15</v>
          </cell>
          <cell r="E85">
            <v>8</v>
          </cell>
        </row>
        <row r="86">
          <cell r="A86" t="str">
            <v>B076MW1Y4F</v>
          </cell>
          <cell r="B86">
            <v>13</v>
          </cell>
          <cell r="C86">
            <v>15</v>
          </cell>
          <cell r="D86">
            <v>23</v>
          </cell>
          <cell r="E86">
            <v>9</v>
          </cell>
        </row>
        <row r="87">
          <cell r="A87" t="str">
            <v>B076P99TGC</v>
          </cell>
          <cell r="B87">
            <v>202</v>
          </cell>
          <cell r="C87">
            <v>144</v>
          </cell>
          <cell r="D87">
            <v>113</v>
          </cell>
          <cell r="E87">
            <v>99</v>
          </cell>
        </row>
        <row r="88">
          <cell r="A88" t="str">
            <v>B076PDDZW9</v>
          </cell>
          <cell r="B88">
            <v>39</v>
          </cell>
          <cell r="C88">
            <v>53</v>
          </cell>
          <cell r="D88">
            <v>85</v>
          </cell>
          <cell r="E88">
            <v>136</v>
          </cell>
        </row>
        <row r="89">
          <cell r="A89" t="str">
            <v>B0778B83P8</v>
          </cell>
          <cell r="B89">
            <v>0</v>
          </cell>
          <cell r="C89">
            <v>6</v>
          </cell>
          <cell r="D89">
            <v>7</v>
          </cell>
          <cell r="E89">
            <v>8</v>
          </cell>
        </row>
        <row r="90">
          <cell r="A90" t="str">
            <v>B077HPT67J</v>
          </cell>
          <cell r="B90">
            <v>21</v>
          </cell>
          <cell r="C90">
            <v>16</v>
          </cell>
          <cell r="D90">
            <v>26</v>
          </cell>
          <cell r="E90">
            <v>52</v>
          </cell>
        </row>
        <row r="91">
          <cell r="A91" t="str">
            <v>B077HQRC9P</v>
          </cell>
          <cell r="B91">
            <v>28</v>
          </cell>
          <cell r="C91">
            <v>26</v>
          </cell>
          <cell r="D91">
            <v>31</v>
          </cell>
          <cell r="E91">
            <v>65</v>
          </cell>
        </row>
        <row r="92">
          <cell r="A92" t="str">
            <v>B077SGXYL6</v>
          </cell>
          <cell r="B92">
            <v>60</v>
          </cell>
          <cell r="C92">
            <v>44</v>
          </cell>
          <cell r="D92">
            <v>52</v>
          </cell>
          <cell r="E92">
            <v>51</v>
          </cell>
        </row>
        <row r="93">
          <cell r="A93" t="str">
            <v>B077SNDT1X</v>
          </cell>
          <cell r="B93">
            <v>7</v>
          </cell>
          <cell r="C93">
            <v>8</v>
          </cell>
          <cell r="D93">
            <v>6</v>
          </cell>
          <cell r="E93">
            <v>5</v>
          </cell>
        </row>
        <row r="94">
          <cell r="A94" t="str">
            <v>B0784T23ZQ</v>
          </cell>
          <cell r="B94">
            <v>60</v>
          </cell>
          <cell r="C94">
            <v>24</v>
          </cell>
          <cell r="D94">
            <v>23</v>
          </cell>
          <cell r="E94">
            <v>28</v>
          </cell>
        </row>
        <row r="95">
          <cell r="A95" t="str">
            <v>B0788N4FMR</v>
          </cell>
          <cell r="B95">
            <v>22</v>
          </cell>
          <cell r="C95">
            <v>16</v>
          </cell>
          <cell r="D95">
            <v>8</v>
          </cell>
          <cell r="E95">
            <v>12</v>
          </cell>
        </row>
        <row r="96">
          <cell r="A96" t="str">
            <v>B0788N9R3H</v>
          </cell>
          <cell r="B96">
            <v>6</v>
          </cell>
          <cell r="C96">
            <v>8</v>
          </cell>
          <cell r="D96">
            <v>6</v>
          </cell>
          <cell r="E96">
            <v>12</v>
          </cell>
        </row>
        <row r="97">
          <cell r="A97" t="str">
            <v>B078X59HSZ</v>
          </cell>
          <cell r="B97">
            <v>145</v>
          </cell>
          <cell r="C97">
            <v>215</v>
          </cell>
          <cell r="D97">
            <v>149</v>
          </cell>
          <cell r="E97">
            <v>105</v>
          </cell>
        </row>
        <row r="98">
          <cell r="A98" t="str">
            <v>B078X5DJLB</v>
          </cell>
          <cell r="B98">
            <v>154</v>
          </cell>
          <cell r="C98">
            <v>49</v>
          </cell>
          <cell r="D98">
            <v>3</v>
          </cell>
          <cell r="E98">
            <v>2</v>
          </cell>
        </row>
        <row r="99">
          <cell r="A99" t="str">
            <v>B078X6K4KJ</v>
          </cell>
          <cell r="B99">
            <v>20</v>
          </cell>
          <cell r="C99">
            <v>20</v>
          </cell>
          <cell r="D99">
            <v>8</v>
          </cell>
          <cell r="E99">
            <v>9</v>
          </cell>
        </row>
        <row r="100">
          <cell r="A100" t="str">
            <v>B078XBY1MZ</v>
          </cell>
          <cell r="B100">
            <v>47</v>
          </cell>
          <cell r="C100">
            <v>41</v>
          </cell>
          <cell r="D100">
            <v>26</v>
          </cell>
          <cell r="E100">
            <v>43</v>
          </cell>
        </row>
        <row r="101">
          <cell r="A101" t="str">
            <v>B078XZRP4X</v>
          </cell>
          <cell r="B101">
            <v>9</v>
          </cell>
          <cell r="C101">
            <v>8</v>
          </cell>
          <cell r="D101">
            <v>9</v>
          </cell>
          <cell r="E101">
            <v>12</v>
          </cell>
        </row>
        <row r="102">
          <cell r="A102" t="str">
            <v>B078Y8Y5F7</v>
          </cell>
          <cell r="B102">
            <v>0</v>
          </cell>
          <cell r="C102">
            <v>8</v>
          </cell>
          <cell r="D102">
            <v>8</v>
          </cell>
          <cell r="E102">
            <v>20</v>
          </cell>
        </row>
        <row r="103">
          <cell r="A103" t="str">
            <v>B0793R99F1</v>
          </cell>
          <cell r="B103">
            <v>8</v>
          </cell>
          <cell r="C103">
            <v>21</v>
          </cell>
          <cell r="D103">
            <v>15</v>
          </cell>
          <cell r="E103">
            <v>11</v>
          </cell>
        </row>
        <row r="104">
          <cell r="A104" t="str">
            <v>B0793RG3PM</v>
          </cell>
          <cell r="B104">
            <v>280</v>
          </cell>
          <cell r="C104">
            <v>493</v>
          </cell>
          <cell r="D104">
            <v>463</v>
          </cell>
          <cell r="E104">
            <v>248</v>
          </cell>
        </row>
        <row r="105">
          <cell r="A105" t="str">
            <v>B0793RW7P4</v>
          </cell>
          <cell r="B105">
            <v>23</v>
          </cell>
          <cell r="C105">
            <v>16</v>
          </cell>
          <cell r="D105">
            <v>17</v>
          </cell>
          <cell r="E105">
            <v>12</v>
          </cell>
        </row>
        <row r="106">
          <cell r="A106" t="str">
            <v>B0794XFL8V</v>
          </cell>
          <cell r="B106">
            <v>21</v>
          </cell>
          <cell r="C106">
            <v>12</v>
          </cell>
          <cell r="D106">
            <v>17</v>
          </cell>
          <cell r="E106">
            <v>29</v>
          </cell>
        </row>
        <row r="107">
          <cell r="A107" t="str">
            <v>B079513H1Q</v>
          </cell>
          <cell r="B107">
            <v>11</v>
          </cell>
          <cell r="C107">
            <v>21</v>
          </cell>
          <cell r="D107">
            <v>15</v>
          </cell>
          <cell r="E107">
            <v>16</v>
          </cell>
        </row>
        <row r="108">
          <cell r="A108" t="str">
            <v>B0795M2NML</v>
          </cell>
          <cell r="B108">
            <v>67</v>
          </cell>
          <cell r="C108">
            <v>42</v>
          </cell>
          <cell r="D108">
            <v>22</v>
          </cell>
          <cell r="E108">
            <v>34</v>
          </cell>
        </row>
        <row r="109">
          <cell r="A109" t="str">
            <v>B0795M8ZGB</v>
          </cell>
          <cell r="B109">
            <v>76</v>
          </cell>
          <cell r="C109">
            <v>48</v>
          </cell>
          <cell r="D109">
            <v>26</v>
          </cell>
          <cell r="E109">
            <v>18</v>
          </cell>
        </row>
        <row r="110">
          <cell r="A110" t="str">
            <v>B0795QK1TP</v>
          </cell>
          <cell r="B110">
            <v>204</v>
          </cell>
          <cell r="C110">
            <v>99</v>
          </cell>
          <cell r="D110">
            <v>98</v>
          </cell>
          <cell r="E110">
            <v>34</v>
          </cell>
        </row>
        <row r="111">
          <cell r="A111" t="str">
            <v>B0795VRN2N</v>
          </cell>
          <cell r="B111">
            <v>9</v>
          </cell>
          <cell r="C111">
            <v>3</v>
          </cell>
          <cell r="D111">
            <v>13</v>
          </cell>
          <cell r="E111">
            <v>49</v>
          </cell>
        </row>
        <row r="112">
          <cell r="A112" t="str">
            <v>B079DPVXXZ</v>
          </cell>
          <cell r="B112">
            <v>4</v>
          </cell>
          <cell r="C112">
            <v>2</v>
          </cell>
          <cell r="D112">
            <v>7</v>
          </cell>
          <cell r="E112">
            <v>4</v>
          </cell>
        </row>
        <row r="113">
          <cell r="A113" t="str">
            <v>B079JQGCBR</v>
          </cell>
          <cell r="B113">
            <v>89</v>
          </cell>
          <cell r="C113">
            <v>74</v>
          </cell>
          <cell r="D113">
            <v>39</v>
          </cell>
          <cell r="E113">
            <v>8</v>
          </cell>
        </row>
        <row r="114">
          <cell r="A114" t="str">
            <v>B079JRG1TM</v>
          </cell>
          <cell r="B114">
            <v>154</v>
          </cell>
          <cell r="C114">
            <v>65</v>
          </cell>
          <cell r="D114">
            <v>61</v>
          </cell>
          <cell r="E114">
            <v>74</v>
          </cell>
        </row>
        <row r="115">
          <cell r="A115" t="str">
            <v>B079NSK8NL</v>
          </cell>
          <cell r="B115">
            <v>2</v>
          </cell>
          <cell r="C115">
            <v>1</v>
          </cell>
          <cell r="D115">
            <v>1</v>
          </cell>
          <cell r="E115">
            <v>3</v>
          </cell>
        </row>
        <row r="116">
          <cell r="A116" t="str">
            <v>B079NW9791</v>
          </cell>
          <cell r="B116">
            <v>107</v>
          </cell>
          <cell r="C116">
            <v>89</v>
          </cell>
          <cell r="D116">
            <v>55</v>
          </cell>
          <cell r="E116">
            <v>74</v>
          </cell>
        </row>
        <row r="117">
          <cell r="A117" t="str">
            <v>B079NWXG5Z</v>
          </cell>
          <cell r="B117">
            <v>3</v>
          </cell>
          <cell r="C117">
            <v>1</v>
          </cell>
          <cell r="D117">
            <v>2</v>
          </cell>
          <cell r="E117">
            <v>2</v>
          </cell>
        </row>
        <row r="118">
          <cell r="A118" t="str">
            <v>B079NY4PYK</v>
          </cell>
          <cell r="B118">
            <v>82</v>
          </cell>
          <cell r="C118">
            <v>34</v>
          </cell>
          <cell r="D118">
            <v>20</v>
          </cell>
          <cell r="E118">
            <v>11</v>
          </cell>
        </row>
        <row r="119">
          <cell r="A119" t="str">
            <v>B079P24VZF</v>
          </cell>
          <cell r="B119">
            <v>135</v>
          </cell>
          <cell r="C119">
            <v>98</v>
          </cell>
          <cell r="D119">
            <v>63</v>
          </cell>
          <cell r="E119">
            <v>85</v>
          </cell>
        </row>
        <row r="120">
          <cell r="A120" t="str">
            <v>B079P52R76</v>
          </cell>
          <cell r="B120">
            <v>19</v>
          </cell>
          <cell r="C120">
            <v>36</v>
          </cell>
          <cell r="D120">
            <v>12</v>
          </cell>
          <cell r="E120">
            <v>16</v>
          </cell>
        </row>
        <row r="121">
          <cell r="A121" t="str">
            <v>B07B9C9WPT</v>
          </cell>
          <cell r="B121">
            <v>26</v>
          </cell>
          <cell r="C121">
            <v>4</v>
          </cell>
          <cell r="D121">
            <v>4</v>
          </cell>
          <cell r="E121">
            <v>2</v>
          </cell>
        </row>
        <row r="122">
          <cell r="A122" t="str">
            <v>B07B9Q774Z</v>
          </cell>
          <cell r="B122">
            <v>15</v>
          </cell>
          <cell r="C122">
            <v>17</v>
          </cell>
          <cell r="D122">
            <v>16</v>
          </cell>
          <cell r="E122">
            <v>22</v>
          </cell>
        </row>
        <row r="123">
          <cell r="A123" t="str">
            <v>B07B9SLG9M</v>
          </cell>
          <cell r="B123">
            <v>34</v>
          </cell>
          <cell r="C123">
            <v>14</v>
          </cell>
          <cell r="D123">
            <v>12</v>
          </cell>
          <cell r="E123">
            <v>23</v>
          </cell>
        </row>
        <row r="124">
          <cell r="A124" t="str">
            <v>B07BFV7XQM</v>
          </cell>
          <cell r="B124">
            <v>43</v>
          </cell>
          <cell r="C124">
            <v>41</v>
          </cell>
          <cell r="D124">
            <v>51</v>
          </cell>
          <cell r="E124">
            <v>67</v>
          </cell>
        </row>
        <row r="125">
          <cell r="A125" t="str">
            <v>B07BFVWCV4</v>
          </cell>
          <cell r="B125">
            <v>73</v>
          </cell>
          <cell r="C125">
            <v>74</v>
          </cell>
          <cell r="D125">
            <v>265</v>
          </cell>
          <cell r="E125">
            <v>173</v>
          </cell>
        </row>
        <row r="126">
          <cell r="A126" t="str">
            <v>B07BFVXKTL</v>
          </cell>
          <cell r="B126">
            <v>17</v>
          </cell>
          <cell r="C126">
            <v>19</v>
          </cell>
          <cell r="D126">
            <v>39</v>
          </cell>
          <cell r="E126">
            <v>13</v>
          </cell>
        </row>
        <row r="127">
          <cell r="A127" t="str">
            <v>B07BFVXXX8</v>
          </cell>
          <cell r="B127">
            <v>33</v>
          </cell>
          <cell r="C127">
            <v>24</v>
          </cell>
          <cell r="D127">
            <v>12</v>
          </cell>
          <cell r="E127">
            <v>28</v>
          </cell>
        </row>
        <row r="128">
          <cell r="A128" t="str">
            <v>B07BLRH5BR</v>
          </cell>
          <cell r="B128">
            <v>22</v>
          </cell>
          <cell r="C128">
            <v>14</v>
          </cell>
          <cell r="D128">
            <v>11</v>
          </cell>
          <cell r="E128">
            <v>20</v>
          </cell>
        </row>
        <row r="129">
          <cell r="A129" t="str">
            <v>B07BLRWT2V</v>
          </cell>
          <cell r="B129">
            <v>11</v>
          </cell>
          <cell r="C129">
            <v>12</v>
          </cell>
          <cell r="D129">
            <v>11</v>
          </cell>
          <cell r="E129">
            <v>15</v>
          </cell>
        </row>
        <row r="130">
          <cell r="A130" t="str">
            <v>B07BLTPG2G</v>
          </cell>
          <cell r="B130">
            <v>55</v>
          </cell>
          <cell r="C130">
            <v>11</v>
          </cell>
          <cell r="D130">
            <v>13</v>
          </cell>
          <cell r="E130">
            <v>23</v>
          </cell>
        </row>
        <row r="131">
          <cell r="A131" t="str">
            <v>B07BNCFZXN</v>
          </cell>
          <cell r="B131">
            <v>37</v>
          </cell>
          <cell r="C131">
            <v>31</v>
          </cell>
          <cell r="D131">
            <v>31</v>
          </cell>
          <cell r="E131">
            <v>25</v>
          </cell>
        </row>
        <row r="132">
          <cell r="A132" t="str">
            <v>B07BRK2R83</v>
          </cell>
          <cell r="B132">
            <v>4</v>
          </cell>
          <cell r="C132">
            <v>0</v>
          </cell>
          <cell r="D132">
            <v>1</v>
          </cell>
          <cell r="E132">
            <v>2</v>
          </cell>
        </row>
        <row r="133">
          <cell r="A133" t="str">
            <v>B07BSC5Q33</v>
          </cell>
          <cell r="B133">
            <v>47</v>
          </cell>
          <cell r="C133">
            <v>46</v>
          </cell>
          <cell r="D133">
            <v>14</v>
          </cell>
          <cell r="E133">
            <v>6</v>
          </cell>
        </row>
        <row r="134">
          <cell r="A134" t="str">
            <v>B07BSFP5QZ</v>
          </cell>
          <cell r="B134">
            <v>92</v>
          </cell>
          <cell r="C134">
            <v>51</v>
          </cell>
          <cell r="D134">
            <v>45</v>
          </cell>
          <cell r="E134">
            <v>19</v>
          </cell>
        </row>
        <row r="135">
          <cell r="A135" t="str">
            <v>B07BSN65PZ</v>
          </cell>
          <cell r="B135">
            <v>55</v>
          </cell>
          <cell r="C135">
            <v>84</v>
          </cell>
          <cell r="D135">
            <v>162</v>
          </cell>
          <cell r="E135">
            <v>116</v>
          </cell>
        </row>
        <row r="136">
          <cell r="A136" t="str">
            <v>B07CLYNY71</v>
          </cell>
          <cell r="B136">
            <v>10</v>
          </cell>
          <cell r="C136">
            <v>18</v>
          </cell>
          <cell r="D136">
            <v>42</v>
          </cell>
          <cell r="E136">
            <v>77</v>
          </cell>
        </row>
        <row r="137">
          <cell r="A137" t="str">
            <v>B07CM347WF</v>
          </cell>
          <cell r="B137">
            <v>134</v>
          </cell>
          <cell r="C137">
            <v>252</v>
          </cell>
          <cell r="D137">
            <v>240</v>
          </cell>
          <cell r="E137">
            <v>203</v>
          </cell>
        </row>
        <row r="138">
          <cell r="A138" t="str">
            <v>B07CM52CNC</v>
          </cell>
          <cell r="B138">
            <v>6</v>
          </cell>
          <cell r="C138">
            <v>17</v>
          </cell>
          <cell r="D138">
            <v>1</v>
          </cell>
          <cell r="E138">
            <v>1</v>
          </cell>
        </row>
        <row r="139">
          <cell r="A139" t="str">
            <v>B07CN274MC</v>
          </cell>
          <cell r="B139">
            <v>36</v>
          </cell>
          <cell r="C139">
            <v>76</v>
          </cell>
          <cell r="D139">
            <v>67</v>
          </cell>
          <cell r="E139">
            <v>52</v>
          </cell>
        </row>
        <row r="140">
          <cell r="A140" t="str">
            <v>B07CN4J157</v>
          </cell>
          <cell r="B140">
            <v>20</v>
          </cell>
          <cell r="C140">
            <v>21</v>
          </cell>
          <cell r="D140">
            <v>26</v>
          </cell>
          <cell r="E140">
            <v>27</v>
          </cell>
        </row>
        <row r="141">
          <cell r="A141" t="str">
            <v>B07CN76YH9</v>
          </cell>
          <cell r="B141">
            <v>244</v>
          </cell>
          <cell r="C141">
            <v>204</v>
          </cell>
          <cell r="D141">
            <v>158</v>
          </cell>
          <cell r="E141">
            <v>182</v>
          </cell>
        </row>
        <row r="142">
          <cell r="A142" t="str">
            <v>B07D4D4876</v>
          </cell>
          <cell r="B142">
            <v>70</v>
          </cell>
          <cell r="C142">
            <v>31</v>
          </cell>
          <cell r="D142">
            <v>38</v>
          </cell>
          <cell r="E142">
            <v>21</v>
          </cell>
        </row>
        <row r="143">
          <cell r="A143" t="str">
            <v>B07D4D6Q9C</v>
          </cell>
          <cell r="B143">
            <v>40</v>
          </cell>
          <cell r="C143">
            <v>46</v>
          </cell>
          <cell r="D143">
            <v>18</v>
          </cell>
          <cell r="E143">
            <v>8</v>
          </cell>
        </row>
        <row r="144">
          <cell r="A144" t="str">
            <v>B07F71667Y</v>
          </cell>
          <cell r="B144">
            <v>16</v>
          </cell>
          <cell r="C144">
            <v>29</v>
          </cell>
          <cell r="D144">
            <v>8</v>
          </cell>
          <cell r="E144">
            <v>1</v>
          </cell>
        </row>
        <row r="145">
          <cell r="A145" t="str">
            <v>B07F72X354</v>
          </cell>
          <cell r="B145">
            <v>12</v>
          </cell>
          <cell r="C145">
            <v>31</v>
          </cell>
          <cell r="D145">
            <v>1</v>
          </cell>
          <cell r="E145">
            <v>2</v>
          </cell>
        </row>
        <row r="146">
          <cell r="A146" t="str">
            <v>B07F73THXK</v>
          </cell>
          <cell r="B146">
            <v>22</v>
          </cell>
          <cell r="C146">
            <v>22</v>
          </cell>
          <cell r="D146">
            <v>11</v>
          </cell>
          <cell r="E146">
            <v>1</v>
          </cell>
        </row>
        <row r="147">
          <cell r="A147" t="str">
            <v>B07CM6R65H</v>
          </cell>
          <cell r="B147">
            <v>373</v>
          </cell>
          <cell r="C147">
            <v>569</v>
          </cell>
          <cell r="D147">
            <v>350</v>
          </cell>
          <cell r="E147">
            <v>0</v>
          </cell>
        </row>
        <row r="148">
          <cell r="A148" t="str">
            <v>B07FD841D5</v>
          </cell>
          <cell r="B148">
            <v>26</v>
          </cell>
          <cell r="C148">
            <v>2</v>
          </cell>
          <cell r="D148">
            <v>3</v>
          </cell>
          <cell r="E148">
            <v>0</v>
          </cell>
        </row>
        <row r="149">
          <cell r="A149" t="str">
            <v>B07FD9B9Q1</v>
          </cell>
          <cell r="B149">
            <v>1</v>
          </cell>
          <cell r="C149">
            <v>2</v>
          </cell>
          <cell r="D149">
            <v>2</v>
          </cell>
          <cell r="E149">
            <v>0</v>
          </cell>
        </row>
        <row r="150">
          <cell r="A150" t="str">
            <v>B07FDCC8ZC</v>
          </cell>
          <cell r="B150">
            <v>45</v>
          </cell>
          <cell r="C150">
            <v>18</v>
          </cell>
          <cell r="D150">
            <v>24</v>
          </cell>
          <cell r="E150">
            <v>0</v>
          </cell>
        </row>
        <row r="151">
          <cell r="A151" t="str">
            <v>B07FDCRR6Q</v>
          </cell>
          <cell r="B151">
            <v>18</v>
          </cell>
          <cell r="C151">
            <v>3</v>
          </cell>
          <cell r="D151">
            <v>3</v>
          </cell>
          <cell r="E151">
            <v>0</v>
          </cell>
        </row>
        <row r="152">
          <cell r="A152" t="str">
            <v>B07FDD4P8H</v>
          </cell>
          <cell r="B152">
            <v>11</v>
          </cell>
          <cell r="C152">
            <v>5</v>
          </cell>
          <cell r="D152">
            <v>3</v>
          </cell>
          <cell r="E152">
            <v>0</v>
          </cell>
        </row>
        <row r="153">
          <cell r="A153" t="str">
            <v>B07FNJYWTX</v>
          </cell>
          <cell r="B153">
            <v>20</v>
          </cell>
          <cell r="C153">
            <v>9</v>
          </cell>
          <cell r="D153">
            <v>1</v>
          </cell>
          <cell r="E153">
            <v>0</v>
          </cell>
        </row>
        <row r="154">
          <cell r="A154" t="str">
            <v>B07FYF8J1H</v>
          </cell>
          <cell r="B154">
            <v>2</v>
          </cell>
          <cell r="C154">
            <v>19</v>
          </cell>
          <cell r="D154">
            <v>8</v>
          </cell>
          <cell r="E154">
            <v>0</v>
          </cell>
        </row>
        <row r="155">
          <cell r="A155" t="str">
            <v>B07FYGT2PC</v>
          </cell>
          <cell r="B155">
            <v>2</v>
          </cell>
          <cell r="C155">
            <v>4</v>
          </cell>
          <cell r="D155">
            <v>4</v>
          </cell>
          <cell r="E155">
            <v>0</v>
          </cell>
        </row>
        <row r="156">
          <cell r="A156" t="str">
            <v>B07FNKS38N</v>
          </cell>
          <cell r="B156">
            <v>24</v>
          </cell>
          <cell r="C156">
            <v>6</v>
          </cell>
          <cell r="D156">
            <v>0</v>
          </cell>
          <cell r="E156">
            <v>0</v>
          </cell>
        </row>
        <row r="157">
          <cell r="A157" t="str">
            <v>B07FNL69J7</v>
          </cell>
          <cell r="B157">
            <v>178</v>
          </cell>
          <cell r="C157">
            <v>46</v>
          </cell>
          <cell r="D157">
            <v>0</v>
          </cell>
          <cell r="E157">
            <v>0</v>
          </cell>
        </row>
        <row r="158">
          <cell r="A158" t="str">
            <v>B07FD6C9T4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</row>
        <row r="159">
          <cell r="A159" t="str">
            <v>B07G2BPXQ7</v>
          </cell>
          <cell r="B159">
            <v>1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B07G41G2GB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6945.35</v>
          </cell>
        </row>
        <row r="3">
          <cell r="G3">
            <v>6964.24</v>
          </cell>
        </row>
        <row r="3">
          <cell r="J3">
            <v>1921.62</v>
          </cell>
        </row>
        <row r="3">
          <cell r="M3">
            <v>2134.61</v>
          </cell>
        </row>
        <row r="4">
          <cell r="A4" t="str">
            <v>DOLL-1613-PI-22</v>
          </cell>
          <cell r="B4">
            <v>1192</v>
          </cell>
          <cell r="C4">
            <v>25</v>
          </cell>
          <cell r="D4">
            <v>3.98</v>
          </cell>
          <cell r="E4">
            <v>1192</v>
          </cell>
          <cell r="F4">
            <v>25</v>
          </cell>
          <cell r="G4">
            <v>3.98</v>
          </cell>
          <cell r="H4">
            <v>146</v>
          </cell>
          <cell r="I4">
            <v>6</v>
          </cell>
          <cell r="J4">
            <v>1.09</v>
          </cell>
          <cell r="K4">
            <v>266</v>
          </cell>
          <cell r="L4">
            <v>3</v>
          </cell>
          <cell r="M4">
            <v>0.8</v>
          </cell>
        </row>
        <row r="5">
          <cell r="A5" t="str">
            <v>DOLL-1613-LB-22</v>
          </cell>
          <cell r="B5">
            <v>12669</v>
          </cell>
          <cell r="C5">
            <v>80</v>
          </cell>
          <cell r="D5">
            <v>22.29</v>
          </cell>
          <cell r="E5">
            <v>12711</v>
          </cell>
          <cell r="F5">
            <v>80</v>
          </cell>
          <cell r="G5">
            <v>22.29</v>
          </cell>
          <cell r="H5">
            <v>8619</v>
          </cell>
          <cell r="I5">
            <v>45</v>
          </cell>
          <cell r="J5">
            <v>13.1</v>
          </cell>
          <cell r="K5">
            <v>1895</v>
          </cell>
          <cell r="L5">
            <v>19</v>
          </cell>
          <cell r="M5">
            <v>6.09</v>
          </cell>
        </row>
        <row r="6">
          <cell r="A6" t="str">
            <v>DO-YULQ161-PI-22</v>
          </cell>
          <cell r="B6">
            <v>152059</v>
          </cell>
          <cell r="C6">
            <v>544</v>
          </cell>
          <cell r="D6">
            <v>88.02</v>
          </cell>
          <cell r="E6">
            <v>152059</v>
          </cell>
          <cell r="F6">
            <v>544</v>
          </cell>
          <cell r="G6">
            <v>88.02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DO-YULQ001-PI-22</v>
          </cell>
          <cell r="B7">
            <v>681465</v>
          </cell>
          <cell r="C7">
            <v>2828</v>
          </cell>
          <cell r="D7">
            <v>608.44</v>
          </cell>
          <cell r="E7">
            <v>684003</v>
          </cell>
          <cell r="F7">
            <v>2840</v>
          </cell>
          <cell r="G7">
            <v>611.61</v>
          </cell>
          <cell r="H7">
            <v>213484</v>
          </cell>
          <cell r="I7">
            <v>1072</v>
          </cell>
          <cell r="J7">
            <v>203.94</v>
          </cell>
          <cell r="K7">
            <v>345667</v>
          </cell>
          <cell r="L7">
            <v>1086</v>
          </cell>
          <cell r="M7">
            <v>252.45</v>
          </cell>
        </row>
        <row r="8">
          <cell r="A8" t="str">
            <v>DOLL-010-PI-22</v>
          </cell>
          <cell r="B8">
            <v>278529</v>
          </cell>
          <cell r="C8">
            <v>1430</v>
          </cell>
          <cell r="D8">
            <v>281.81</v>
          </cell>
          <cell r="E8">
            <v>279023</v>
          </cell>
          <cell r="F8">
            <v>1431</v>
          </cell>
          <cell r="G8">
            <v>282.1</v>
          </cell>
          <cell r="H8">
            <v>18295</v>
          </cell>
          <cell r="I8">
            <v>82</v>
          </cell>
          <cell r="J8">
            <v>20.17</v>
          </cell>
          <cell r="K8">
            <v>64399</v>
          </cell>
          <cell r="L8">
            <v>276</v>
          </cell>
          <cell r="M8">
            <v>91.89</v>
          </cell>
        </row>
        <row r="9">
          <cell r="A9" t="str">
            <v>DOLL-0605-PI-22</v>
          </cell>
          <cell r="B9">
            <v>50890</v>
          </cell>
          <cell r="C9">
            <v>279</v>
          </cell>
          <cell r="D9">
            <v>69.5</v>
          </cell>
          <cell r="E9">
            <v>50890</v>
          </cell>
          <cell r="F9">
            <v>279</v>
          </cell>
          <cell r="G9">
            <v>69.5</v>
          </cell>
          <cell r="H9">
            <v>0</v>
          </cell>
          <cell r="I9">
            <v>0</v>
          </cell>
          <cell r="J9">
            <v>0</v>
          </cell>
          <cell r="K9">
            <v>13950</v>
          </cell>
          <cell r="L9">
            <v>42</v>
          </cell>
          <cell r="M9">
            <v>35.07</v>
          </cell>
        </row>
        <row r="10">
          <cell r="A10" t="str">
            <v>DOLL-020-PI-22</v>
          </cell>
          <cell r="B10">
            <v>242920</v>
          </cell>
          <cell r="C10">
            <v>1731</v>
          </cell>
          <cell r="D10">
            <v>364.92</v>
          </cell>
          <cell r="E10">
            <v>243750</v>
          </cell>
          <cell r="F10">
            <v>1734</v>
          </cell>
          <cell r="G10">
            <v>365.48</v>
          </cell>
          <cell r="H10">
            <v>59230</v>
          </cell>
          <cell r="I10">
            <v>360</v>
          </cell>
          <cell r="J10">
            <v>85.39</v>
          </cell>
          <cell r="K10">
            <v>86265</v>
          </cell>
          <cell r="L10">
            <v>420</v>
          </cell>
          <cell r="M10">
            <v>121.96</v>
          </cell>
        </row>
        <row r="11">
          <cell r="A11" t="str">
            <v>DOLL-7056-LGR-11</v>
          </cell>
          <cell r="B11">
            <v>57765</v>
          </cell>
          <cell r="C11">
            <v>282</v>
          </cell>
          <cell r="D11">
            <v>57.64</v>
          </cell>
          <cell r="E11">
            <v>57765</v>
          </cell>
          <cell r="F11">
            <v>282</v>
          </cell>
          <cell r="G11">
            <v>57.64</v>
          </cell>
          <cell r="H11">
            <v>0</v>
          </cell>
          <cell r="I11">
            <v>0</v>
          </cell>
          <cell r="J11">
            <v>0</v>
          </cell>
          <cell r="K11">
            <v>35767</v>
          </cell>
          <cell r="L11">
            <v>166</v>
          </cell>
          <cell r="M11">
            <v>37.12</v>
          </cell>
        </row>
        <row r="12">
          <cell r="A12" t="str">
            <v>DO-YULQ152-B7-22</v>
          </cell>
          <cell r="B12">
            <v>174599</v>
          </cell>
          <cell r="C12">
            <v>463</v>
          </cell>
          <cell r="D12">
            <v>76.69</v>
          </cell>
          <cell r="E12">
            <v>174794</v>
          </cell>
          <cell r="F12">
            <v>463</v>
          </cell>
          <cell r="G12">
            <v>76.69</v>
          </cell>
          <cell r="H12">
            <v>22766</v>
          </cell>
          <cell r="I12">
            <v>82</v>
          </cell>
          <cell r="J12">
            <v>11.06</v>
          </cell>
          <cell r="K12">
            <v>37475</v>
          </cell>
          <cell r="L12">
            <v>105</v>
          </cell>
          <cell r="M12">
            <v>27.58</v>
          </cell>
        </row>
        <row r="13">
          <cell r="A13" t="str">
            <v>DOLL-0603-NZ-22</v>
          </cell>
          <cell r="B13">
            <v>162405</v>
          </cell>
          <cell r="C13">
            <v>760</v>
          </cell>
          <cell r="D13">
            <v>191.5</v>
          </cell>
          <cell r="E13">
            <v>164186</v>
          </cell>
          <cell r="F13">
            <v>761</v>
          </cell>
          <cell r="G13">
            <v>191.66</v>
          </cell>
          <cell r="H13">
            <v>70566</v>
          </cell>
          <cell r="I13">
            <v>315</v>
          </cell>
          <cell r="J13">
            <v>79.33</v>
          </cell>
          <cell r="K13">
            <v>78030</v>
          </cell>
          <cell r="L13">
            <v>365</v>
          </cell>
          <cell r="M13">
            <v>95.14</v>
          </cell>
        </row>
        <row r="14">
          <cell r="A14" t="str">
            <v>DO-YULQ171-B0-22</v>
          </cell>
          <cell r="B14">
            <v>15887</v>
          </cell>
          <cell r="C14">
            <v>18</v>
          </cell>
          <cell r="D14">
            <v>20.36</v>
          </cell>
          <cell r="E14">
            <v>15887</v>
          </cell>
          <cell r="F14">
            <v>18</v>
          </cell>
          <cell r="G14">
            <v>20.36</v>
          </cell>
          <cell r="H14">
            <v>0</v>
          </cell>
          <cell r="I14">
            <v>0</v>
          </cell>
          <cell r="J14">
            <v>0</v>
          </cell>
          <cell r="K14">
            <v>15887</v>
          </cell>
          <cell r="L14">
            <v>18</v>
          </cell>
          <cell r="M14">
            <v>20.36</v>
          </cell>
        </row>
        <row r="15">
          <cell r="A15" t="str">
            <v>DO-YULQ171-LGR-22</v>
          </cell>
          <cell r="B15">
            <v>126941</v>
          </cell>
          <cell r="C15">
            <v>520</v>
          </cell>
          <cell r="D15">
            <v>121.29</v>
          </cell>
          <cell r="E15">
            <v>127202</v>
          </cell>
          <cell r="F15">
            <v>522</v>
          </cell>
          <cell r="G15">
            <v>122.1</v>
          </cell>
          <cell r="H15">
            <v>25132</v>
          </cell>
          <cell r="I15">
            <v>95</v>
          </cell>
          <cell r="J15">
            <v>29.5</v>
          </cell>
          <cell r="K15">
            <v>23108</v>
          </cell>
          <cell r="L15">
            <v>84</v>
          </cell>
          <cell r="M15">
            <v>31.84</v>
          </cell>
        </row>
        <row r="16">
          <cell r="A16" t="str">
            <v>DO-YULQ153-B7-22</v>
          </cell>
          <cell r="B16">
            <v>73447</v>
          </cell>
          <cell r="C16">
            <v>350</v>
          </cell>
          <cell r="D16">
            <v>88.57</v>
          </cell>
          <cell r="E16">
            <v>73628</v>
          </cell>
          <cell r="F16">
            <v>353</v>
          </cell>
          <cell r="G16">
            <v>89.77</v>
          </cell>
          <cell r="H16">
            <v>22078</v>
          </cell>
          <cell r="I16">
            <v>87</v>
          </cell>
          <cell r="J16">
            <v>27.09</v>
          </cell>
          <cell r="K16">
            <v>9213</v>
          </cell>
          <cell r="L16">
            <v>45</v>
          </cell>
          <cell r="M16">
            <v>23.3</v>
          </cell>
        </row>
        <row r="17">
          <cell r="A17" t="str">
            <v>DO-YULQ638-LGR-20</v>
          </cell>
          <cell r="B17">
            <v>4</v>
          </cell>
          <cell r="C17">
            <v>2</v>
          </cell>
          <cell r="D17">
            <v>0.48</v>
          </cell>
          <cell r="E17">
            <v>4</v>
          </cell>
          <cell r="F17">
            <v>2</v>
          </cell>
          <cell r="G17">
            <v>0.48</v>
          </cell>
          <cell r="H17">
            <v>0</v>
          </cell>
          <cell r="I17">
            <v>0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A18" t="str">
            <v>DOLL-1630-R0-22</v>
          </cell>
          <cell r="B18">
            <v>14</v>
          </cell>
          <cell r="C18">
            <v>0</v>
          </cell>
          <cell r="D18">
            <v>0</v>
          </cell>
          <cell r="E18">
            <v>14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2</v>
          </cell>
          <cell r="L18">
            <v>0</v>
          </cell>
          <cell r="M18">
            <v>0</v>
          </cell>
        </row>
        <row r="19">
          <cell r="A19" t="str">
            <v>DO-YULQ639-R2-22</v>
          </cell>
          <cell r="B19">
            <v>19</v>
          </cell>
          <cell r="C19">
            <v>0</v>
          </cell>
          <cell r="D19">
            <v>0</v>
          </cell>
          <cell r="E19">
            <v>19</v>
          </cell>
          <cell r="F19">
            <v>0</v>
          </cell>
          <cell r="G19">
            <v>0</v>
          </cell>
          <cell r="H19">
            <v>4</v>
          </cell>
          <cell r="I19">
            <v>0</v>
          </cell>
          <cell r="J19">
            <v>0</v>
          </cell>
          <cell r="K19">
            <v>4</v>
          </cell>
          <cell r="L19">
            <v>0</v>
          </cell>
          <cell r="M19">
            <v>0</v>
          </cell>
        </row>
        <row r="20">
          <cell r="A20" t="str">
            <v>DO-YULQ230-PI-16</v>
          </cell>
          <cell r="B20">
            <v>46443</v>
          </cell>
          <cell r="C20">
            <v>253</v>
          </cell>
          <cell r="D20">
            <v>41.04</v>
          </cell>
          <cell r="E20">
            <v>46621</v>
          </cell>
          <cell r="F20">
            <v>255</v>
          </cell>
          <cell r="G20">
            <v>41.62</v>
          </cell>
          <cell r="H20">
            <v>3450</v>
          </cell>
          <cell r="I20">
            <v>32</v>
          </cell>
          <cell r="J20">
            <v>5.27</v>
          </cell>
          <cell r="K20">
            <v>5550</v>
          </cell>
          <cell r="L20">
            <v>30</v>
          </cell>
          <cell r="M20">
            <v>5.15</v>
          </cell>
        </row>
        <row r="21">
          <cell r="A21" t="str">
            <v>DO-YULQ011-NZ-22</v>
          </cell>
          <cell r="B21">
            <v>495665</v>
          </cell>
          <cell r="C21">
            <v>554</v>
          </cell>
          <cell r="D21">
            <v>145.43</v>
          </cell>
          <cell r="E21">
            <v>495668</v>
          </cell>
          <cell r="F21">
            <v>554</v>
          </cell>
          <cell r="G21">
            <v>145.43</v>
          </cell>
          <cell r="H21">
            <v>690</v>
          </cell>
          <cell r="I21">
            <v>9</v>
          </cell>
          <cell r="J21">
            <v>1.33</v>
          </cell>
          <cell r="K21">
            <v>3590</v>
          </cell>
          <cell r="L21">
            <v>12</v>
          </cell>
          <cell r="M21">
            <v>2.69</v>
          </cell>
        </row>
        <row r="22">
          <cell r="A22" t="str">
            <v>DO-YULQ158-W0-22</v>
          </cell>
          <cell r="B22">
            <v>322313</v>
          </cell>
          <cell r="C22">
            <v>792</v>
          </cell>
          <cell r="D22">
            <v>202.38</v>
          </cell>
          <cell r="E22">
            <v>322318</v>
          </cell>
          <cell r="F22">
            <v>792</v>
          </cell>
          <cell r="G22">
            <v>202.38</v>
          </cell>
          <cell r="H22">
            <v>669</v>
          </cell>
          <cell r="I22">
            <v>8</v>
          </cell>
          <cell r="J22">
            <v>1.22</v>
          </cell>
          <cell r="K22">
            <v>2303</v>
          </cell>
          <cell r="L22">
            <v>19</v>
          </cell>
          <cell r="M22">
            <v>3.85</v>
          </cell>
        </row>
        <row r="23">
          <cell r="A23" t="str">
            <v>DO-YULQ638-PI-20</v>
          </cell>
          <cell r="B23">
            <v>56804</v>
          </cell>
          <cell r="C23">
            <v>187</v>
          </cell>
          <cell r="D23">
            <v>66.61</v>
          </cell>
          <cell r="E23">
            <v>56917</v>
          </cell>
          <cell r="F23">
            <v>188</v>
          </cell>
          <cell r="G23">
            <v>66.97</v>
          </cell>
          <cell r="H23">
            <v>36616</v>
          </cell>
          <cell r="I23">
            <v>108</v>
          </cell>
          <cell r="J23">
            <v>33.6</v>
          </cell>
          <cell r="K23">
            <v>16042</v>
          </cell>
          <cell r="L23">
            <v>63</v>
          </cell>
          <cell r="M23">
            <v>27.4</v>
          </cell>
        </row>
        <row r="24">
          <cell r="A24" t="str">
            <v>DOLL-004-PI-10</v>
          </cell>
          <cell r="B24">
            <v>5079</v>
          </cell>
          <cell r="C24">
            <v>105</v>
          </cell>
          <cell r="D24">
            <v>19.84</v>
          </cell>
          <cell r="E24">
            <v>5169</v>
          </cell>
          <cell r="F24">
            <v>106</v>
          </cell>
          <cell r="G24">
            <v>20.03</v>
          </cell>
          <cell r="H24">
            <v>3035</v>
          </cell>
          <cell r="I24">
            <v>57</v>
          </cell>
          <cell r="J24">
            <v>9.38</v>
          </cell>
          <cell r="K24">
            <v>1383</v>
          </cell>
          <cell r="L24">
            <v>35</v>
          </cell>
          <cell r="M24">
            <v>7.43</v>
          </cell>
        </row>
        <row r="25">
          <cell r="A25" t="str">
            <v>DOLL-AD011-PI-22</v>
          </cell>
          <cell r="B25">
            <v>18953</v>
          </cell>
          <cell r="C25">
            <v>131</v>
          </cell>
          <cell r="D25">
            <v>19.11</v>
          </cell>
          <cell r="E25">
            <v>18953</v>
          </cell>
          <cell r="F25">
            <v>131</v>
          </cell>
          <cell r="G25">
            <v>19.11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DO-YULQ516-B0-22</v>
          </cell>
          <cell r="B26">
            <v>99282</v>
          </cell>
          <cell r="C26">
            <v>496</v>
          </cell>
          <cell r="D26">
            <v>152.33</v>
          </cell>
          <cell r="E26">
            <v>99448</v>
          </cell>
          <cell r="F26">
            <v>497</v>
          </cell>
          <cell r="G26">
            <v>152.51</v>
          </cell>
          <cell r="H26">
            <v>55261</v>
          </cell>
          <cell r="I26">
            <v>276</v>
          </cell>
          <cell r="J26">
            <v>76.02</v>
          </cell>
          <cell r="K26">
            <v>39659</v>
          </cell>
          <cell r="L26">
            <v>179</v>
          </cell>
          <cell r="M26">
            <v>70.86</v>
          </cell>
        </row>
        <row r="27">
          <cell r="A27" t="str">
            <v>DO-YULQ071-B7-16</v>
          </cell>
          <cell r="B27">
            <v>49721</v>
          </cell>
          <cell r="C27">
            <v>229</v>
          </cell>
          <cell r="D27">
            <v>49.78</v>
          </cell>
          <cell r="E27">
            <v>49757</v>
          </cell>
          <cell r="F27">
            <v>230</v>
          </cell>
          <cell r="G27">
            <v>50.19</v>
          </cell>
          <cell r="H27">
            <v>11400</v>
          </cell>
          <cell r="I27">
            <v>29</v>
          </cell>
          <cell r="J27">
            <v>9.46</v>
          </cell>
          <cell r="K27">
            <v>9358</v>
          </cell>
          <cell r="L27">
            <v>46</v>
          </cell>
          <cell r="M27">
            <v>15.68</v>
          </cell>
        </row>
        <row r="28">
          <cell r="A28" t="str">
            <v>DO-YULQ021-W0-22</v>
          </cell>
          <cell r="B28">
            <v>12377</v>
          </cell>
          <cell r="C28">
            <v>84</v>
          </cell>
          <cell r="D28">
            <v>13.72</v>
          </cell>
          <cell r="E28">
            <v>12415</v>
          </cell>
          <cell r="F28">
            <v>85</v>
          </cell>
          <cell r="G28">
            <v>13.86</v>
          </cell>
          <cell r="H28">
            <v>2219</v>
          </cell>
          <cell r="I28">
            <v>18</v>
          </cell>
          <cell r="J28">
            <v>3.26</v>
          </cell>
          <cell r="K28">
            <v>2900</v>
          </cell>
          <cell r="L28">
            <v>16</v>
          </cell>
          <cell r="M28">
            <v>2.55</v>
          </cell>
        </row>
        <row r="29">
          <cell r="A29" t="str">
            <v>DO-YULQ063-PI-22</v>
          </cell>
          <cell r="B29">
            <v>64626</v>
          </cell>
          <cell r="C29">
            <v>310</v>
          </cell>
          <cell r="D29">
            <v>52.68</v>
          </cell>
          <cell r="E29">
            <v>64875</v>
          </cell>
          <cell r="F29">
            <v>311</v>
          </cell>
          <cell r="G29">
            <v>52.73</v>
          </cell>
          <cell r="H29">
            <v>20188</v>
          </cell>
          <cell r="I29">
            <v>107</v>
          </cell>
          <cell r="J29">
            <v>18.68</v>
          </cell>
          <cell r="K29">
            <v>19450</v>
          </cell>
          <cell r="L29">
            <v>84</v>
          </cell>
          <cell r="M29">
            <v>15.59</v>
          </cell>
        </row>
        <row r="30">
          <cell r="A30" t="str">
            <v>DO-YULQ070-PI-16</v>
          </cell>
          <cell r="B30">
            <v>79488</v>
          </cell>
          <cell r="C30">
            <v>448</v>
          </cell>
          <cell r="D30">
            <v>90.56</v>
          </cell>
          <cell r="E30">
            <v>79979</v>
          </cell>
          <cell r="F30">
            <v>451</v>
          </cell>
          <cell r="G30">
            <v>91.2</v>
          </cell>
          <cell r="H30">
            <v>23260</v>
          </cell>
          <cell r="I30">
            <v>147</v>
          </cell>
          <cell r="J30">
            <v>29.97</v>
          </cell>
          <cell r="K30">
            <v>21645</v>
          </cell>
          <cell r="L30">
            <v>99</v>
          </cell>
          <cell r="M30">
            <v>17.59</v>
          </cell>
        </row>
        <row r="31">
          <cell r="A31" t="str">
            <v>DO-YULQ162-PI-16</v>
          </cell>
          <cell r="B31">
            <v>62824</v>
          </cell>
          <cell r="C31">
            <v>283</v>
          </cell>
          <cell r="D31">
            <v>57.21</v>
          </cell>
          <cell r="E31">
            <v>62955</v>
          </cell>
          <cell r="F31">
            <v>284</v>
          </cell>
          <cell r="G31">
            <v>57.36</v>
          </cell>
          <cell r="H31">
            <v>16167</v>
          </cell>
          <cell r="I31">
            <v>63</v>
          </cell>
          <cell r="J31">
            <v>11.85</v>
          </cell>
          <cell r="K31">
            <v>23445</v>
          </cell>
          <cell r="L31">
            <v>117</v>
          </cell>
          <cell r="M31">
            <v>25.58</v>
          </cell>
        </row>
        <row r="32">
          <cell r="A32" t="str">
            <v>DO-YULQ107-PI-22</v>
          </cell>
          <cell r="B32">
            <v>183870</v>
          </cell>
          <cell r="C32">
            <v>640</v>
          </cell>
          <cell r="D32">
            <v>128.94</v>
          </cell>
          <cell r="E32">
            <v>184603</v>
          </cell>
          <cell r="F32">
            <v>640</v>
          </cell>
          <cell r="G32">
            <v>128.94</v>
          </cell>
          <cell r="H32">
            <v>71380</v>
          </cell>
          <cell r="I32">
            <v>235</v>
          </cell>
          <cell r="J32">
            <v>54.45</v>
          </cell>
          <cell r="K32">
            <v>73885</v>
          </cell>
          <cell r="L32">
            <v>219</v>
          </cell>
          <cell r="M32">
            <v>41.97</v>
          </cell>
        </row>
        <row r="33">
          <cell r="A33" t="str">
            <v>DO-YULQ664-AX-16</v>
          </cell>
          <cell r="B33">
            <v>80588</v>
          </cell>
          <cell r="C33">
            <v>612</v>
          </cell>
          <cell r="D33">
            <v>137.12</v>
          </cell>
          <cell r="E33">
            <v>80640</v>
          </cell>
          <cell r="F33">
            <v>613</v>
          </cell>
          <cell r="G33">
            <v>137.41</v>
          </cell>
          <cell r="H33">
            <v>14188</v>
          </cell>
          <cell r="I33">
            <v>130</v>
          </cell>
          <cell r="J33">
            <v>35.22</v>
          </cell>
          <cell r="K33">
            <v>22429</v>
          </cell>
          <cell r="L33">
            <v>106</v>
          </cell>
          <cell r="M33">
            <v>37.65</v>
          </cell>
        </row>
        <row r="34">
          <cell r="A34" t="str">
            <v>DO-YULQ606-W0-22</v>
          </cell>
          <cell r="B34">
            <v>8521</v>
          </cell>
          <cell r="C34">
            <v>101</v>
          </cell>
          <cell r="D34">
            <v>19.01</v>
          </cell>
          <cell r="E34">
            <v>8522</v>
          </cell>
          <cell r="F34">
            <v>101</v>
          </cell>
          <cell r="G34">
            <v>19.01</v>
          </cell>
          <cell r="H34">
            <v>1655</v>
          </cell>
          <cell r="I34">
            <v>27</v>
          </cell>
          <cell r="J34">
            <v>6.06</v>
          </cell>
          <cell r="K34">
            <v>1639</v>
          </cell>
          <cell r="L34">
            <v>15</v>
          </cell>
          <cell r="M34">
            <v>3.78</v>
          </cell>
        </row>
        <row r="35">
          <cell r="A35" t="str">
            <v>DO-YULQ372-R0-22</v>
          </cell>
          <cell r="B35">
            <v>6155</v>
          </cell>
          <cell r="C35">
            <v>24</v>
          </cell>
          <cell r="D35">
            <v>6.34</v>
          </cell>
          <cell r="E35">
            <v>6196</v>
          </cell>
          <cell r="F35">
            <v>24</v>
          </cell>
          <cell r="G35">
            <v>6.34</v>
          </cell>
          <cell r="H35">
            <v>1238</v>
          </cell>
          <cell r="I35">
            <v>7</v>
          </cell>
          <cell r="J35">
            <v>1.78</v>
          </cell>
          <cell r="K35">
            <v>553</v>
          </cell>
          <cell r="L35">
            <v>3</v>
          </cell>
          <cell r="M35">
            <v>0.72</v>
          </cell>
        </row>
        <row r="36">
          <cell r="A36" t="str">
            <v>DO-YULQ631-R2-22</v>
          </cell>
          <cell r="B36">
            <v>81802</v>
          </cell>
          <cell r="C36">
            <v>559</v>
          </cell>
          <cell r="D36">
            <v>136.75</v>
          </cell>
          <cell r="E36">
            <v>82026</v>
          </cell>
          <cell r="F36">
            <v>561</v>
          </cell>
          <cell r="G36">
            <v>137.63</v>
          </cell>
          <cell r="H36">
            <v>16358</v>
          </cell>
          <cell r="I36">
            <v>93</v>
          </cell>
          <cell r="J36">
            <v>26.59</v>
          </cell>
          <cell r="K36">
            <v>30092</v>
          </cell>
          <cell r="L36">
            <v>197</v>
          </cell>
          <cell r="M36">
            <v>61.48</v>
          </cell>
        </row>
        <row r="37">
          <cell r="A37" t="str">
            <v>DO-YULQ163-B7-22</v>
          </cell>
          <cell r="B37">
            <v>151772</v>
          </cell>
          <cell r="C37">
            <v>697</v>
          </cell>
          <cell r="D37">
            <v>142.57</v>
          </cell>
          <cell r="E37">
            <v>152205</v>
          </cell>
          <cell r="F37">
            <v>697</v>
          </cell>
          <cell r="G37">
            <v>142.57</v>
          </cell>
          <cell r="H37">
            <v>25990</v>
          </cell>
          <cell r="I37">
            <v>114</v>
          </cell>
          <cell r="J37">
            <v>17.43</v>
          </cell>
          <cell r="K37">
            <v>64599</v>
          </cell>
          <cell r="L37">
            <v>251</v>
          </cell>
          <cell r="M37">
            <v>75.46</v>
          </cell>
        </row>
        <row r="38">
          <cell r="A38" t="str">
            <v>DO-YULQ073-LGR-22</v>
          </cell>
          <cell r="B38">
            <v>32815</v>
          </cell>
          <cell r="C38">
            <v>240</v>
          </cell>
          <cell r="D38">
            <v>60.04</v>
          </cell>
          <cell r="E38">
            <v>32890</v>
          </cell>
          <cell r="F38">
            <v>241</v>
          </cell>
          <cell r="G38">
            <v>60.54</v>
          </cell>
          <cell r="H38">
            <v>5742</v>
          </cell>
          <cell r="I38">
            <v>44</v>
          </cell>
          <cell r="J38">
            <v>12.92</v>
          </cell>
          <cell r="K38">
            <v>5349</v>
          </cell>
          <cell r="L38">
            <v>49</v>
          </cell>
          <cell r="M38">
            <v>22.42</v>
          </cell>
        </row>
        <row r="39">
          <cell r="A39" t="str">
            <v>DOLL-1613-LB-11</v>
          </cell>
          <cell r="B39">
            <v>11011</v>
          </cell>
          <cell r="C39">
            <v>125</v>
          </cell>
          <cell r="D39">
            <v>20.17</v>
          </cell>
          <cell r="E39">
            <v>11011</v>
          </cell>
          <cell r="F39">
            <v>125</v>
          </cell>
          <cell r="G39">
            <v>20.17</v>
          </cell>
          <cell r="H39">
            <v>25</v>
          </cell>
          <cell r="I39">
            <v>0</v>
          </cell>
          <cell r="J39">
            <v>0</v>
          </cell>
          <cell r="K39">
            <v>195</v>
          </cell>
          <cell r="L39">
            <v>0</v>
          </cell>
          <cell r="M39">
            <v>0</v>
          </cell>
        </row>
        <row r="40">
          <cell r="A40" t="str">
            <v>DO-YULQ012-PI-22</v>
          </cell>
          <cell r="B40">
            <v>899</v>
          </cell>
          <cell r="C40">
            <v>0</v>
          </cell>
          <cell r="D40">
            <v>0</v>
          </cell>
          <cell r="E40">
            <v>899</v>
          </cell>
          <cell r="F40">
            <v>0</v>
          </cell>
          <cell r="G40">
            <v>0</v>
          </cell>
          <cell r="H40">
            <v>109</v>
          </cell>
          <cell r="I40">
            <v>0</v>
          </cell>
          <cell r="J40">
            <v>0</v>
          </cell>
          <cell r="K40">
            <v>187</v>
          </cell>
          <cell r="L40">
            <v>0</v>
          </cell>
          <cell r="M40">
            <v>0</v>
          </cell>
        </row>
        <row r="41">
          <cell r="A41" t="str">
            <v>DO-YULQ123-FB-22</v>
          </cell>
          <cell r="B41">
            <v>328729</v>
          </cell>
          <cell r="C41">
            <v>2063</v>
          </cell>
          <cell r="D41">
            <v>405.5</v>
          </cell>
          <cell r="E41">
            <v>329184</v>
          </cell>
          <cell r="F41">
            <v>2064</v>
          </cell>
          <cell r="G41">
            <v>405.62</v>
          </cell>
          <cell r="H41">
            <v>60854</v>
          </cell>
          <cell r="I41">
            <v>345</v>
          </cell>
          <cell r="J41">
            <v>93.64</v>
          </cell>
          <cell r="K41">
            <v>56403</v>
          </cell>
          <cell r="L41">
            <v>305</v>
          </cell>
          <cell r="M41">
            <v>88.61</v>
          </cell>
        </row>
        <row r="42">
          <cell r="A42" t="str">
            <v>DO-YULQ121-PI-22</v>
          </cell>
          <cell r="B42">
            <v>70699</v>
          </cell>
          <cell r="C42">
            <v>457</v>
          </cell>
          <cell r="D42">
            <v>124.8</v>
          </cell>
          <cell r="E42">
            <v>70847</v>
          </cell>
          <cell r="F42">
            <v>460</v>
          </cell>
          <cell r="G42">
            <v>125.86</v>
          </cell>
          <cell r="H42">
            <v>28545</v>
          </cell>
          <cell r="I42">
            <v>190</v>
          </cell>
          <cell r="J42">
            <v>52.5</v>
          </cell>
          <cell r="K42">
            <v>23487</v>
          </cell>
          <cell r="L42">
            <v>106</v>
          </cell>
          <cell r="M42">
            <v>38.93</v>
          </cell>
        </row>
        <row r="43">
          <cell r="A43" t="str">
            <v>DO-YULQ152-Z1-22</v>
          </cell>
          <cell r="B43">
            <v>82899</v>
          </cell>
          <cell r="C43">
            <v>294</v>
          </cell>
          <cell r="D43">
            <v>85.38</v>
          </cell>
          <cell r="E43">
            <v>83037</v>
          </cell>
          <cell r="F43">
            <v>294</v>
          </cell>
          <cell r="G43">
            <v>85.38</v>
          </cell>
          <cell r="H43">
            <v>13914</v>
          </cell>
          <cell r="I43">
            <v>50</v>
          </cell>
          <cell r="J43">
            <v>16.37</v>
          </cell>
          <cell r="K43">
            <v>37164</v>
          </cell>
          <cell r="L43">
            <v>59</v>
          </cell>
          <cell r="M43">
            <v>37.71</v>
          </cell>
        </row>
        <row r="44">
          <cell r="A44" t="str">
            <v>DO-YULQ150-PI-20</v>
          </cell>
          <cell r="B44">
            <v>395006</v>
          </cell>
          <cell r="C44">
            <v>2233</v>
          </cell>
          <cell r="D44">
            <v>435.58</v>
          </cell>
          <cell r="E44">
            <v>396870</v>
          </cell>
          <cell r="F44">
            <v>2239</v>
          </cell>
          <cell r="G44">
            <v>436.88</v>
          </cell>
          <cell r="H44">
            <v>161494</v>
          </cell>
          <cell r="I44">
            <v>900</v>
          </cell>
          <cell r="J44">
            <v>187.68</v>
          </cell>
          <cell r="K44">
            <v>145566</v>
          </cell>
          <cell r="L44">
            <v>734</v>
          </cell>
          <cell r="M44">
            <v>135.31</v>
          </cell>
        </row>
        <row r="45">
          <cell r="A45" t="str">
            <v>DO-YULQ985-B7-20</v>
          </cell>
          <cell r="B45">
            <v>97258</v>
          </cell>
          <cell r="C45">
            <v>390</v>
          </cell>
          <cell r="D45">
            <v>129.66</v>
          </cell>
          <cell r="E45">
            <v>97458</v>
          </cell>
          <cell r="F45">
            <v>392</v>
          </cell>
          <cell r="G45">
            <v>130.55</v>
          </cell>
          <cell r="H45">
            <v>49337</v>
          </cell>
          <cell r="I45">
            <v>236</v>
          </cell>
          <cell r="J45">
            <v>73.82</v>
          </cell>
          <cell r="K45">
            <v>38691</v>
          </cell>
          <cell r="L45">
            <v>130</v>
          </cell>
          <cell r="M45">
            <v>48.43</v>
          </cell>
        </row>
        <row r="46">
          <cell r="A46" t="str">
            <v>DO-YULQ150-K0-22</v>
          </cell>
          <cell r="B46">
            <v>27281</v>
          </cell>
          <cell r="C46">
            <v>234</v>
          </cell>
          <cell r="D46">
            <v>59.66</v>
          </cell>
          <cell r="E46">
            <v>27376</v>
          </cell>
          <cell r="F46">
            <v>234</v>
          </cell>
          <cell r="G46">
            <v>59.66</v>
          </cell>
          <cell r="H46">
            <v>6482</v>
          </cell>
          <cell r="I46">
            <v>61</v>
          </cell>
          <cell r="J46">
            <v>20.21</v>
          </cell>
          <cell r="K46">
            <v>5168</v>
          </cell>
          <cell r="L46">
            <v>39</v>
          </cell>
          <cell r="M46">
            <v>15.03</v>
          </cell>
        </row>
        <row r="47">
          <cell r="A47" t="str">
            <v>DO-YULQ151-W0-16</v>
          </cell>
          <cell r="B47">
            <v>63097</v>
          </cell>
          <cell r="C47">
            <v>179</v>
          </cell>
          <cell r="D47">
            <v>52.18</v>
          </cell>
          <cell r="E47">
            <v>63123</v>
          </cell>
          <cell r="F47">
            <v>180</v>
          </cell>
          <cell r="G47">
            <v>52.56</v>
          </cell>
          <cell r="H47">
            <v>10601</v>
          </cell>
          <cell r="I47">
            <v>36</v>
          </cell>
          <cell r="J47">
            <v>12.09</v>
          </cell>
          <cell r="K47">
            <v>19024</v>
          </cell>
          <cell r="L47">
            <v>38</v>
          </cell>
          <cell r="M47">
            <v>23.43</v>
          </cell>
        </row>
        <row r="48">
          <cell r="A48" t="str">
            <v>DO-YULQ701-PI-22</v>
          </cell>
          <cell r="B48">
            <v>103442</v>
          </cell>
          <cell r="C48">
            <v>574</v>
          </cell>
          <cell r="D48">
            <v>89.8</v>
          </cell>
          <cell r="E48">
            <v>103442</v>
          </cell>
          <cell r="F48">
            <v>574</v>
          </cell>
          <cell r="G48">
            <v>89.8</v>
          </cell>
          <cell r="H48">
            <v>14051</v>
          </cell>
          <cell r="I48">
            <v>127</v>
          </cell>
          <cell r="J48">
            <v>15.55</v>
          </cell>
          <cell r="K48">
            <v>34144</v>
          </cell>
          <cell r="L48">
            <v>198</v>
          </cell>
          <cell r="M48">
            <v>36.24</v>
          </cell>
        </row>
        <row r="49">
          <cell r="A49" t="str">
            <v>DO-YULQ702-PI-22</v>
          </cell>
          <cell r="B49">
            <v>239580</v>
          </cell>
          <cell r="C49">
            <v>1285</v>
          </cell>
          <cell r="D49">
            <v>174.23</v>
          </cell>
          <cell r="E49">
            <v>240542</v>
          </cell>
          <cell r="F49">
            <v>1286</v>
          </cell>
          <cell r="G49">
            <v>174.42</v>
          </cell>
          <cell r="H49">
            <v>59345</v>
          </cell>
          <cell r="I49">
            <v>336</v>
          </cell>
          <cell r="J49">
            <v>42.95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DO-YULQ703-PI-22</v>
          </cell>
          <cell r="B50">
            <v>154991</v>
          </cell>
          <cell r="C50">
            <v>685</v>
          </cell>
          <cell r="D50">
            <v>110.37</v>
          </cell>
          <cell r="E50">
            <v>155121</v>
          </cell>
          <cell r="F50">
            <v>685</v>
          </cell>
          <cell r="G50">
            <v>110.37</v>
          </cell>
          <cell r="H50">
            <v>16961</v>
          </cell>
          <cell r="I50">
            <v>108</v>
          </cell>
          <cell r="J50">
            <v>14.18</v>
          </cell>
          <cell r="K50">
            <v>23298</v>
          </cell>
          <cell r="L50">
            <v>131</v>
          </cell>
          <cell r="M50">
            <v>25.23</v>
          </cell>
        </row>
        <row r="51">
          <cell r="A51" t="str">
            <v>DO-YULQ700-PI-22</v>
          </cell>
          <cell r="B51">
            <v>248690</v>
          </cell>
          <cell r="C51">
            <v>1820</v>
          </cell>
          <cell r="D51">
            <v>256.75</v>
          </cell>
          <cell r="E51">
            <v>249727</v>
          </cell>
          <cell r="F51">
            <v>1827</v>
          </cell>
          <cell r="G51">
            <v>257.98</v>
          </cell>
          <cell r="H51">
            <v>116505</v>
          </cell>
          <cell r="I51">
            <v>890</v>
          </cell>
          <cell r="J51">
            <v>109.81</v>
          </cell>
          <cell r="K51">
            <v>71601</v>
          </cell>
          <cell r="L51">
            <v>555</v>
          </cell>
          <cell r="M51">
            <v>95.31</v>
          </cell>
        </row>
        <row r="52">
          <cell r="A52" t="str">
            <v>DO-YULQ330-PI-18</v>
          </cell>
          <cell r="B52">
            <v>117743</v>
          </cell>
          <cell r="C52">
            <v>370</v>
          </cell>
          <cell r="D52">
            <v>63.99</v>
          </cell>
          <cell r="E52">
            <v>118258</v>
          </cell>
          <cell r="F52">
            <v>373</v>
          </cell>
          <cell r="G52">
            <v>64.49</v>
          </cell>
          <cell r="H52">
            <v>63472</v>
          </cell>
          <cell r="I52">
            <v>208</v>
          </cell>
          <cell r="J52">
            <v>38.85</v>
          </cell>
          <cell r="K52">
            <v>39903</v>
          </cell>
          <cell r="L52">
            <v>118</v>
          </cell>
          <cell r="M52">
            <v>17.46</v>
          </cell>
        </row>
        <row r="53">
          <cell r="A53" t="str">
            <v>DO-YULQ350-PI-22</v>
          </cell>
          <cell r="B53">
            <v>7194</v>
          </cell>
          <cell r="C53">
            <v>72</v>
          </cell>
          <cell r="D53">
            <v>13.02</v>
          </cell>
          <cell r="E53">
            <v>7252</v>
          </cell>
          <cell r="F53">
            <v>72</v>
          </cell>
          <cell r="G53">
            <v>13.02</v>
          </cell>
          <cell r="H53">
            <v>3981</v>
          </cell>
          <cell r="I53">
            <v>44</v>
          </cell>
          <cell r="J53">
            <v>8.5</v>
          </cell>
          <cell r="K53">
            <v>2228</v>
          </cell>
          <cell r="L53">
            <v>17</v>
          </cell>
          <cell r="M53">
            <v>2.53</v>
          </cell>
        </row>
        <row r="54">
          <cell r="A54" t="str">
            <v>DO-YULQ611-TW-22</v>
          </cell>
          <cell r="B54">
            <v>201368</v>
          </cell>
          <cell r="C54">
            <v>1112</v>
          </cell>
          <cell r="D54">
            <v>339.63</v>
          </cell>
          <cell r="E54">
            <v>202640</v>
          </cell>
          <cell r="F54">
            <v>1117</v>
          </cell>
          <cell r="G54">
            <v>340.83</v>
          </cell>
          <cell r="H54">
            <v>106985</v>
          </cell>
          <cell r="I54">
            <v>561</v>
          </cell>
          <cell r="J54">
            <v>163.69</v>
          </cell>
          <cell r="K54">
            <v>57558</v>
          </cell>
          <cell r="L54">
            <v>347</v>
          </cell>
          <cell r="M54">
            <v>120.89</v>
          </cell>
        </row>
        <row r="55">
          <cell r="A55" t="str">
            <v>DO-YULQ704-B0-24</v>
          </cell>
          <cell r="B55">
            <v>8129</v>
          </cell>
          <cell r="C55">
            <v>115</v>
          </cell>
          <cell r="D55">
            <v>25</v>
          </cell>
          <cell r="E55">
            <v>8180</v>
          </cell>
          <cell r="F55">
            <v>117</v>
          </cell>
          <cell r="G55">
            <v>25.22</v>
          </cell>
          <cell r="H55">
            <v>1690</v>
          </cell>
          <cell r="I55">
            <v>24</v>
          </cell>
          <cell r="J55">
            <v>3.81</v>
          </cell>
          <cell r="K55">
            <v>2371</v>
          </cell>
          <cell r="L55">
            <v>41</v>
          </cell>
          <cell r="M55">
            <v>9.21</v>
          </cell>
        </row>
        <row r="56">
          <cell r="A56" t="str">
            <v>DO-YULQ705-W0-22</v>
          </cell>
          <cell r="B56">
            <v>3088</v>
          </cell>
          <cell r="C56">
            <v>57</v>
          </cell>
          <cell r="D56">
            <v>18.49</v>
          </cell>
          <cell r="E56">
            <v>3110</v>
          </cell>
          <cell r="F56">
            <v>57</v>
          </cell>
          <cell r="G56">
            <v>18.49</v>
          </cell>
          <cell r="H56">
            <v>1106</v>
          </cell>
          <cell r="I56">
            <v>22</v>
          </cell>
          <cell r="J56">
            <v>6.07</v>
          </cell>
          <cell r="K56">
            <v>706</v>
          </cell>
          <cell r="L56">
            <v>14</v>
          </cell>
          <cell r="M56">
            <v>5.36</v>
          </cell>
        </row>
        <row r="57">
          <cell r="A57" t="str">
            <v>DO-YULQ706-R0-24</v>
          </cell>
          <cell r="B57">
            <v>8207</v>
          </cell>
          <cell r="C57">
            <v>49</v>
          </cell>
          <cell r="D57">
            <v>14.84</v>
          </cell>
          <cell r="E57">
            <v>8246</v>
          </cell>
          <cell r="F57">
            <v>49</v>
          </cell>
          <cell r="G57">
            <v>14.84</v>
          </cell>
          <cell r="H57">
            <v>2461</v>
          </cell>
          <cell r="I57">
            <v>9</v>
          </cell>
          <cell r="J57">
            <v>2.63</v>
          </cell>
          <cell r="K57">
            <v>648</v>
          </cell>
          <cell r="L57">
            <v>9</v>
          </cell>
          <cell r="M57">
            <v>2.61</v>
          </cell>
        </row>
        <row r="58">
          <cell r="A58" t="str">
            <v>DO-YULQ707-PI-24</v>
          </cell>
          <cell r="B58">
            <v>68946</v>
          </cell>
          <cell r="C58">
            <v>262</v>
          </cell>
          <cell r="D58">
            <v>60.22</v>
          </cell>
          <cell r="E58">
            <v>69070</v>
          </cell>
          <cell r="F58">
            <v>262</v>
          </cell>
          <cell r="G58">
            <v>60.22</v>
          </cell>
          <cell r="H58">
            <v>5342</v>
          </cell>
          <cell r="I58">
            <v>29</v>
          </cell>
          <cell r="J58">
            <v>10.4</v>
          </cell>
          <cell r="K58">
            <v>13169</v>
          </cell>
          <cell r="L58">
            <v>56</v>
          </cell>
          <cell r="M58">
            <v>20.4</v>
          </cell>
        </row>
        <row r="59">
          <cell r="A59" t="str">
            <v>DO-YULQ081-B7-10</v>
          </cell>
          <cell r="B59">
            <v>31279</v>
          </cell>
          <cell r="C59">
            <v>216</v>
          </cell>
          <cell r="D59">
            <v>34.46</v>
          </cell>
          <cell r="E59">
            <v>31283</v>
          </cell>
          <cell r="F59">
            <v>216</v>
          </cell>
          <cell r="G59">
            <v>34.46</v>
          </cell>
          <cell r="H59">
            <v>475</v>
          </cell>
          <cell r="I59">
            <v>6</v>
          </cell>
          <cell r="J59">
            <v>1.02</v>
          </cell>
          <cell r="K59">
            <v>1747</v>
          </cell>
          <cell r="L59">
            <v>22</v>
          </cell>
          <cell r="M59">
            <v>4.59</v>
          </cell>
        </row>
        <row r="60">
          <cell r="A60" t="str">
            <v>DO-YULQ708-W0-24</v>
          </cell>
          <cell r="B60">
            <v>69100</v>
          </cell>
          <cell r="C60">
            <v>281</v>
          </cell>
          <cell r="D60">
            <v>83.43</v>
          </cell>
          <cell r="E60">
            <v>69142</v>
          </cell>
          <cell r="F60">
            <v>281</v>
          </cell>
          <cell r="G60">
            <v>83.43</v>
          </cell>
          <cell r="H60">
            <v>21696</v>
          </cell>
          <cell r="I60">
            <v>91</v>
          </cell>
          <cell r="J60">
            <v>30.26</v>
          </cell>
          <cell r="K60">
            <v>19763</v>
          </cell>
          <cell r="L60">
            <v>82</v>
          </cell>
          <cell r="M60">
            <v>34.94</v>
          </cell>
        </row>
        <row r="61">
          <cell r="A61" t="str">
            <v>DO-YULQ232-W0-10</v>
          </cell>
          <cell r="B61">
            <v>10001</v>
          </cell>
          <cell r="C61">
            <v>110</v>
          </cell>
          <cell r="D61">
            <v>17.3</v>
          </cell>
          <cell r="E61">
            <v>10007</v>
          </cell>
          <cell r="F61">
            <v>110</v>
          </cell>
          <cell r="G61">
            <v>17.3</v>
          </cell>
          <cell r="H61">
            <v>1230</v>
          </cell>
          <cell r="I61">
            <v>10</v>
          </cell>
          <cell r="J61">
            <v>0.95</v>
          </cell>
          <cell r="K61">
            <v>2212</v>
          </cell>
          <cell r="L61">
            <v>35</v>
          </cell>
          <cell r="M61">
            <v>4.8</v>
          </cell>
        </row>
        <row r="62">
          <cell r="A62" t="str">
            <v>DO-YULQ620-NZ-22</v>
          </cell>
          <cell r="B62">
            <v>363544</v>
          </cell>
          <cell r="C62">
            <v>1690</v>
          </cell>
          <cell r="D62">
            <v>268.22</v>
          </cell>
          <cell r="E62">
            <v>363947</v>
          </cell>
          <cell r="F62">
            <v>1693</v>
          </cell>
          <cell r="G62">
            <v>268.6</v>
          </cell>
          <cell r="H62">
            <v>45269</v>
          </cell>
          <cell r="I62">
            <v>294</v>
          </cell>
          <cell r="J62">
            <v>36.93</v>
          </cell>
          <cell r="K62">
            <v>57494</v>
          </cell>
          <cell r="L62">
            <v>298</v>
          </cell>
          <cell r="M62">
            <v>50.59</v>
          </cell>
        </row>
        <row r="63">
          <cell r="A63" t="str">
            <v>DOLL-005-WO-11</v>
          </cell>
          <cell r="B63">
            <v>26870</v>
          </cell>
          <cell r="C63">
            <v>164</v>
          </cell>
          <cell r="D63">
            <v>29.1</v>
          </cell>
          <cell r="E63">
            <v>26887</v>
          </cell>
          <cell r="F63">
            <v>164</v>
          </cell>
          <cell r="G63">
            <v>29.1</v>
          </cell>
          <cell r="H63">
            <v>2132</v>
          </cell>
          <cell r="I63">
            <v>25</v>
          </cell>
          <cell r="J63">
            <v>3.44</v>
          </cell>
          <cell r="K63">
            <v>3853</v>
          </cell>
          <cell r="L63">
            <v>25</v>
          </cell>
          <cell r="M63">
            <v>5.99</v>
          </cell>
        </row>
        <row r="64">
          <cell r="A64" t="str">
            <v>DO-YULQ150-B7-18</v>
          </cell>
          <cell r="B64">
            <v>26358</v>
          </cell>
          <cell r="C64">
            <v>253</v>
          </cell>
          <cell r="D64">
            <v>47.01</v>
          </cell>
          <cell r="E64">
            <v>26528</v>
          </cell>
          <cell r="F64">
            <v>255</v>
          </cell>
          <cell r="G64">
            <v>47.41</v>
          </cell>
          <cell r="H64">
            <v>14504</v>
          </cell>
          <cell r="I64">
            <v>135</v>
          </cell>
          <cell r="J64">
            <v>24.93</v>
          </cell>
          <cell r="K64">
            <v>6917</v>
          </cell>
          <cell r="L64">
            <v>69</v>
          </cell>
          <cell r="M64">
            <v>13.94</v>
          </cell>
        </row>
        <row r="65">
          <cell r="A65" t="str">
            <v>DO-YULQ008-LGR-16</v>
          </cell>
          <cell r="B65">
            <v>20198</v>
          </cell>
          <cell r="C65">
            <v>32</v>
          </cell>
          <cell r="D65">
            <v>8.63</v>
          </cell>
          <cell r="E65">
            <v>20198</v>
          </cell>
          <cell r="F65">
            <v>32</v>
          </cell>
          <cell r="G65">
            <v>8.63</v>
          </cell>
          <cell r="H65">
            <v>0</v>
          </cell>
          <cell r="I65">
            <v>0</v>
          </cell>
          <cell r="J65">
            <v>0</v>
          </cell>
          <cell r="K65">
            <v>20198</v>
          </cell>
          <cell r="L65">
            <v>32</v>
          </cell>
          <cell r="M65">
            <v>8.63</v>
          </cell>
        </row>
        <row r="66">
          <cell r="A66" t="str">
            <v>DO-YULQ008-Y0-17</v>
          </cell>
          <cell r="B66">
            <v>1400</v>
          </cell>
          <cell r="C66">
            <v>4</v>
          </cell>
          <cell r="D66">
            <v>0.76</v>
          </cell>
          <cell r="E66">
            <v>1400</v>
          </cell>
          <cell r="F66">
            <v>4</v>
          </cell>
          <cell r="G66">
            <v>0.76</v>
          </cell>
          <cell r="H66">
            <v>0</v>
          </cell>
          <cell r="I66">
            <v>0</v>
          </cell>
          <cell r="J66">
            <v>0</v>
          </cell>
          <cell r="K66">
            <v>1400</v>
          </cell>
          <cell r="L66">
            <v>4</v>
          </cell>
          <cell r="M66">
            <v>0.76</v>
          </cell>
        </row>
        <row r="67">
          <cell r="A67" t="str">
            <v>DO-YULQ010-P0-22</v>
          </cell>
          <cell r="B67">
            <v>43019</v>
          </cell>
          <cell r="C67">
            <v>450</v>
          </cell>
          <cell r="D67">
            <v>85.67</v>
          </cell>
          <cell r="E67">
            <v>43268</v>
          </cell>
          <cell r="F67">
            <v>450</v>
          </cell>
          <cell r="G67">
            <v>85.67</v>
          </cell>
          <cell r="H67">
            <v>16366</v>
          </cell>
          <cell r="I67">
            <v>208</v>
          </cell>
          <cell r="J67">
            <v>42.8</v>
          </cell>
          <cell r="K67">
            <v>7931</v>
          </cell>
          <cell r="L67">
            <v>87</v>
          </cell>
          <cell r="M67">
            <v>14.12</v>
          </cell>
        </row>
        <row r="68">
          <cell r="A68" t="str">
            <v>DOLLDRESS-003-PI-M</v>
          </cell>
          <cell r="B68">
            <v>58789</v>
          </cell>
          <cell r="C68">
            <v>186</v>
          </cell>
          <cell r="D68">
            <v>56.72</v>
          </cell>
          <cell r="E68">
            <v>58833</v>
          </cell>
          <cell r="F68">
            <v>186</v>
          </cell>
          <cell r="G68">
            <v>56.72</v>
          </cell>
          <cell r="H68">
            <v>32957</v>
          </cell>
          <cell r="I68">
            <v>90</v>
          </cell>
          <cell r="J68">
            <v>26.69</v>
          </cell>
          <cell r="K68">
            <v>25173</v>
          </cell>
          <cell r="L68">
            <v>85</v>
          </cell>
          <cell r="M68">
            <v>28.35</v>
          </cell>
        </row>
        <row r="69">
          <cell r="A69" t="str">
            <v>DOLLDRESS-003-R2-M</v>
          </cell>
          <cell r="B69">
            <v>10214</v>
          </cell>
          <cell r="C69">
            <v>60</v>
          </cell>
          <cell r="D69">
            <v>17.61</v>
          </cell>
          <cell r="E69">
            <v>10218</v>
          </cell>
          <cell r="F69">
            <v>60</v>
          </cell>
          <cell r="G69">
            <v>17.61</v>
          </cell>
          <cell r="H69">
            <v>4873</v>
          </cell>
          <cell r="I69">
            <v>29</v>
          </cell>
          <cell r="J69">
            <v>8.06</v>
          </cell>
          <cell r="K69">
            <v>5315</v>
          </cell>
          <cell r="L69">
            <v>28</v>
          </cell>
          <cell r="M69">
            <v>9.28</v>
          </cell>
        </row>
        <row r="70">
          <cell r="A70" t="str">
            <v>DOLLDRESS-003-WO-M</v>
          </cell>
          <cell r="B70">
            <v>28299</v>
          </cell>
          <cell r="C70">
            <v>148</v>
          </cell>
          <cell r="D70">
            <v>44.24</v>
          </cell>
          <cell r="E70">
            <v>28299</v>
          </cell>
          <cell r="F70">
            <v>148</v>
          </cell>
          <cell r="G70">
            <v>44.24</v>
          </cell>
          <cell r="H70">
            <v>2781</v>
          </cell>
          <cell r="I70">
            <v>15</v>
          </cell>
          <cell r="J70">
            <v>4.3</v>
          </cell>
          <cell r="K70">
            <v>26761</v>
          </cell>
          <cell r="L70">
            <v>134</v>
          </cell>
          <cell r="M70">
            <v>40.35</v>
          </cell>
        </row>
        <row r="71">
          <cell r="A71" t="str">
            <v>DO-YULQ605-PI-16</v>
          </cell>
          <cell r="B71">
            <v>1116</v>
          </cell>
          <cell r="C71">
            <v>15</v>
          </cell>
          <cell r="D71">
            <v>2.45</v>
          </cell>
          <cell r="E71">
            <v>1116</v>
          </cell>
          <cell r="F71">
            <v>15</v>
          </cell>
          <cell r="G71">
            <v>2.45</v>
          </cell>
          <cell r="H71">
            <v>0</v>
          </cell>
          <cell r="I71">
            <v>0</v>
          </cell>
          <cell r="J71">
            <v>0</v>
          </cell>
          <cell r="K71">
            <v>1134</v>
          </cell>
          <cell r="L71">
            <v>15</v>
          </cell>
          <cell r="M71">
            <v>2.45</v>
          </cell>
        </row>
        <row r="72">
          <cell r="A72" t="str">
            <v>DO-YULQ620-PI-22</v>
          </cell>
          <cell r="B72">
            <v>36965</v>
          </cell>
          <cell r="C72">
            <v>297</v>
          </cell>
          <cell r="D72">
            <v>41.19</v>
          </cell>
          <cell r="E72">
            <v>37153</v>
          </cell>
          <cell r="F72">
            <v>298</v>
          </cell>
          <cell r="G72">
            <v>41.36</v>
          </cell>
          <cell r="H72">
            <v>24958</v>
          </cell>
          <cell r="I72">
            <v>184</v>
          </cell>
          <cell r="J72">
            <v>23.67</v>
          </cell>
          <cell r="K72">
            <v>5897</v>
          </cell>
          <cell r="L72">
            <v>64</v>
          </cell>
          <cell r="M72">
            <v>11.43</v>
          </cell>
        </row>
        <row r="73">
          <cell r="A73" t="str">
            <v>DO-YULQ170-SH-22</v>
          </cell>
          <cell r="B73">
            <v>1776</v>
          </cell>
          <cell r="C73">
            <v>8</v>
          </cell>
          <cell r="D73">
            <v>3.09</v>
          </cell>
          <cell r="E73">
            <v>1831</v>
          </cell>
          <cell r="F73">
            <v>8</v>
          </cell>
          <cell r="G73">
            <v>3.09</v>
          </cell>
          <cell r="H73">
            <v>211</v>
          </cell>
          <cell r="I73">
            <v>0</v>
          </cell>
          <cell r="J73">
            <v>0</v>
          </cell>
          <cell r="K73">
            <v>75</v>
          </cell>
          <cell r="L73">
            <v>1</v>
          </cell>
          <cell r="M73">
            <v>0.25</v>
          </cell>
        </row>
        <row r="74">
          <cell r="A74" t="str">
            <v>DO-YULQ039-R0-22</v>
          </cell>
          <cell r="B74">
            <v>1446</v>
          </cell>
          <cell r="C74">
            <v>15</v>
          </cell>
          <cell r="D74">
            <v>3.4</v>
          </cell>
          <cell r="E74">
            <v>1492</v>
          </cell>
          <cell r="F74">
            <v>15</v>
          </cell>
          <cell r="G74">
            <v>3.4</v>
          </cell>
          <cell r="H74">
            <v>192</v>
          </cell>
          <cell r="I74">
            <v>8</v>
          </cell>
          <cell r="J74">
            <v>0.97</v>
          </cell>
          <cell r="K74">
            <v>82</v>
          </cell>
          <cell r="L74">
            <v>0</v>
          </cell>
          <cell r="M74">
            <v>0</v>
          </cell>
        </row>
        <row r="75">
          <cell r="A75" t="str">
            <v>DO-YULQ504-PI-22</v>
          </cell>
          <cell r="B75">
            <v>1872</v>
          </cell>
          <cell r="C75">
            <v>6</v>
          </cell>
          <cell r="D75">
            <v>2.25</v>
          </cell>
          <cell r="E75">
            <v>1950</v>
          </cell>
          <cell r="F75">
            <v>6</v>
          </cell>
          <cell r="G75">
            <v>2.25</v>
          </cell>
          <cell r="H75">
            <v>179</v>
          </cell>
          <cell r="I75">
            <v>2</v>
          </cell>
          <cell r="J75">
            <v>0.52</v>
          </cell>
          <cell r="K75">
            <v>81</v>
          </cell>
          <cell r="L75">
            <v>0</v>
          </cell>
          <cell r="M75">
            <v>0</v>
          </cell>
        </row>
        <row r="76">
          <cell r="A76" t="str">
            <v>DO-YULQ165-B7-16</v>
          </cell>
          <cell r="B76">
            <v>2394</v>
          </cell>
          <cell r="C76">
            <v>31</v>
          </cell>
          <cell r="D76">
            <v>7.94</v>
          </cell>
          <cell r="E76">
            <v>2404</v>
          </cell>
          <cell r="F76">
            <v>32</v>
          </cell>
          <cell r="G76">
            <v>8.23</v>
          </cell>
          <cell r="H76">
            <v>2210</v>
          </cell>
          <cell r="I76">
            <v>28</v>
          </cell>
          <cell r="J76">
            <v>7.07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DO-YULQ009-PI-16</v>
          </cell>
          <cell r="B77">
            <v>2118</v>
          </cell>
          <cell r="C77">
            <v>29</v>
          </cell>
          <cell r="D77">
            <v>9.99</v>
          </cell>
          <cell r="E77">
            <v>2132</v>
          </cell>
          <cell r="F77">
            <v>29</v>
          </cell>
          <cell r="G77">
            <v>9.99</v>
          </cell>
          <cell r="H77">
            <v>1986</v>
          </cell>
          <cell r="I77">
            <v>29</v>
          </cell>
          <cell r="J77">
            <v>9.99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DO-YULQ187-BR-22</v>
          </cell>
          <cell r="B78">
            <v>1788</v>
          </cell>
          <cell r="C78">
            <v>9</v>
          </cell>
          <cell r="D78">
            <v>3.12</v>
          </cell>
          <cell r="E78">
            <v>1851</v>
          </cell>
          <cell r="F78">
            <v>9</v>
          </cell>
          <cell r="G78">
            <v>3.12</v>
          </cell>
          <cell r="H78">
            <v>887</v>
          </cell>
          <cell r="I78">
            <v>6</v>
          </cell>
          <cell r="J78">
            <v>2.11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DO-YULQ101-PI-22</v>
          </cell>
          <cell r="B79">
            <v>236</v>
          </cell>
          <cell r="C79">
            <v>3</v>
          </cell>
          <cell r="D79">
            <v>0.6</v>
          </cell>
          <cell r="E79">
            <v>236</v>
          </cell>
          <cell r="F79">
            <v>3</v>
          </cell>
          <cell r="G79">
            <v>0.6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DOLL-0630-PI-22</v>
          </cell>
          <cell r="B80">
            <v>23482</v>
          </cell>
          <cell r="C80">
            <v>119</v>
          </cell>
          <cell r="D80">
            <v>16.6</v>
          </cell>
          <cell r="E80">
            <v>23482</v>
          </cell>
          <cell r="F80">
            <v>119</v>
          </cell>
          <cell r="G80">
            <v>16.6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DOLL-008-W0-22</v>
          </cell>
          <cell r="B81">
            <v>8505</v>
          </cell>
          <cell r="C81">
            <v>97</v>
          </cell>
          <cell r="D81">
            <v>12.73</v>
          </cell>
          <cell r="E81">
            <v>8505</v>
          </cell>
          <cell r="F81">
            <v>97</v>
          </cell>
          <cell r="G81">
            <v>12.73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DO-YULQ610-R2-22</v>
          </cell>
          <cell r="B82">
            <v>15876</v>
          </cell>
          <cell r="C82">
            <v>99</v>
          </cell>
          <cell r="D82">
            <v>13.3</v>
          </cell>
          <cell r="E82">
            <v>15876</v>
          </cell>
          <cell r="F82">
            <v>99</v>
          </cell>
          <cell r="G82">
            <v>13.3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DO-YULQ639-LGR-22</v>
          </cell>
          <cell r="B83">
            <v>2</v>
          </cell>
          <cell r="C83">
            <v>0</v>
          </cell>
          <cell r="D83">
            <v>0</v>
          </cell>
          <cell r="E83">
            <v>2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DOLL-006-PI-10</v>
          </cell>
          <cell r="B84">
            <v>16294</v>
          </cell>
          <cell r="C84">
            <v>84</v>
          </cell>
          <cell r="D84">
            <v>15.06</v>
          </cell>
          <cell r="E84">
            <v>16294</v>
          </cell>
          <cell r="F84">
            <v>84</v>
          </cell>
          <cell r="G84">
            <v>15.06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DO-YULQ105-R2-22</v>
          </cell>
          <cell r="B85">
            <v>18799</v>
          </cell>
          <cell r="C85">
            <v>117</v>
          </cell>
          <cell r="D85">
            <v>18.87</v>
          </cell>
          <cell r="E85">
            <v>18799</v>
          </cell>
          <cell r="F85">
            <v>117</v>
          </cell>
          <cell r="G85">
            <v>18.87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DO-YULQ605-PI-22</v>
          </cell>
          <cell r="B86">
            <v>19073</v>
          </cell>
          <cell r="C86">
            <v>249</v>
          </cell>
          <cell r="D86">
            <v>36.43</v>
          </cell>
          <cell r="E86">
            <v>19073</v>
          </cell>
          <cell r="F86">
            <v>249</v>
          </cell>
          <cell r="G86">
            <v>36.43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DO-YULQ173-B7-22</v>
          </cell>
          <cell r="B87">
            <v>23998</v>
          </cell>
          <cell r="C87">
            <v>138</v>
          </cell>
          <cell r="D87">
            <v>19.3</v>
          </cell>
          <cell r="E87">
            <v>23998</v>
          </cell>
          <cell r="F87">
            <v>138</v>
          </cell>
          <cell r="G87">
            <v>19.3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DO-YULQ081-PI-10</v>
          </cell>
          <cell r="B88">
            <v>6210</v>
          </cell>
          <cell r="C88">
            <v>29</v>
          </cell>
          <cell r="D88">
            <v>5.28</v>
          </cell>
          <cell r="E88">
            <v>6210</v>
          </cell>
          <cell r="F88">
            <v>29</v>
          </cell>
          <cell r="G88">
            <v>5.28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DO-YULQ111-PI-22</v>
          </cell>
          <cell r="B89">
            <v>20780</v>
          </cell>
          <cell r="C89">
            <v>97</v>
          </cell>
          <cell r="D89">
            <v>16.25</v>
          </cell>
          <cell r="E89">
            <v>20780</v>
          </cell>
          <cell r="F89">
            <v>97</v>
          </cell>
          <cell r="G89">
            <v>16.25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DO-YULQ721-PI-16</v>
          </cell>
          <cell r="B90">
            <v>193</v>
          </cell>
          <cell r="C90">
            <v>1</v>
          </cell>
          <cell r="D90">
            <v>0.74</v>
          </cell>
          <cell r="E90">
            <v>204</v>
          </cell>
          <cell r="F90">
            <v>1</v>
          </cell>
          <cell r="G90">
            <v>0.74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DO-YULQ719-B7-16</v>
          </cell>
          <cell r="B91">
            <v>173</v>
          </cell>
          <cell r="C91">
            <v>2</v>
          </cell>
          <cell r="D91">
            <v>0.64</v>
          </cell>
          <cell r="E91">
            <v>187</v>
          </cell>
          <cell r="F91">
            <v>2</v>
          </cell>
          <cell r="G91">
            <v>0.64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DO-YULQ720-W0-16</v>
          </cell>
          <cell r="B92">
            <v>262</v>
          </cell>
          <cell r="C92">
            <v>5</v>
          </cell>
          <cell r="D92">
            <v>2.06</v>
          </cell>
          <cell r="E92">
            <v>269</v>
          </cell>
          <cell r="F92">
            <v>5</v>
          </cell>
          <cell r="G92">
            <v>2.06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DO-YULQ018-P4-16</v>
          </cell>
          <cell r="B93">
            <v>4303</v>
          </cell>
          <cell r="C93">
            <v>13</v>
          </cell>
          <cell r="D93">
            <v>4.69</v>
          </cell>
          <cell r="E93">
            <v>4470</v>
          </cell>
          <cell r="F93">
            <v>13</v>
          </cell>
          <cell r="G93">
            <v>4.69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DO-YULQ009-PI-16</v>
          </cell>
          <cell r="B88" t="str">
            <v>DO-YULQ009</v>
          </cell>
        </row>
        <row r="89">
          <cell r="A89" t="str">
            <v>DO-YULQ010-NZ-22</v>
          </cell>
          <cell r="B89" t="str">
            <v>DO-YULQ010</v>
          </cell>
        </row>
        <row r="90">
          <cell r="A90" t="str">
            <v>DO-YULQ010-P0-22</v>
          </cell>
          <cell r="B90" t="str">
            <v>DO-YULQ010</v>
          </cell>
        </row>
        <row r="91">
          <cell r="A91" t="str">
            <v>DO-YULQ010-PI-15</v>
          </cell>
          <cell r="B91" t="str">
            <v>DO-YULQ010</v>
          </cell>
        </row>
        <row r="92">
          <cell r="A92" t="str">
            <v>DO-YULQ010-PI-22</v>
          </cell>
          <cell r="B92" t="str">
            <v>DO-YULQ010</v>
          </cell>
        </row>
        <row r="93">
          <cell r="A93" t="str">
            <v>DO-YULQ010-R2-22</v>
          </cell>
          <cell r="B93" t="str">
            <v>DO-YULQ010</v>
          </cell>
        </row>
        <row r="94">
          <cell r="A94" t="str">
            <v>DO-YULQ011-NZ-22</v>
          </cell>
          <cell r="B94" t="str">
            <v>DO-YULQ011</v>
          </cell>
        </row>
        <row r="95">
          <cell r="A95" t="str">
            <v>DO-YULQ012-PI-22</v>
          </cell>
          <cell r="B95" t="str">
            <v>DO-YULQ012</v>
          </cell>
        </row>
        <row r="96">
          <cell r="A96" t="str">
            <v>DO-YULQ017-B0-18</v>
          </cell>
          <cell r="B96" t="str">
            <v>DO-YULQ017</v>
          </cell>
        </row>
        <row r="97">
          <cell r="A97" t="str">
            <v>DO-YULQ017-P4-16</v>
          </cell>
          <cell r="B97" t="str">
            <v>DO-YULQ017</v>
          </cell>
        </row>
        <row r="98">
          <cell r="A98" t="str">
            <v>DO-YULQ018-B0-18</v>
          </cell>
          <cell r="B98" t="str">
            <v>DO-YULQ018</v>
          </cell>
        </row>
        <row r="99">
          <cell r="A99" t="str">
            <v>DO-YULQ018-P4-16</v>
          </cell>
          <cell r="B99" t="str">
            <v>DO-YULQ018</v>
          </cell>
        </row>
        <row r="100">
          <cell r="A100" t="str">
            <v>DO-YULQ021-PI-22</v>
          </cell>
          <cell r="B100" t="str">
            <v>DO-YULQ021</v>
          </cell>
        </row>
        <row r="101">
          <cell r="A101" t="str">
            <v>DO-YULQ021-W0-22</v>
          </cell>
          <cell r="B101" t="str">
            <v>DO-YULQ021</v>
          </cell>
        </row>
        <row r="102">
          <cell r="A102" t="str">
            <v>DO-YULQ039-R0-22</v>
          </cell>
          <cell r="B102" t="str">
            <v>DO-YULQ039</v>
          </cell>
        </row>
        <row r="103">
          <cell r="A103" t="str">
            <v>DO-YULQ042-W0-22</v>
          </cell>
          <cell r="B103" t="str">
            <v>DO-YULQ042</v>
          </cell>
        </row>
        <row r="104">
          <cell r="A104" t="str">
            <v>DO-YULQ057-BR-10</v>
          </cell>
          <cell r="B104" t="str">
            <v>DO-YULQ057</v>
          </cell>
        </row>
        <row r="105">
          <cell r="A105" t="str">
            <v>DO-YULQ057-SH-10</v>
          </cell>
          <cell r="B105" t="str">
            <v>DO-YULQ057</v>
          </cell>
        </row>
        <row r="106">
          <cell r="A106" t="str">
            <v>DO-YULQ058-BR-10</v>
          </cell>
          <cell r="B106" t="str">
            <v>DO-YULQ058</v>
          </cell>
        </row>
        <row r="107">
          <cell r="A107" t="str">
            <v>DO-YULQ058-SH-10</v>
          </cell>
          <cell r="B107" t="str">
            <v>DO-YULQ058</v>
          </cell>
        </row>
        <row r="108">
          <cell r="A108" t="str">
            <v>DO-YULQ060-LGR-22</v>
          </cell>
          <cell r="B108" t="str">
            <v>DO-YULQ060</v>
          </cell>
        </row>
        <row r="109">
          <cell r="A109" t="str">
            <v>DO-YULQ061-LGR-22</v>
          </cell>
          <cell r="B109" t="str">
            <v>DO-YULQ061</v>
          </cell>
        </row>
        <row r="110">
          <cell r="A110" t="str">
            <v>DO-YULQ061-W0-22</v>
          </cell>
          <cell r="B110" t="str">
            <v>DO-YULQ061</v>
          </cell>
        </row>
        <row r="111">
          <cell r="A111" t="str">
            <v>DO-YULQ062-PI-22</v>
          </cell>
          <cell r="B111" t="str">
            <v>DO-YULQ062</v>
          </cell>
        </row>
        <row r="112">
          <cell r="A112" t="str">
            <v>DO-YULQ063-PI-22</v>
          </cell>
          <cell r="B112" t="str">
            <v>DO-YULQ063</v>
          </cell>
        </row>
        <row r="113">
          <cell r="A113" t="str">
            <v>DO-YULQ064-X0-22</v>
          </cell>
          <cell r="B113" t="str">
            <v>DO-YULQ064</v>
          </cell>
        </row>
        <row r="114">
          <cell r="A114" t="str">
            <v>DO-YULQ070-PI-16</v>
          </cell>
          <cell r="B114" t="str">
            <v>DO-YULQ070</v>
          </cell>
        </row>
        <row r="115">
          <cell r="A115" t="str">
            <v>DO-YULQ071-B7-16</v>
          </cell>
          <cell r="B115" t="str">
            <v>DO-YULQ071</v>
          </cell>
        </row>
        <row r="116">
          <cell r="A116" t="str">
            <v>DO-YULQ071-PI-16</v>
          </cell>
          <cell r="B116" t="str">
            <v>DO-YULQ071</v>
          </cell>
        </row>
        <row r="117">
          <cell r="A117" t="str">
            <v>DO-YULQ072-LGR-22</v>
          </cell>
          <cell r="B117" t="str">
            <v>DO-YULQ072</v>
          </cell>
        </row>
        <row r="118">
          <cell r="A118" t="str">
            <v>DO-YULQ073-LGR-22</v>
          </cell>
          <cell r="B118" t="str">
            <v>DO-YULQ073</v>
          </cell>
        </row>
        <row r="119">
          <cell r="A119" t="str">
            <v>DO-YULQ080-B7-10</v>
          </cell>
          <cell r="B119" t="str">
            <v>DO-YULQ080</v>
          </cell>
        </row>
        <row r="120">
          <cell r="A120" t="str">
            <v>DO-YULQ080-PI-10</v>
          </cell>
          <cell r="B120" t="str">
            <v>DO-YULQ080</v>
          </cell>
        </row>
        <row r="121">
          <cell r="A121" t="str">
            <v>DO-YULQ081-B7-10</v>
          </cell>
          <cell r="B121" t="str">
            <v>DO-YULQ081</v>
          </cell>
        </row>
        <row r="122">
          <cell r="A122" t="str">
            <v>DO-YULQ081-PI-10</v>
          </cell>
          <cell r="B122" t="str">
            <v>DO-YULQ081</v>
          </cell>
        </row>
        <row r="123">
          <cell r="A123" t="str">
            <v>DO-YULQ100-B7-22</v>
          </cell>
          <cell r="B123" t="str">
            <v>DO-YULQ100</v>
          </cell>
        </row>
        <row r="124">
          <cell r="A124" t="str">
            <v>DO-YULQ100-G0-10</v>
          </cell>
          <cell r="B124" t="str">
            <v>DO-YULQ100</v>
          </cell>
        </row>
        <row r="125">
          <cell r="A125" t="str">
            <v>DO-YULQ100-R0-10</v>
          </cell>
          <cell r="B125" t="str">
            <v>DO-YULQ100</v>
          </cell>
        </row>
        <row r="126">
          <cell r="A126" t="str">
            <v>DO-YULQ101-PI-22</v>
          </cell>
          <cell r="B126" t="str">
            <v>DO-YULQ101</v>
          </cell>
        </row>
        <row r="127">
          <cell r="A127" t="str">
            <v>DO-YULQ105-PI-22</v>
          </cell>
          <cell r="B127" t="str">
            <v>DO-YULQ105</v>
          </cell>
        </row>
        <row r="128">
          <cell r="A128" t="str">
            <v>DO-YULQ105-R2-22</v>
          </cell>
          <cell r="B128" t="str">
            <v>DO-YULQ105</v>
          </cell>
        </row>
        <row r="129">
          <cell r="A129" t="str">
            <v>DO-YULQ106-PI-22</v>
          </cell>
          <cell r="B129" t="str">
            <v>DO-YULQ106</v>
          </cell>
        </row>
        <row r="130">
          <cell r="A130" t="str">
            <v>DO-YULQ107-PI-22</v>
          </cell>
          <cell r="B130" t="str">
            <v>DO-YULQ107</v>
          </cell>
        </row>
        <row r="131">
          <cell r="A131" t="str">
            <v>DO-YULQ110-R2-22</v>
          </cell>
          <cell r="B131" t="str">
            <v>DO-YULQ110</v>
          </cell>
        </row>
        <row r="132">
          <cell r="A132" t="str">
            <v>DO-YULQ111-PI-22</v>
          </cell>
          <cell r="B132" t="str">
            <v>DO-YULQ111</v>
          </cell>
        </row>
        <row r="133">
          <cell r="A133" t="str">
            <v>DO-YULQ111-R2-22</v>
          </cell>
          <cell r="B133" t="str">
            <v>DO-YULQ111</v>
          </cell>
        </row>
        <row r="134">
          <cell r="A134" t="str">
            <v>DO-YULQ115-R2-22</v>
          </cell>
          <cell r="B134" t="str">
            <v>DO-YULQ115</v>
          </cell>
        </row>
        <row r="135">
          <cell r="A135" t="str">
            <v>DO-YULQ121-PI-22</v>
          </cell>
          <cell r="B135" t="str">
            <v>DO-YULQ121</v>
          </cell>
        </row>
        <row r="136">
          <cell r="A136" t="str">
            <v>DO-YULQ122-FB-22</v>
          </cell>
          <cell r="B136" t="str">
            <v>DO-YULQ122</v>
          </cell>
        </row>
        <row r="137">
          <cell r="A137" t="str">
            <v>DO-YULQ123-FB-22</v>
          </cell>
          <cell r="B137" t="str">
            <v>DO-YULQ123</v>
          </cell>
        </row>
        <row r="138">
          <cell r="A138" t="str">
            <v>DO-YULQ123-W0-22</v>
          </cell>
          <cell r="B138" t="str">
            <v>DO-YULQ123</v>
          </cell>
        </row>
        <row r="139">
          <cell r="A139" t="str">
            <v>DO-YULQ149-B7-18</v>
          </cell>
          <cell r="B139" t="str">
            <v>DO-YULQ149</v>
          </cell>
        </row>
        <row r="140">
          <cell r="A140" t="str">
            <v>DO-YULQ150-B7-18</v>
          </cell>
          <cell r="B140" t="str">
            <v>DO-YULQ150</v>
          </cell>
        </row>
        <row r="141">
          <cell r="A141" t="str">
            <v>DO-YULQ150-B7-22</v>
          </cell>
          <cell r="B141" t="str">
            <v>DO-YULQ150</v>
          </cell>
        </row>
        <row r="142">
          <cell r="A142" t="str">
            <v>DO-YULQ150-K0-22</v>
          </cell>
          <cell r="B142" t="str">
            <v>DO-YULQ150</v>
          </cell>
        </row>
        <row r="143">
          <cell r="A143" t="str">
            <v>DO-YULQ150-PI-20</v>
          </cell>
          <cell r="B143" t="str">
            <v>DO-YULQ150</v>
          </cell>
        </row>
        <row r="144">
          <cell r="A144" t="str">
            <v>DO-YULQ150-R2-22</v>
          </cell>
          <cell r="B144" t="str">
            <v>DO-YULQ150</v>
          </cell>
        </row>
        <row r="145">
          <cell r="A145" t="str">
            <v>DO-YULQ151-W0-16</v>
          </cell>
          <cell r="B145" t="str">
            <v>DO-YULQ151</v>
          </cell>
        </row>
        <row r="146">
          <cell r="A146" t="str">
            <v>DO-YULQ152-B7-22</v>
          </cell>
          <cell r="B146" t="str">
            <v>DO-YULQ152</v>
          </cell>
        </row>
        <row r="147">
          <cell r="A147" t="str">
            <v>DO-YULQ152-Z1-22</v>
          </cell>
          <cell r="B147" t="str">
            <v>DO-YULQ152</v>
          </cell>
        </row>
        <row r="148">
          <cell r="A148" t="str">
            <v>DO-YULQ153-B7-22</v>
          </cell>
          <cell r="B148" t="str">
            <v>DO-YULQ153</v>
          </cell>
        </row>
        <row r="149">
          <cell r="A149" t="str">
            <v>DO-YULQ153-TW-20</v>
          </cell>
          <cell r="B149" t="str">
            <v>DO-YULQ153</v>
          </cell>
        </row>
        <row r="150">
          <cell r="A150" t="str">
            <v>DO-YULQ157-W0-22</v>
          </cell>
          <cell r="B150" t="str">
            <v>DO-YULQ157</v>
          </cell>
        </row>
        <row r="151">
          <cell r="A151" t="str">
            <v>DO-YULQ158-W0-22</v>
          </cell>
          <cell r="B151" t="str">
            <v>DO-YULQ158</v>
          </cell>
        </row>
        <row r="152">
          <cell r="A152" t="str">
            <v>DO-YULQ159-R2-22</v>
          </cell>
          <cell r="B152" t="str">
            <v>DO-YULQ159</v>
          </cell>
        </row>
        <row r="153">
          <cell r="A153" t="str">
            <v>DO-YULQ161-B7-16</v>
          </cell>
          <cell r="B153" t="str">
            <v>DO-YULQ161</v>
          </cell>
        </row>
        <row r="154">
          <cell r="A154" t="str">
            <v>DO-YULQ161-B7-22</v>
          </cell>
          <cell r="B154" t="str">
            <v>DO-YULQ161</v>
          </cell>
        </row>
        <row r="155">
          <cell r="A155" t="str">
            <v>DO-YULQ161-G0-16</v>
          </cell>
          <cell r="B155" t="str">
            <v>DO-YULQ161</v>
          </cell>
        </row>
        <row r="156">
          <cell r="A156" t="str">
            <v>DO-YULQ161-PI-16</v>
          </cell>
          <cell r="B156" t="str">
            <v>DO-YULQ161</v>
          </cell>
        </row>
        <row r="157">
          <cell r="A157" t="str">
            <v>DO-YULQ161-PI-22</v>
          </cell>
          <cell r="B157" t="str">
            <v>DO-YULQ161</v>
          </cell>
        </row>
        <row r="158">
          <cell r="A158" t="str">
            <v>DO-YULQ162-PI-16</v>
          </cell>
          <cell r="B158" t="str">
            <v>DO-YULQ162</v>
          </cell>
        </row>
        <row r="159">
          <cell r="A159" t="str">
            <v>DO-YULQ163-B7-22</v>
          </cell>
          <cell r="B159" t="str">
            <v>DO-YULQ163</v>
          </cell>
        </row>
        <row r="160">
          <cell r="A160" t="str">
            <v>DO-YULQ163-PI-22</v>
          </cell>
          <cell r="B160" t="str">
            <v>DO-YULQ163</v>
          </cell>
        </row>
        <row r="161">
          <cell r="A161" t="str">
            <v>DO-YULQ165-B7-16</v>
          </cell>
          <cell r="B161" t="str">
            <v>DO-YULQ165</v>
          </cell>
        </row>
        <row r="162">
          <cell r="A162" t="str">
            <v>DO-YULQ165-PI-16</v>
          </cell>
          <cell r="B162" t="str">
            <v>DO-YULQ165</v>
          </cell>
        </row>
        <row r="163">
          <cell r="A163" t="str">
            <v>DO-YULQ170-LGR-22</v>
          </cell>
          <cell r="B163" t="str">
            <v>DO-YULQ170</v>
          </cell>
        </row>
        <row r="164">
          <cell r="A164" t="str">
            <v>DO-YULQ170-SH-22</v>
          </cell>
          <cell r="B164" t="str">
            <v>DO-YULQ170</v>
          </cell>
        </row>
        <row r="165">
          <cell r="A165" t="str">
            <v>DO-YULQ171-B0-22</v>
          </cell>
          <cell r="B165" t="str">
            <v>DO-YULQ171</v>
          </cell>
        </row>
        <row r="166">
          <cell r="A166" t="str">
            <v>DO-YULQ171-BD-22</v>
          </cell>
          <cell r="B166" t="str">
            <v>DO-YULQ171</v>
          </cell>
        </row>
        <row r="167">
          <cell r="A167" t="str">
            <v>DO-YULQ171-LGR-22</v>
          </cell>
          <cell r="B167" t="str">
            <v>DO-YULQ171</v>
          </cell>
        </row>
        <row r="168">
          <cell r="A168" t="str">
            <v>DO-YULQ172-BD-22</v>
          </cell>
          <cell r="B168" t="str">
            <v>DO-YULQ172</v>
          </cell>
        </row>
        <row r="169">
          <cell r="A169" t="str">
            <v>DO-YULQ173-B7-22</v>
          </cell>
          <cell r="B169" t="str">
            <v>DO-YULQ173</v>
          </cell>
        </row>
        <row r="170">
          <cell r="A170" t="str">
            <v>DO-YULQ187-BR-22</v>
          </cell>
          <cell r="B170" t="str">
            <v>DO-YULQ187</v>
          </cell>
        </row>
        <row r="171">
          <cell r="A171" t="str">
            <v>DO-YULQ188-PI-22</v>
          </cell>
          <cell r="B171" t="str">
            <v>DO-YULQ188</v>
          </cell>
        </row>
        <row r="172">
          <cell r="A172" t="str">
            <v>DO-YULQ189-PI-22</v>
          </cell>
          <cell r="B172" t="str">
            <v>DO-YULQ189</v>
          </cell>
        </row>
        <row r="173">
          <cell r="A173" t="str">
            <v>DO-YULQ190-B7-22</v>
          </cell>
          <cell r="B173" t="str">
            <v>DO-YULQ190</v>
          </cell>
        </row>
        <row r="174">
          <cell r="A174" t="str">
            <v>DO-YULQ191-E0-22</v>
          </cell>
          <cell r="B174" t="str">
            <v>DO-YULQ191</v>
          </cell>
        </row>
        <row r="175">
          <cell r="A175" t="str">
            <v>DO-YULQ192-G0-22</v>
          </cell>
          <cell r="B175" t="str">
            <v>DO-YULQ192</v>
          </cell>
        </row>
        <row r="176">
          <cell r="A176" t="str">
            <v>DO-YULQ193-PI-24</v>
          </cell>
          <cell r="B176" t="str">
            <v>DO-YULQ193</v>
          </cell>
        </row>
        <row r="177">
          <cell r="A177" t="str">
            <v>DO-YULQ194-R0-24</v>
          </cell>
          <cell r="B177" t="str">
            <v>DO-YULQ194</v>
          </cell>
        </row>
        <row r="178">
          <cell r="A178" t="str">
            <v>DO-YULQ195-R0-24</v>
          </cell>
          <cell r="B178" t="str">
            <v>DO-YULQ195</v>
          </cell>
        </row>
        <row r="179">
          <cell r="A179" t="str">
            <v>DO-YULQ196-PI-24</v>
          </cell>
          <cell r="B179" t="str">
            <v>DO-YULQ196</v>
          </cell>
        </row>
        <row r="180">
          <cell r="A180" t="str">
            <v>DO-YULQ200-PI-10</v>
          </cell>
          <cell r="B180" t="str">
            <v>DO-YULQ200</v>
          </cell>
        </row>
        <row r="181">
          <cell r="A181" t="str">
            <v>DO-YULQ200-W0-10</v>
          </cell>
          <cell r="B181" t="str">
            <v>DO-YULQ200</v>
          </cell>
        </row>
        <row r="182">
          <cell r="A182" t="str">
            <v>DO-YULQ202-P4-22</v>
          </cell>
          <cell r="B182" t="str">
            <v>DO-YULQ202</v>
          </cell>
        </row>
        <row r="183">
          <cell r="A183" t="str">
            <v>DO-YULQ203-P4-22</v>
          </cell>
          <cell r="B183" t="str">
            <v>DO-YULQ203</v>
          </cell>
        </row>
        <row r="184">
          <cell r="A184" t="str">
            <v>DO-YULQ220-R2-22</v>
          </cell>
          <cell r="B184" t="str">
            <v>DO-YULQ220</v>
          </cell>
        </row>
        <row r="185">
          <cell r="A185" t="str">
            <v>DO-YULQ229-PI-16</v>
          </cell>
          <cell r="B185" t="str">
            <v>DO-YULQ229</v>
          </cell>
        </row>
        <row r="186">
          <cell r="A186" t="str">
            <v>DO-YULQ230-PI-16</v>
          </cell>
          <cell r="B186" t="str">
            <v>DO-YULQ230</v>
          </cell>
        </row>
        <row r="187">
          <cell r="A187" t="str">
            <v>DO-YULQ232-W0-10</v>
          </cell>
          <cell r="B187" t="str">
            <v>DO-YULQ232</v>
          </cell>
        </row>
        <row r="188">
          <cell r="A188" t="str">
            <v>DO-YULQ259-PI-20</v>
          </cell>
          <cell r="B188" t="str">
            <v>DO-YULQ259</v>
          </cell>
        </row>
        <row r="189">
          <cell r="A189" t="str">
            <v>DO-YULQ259-PI-22</v>
          </cell>
          <cell r="B189" t="str">
            <v>DO-YULQ259</v>
          </cell>
        </row>
        <row r="190">
          <cell r="A190" t="str">
            <v>DO-YULQ330-PI-18</v>
          </cell>
          <cell r="B190" t="str">
            <v>DO-YULQ330</v>
          </cell>
        </row>
        <row r="191">
          <cell r="A191" t="str">
            <v>DO-YULQ331-LGR-20</v>
          </cell>
          <cell r="B191" t="str">
            <v>DO-YULQ331</v>
          </cell>
        </row>
        <row r="192">
          <cell r="A192" t="str">
            <v>DO-YULQ332-LGR-20</v>
          </cell>
          <cell r="B192" t="str">
            <v>DO-YULQ332</v>
          </cell>
        </row>
        <row r="193">
          <cell r="A193" t="str">
            <v>DO-YULQ349-PI-22</v>
          </cell>
          <cell r="B193" t="str">
            <v>DO-YULQ349</v>
          </cell>
        </row>
        <row r="194">
          <cell r="A194" t="str">
            <v>DO-YULQ350-PI-22</v>
          </cell>
          <cell r="B194" t="str">
            <v>DO-YULQ350</v>
          </cell>
        </row>
        <row r="195">
          <cell r="A195" t="str">
            <v>DO-YULQ372-R0-22</v>
          </cell>
          <cell r="B195" t="str">
            <v>DO-YULQ372</v>
          </cell>
        </row>
        <row r="196">
          <cell r="A196" t="str">
            <v>DO-YULQ504-PI-22</v>
          </cell>
          <cell r="B196" t="str">
            <v>DO-YULQ504</v>
          </cell>
        </row>
        <row r="197">
          <cell r="A197" t="str">
            <v>DO-YULQ507-PI-24</v>
          </cell>
          <cell r="B197" t="str">
            <v>DO-YULQ507</v>
          </cell>
        </row>
        <row r="198">
          <cell r="A198" t="str">
            <v>DO-YULQ516-B0-22</v>
          </cell>
          <cell r="B198" t="str">
            <v>DO-YULQ516</v>
          </cell>
        </row>
        <row r="199">
          <cell r="A199" t="str">
            <v>DO-YULQ601-PI-22</v>
          </cell>
          <cell r="B199" t="str">
            <v>DO-YULQ601</v>
          </cell>
        </row>
        <row r="200">
          <cell r="A200" t="str">
            <v>DO-YULQ602-PI-22</v>
          </cell>
          <cell r="B200" t="str">
            <v>DO-YULQ602</v>
          </cell>
        </row>
        <row r="201">
          <cell r="A201" t="str">
            <v>DO-YULQ602-R2-15</v>
          </cell>
          <cell r="B201" t="str">
            <v>DO-YULQ602</v>
          </cell>
        </row>
        <row r="202">
          <cell r="A202" t="str">
            <v>DO-YULQ603-PI-22</v>
          </cell>
          <cell r="B202" t="str">
            <v>DO-YULQ603</v>
          </cell>
        </row>
        <row r="203">
          <cell r="A203" t="str">
            <v>DO-YULQ604-PI-22</v>
          </cell>
          <cell r="B203" t="str">
            <v>DO-YULQ604</v>
          </cell>
        </row>
        <row r="204">
          <cell r="A204" t="str">
            <v>DO-YULQ605-PI-16</v>
          </cell>
          <cell r="B204" t="str">
            <v>DO-YULQ605</v>
          </cell>
        </row>
        <row r="205">
          <cell r="A205" t="str">
            <v>DO-YULQ605-PI-22</v>
          </cell>
          <cell r="B205" t="str">
            <v>DO-YULQ605</v>
          </cell>
        </row>
        <row r="206">
          <cell r="A206" t="str">
            <v>DO-YULQ606-W0-22</v>
          </cell>
          <cell r="B206" t="str">
            <v>DO-YULQ606</v>
          </cell>
        </row>
        <row r="207">
          <cell r="A207" t="str">
            <v>DO-YULQ609-R2-22</v>
          </cell>
          <cell r="B207" t="str">
            <v>DO-YULQ609</v>
          </cell>
        </row>
        <row r="208">
          <cell r="A208" t="str">
            <v>DO-YULQ610-R2-22</v>
          </cell>
          <cell r="B208" t="str">
            <v>DO-YULQ610</v>
          </cell>
        </row>
        <row r="209">
          <cell r="A209" t="str">
            <v>DO-YULQ610-TW-22</v>
          </cell>
          <cell r="B209" t="str">
            <v>DO-YULQ610</v>
          </cell>
        </row>
        <row r="210">
          <cell r="A210" t="str">
            <v>DO-YULQ611-TW-22</v>
          </cell>
          <cell r="B210" t="str">
            <v>DO-YULQ611</v>
          </cell>
        </row>
        <row r="211">
          <cell r="A211" t="str">
            <v>DO-YULQ620-NZ-22</v>
          </cell>
          <cell r="B211" t="str">
            <v>DO-YULQ620</v>
          </cell>
        </row>
        <row r="212">
          <cell r="A212" t="str">
            <v>DO-YULQ620-PI-22</v>
          </cell>
          <cell r="B212" t="str">
            <v>DO-YULQ620</v>
          </cell>
        </row>
        <row r="213">
          <cell r="A213" t="str">
            <v>DO-YULQ630-R2-15</v>
          </cell>
          <cell r="B213" t="str">
            <v>DO-YULQ630</v>
          </cell>
        </row>
        <row r="214">
          <cell r="A214" t="str">
            <v>DO-YULQ631-R2-22</v>
          </cell>
          <cell r="B214" t="str">
            <v>DO-YULQ631</v>
          </cell>
        </row>
        <row r="215">
          <cell r="A215" t="str">
            <v>DO-YULQ637-B7-20</v>
          </cell>
          <cell r="B215" t="str">
            <v>DO-YULQ637</v>
          </cell>
        </row>
        <row r="216">
          <cell r="A216" t="str">
            <v>DO-YULQ637-PI-20</v>
          </cell>
          <cell r="B216" t="str">
            <v>DO-YULQ637</v>
          </cell>
        </row>
        <row r="217">
          <cell r="A217" t="str">
            <v>DO-YULQ638-B7-20</v>
          </cell>
          <cell r="B217" t="str">
            <v>DO-YULQ638</v>
          </cell>
        </row>
        <row r="218">
          <cell r="A218" t="str">
            <v>DO-YULQ638-LGR-20</v>
          </cell>
          <cell r="B218" t="str">
            <v>DO-YULQ638</v>
          </cell>
        </row>
        <row r="219">
          <cell r="A219" t="str">
            <v>DO-YULQ638-PI-20</v>
          </cell>
          <cell r="B219" t="str">
            <v>DO-YULQ638</v>
          </cell>
        </row>
        <row r="220">
          <cell r="A220" t="str">
            <v>DO-YULQ639-LGR-22</v>
          </cell>
          <cell r="B220" t="str">
            <v>DO-YULQ639</v>
          </cell>
        </row>
        <row r="221">
          <cell r="A221" t="str">
            <v>DO-YULQ639-R2-22</v>
          </cell>
          <cell r="B221" t="str">
            <v>DO-YULQ639</v>
          </cell>
        </row>
        <row r="222">
          <cell r="A222" t="str">
            <v>DO-YULQ662-PI-15</v>
          </cell>
          <cell r="B222" t="str">
            <v>DO-YULQ662</v>
          </cell>
        </row>
        <row r="223">
          <cell r="A223" t="str">
            <v>DO-YULQ663-PI-15</v>
          </cell>
          <cell r="B223" t="str">
            <v>DO-YULQ663</v>
          </cell>
        </row>
        <row r="224">
          <cell r="A224" t="str">
            <v>DO-YULQ664-AX-16</v>
          </cell>
          <cell r="B224" t="str">
            <v>DO-YULQ664</v>
          </cell>
        </row>
        <row r="225">
          <cell r="A225" t="str">
            <v>DO-YULQ698-W0-22</v>
          </cell>
          <cell r="B225" t="str">
            <v>DO-YULQ698</v>
          </cell>
        </row>
        <row r="226">
          <cell r="A226" t="str">
            <v>DO-YULQ699-B7-11</v>
          </cell>
          <cell r="B226" t="str">
            <v>DO-YULQ699</v>
          </cell>
        </row>
        <row r="227">
          <cell r="A227" t="str">
            <v>DO-YULQ699-B7-22</v>
          </cell>
          <cell r="B227" t="str">
            <v>DO-YULQ699</v>
          </cell>
        </row>
        <row r="228">
          <cell r="A228" t="str">
            <v>DO-YULQ699-PI-22</v>
          </cell>
          <cell r="B228" t="str">
            <v>DO-YULQ699</v>
          </cell>
        </row>
        <row r="229">
          <cell r="A229" t="str">
            <v>DO-YULQ700-PI-22</v>
          </cell>
          <cell r="B229" t="str">
            <v>DO-YULQ700</v>
          </cell>
        </row>
        <row r="230">
          <cell r="A230" t="str">
            <v>DO-YULQ700-W0-22</v>
          </cell>
          <cell r="B230" t="str">
            <v>DO-YULQ700</v>
          </cell>
        </row>
        <row r="231">
          <cell r="A231" t="str">
            <v>DO-YULQ701-PI-22</v>
          </cell>
          <cell r="B231" t="str">
            <v>DO-YULQ701</v>
          </cell>
        </row>
        <row r="232">
          <cell r="A232" t="str">
            <v>DO-YULQ702-PI-22</v>
          </cell>
          <cell r="B232" t="str">
            <v>DO-YULQ702</v>
          </cell>
        </row>
        <row r="233">
          <cell r="A233" t="str">
            <v>DO-YULQ703-PI-22</v>
          </cell>
          <cell r="B233" t="str">
            <v>DO-YULQ703</v>
          </cell>
        </row>
        <row r="234">
          <cell r="A234" t="str">
            <v>DO-YULQ704-B0-24</v>
          </cell>
          <cell r="B234" t="str">
            <v>DO-YULQ704</v>
          </cell>
        </row>
        <row r="235">
          <cell r="A235" t="str">
            <v>DO-YULQ705-0R-10</v>
          </cell>
          <cell r="B235" t="str">
            <v>DO-YULQ705</v>
          </cell>
        </row>
        <row r="236">
          <cell r="A236" t="str">
            <v>DO-YULQ705-BR-10</v>
          </cell>
          <cell r="B236" t="str">
            <v>DO-YULQ705</v>
          </cell>
        </row>
        <row r="237">
          <cell r="A237" t="str">
            <v>DO-YULQ705-BR-11</v>
          </cell>
          <cell r="B237" t="str">
            <v>DO-YULQ705</v>
          </cell>
        </row>
        <row r="238">
          <cell r="A238" t="str">
            <v>DO-YULQ705-GR-11</v>
          </cell>
          <cell r="B238" t="str">
            <v>DO-YULQ705</v>
          </cell>
        </row>
        <row r="239">
          <cell r="A239" t="str">
            <v>DO-YULQ705-W0-22</v>
          </cell>
          <cell r="B239" t="str">
            <v>DO-YULQ705</v>
          </cell>
        </row>
        <row r="240">
          <cell r="A240" t="str">
            <v>DO-YULQ706-R0-24</v>
          </cell>
          <cell r="B240" t="str">
            <v>DO-YULQ706</v>
          </cell>
        </row>
        <row r="241">
          <cell r="A241" t="str">
            <v>DO-YULQ707-PI-24</v>
          </cell>
          <cell r="B241" t="str">
            <v>DO-YULQ707</v>
          </cell>
        </row>
        <row r="242">
          <cell r="A242" t="str">
            <v>DO-YULQ708-W0-24</v>
          </cell>
          <cell r="B242" t="str">
            <v>DO-YULQ708</v>
          </cell>
        </row>
        <row r="243">
          <cell r="A243" t="str">
            <v>DO-YULQ712-W0-22</v>
          </cell>
          <cell r="B243" t="str">
            <v>DO-YULQ712</v>
          </cell>
        </row>
        <row r="244">
          <cell r="A244" t="str">
            <v>DO-YULQ718-WA-16</v>
          </cell>
          <cell r="B244" t="str">
            <v>DO-YULQ718</v>
          </cell>
        </row>
        <row r="245">
          <cell r="A245" t="str">
            <v>DO-YULQ719-B7-16</v>
          </cell>
          <cell r="B245" t="str">
            <v>DO-YULQ719</v>
          </cell>
        </row>
        <row r="246">
          <cell r="A246" t="str">
            <v>DO-YULQ720-W0-16</v>
          </cell>
          <cell r="B246" t="str">
            <v>DO-YULQ720</v>
          </cell>
        </row>
        <row r="247">
          <cell r="A247" t="str">
            <v>DO-YULQ721-PI-16</v>
          </cell>
          <cell r="B247" t="str">
            <v>DO-YULQ721</v>
          </cell>
        </row>
        <row r="248">
          <cell r="A248" t="str">
            <v>DO-YULQ811-W0-18</v>
          </cell>
          <cell r="B248" t="str">
            <v>DO-YULQ811</v>
          </cell>
        </row>
        <row r="249">
          <cell r="A249" t="str">
            <v>DO-YULQ812-W0-18</v>
          </cell>
          <cell r="B249" t="str">
            <v>DO-YULQ812</v>
          </cell>
        </row>
        <row r="250">
          <cell r="A250" t="str">
            <v>DO-YULQ904-B7-22</v>
          </cell>
          <cell r="B250" t="str">
            <v>DO-YULQ904</v>
          </cell>
        </row>
        <row r="251">
          <cell r="A251" t="str">
            <v>DO-YULQ905-B7-22</v>
          </cell>
          <cell r="B251" t="str">
            <v>DO-YULQ905</v>
          </cell>
        </row>
        <row r="252">
          <cell r="A252" t="str">
            <v>DO-YULQ985-B7-20</v>
          </cell>
          <cell r="B252" t="str">
            <v>DO-YULQ905</v>
          </cell>
        </row>
        <row r="253">
          <cell r="A253" t="str">
            <v>HF-FL1</v>
          </cell>
          <cell r="B253" t="str">
            <v>HF-FL1</v>
          </cell>
        </row>
        <row r="254">
          <cell r="A254" t="str">
            <v>JFB-FLQ55-PI-17</v>
          </cell>
          <cell r="B254" t="str">
            <v>JFB-FLQ55</v>
          </cell>
        </row>
        <row r="255">
          <cell r="A255" t="str">
            <v>LYQ-1001-B0-2XL</v>
          </cell>
          <cell r="B255" t="str">
            <v>LYQ-1001</v>
          </cell>
        </row>
        <row r="256">
          <cell r="A256" t="str">
            <v>LYQ-1001-B0-L</v>
          </cell>
          <cell r="B256" t="str">
            <v>LYQ-1001</v>
          </cell>
        </row>
        <row r="257">
          <cell r="A257" t="str">
            <v>LYQ-1001-B0-M</v>
          </cell>
          <cell r="B257" t="str">
            <v>LYQ-1001</v>
          </cell>
        </row>
        <row r="258">
          <cell r="A258" t="str">
            <v>LYQ-1001-B0-XL</v>
          </cell>
          <cell r="B258" t="str">
            <v>LYQ-1001</v>
          </cell>
        </row>
        <row r="259">
          <cell r="A259" t="str">
            <v>LYQ-1001-B0-XS</v>
          </cell>
          <cell r="B259" t="str">
            <v>LYQ-1001</v>
          </cell>
        </row>
        <row r="260">
          <cell r="A260" t="str">
            <v>LYQ-1001-G0-2XL</v>
          </cell>
          <cell r="B260" t="str">
            <v>LYQ-1001</v>
          </cell>
        </row>
        <row r="261">
          <cell r="A261" t="str">
            <v>LYQ-1001-G0-M</v>
          </cell>
          <cell r="B261" t="str">
            <v>LYQ-1001</v>
          </cell>
        </row>
        <row r="262">
          <cell r="A262" t="str">
            <v>LYQ-1001-G0-S</v>
          </cell>
          <cell r="B262" t="str">
            <v>LYQ-1001</v>
          </cell>
        </row>
        <row r="263">
          <cell r="A263" t="str">
            <v>LYQ-1001-G0-XS</v>
          </cell>
          <cell r="B263" t="str">
            <v>LYQ-1001</v>
          </cell>
        </row>
        <row r="264">
          <cell r="A264" t="str">
            <v>LYQ-1001-G7-2XL</v>
          </cell>
          <cell r="B264" t="str">
            <v>LYQ-1001</v>
          </cell>
        </row>
        <row r="265">
          <cell r="A265" t="str">
            <v>LYQ-1001-G7-M</v>
          </cell>
          <cell r="B265" t="str">
            <v>LYQ-1001</v>
          </cell>
        </row>
        <row r="266">
          <cell r="A266" t="str">
            <v>LYQ-1001-G7-S</v>
          </cell>
          <cell r="B266" t="str">
            <v>LYQ-1001</v>
          </cell>
        </row>
        <row r="267">
          <cell r="A267" t="str">
            <v>LYQ-1001-G7-XL</v>
          </cell>
          <cell r="B267" t="str">
            <v>LYQ-1001</v>
          </cell>
        </row>
        <row r="268">
          <cell r="A268" t="str">
            <v>LYQ-1001-G7-XS</v>
          </cell>
          <cell r="B268" t="str">
            <v>LYQ-1001</v>
          </cell>
        </row>
        <row r="269">
          <cell r="A269" t="str">
            <v>LYQ-1001-K0-L</v>
          </cell>
          <cell r="B269" t="str">
            <v>LYQ-1001</v>
          </cell>
        </row>
        <row r="270">
          <cell r="A270" t="str">
            <v>LYQ-1001-K0-M</v>
          </cell>
          <cell r="B270" t="str">
            <v>LYQ-1001</v>
          </cell>
        </row>
        <row r="271">
          <cell r="A271" t="str">
            <v>LYQ-1001-K0-S</v>
          </cell>
          <cell r="B271" t="str">
            <v>LYQ-1001</v>
          </cell>
        </row>
        <row r="272">
          <cell r="A272" t="str">
            <v>LYQ-1001-K0-XL</v>
          </cell>
          <cell r="B272" t="str">
            <v>LYQ-1001</v>
          </cell>
        </row>
        <row r="273">
          <cell r="A273" t="str">
            <v>LYQ-1001-N0-2XL</v>
          </cell>
          <cell r="B273" t="str">
            <v>LYQ-1001</v>
          </cell>
        </row>
        <row r="274">
          <cell r="A274" t="str">
            <v>LYQ-1001-N0-L</v>
          </cell>
          <cell r="B274" t="str">
            <v>LYQ-1001</v>
          </cell>
        </row>
        <row r="275">
          <cell r="A275" t="str">
            <v>LYQ-1001-N0-S</v>
          </cell>
          <cell r="B275" t="str">
            <v>LYQ-1001</v>
          </cell>
        </row>
        <row r="276">
          <cell r="A276" t="str">
            <v>LYQ-1001-N0-XL</v>
          </cell>
          <cell r="B276" t="str">
            <v>LYQ-1001</v>
          </cell>
        </row>
        <row r="277">
          <cell r="A277" t="str">
            <v>LYQ-1001-N0-XS</v>
          </cell>
          <cell r="B277" t="str">
            <v>LYQ-1001</v>
          </cell>
        </row>
        <row r="278">
          <cell r="A278" t="str">
            <v>LYQ-1001New-P0-2XL</v>
          </cell>
          <cell r="B278" t="str">
            <v>LYQ-1001</v>
          </cell>
        </row>
        <row r="279">
          <cell r="A279" t="str">
            <v>LYQ-1001New-P0-L</v>
          </cell>
          <cell r="B279" t="str">
            <v>LYQ-1001</v>
          </cell>
        </row>
        <row r="280">
          <cell r="A280" t="str">
            <v>LYQ-1001New-P0-M</v>
          </cell>
          <cell r="B280" t="str">
            <v>LYQ-1001</v>
          </cell>
        </row>
        <row r="281">
          <cell r="A281" t="str">
            <v>LYQ-1001New-P0-S</v>
          </cell>
          <cell r="B281" t="str">
            <v>LYQ-1001</v>
          </cell>
        </row>
        <row r="282">
          <cell r="A282" t="str">
            <v>LYQ-1001New-P0-XL</v>
          </cell>
          <cell r="B282" t="str">
            <v>LYQ-1001</v>
          </cell>
        </row>
        <row r="283">
          <cell r="A283" t="str">
            <v>LYQ-1001New-P0-XS</v>
          </cell>
          <cell r="B283" t="str">
            <v>LYQ-1001</v>
          </cell>
        </row>
        <row r="284">
          <cell r="A284" t="str">
            <v>LYQ-1001-P0-2XL</v>
          </cell>
          <cell r="B284" t="str">
            <v>LYQ-1001</v>
          </cell>
        </row>
        <row r="285">
          <cell r="A285" t="str">
            <v>LYQ-1001-P0-L</v>
          </cell>
          <cell r="B285" t="str">
            <v>LYQ-1001</v>
          </cell>
        </row>
        <row r="286">
          <cell r="A286" t="str">
            <v>LYQ-1001-P0-M</v>
          </cell>
          <cell r="B286" t="str">
            <v>LYQ-1001</v>
          </cell>
        </row>
        <row r="287">
          <cell r="A287" t="str">
            <v>LYQ-1001-P0-S</v>
          </cell>
          <cell r="B287" t="str">
            <v>LYQ-1001</v>
          </cell>
        </row>
        <row r="288">
          <cell r="A288" t="str">
            <v>LYQ-1001-P0-XL</v>
          </cell>
          <cell r="B288" t="str">
            <v>LYQ-1001</v>
          </cell>
        </row>
        <row r="289">
          <cell r="A289" t="str">
            <v>LYQ-1001-P0-XS</v>
          </cell>
          <cell r="B289" t="str">
            <v>LYQ-1001</v>
          </cell>
        </row>
        <row r="290">
          <cell r="A290" t="str">
            <v>LYQ-1001-R0-2XL</v>
          </cell>
          <cell r="B290" t="str">
            <v>LYQ-1001</v>
          </cell>
        </row>
        <row r="291">
          <cell r="A291" t="str">
            <v>LYQ-1001-R0-L</v>
          </cell>
          <cell r="B291" t="str">
            <v>LYQ-1001</v>
          </cell>
        </row>
        <row r="292">
          <cell r="A292" t="str">
            <v>LYQ-1001-R0-M</v>
          </cell>
          <cell r="B292" t="str">
            <v>LYQ-1001</v>
          </cell>
        </row>
        <row r="293">
          <cell r="A293" t="str">
            <v>LYQ-1001-R0-S</v>
          </cell>
          <cell r="B293" t="str">
            <v>LYQ-1001</v>
          </cell>
        </row>
        <row r="294">
          <cell r="A294" t="str">
            <v>LYQ-1001-R0-XL</v>
          </cell>
          <cell r="B294" t="str">
            <v>LYQ-1001</v>
          </cell>
        </row>
        <row r="295">
          <cell r="A295" t="str">
            <v>LYQ-1001-R0-XS</v>
          </cell>
          <cell r="B295" t="str">
            <v>LYQ-1001</v>
          </cell>
        </row>
        <row r="296">
          <cell r="A296" t="str">
            <v>LYQ-1001-W0-2XL</v>
          </cell>
          <cell r="B296" t="str">
            <v>LYQ-1001</v>
          </cell>
        </row>
        <row r="297">
          <cell r="A297" t="str">
            <v>LYQ-1001-W0-L</v>
          </cell>
          <cell r="B297" t="str">
            <v>LYQ-1001</v>
          </cell>
        </row>
        <row r="298">
          <cell r="A298" t="str">
            <v>LYQ-1001-W0-M</v>
          </cell>
          <cell r="B298" t="str">
            <v>LYQ-1001</v>
          </cell>
        </row>
        <row r="299">
          <cell r="A299" t="str">
            <v>LYQ-1001-W0-XL</v>
          </cell>
          <cell r="B299" t="str">
            <v>LYQ-1001</v>
          </cell>
        </row>
        <row r="300">
          <cell r="A300" t="str">
            <v>LYQ-1001-W0-XS</v>
          </cell>
          <cell r="B300" t="str">
            <v>LYQ-1001</v>
          </cell>
        </row>
        <row r="301">
          <cell r="A301" t="str">
            <v>LYQ-1001-Z0-2XL</v>
          </cell>
          <cell r="B301" t="str">
            <v>LYQ-1001</v>
          </cell>
        </row>
        <row r="302">
          <cell r="A302" t="str">
            <v>LYQ-1001-Z0-L</v>
          </cell>
          <cell r="B302" t="str">
            <v>LYQ-1001</v>
          </cell>
        </row>
        <row r="303">
          <cell r="A303" t="str">
            <v>LYQ-1001-Z0-M</v>
          </cell>
          <cell r="B303" t="str">
            <v>LYQ-1001</v>
          </cell>
        </row>
        <row r="304">
          <cell r="A304" t="str">
            <v>LYQ-1001-Z0-S</v>
          </cell>
          <cell r="B304" t="str">
            <v>LYQ-1001</v>
          </cell>
        </row>
        <row r="305">
          <cell r="A305" t="str">
            <v>LYQ-1001-Z0-XL</v>
          </cell>
          <cell r="B305" t="str">
            <v>LYQ-1001</v>
          </cell>
        </row>
        <row r="306">
          <cell r="A306" t="str">
            <v>LYQ-1001-Z0-XS</v>
          </cell>
          <cell r="B306" t="str">
            <v>LYQ-1001</v>
          </cell>
        </row>
        <row r="307">
          <cell r="A307" t="str">
            <v>LYQ-CL0045-K0-L</v>
          </cell>
          <cell r="B307" t="str">
            <v>LYQ-CL0045</v>
          </cell>
        </row>
        <row r="308">
          <cell r="A308" t="str">
            <v>LYQ-CL0045-K0-S</v>
          </cell>
          <cell r="B308" t="str">
            <v>LYQ-CL0045</v>
          </cell>
        </row>
        <row r="309">
          <cell r="A309" t="str">
            <v>LYQ-CL0045-K0-XL</v>
          </cell>
          <cell r="B309" t="str">
            <v>LYQ-CL0045</v>
          </cell>
        </row>
        <row r="310">
          <cell r="A310" t="str">
            <v>LYQ-CL0045-Y0-L</v>
          </cell>
          <cell r="B310" t="str">
            <v>LYQ-CL0045</v>
          </cell>
        </row>
        <row r="311">
          <cell r="A311" t="str">
            <v>LYQ-CL0045-Y0-M</v>
          </cell>
          <cell r="B311" t="str">
            <v>LYQ-CL0045</v>
          </cell>
        </row>
        <row r="312">
          <cell r="A312" t="str">
            <v>LYQ-CL0045-Y0-S</v>
          </cell>
          <cell r="B312" t="str">
            <v>LYQ-CL0045</v>
          </cell>
        </row>
        <row r="313">
          <cell r="A313" t="str">
            <v>LYQ-CL0045-Y0-XL</v>
          </cell>
          <cell r="B313" t="str">
            <v>LYQ-CL0045</v>
          </cell>
        </row>
        <row r="314">
          <cell r="A314" t="str">
            <v>LYQ-CL61652-R6-M</v>
          </cell>
          <cell r="B314" t="str">
            <v>LYQ-CL61652</v>
          </cell>
        </row>
        <row r="315">
          <cell r="A315" t="str">
            <v>LYQ-CL6287-B0-L</v>
          </cell>
          <cell r="B315" t="str">
            <v>LYQ-CL6287</v>
          </cell>
        </row>
        <row r="316">
          <cell r="A316" t="str">
            <v>LYQ-CL6287-FB-L</v>
          </cell>
          <cell r="B316" t="str">
            <v>LYQ-CL6287</v>
          </cell>
        </row>
        <row r="317">
          <cell r="A317" t="str">
            <v>LYQ-CL6287-G7-L</v>
          </cell>
          <cell r="B317" t="str">
            <v>LYQ-CL6287</v>
          </cell>
        </row>
        <row r="318">
          <cell r="A318" t="str">
            <v>LYQ-CL6287-G7-M</v>
          </cell>
          <cell r="B318" t="str">
            <v>LYQ-CL6287</v>
          </cell>
        </row>
        <row r="319">
          <cell r="A319" t="str">
            <v>LYQ-CL6287-K0-L</v>
          </cell>
          <cell r="B319" t="str">
            <v>LYQ-CL6287</v>
          </cell>
        </row>
        <row r="320">
          <cell r="A320" t="str">
            <v>LYQ-CL6287-K0-M</v>
          </cell>
          <cell r="B320" t="str">
            <v>LYQ-CL6287</v>
          </cell>
        </row>
        <row r="321">
          <cell r="A321" t="str">
            <v>LYQ-CL6408NO-G0-L</v>
          </cell>
          <cell r="B321" t="str">
            <v>LYQ-CL6408NO</v>
          </cell>
        </row>
        <row r="322">
          <cell r="A322" t="str">
            <v>LYQ-CL6408NO-K0-L</v>
          </cell>
          <cell r="B322" t="str">
            <v>LYQ-CL6408NO</v>
          </cell>
        </row>
        <row r="323">
          <cell r="A323" t="str">
            <v>LYQ-CL6408SL-G0XL</v>
          </cell>
          <cell r="B323" t="str">
            <v>LYQ-CL6408SL</v>
          </cell>
        </row>
        <row r="324">
          <cell r="A324" t="str">
            <v>LYQ-CL6408SL-K0XL</v>
          </cell>
          <cell r="B324" t="str">
            <v>LYQ-CL6408SL</v>
          </cell>
        </row>
        <row r="325">
          <cell r="A325" t="str">
            <v>LYQ-CLBAH002-L</v>
          </cell>
          <cell r="B325" t="str">
            <v>LYQ-CLBAH002</v>
          </cell>
        </row>
        <row r="326">
          <cell r="A326" t="str">
            <v>LYQ-CLBAH002-M</v>
          </cell>
          <cell r="B326" t="str">
            <v>LYQ-CLBAH002</v>
          </cell>
        </row>
        <row r="327">
          <cell r="A327" t="str">
            <v>LYQ-CLBAH002-S</v>
          </cell>
          <cell r="B327" t="str">
            <v>LYQ-CLBAH002</v>
          </cell>
        </row>
        <row r="328">
          <cell r="A328" t="str">
            <v>LYQ-CLBAH002-XL</v>
          </cell>
          <cell r="B328" t="str">
            <v>LYQ-CLBAH002</v>
          </cell>
        </row>
        <row r="329">
          <cell r="A329" t="str">
            <v>LYQ-CSM048-G0-L</v>
          </cell>
          <cell r="B329" t="str">
            <v>LYQ-CSM048</v>
          </cell>
        </row>
        <row r="330">
          <cell r="A330" t="str">
            <v>LYQ-CSM048-G0-S</v>
          </cell>
          <cell r="B330" t="str">
            <v>LYQ-CSM048</v>
          </cell>
        </row>
        <row r="331">
          <cell r="A331" t="str">
            <v>LYQ-CSM048-GR0-M</v>
          </cell>
          <cell r="B331" t="str">
            <v>LYQ-CSM048</v>
          </cell>
        </row>
        <row r="332">
          <cell r="A332" t="str">
            <v>LYQ-CSM048-GR1-L</v>
          </cell>
          <cell r="B332" t="str">
            <v>LYQ-CSM048</v>
          </cell>
        </row>
        <row r="333">
          <cell r="A333" t="str">
            <v>LYQ-CSM048-GR1-XL</v>
          </cell>
          <cell r="B333" t="str">
            <v>LYQ-CSM048</v>
          </cell>
        </row>
        <row r="334">
          <cell r="A334" t="str">
            <v>LYQ-CSM048-K0-S</v>
          </cell>
          <cell r="B334" t="str">
            <v>LYQ-CSM048</v>
          </cell>
        </row>
        <row r="335">
          <cell r="A335" t="str">
            <v>LYQ-CSM048-ZL-L</v>
          </cell>
          <cell r="B335" t="str">
            <v>LYQ-CSM048</v>
          </cell>
        </row>
        <row r="336">
          <cell r="A336" t="str">
            <v>LYQ-CSM048-ZL-XL</v>
          </cell>
          <cell r="B336" t="str">
            <v>LYQ-CSM048</v>
          </cell>
        </row>
        <row r="337">
          <cell r="A337" t="str">
            <v>LYQ-HM0505-W0-3XL</v>
          </cell>
          <cell r="B337" t="str">
            <v>LYQ-HM0505</v>
          </cell>
        </row>
        <row r="338">
          <cell r="A338" t="str">
            <v>LYQ-HM1205-BR-L</v>
          </cell>
          <cell r="B338" t="str">
            <v>LYQ-HM1205</v>
          </cell>
        </row>
        <row r="339">
          <cell r="A339" t="str">
            <v>LYQ-HM1205-BR-M</v>
          </cell>
          <cell r="B339" t="str">
            <v>LYQ-HM1205</v>
          </cell>
        </row>
        <row r="340">
          <cell r="A340" t="str">
            <v>LYQ-HM1205-BR-S</v>
          </cell>
          <cell r="B340" t="str">
            <v>LYQ-HM1205</v>
          </cell>
        </row>
        <row r="341">
          <cell r="A341" t="str">
            <v>LYQ-HM1205-BR-XL</v>
          </cell>
          <cell r="B341" t="str">
            <v>LYQ-HM1205</v>
          </cell>
        </row>
        <row r="342">
          <cell r="A342" t="str">
            <v>LYQ-HM1205-K0-S</v>
          </cell>
          <cell r="B342" t="str">
            <v>LYQ-HM1205</v>
          </cell>
        </row>
        <row r="343">
          <cell r="A343" t="str">
            <v>LYQ-HM1205-KH-L</v>
          </cell>
          <cell r="B343" t="str">
            <v>LYQ-HM1205</v>
          </cell>
        </row>
        <row r="344">
          <cell r="A344" t="str">
            <v>LYQ-HM1205-KH-M</v>
          </cell>
          <cell r="B344" t="str">
            <v>LYQ-HM1205</v>
          </cell>
        </row>
        <row r="345">
          <cell r="A345" t="str">
            <v>LYQ-HM1205-KH-S</v>
          </cell>
          <cell r="B345" t="str">
            <v>LYQ-HM1205</v>
          </cell>
        </row>
        <row r="346">
          <cell r="A346" t="str">
            <v>LYQ-HM1205-KH-XL</v>
          </cell>
          <cell r="B346" t="str">
            <v>LYQ-HM1205</v>
          </cell>
        </row>
        <row r="347">
          <cell r="A347" t="str">
            <v>LYQ-HM1205-OR-L</v>
          </cell>
          <cell r="B347" t="str">
            <v>LYQ-HM1205</v>
          </cell>
        </row>
        <row r="348">
          <cell r="A348" t="str">
            <v>LYQ-HM1205-OR-M</v>
          </cell>
          <cell r="B348" t="str">
            <v>LYQ-HM1205</v>
          </cell>
        </row>
        <row r="349">
          <cell r="A349" t="str">
            <v>LYQ-HM1205-OR-S</v>
          </cell>
          <cell r="B349" t="str">
            <v>LYQ-HM1205</v>
          </cell>
        </row>
        <row r="350">
          <cell r="A350" t="str">
            <v>LYQ-HM1205-W0-L</v>
          </cell>
          <cell r="B350" t="str">
            <v>LYQ-HM1205</v>
          </cell>
        </row>
        <row r="351">
          <cell r="A351" t="str">
            <v>LYQ-HM1205-W0-M</v>
          </cell>
          <cell r="B351" t="str">
            <v>LYQ-HM1205</v>
          </cell>
        </row>
        <row r="352">
          <cell r="A352" t="str">
            <v>LYQ-HM1205-W0-S</v>
          </cell>
          <cell r="B352" t="str">
            <v>LYQ-HM1205</v>
          </cell>
        </row>
        <row r="353">
          <cell r="A353" t="str">
            <v>LYQ-HM1205-W0-XL</v>
          </cell>
          <cell r="B353" t="str">
            <v>LYQ-HM1205</v>
          </cell>
        </row>
        <row r="354">
          <cell r="A354" t="str">
            <v>LYQ-HMQZZ-MOM-2XL</v>
          </cell>
          <cell r="B354" t="str">
            <v>LYQ-HMQZZ</v>
          </cell>
        </row>
        <row r="355">
          <cell r="A355" t="str">
            <v>LYQ-HMQZZ-MOM-S</v>
          </cell>
          <cell r="B355" t="str">
            <v>LYQ-HMQZZ</v>
          </cell>
        </row>
        <row r="356">
          <cell r="A356" t="str">
            <v>LYQ-LY064-B0-3XL</v>
          </cell>
          <cell r="B356" t="str">
            <v>LYQ-LY064</v>
          </cell>
        </row>
        <row r="357">
          <cell r="A357" t="str">
            <v>LYQ-LY064-B0-4XL</v>
          </cell>
          <cell r="B357" t="str">
            <v>LYQ-LY064</v>
          </cell>
        </row>
        <row r="358">
          <cell r="A358" t="str">
            <v>LYQ-LY064-B0-L</v>
          </cell>
          <cell r="B358" t="str">
            <v>LYQ-LY064</v>
          </cell>
        </row>
        <row r="359">
          <cell r="A359" t="str">
            <v>LYQ-LY064-G0-3XL</v>
          </cell>
          <cell r="B359" t="str">
            <v>LYQ-LY064</v>
          </cell>
        </row>
        <row r="360">
          <cell r="A360" t="str">
            <v>LYQ-LY064-G0-4XL</v>
          </cell>
          <cell r="B360" t="str">
            <v>LYQ-LY064</v>
          </cell>
        </row>
        <row r="361">
          <cell r="A361" t="str">
            <v>LYQ-LY064-G0-L</v>
          </cell>
          <cell r="B361" t="str">
            <v>LYQ-LY064</v>
          </cell>
        </row>
        <row r="362">
          <cell r="A362" t="str">
            <v>LYQ-LY064-G0-M</v>
          </cell>
          <cell r="B362" t="str">
            <v>LYQ-LY064</v>
          </cell>
        </row>
        <row r="363">
          <cell r="A363" t="str">
            <v>LYQ-LY064-K0-2XL</v>
          </cell>
          <cell r="B363" t="str">
            <v>LYQ-LY064</v>
          </cell>
        </row>
        <row r="364">
          <cell r="A364" t="str">
            <v>LYQ-LY064-K0-3XL</v>
          </cell>
          <cell r="B364" t="str">
            <v>LYQ-LY064</v>
          </cell>
        </row>
        <row r="365">
          <cell r="A365" t="str">
            <v>LYQ-LY064-K0-4XL</v>
          </cell>
          <cell r="B365" t="str">
            <v>LYQ-LY064</v>
          </cell>
        </row>
        <row r="366">
          <cell r="A366" t="str">
            <v>LYQ-LY064-K0-M</v>
          </cell>
          <cell r="B366" t="str">
            <v>LYQ-LY064</v>
          </cell>
        </row>
        <row r="367">
          <cell r="A367" t="str">
            <v>LYQ-LY064-K0-S</v>
          </cell>
          <cell r="B367" t="str">
            <v>LYQ-LY064</v>
          </cell>
        </row>
        <row r="368">
          <cell r="A368" t="str">
            <v>LYQ-LY064-OR-4XL</v>
          </cell>
          <cell r="B368" t="str">
            <v>LYQ-LY064</v>
          </cell>
        </row>
        <row r="369">
          <cell r="A369" t="str">
            <v>LYQ-LY064-OR-M</v>
          </cell>
          <cell r="B369" t="str">
            <v>LYQ-LY064</v>
          </cell>
        </row>
        <row r="370">
          <cell r="A370" t="str">
            <v>LYQ-WH885-ZL-L</v>
          </cell>
          <cell r="B370" t="str">
            <v>LYQ-WH885</v>
          </cell>
        </row>
        <row r="371">
          <cell r="A371" t="str">
            <v>LYQ-ZQ1052-R0-XL</v>
          </cell>
          <cell r="B371" t="str">
            <v>LYQ-ZQ1052</v>
          </cell>
        </row>
        <row r="372">
          <cell r="A372" t="str">
            <v>LYQ-ZQ1117-B0-2XL</v>
          </cell>
          <cell r="B372" t="str">
            <v>LYQ-ZQ1117</v>
          </cell>
        </row>
        <row r="373">
          <cell r="A373" t="str">
            <v>LYQ-ZQ1117-B0-L</v>
          </cell>
          <cell r="B373" t="str">
            <v>LYQ-ZQ1117</v>
          </cell>
        </row>
        <row r="374">
          <cell r="A374" t="str">
            <v>LYQ-ZQ1117-B0-M</v>
          </cell>
          <cell r="B374" t="str">
            <v>LYQ-ZQ1117</v>
          </cell>
        </row>
        <row r="375">
          <cell r="A375" t="str">
            <v>LYQ-ZQ1117-B0-S</v>
          </cell>
          <cell r="B375" t="str">
            <v>LYQ-ZQ1117</v>
          </cell>
        </row>
        <row r="376">
          <cell r="A376" t="str">
            <v>LYQ-ZQ1117-B0-XL</v>
          </cell>
          <cell r="B376" t="str">
            <v>LYQ-ZQ1117</v>
          </cell>
        </row>
        <row r="377">
          <cell r="A377" t="str">
            <v>LYQ-ZQ1117-BD-2XL</v>
          </cell>
          <cell r="B377" t="str">
            <v>LYQ-ZQ1117</v>
          </cell>
        </row>
        <row r="378">
          <cell r="A378" t="str">
            <v>LYQ-ZQ1117-BD-L</v>
          </cell>
          <cell r="B378" t="str">
            <v>LYQ-ZQ1117</v>
          </cell>
        </row>
        <row r="379">
          <cell r="A379" t="str">
            <v>LYQ-ZQ1117-BD-M</v>
          </cell>
          <cell r="B379" t="str">
            <v>LYQ-ZQ1117</v>
          </cell>
        </row>
        <row r="380">
          <cell r="A380" t="str">
            <v>LYQ-ZQ1117-BD-S</v>
          </cell>
          <cell r="B380" t="str">
            <v>LYQ-ZQ1117</v>
          </cell>
        </row>
        <row r="381">
          <cell r="A381" t="str">
            <v>LYQ-ZQ1117-BD-XL</v>
          </cell>
          <cell r="B381" t="str">
            <v>LYQ-ZQ1117</v>
          </cell>
        </row>
        <row r="382">
          <cell r="A382" t="str">
            <v>LYQ-ZQ1117-C0-2XL</v>
          </cell>
          <cell r="B382" t="str">
            <v>LYQ-ZQ1117</v>
          </cell>
        </row>
        <row r="383">
          <cell r="A383" t="str">
            <v>LYQ-ZQ1117-C0-L</v>
          </cell>
          <cell r="B383" t="str">
            <v>LYQ-ZQ1117</v>
          </cell>
        </row>
        <row r="384">
          <cell r="A384" t="str">
            <v>LYQ-ZQ1117-C0-M</v>
          </cell>
          <cell r="B384" t="str">
            <v>LYQ-ZQ1117</v>
          </cell>
        </row>
        <row r="385">
          <cell r="A385" t="str">
            <v>LYQ-ZQ1117-C0-S</v>
          </cell>
          <cell r="B385" t="str">
            <v>LYQ-ZQ1117</v>
          </cell>
        </row>
        <row r="386">
          <cell r="A386" t="str">
            <v>LYQ-ZQ1117-C0-XL</v>
          </cell>
          <cell r="B386" t="str">
            <v>LYQ-ZQ1117</v>
          </cell>
        </row>
        <row r="387">
          <cell r="A387" t="str">
            <v>LYQ-ZQ1117-E0-2XL</v>
          </cell>
          <cell r="B387" t="str">
            <v>LYQ-ZQ1117</v>
          </cell>
        </row>
        <row r="388">
          <cell r="A388" t="str">
            <v>LYQ-ZQ1117-E0-L</v>
          </cell>
          <cell r="B388" t="str">
            <v>LYQ-ZQ1117</v>
          </cell>
        </row>
        <row r="389">
          <cell r="A389" t="str">
            <v>LYQ-ZQ1117-E0-M</v>
          </cell>
          <cell r="B389" t="str">
            <v>LYQ-ZQ1117</v>
          </cell>
        </row>
        <row r="390">
          <cell r="A390" t="str">
            <v>LYQ-ZQ1117-E0-S</v>
          </cell>
          <cell r="B390" t="str">
            <v>LYQ-ZQ1117</v>
          </cell>
        </row>
        <row r="391">
          <cell r="A391" t="str">
            <v>LYQ-ZQ1117-E0-XL</v>
          </cell>
          <cell r="B391" t="str">
            <v>LYQ-ZQ1117</v>
          </cell>
        </row>
        <row r="392">
          <cell r="A392" t="str">
            <v>LYQ-ZQ1117-G7-2XL</v>
          </cell>
          <cell r="B392" t="str">
            <v>LYQ-ZQ1117</v>
          </cell>
        </row>
        <row r="393">
          <cell r="A393" t="str">
            <v>LYQ-ZQ1117-G7-L</v>
          </cell>
          <cell r="B393" t="str">
            <v>LYQ-ZQ1117</v>
          </cell>
        </row>
        <row r="394">
          <cell r="A394" t="str">
            <v>LYQ-ZQ1117-G7-M</v>
          </cell>
          <cell r="B394" t="str">
            <v>LYQ-ZQ1117</v>
          </cell>
        </row>
        <row r="395">
          <cell r="A395" t="str">
            <v>LYQ-ZQ1117-G7-S</v>
          </cell>
          <cell r="B395" t="str">
            <v>LYQ-ZQ1117</v>
          </cell>
        </row>
        <row r="396">
          <cell r="A396" t="str">
            <v>LYQ-ZQ1117-G7-XL</v>
          </cell>
          <cell r="B396" t="str">
            <v>LYQ-ZQ1117</v>
          </cell>
        </row>
        <row r="397">
          <cell r="A397" t="str">
            <v>LYQ-ZQ1117-K0-2XL</v>
          </cell>
          <cell r="B397" t="str">
            <v>LYQ-ZQ1117</v>
          </cell>
        </row>
        <row r="398">
          <cell r="A398" t="str">
            <v>LYQ-ZQ1117-K0-L</v>
          </cell>
          <cell r="B398" t="str">
            <v>LYQ-ZQ1117</v>
          </cell>
        </row>
        <row r="399">
          <cell r="A399" t="str">
            <v>LYQ-ZQ1117-K0-M</v>
          </cell>
          <cell r="B399" t="str">
            <v>LYQ-ZQ1117</v>
          </cell>
        </row>
        <row r="400">
          <cell r="A400" t="str">
            <v>LYQ-ZQ1117-K0-S</v>
          </cell>
          <cell r="B400" t="str">
            <v>LYQ-ZQ1117</v>
          </cell>
        </row>
        <row r="401">
          <cell r="A401" t="str">
            <v>LYQ-ZQ1117-K0-XL</v>
          </cell>
          <cell r="B401" t="str">
            <v>LYQ-ZQ1117</v>
          </cell>
        </row>
        <row r="402">
          <cell r="A402" t="str">
            <v>LYQ-ZQ1117-KQ-2XL</v>
          </cell>
          <cell r="B402" t="str">
            <v>LYQ-ZQ1117</v>
          </cell>
        </row>
        <row r="403">
          <cell r="A403" t="str">
            <v>LYQ-ZQ1117-KQ-L</v>
          </cell>
          <cell r="B403" t="str">
            <v>LYQ-ZQ1117</v>
          </cell>
        </row>
        <row r="404">
          <cell r="A404" t="str">
            <v>LYQ-ZQ1117-KQ-M</v>
          </cell>
          <cell r="B404" t="str">
            <v>LYQ-ZQ1117</v>
          </cell>
        </row>
        <row r="405">
          <cell r="A405" t="str">
            <v>LYQ-ZQ1117-KQ-S</v>
          </cell>
          <cell r="B405" t="str">
            <v>LYQ-ZQ1117</v>
          </cell>
        </row>
        <row r="406">
          <cell r="A406" t="str">
            <v>LYQ-ZQ1117-KQ-XL</v>
          </cell>
          <cell r="B406" t="str">
            <v>LYQ-ZQ1117</v>
          </cell>
        </row>
        <row r="407">
          <cell r="A407" t="str">
            <v>LYQ-ZQ1428-R0-M</v>
          </cell>
          <cell r="B407" t="str">
            <v>LYQ-ZQ1428</v>
          </cell>
        </row>
        <row r="408">
          <cell r="A408" t="str">
            <v>LYQ-ZQ1428-Y0-S</v>
          </cell>
          <cell r="B408" t="str">
            <v>LYQ-ZQ1428</v>
          </cell>
        </row>
        <row r="409">
          <cell r="A409" t="str">
            <v>LYQ-ZQ1669-B0-L</v>
          </cell>
          <cell r="B409" t="str">
            <v>LYQ-ZQ1669</v>
          </cell>
        </row>
        <row r="410">
          <cell r="A410" t="str">
            <v>LYQ-ZQ1669-B0-M</v>
          </cell>
          <cell r="B410" t="str">
            <v>LYQ-ZQ1669</v>
          </cell>
        </row>
        <row r="411">
          <cell r="A411" t="str">
            <v>LYQ-ZQ1669-B0-S</v>
          </cell>
          <cell r="B411" t="str">
            <v>LYQ-ZQ1669</v>
          </cell>
        </row>
        <row r="412">
          <cell r="A412" t="str">
            <v>LYQ-ZQ1669-B0-XL</v>
          </cell>
          <cell r="B412" t="str">
            <v>LYQ-ZQ1669</v>
          </cell>
        </row>
        <row r="413">
          <cell r="A413" t="str">
            <v>LYQ-ZQ1880-R0-L</v>
          </cell>
          <cell r="B413" t="str">
            <v>LYQ-ZQ1880</v>
          </cell>
        </row>
        <row r="414">
          <cell r="A414" t="str">
            <v>LYQ-ZQ1880-R0-M</v>
          </cell>
          <cell r="B414" t="str">
            <v>LYQ-ZQ1880</v>
          </cell>
        </row>
        <row r="415">
          <cell r="A415" t="str">
            <v>LYQ-ZQ1880-R0-S</v>
          </cell>
          <cell r="B415" t="str">
            <v>LYQ-ZQ1880</v>
          </cell>
        </row>
        <row r="416">
          <cell r="A416" t="str">
            <v>LYQ-ZQ1880-R0-XL</v>
          </cell>
          <cell r="B416" t="str">
            <v>LYQ-ZQ1880</v>
          </cell>
        </row>
        <row r="417">
          <cell r="A417" t="str">
            <v>LYQ-ZQ1880-Y0-M</v>
          </cell>
          <cell r="B417" t="str">
            <v>LYQ-ZQ1880</v>
          </cell>
        </row>
        <row r="418">
          <cell r="A418" t="str">
            <v>LYQ-ZQ1880-ZL-L</v>
          </cell>
          <cell r="B418" t="str">
            <v>LYQ-ZQ1880</v>
          </cell>
        </row>
        <row r="419">
          <cell r="A419" t="str">
            <v>LYQ-ZQ1880-ZL-M</v>
          </cell>
          <cell r="B419" t="str">
            <v>LYQ-ZQ1880</v>
          </cell>
        </row>
        <row r="420">
          <cell r="A420" t="str">
            <v>LYQ-ZQ1880-ZL-S</v>
          </cell>
          <cell r="B420" t="str">
            <v>LYQ-ZQ1880</v>
          </cell>
        </row>
        <row r="421">
          <cell r="A421" t="str">
            <v>LYQ-ZQ1880-ZL-XL</v>
          </cell>
          <cell r="B421" t="str">
            <v>LYQ-ZQ1880</v>
          </cell>
        </row>
        <row r="422">
          <cell r="A422" t="str">
            <v>LYQ-ZQ2973-BD-2XL</v>
          </cell>
          <cell r="B422" t="str">
            <v>LYQ-ZQ2973</v>
          </cell>
        </row>
        <row r="423">
          <cell r="A423" t="str">
            <v>LYQ-ZQ2973-BD-L</v>
          </cell>
          <cell r="B423" t="str">
            <v>LYQ-ZQ2973</v>
          </cell>
        </row>
        <row r="424">
          <cell r="A424" t="str">
            <v>LYQ-ZQ2973-BD-M</v>
          </cell>
          <cell r="B424" t="str">
            <v>LYQ-ZQ2973</v>
          </cell>
        </row>
        <row r="425">
          <cell r="A425" t="str">
            <v>LYQ-ZQ2973-BD-S</v>
          </cell>
          <cell r="B425" t="str">
            <v>LYQ-ZQ2973</v>
          </cell>
        </row>
        <row r="426">
          <cell r="A426" t="str">
            <v>LYQ-ZQ2973-BD-XL</v>
          </cell>
          <cell r="B426" t="str">
            <v>LYQ-ZQ2973</v>
          </cell>
        </row>
        <row r="427">
          <cell r="A427" t="str">
            <v>LYQ-ZQ2973-E0-2XL</v>
          </cell>
          <cell r="B427" t="str">
            <v>LYQ-ZQ2973</v>
          </cell>
        </row>
        <row r="428">
          <cell r="A428" t="str">
            <v>LYQ-ZQ2973-E0-L</v>
          </cell>
          <cell r="B428" t="str">
            <v>LYQ-ZQ2973</v>
          </cell>
        </row>
        <row r="429">
          <cell r="A429" t="str">
            <v>LYQ-ZQ2973-E0-M</v>
          </cell>
          <cell r="B429" t="str">
            <v>LYQ-ZQ2973</v>
          </cell>
        </row>
        <row r="430">
          <cell r="A430" t="str">
            <v>LYQ-ZQ2973-E0-S</v>
          </cell>
          <cell r="B430" t="str">
            <v>LYQ-ZQ2973</v>
          </cell>
        </row>
        <row r="431">
          <cell r="A431" t="str">
            <v>LYQ-ZQ2973-E0-XL</v>
          </cell>
          <cell r="B431" t="str">
            <v>LYQ-ZQ2973</v>
          </cell>
        </row>
        <row r="432">
          <cell r="A432" t="str">
            <v>LYQ-ZQ2973-G0-2XL</v>
          </cell>
          <cell r="B432" t="str">
            <v>LYQ-ZQ2973</v>
          </cell>
        </row>
        <row r="433">
          <cell r="A433" t="str">
            <v>LYQ-ZQ2973-G0-L</v>
          </cell>
          <cell r="B433" t="str">
            <v>LYQ-ZQ2973</v>
          </cell>
        </row>
        <row r="434">
          <cell r="A434" t="str">
            <v>LYQ-ZQ2973-G0-M</v>
          </cell>
          <cell r="B434" t="str">
            <v>LYQ-ZQ2973</v>
          </cell>
        </row>
        <row r="435">
          <cell r="A435" t="str">
            <v>LYQ-ZQ2973-G0-S</v>
          </cell>
          <cell r="B435" t="str">
            <v>LYQ-ZQ2973</v>
          </cell>
        </row>
        <row r="436">
          <cell r="A436" t="str">
            <v>LYQ-ZQ2973-G0-XL</v>
          </cell>
          <cell r="B436" t="str">
            <v>LYQ-ZQ2973</v>
          </cell>
        </row>
        <row r="437">
          <cell r="A437" t="str">
            <v>LYQ-ZQ2973-K0-2XL</v>
          </cell>
          <cell r="B437" t="str">
            <v>LYQ-ZQ2973</v>
          </cell>
        </row>
        <row r="438">
          <cell r="A438" t="str">
            <v>LYQ-ZQ2973-K0-L</v>
          </cell>
          <cell r="B438" t="str">
            <v>LYQ-ZQ2973</v>
          </cell>
        </row>
        <row r="439">
          <cell r="A439" t="str">
            <v>LYQ-ZQ2973-K0-M</v>
          </cell>
          <cell r="B439" t="str">
            <v>LYQ-ZQ2973</v>
          </cell>
        </row>
        <row r="440">
          <cell r="A440" t="str">
            <v>LYQ-ZQ2973-K0-S</v>
          </cell>
          <cell r="B440" t="str">
            <v>LYQ-ZQ2973</v>
          </cell>
        </row>
        <row r="441">
          <cell r="A441" t="str">
            <v>LYQ-ZQ2973-K0-XL</v>
          </cell>
          <cell r="B441" t="str">
            <v>LYQ-ZQ2973</v>
          </cell>
        </row>
        <row r="442">
          <cell r="A442" t="str">
            <v>LYQ-ZQ2973-KQ-2XL</v>
          </cell>
          <cell r="B442" t="str">
            <v>LYQ-ZQ2973</v>
          </cell>
        </row>
        <row r="443">
          <cell r="A443" t="str">
            <v>LYQ-ZQ2973-KQ-L</v>
          </cell>
          <cell r="B443" t="str">
            <v>LYQ-ZQ2973</v>
          </cell>
        </row>
        <row r="444">
          <cell r="A444" t="str">
            <v>LYQ-ZQ2973-KQ-M</v>
          </cell>
          <cell r="B444" t="str">
            <v>LYQ-ZQ2973</v>
          </cell>
        </row>
        <row r="445">
          <cell r="A445" t="str">
            <v>LYQ-ZQ2973-KQ-S</v>
          </cell>
          <cell r="B445" t="str">
            <v>LYQ-ZQ2973</v>
          </cell>
        </row>
        <row r="446">
          <cell r="A446" t="str">
            <v>LYQ-ZQ2973-KQ-XL</v>
          </cell>
          <cell r="B446" t="str">
            <v>LYQ-ZQ2973</v>
          </cell>
        </row>
        <row r="447">
          <cell r="A447" t="str">
            <v>LYQ-ZQ2973-P0-2XL</v>
          </cell>
          <cell r="B447" t="str">
            <v>LYQ-ZQ2973</v>
          </cell>
        </row>
        <row r="448">
          <cell r="A448" t="str">
            <v>LYQ-ZQ2973-P0-L</v>
          </cell>
          <cell r="B448" t="str">
            <v>LYQ-ZQ2973</v>
          </cell>
        </row>
        <row r="449">
          <cell r="A449" t="str">
            <v>LYQ-ZQ2973-P0-S</v>
          </cell>
          <cell r="B449" t="str">
            <v>LYQ-ZQ2973</v>
          </cell>
        </row>
        <row r="450">
          <cell r="A450" t="str">
            <v>LYQ-ZQ2973-P0-XL</v>
          </cell>
          <cell r="B450" t="str">
            <v>LYQ-ZQ2973</v>
          </cell>
        </row>
        <row r="451">
          <cell r="A451" t="str">
            <v>LYQ-ZQ2973-W1-2XL</v>
          </cell>
          <cell r="B451" t="str">
            <v>LYQ-ZQ2973</v>
          </cell>
        </row>
        <row r="452">
          <cell r="A452" t="str">
            <v>LYQ-ZQ2973-W1-L</v>
          </cell>
          <cell r="B452" t="str">
            <v>LYQ-ZQ2973</v>
          </cell>
        </row>
        <row r="453">
          <cell r="A453" t="str">
            <v>LYQ-ZQ2973-W1-M</v>
          </cell>
          <cell r="B453" t="str">
            <v>LYQ-ZQ2973</v>
          </cell>
        </row>
        <row r="454">
          <cell r="A454" t="str">
            <v>LYQ-ZQ2973-W1-S</v>
          </cell>
          <cell r="B454" t="str">
            <v>LYQ-ZQ2973</v>
          </cell>
        </row>
        <row r="455">
          <cell r="A455" t="str">
            <v>LYQ-ZQ2973-W1-XL</v>
          </cell>
          <cell r="B455" t="str">
            <v>LYQ-ZQ2973</v>
          </cell>
        </row>
        <row r="456">
          <cell r="A456" t="str">
            <v>LYQ-ZQ2973-ZL-2XL</v>
          </cell>
          <cell r="B456" t="str">
            <v>LYQ-ZQ2973</v>
          </cell>
        </row>
        <row r="457">
          <cell r="A457" t="str">
            <v>LYQ-ZQ2973-ZL-L</v>
          </cell>
          <cell r="B457" t="str">
            <v>LYQ-ZQ2973</v>
          </cell>
        </row>
        <row r="458">
          <cell r="A458" t="str">
            <v>LYQ-ZQ2973-ZL-M</v>
          </cell>
          <cell r="B458" t="str">
            <v>LYQ-ZQ2973</v>
          </cell>
        </row>
        <row r="459">
          <cell r="A459" t="str">
            <v>LYQ-ZQ2973-ZL-S</v>
          </cell>
          <cell r="B459" t="str">
            <v>LYQ-ZQ2973</v>
          </cell>
        </row>
        <row r="460">
          <cell r="A460" t="str">
            <v>LYQ-ZQ2973-ZL-XL</v>
          </cell>
          <cell r="B460" t="str">
            <v>LYQ-ZQ2973</v>
          </cell>
        </row>
        <row r="461">
          <cell r="A461" t="str">
            <v>LYQ-ZQ2W00-K0-L</v>
          </cell>
          <cell r="B461" t="str">
            <v>LYQ-ZQ2W00</v>
          </cell>
        </row>
        <row r="462">
          <cell r="A462" t="str">
            <v>LYQ-ZQ2W00-K0-M</v>
          </cell>
          <cell r="B462" t="str">
            <v>LYQ-ZQ2W00</v>
          </cell>
        </row>
        <row r="463">
          <cell r="A463" t="str">
            <v>LYQ-ZQ2W00-K0-XL</v>
          </cell>
          <cell r="B463" t="str">
            <v>LYQ-ZQ2W00</v>
          </cell>
        </row>
        <row r="464">
          <cell r="A464" t="str">
            <v>LYQ-ZQ3550-E0-2X</v>
          </cell>
          <cell r="B464" t="str">
            <v>LYQ-ZQ3550</v>
          </cell>
        </row>
        <row r="465">
          <cell r="A465" t="str">
            <v>LYQ-ZQ3550-E0-3X</v>
          </cell>
          <cell r="B465" t="str">
            <v>LYQ-ZQ3550</v>
          </cell>
        </row>
        <row r="466">
          <cell r="A466" t="str">
            <v>LYQ-ZQ3550-E0-4X</v>
          </cell>
          <cell r="B466" t="str">
            <v>LYQ-ZQ3550</v>
          </cell>
        </row>
        <row r="467">
          <cell r="A467" t="str">
            <v>LYQ-ZQ3550-E0-5X</v>
          </cell>
          <cell r="B467" t="str">
            <v>LYQ-ZQ3550</v>
          </cell>
        </row>
        <row r="468">
          <cell r="A468" t="str">
            <v>LYQ-ZQ3550-E0-L</v>
          </cell>
          <cell r="B468" t="str">
            <v>LYQ-ZQ3550</v>
          </cell>
        </row>
        <row r="469">
          <cell r="A469" t="str">
            <v>LYQ-ZQ3550-E0-M</v>
          </cell>
          <cell r="B469" t="str">
            <v>LYQ-ZQ3550</v>
          </cell>
        </row>
        <row r="470">
          <cell r="A470" t="str">
            <v>LYQ-ZQ3550-E0-S</v>
          </cell>
          <cell r="B470" t="str">
            <v>LYQ-ZQ3550</v>
          </cell>
        </row>
        <row r="471">
          <cell r="A471" t="str">
            <v>LYQ-ZQ3550-E0-XL</v>
          </cell>
          <cell r="B471" t="str">
            <v>LYQ-ZQ3550</v>
          </cell>
        </row>
        <row r="472">
          <cell r="A472" t="str">
            <v>LYQ-ZQ3550-PI-2X</v>
          </cell>
          <cell r="B472" t="str">
            <v>LYQ-ZQ3550</v>
          </cell>
        </row>
        <row r="473">
          <cell r="A473" t="str">
            <v>LYQ-ZQ3550-PI-3X</v>
          </cell>
          <cell r="B473" t="str">
            <v>LYQ-ZQ3550</v>
          </cell>
        </row>
        <row r="474">
          <cell r="A474" t="str">
            <v>LYQ-ZQ3550-PI-4X</v>
          </cell>
          <cell r="B474" t="str">
            <v>LYQ-ZQ3550</v>
          </cell>
        </row>
        <row r="475">
          <cell r="A475" t="str">
            <v>LYQ-ZQ3550-PI-5X</v>
          </cell>
          <cell r="B475" t="str">
            <v>LYQ-ZQ3550</v>
          </cell>
        </row>
        <row r="476">
          <cell r="A476" t="str">
            <v>LYQ-ZQ3550-PI-L</v>
          </cell>
          <cell r="B476" t="str">
            <v>LYQ-ZQ3550</v>
          </cell>
        </row>
        <row r="477">
          <cell r="A477" t="str">
            <v>LYQ-ZQ3550-PI-M</v>
          </cell>
          <cell r="B477" t="str">
            <v>LYQ-ZQ3550</v>
          </cell>
        </row>
        <row r="478">
          <cell r="A478" t="str">
            <v>LYQ-ZQ3550-PI-S</v>
          </cell>
          <cell r="B478" t="str">
            <v>LYQ-ZQ3550</v>
          </cell>
        </row>
        <row r="479">
          <cell r="A479" t="str">
            <v>LYQ-ZQ3550-PI-XL</v>
          </cell>
          <cell r="B479" t="str">
            <v>LYQ-ZQ3550</v>
          </cell>
        </row>
        <row r="480">
          <cell r="A480" t="str">
            <v>LYQ-ZQ456-E0-S</v>
          </cell>
          <cell r="B480" t="str">
            <v>LYQ-ZQ456</v>
          </cell>
        </row>
        <row r="481">
          <cell r="A481" t="str">
            <v>LYQ-ZQ6044-B0-S</v>
          </cell>
          <cell r="B481" t="str">
            <v>LYQ-ZQ6044</v>
          </cell>
        </row>
        <row r="482">
          <cell r="A482" t="str">
            <v>LYQ-ZQ7900-W0-L</v>
          </cell>
          <cell r="B482" t="str">
            <v>LYQ-ZQ7900</v>
          </cell>
        </row>
        <row r="483">
          <cell r="A483" t="str">
            <v>LYQ-ZQ7900-W0-S</v>
          </cell>
          <cell r="B483" t="str">
            <v>LYQ-ZQ7900</v>
          </cell>
        </row>
        <row r="484">
          <cell r="A484" t="str">
            <v>LYQ-ZQ7900-W0-XL</v>
          </cell>
          <cell r="B484" t="str">
            <v>LYQ-ZQ7900</v>
          </cell>
        </row>
        <row r="485">
          <cell r="A485" t="str">
            <v>LYQ-ZQ7900-W0-XXL</v>
          </cell>
          <cell r="B485" t="str">
            <v>LYQ-ZQ7900</v>
          </cell>
        </row>
        <row r="486">
          <cell r="A486" t="str">
            <v>LYQ-ZQ8200-FB-L</v>
          </cell>
          <cell r="B486" t="str">
            <v>LYQ-ZQ8200</v>
          </cell>
        </row>
        <row r="487">
          <cell r="A487" t="str">
            <v>LYQ-ZQ8200-FB-M</v>
          </cell>
          <cell r="B487" t="str">
            <v>LYQ-ZQ8200</v>
          </cell>
        </row>
        <row r="488">
          <cell r="A488" t="str">
            <v>LYQ-ZQ8200-FB-S</v>
          </cell>
          <cell r="B488" t="str">
            <v>LYQ-ZQ8200</v>
          </cell>
        </row>
        <row r="489">
          <cell r="A489" t="str">
            <v>LYQ-ZQ8200-FB-XL</v>
          </cell>
          <cell r="B489" t="str">
            <v>LYQ-ZQ8200</v>
          </cell>
        </row>
        <row r="490">
          <cell r="A490" t="str">
            <v>LYQ-ZQ8200-K0-L</v>
          </cell>
          <cell r="B490" t="str">
            <v>LYQ-ZQ8200</v>
          </cell>
        </row>
        <row r="491">
          <cell r="A491" t="str">
            <v>LYQ-ZQ8200-K0-M</v>
          </cell>
          <cell r="B491" t="str">
            <v>LYQ-ZQ8200</v>
          </cell>
        </row>
        <row r="492">
          <cell r="A492" t="str">
            <v>LYQ-ZQ8200-K0-S</v>
          </cell>
          <cell r="B492" t="str">
            <v>LYQ-ZQ8200</v>
          </cell>
        </row>
        <row r="493">
          <cell r="A493" t="str">
            <v>LYQ-ZQ8200-K0-XL</v>
          </cell>
          <cell r="B493" t="str">
            <v>LYQ-ZQ8200</v>
          </cell>
        </row>
        <row r="494">
          <cell r="A494" t="str">
            <v>LYQ-ZQ8200-P0-L</v>
          </cell>
          <cell r="B494" t="str">
            <v>LYQ-ZQ8200</v>
          </cell>
        </row>
        <row r="495">
          <cell r="A495" t="str">
            <v>LYQ-ZQ8200-P0-M</v>
          </cell>
          <cell r="B495" t="str">
            <v>LYQ-ZQ8200</v>
          </cell>
        </row>
        <row r="496">
          <cell r="A496" t="str">
            <v>LYQ-ZQ8200-P0-S</v>
          </cell>
          <cell r="B496" t="str">
            <v>LYQ-ZQ8200</v>
          </cell>
        </row>
        <row r="497">
          <cell r="A497" t="str">
            <v>LYQ-ZQ8200-P0-XL</v>
          </cell>
          <cell r="B497" t="str">
            <v>LYQ-ZQ8200</v>
          </cell>
        </row>
        <row r="498">
          <cell r="A498" t="str">
            <v>LYQ-ZQC910-K0-XL</v>
          </cell>
          <cell r="B498" t="str">
            <v>LYQ-ZQC910</v>
          </cell>
        </row>
        <row r="499">
          <cell r="A499" t="str">
            <v>LYQ-ZQD270-K0-L</v>
          </cell>
          <cell r="B499" t="str">
            <v>LYQ-ZQD270</v>
          </cell>
        </row>
        <row r="500">
          <cell r="A500" t="str">
            <v>LYQ-ZQD270-K0-XL</v>
          </cell>
          <cell r="B500" t="str">
            <v>LYQ-ZQD270</v>
          </cell>
        </row>
        <row r="501">
          <cell r="A501" t="str">
            <v>LYQ-ZQD270-P0-S</v>
          </cell>
          <cell r="B501" t="str">
            <v>LYQ-ZQD270</v>
          </cell>
        </row>
        <row r="502">
          <cell r="A502" t="str">
            <v>LYQ-ZQD270-P0-XL</v>
          </cell>
          <cell r="B502" t="str">
            <v>LYQ-ZQD270</v>
          </cell>
        </row>
        <row r="503">
          <cell r="A503" t="str">
            <v>LYQ-ZQD270-W0-S</v>
          </cell>
          <cell r="B503" t="str">
            <v>LYQ-ZQD270</v>
          </cell>
        </row>
        <row r="504">
          <cell r="A504" t="str">
            <v>LYQ-ZQD390-B0-L</v>
          </cell>
          <cell r="B504" t="str">
            <v>LYQ-ZQD390</v>
          </cell>
        </row>
        <row r="505">
          <cell r="A505" t="str">
            <v>LYQ-ZQD390-E0-S</v>
          </cell>
          <cell r="B505" t="str">
            <v>LYQ-ZQD390</v>
          </cell>
        </row>
        <row r="506">
          <cell r="A506" t="str">
            <v>LYQ-ZQD390-G0-S</v>
          </cell>
          <cell r="B506" t="str">
            <v>LYQ-ZQD390</v>
          </cell>
        </row>
        <row r="507">
          <cell r="A507" t="str">
            <v>LYQ-ZQD390-K0-S</v>
          </cell>
          <cell r="B507" t="str">
            <v>LYQ-ZQD390</v>
          </cell>
        </row>
        <row r="508">
          <cell r="A508" t="str">
            <v>LYQ-ZQLC00-K0-XL</v>
          </cell>
          <cell r="B508" t="str">
            <v>LYQ-ZQLC00</v>
          </cell>
        </row>
        <row r="509">
          <cell r="A509" t="str">
            <v>LYQ-ZQLP01-P0-M</v>
          </cell>
          <cell r="B509" t="str">
            <v>LYQ-ZQLP01</v>
          </cell>
        </row>
        <row r="510">
          <cell r="A510" t="str">
            <v>LYQ-ZQLP01-P0-S</v>
          </cell>
          <cell r="B510" t="str">
            <v>LYQ-ZQLP01</v>
          </cell>
        </row>
        <row r="511">
          <cell r="A511" t="str">
            <v>LYQ-ZQMB170005-K0-2X</v>
          </cell>
          <cell r="B511" t="str">
            <v>LYQ-ZQMB170005</v>
          </cell>
        </row>
        <row r="512">
          <cell r="A512" t="str">
            <v>LYQ-ZQMB170005-K0-XL</v>
          </cell>
          <cell r="B512" t="str">
            <v>LYQ-ZQMB170005</v>
          </cell>
        </row>
        <row r="513">
          <cell r="A513" t="str">
            <v>LYQ-ZQMB3811-E0-2X</v>
          </cell>
          <cell r="B513" t="str">
            <v>LYQ-ZQMB3811</v>
          </cell>
        </row>
        <row r="514">
          <cell r="A514" t="str">
            <v>LYQ-ZQMB3811-E0-3X</v>
          </cell>
          <cell r="B514" t="str">
            <v>LYQ-ZQMB3811</v>
          </cell>
        </row>
        <row r="515">
          <cell r="A515" t="str">
            <v>LYQ-ZQMB3811-E0-5X</v>
          </cell>
          <cell r="B515" t="str">
            <v>LYQ-ZQMB3811</v>
          </cell>
        </row>
        <row r="516">
          <cell r="A516" t="str">
            <v>LYQ-ZQMB3811-E0-6X</v>
          </cell>
          <cell r="B516" t="str">
            <v>LYQ-ZQMB3811</v>
          </cell>
        </row>
        <row r="517">
          <cell r="A517" t="str">
            <v>LYQ-ZQMB3811-E0-XL</v>
          </cell>
          <cell r="B517" t="str">
            <v>LYQ-ZQMB3811</v>
          </cell>
        </row>
        <row r="518">
          <cell r="A518" t="str">
            <v>LYQ-ZQMB3811-K0-3X</v>
          </cell>
          <cell r="B518" t="str">
            <v>LYQ-ZQMB3811</v>
          </cell>
        </row>
        <row r="519">
          <cell r="A519" t="str">
            <v>LYQ-ZQMB3811-K0-4X</v>
          </cell>
          <cell r="B519" t="str">
            <v>LYQ-ZQMB3811</v>
          </cell>
        </row>
        <row r="520">
          <cell r="A520" t="str">
            <v>LYQ-ZQPC01-B0-L</v>
          </cell>
          <cell r="B520" t="str">
            <v>LYQ-ZQPC01</v>
          </cell>
        </row>
        <row r="521">
          <cell r="A521" t="str">
            <v>LYQ-ZQPC01-B0-M</v>
          </cell>
          <cell r="B521" t="str">
            <v>LYQ-ZQPC01</v>
          </cell>
        </row>
        <row r="522">
          <cell r="A522" t="str">
            <v>LYQ-ZQPC01-B0-S</v>
          </cell>
          <cell r="B522" t="str">
            <v>LYQ-ZQPC01</v>
          </cell>
        </row>
        <row r="523">
          <cell r="A523" t="str">
            <v>LYQ-ZQPC01-B0-XL</v>
          </cell>
          <cell r="B523" t="str">
            <v>LYQ-ZQPC01</v>
          </cell>
        </row>
        <row r="524">
          <cell r="A524" t="str">
            <v>LYQ-ZQPC01-B0-XXL</v>
          </cell>
          <cell r="B524" t="str">
            <v>LYQ-ZQPC01</v>
          </cell>
        </row>
        <row r="525">
          <cell r="A525" t="str">
            <v>LYQ-ZQPC01-BD-L</v>
          </cell>
          <cell r="B525" t="str">
            <v>LYQ-ZQPC01</v>
          </cell>
        </row>
        <row r="526">
          <cell r="A526" t="str">
            <v>LYQ-ZQPC01-BD-M</v>
          </cell>
          <cell r="B526" t="str">
            <v>LYQ-ZQPC01</v>
          </cell>
        </row>
        <row r="527">
          <cell r="A527" t="str">
            <v>LYQ-ZQPC01-BD-S</v>
          </cell>
          <cell r="B527" t="str">
            <v>LYQ-ZQPC01</v>
          </cell>
        </row>
        <row r="528">
          <cell r="A528" t="str">
            <v>LYQ-ZQPC01-BD-XL</v>
          </cell>
          <cell r="B528" t="str">
            <v>LYQ-ZQPC01</v>
          </cell>
        </row>
        <row r="529">
          <cell r="A529" t="str">
            <v>LYQ-ZQPC01-BD-XXL</v>
          </cell>
          <cell r="B529" t="str">
            <v>LYQ-ZQPC01</v>
          </cell>
        </row>
        <row r="530">
          <cell r="A530" t="str">
            <v>LYQ-ZQPC01-E0-L</v>
          </cell>
          <cell r="B530" t="str">
            <v>LYQ-ZQPC01</v>
          </cell>
        </row>
        <row r="531">
          <cell r="A531" t="str">
            <v>LYQ-ZQPC01-E0-M</v>
          </cell>
          <cell r="B531" t="str">
            <v>LYQ-ZQPC01</v>
          </cell>
        </row>
        <row r="532">
          <cell r="A532" t="str">
            <v>LYQ-ZQPC01-E0-S</v>
          </cell>
          <cell r="B532" t="str">
            <v>LYQ-ZQPC01</v>
          </cell>
        </row>
        <row r="533">
          <cell r="A533" t="str">
            <v>LYQ-ZQPC01-E0-XL</v>
          </cell>
          <cell r="B533" t="str">
            <v>LYQ-ZQPC01</v>
          </cell>
        </row>
        <row r="534">
          <cell r="A534" t="str">
            <v>LYQ-ZQPC01-E0-XXL</v>
          </cell>
          <cell r="B534" t="str">
            <v>LYQ-ZQPC01</v>
          </cell>
        </row>
        <row r="535">
          <cell r="A535" t="str">
            <v>LYQ-ZQPC01-P0-L</v>
          </cell>
          <cell r="B535" t="str">
            <v>LYQ-ZQPC01</v>
          </cell>
        </row>
        <row r="536">
          <cell r="A536" t="str">
            <v>LYQ-ZQPC01-P0-M</v>
          </cell>
          <cell r="B536" t="str">
            <v>LYQ-ZQPC01</v>
          </cell>
        </row>
        <row r="537">
          <cell r="A537" t="str">
            <v>LYQ-ZQPC01-P0-S</v>
          </cell>
          <cell r="B537" t="str">
            <v>LYQ-ZQPC01</v>
          </cell>
        </row>
        <row r="538">
          <cell r="A538" t="str">
            <v>LYQ-ZQPC01-P0-XL</v>
          </cell>
          <cell r="B538" t="str">
            <v>LYQ-ZQPC01</v>
          </cell>
        </row>
        <row r="539">
          <cell r="A539" t="str">
            <v>LYQ-ZQPC01-P0-XXL</v>
          </cell>
          <cell r="B539" t="str">
            <v>LYQ-ZQPC01</v>
          </cell>
        </row>
        <row r="540">
          <cell r="A540" t="str">
            <v>LYQ-ZQPC01-ZL-L</v>
          </cell>
          <cell r="B540" t="str">
            <v>LYQ-ZQPC01</v>
          </cell>
        </row>
        <row r="541">
          <cell r="A541" t="str">
            <v>LYQ-ZQPC01-ZL-M</v>
          </cell>
          <cell r="B541" t="str">
            <v>LYQ-ZQPC01</v>
          </cell>
        </row>
        <row r="542">
          <cell r="A542" t="str">
            <v>LYQ-ZQPC01-ZL-XL</v>
          </cell>
          <cell r="B542" t="str">
            <v>LYQ-ZQPC01</v>
          </cell>
        </row>
        <row r="543">
          <cell r="A543" t="str">
            <v>LYQ-ZQPC01-ZL-XXL</v>
          </cell>
          <cell r="B543" t="str">
            <v>LYQ-ZQPC01</v>
          </cell>
        </row>
        <row r="544">
          <cell r="A544" t="str">
            <v>LYQ-ZQS1741-G7-L</v>
          </cell>
          <cell r="B544" t="str">
            <v>LYQ-ZQS1741</v>
          </cell>
        </row>
        <row r="545">
          <cell r="A545" t="str">
            <v>LYQ-ZQS1741-G7-M</v>
          </cell>
          <cell r="B545" t="str">
            <v>LYQ-ZQS1741</v>
          </cell>
        </row>
        <row r="546">
          <cell r="A546" t="str">
            <v>LYQ-ZQS1741-G7-S</v>
          </cell>
          <cell r="B546" t="str">
            <v>LYQ-ZQS1741</v>
          </cell>
        </row>
        <row r="547">
          <cell r="A547" t="str">
            <v>LYQ-ZQS1741-G7-XL</v>
          </cell>
          <cell r="B547" t="str">
            <v>LYQ-ZQS1741</v>
          </cell>
        </row>
        <row r="548">
          <cell r="A548" t="str">
            <v>LYQ-ZQS1741-K0-L</v>
          </cell>
          <cell r="B548" t="str">
            <v>LYQ-ZQS1741</v>
          </cell>
        </row>
        <row r="549">
          <cell r="A549" t="str">
            <v>LYQ-ZQS1741-K0-M</v>
          </cell>
          <cell r="B549" t="str">
            <v>LYQ-ZQS1741</v>
          </cell>
        </row>
        <row r="550">
          <cell r="A550" t="str">
            <v>LYQ-ZQS1741-K0-S</v>
          </cell>
          <cell r="B550" t="str">
            <v>LYQ-ZQS1741</v>
          </cell>
        </row>
        <row r="551">
          <cell r="A551" t="str">
            <v>LYQ-ZQS1741-W0-L</v>
          </cell>
          <cell r="B551" t="str">
            <v>LYQ-ZQS1741</v>
          </cell>
        </row>
        <row r="552">
          <cell r="A552" t="str">
            <v>LYQ-ZQS1741-W0-M</v>
          </cell>
          <cell r="B552" t="str">
            <v>LYQ-ZQS1741</v>
          </cell>
        </row>
        <row r="553">
          <cell r="A553" t="str">
            <v>LYQ-ZQS1741-W0-S</v>
          </cell>
          <cell r="B553" t="str">
            <v>LYQ-ZQS1741</v>
          </cell>
        </row>
        <row r="554">
          <cell r="A554" t="str">
            <v>LYQ-ZQS1741-W0-XL</v>
          </cell>
          <cell r="B554" t="str">
            <v>LYQ-ZQS1741</v>
          </cell>
        </row>
        <row r="555">
          <cell r="A555" t="str">
            <v>LYQ-ZQTN2611-BD-2X</v>
          </cell>
          <cell r="B555" t="str">
            <v>LYQ-ZQTN2611</v>
          </cell>
        </row>
        <row r="556">
          <cell r="A556" t="str">
            <v>LYQ-ZQTN2611-BD-3X</v>
          </cell>
          <cell r="B556" t="str">
            <v>LYQ-ZQTN2611</v>
          </cell>
        </row>
        <row r="557">
          <cell r="A557" t="str">
            <v>LYQ-ZQTN2611-BD-4X</v>
          </cell>
          <cell r="B557" t="str">
            <v>LYQ-ZQTN2611</v>
          </cell>
        </row>
        <row r="558">
          <cell r="A558" t="str">
            <v>LYQ-ZQTN2611-PI-2X</v>
          </cell>
          <cell r="B558" t="str">
            <v>LYQ-ZQTN2611</v>
          </cell>
        </row>
        <row r="559">
          <cell r="A559" t="str">
            <v>LYQ-ZQTN2611-PI-3X</v>
          </cell>
          <cell r="B559" t="str">
            <v>LYQ-ZQTN2611</v>
          </cell>
        </row>
        <row r="560">
          <cell r="A560" t="str">
            <v>LYQ-ZQTN2611-PI-5X</v>
          </cell>
          <cell r="B560" t="str">
            <v>LYQ-ZQTN2611</v>
          </cell>
        </row>
        <row r="561">
          <cell r="A561" t="str">
            <v>LYQ-ZQTN2611-PI-6X</v>
          </cell>
          <cell r="B561" t="str">
            <v>LYQ-ZQTN2611</v>
          </cell>
        </row>
        <row r="562">
          <cell r="A562" t="str">
            <v>LYQ-ZQTN2611-PI-XL</v>
          </cell>
          <cell r="B562" t="str">
            <v>LYQ-ZQTN2611</v>
          </cell>
        </row>
        <row r="563">
          <cell r="A563" t="str">
            <v>MNQ-N718-W0-M</v>
          </cell>
          <cell r="B563" t="str">
            <v>MNQ-N718</v>
          </cell>
        </row>
        <row r="564">
          <cell r="A564" t="str">
            <v>MZ-JY1616-CF</v>
          </cell>
          <cell r="B564" t="str">
            <v>MZ-JY1616</v>
          </cell>
        </row>
        <row r="565">
          <cell r="A565" t="str">
            <v>MZ-JY1616-KH</v>
          </cell>
          <cell r="B565" t="str">
            <v>MZ-JY1616</v>
          </cell>
        </row>
        <row r="566">
          <cell r="A566" t="str">
            <v>MZ-JY1616-R0</v>
          </cell>
          <cell r="B566" t="str">
            <v>MZ-JY1616</v>
          </cell>
        </row>
        <row r="567">
          <cell r="A567" t="str">
            <v>MZ-JY1616-ZL</v>
          </cell>
          <cell r="B567" t="str">
            <v>MZ-JY1616</v>
          </cell>
        </row>
        <row r="568">
          <cell r="A568" t="str">
            <v>NZ-FLQ52</v>
          </cell>
          <cell r="B568" t="str">
            <v>NZ-FLQ52</v>
          </cell>
        </row>
        <row r="569">
          <cell r="A569" t="str">
            <v>NZ-FLQ53</v>
          </cell>
          <cell r="B569" t="str">
            <v>NZ-FLQ53</v>
          </cell>
        </row>
        <row r="570">
          <cell r="A570" t="str">
            <v>NZZH-FLQ52</v>
          </cell>
          <cell r="B570" t="str">
            <v>NZZH-FLQ52</v>
          </cell>
        </row>
        <row r="571">
          <cell r="A571" t="str">
            <v>PJ-ZQ0976-K0</v>
          </cell>
          <cell r="B571" t="str">
            <v>PJ-ZQ0976</v>
          </cell>
        </row>
        <row r="572">
          <cell r="A572" t="str">
            <v>PJ-ZQ0976-O0</v>
          </cell>
          <cell r="B572" t="str">
            <v>PJ-ZQ0976</v>
          </cell>
        </row>
        <row r="573">
          <cell r="A573" t="str">
            <v>PJ-ZQ7050-C3</v>
          </cell>
          <cell r="B573" t="str">
            <v>PJ-ZQ7050</v>
          </cell>
        </row>
        <row r="574">
          <cell r="A574" t="str">
            <v>SHJ-ZQLS01-B0-2XL</v>
          </cell>
          <cell r="B574" t="str">
            <v>SHJ-ZQLS01</v>
          </cell>
        </row>
        <row r="575">
          <cell r="A575" t="str">
            <v>SHJ-ZQLS01-B0-3XL</v>
          </cell>
          <cell r="B575" t="str">
            <v>SHJ-ZQLS01</v>
          </cell>
        </row>
        <row r="576">
          <cell r="A576" t="str">
            <v>SHJ-ZQLS01-B0-4XL</v>
          </cell>
          <cell r="B576" t="str">
            <v>SHJ-ZQLS01</v>
          </cell>
        </row>
        <row r="577">
          <cell r="A577" t="str">
            <v>SHJ-ZQLS01-B0-XL</v>
          </cell>
          <cell r="B577" t="str">
            <v>SHJ-ZQLS01</v>
          </cell>
        </row>
        <row r="578">
          <cell r="A578" t="str">
            <v>SHJ-ZQLS12-K0-2XL</v>
          </cell>
          <cell r="B578" t="str">
            <v>SHJ-ZQLS12</v>
          </cell>
        </row>
        <row r="579">
          <cell r="A579" t="str">
            <v>SHJ-ZQLS12-K0-3XL</v>
          </cell>
          <cell r="B579" t="str">
            <v>SHJ-ZQLS12</v>
          </cell>
        </row>
        <row r="580">
          <cell r="A580" t="str">
            <v>SHJ-ZQLS12-K0-L</v>
          </cell>
          <cell r="B580" t="str">
            <v>SHJ-ZQLS12</v>
          </cell>
        </row>
        <row r="581">
          <cell r="A581" t="str">
            <v>SHJ-ZQLS12-K0-XL</v>
          </cell>
          <cell r="B581" t="str">
            <v>SHJ-ZQLS12</v>
          </cell>
        </row>
        <row r="582">
          <cell r="A582" t="str">
            <v>SJ-HM1995-K0</v>
          </cell>
          <cell r="B582" t="str">
            <v>SJ-HM1995</v>
          </cell>
        </row>
        <row r="583">
          <cell r="A583" t="str">
            <v>SJ-HM1995-W0</v>
          </cell>
          <cell r="B583" t="str">
            <v>SJ-HM1995</v>
          </cell>
        </row>
        <row r="584">
          <cell r="A584" t="str">
            <v>WJ-ZQ650-C1</v>
          </cell>
          <cell r="B584" t="str">
            <v>WJ-ZQ650</v>
          </cell>
        </row>
        <row r="585">
          <cell r="A585" t="str">
            <v>WJ-ZQ650-C10</v>
          </cell>
          <cell r="B585" t="str">
            <v>WJ-ZQ650</v>
          </cell>
        </row>
        <row r="586">
          <cell r="A586" t="str">
            <v>WJ-ZQ650-C11</v>
          </cell>
          <cell r="B586" t="str">
            <v>WJ-ZQ650</v>
          </cell>
        </row>
        <row r="587">
          <cell r="A587" t="str">
            <v>WJ-ZQ650-C3</v>
          </cell>
          <cell r="B587" t="str">
            <v>WJ-ZQ650</v>
          </cell>
        </row>
        <row r="588">
          <cell r="A588" t="str">
            <v>WJ-ZQ650-C4</v>
          </cell>
          <cell r="B588" t="str">
            <v>WJ-ZQ650</v>
          </cell>
        </row>
        <row r="589">
          <cell r="A589" t="str">
            <v>WJ-ZQ650-C5</v>
          </cell>
          <cell r="B589" t="str">
            <v>WJ-ZQ650</v>
          </cell>
        </row>
        <row r="590">
          <cell r="A590" t="str">
            <v>WJ-ZQ650-C6</v>
          </cell>
          <cell r="B590" t="str">
            <v>WJ-ZQ650</v>
          </cell>
        </row>
        <row r="591">
          <cell r="A591" t="str">
            <v>WJ-ZQ650-C7</v>
          </cell>
          <cell r="B591" t="str">
            <v>WJ-ZQ650</v>
          </cell>
        </row>
        <row r="592">
          <cell r="A592" t="str">
            <v>WJ-ZQ650-C8</v>
          </cell>
          <cell r="B592" t="str">
            <v>WJ-ZQ650</v>
          </cell>
        </row>
        <row r="593">
          <cell r="A593" t="str">
            <v>WJ-ZQ650-C9</v>
          </cell>
          <cell r="B593" t="str">
            <v>WJ-ZQ650</v>
          </cell>
        </row>
        <row r="594">
          <cell r="A594" t="str">
            <v>WT-ZQ921-G7-4XL</v>
          </cell>
          <cell r="B594" t="str">
            <v>WT-ZQ921</v>
          </cell>
        </row>
        <row r="595">
          <cell r="A595" t="str">
            <v>WT-ZQ921-K0-2XL</v>
          </cell>
          <cell r="B595" t="str">
            <v>WT-ZQ921</v>
          </cell>
        </row>
        <row r="596">
          <cell r="A596" t="str">
            <v>WT-ZQ921-K0-L</v>
          </cell>
          <cell r="B596" t="str">
            <v>WT-ZQ921</v>
          </cell>
        </row>
        <row r="597">
          <cell r="A597" t="str">
            <v>YF-YULQ001-B7-20</v>
          </cell>
          <cell r="B597" t="str">
            <v>YF-YULQ001</v>
          </cell>
        </row>
        <row r="598">
          <cell r="A598" t="str">
            <v>YF-YULQ002-B7-20</v>
          </cell>
          <cell r="B598" t="str">
            <v>YF-YULQ002</v>
          </cell>
        </row>
        <row r="599">
          <cell r="A599" t="str">
            <v>YF-YULQ003-R2-20</v>
          </cell>
          <cell r="B599" t="str">
            <v>YF-YULQ003</v>
          </cell>
        </row>
        <row r="600">
          <cell r="A600" t="str">
            <v>YF-YULQ003-W0-20</v>
          </cell>
          <cell r="B600" t="str">
            <v>YF-YULQ003</v>
          </cell>
        </row>
        <row r="601">
          <cell r="A601" t="str">
            <v>YF-YULQ007-PI-20</v>
          </cell>
          <cell r="B601" t="str">
            <v>YF-YULQ007</v>
          </cell>
        </row>
        <row r="602">
          <cell r="A602" t="str">
            <v>YF-YULQ008-BL-22</v>
          </cell>
          <cell r="B602" t="str">
            <v>YF-YULQ008</v>
          </cell>
        </row>
        <row r="603">
          <cell r="A603" t="str">
            <v>YF-YULQ009-YE-22</v>
          </cell>
          <cell r="B603" t="str">
            <v>YF-YULQ009</v>
          </cell>
        </row>
        <row r="604">
          <cell r="A604" t="str">
            <v>YF-YULQ010-PI-22</v>
          </cell>
          <cell r="B604" t="str">
            <v>YF-YULQ010</v>
          </cell>
        </row>
        <row r="605">
          <cell r="A605" t="str">
            <v>YF-YULQ161-B7-20</v>
          </cell>
          <cell r="B605" t="str">
            <v>YF-YULQ161</v>
          </cell>
        </row>
        <row r="606">
          <cell r="A606" t="str">
            <v>YF-YULQ162-B7-20</v>
          </cell>
          <cell r="B606" t="str">
            <v>YF-YULQ162</v>
          </cell>
        </row>
        <row r="607">
          <cell r="A607" t="str">
            <v>YF-YULQ601-PI-20</v>
          </cell>
          <cell r="B607" t="str">
            <v>YF-YULQ601</v>
          </cell>
        </row>
        <row r="608">
          <cell r="A608" t="str">
            <v>YF-YULQ602-PI-20</v>
          </cell>
          <cell r="B608" t="str">
            <v>YF-YULQ602</v>
          </cell>
        </row>
        <row r="609">
          <cell r="A609" t="str">
            <v>YF-YULQ904-B7-20</v>
          </cell>
          <cell r="B609" t="str">
            <v>YF-YULQ904</v>
          </cell>
        </row>
        <row r="610">
          <cell r="A610" t="str">
            <v>YF-YULQ905-B7-20</v>
          </cell>
          <cell r="B610" t="str">
            <v>YF-YULQ905</v>
          </cell>
        </row>
        <row r="611">
          <cell r="A611" t="str">
            <v>YL-FLQ58-PI-50</v>
          </cell>
          <cell r="B611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196</v>
          </cell>
          <cell r="D2">
            <v>211</v>
          </cell>
          <cell r="E2">
            <v>214</v>
          </cell>
          <cell r="F2">
            <v>348</v>
          </cell>
        </row>
        <row r="3">
          <cell r="A3" t="str">
            <v>DO-YULQ620-NZ-22</v>
          </cell>
          <cell r="B3" t="str">
            <v>DO-YULQ620</v>
          </cell>
          <cell r="C3">
            <v>3</v>
          </cell>
          <cell r="D3">
            <v>2</v>
          </cell>
          <cell r="E3">
            <v>7</v>
          </cell>
          <cell r="F3">
            <v>2</v>
          </cell>
          <cell r="G3">
            <v>85.99</v>
          </cell>
        </row>
        <row r="4">
          <cell r="A4" t="str">
            <v>DOLL-7056-0R-11</v>
          </cell>
          <cell r="B4" t="str">
            <v>DOLL-7056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32.99</v>
          </cell>
        </row>
        <row r="5">
          <cell r="A5" t="str">
            <v>DO-YULQ173-B7-22</v>
          </cell>
          <cell r="B5" t="str">
            <v>DO-YULQ173</v>
          </cell>
          <cell r="C5">
            <v>6</v>
          </cell>
          <cell r="D5">
            <v>9</v>
          </cell>
          <cell r="E5">
            <v>13</v>
          </cell>
          <cell r="F5">
            <v>15</v>
          </cell>
          <cell r="G5">
            <v>89.9899999999999</v>
          </cell>
        </row>
        <row r="6">
          <cell r="A6" t="str">
            <v>YF-YULQ905-B7-20</v>
          </cell>
          <cell r="B6" t="str">
            <v>YF-YULQ905</v>
          </cell>
          <cell r="C6">
            <v>3</v>
          </cell>
          <cell r="D6">
            <v>1</v>
          </cell>
          <cell r="E6">
            <v>2</v>
          </cell>
          <cell r="F6">
            <v>2</v>
          </cell>
          <cell r="G6">
            <v>21.99</v>
          </cell>
        </row>
        <row r="7">
          <cell r="A7" t="str">
            <v>DO-YULQ631-R2-22</v>
          </cell>
          <cell r="B7" t="str">
            <v>DO-YULQ631</v>
          </cell>
          <cell r="C7">
            <v>0</v>
          </cell>
          <cell r="D7">
            <v>0</v>
          </cell>
          <cell r="E7">
            <v>1</v>
          </cell>
          <cell r="F7">
            <v>1</v>
          </cell>
          <cell r="G7">
            <v>99.99</v>
          </cell>
        </row>
        <row r="8">
          <cell r="A8" t="str">
            <v>DOLL-0630-PI-22</v>
          </cell>
          <cell r="B8" t="str">
            <v>DOLL-0630</v>
          </cell>
          <cell r="C8">
            <v>0</v>
          </cell>
          <cell r="D8">
            <v>2</v>
          </cell>
          <cell r="E8">
            <v>2</v>
          </cell>
          <cell r="F8">
            <v>4</v>
          </cell>
          <cell r="G8">
            <v>89.99</v>
          </cell>
        </row>
        <row r="9">
          <cell r="A9" t="str">
            <v>DO-YULQ001-PI-22</v>
          </cell>
          <cell r="B9" t="str">
            <v>DO-YULQ001</v>
          </cell>
          <cell r="C9">
            <v>15</v>
          </cell>
          <cell r="D9">
            <v>18</v>
          </cell>
          <cell r="E9">
            <v>22</v>
          </cell>
          <cell r="F9">
            <v>65</v>
          </cell>
          <cell r="G9">
            <v>91.9899999999998</v>
          </cell>
        </row>
        <row r="10">
          <cell r="A10" t="str">
            <v>DOLLDRESS-003-PI-20</v>
          </cell>
          <cell r="B10" t="str">
            <v>DOLLDRESS-003</v>
          </cell>
          <cell r="C10">
            <v>0</v>
          </cell>
          <cell r="D10">
            <v>2</v>
          </cell>
          <cell r="E10">
            <v>9</v>
          </cell>
          <cell r="F10">
            <v>4</v>
          </cell>
          <cell r="G10">
            <v>21.99</v>
          </cell>
        </row>
        <row r="11">
          <cell r="A11" t="str">
            <v>DOLL-0605-PI-22</v>
          </cell>
          <cell r="B11" t="str">
            <v>DOLL-0605</v>
          </cell>
          <cell r="C11">
            <v>10</v>
          </cell>
          <cell r="D11">
            <v>7</v>
          </cell>
          <cell r="E11">
            <v>3</v>
          </cell>
          <cell r="F11">
            <v>8</v>
          </cell>
          <cell r="G11">
            <v>89.99</v>
          </cell>
        </row>
        <row r="12">
          <cell r="A12" t="str">
            <v>DO-YULQ100-B7-22</v>
          </cell>
          <cell r="B12" t="str">
            <v>DO-YULQ100</v>
          </cell>
          <cell r="C12">
            <v>11</v>
          </cell>
          <cell r="D12">
            <v>7</v>
          </cell>
          <cell r="E12">
            <v>13</v>
          </cell>
          <cell r="F12">
            <v>18</v>
          </cell>
          <cell r="G12">
            <v>89.9899999999999</v>
          </cell>
        </row>
        <row r="13">
          <cell r="A13" t="str">
            <v>YF-YULQ007-PI-20</v>
          </cell>
          <cell r="B13" t="str">
            <v>YF-YULQ007</v>
          </cell>
          <cell r="C13">
            <v>7</v>
          </cell>
          <cell r="D13">
            <v>9</v>
          </cell>
          <cell r="E13">
            <v>6</v>
          </cell>
          <cell r="F13">
            <v>6</v>
          </cell>
          <cell r="G13">
            <v>21.99</v>
          </cell>
        </row>
        <row r="14">
          <cell r="A14" t="str">
            <v>DOLL-020-PI-22</v>
          </cell>
          <cell r="B14" t="str">
            <v>DOLL-020</v>
          </cell>
          <cell r="C14">
            <v>11</v>
          </cell>
          <cell r="D14">
            <v>15</v>
          </cell>
          <cell r="E14">
            <v>7</v>
          </cell>
          <cell r="F14">
            <v>6</v>
          </cell>
          <cell r="G14">
            <v>89.9899999999999</v>
          </cell>
        </row>
        <row r="15">
          <cell r="A15" t="str">
            <v>DOLL-7056-LGR-11</v>
          </cell>
          <cell r="B15" t="str">
            <v>DOLL-7056</v>
          </cell>
          <cell r="C15">
            <v>2</v>
          </cell>
          <cell r="D15">
            <v>3</v>
          </cell>
          <cell r="E15">
            <v>1</v>
          </cell>
          <cell r="F15">
            <v>25</v>
          </cell>
          <cell r="G15">
            <v>34.99</v>
          </cell>
        </row>
        <row r="16">
          <cell r="A16" t="str">
            <v>DO-YULQ163-B7-22</v>
          </cell>
          <cell r="B16" t="str">
            <v>DO-YULQ163</v>
          </cell>
          <cell r="C16">
            <v>2</v>
          </cell>
          <cell r="D16">
            <v>0</v>
          </cell>
          <cell r="E16">
            <v>1</v>
          </cell>
          <cell r="F16">
            <v>3</v>
          </cell>
          <cell r="G16">
            <v>89.99</v>
          </cell>
        </row>
        <row r="17">
          <cell r="A17" t="str">
            <v>DO-YULQ152-Z1-22</v>
          </cell>
          <cell r="B17" t="str">
            <v>DO-YULQ152</v>
          </cell>
          <cell r="C17">
            <v>1</v>
          </cell>
          <cell r="D17">
            <v>0</v>
          </cell>
          <cell r="E17">
            <v>0</v>
          </cell>
          <cell r="F17">
            <v>1</v>
          </cell>
          <cell r="G17">
            <v>89.99</v>
          </cell>
        </row>
        <row r="18">
          <cell r="A18" t="str">
            <v>DOLL-010-PI-22</v>
          </cell>
          <cell r="B18" t="str">
            <v>DOLL-010</v>
          </cell>
          <cell r="C18">
            <v>15</v>
          </cell>
          <cell r="D18">
            <v>13</v>
          </cell>
          <cell r="E18">
            <v>13</v>
          </cell>
          <cell r="F18">
            <v>32</v>
          </cell>
          <cell r="G18">
            <v>98.3598630136985</v>
          </cell>
        </row>
        <row r="19">
          <cell r="A19" t="str">
            <v>DOLLDRESS-003-R2-20</v>
          </cell>
          <cell r="B19" t="str">
            <v>DOLLDRESS-003</v>
          </cell>
          <cell r="C19">
            <v>0</v>
          </cell>
          <cell r="D19">
            <v>2</v>
          </cell>
          <cell r="E19">
            <v>2</v>
          </cell>
          <cell r="F19">
            <v>4</v>
          </cell>
          <cell r="G19">
            <v>21.99</v>
          </cell>
        </row>
        <row r="20">
          <cell r="A20" t="str">
            <v>DO-YULQ200-W0-10</v>
          </cell>
          <cell r="B20" t="str">
            <v>DO-YULQ200</v>
          </cell>
          <cell r="C20">
            <v>0</v>
          </cell>
          <cell r="D20">
            <v>0</v>
          </cell>
          <cell r="E20">
            <v>1</v>
          </cell>
          <cell r="F20">
            <v>1</v>
          </cell>
          <cell r="G20">
            <v>32.99</v>
          </cell>
        </row>
        <row r="21">
          <cell r="A21" t="str">
            <v>DO-YULQ010-PI-15</v>
          </cell>
          <cell r="B21" t="str">
            <v>DO-YULQ010</v>
          </cell>
          <cell r="C21">
            <v>1</v>
          </cell>
          <cell r="D21">
            <v>1</v>
          </cell>
          <cell r="E21">
            <v>0</v>
          </cell>
          <cell r="F21">
            <v>1</v>
          </cell>
          <cell r="G21">
            <v>79.99</v>
          </cell>
        </row>
        <row r="22">
          <cell r="A22" t="str">
            <v>DO-YULQ123-FB-22</v>
          </cell>
          <cell r="B22" t="str">
            <v>DO-YULQ123</v>
          </cell>
          <cell r="C22">
            <v>3</v>
          </cell>
          <cell r="D22">
            <v>6</v>
          </cell>
          <cell r="E22">
            <v>4</v>
          </cell>
          <cell r="F22">
            <v>8</v>
          </cell>
          <cell r="G22">
            <v>89.99</v>
          </cell>
        </row>
        <row r="23">
          <cell r="A23" t="str">
            <v>DO-YULQ061-W0-22</v>
          </cell>
          <cell r="B23" t="str">
            <v>DO-YULQ061</v>
          </cell>
          <cell r="C23">
            <v>0</v>
          </cell>
          <cell r="D23">
            <v>0</v>
          </cell>
          <cell r="E23">
            <v>0</v>
          </cell>
          <cell r="F23">
            <v>2</v>
          </cell>
          <cell r="G23">
            <v>104.99</v>
          </cell>
        </row>
        <row r="24">
          <cell r="A24" t="str">
            <v>DO-YULQ008-LGR-16</v>
          </cell>
          <cell r="B24" t="str">
            <v>DO-YULQ008</v>
          </cell>
          <cell r="C24">
            <v>0</v>
          </cell>
          <cell r="D24">
            <v>0</v>
          </cell>
          <cell r="E24">
            <v>0</v>
          </cell>
          <cell r="F24">
            <v>3</v>
          </cell>
          <cell r="G24">
            <v>79.99</v>
          </cell>
        </row>
        <row r="25">
          <cell r="A25" t="str">
            <v>DO-YULQ070-PI-16</v>
          </cell>
          <cell r="B25" t="str">
            <v>DO-YULQ070</v>
          </cell>
          <cell r="C25">
            <v>3</v>
          </cell>
          <cell r="D25">
            <v>9</v>
          </cell>
          <cell r="E25">
            <v>10</v>
          </cell>
          <cell r="F25">
            <v>3</v>
          </cell>
          <cell r="G25">
            <v>79.99</v>
          </cell>
        </row>
        <row r="26">
          <cell r="A26" t="str">
            <v>DO-YULQ162-PI-16</v>
          </cell>
          <cell r="B26" t="str">
            <v>DO-YULQ162</v>
          </cell>
          <cell r="C26">
            <v>0</v>
          </cell>
          <cell r="D26">
            <v>1</v>
          </cell>
          <cell r="E26">
            <v>0</v>
          </cell>
          <cell r="F26">
            <v>2</v>
          </cell>
          <cell r="G26">
            <v>85.99</v>
          </cell>
        </row>
        <row r="27">
          <cell r="A27" t="str">
            <v>DO-YULQ153-B7-22</v>
          </cell>
          <cell r="B27" t="str">
            <v>DO-YULQ153</v>
          </cell>
          <cell r="C27">
            <v>0</v>
          </cell>
          <cell r="D27">
            <v>1</v>
          </cell>
          <cell r="E27">
            <v>4</v>
          </cell>
          <cell r="F27">
            <v>2</v>
          </cell>
          <cell r="G27">
            <v>99.99</v>
          </cell>
        </row>
        <row r="28">
          <cell r="A28" t="str">
            <v>DO-YULQ012-PI-22</v>
          </cell>
          <cell r="B28" t="str">
            <v>DO-YULQ012</v>
          </cell>
          <cell r="C28">
            <v>2</v>
          </cell>
          <cell r="D28">
            <v>3</v>
          </cell>
          <cell r="E28">
            <v>4</v>
          </cell>
          <cell r="F28">
            <v>4</v>
          </cell>
          <cell r="G28">
            <v>89.99</v>
          </cell>
        </row>
        <row r="29">
          <cell r="A29" t="str">
            <v>DO-YULQ330-PI-18</v>
          </cell>
          <cell r="B29" t="str">
            <v>DO-YULQ330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79.6</v>
          </cell>
        </row>
        <row r="30">
          <cell r="A30" t="str">
            <v>DOLL-004-PI-10</v>
          </cell>
          <cell r="B30" t="str">
            <v>DOLL-004</v>
          </cell>
          <cell r="C30">
            <v>6</v>
          </cell>
          <cell r="D30">
            <v>2</v>
          </cell>
          <cell r="E30">
            <v>1</v>
          </cell>
          <cell r="F30">
            <v>1</v>
          </cell>
          <cell r="G30">
            <v>30.59</v>
          </cell>
        </row>
        <row r="31">
          <cell r="A31" t="str">
            <v>DO-YULQ708-W0-24</v>
          </cell>
          <cell r="B31" t="str">
            <v>DO-YULQ708</v>
          </cell>
          <cell r="C31">
            <v>2</v>
          </cell>
          <cell r="D31">
            <v>2</v>
          </cell>
          <cell r="E31">
            <v>2</v>
          </cell>
          <cell r="F31">
            <v>4</v>
          </cell>
          <cell r="G31">
            <v>108.99</v>
          </cell>
        </row>
        <row r="32">
          <cell r="A32" t="str">
            <v>DOLLDRESS-003-WO-M</v>
          </cell>
          <cell r="B32" t="str">
            <v>DOLLDRESS-003</v>
          </cell>
          <cell r="C32">
            <v>0</v>
          </cell>
          <cell r="D32">
            <v>0</v>
          </cell>
          <cell r="E32">
            <v>1</v>
          </cell>
          <cell r="F32">
            <v>3</v>
          </cell>
          <cell r="G32">
            <v>14.99</v>
          </cell>
        </row>
        <row r="33">
          <cell r="A33" t="str">
            <v>DO-YULQ061-LGR-22</v>
          </cell>
          <cell r="B33" t="str">
            <v>DO-YULQ061</v>
          </cell>
          <cell r="C33">
            <v>0</v>
          </cell>
          <cell r="D33">
            <v>0</v>
          </cell>
          <cell r="E33">
            <v>1</v>
          </cell>
          <cell r="F33">
            <v>1</v>
          </cell>
          <cell r="G33">
            <v>94.6</v>
          </cell>
        </row>
        <row r="34">
          <cell r="A34" t="str">
            <v>DO-YULQ812-W0-18</v>
          </cell>
          <cell r="B34" t="str">
            <v>DO-YULQ812</v>
          </cell>
          <cell r="C34">
            <v>4</v>
          </cell>
          <cell r="D34">
            <v>3</v>
          </cell>
          <cell r="E34">
            <v>1</v>
          </cell>
          <cell r="F34">
            <v>6</v>
          </cell>
          <cell r="G34">
            <v>89.99</v>
          </cell>
        </row>
        <row r="35">
          <cell r="A35" t="str">
            <v>DOLL-0601-PI-22</v>
          </cell>
          <cell r="B35" t="str">
            <v>DOLL-0601</v>
          </cell>
          <cell r="C35">
            <v>4</v>
          </cell>
          <cell r="D35">
            <v>3</v>
          </cell>
          <cell r="E35">
            <v>6</v>
          </cell>
          <cell r="F35">
            <v>16</v>
          </cell>
          <cell r="G35">
            <v>89.99</v>
          </cell>
        </row>
        <row r="36">
          <cell r="A36" t="str">
            <v>DO-YULQ705-W0-22</v>
          </cell>
          <cell r="B36" t="str">
            <v>DO-YULQ705</v>
          </cell>
          <cell r="C36">
            <v>0</v>
          </cell>
          <cell r="D36">
            <v>1</v>
          </cell>
          <cell r="E36">
            <v>0</v>
          </cell>
          <cell r="F36">
            <v>0</v>
          </cell>
          <cell r="G36">
            <v>99.99</v>
          </cell>
        </row>
        <row r="37">
          <cell r="A37" t="str">
            <v>YF-YULQ602-PI-20</v>
          </cell>
          <cell r="B37" t="str">
            <v>YF-YULQ602</v>
          </cell>
          <cell r="C37">
            <v>1</v>
          </cell>
          <cell r="D37">
            <v>1</v>
          </cell>
          <cell r="E37">
            <v>2</v>
          </cell>
          <cell r="F37">
            <v>5</v>
          </cell>
          <cell r="G37">
            <v>21.99</v>
          </cell>
        </row>
        <row r="38">
          <cell r="A38" t="str">
            <v>DO-YULQ701-PI-22</v>
          </cell>
          <cell r="B38" t="str">
            <v>DO-YULQ701</v>
          </cell>
          <cell r="C38">
            <v>0</v>
          </cell>
          <cell r="D38">
            <v>0</v>
          </cell>
          <cell r="E38">
            <v>3</v>
          </cell>
          <cell r="F38">
            <v>2</v>
          </cell>
          <cell r="G38">
            <v>92.99</v>
          </cell>
        </row>
        <row r="39">
          <cell r="A39" t="str">
            <v>DOLLDRESS-003-R2-M</v>
          </cell>
          <cell r="B39" t="str">
            <v>DOLLDRESS-003</v>
          </cell>
          <cell r="C39">
            <v>4</v>
          </cell>
          <cell r="D39">
            <v>2</v>
          </cell>
          <cell r="E39">
            <v>3</v>
          </cell>
          <cell r="F39">
            <v>2</v>
          </cell>
          <cell r="G39">
            <v>13.8990909090909</v>
          </cell>
        </row>
        <row r="40">
          <cell r="A40" t="str">
            <v>DO-YULQ604-PI-22</v>
          </cell>
          <cell r="B40" t="str">
            <v>DO-YULQ604</v>
          </cell>
          <cell r="C40">
            <v>0</v>
          </cell>
          <cell r="D40">
            <v>0</v>
          </cell>
          <cell r="E40">
            <v>0</v>
          </cell>
          <cell r="F40">
            <v>1</v>
          </cell>
          <cell r="G40">
            <v>89.99</v>
          </cell>
        </row>
        <row r="41">
          <cell r="A41" t="str">
            <v>DO-YULQ700-PI-22</v>
          </cell>
          <cell r="B41" t="str">
            <v>DO-YULQ700</v>
          </cell>
          <cell r="C41">
            <v>0</v>
          </cell>
          <cell r="D41">
            <v>3</v>
          </cell>
          <cell r="E41">
            <v>3</v>
          </cell>
          <cell r="F41">
            <v>2</v>
          </cell>
          <cell r="G41">
            <v>99.99</v>
          </cell>
        </row>
        <row r="42">
          <cell r="A42" t="str">
            <v>DOLL-005-WO-11</v>
          </cell>
          <cell r="B42" t="str">
            <v>DOLL-005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 t="e">
            <v>#DIV/0!</v>
          </cell>
        </row>
        <row r="43">
          <cell r="A43" t="str">
            <v>DOLL-1630-R0-22</v>
          </cell>
          <cell r="B43" t="str">
            <v>DOLL-1630</v>
          </cell>
          <cell r="C43">
            <v>3</v>
          </cell>
          <cell r="D43">
            <v>3</v>
          </cell>
          <cell r="E43">
            <v>0</v>
          </cell>
          <cell r="F43">
            <v>0</v>
          </cell>
          <cell r="G43">
            <v>99.99</v>
          </cell>
        </row>
        <row r="44">
          <cell r="A44" t="str">
            <v>DO-YULQ062-PI-22</v>
          </cell>
          <cell r="B44" t="str">
            <v>DO-YULQ062</v>
          </cell>
          <cell r="C44">
            <v>4</v>
          </cell>
          <cell r="D44">
            <v>4</v>
          </cell>
          <cell r="E44">
            <v>2</v>
          </cell>
          <cell r="F44">
            <v>3</v>
          </cell>
          <cell r="G44">
            <v>88.99</v>
          </cell>
        </row>
        <row r="45">
          <cell r="A45" t="str">
            <v>DO-YULQ171-LGR-22</v>
          </cell>
          <cell r="B45" t="str">
            <v>DO-YULQ171</v>
          </cell>
          <cell r="C45">
            <v>1</v>
          </cell>
          <cell r="D45">
            <v>0</v>
          </cell>
          <cell r="E45">
            <v>0</v>
          </cell>
          <cell r="F45">
            <v>2</v>
          </cell>
          <cell r="G45">
            <v>89.6</v>
          </cell>
        </row>
        <row r="46">
          <cell r="A46" t="str">
            <v>DO-YULQ230-PI-16</v>
          </cell>
          <cell r="B46" t="str">
            <v>DO-YULQ230</v>
          </cell>
          <cell r="C46">
            <v>3</v>
          </cell>
          <cell r="D46">
            <v>1</v>
          </cell>
          <cell r="E46">
            <v>2</v>
          </cell>
          <cell r="F46">
            <v>3</v>
          </cell>
          <cell r="G46">
            <v>79.99</v>
          </cell>
        </row>
        <row r="47">
          <cell r="A47" t="str">
            <v>DO-YULQ100-R0-10</v>
          </cell>
          <cell r="B47" t="str">
            <v>DO-YULQ100</v>
          </cell>
          <cell r="C47">
            <v>1</v>
          </cell>
          <cell r="D47">
            <v>0</v>
          </cell>
          <cell r="E47">
            <v>0</v>
          </cell>
          <cell r="F47">
            <v>2</v>
          </cell>
          <cell r="G47">
            <v>32.99</v>
          </cell>
        </row>
        <row r="48">
          <cell r="A48" t="str">
            <v>DO-YULQ058-BR-10</v>
          </cell>
          <cell r="B48" t="str">
            <v>DO-YULQ058</v>
          </cell>
          <cell r="C48">
            <v>0</v>
          </cell>
          <cell r="D48">
            <v>2</v>
          </cell>
          <cell r="E48">
            <v>1</v>
          </cell>
          <cell r="F48">
            <v>2</v>
          </cell>
          <cell r="G48">
            <v>32.99</v>
          </cell>
        </row>
        <row r="49">
          <cell r="A49" t="str">
            <v>DOLL-008-W0-22</v>
          </cell>
          <cell r="B49" t="str">
            <v>DOLL-008</v>
          </cell>
          <cell r="C49">
            <v>0</v>
          </cell>
          <cell r="D49">
            <v>0</v>
          </cell>
          <cell r="E49">
            <v>1</v>
          </cell>
          <cell r="F49">
            <v>1</v>
          </cell>
          <cell r="G49">
            <v>89.6</v>
          </cell>
        </row>
        <row r="50">
          <cell r="A50" t="str">
            <v>DOLL-7056-BR-11</v>
          </cell>
          <cell r="B50" t="str">
            <v>DOLL-7056</v>
          </cell>
          <cell r="C50">
            <v>0</v>
          </cell>
          <cell r="D50">
            <v>0</v>
          </cell>
          <cell r="E50">
            <v>1</v>
          </cell>
          <cell r="F50">
            <v>2</v>
          </cell>
          <cell r="G50">
            <v>32.99</v>
          </cell>
        </row>
        <row r="51">
          <cell r="A51" t="str">
            <v>DO-YULQ006-PI-10</v>
          </cell>
          <cell r="B51" t="str">
            <v>DO-YULQ006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32.99</v>
          </cell>
        </row>
        <row r="52">
          <cell r="A52" t="str">
            <v>YF-YULQ002-B7-20</v>
          </cell>
          <cell r="B52" t="str">
            <v>YF-YULQ002</v>
          </cell>
          <cell r="C52">
            <v>0</v>
          </cell>
          <cell r="D52">
            <v>3</v>
          </cell>
          <cell r="E52">
            <v>4</v>
          </cell>
          <cell r="F52">
            <v>5</v>
          </cell>
          <cell r="G52">
            <v>16.4925</v>
          </cell>
        </row>
        <row r="53">
          <cell r="A53" t="str">
            <v>DO-YULQ107-PI-22</v>
          </cell>
          <cell r="B53" t="str">
            <v>DO-YULQ107</v>
          </cell>
          <cell r="C53">
            <v>1</v>
          </cell>
          <cell r="D53">
            <v>2</v>
          </cell>
          <cell r="E53">
            <v>2</v>
          </cell>
          <cell r="F53">
            <v>3</v>
          </cell>
          <cell r="G53">
            <v>89.99</v>
          </cell>
        </row>
        <row r="54">
          <cell r="A54" t="str">
            <v>DO-YULQ707-PI-24</v>
          </cell>
          <cell r="B54" t="str">
            <v>DO-YULQ707</v>
          </cell>
          <cell r="C54">
            <v>1</v>
          </cell>
          <cell r="D54">
            <v>0</v>
          </cell>
          <cell r="E54">
            <v>1</v>
          </cell>
          <cell r="F54">
            <v>5</v>
          </cell>
          <cell r="G54">
            <v>108.99</v>
          </cell>
        </row>
        <row r="55">
          <cell r="A55" t="str">
            <v>DO-YULQ150-PI-20</v>
          </cell>
          <cell r="B55" t="str">
            <v>DO-YULQ150</v>
          </cell>
          <cell r="C55">
            <v>6</v>
          </cell>
          <cell r="D55">
            <v>4</v>
          </cell>
          <cell r="E55">
            <v>9</v>
          </cell>
          <cell r="F55">
            <v>6</v>
          </cell>
          <cell r="G55">
            <v>85.99</v>
          </cell>
        </row>
        <row r="56">
          <cell r="A56" t="str">
            <v>DOLL-100-LB-22</v>
          </cell>
          <cell r="B56" t="str">
            <v>DOLL-100</v>
          </cell>
          <cell r="C56">
            <v>0</v>
          </cell>
          <cell r="D56">
            <v>1</v>
          </cell>
          <cell r="E56">
            <v>0</v>
          </cell>
          <cell r="F56">
            <v>1</v>
          </cell>
          <cell r="G56">
            <v>79.6</v>
          </cell>
        </row>
        <row r="57">
          <cell r="A57" t="str">
            <v>DOLL-0603-NZ-22</v>
          </cell>
          <cell r="B57" t="str">
            <v>DOLL-0603</v>
          </cell>
          <cell r="C57">
            <v>3</v>
          </cell>
          <cell r="D57">
            <v>2</v>
          </cell>
          <cell r="E57">
            <v>4</v>
          </cell>
          <cell r="F57">
            <v>5</v>
          </cell>
          <cell r="G57">
            <v>89.6</v>
          </cell>
        </row>
        <row r="58">
          <cell r="A58" t="str">
            <v>DO-YULQ064-X0-22</v>
          </cell>
          <cell r="B58" t="str">
            <v>DO-YULQ064</v>
          </cell>
          <cell r="C58">
            <v>0</v>
          </cell>
          <cell r="D58">
            <v>1</v>
          </cell>
          <cell r="E58">
            <v>0</v>
          </cell>
          <cell r="F58">
            <v>1</v>
          </cell>
          <cell r="G58">
            <v>99.99</v>
          </cell>
        </row>
        <row r="59">
          <cell r="A59" t="str">
            <v>DO-YULQ705-BR-11</v>
          </cell>
          <cell r="B59" t="str">
            <v>DO-YULQ705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  <cell r="G59">
            <v>32.99</v>
          </cell>
        </row>
        <row r="60">
          <cell r="A60" t="str">
            <v>DO-YULQ073-LGR-22</v>
          </cell>
          <cell r="B60" t="str">
            <v>DO-YULQ073</v>
          </cell>
          <cell r="C60">
            <v>0</v>
          </cell>
          <cell r="D60">
            <v>1</v>
          </cell>
          <cell r="E60">
            <v>1</v>
          </cell>
          <cell r="F60">
            <v>1</v>
          </cell>
          <cell r="G60">
            <v>89.99</v>
          </cell>
        </row>
        <row r="61">
          <cell r="A61" t="str">
            <v>DOLL-9042-B0-22</v>
          </cell>
          <cell r="B61" t="str">
            <v>DOLL-9042</v>
          </cell>
          <cell r="C61">
            <v>5</v>
          </cell>
          <cell r="D61">
            <v>1</v>
          </cell>
          <cell r="E61">
            <v>0</v>
          </cell>
          <cell r="F61">
            <v>4</v>
          </cell>
          <cell r="G61">
            <v>89.99</v>
          </cell>
        </row>
        <row r="62">
          <cell r="A62" t="str">
            <v>DO-YULQ011-NZ-22</v>
          </cell>
          <cell r="B62" t="str">
            <v>DO-YULQ011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  <cell r="G62">
            <v>79.99</v>
          </cell>
        </row>
        <row r="63">
          <cell r="A63" t="str">
            <v>NZZH-FLQ52</v>
          </cell>
          <cell r="B63" t="str">
            <v>NZZH-FLQ52</v>
          </cell>
          <cell r="C63">
            <v>1</v>
          </cell>
          <cell r="D63">
            <v>0</v>
          </cell>
          <cell r="E63">
            <v>0</v>
          </cell>
          <cell r="F63">
            <v>2</v>
          </cell>
          <cell r="G63">
            <v>16.99</v>
          </cell>
        </row>
        <row r="64">
          <cell r="A64" t="str">
            <v>DOLLDRESS-003-PI-M</v>
          </cell>
          <cell r="B64" t="str">
            <v>DOLLDRESS-003</v>
          </cell>
          <cell r="C64">
            <v>5</v>
          </cell>
          <cell r="D64">
            <v>2</v>
          </cell>
          <cell r="E64">
            <v>3</v>
          </cell>
          <cell r="F64">
            <v>4</v>
          </cell>
          <cell r="G64">
            <v>13.99</v>
          </cell>
        </row>
        <row r="65">
          <cell r="A65" t="str">
            <v>DO-YULQ018-B0-18</v>
          </cell>
          <cell r="B65" t="str">
            <v>DO-YULQ018</v>
          </cell>
          <cell r="C65">
            <v>1</v>
          </cell>
          <cell r="D65">
            <v>1</v>
          </cell>
          <cell r="E65">
            <v>0</v>
          </cell>
          <cell r="F65">
            <v>1</v>
          </cell>
          <cell r="G65">
            <v>89.99</v>
          </cell>
        </row>
        <row r="66">
          <cell r="A66" t="str">
            <v>DO-YULQ638-LGR-20</v>
          </cell>
          <cell r="B66" t="str">
            <v>DO-YULQ638</v>
          </cell>
          <cell r="C66">
            <v>0</v>
          </cell>
          <cell r="D66">
            <v>2</v>
          </cell>
          <cell r="E66">
            <v>0</v>
          </cell>
          <cell r="F66">
            <v>1</v>
          </cell>
          <cell r="G66">
            <v>99.6</v>
          </cell>
        </row>
        <row r="67">
          <cell r="A67" t="str">
            <v>DO-YULQ111-R2-22</v>
          </cell>
          <cell r="B67" t="str">
            <v>DO-YULQ111</v>
          </cell>
          <cell r="C67">
            <v>1</v>
          </cell>
          <cell r="D67">
            <v>0</v>
          </cell>
          <cell r="E67">
            <v>1</v>
          </cell>
          <cell r="F67">
            <v>2</v>
          </cell>
          <cell r="G67">
            <v>91.6</v>
          </cell>
        </row>
        <row r="68">
          <cell r="A68" t="str">
            <v>DO-YULQ704-B0-24</v>
          </cell>
          <cell r="B68" t="str">
            <v>DO-YULQ704</v>
          </cell>
          <cell r="C68">
            <v>3</v>
          </cell>
          <cell r="D68">
            <v>0</v>
          </cell>
          <cell r="E68">
            <v>2</v>
          </cell>
          <cell r="F68">
            <v>1</v>
          </cell>
          <cell r="G68">
            <v>108.99</v>
          </cell>
        </row>
        <row r="69">
          <cell r="A69" t="str">
            <v>DO-YULQ232-W0-10</v>
          </cell>
          <cell r="B69" t="str">
            <v>DO-YULQ232</v>
          </cell>
          <cell r="C69">
            <v>0</v>
          </cell>
          <cell r="D69">
            <v>1</v>
          </cell>
          <cell r="E69">
            <v>1</v>
          </cell>
          <cell r="F69">
            <v>3</v>
          </cell>
          <cell r="G69">
            <v>32.99</v>
          </cell>
        </row>
        <row r="70">
          <cell r="A70" t="str">
            <v>DO-YULQ004-PI-11</v>
          </cell>
          <cell r="B70" t="str">
            <v>DO-YULQ004</v>
          </cell>
          <cell r="C70">
            <v>1</v>
          </cell>
          <cell r="D70">
            <v>2</v>
          </cell>
          <cell r="E70">
            <v>0</v>
          </cell>
          <cell r="F70">
            <v>2</v>
          </cell>
          <cell r="G70">
            <v>32.99</v>
          </cell>
        </row>
        <row r="71">
          <cell r="A71" t="str">
            <v>DO-YULQ158-W0-22</v>
          </cell>
          <cell r="B71" t="str">
            <v>DO-YULQ158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 t="e">
            <v>#DIV/0!</v>
          </cell>
        </row>
        <row r="72">
          <cell r="A72" t="str">
            <v>DO-YULQ004-B7-11</v>
          </cell>
          <cell r="B72" t="str">
            <v>DO-YULQ004</v>
          </cell>
          <cell r="C72">
            <v>1</v>
          </cell>
          <cell r="D72">
            <v>1</v>
          </cell>
          <cell r="E72">
            <v>0</v>
          </cell>
          <cell r="F72">
            <v>1</v>
          </cell>
          <cell r="G72">
            <v>32.99</v>
          </cell>
        </row>
        <row r="73">
          <cell r="A73" t="str">
            <v>DO-YULQ105-R2-22</v>
          </cell>
          <cell r="B73" t="str">
            <v>DO-YULQ105</v>
          </cell>
          <cell r="C73">
            <v>0</v>
          </cell>
          <cell r="D73">
            <v>0</v>
          </cell>
          <cell r="E73">
            <v>0</v>
          </cell>
          <cell r="F73">
            <v>1</v>
          </cell>
          <cell r="G73">
            <v>89.99</v>
          </cell>
        </row>
        <row r="74">
          <cell r="A74" t="str">
            <v>YF-YULQ162-B7-20</v>
          </cell>
          <cell r="B74" t="str">
            <v>YF-YULQ162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21.99</v>
          </cell>
        </row>
        <row r="75">
          <cell r="A75" t="str">
            <v>YF-YULQ003-W0-20</v>
          </cell>
          <cell r="B75" t="str">
            <v>YF-YULQ003</v>
          </cell>
          <cell r="C75">
            <v>1</v>
          </cell>
          <cell r="D75">
            <v>2</v>
          </cell>
          <cell r="E75">
            <v>2</v>
          </cell>
          <cell r="F75">
            <v>1</v>
          </cell>
          <cell r="G75">
            <v>21.99</v>
          </cell>
        </row>
        <row r="76">
          <cell r="A76" t="str">
            <v>DO-YULQ639-LGR-22</v>
          </cell>
          <cell r="B76" t="str">
            <v>DO-YULQ639</v>
          </cell>
          <cell r="C76">
            <v>0</v>
          </cell>
          <cell r="D76">
            <v>0</v>
          </cell>
          <cell r="E76">
            <v>2</v>
          </cell>
          <cell r="F76">
            <v>1</v>
          </cell>
          <cell r="G76">
            <v>99.99</v>
          </cell>
        </row>
        <row r="77">
          <cell r="A77" t="str">
            <v>DOLL-006-PI-10</v>
          </cell>
          <cell r="B77" t="str">
            <v>DOLL-006</v>
          </cell>
          <cell r="C77">
            <v>1</v>
          </cell>
          <cell r="D77">
            <v>3</v>
          </cell>
          <cell r="E77">
            <v>1</v>
          </cell>
          <cell r="F77">
            <v>1</v>
          </cell>
          <cell r="G77">
            <v>26.99</v>
          </cell>
        </row>
        <row r="78">
          <cell r="A78" t="str">
            <v>DO-YULQ332-LGR-20</v>
          </cell>
          <cell r="B78" t="str">
            <v>DO-YULQ332</v>
          </cell>
          <cell r="C78">
            <v>1</v>
          </cell>
          <cell r="D78">
            <v>2</v>
          </cell>
          <cell r="E78">
            <v>1</v>
          </cell>
          <cell r="F78">
            <v>1</v>
          </cell>
          <cell r="G78">
            <v>89.99</v>
          </cell>
        </row>
        <row r="79">
          <cell r="A79" t="str">
            <v>DO-YULQ165-B7-16</v>
          </cell>
          <cell r="B79" t="str">
            <v>DO-YULQ165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79.99</v>
          </cell>
        </row>
        <row r="80">
          <cell r="A80" t="str">
            <v>DO-YULQ638-PI-20</v>
          </cell>
          <cell r="B80" t="str">
            <v>DO-YULQ638</v>
          </cell>
          <cell r="C80">
            <v>0</v>
          </cell>
          <cell r="D80">
            <v>1</v>
          </cell>
          <cell r="E80">
            <v>3</v>
          </cell>
          <cell r="F80">
            <v>2</v>
          </cell>
          <cell r="G80">
            <v>83</v>
          </cell>
        </row>
        <row r="81">
          <cell r="A81" t="str">
            <v>DO-YULQ058-SH-10</v>
          </cell>
          <cell r="B81" t="str">
            <v>DO-YULQ058</v>
          </cell>
          <cell r="C81">
            <v>1</v>
          </cell>
          <cell r="D81">
            <v>1</v>
          </cell>
          <cell r="E81">
            <v>2</v>
          </cell>
          <cell r="F81">
            <v>1</v>
          </cell>
          <cell r="G81">
            <v>32.99</v>
          </cell>
        </row>
        <row r="82">
          <cell r="A82" t="str">
            <v>DOLL-006-LB-11</v>
          </cell>
          <cell r="B82" t="str">
            <v>DOLL-006</v>
          </cell>
          <cell r="C82">
            <v>0</v>
          </cell>
          <cell r="D82">
            <v>0</v>
          </cell>
          <cell r="E82">
            <v>1</v>
          </cell>
          <cell r="F82">
            <v>1</v>
          </cell>
          <cell r="G82">
            <v>29.99</v>
          </cell>
        </row>
        <row r="83">
          <cell r="A83" t="str">
            <v>DO-YULQ620-PI-22</v>
          </cell>
          <cell r="B83" t="str">
            <v>DO-YULQ620</v>
          </cell>
          <cell r="C83">
            <v>1</v>
          </cell>
          <cell r="D83">
            <v>1</v>
          </cell>
          <cell r="E83">
            <v>1</v>
          </cell>
          <cell r="F83">
            <v>1</v>
          </cell>
          <cell r="G83">
            <v>85.99</v>
          </cell>
        </row>
        <row r="84">
          <cell r="A84" t="str">
            <v>DO-YULQ705-GR-11</v>
          </cell>
          <cell r="B84" t="str">
            <v>DO-YULQ705</v>
          </cell>
          <cell r="C84">
            <v>0</v>
          </cell>
          <cell r="D84">
            <v>0</v>
          </cell>
          <cell r="E84">
            <v>0</v>
          </cell>
          <cell r="F84">
            <v>1</v>
          </cell>
          <cell r="G84">
            <v>34.99</v>
          </cell>
        </row>
        <row r="85">
          <cell r="A85" t="str">
            <v>DO-YULQ605-PI-16</v>
          </cell>
          <cell r="B85" t="str">
            <v>DO-YULQ605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69.99</v>
          </cell>
        </row>
        <row r="86">
          <cell r="A86" t="str">
            <v>DO-YULQ985-B7-20</v>
          </cell>
          <cell r="B86" t="str">
            <v>DO-YULQ905</v>
          </cell>
          <cell r="C86">
            <v>1</v>
          </cell>
          <cell r="D86">
            <v>1</v>
          </cell>
          <cell r="E86">
            <v>1</v>
          </cell>
          <cell r="F86">
            <v>1</v>
          </cell>
          <cell r="G86">
            <v>106.99</v>
          </cell>
        </row>
        <row r="87">
          <cell r="A87" t="str">
            <v>DO-YULQ150-B7-18</v>
          </cell>
          <cell r="B87" t="str">
            <v>DO-YULQ150</v>
          </cell>
          <cell r="C87">
            <v>1</v>
          </cell>
          <cell r="D87">
            <v>1</v>
          </cell>
          <cell r="E87">
            <v>1</v>
          </cell>
          <cell r="F87">
            <v>0</v>
          </cell>
          <cell r="G87">
            <v>84.99</v>
          </cell>
        </row>
        <row r="88">
          <cell r="A88" t="str">
            <v>DOLL-004-LB-10</v>
          </cell>
          <cell r="B88" t="str">
            <v>DOLL-004</v>
          </cell>
          <cell r="C88">
            <v>1</v>
          </cell>
          <cell r="D88">
            <v>1</v>
          </cell>
          <cell r="E88">
            <v>2</v>
          </cell>
          <cell r="F88">
            <v>0</v>
          </cell>
          <cell r="G88">
            <v>30.74</v>
          </cell>
        </row>
        <row r="89">
          <cell r="A89" t="str">
            <v>DO-YULQ005-W0-11</v>
          </cell>
          <cell r="B89" t="str">
            <v>DO-YULQ005</v>
          </cell>
          <cell r="C89">
            <v>6</v>
          </cell>
          <cell r="D89">
            <v>0</v>
          </cell>
          <cell r="E89">
            <v>1</v>
          </cell>
          <cell r="F89">
            <v>0</v>
          </cell>
          <cell r="G89">
            <v>23.99</v>
          </cell>
        </row>
        <row r="90">
          <cell r="A90" t="str">
            <v>DO-YULQ121-PI-22</v>
          </cell>
          <cell r="B90" t="str">
            <v>DO-YULQ121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  <cell r="G90">
            <v>89.99</v>
          </cell>
        </row>
        <row r="91">
          <cell r="A91" t="str">
            <v>DO-YULQ611-TW-22</v>
          </cell>
          <cell r="B91" t="str">
            <v>DO-YULQ611</v>
          </cell>
          <cell r="C91">
            <v>0</v>
          </cell>
          <cell r="D91">
            <v>2</v>
          </cell>
          <cell r="E91">
            <v>2</v>
          </cell>
          <cell r="F91">
            <v>0</v>
          </cell>
          <cell r="G91">
            <v>88.99</v>
          </cell>
        </row>
        <row r="92">
          <cell r="A92" t="str">
            <v>DO-YULQ516-B0-22</v>
          </cell>
          <cell r="B92" t="str">
            <v>DO-YULQ516</v>
          </cell>
          <cell r="C92">
            <v>1</v>
          </cell>
          <cell r="D92">
            <v>0</v>
          </cell>
          <cell r="E92">
            <v>1</v>
          </cell>
          <cell r="F92">
            <v>0</v>
          </cell>
          <cell r="G92">
            <v>89.99</v>
          </cell>
        </row>
        <row r="93">
          <cell r="A93" t="str">
            <v>DO-YULQ172-BD-22</v>
          </cell>
          <cell r="B93" t="str">
            <v>DO-YULQ172</v>
          </cell>
          <cell r="C93">
            <v>0</v>
          </cell>
          <cell r="D93">
            <v>2</v>
          </cell>
          <cell r="E93">
            <v>1</v>
          </cell>
          <cell r="F93">
            <v>0</v>
          </cell>
          <cell r="G93">
            <v>79.99</v>
          </cell>
        </row>
        <row r="94">
          <cell r="A94" t="str">
            <v>DOLL-AD011-PI-22</v>
          </cell>
          <cell r="B94" t="str">
            <v>DOLL-AD011</v>
          </cell>
          <cell r="C94">
            <v>1</v>
          </cell>
          <cell r="D94">
            <v>3</v>
          </cell>
          <cell r="E94">
            <v>1</v>
          </cell>
          <cell r="F94">
            <v>0</v>
          </cell>
          <cell r="G94">
            <v>99.6</v>
          </cell>
        </row>
        <row r="95">
          <cell r="A95" t="str">
            <v>DO-YULQ905-B7-22</v>
          </cell>
          <cell r="B95" t="str">
            <v>DO-YULQ905</v>
          </cell>
          <cell r="C95">
            <v>0</v>
          </cell>
          <cell r="D95">
            <v>0</v>
          </cell>
          <cell r="E95">
            <v>3</v>
          </cell>
          <cell r="F95">
            <v>0</v>
          </cell>
          <cell r="G95">
            <v>89.99</v>
          </cell>
        </row>
        <row r="96">
          <cell r="A96" t="str">
            <v>DOLL-0602-NZ-22</v>
          </cell>
          <cell r="B96" t="str">
            <v>DOLL-0602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 t="e">
            <v>#DIV/0!</v>
          </cell>
        </row>
        <row r="97">
          <cell r="A97" t="str">
            <v>DO-YULQ071-B7-16</v>
          </cell>
          <cell r="B97" t="str">
            <v>DO-YULQ071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  <cell r="G97">
            <v>79.99</v>
          </cell>
        </row>
        <row r="98">
          <cell r="A98" t="str">
            <v>DO-YULQ171-B0-22</v>
          </cell>
          <cell r="B98" t="str">
            <v>DO-YULQ171</v>
          </cell>
          <cell r="C98">
            <v>0</v>
          </cell>
          <cell r="D98">
            <v>2</v>
          </cell>
          <cell r="E98">
            <v>1</v>
          </cell>
          <cell r="F98">
            <v>0</v>
          </cell>
          <cell r="G98">
            <v>95.99</v>
          </cell>
        </row>
        <row r="99">
          <cell r="A99" t="str">
            <v>DO-YULQ203-P4-22</v>
          </cell>
          <cell r="B99" t="str">
            <v>DO-YULQ203</v>
          </cell>
          <cell r="C99">
            <v>0</v>
          </cell>
          <cell r="D99">
            <v>2</v>
          </cell>
          <cell r="E99">
            <v>1</v>
          </cell>
          <cell r="F99">
            <v>0</v>
          </cell>
          <cell r="G99">
            <v>89.99</v>
          </cell>
        </row>
        <row r="100">
          <cell r="A100" t="str">
            <v>DO-YULQ159-R2-22</v>
          </cell>
          <cell r="B100" t="str">
            <v>DO-YULQ159</v>
          </cell>
          <cell r="C100">
            <v>0</v>
          </cell>
          <cell r="D100">
            <v>0</v>
          </cell>
          <cell r="E100">
            <v>1</v>
          </cell>
          <cell r="F100">
            <v>0</v>
          </cell>
          <cell r="G100">
            <v>99.6</v>
          </cell>
        </row>
        <row r="101">
          <cell r="A101" t="str">
            <v>DO-YULQ350-PI-22</v>
          </cell>
          <cell r="B101" t="str">
            <v>DO-YULQ350</v>
          </cell>
          <cell r="C101">
            <v>0</v>
          </cell>
          <cell r="D101">
            <v>1</v>
          </cell>
          <cell r="E101">
            <v>0</v>
          </cell>
          <cell r="F101">
            <v>0</v>
          </cell>
          <cell r="G101">
            <v>79.99</v>
          </cell>
        </row>
        <row r="102">
          <cell r="A102" t="str">
            <v>DO-YULQ664-AX-16</v>
          </cell>
          <cell r="B102" t="str">
            <v>DO-YULQ664</v>
          </cell>
          <cell r="C102">
            <v>0</v>
          </cell>
          <cell r="D102">
            <v>2</v>
          </cell>
          <cell r="E102">
            <v>0</v>
          </cell>
          <cell r="F102">
            <v>0</v>
          </cell>
          <cell r="G102">
            <v>79.99</v>
          </cell>
        </row>
        <row r="103">
          <cell r="A103" t="str">
            <v>DO-YULQ703-PI-22</v>
          </cell>
          <cell r="B103" t="str">
            <v>DO-YULQ703</v>
          </cell>
          <cell r="C103">
            <v>1</v>
          </cell>
          <cell r="D103">
            <v>2</v>
          </cell>
          <cell r="E103">
            <v>0</v>
          </cell>
          <cell r="F103">
            <v>0</v>
          </cell>
          <cell r="G103">
            <v>89.99</v>
          </cell>
        </row>
        <row r="104">
          <cell r="A104" t="str">
            <v>DO-YULQ010-P0-22</v>
          </cell>
          <cell r="B104" t="str">
            <v>DO-YULQ010</v>
          </cell>
          <cell r="C104">
            <v>3</v>
          </cell>
          <cell r="D104">
            <v>1</v>
          </cell>
          <cell r="E104">
            <v>0</v>
          </cell>
          <cell r="F104">
            <v>0</v>
          </cell>
          <cell r="G104">
            <v>89.99</v>
          </cell>
        </row>
        <row r="105">
          <cell r="A105" t="str">
            <v>DO-YULQ706-R0-24</v>
          </cell>
          <cell r="B105" t="str">
            <v>DO-YULQ706</v>
          </cell>
          <cell r="C105">
            <v>0</v>
          </cell>
          <cell r="D105">
            <v>1</v>
          </cell>
          <cell r="E105">
            <v>0</v>
          </cell>
          <cell r="F105">
            <v>0</v>
          </cell>
          <cell r="G105">
            <v>99.99</v>
          </cell>
        </row>
        <row r="106">
          <cell r="A106" t="str">
            <v>DO-YULQ161-G0-16</v>
          </cell>
          <cell r="B106" t="str">
            <v>DO-YULQ161</v>
          </cell>
          <cell r="C106">
            <v>3</v>
          </cell>
          <cell r="D106">
            <v>2</v>
          </cell>
          <cell r="E106">
            <v>0</v>
          </cell>
          <cell r="F106">
            <v>0</v>
          </cell>
          <cell r="G106">
            <v>69.99</v>
          </cell>
        </row>
        <row r="107">
          <cell r="A107" t="str">
            <v>DO-YULQ702-PI-22</v>
          </cell>
          <cell r="B107" t="str">
            <v>DO-YULQ702</v>
          </cell>
          <cell r="C107">
            <v>2</v>
          </cell>
          <cell r="D107">
            <v>5</v>
          </cell>
          <cell r="E107">
            <v>0</v>
          </cell>
          <cell r="F107">
            <v>0</v>
          </cell>
          <cell r="G107">
            <v>99.99</v>
          </cell>
        </row>
        <row r="108">
          <cell r="A108" t="str">
            <v>DO-YULQ063-PI-22</v>
          </cell>
          <cell r="B108" t="str">
            <v>DO-YULQ063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  <cell r="G108">
            <v>79.99</v>
          </cell>
        </row>
        <row r="109">
          <cell r="A109" t="str">
            <v>DOLL-1523-B7-22</v>
          </cell>
          <cell r="B109" t="str">
            <v>DOLL-1523</v>
          </cell>
          <cell r="C109">
            <v>2</v>
          </cell>
          <cell r="D109">
            <v>1</v>
          </cell>
          <cell r="E109">
            <v>0</v>
          </cell>
          <cell r="F109">
            <v>0</v>
          </cell>
          <cell r="G109">
            <v>79.99</v>
          </cell>
        </row>
        <row r="110">
          <cell r="A110" t="str">
            <v>DOLL-1613-PI-11</v>
          </cell>
          <cell r="B110" t="str">
            <v>DOLL-1613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 t="e">
            <v>#DIV/0!</v>
          </cell>
        </row>
        <row r="111">
          <cell r="A111" t="str">
            <v>DO-YULQ606-W0-22</v>
          </cell>
          <cell r="B111" t="str">
            <v>DO-YULQ606</v>
          </cell>
          <cell r="C111">
            <v>2</v>
          </cell>
          <cell r="D111">
            <v>1</v>
          </cell>
          <cell r="E111">
            <v>0</v>
          </cell>
          <cell r="F111">
            <v>0</v>
          </cell>
          <cell r="G111">
            <v>59.99</v>
          </cell>
        </row>
        <row r="112">
          <cell r="A112" t="str">
            <v>DOLLDRESS-1612-GO-23</v>
          </cell>
          <cell r="B112" t="str">
            <v>DOLLDRESS-1612</v>
          </cell>
          <cell r="C112">
            <v>0</v>
          </cell>
          <cell r="D112">
            <v>2</v>
          </cell>
          <cell r="E112">
            <v>0</v>
          </cell>
          <cell r="F112">
            <v>0</v>
          </cell>
          <cell r="G112">
            <v>23.99</v>
          </cell>
        </row>
        <row r="113">
          <cell r="A113" t="str">
            <v>YF-YULQ003-R2-20</v>
          </cell>
          <cell r="B113" t="str">
            <v>YF-YULQ003</v>
          </cell>
          <cell r="C113">
            <v>5</v>
          </cell>
          <cell r="D113">
            <v>0</v>
          </cell>
          <cell r="E113">
            <v>0</v>
          </cell>
          <cell r="F113">
            <v>0</v>
          </cell>
          <cell r="G113">
            <v>21.99</v>
          </cell>
        </row>
        <row r="114">
          <cell r="A114" t="str">
            <v>DO-YULQ123-W0-22</v>
          </cell>
          <cell r="B114" t="str">
            <v>DO-YULQ123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  <cell r="G114">
            <v>69.99</v>
          </cell>
        </row>
        <row r="115">
          <cell r="A115" t="str">
            <v>DO-YULQ006-B7-10</v>
          </cell>
          <cell r="B115" t="str">
            <v>DO-YULQ006</v>
          </cell>
          <cell r="C115">
            <v>0</v>
          </cell>
          <cell r="D115">
            <v>1</v>
          </cell>
          <cell r="E115">
            <v>0</v>
          </cell>
          <cell r="F115">
            <v>0</v>
          </cell>
          <cell r="G115">
            <v>23.99</v>
          </cell>
        </row>
        <row r="116">
          <cell r="A116" t="str">
            <v>DO-YULQ152-B7-22</v>
          </cell>
          <cell r="B116" t="str">
            <v>DO-YULQ152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  <cell r="G116">
            <v>79.99</v>
          </cell>
        </row>
        <row r="117">
          <cell r="A117" t="str">
            <v>YF-YULQ008-BL-22</v>
          </cell>
          <cell r="B117" t="str">
            <v>YF-YULQ008</v>
          </cell>
          <cell r="C117">
            <v>0</v>
          </cell>
          <cell r="D117">
            <v>1</v>
          </cell>
          <cell r="E117">
            <v>0</v>
          </cell>
          <cell r="F117">
            <v>0</v>
          </cell>
          <cell r="G117">
            <v>21.99</v>
          </cell>
        </row>
        <row r="118">
          <cell r="A118" t="str">
            <v>DO-YULQ165-PI-16</v>
          </cell>
          <cell r="B118" t="str">
            <v>DO-YULQ165</v>
          </cell>
          <cell r="C118">
            <v>0</v>
          </cell>
          <cell r="D118">
            <v>1</v>
          </cell>
          <cell r="E118">
            <v>0</v>
          </cell>
          <cell r="F118">
            <v>0</v>
          </cell>
          <cell r="G118">
            <v>79.99</v>
          </cell>
        </row>
        <row r="119">
          <cell r="A119" t="str">
            <v>DO-YULQ018-P4-16</v>
          </cell>
          <cell r="B119" t="str">
            <v>DO-YULQ018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e">
            <v>#DIV/0!</v>
          </cell>
        </row>
        <row r="120">
          <cell r="A120" t="str">
            <v>DOLL-1613-LB-22</v>
          </cell>
          <cell r="B120" t="str">
            <v>DOLL-1613</v>
          </cell>
          <cell r="C120">
            <v>0</v>
          </cell>
          <cell r="D120">
            <v>1</v>
          </cell>
          <cell r="E120">
            <v>0</v>
          </cell>
          <cell r="F120">
            <v>0</v>
          </cell>
          <cell r="G120">
            <v>89.99</v>
          </cell>
        </row>
        <row r="121">
          <cell r="A121" t="str">
            <v>YF-YULQ010-PI-22</v>
          </cell>
          <cell r="B121" t="str">
            <v>YF-YULQ010</v>
          </cell>
          <cell r="C121">
            <v>2</v>
          </cell>
          <cell r="D121">
            <v>0</v>
          </cell>
          <cell r="E121">
            <v>0</v>
          </cell>
          <cell r="F121">
            <v>0</v>
          </cell>
          <cell r="G121">
            <v>23.99</v>
          </cell>
        </row>
        <row r="122">
          <cell r="A122" t="str">
            <v>DO-YULQ639-R2-22</v>
          </cell>
          <cell r="B122" t="str">
            <v>DO-YULQ639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99.99</v>
          </cell>
        </row>
        <row r="123">
          <cell r="A123" t="str">
            <v>DO-YULQ151-W0-16</v>
          </cell>
          <cell r="B123" t="str">
            <v>DO-YULQ151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79.99</v>
          </cell>
        </row>
        <row r="124">
          <cell r="A124" t="str">
            <v>DO-YULQ372-R0-22</v>
          </cell>
          <cell r="B124" t="str">
            <v>DO-YULQ372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59.99</v>
          </cell>
        </row>
        <row r="1151">
          <cell r="A1151" t="str">
            <v>DO-YULQ062-PI-22</v>
          </cell>
        </row>
        <row r="1214">
          <cell r="A1214" t="str">
            <v>DOLL-0601-PI-22</v>
          </cell>
        </row>
        <row r="1241">
          <cell r="A1241" t="str">
            <v>DO-YULQ100-B7-22</v>
          </cell>
        </row>
        <row r="1283">
          <cell r="A1283" t="str">
            <v>DO-YULQ001-PI-22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DO-YULQ620</v>
          </cell>
          <cell r="B2">
            <v>85.99</v>
          </cell>
        </row>
        <row r="3">
          <cell r="A3" t="str">
            <v>DOLL-7056</v>
          </cell>
          <cell r="B3">
            <v>34.7614285714286</v>
          </cell>
        </row>
        <row r="4">
          <cell r="A4" t="str">
            <v>DO-YULQ173</v>
          </cell>
          <cell r="B4">
            <v>89.99</v>
          </cell>
        </row>
        <row r="5">
          <cell r="A5" t="str">
            <v>YF-YULQ905</v>
          </cell>
          <cell r="B5">
            <v>21.99</v>
          </cell>
        </row>
        <row r="6">
          <cell r="A6" t="str">
            <v>DO-YULQ631</v>
          </cell>
          <cell r="B6">
            <v>99.99</v>
          </cell>
        </row>
        <row r="7">
          <cell r="A7" t="str">
            <v>DOLL-0630</v>
          </cell>
          <cell r="B7">
            <v>89.99</v>
          </cell>
        </row>
        <row r="8">
          <cell r="A8" t="str">
            <v>DO-YULQ001</v>
          </cell>
          <cell r="B8">
            <v>91.99</v>
          </cell>
        </row>
        <row r="9">
          <cell r="A9" t="str">
            <v>DOLLDRESS-003</v>
          </cell>
          <cell r="B9">
            <v>17.5861538461538</v>
          </cell>
        </row>
        <row r="10">
          <cell r="A10" t="str">
            <v>DOLL-0605</v>
          </cell>
          <cell r="B10">
            <v>89.99</v>
          </cell>
        </row>
        <row r="11">
          <cell r="A11" t="str">
            <v>DO-YULQ100</v>
          </cell>
          <cell r="B11">
            <v>86.7015384615383</v>
          </cell>
        </row>
        <row r="12">
          <cell r="A12" t="str">
            <v>YF-YULQ007</v>
          </cell>
          <cell r="B12">
            <v>21.99</v>
          </cell>
        </row>
        <row r="13">
          <cell r="A13" t="str">
            <v>DOLL-020</v>
          </cell>
          <cell r="B13">
            <v>89.99</v>
          </cell>
        </row>
        <row r="14">
          <cell r="A14" t="str">
            <v>DO-YULQ163</v>
          </cell>
          <cell r="B14">
            <v>89.99</v>
          </cell>
        </row>
        <row r="15">
          <cell r="A15" t="str">
            <v>DO-YULQ152</v>
          </cell>
          <cell r="B15">
            <v>86.6566666666667</v>
          </cell>
        </row>
        <row r="16">
          <cell r="A16" t="str">
            <v>DOLL-010</v>
          </cell>
          <cell r="B16">
            <v>98.3598630136985</v>
          </cell>
        </row>
        <row r="17">
          <cell r="A17" t="str">
            <v>DO-YULQ200</v>
          </cell>
          <cell r="B17">
            <v>32.99</v>
          </cell>
        </row>
        <row r="18">
          <cell r="A18" t="str">
            <v>DO-YULQ010</v>
          </cell>
          <cell r="B18">
            <v>85.7042857142857</v>
          </cell>
        </row>
        <row r="19">
          <cell r="A19" t="str">
            <v>DO-YULQ123</v>
          </cell>
          <cell r="B19">
            <v>89.0809090909091</v>
          </cell>
        </row>
        <row r="20">
          <cell r="A20" t="str">
            <v>DO-YULQ061</v>
          </cell>
          <cell r="B20">
            <v>99.795</v>
          </cell>
        </row>
        <row r="21">
          <cell r="A21" t="str">
            <v>DO-YULQ008</v>
          </cell>
          <cell r="B21">
            <v>79.99</v>
          </cell>
        </row>
        <row r="22">
          <cell r="A22" t="str">
            <v>DO-YULQ070</v>
          </cell>
          <cell r="B22">
            <v>79.99</v>
          </cell>
        </row>
        <row r="23">
          <cell r="A23" t="str">
            <v>DO-YULQ162</v>
          </cell>
          <cell r="B23">
            <v>85.99</v>
          </cell>
        </row>
        <row r="24">
          <cell r="A24" t="str">
            <v>DO-YULQ153</v>
          </cell>
          <cell r="B24">
            <v>99.99</v>
          </cell>
        </row>
        <row r="25">
          <cell r="A25" t="str">
            <v>DO-YULQ012</v>
          </cell>
          <cell r="B25">
            <v>89.99</v>
          </cell>
        </row>
        <row r="26">
          <cell r="A26" t="str">
            <v>DO-YULQ330</v>
          </cell>
          <cell r="B26">
            <v>79.6</v>
          </cell>
        </row>
        <row r="27">
          <cell r="A27" t="str">
            <v>DOLL-004</v>
          </cell>
          <cell r="B27">
            <v>30.6328571428571</v>
          </cell>
        </row>
        <row r="28">
          <cell r="A28" t="str">
            <v>DO-YULQ708</v>
          </cell>
          <cell r="B28">
            <v>108.99</v>
          </cell>
        </row>
        <row r="29">
          <cell r="A29" t="str">
            <v>DO-YULQ812</v>
          </cell>
          <cell r="B29">
            <v>89.99</v>
          </cell>
        </row>
        <row r="30">
          <cell r="A30" t="str">
            <v>DOLL-0601</v>
          </cell>
          <cell r="B30">
            <v>89.99</v>
          </cell>
        </row>
        <row r="31">
          <cell r="A31" t="str">
            <v>DO-YULQ705</v>
          </cell>
          <cell r="B31">
            <v>55.99</v>
          </cell>
        </row>
        <row r="32">
          <cell r="A32" t="str">
            <v>YF-YULQ602</v>
          </cell>
          <cell r="B32">
            <v>21.99</v>
          </cell>
        </row>
        <row r="33">
          <cell r="A33" t="str">
            <v>DO-YULQ701</v>
          </cell>
          <cell r="B33">
            <v>92.99</v>
          </cell>
        </row>
        <row r="34">
          <cell r="A34" t="str">
            <v>DO-YULQ604</v>
          </cell>
          <cell r="B34">
            <v>89.99</v>
          </cell>
        </row>
        <row r="35">
          <cell r="A35" t="str">
            <v>DO-YULQ700</v>
          </cell>
          <cell r="B35">
            <v>99.99</v>
          </cell>
        </row>
        <row r="36">
          <cell r="A36" t="str">
            <v>DOLL-005</v>
          </cell>
          <cell r="B36" t="e">
            <v>#DIV/0!</v>
          </cell>
        </row>
        <row r="37">
          <cell r="A37" t="str">
            <v>DOLL-1630</v>
          </cell>
          <cell r="B37">
            <v>99.99</v>
          </cell>
        </row>
        <row r="38">
          <cell r="A38" t="str">
            <v>DO-YULQ062</v>
          </cell>
          <cell r="B38">
            <v>88.99</v>
          </cell>
        </row>
        <row r="39">
          <cell r="A39" t="str">
            <v>DO-YULQ171</v>
          </cell>
          <cell r="B39">
            <v>92.795</v>
          </cell>
        </row>
        <row r="40">
          <cell r="A40" t="str">
            <v>DO-YULQ230</v>
          </cell>
          <cell r="B40">
            <v>79.99</v>
          </cell>
        </row>
        <row r="41">
          <cell r="A41" t="str">
            <v>DO-YULQ058</v>
          </cell>
          <cell r="B41">
            <v>32.99</v>
          </cell>
        </row>
        <row r="42">
          <cell r="A42" t="str">
            <v>DOLL-008</v>
          </cell>
          <cell r="B42">
            <v>89.6</v>
          </cell>
        </row>
        <row r="43">
          <cell r="A43" t="str">
            <v>DO-YULQ006</v>
          </cell>
          <cell r="B43">
            <v>28.49</v>
          </cell>
        </row>
        <row r="44">
          <cell r="A44" t="str">
            <v>YF-YULQ002</v>
          </cell>
          <cell r="B44">
            <v>16.4925</v>
          </cell>
        </row>
        <row r="45">
          <cell r="A45" t="str">
            <v>DO-YULQ107</v>
          </cell>
          <cell r="B45">
            <v>89.99</v>
          </cell>
        </row>
        <row r="46">
          <cell r="A46" t="str">
            <v>DO-YULQ707</v>
          </cell>
          <cell r="B46">
            <v>108.99</v>
          </cell>
        </row>
        <row r="47">
          <cell r="A47" t="str">
            <v>DO-YULQ150</v>
          </cell>
          <cell r="B47">
            <v>85.8828571428571</v>
          </cell>
        </row>
        <row r="48">
          <cell r="A48" t="str">
            <v>DOLL-100</v>
          </cell>
          <cell r="B48">
            <v>79.6</v>
          </cell>
        </row>
        <row r="49">
          <cell r="A49" t="str">
            <v>DOLL-0603</v>
          </cell>
          <cell r="B49">
            <v>89.6</v>
          </cell>
        </row>
        <row r="50">
          <cell r="A50" t="str">
            <v>DO-YULQ064</v>
          </cell>
          <cell r="B50">
            <v>99.99</v>
          </cell>
        </row>
        <row r="51">
          <cell r="A51" t="str">
            <v>DO-YULQ073</v>
          </cell>
          <cell r="B51">
            <v>89.99</v>
          </cell>
        </row>
        <row r="52">
          <cell r="A52" t="str">
            <v>DOLL-9042</v>
          </cell>
          <cell r="B52">
            <v>89.99</v>
          </cell>
        </row>
        <row r="53">
          <cell r="A53" t="str">
            <v>DO-YULQ011</v>
          </cell>
          <cell r="B53">
            <v>79.99</v>
          </cell>
        </row>
        <row r="54">
          <cell r="A54" t="str">
            <v>NZZH-FLQ52</v>
          </cell>
          <cell r="B54">
            <v>16.99</v>
          </cell>
        </row>
        <row r="55">
          <cell r="A55" t="str">
            <v>DO-YULQ018</v>
          </cell>
          <cell r="B55">
            <v>89.99</v>
          </cell>
        </row>
        <row r="56">
          <cell r="A56" t="str">
            <v>DO-YULQ638</v>
          </cell>
          <cell r="B56">
            <v>88.5333333333333</v>
          </cell>
        </row>
        <row r="57">
          <cell r="A57" t="str">
            <v>DO-YULQ111</v>
          </cell>
          <cell r="B57">
            <v>91.6</v>
          </cell>
        </row>
        <row r="58">
          <cell r="A58" t="str">
            <v>DO-YULQ704</v>
          </cell>
          <cell r="B58">
            <v>108.99</v>
          </cell>
        </row>
        <row r="59">
          <cell r="A59" t="str">
            <v>DO-YULQ232</v>
          </cell>
          <cell r="B59">
            <v>32.99</v>
          </cell>
        </row>
        <row r="60">
          <cell r="A60" t="str">
            <v>DO-YULQ004</v>
          </cell>
          <cell r="B60">
            <v>32.99</v>
          </cell>
        </row>
        <row r="61">
          <cell r="A61" t="str">
            <v>DO-YULQ158</v>
          </cell>
          <cell r="B61" t="e">
            <v>#DIV/0!</v>
          </cell>
        </row>
        <row r="62">
          <cell r="A62" t="str">
            <v>DO-YULQ105</v>
          </cell>
          <cell r="B62">
            <v>89.99</v>
          </cell>
        </row>
        <row r="63">
          <cell r="A63" t="str">
            <v>YF-YULQ162</v>
          </cell>
          <cell r="B63">
            <v>21.99</v>
          </cell>
        </row>
        <row r="64">
          <cell r="A64" t="str">
            <v>YF-YULQ003</v>
          </cell>
          <cell r="B64">
            <v>21.99</v>
          </cell>
        </row>
        <row r="65">
          <cell r="A65" t="str">
            <v>DO-YULQ639</v>
          </cell>
          <cell r="B65">
            <v>99.99</v>
          </cell>
        </row>
        <row r="66">
          <cell r="A66" t="str">
            <v>DOLL-006</v>
          </cell>
          <cell r="B66">
            <v>27.74</v>
          </cell>
        </row>
        <row r="67">
          <cell r="A67" t="str">
            <v>DO-YULQ332</v>
          </cell>
          <cell r="B67">
            <v>89.99</v>
          </cell>
        </row>
        <row r="68">
          <cell r="A68" t="str">
            <v>DO-YULQ165</v>
          </cell>
          <cell r="B68">
            <v>79.99</v>
          </cell>
        </row>
        <row r="69">
          <cell r="A69" t="str">
            <v>DO-YULQ605</v>
          </cell>
          <cell r="B69">
            <v>69.99</v>
          </cell>
        </row>
        <row r="70">
          <cell r="A70" t="str">
            <v>DO-YULQ905</v>
          </cell>
          <cell r="B70">
            <v>99.7042857142857</v>
          </cell>
        </row>
        <row r="71">
          <cell r="A71" t="str">
            <v>DO-YULQ005</v>
          </cell>
          <cell r="B71">
            <v>23.99</v>
          </cell>
        </row>
        <row r="72">
          <cell r="A72" t="str">
            <v>DO-YULQ121</v>
          </cell>
          <cell r="B72">
            <v>89.99</v>
          </cell>
        </row>
        <row r="73">
          <cell r="A73" t="str">
            <v>DO-YULQ611</v>
          </cell>
          <cell r="B73">
            <v>88.99</v>
          </cell>
        </row>
        <row r="74">
          <cell r="A74" t="str">
            <v>DO-YULQ516</v>
          </cell>
          <cell r="B74">
            <v>89.99</v>
          </cell>
        </row>
        <row r="75">
          <cell r="A75" t="str">
            <v>DO-YULQ172</v>
          </cell>
          <cell r="B75">
            <v>79.99</v>
          </cell>
        </row>
        <row r="76">
          <cell r="A76" t="str">
            <v>DOLL-AD011</v>
          </cell>
          <cell r="B76">
            <v>99.6</v>
          </cell>
        </row>
        <row r="77">
          <cell r="A77" t="str">
            <v>DOLL-0602</v>
          </cell>
          <cell r="B77" t="e">
            <v>#DIV/0!</v>
          </cell>
        </row>
        <row r="78">
          <cell r="A78" t="str">
            <v>DO-YULQ071</v>
          </cell>
          <cell r="B78">
            <v>79.99</v>
          </cell>
        </row>
        <row r="79">
          <cell r="A79" t="str">
            <v>DO-YULQ203</v>
          </cell>
          <cell r="B79">
            <v>89.99</v>
          </cell>
        </row>
        <row r="80">
          <cell r="A80" t="str">
            <v>DO-YULQ159</v>
          </cell>
          <cell r="B80">
            <v>99.6</v>
          </cell>
        </row>
        <row r="81">
          <cell r="A81" t="str">
            <v>DO-YULQ350</v>
          </cell>
          <cell r="B81">
            <v>79.99</v>
          </cell>
        </row>
        <row r="82">
          <cell r="A82" t="str">
            <v>DO-YULQ664</v>
          </cell>
          <cell r="B82">
            <v>79.99</v>
          </cell>
        </row>
        <row r="83">
          <cell r="A83" t="str">
            <v>DO-YULQ703</v>
          </cell>
          <cell r="B83">
            <v>89.99</v>
          </cell>
        </row>
        <row r="84">
          <cell r="A84" t="str">
            <v>DO-YULQ706</v>
          </cell>
          <cell r="B84">
            <v>99.99</v>
          </cell>
        </row>
        <row r="85">
          <cell r="A85" t="str">
            <v>DO-YULQ161</v>
          </cell>
          <cell r="B85">
            <v>69.99</v>
          </cell>
        </row>
        <row r="86">
          <cell r="A86" t="str">
            <v>DO-YULQ702</v>
          </cell>
          <cell r="B86">
            <v>99.99</v>
          </cell>
        </row>
        <row r="87">
          <cell r="A87" t="str">
            <v>DO-YULQ063</v>
          </cell>
          <cell r="B87">
            <v>79.99</v>
          </cell>
        </row>
        <row r="88">
          <cell r="A88" t="str">
            <v>DOLL-1523</v>
          </cell>
          <cell r="B88">
            <v>79.99</v>
          </cell>
        </row>
        <row r="89">
          <cell r="A89" t="str">
            <v>DOLL-1613</v>
          </cell>
          <cell r="B89">
            <v>89.99</v>
          </cell>
        </row>
        <row r="90">
          <cell r="A90" t="str">
            <v>DO-YULQ606</v>
          </cell>
          <cell r="B90">
            <v>59.99</v>
          </cell>
        </row>
        <row r="91">
          <cell r="A91" t="str">
            <v>DOLLDRESS-1612</v>
          </cell>
          <cell r="B91">
            <v>23.99</v>
          </cell>
        </row>
        <row r="92">
          <cell r="A92" t="str">
            <v>YF-YULQ008</v>
          </cell>
          <cell r="B92">
            <v>21.99</v>
          </cell>
        </row>
        <row r="93">
          <cell r="A93" t="str">
            <v>YF-YULQ010</v>
          </cell>
          <cell r="B93">
            <v>23.99</v>
          </cell>
        </row>
        <row r="94">
          <cell r="A94" t="str">
            <v>DO-YULQ151</v>
          </cell>
          <cell r="B94">
            <v>79.99</v>
          </cell>
        </row>
        <row r="95">
          <cell r="A95" t="str">
            <v>DO-YULQ372</v>
          </cell>
          <cell r="B95">
            <v>59.99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8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89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43297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2018/8/6-2018/8/12</v>
      </c>
      <c r="E3" s="13" t="str">
        <f>TEXT(时间!$B$8,"yyyy/M/d")&amp;"-"&amp;TEXT(时间!$B$7,"yyyy/M/d")</f>
        <v>2018/7/30-2018/8/5</v>
      </c>
      <c r="F3" s="13" t="str">
        <f>TEXT(时间!$B$10,"yyyy/M/d")&amp;"-"&amp;TEXT(时间!$B$9,"yyyy/M/d")</f>
        <v>2018/7/23-2018/7/29</v>
      </c>
      <c r="G3" s="13" t="str">
        <f>TEXT(时间!$B$12,"yyyy/M/d")&amp;"-"&amp;TEXT(时间!$B$11,"yyyy/M/d")</f>
        <v>2018/7/16-2018/7/22</v>
      </c>
      <c r="I3" s="13"/>
      <c r="J3" s="13"/>
      <c r="K3" s="13"/>
      <c r="L3" s="13"/>
      <c r="M3" s="13"/>
      <c r="N3" s="13"/>
      <c r="O3" s="19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43318</v>
      </c>
      <c r="AG4" s="21">
        <f>时间!$B$7</f>
        <v>43317</v>
      </c>
      <c r="AH4" s="21">
        <f>时间!$B$8</f>
        <v>43311</v>
      </c>
      <c r="AI4" s="21">
        <f>时间!$B$9</f>
        <v>43310</v>
      </c>
      <c r="AJ4" s="21">
        <f>时间!$B$6</f>
        <v>43318</v>
      </c>
      <c r="AK4" s="21">
        <f>时间!$B$7</f>
        <v>43317</v>
      </c>
      <c r="AL4" s="21">
        <f>时间!$B$8</f>
        <v>43311</v>
      </c>
      <c r="AM4" s="21">
        <f>时间!$B$9</f>
        <v>43310</v>
      </c>
      <c r="AN4" s="21">
        <f>时间!$B$6</f>
        <v>43318</v>
      </c>
      <c r="AO4" s="21">
        <f>时间!$B$7</f>
        <v>43317</v>
      </c>
      <c r="AP4" s="21">
        <f>时间!$B$8</f>
        <v>43311</v>
      </c>
      <c r="AQ4" s="21">
        <f>时间!$B$9</f>
        <v>43310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172</v>
      </c>
      <c r="E5" s="4">
        <f>SUM(E6:E170)</f>
        <v>190</v>
      </c>
      <c r="F5" s="4">
        <f>SUM(F6:F170)</f>
        <v>194</v>
      </c>
      <c r="G5" s="4">
        <f>SUM(G6:G170)</f>
        <v>321</v>
      </c>
      <c r="I5" s="4">
        <f t="shared" ref="I5:O5" si="4">SUM(I6:I170)</f>
        <v>2092</v>
      </c>
      <c r="J5" s="4">
        <f t="shared" si="4"/>
        <v>108</v>
      </c>
      <c r="K5" s="4">
        <f t="shared" si="4"/>
        <v>11</v>
      </c>
      <c r="L5" s="4">
        <f t="shared" si="4"/>
        <v>69</v>
      </c>
      <c r="M5" s="4">
        <f t="shared" si="4"/>
        <v>2280</v>
      </c>
      <c r="N5" s="4">
        <f t="shared" si="4"/>
        <v>48</v>
      </c>
      <c r="O5" s="4">
        <f t="shared" si="4"/>
        <v>484</v>
      </c>
      <c r="AB5" s="4">
        <f>SUM(AB6:AB170)</f>
        <v>6879.78</v>
      </c>
      <c r="AC5" s="4">
        <f>SUM(AC6:AC170)</f>
        <v>6898.67</v>
      </c>
      <c r="AD5" s="4">
        <f>SUM(AD6:AD170)</f>
        <v>1907.15</v>
      </c>
      <c r="AE5" s="4">
        <f>SUM(AE6:AE170)</f>
        <v>2084.98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15</v>
      </c>
      <c r="E6" s="31">
        <v>18</v>
      </c>
      <c r="F6" s="31">
        <v>22</v>
      </c>
      <c r="G6" s="31">
        <v>65</v>
      </c>
      <c r="H6" s="32">
        <v>91.9899999999998</v>
      </c>
      <c r="I6">
        <v>99</v>
      </c>
      <c r="J6" s="33">
        <v>5</v>
      </c>
      <c r="K6" s="33">
        <v>0</v>
      </c>
      <c r="L6" s="33">
        <v>0</v>
      </c>
      <c r="M6">
        <v>104</v>
      </c>
      <c r="N6">
        <v>7</v>
      </c>
      <c r="O6">
        <v>0</v>
      </c>
      <c r="P6">
        <v>681465</v>
      </c>
      <c r="Q6">
        <v>684003</v>
      </c>
      <c r="R6">
        <v>213484</v>
      </c>
      <c r="S6">
        <v>345667</v>
      </c>
      <c r="T6">
        <v>2828</v>
      </c>
      <c r="U6">
        <v>2840</v>
      </c>
      <c r="V6">
        <v>1072</v>
      </c>
      <c r="W6">
        <v>1086</v>
      </c>
      <c r="X6" s="23">
        <v>0.0041498829727132</v>
      </c>
      <c r="Y6" s="23">
        <v>0.0041520285729741</v>
      </c>
      <c r="Z6" s="23">
        <v>0.00502145359839613</v>
      </c>
      <c r="AA6" s="23">
        <v>0.003141752033026</v>
      </c>
      <c r="AB6">
        <v>608.44</v>
      </c>
      <c r="AC6">
        <v>611.61</v>
      </c>
      <c r="AD6">
        <v>203.94</v>
      </c>
      <c r="AE6">
        <v>252.45</v>
      </c>
      <c r="AF6" s="23">
        <v>0.440946479689822</v>
      </c>
      <c r="AG6" s="23">
        <v>0.36936985904265</v>
      </c>
      <c r="AH6" s="23">
        <v>0.100771823024242</v>
      </c>
      <c r="AI6" s="23">
        <v>0.042220308227483</v>
      </c>
      <c r="AJ6">
        <v>1221</v>
      </c>
      <c r="AK6">
        <v>1631</v>
      </c>
      <c r="AL6">
        <v>1067</v>
      </c>
      <c r="AM6">
        <v>2338</v>
      </c>
      <c r="AN6" s="23">
        <v>0.0122850122850123</v>
      </c>
      <c r="AO6" s="23">
        <v>0.0110361741263029</v>
      </c>
      <c r="AP6" s="23">
        <v>0.0206185567010309</v>
      </c>
      <c r="AQ6" s="23">
        <v>0.0278015397775877</v>
      </c>
      <c r="AR6" s="35">
        <v>2.14285714285714</v>
      </c>
      <c r="AS6" s="35">
        <v>128.571428571429</v>
      </c>
      <c r="AT6" s="35">
        <v>-24.5714285714286</v>
      </c>
      <c r="AU6" s="31">
        <f t="shared" si="3"/>
        <v>48</v>
      </c>
      <c r="AV6" s="36">
        <f>IFERROR(时间!$B$4+AU6,"上周无销量")</f>
        <v>43373</v>
      </c>
    </row>
    <row r="7" spans="1:48">
      <c r="A7" s="21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2</v>
      </c>
      <c r="J7" s="33">
        <v>0</v>
      </c>
      <c r="K7" s="33">
        <v>0</v>
      </c>
      <c r="L7" s="33">
        <v>0</v>
      </c>
      <c r="M7">
        <v>2</v>
      </c>
      <c r="N7">
        <v>0</v>
      </c>
      <c r="O7">
        <v>2</v>
      </c>
      <c r="P7" t="s">
        <v>57</v>
      </c>
      <c r="Q7" t="s">
        <v>57</v>
      </c>
      <c r="R7" t="s">
        <v>57</v>
      </c>
      <c r="S7" t="s">
        <v>57</v>
      </c>
      <c r="T7" t="s">
        <v>57</v>
      </c>
      <c r="U7" t="s">
        <v>57</v>
      </c>
      <c r="V7" t="s">
        <v>57</v>
      </c>
      <c r="W7" t="s">
        <v>57</v>
      </c>
      <c r="X7" s="23" t="s">
        <v>57</v>
      </c>
      <c r="Y7" s="23" t="s">
        <v>57</v>
      </c>
      <c r="Z7" s="23" t="s">
        <v>57</v>
      </c>
      <c r="AA7" s="23" t="s">
        <v>57</v>
      </c>
      <c r="AB7" t="s">
        <v>57</v>
      </c>
      <c r="AC7" t="s">
        <v>57</v>
      </c>
      <c r="AD7" t="s">
        <v>57</v>
      </c>
      <c r="AE7" t="s">
        <v>57</v>
      </c>
      <c r="AF7" s="23" t="s">
        <v>57</v>
      </c>
      <c r="AG7" s="23" t="s">
        <v>57</v>
      </c>
      <c r="AH7" s="23" t="s">
        <v>57</v>
      </c>
      <c r="AI7" s="23" t="s">
        <v>57</v>
      </c>
      <c r="AJ7">
        <v>20</v>
      </c>
      <c r="AK7">
        <v>20</v>
      </c>
      <c r="AL7">
        <v>8</v>
      </c>
      <c r="AM7">
        <v>9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2</v>
      </c>
      <c r="AU7" s="31" t="str">
        <f t="shared" si="3"/>
        <v>库存为2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60</v>
      </c>
      <c r="D8" s="31">
        <v>1</v>
      </c>
      <c r="E8" s="31">
        <v>1</v>
      </c>
      <c r="F8" s="31">
        <v>0</v>
      </c>
      <c r="G8" s="31">
        <v>1</v>
      </c>
      <c r="H8" s="32">
        <v>32.99</v>
      </c>
      <c r="I8">
        <v>64</v>
      </c>
      <c r="J8" s="33">
        <v>0</v>
      </c>
      <c r="K8" s="33">
        <v>0</v>
      </c>
      <c r="L8" s="33">
        <v>0</v>
      </c>
      <c r="M8">
        <v>64</v>
      </c>
      <c r="N8">
        <v>0</v>
      </c>
      <c r="O8">
        <v>2</v>
      </c>
      <c r="P8" t="s">
        <v>57</v>
      </c>
      <c r="Q8" t="s">
        <v>57</v>
      </c>
      <c r="R8" t="s">
        <v>57</v>
      </c>
      <c r="S8" t="s">
        <v>57</v>
      </c>
      <c r="T8" t="s">
        <v>57</v>
      </c>
      <c r="U8" t="s">
        <v>57</v>
      </c>
      <c r="V8" t="s">
        <v>57</v>
      </c>
      <c r="W8" t="s">
        <v>57</v>
      </c>
      <c r="X8" s="23" t="s">
        <v>57</v>
      </c>
      <c r="Y8" s="23" t="s">
        <v>57</v>
      </c>
      <c r="Z8" s="23" t="s">
        <v>57</v>
      </c>
      <c r="AA8" s="23" t="s">
        <v>57</v>
      </c>
      <c r="AB8" t="s">
        <v>57</v>
      </c>
      <c r="AC8" t="s">
        <v>57</v>
      </c>
      <c r="AD8" t="s">
        <v>57</v>
      </c>
      <c r="AE8" t="s">
        <v>57</v>
      </c>
      <c r="AF8" s="23" t="s">
        <v>57</v>
      </c>
      <c r="AG8" s="23" t="s">
        <v>57</v>
      </c>
      <c r="AH8" s="23" t="s">
        <v>57</v>
      </c>
      <c r="AI8" s="23" t="s">
        <v>57</v>
      </c>
      <c r="AJ8">
        <v>47</v>
      </c>
      <c r="AK8">
        <v>13</v>
      </c>
      <c r="AL8">
        <v>39</v>
      </c>
      <c r="AM8">
        <v>44</v>
      </c>
      <c r="AN8" s="23">
        <v>0.0212765957446809</v>
      </c>
      <c r="AO8" s="23">
        <v>0.0769230769230769</v>
      </c>
      <c r="AP8" s="23">
        <v>0</v>
      </c>
      <c r="AQ8" s="23">
        <v>0.0227272727272727</v>
      </c>
      <c r="AR8" s="35">
        <v>0.142857142857143</v>
      </c>
      <c r="AS8" s="35">
        <v>8.57142857142857</v>
      </c>
      <c r="AT8" s="35">
        <v>55.4285714285714</v>
      </c>
      <c r="AU8" s="31">
        <f t="shared" si="3"/>
        <v>448</v>
      </c>
      <c r="AV8" s="36">
        <f>IFERROR(时间!$B$4+AU8,"上周无销量")</f>
        <v>43773</v>
      </c>
    </row>
    <row r="9" spans="1:48">
      <c r="A9" s="21" t="s">
        <v>61</v>
      </c>
      <c r="B9" t="s">
        <v>62</v>
      </c>
      <c r="C9" t="s">
        <v>60</v>
      </c>
      <c r="D9" s="31">
        <v>1</v>
      </c>
      <c r="E9" s="31">
        <v>2</v>
      </c>
      <c r="F9" s="31">
        <v>0</v>
      </c>
      <c r="G9" s="31">
        <v>2</v>
      </c>
      <c r="H9" s="32">
        <v>32.99</v>
      </c>
      <c r="I9">
        <v>56</v>
      </c>
      <c r="J9" s="33">
        <v>0</v>
      </c>
      <c r="K9" s="33">
        <v>0</v>
      </c>
      <c r="L9" s="33">
        <v>0</v>
      </c>
      <c r="M9">
        <v>56</v>
      </c>
      <c r="N9">
        <v>0</v>
      </c>
      <c r="O9">
        <v>0</v>
      </c>
      <c r="P9" t="s">
        <v>57</v>
      </c>
      <c r="Q9" t="s">
        <v>57</v>
      </c>
      <c r="R9" t="s">
        <v>57</v>
      </c>
      <c r="S9" t="s">
        <v>57</v>
      </c>
      <c r="T9" t="s">
        <v>57</v>
      </c>
      <c r="U9" t="s">
        <v>57</v>
      </c>
      <c r="V9" t="s">
        <v>57</v>
      </c>
      <c r="W9" t="s">
        <v>57</v>
      </c>
      <c r="X9" s="23" t="s">
        <v>57</v>
      </c>
      <c r="Y9" s="23" t="s">
        <v>57</v>
      </c>
      <c r="Z9" s="23" t="s">
        <v>57</v>
      </c>
      <c r="AA9" s="23" t="s">
        <v>57</v>
      </c>
      <c r="AB9" t="s">
        <v>57</v>
      </c>
      <c r="AC9" t="s">
        <v>57</v>
      </c>
      <c r="AD9" t="s">
        <v>57</v>
      </c>
      <c r="AE9" t="s">
        <v>57</v>
      </c>
      <c r="AF9" s="23" t="s">
        <v>57</v>
      </c>
      <c r="AG9" s="23" t="s">
        <v>57</v>
      </c>
      <c r="AH9" s="23" t="s">
        <v>57</v>
      </c>
      <c r="AI9" s="23" t="s">
        <v>57</v>
      </c>
      <c r="AJ9">
        <v>42</v>
      </c>
      <c r="AK9">
        <v>25</v>
      </c>
      <c r="AL9">
        <v>27</v>
      </c>
      <c r="AM9">
        <v>181</v>
      </c>
      <c r="AN9" s="23">
        <v>0.0238095238095238</v>
      </c>
      <c r="AO9" s="23">
        <v>0.08</v>
      </c>
      <c r="AP9" s="23">
        <v>0</v>
      </c>
      <c r="AQ9" s="23">
        <v>0.0110497237569061</v>
      </c>
      <c r="AR9" s="35">
        <v>0.142857142857143</v>
      </c>
      <c r="AS9" s="35">
        <v>8.57142857142857</v>
      </c>
      <c r="AT9" s="35">
        <v>47.4285714285714</v>
      </c>
      <c r="AU9" s="31">
        <f t="shared" si="3"/>
        <v>392</v>
      </c>
      <c r="AV9" s="36">
        <f>IFERROR(时间!$B$4+AU9,"上周无销量")</f>
        <v>43717</v>
      </c>
    </row>
    <row r="10" spans="1:48">
      <c r="A10" s="21" t="s">
        <v>63</v>
      </c>
      <c r="B10" t="s">
        <v>64</v>
      </c>
      <c r="C10" t="s">
        <v>65</v>
      </c>
      <c r="D10" s="31">
        <v>6</v>
      </c>
      <c r="E10" s="31">
        <v>0</v>
      </c>
      <c r="F10" s="31">
        <v>1</v>
      </c>
      <c r="G10" s="31">
        <v>0</v>
      </c>
      <c r="H10" s="32">
        <v>23.99</v>
      </c>
      <c r="I10">
        <v>7</v>
      </c>
      <c r="J10" s="33">
        <v>10</v>
      </c>
      <c r="K10" s="33">
        <v>0</v>
      </c>
      <c r="L10" s="33">
        <v>0</v>
      </c>
      <c r="M10">
        <v>17</v>
      </c>
      <c r="N10">
        <v>0</v>
      </c>
      <c r="O10">
        <v>0</v>
      </c>
      <c r="P10" t="s">
        <v>57</v>
      </c>
      <c r="Q10" t="s">
        <v>57</v>
      </c>
      <c r="R10" t="s">
        <v>57</v>
      </c>
      <c r="S10" t="s">
        <v>57</v>
      </c>
      <c r="T10" t="s">
        <v>57</v>
      </c>
      <c r="U10" t="s">
        <v>57</v>
      </c>
      <c r="V10" t="s">
        <v>57</v>
      </c>
      <c r="W10" t="s">
        <v>57</v>
      </c>
      <c r="X10" s="23" t="s">
        <v>57</v>
      </c>
      <c r="Y10" s="23" t="s">
        <v>57</v>
      </c>
      <c r="Z10" s="23" t="s">
        <v>57</v>
      </c>
      <c r="AA10" s="23" t="s">
        <v>57</v>
      </c>
      <c r="AB10" t="s">
        <v>57</v>
      </c>
      <c r="AC10" t="s">
        <v>57</v>
      </c>
      <c r="AD10" t="s">
        <v>57</v>
      </c>
      <c r="AE10" t="s">
        <v>57</v>
      </c>
      <c r="AF10" s="23" t="s">
        <v>57</v>
      </c>
      <c r="AG10" s="23" t="s">
        <v>57</v>
      </c>
      <c r="AH10" s="23" t="s">
        <v>57</v>
      </c>
      <c r="AI10" s="23" t="s">
        <v>57</v>
      </c>
      <c r="AJ10">
        <v>89</v>
      </c>
      <c r="AK10">
        <v>74</v>
      </c>
      <c r="AL10">
        <v>39</v>
      </c>
      <c r="AM10">
        <v>8</v>
      </c>
      <c r="AN10" s="23">
        <v>0.0674157303370786</v>
      </c>
      <c r="AO10" s="23">
        <v>0</v>
      </c>
      <c r="AP10" s="23">
        <v>0.0256410256410256</v>
      </c>
      <c r="AQ10" s="23">
        <v>0</v>
      </c>
      <c r="AR10" s="35">
        <v>0.857142857142857</v>
      </c>
      <c r="AS10" s="35">
        <v>51.4285714285714</v>
      </c>
      <c r="AT10" s="35">
        <v>-34.4285714285714</v>
      </c>
      <c r="AU10" s="31">
        <f t="shared" si="3"/>
        <v>19</v>
      </c>
      <c r="AV10" s="36">
        <f>IFERROR(时间!$B$4+AU10,"上周无销量")</f>
        <v>43344</v>
      </c>
    </row>
    <row r="11" spans="1:48">
      <c r="A11" s="21" t="s">
        <v>66</v>
      </c>
      <c r="B11" t="s">
        <v>67</v>
      </c>
      <c r="C11" t="s">
        <v>68</v>
      </c>
      <c r="D11" s="31">
        <v>0</v>
      </c>
      <c r="E11" s="31">
        <v>1</v>
      </c>
      <c r="F11" s="31">
        <v>0</v>
      </c>
      <c r="G11" s="31">
        <v>0</v>
      </c>
      <c r="H11" s="32">
        <v>23.99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57</v>
      </c>
      <c r="Q11" t="s">
        <v>57</v>
      </c>
      <c r="R11" t="s">
        <v>57</v>
      </c>
      <c r="S11" t="s">
        <v>57</v>
      </c>
      <c r="T11" t="s">
        <v>57</v>
      </c>
      <c r="U11" t="s">
        <v>57</v>
      </c>
      <c r="V11" t="s">
        <v>57</v>
      </c>
      <c r="W11" t="s">
        <v>57</v>
      </c>
      <c r="X11" s="23" t="s">
        <v>57</v>
      </c>
      <c r="Y11" s="23" t="s">
        <v>57</v>
      </c>
      <c r="Z11" s="23" t="s">
        <v>57</v>
      </c>
      <c r="AA11" s="23" t="s">
        <v>57</v>
      </c>
      <c r="AB11" t="s">
        <v>57</v>
      </c>
      <c r="AC11" t="s">
        <v>57</v>
      </c>
      <c r="AD11" t="s">
        <v>57</v>
      </c>
      <c r="AE11" t="s">
        <v>57</v>
      </c>
      <c r="AF11" s="23" t="s">
        <v>57</v>
      </c>
      <c r="AG11" s="23" t="s">
        <v>57</v>
      </c>
      <c r="AH11" s="23" t="s">
        <v>57</v>
      </c>
      <c r="AI11" s="23" t="s">
        <v>57</v>
      </c>
      <c r="AJ11">
        <v>0</v>
      </c>
      <c r="AK11">
        <v>8</v>
      </c>
      <c r="AL11">
        <v>8</v>
      </c>
      <c r="AM11">
        <v>20</v>
      </c>
      <c r="AN11" s="23" t="s">
        <v>57</v>
      </c>
      <c r="AO11" s="23">
        <v>0.125</v>
      </c>
      <c r="AP11" s="23">
        <v>0</v>
      </c>
      <c r="AQ11" s="23">
        <v>0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1" t="s">
        <v>69</v>
      </c>
      <c r="B12" t="s">
        <v>70</v>
      </c>
      <c r="C12" t="s">
        <v>68</v>
      </c>
      <c r="D12" s="31">
        <v>0</v>
      </c>
      <c r="E12" s="31">
        <v>0</v>
      </c>
      <c r="F12" s="31">
        <v>0</v>
      </c>
      <c r="G12" s="31">
        <v>1</v>
      </c>
      <c r="H12" s="32">
        <v>32.99</v>
      </c>
      <c r="I12">
        <v>2</v>
      </c>
      <c r="J12" s="33">
        <v>0</v>
      </c>
      <c r="K12" s="33">
        <v>0</v>
      </c>
      <c r="L12" s="33">
        <v>0</v>
      </c>
      <c r="M12">
        <v>2</v>
      </c>
      <c r="N12">
        <v>0</v>
      </c>
      <c r="O12">
        <v>2</v>
      </c>
      <c r="P12" t="s">
        <v>57</v>
      </c>
      <c r="Q12" t="s">
        <v>57</v>
      </c>
      <c r="R12" t="s">
        <v>57</v>
      </c>
      <c r="S12" t="s">
        <v>57</v>
      </c>
      <c r="T12" t="s">
        <v>57</v>
      </c>
      <c r="U12" t="s">
        <v>57</v>
      </c>
      <c r="V12" t="s">
        <v>57</v>
      </c>
      <c r="W12" t="s">
        <v>57</v>
      </c>
      <c r="X12" s="23" t="s">
        <v>57</v>
      </c>
      <c r="Y12" s="23" t="s">
        <v>57</v>
      </c>
      <c r="Z12" s="23" t="s">
        <v>57</v>
      </c>
      <c r="AA12" s="23" t="s">
        <v>57</v>
      </c>
      <c r="AB12" t="s">
        <v>57</v>
      </c>
      <c r="AC12" t="s">
        <v>57</v>
      </c>
      <c r="AD12" t="s">
        <v>57</v>
      </c>
      <c r="AE12" t="s">
        <v>57</v>
      </c>
      <c r="AF12" s="23" t="s">
        <v>57</v>
      </c>
      <c r="AG12" s="23" t="s">
        <v>57</v>
      </c>
      <c r="AH12" s="23" t="s">
        <v>57</v>
      </c>
      <c r="AI12" s="23" t="s">
        <v>57</v>
      </c>
      <c r="AJ12">
        <v>13</v>
      </c>
      <c r="AK12">
        <v>3</v>
      </c>
      <c r="AL12">
        <v>12</v>
      </c>
      <c r="AM12">
        <v>11</v>
      </c>
      <c r="AN12" s="23">
        <v>0</v>
      </c>
      <c r="AO12" s="23">
        <v>0</v>
      </c>
      <c r="AP12" s="23">
        <v>0</v>
      </c>
      <c r="AQ12" s="23">
        <v>0.0909090909090909</v>
      </c>
      <c r="AR12" s="35">
        <v>0</v>
      </c>
      <c r="AS12" s="35">
        <v>0</v>
      </c>
      <c r="AT12" s="35">
        <v>2</v>
      </c>
      <c r="AU12" s="31" t="str">
        <f t="shared" si="3"/>
        <v>库存为2</v>
      </c>
      <c r="AV12" s="36" t="str">
        <f>IFERROR(时间!$B$4+AU12,"上周无销量")</f>
        <v>上周无销量</v>
      </c>
    </row>
    <row r="13" spans="1:48">
      <c r="A13" s="21" t="s">
        <v>71</v>
      </c>
      <c r="B13" t="s">
        <v>70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10</v>
      </c>
      <c r="J13" s="33">
        <v>0</v>
      </c>
      <c r="K13" s="33">
        <v>0</v>
      </c>
      <c r="L13" s="33">
        <v>0</v>
      </c>
      <c r="M13">
        <v>10</v>
      </c>
      <c r="N13">
        <v>0</v>
      </c>
      <c r="O13">
        <v>10</v>
      </c>
      <c r="P13" t="s">
        <v>57</v>
      </c>
      <c r="Q13" t="s">
        <v>57</v>
      </c>
      <c r="R13" t="s">
        <v>57</v>
      </c>
      <c r="S13" t="s">
        <v>57</v>
      </c>
      <c r="T13" t="s">
        <v>57</v>
      </c>
      <c r="U13" t="s">
        <v>57</v>
      </c>
      <c r="V13" t="s">
        <v>57</v>
      </c>
      <c r="W13" t="s">
        <v>57</v>
      </c>
      <c r="X13" s="23" t="s">
        <v>57</v>
      </c>
      <c r="Y13" s="23" t="s">
        <v>57</v>
      </c>
      <c r="Z13" s="23" t="s">
        <v>57</v>
      </c>
      <c r="AA13" s="23" t="s">
        <v>57</v>
      </c>
      <c r="AB13" t="s">
        <v>57</v>
      </c>
      <c r="AC13" t="s">
        <v>57</v>
      </c>
      <c r="AD13" t="s">
        <v>57</v>
      </c>
      <c r="AE13" t="s">
        <v>57</v>
      </c>
      <c r="AF13" s="23" t="s">
        <v>57</v>
      </c>
      <c r="AG13" s="23" t="s">
        <v>57</v>
      </c>
      <c r="AH13" s="23" t="s">
        <v>57</v>
      </c>
      <c r="AI13" s="23" t="s">
        <v>57</v>
      </c>
      <c r="AJ13">
        <v>13</v>
      </c>
      <c r="AK13">
        <v>3</v>
      </c>
      <c r="AL13">
        <v>12</v>
      </c>
      <c r="AM13">
        <v>11</v>
      </c>
      <c r="AN13" s="23">
        <v>0</v>
      </c>
      <c r="AO13" s="23">
        <v>0</v>
      </c>
      <c r="AP13" s="23">
        <v>0</v>
      </c>
      <c r="AQ13" s="23">
        <v>0</v>
      </c>
      <c r="AR13" s="35">
        <v>0</v>
      </c>
      <c r="AS13" s="35">
        <v>0</v>
      </c>
      <c r="AT13" s="35">
        <v>10</v>
      </c>
      <c r="AU13" s="31" t="str">
        <f t="shared" si="3"/>
        <v>库存为10</v>
      </c>
      <c r="AV13" s="36" t="str">
        <f>IFERROR(时间!$B$4+AU13,"上周无销量")</f>
        <v>上周无销量</v>
      </c>
    </row>
    <row r="14" spans="1:48">
      <c r="A14" s="21" t="s">
        <v>72</v>
      </c>
      <c r="B14" t="s">
        <v>73</v>
      </c>
      <c r="C14" t="s">
        <v>74</v>
      </c>
      <c r="D14" s="31">
        <v>0</v>
      </c>
      <c r="E14" s="31">
        <v>0</v>
      </c>
      <c r="F14" s="31">
        <v>0</v>
      </c>
      <c r="G14" s="31">
        <v>3</v>
      </c>
      <c r="H14" s="32">
        <v>79.99</v>
      </c>
      <c r="I14">
        <v>25</v>
      </c>
      <c r="J14" s="33">
        <v>0</v>
      </c>
      <c r="K14" s="33">
        <v>0</v>
      </c>
      <c r="L14" s="33">
        <v>0</v>
      </c>
      <c r="M14">
        <v>25</v>
      </c>
      <c r="N14">
        <v>0</v>
      </c>
      <c r="O14">
        <v>9</v>
      </c>
      <c r="P14">
        <v>20198</v>
      </c>
      <c r="Q14">
        <v>20198</v>
      </c>
      <c r="R14">
        <v>0</v>
      </c>
      <c r="S14">
        <v>20198</v>
      </c>
      <c r="T14">
        <v>32</v>
      </c>
      <c r="U14">
        <v>32</v>
      </c>
      <c r="V14">
        <v>0</v>
      </c>
      <c r="W14">
        <v>32</v>
      </c>
      <c r="X14" s="23">
        <v>0.00158431527874047</v>
      </c>
      <c r="Y14" s="23">
        <v>0.00158431527874047</v>
      </c>
      <c r="Z14" s="23" t="s">
        <v>57</v>
      </c>
      <c r="AA14" s="23">
        <v>0.00158431527874047</v>
      </c>
      <c r="AB14">
        <v>8.63</v>
      </c>
      <c r="AC14">
        <v>8.63</v>
      </c>
      <c r="AD14">
        <v>0</v>
      </c>
      <c r="AE14">
        <v>8.63</v>
      </c>
      <c r="AF14" s="23" t="s">
        <v>75</v>
      </c>
      <c r="AG14" s="23" t="s">
        <v>75</v>
      </c>
      <c r="AH14" s="23" t="s">
        <v>57</v>
      </c>
      <c r="AI14" s="23">
        <v>0.0359628286869192</v>
      </c>
      <c r="AJ14">
        <v>12</v>
      </c>
      <c r="AK14">
        <v>7</v>
      </c>
      <c r="AL14">
        <v>10</v>
      </c>
      <c r="AM14">
        <v>78</v>
      </c>
      <c r="AN14" s="23">
        <v>0</v>
      </c>
      <c r="AO14" s="23">
        <v>0</v>
      </c>
      <c r="AP14" s="23">
        <v>0</v>
      </c>
      <c r="AQ14" s="23">
        <v>0.0384615384615385</v>
      </c>
      <c r="AR14" s="35">
        <v>0</v>
      </c>
      <c r="AS14" s="35">
        <v>0</v>
      </c>
      <c r="AT14" s="35">
        <v>25</v>
      </c>
      <c r="AU14" s="31" t="str">
        <f t="shared" si="3"/>
        <v>库存为25</v>
      </c>
      <c r="AV14" s="36" t="str">
        <f>IFERROR(时间!$B$4+AU14,"上周无销量")</f>
        <v>上周无销量</v>
      </c>
    </row>
    <row r="15" spans="1:48">
      <c r="A15" s="21" t="s">
        <v>76</v>
      </c>
      <c r="B15" t="s">
        <v>77</v>
      </c>
      <c r="C15" t="s">
        <v>74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27</v>
      </c>
      <c r="J15" s="33">
        <v>0</v>
      </c>
      <c r="K15" s="33">
        <v>0</v>
      </c>
      <c r="L15" s="33">
        <v>0</v>
      </c>
      <c r="M15">
        <v>27</v>
      </c>
      <c r="N15">
        <v>0</v>
      </c>
      <c r="O15">
        <v>12</v>
      </c>
      <c r="P15">
        <v>1400</v>
      </c>
      <c r="Q15">
        <v>1400</v>
      </c>
      <c r="R15">
        <v>0</v>
      </c>
      <c r="S15">
        <v>1400</v>
      </c>
      <c r="T15">
        <v>4</v>
      </c>
      <c r="U15">
        <v>4</v>
      </c>
      <c r="V15">
        <v>0</v>
      </c>
      <c r="W15">
        <v>4</v>
      </c>
      <c r="X15" s="23">
        <v>0.00285714285714286</v>
      </c>
      <c r="Y15" s="23">
        <v>0.00285714285714286</v>
      </c>
      <c r="Z15" s="23" t="s">
        <v>57</v>
      </c>
      <c r="AA15" s="23">
        <v>0.00285714285714286</v>
      </c>
      <c r="AB15">
        <v>0.76</v>
      </c>
      <c r="AC15">
        <v>0.76</v>
      </c>
      <c r="AD15">
        <v>0</v>
      </c>
      <c r="AE15">
        <v>0.76</v>
      </c>
      <c r="AF15" s="23" t="s">
        <v>78</v>
      </c>
      <c r="AG15" s="23" t="s">
        <v>78</v>
      </c>
      <c r="AH15" s="23" t="s">
        <v>57</v>
      </c>
      <c r="AI15" s="23" t="s">
        <v>78</v>
      </c>
      <c r="AJ15">
        <v>9</v>
      </c>
      <c r="AK15">
        <v>3</v>
      </c>
      <c r="AL15">
        <v>13</v>
      </c>
      <c r="AM15">
        <v>49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27</v>
      </c>
      <c r="AU15" s="31" t="str">
        <f t="shared" si="3"/>
        <v>库存为27</v>
      </c>
      <c r="AV15" s="36" t="str">
        <f>IFERROR(时间!$B$4+AU15,"上周无销量")</f>
        <v>上周无销量</v>
      </c>
    </row>
    <row r="16" spans="1:48">
      <c r="A16" s="21" t="s">
        <v>79</v>
      </c>
      <c r="B16" t="s">
        <v>80</v>
      </c>
      <c r="C16" t="s">
        <v>81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0</v>
      </c>
      <c r="P16">
        <v>2118</v>
      </c>
      <c r="Q16">
        <v>2132</v>
      </c>
      <c r="R16">
        <v>1986</v>
      </c>
      <c r="S16">
        <v>0</v>
      </c>
      <c r="T16">
        <v>29</v>
      </c>
      <c r="U16">
        <v>29</v>
      </c>
      <c r="V16">
        <v>29</v>
      </c>
      <c r="W16">
        <v>0</v>
      </c>
      <c r="X16" s="23">
        <v>0.0136921624173749</v>
      </c>
      <c r="Y16" s="23">
        <v>0.0136022514071295</v>
      </c>
      <c r="Z16" s="23">
        <v>0.0146022155085599</v>
      </c>
      <c r="AA16" s="23" t="s">
        <v>57</v>
      </c>
      <c r="AB16">
        <v>9.99</v>
      </c>
      <c r="AC16">
        <v>9.99</v>
      </c>
      <c r="AD16">
        <v>9.99</v>
      </c>
      <c r="AE16">
        <v>0</v>
      </c>
      <c r="AF16" s="23" t="s">
        <v>82</v>
      </c>
      <c r="AG16" s="23" t="s">
        <v>82</v>
      </c>
      <c r="AH16" s="23" t="s">
        <v>82</v>
      </c>
      <c r="AI16" s="23" t="s">
        <v>57</v>
      </c>
      <c r="AJ16">
        <v>45</v>
      </c>
      <c r="AK16">
        <v>18</v>
      </c>
      <c r="AL16">
        <v>24</v>
      </c>
      <c r="AM16">
        <v>0</v>
      </c>
      <c r="AN16" s="23">
        <v>0</v>
      </c>
      <c r="AO16" s="23">
        <v>0</v>
      </c>
      <c r="AP16" s="23">
        <v>0</v>
      </c>
      <c r="AQ16" s="23" t="s">
        <v>57</v>
      </c>
      <c r="AR16" s="35">
        <v>0</v>
      </c>
      <c r="AS16" s="35">
        <v>0</v>
      </c>
      <c r="AT16" s="35">
        <v>3</v>
      </c>
      <c r="AU16" s="31" t="str">
        <f t="shared" si="3"/>
        <v>库存为3</v>
      </c>
      <c r="AV16" s="36" t="str">
        <f>IFERROR(时间!$B$4+AU16,"上周无销量")</f>
        <v>上周无销量</v>
      </c>
    </row>
    <row r="17" spans="1:48">
      <c r="A17" s="21" t="s">
        <v>83</v>
      </c>
      <c r="B17" t="s">
        <v>84</v>
      </c>
      <c r="C17" t="s">
        <v>85</v>
      </c>
      <c r="D17" s="31">
        <v>3</v>
      </c>
      <c r="E17" s="31">
        <v>1</v>
      </c>
      <c r="F17" s="31">
        <v>0</v>
      </c>
      <c r="G17" s="31">
        <v>0</v>
      </c>
      <c r="H17" s="32">
        <v>89.99</v>
      </c>
      <c r="I17">
        <v>16</v>
      </c>
      <c r="J17" s="33">
        <v>0</v>
      </c>
      <c r="K17" s="33">
        <v>0</v>
      </c>
      <c r="L17" s="33">
        <v>0</v>
      </c>
      <c r="M17">
        <v>16</v>
      </c>
      <c r="N17">
        <v>0</v>
      </c>
      <c r="O17">
        <v>0</v>
      </c>
      <c r="P17">
        <v>43019</v>
      </c>
      <c r="Q17">
        <v>43268</v>
      </c>
      <c r="R17">
        <v>16366</v>
      </c>
      <c r="S17">
        <v>7931</v>
      </c>
      <c r="T17">
        <v>450</v>
      </c>
      <c r="U17">
        <v>450</v>
      </c>
      <c r="V17">
        <v>208</v>
      </c>
      <c r="W17">
        <v>87</v>
      </c>
      <c r="X17" s="23">
        <v>0.0104604942002371</v>
      </c>
      <c r="Y17" s="23">
        <v>0.010400295830637</v>
      </c>
      <c r="Z17" s="23">
        <v>0.0127092753268972</v>
      </c>
      <c r="AA17" s="23">
        <v>0.0109696129113605</v>
      </c>
      <c r="AB17">
        <v>85.67</v>
      </c>
      <c r="AC17">
        <v>85.67</v>
      </c>
      <c r="AD17">
        <v>42.8</v>
      </c>
      <c r="AE17">
        <v>14.12</v>
      </c>
      <c r="AF17" s="23">
        <v>0.317331555358003</v>
      </c>
      <c r="AG17" s="23">
        <v>0.951994666074008</v>
      </c>
      <c r="AH17" s="23" t="s">
        <v>86</v>
      </c>
      <c r="AI17" s="23" t="s">
        <v>87</v>
      </c>
      <c r="AJ17">
        <v>145</v>
      </c>
      <c r="AK17">
        <v>215</v>
      </c>
      <c r="AL17">
        <v>149</v>
      </c>
      <c r="AM17">
        <v>105</v>
      </c>
      <c r="AN17" s="23">
        <v>0.0206896551724138</v>
      </c>
      <c r="AO17" s="23">
        <v>0.00465116279069767</v>
      </c>
      <c r="AP17" s="23">
        <v>0</v>
      </c>
      <c r="AQ17" s="23">
        <v>0</v>
      </c>
      <c r="AR17" s="35">
        <v>0.428571428571429</v>
      </c>
      <c r="AS17" s="35">
        <v>25.7142857142857</v>
      </c>
      <c r="AT17" s="35">
        <v>-9.71428571428571</v>
      </c>
      <c r="AU17" s="31">
        <f t="shared" si="3"/>
        <v>37</v>
      </c>
      <c r="AV17" s="36">
        <f>IFERROR(时间!$B$4+AU17,"上周无销量")</f>
        <v>43362</v>
      </c>
    </row>
    <row r="18" spans="1:48">
      <c r="A18" s="21" t="s">
        <v>88</v>
      </c>
      <c r="B18" t="s">
        <v>89</v>
      </c>
      <c r="C18" t="s">
        <v>85</v>
      </c>
      <c r="D18" s="31">
        <v>1</v>
      </c>
      <c r="E18" s="31">
        <v>1</v>
      </c>
      <c r="F18" s="31">
        <v>0</v>
      </c>
      <c r="G18" s="31">
        <v>1</v>
      </c>
      <c r="H18" s="32">
        <v>79.99</v>
      </c>
      <c r="I18">
        <v>5</v>
      </c>
      <c r="J18" s="33">
        <v>5</v>
      </c>
      <c r="K18" s="33">
        <v>0</v>
      </c>
      <c r="L18" s="33">
        <v>0</v>
      </c>
      <c r="M18">
        <v>10</v>
      </c>
      <c r="N18">
        <v>0</v>
      </c>
      <c r="O18">
        <v>0</v>
      </c>
      <c r="P18" t="s">
        <v>57</v>
      </c>
      <c r="Q18" t="s">
        <v>57</v>
      </c>
      <c r="R18" t="s">
        <v>57</v>
      </c>
      <c r="S18" t="s">
        <v>57</v>
      </c>
      <c r="T18" t="s">
        <v>57</v>
      </c>
      <c r="U18" t="s">
        <v>57</v>
      </c>
      <c r="V18" t="s">
        <v>57</v>
      </c>
      <c r="W18" t="s">
        <v>57</v>
      </c>
      <c r="X18" s="23" t="s">
        <v>57</v>
      </c>
      <c r="Y18" s="23" t="s">
        <v>57</v>
      </c>
      <c r="Z18" s="23" t="s">
        <v>57</v>
      </c>
      <c r="AA18" s="23" t="s">
        <v>57</v>
      </c>
      <c r="AB18" t="s">
        <v>57</v>
      </c>
      <c r="AC18" t="s">
        <v>57</v>
      </c>
      <c r="AD18" t="s">
        <v>57</v>
      </c>
      <c r="AE18" t="s">
        <v>57</v>
      </c>
      <c r="AF18" s="23" t="s">
        <v>57</v>
      </c>
      <c r="AG18" s="23" t="s">
        <v>57</v>
      </c>
      <c r="AH18" s="23" t="s">
        <v>57</v>
      </c>
      <c r="AI18" s="23" t="s">
        <v>57</v>
      </c>
      <c r="AJ18">
        <v>51</v>
      </c>
      <c r="AK18">
        <v>58</v>
      </c>
      <c r="AL18">
        <v>57</v>
      </c>
      <c r="AM18">
        <v>58</v>
      </c>
      <c r="AN18" s="23">
        <v>0.0196078431372549</v>
      </c>
      <c r="AO18" s="23">
        <v>0.0172413793103448</v>
      </c>
      <c r="AP18" s="23">
        <v>0</v>
      </c>
      <c r="AQ18" s="23">
        <v>0.0172413793103448</v>
      </c>
      <c r="AR18" s="35">
        <v>0.142857142857143</v>
      </c>
      <c r="AS18" s="35">
        <v>8.57142857142857</v>
      </c>
      <c r="AT18" s="35">
        <v>1.42857142857143</v>
      </c>
      <c r="AU18" s="31">
        <f t="shared" si="3"/>
        <v>70</v>
      </c>
      <c r="AV18" s="36">
        <f>IFERROR(时间!$B$4+AU18,"上周无销量")</f>
        <v>43395</v>
      </c>
    </row>
    <row r="19" spans="1:48">
      <c r="A19" s="21" t="s">
        <v>90</v>
      </c>
      <c r="B19" t="s">
        <v>91</v>
      </c>
      <c r="C19" t="s">
        <v>85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5</v>
      </c>
      <c r="J19" s="33">
        <v>0</v>
      </c>
      <c r="K19" s="33">
        <v>0</v>
      </c>
      <c r="L19" s="33">
        <v>0</v>
      </c>
      <c r="M19">
        <v>5</v>
      </c>
      <c r="N19">
        <v>0</v>
      </c>
      <c r="O19">
        <v>5</v>
      </c>
      <c r="P19" t="s">
        <v>57</v>
      </c>
      <c r="Q19" t="s">
        <v>57</v>
      </c>
      <c r="R19" t="s">
        <v>57</v>
      </c>
      <c r="S19" t="s">
        <v>57</v>
      </c>
      <c r="T19" t="s">
        <v>57</v>
      </c>
      <c r="U19" t="s">
        <v>57</v>
      </c>
      <c r="V19" t="s">
        <v>57</v>
      </c>
      <c r="W19" t="s">
        <v>57</v>
      </c>
      <c r="X19" s="23" t="s">
        <v>57</v>
      </c>
      <c r="Y19" s="23" t="s">
        <v>57</v>
      </c>
      <c r="Z19" s="23" t="s">
        <v>57</v>
      </c>
      <c r="AA19" s="23" t="s">
        <v>57</v>
      </c>
      <c r="AB19" t="s">
        <v>57</v>
      </c>
      <c r="AC19" t="s">
        <v>57</v>
      </c>
      <c r="AD19" t="s">
        <v>57</v>
      </c>
      <c r="AE19" t="s">
        <v>57</v>
      </c>
      <c r="AF19" s="23" t="s">
        <v>57</v>
      </c>
      <c r="AG19" s="23" t="s">
        <v>57</v>
      </c>
      <c r="AH19" s="23" t="s">
        <v>57</v>
      </c>
      <c r="AI19" s="23" t="s">
        <v>57</v>
      </c>
      <c r="AJ19">
        <v>2</v>
      </c>
      <c r="AK19">
        <v>1</v>
      </c>
      <c r="AL19">
        <v>1</v>
      </c>
      <c r="AM19">
        <v>3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5</v>
      </c>
      <c r="AU19" s="31" t="str">
        <f t="shared" si="3"/>
        <v>库存为5</v>
      </c>
      <c r="AV19" s="36" t="str">
        <f>IFERROR(时间!$B$4+AU19,"上周无销量")</f>
        <v>上周无销量</v>
      </c>
    </row>
    <row r="20" spans="1:48">
      <c r="A20" s="21" t="s">
        <v>92</v>
      </c>
      <c r="B20" t="s">
        <v>93</v>
      </c>
      <c r="C20" t="s">
        <v>94</v>
      </c>
      <c r="D20" s="31">
        <v>0</v>
      </c>
      <c r="E20" s="31">
        <v>0</v>
      </c>
      <c r="F20" s="31">
        <v>0</v>
      </c>
      <c r="G20" s="31">
        <v>1</v>
      </c>
      <c r="H20" s="32">
        <v>79.99</v>
      </c>
      <c r="I20">
        <v>18</v>
      </c>
      <c r="J20" s="33">
        <v>0</v>
      </c>
      <c r="K20" s="33">
        <v>0</v>
      </c>
      <c r="L20" s="33">
        <v>0</v>
      </c>
      <c r="M20">
        <v>18</v>
      </c>
      <c r="N20">
        <v>0</v>
      </c>
      <c r="O20">
        <v>18</v>
      </c>
      <c r="P20">
        <v>495665</v>
      </c>
      <c r="Q20">
        <v>495668</v>
      </c>
      <c r="R20">
        <v>690</v>
      </c>
      <c r="S20">
        <v>3590</v>
      </c>
      <c r="T20">
        <v>554</v>
      </c>
      <c r="U20">
        <v>554</v>
      </c>
      <c r="V20">
        <v>9</v>
      </c>
      <c r="W20">
        <v>12</v>
      </c>
      <c r="X20" s="23">
        <v>0.00111769037555607</v>
      </c>
      <c r="Y20" s="23">
        <v>0.00111768361080401</v>
      </c>
      <c r="Z20" s="23">
        <v>0.0130434782608696</v>
      </c>
      <c r="AA20" s="23">
        <v>0.00334261838440111</v>
      </c>
      <c r="AB20">
        <v>145.43</v>
      </c>
      <c r="AC20">
        <v>145.43</v>
      </c>
      <c r="AD20">
        <v>1.33</v>
      </c>
      <c r="AE20">
        <v>2.69</v>
      </c>
      <c r="AF20" s="23" t="s">
        <v>95</v>
      </c>
      <c r="AG20" s="23" t="s">
        <v>95</v>
      </c>
      <c r="AH20" s="23" t="s">
        <v>96</v>
      </c>
      <c r="AI20" s="23">
        <v>0.0336292036504563</v>
      </c>
      <c r="AJ20">
        <v>58</v>
      </c>
      <c r="AK20">
        <v>36</v>
      </c>
      <c r="AL20">
        <v>15</v>
      </c>
      <c r="AM20">
        <v>36</v>
      </c>
      <c r="AN20" s="23">
        <v>0</v>
      </c>
      <c r="AO20" s="23">
        <v>0</v>
      </c>
      <c r="AP20" s="23">
        <v>0</v>
      </c>
      <c r="AQ20" s="23">
        <v>0.0277777777777778</v>
      </c>
      <c r="AR20" s="35">
        <v>0</v>
      </c>
      <c r="AS20" s="35">
        <v>0</v>
      </c>
      <c r="AT20" s="35">
        <v>18</v>
      </c>
      <c r="AU20" s="31" t="str">
        <f t="shared" si="3"/>
        <v>库存为18</v>
      </c>
      <c r="AV20" s="36" t="str">
        <f>IFERROR(时间!$B$4+AU20,"上周无销量")</f>
        <v>上周无销量</v>
      </c>
    </row>
    <row r="21" spans="1:48">
      <c r="A21" s="21" t="s">
        <v>97</v>
      </c>
      <c r="B21" t="s">
        <v>98</v>
      </c>
      <c r="C21" t="s">
        <v>99</v>
      </c>
      <c r="D21" s="31">
        <v>2</v>
      </c>
      <c r="E21" s="31">
        <v>3</v>
      </c>
      <c r="F21" s="31">
        <v>4</v>
      </c>
      <c r="G21" s="31">
        <v>4</v>
      </c>
      <c r="H21" s="32">
        <v>89.99</v>
      </c>
      <c r="I21">
        <v>1</v>
      </c>
      <c r="J21" s="33">
        <v>13</v>
      </c>
      <c r="K21" s="33">
        <v>0</v>
      </c>
      <c r="L21" s="33">
        <v>5</v>
      </c>
      <c r="M21">
        <v>19</v>
      </c>
      <c r="N21">
        <v>1</v>
      </c>
      <c r="O21">
        <v>0</v>
      </c>
      <c r="P21">
        <v>899</v>
      </c>
      <c r="Q21">
        <v>899</v>
      </c>
      <c r="R21">
        <v>109</v>
      </c>
      <c r="S21">
        <v>187</v>
      </c>
      <c r="T21">
        <v>0</v>
      </c>
      <c r="U21">
        <v>0</v>
      </c>
      <c r="V21">
        <v>0</v>
      </c>
      <c r="W21">
        <v>0</v>
      </c>
      <c r="X21" s="23">
        <v>0</v>
      </c>
      <c r="Y21" s="23">
        <v>0</v>
      </c>
      <c r="Z21" s="23">
        <v>0</v>
      </c>
      <c r="AA21" s="23">
        <v>0</v>
      </c>
      <c r="AB21">
        <v>0</v>
      </c>
      <c r="AC21">
        <v>0</v>
      </c>
      <c r="AD21">
        <v>0</v>
      </c>
      <c r="AE21">
        <v>0</v>
      </c>
      <c r="AF21" s="23" t="s">
        <v>57</v>
      </c>
      <c r="AG21" s="23" t="s">
        <v>57</v>
      </c>
      <c r="AH21" s="23" t="s">
        <v>57</v>
      </c>
      <c r="AI21" s="23" t="s">
        <v>57</v>
      </c>
      <c r="AJ21">
        <v>124</v>
      </c>
      <c r="AK21">
        <v>76</v>
      </c>
      <c r="AL21">
        <v>88</v>
      </c>
      <c r="AM21">
        <v>77</v>
      </c>
      <c r="AN21" s="23">
        <v>0.0161290322580645</v>
      </c>
      <c r="AO21" s="23">
        <v>0.0394736842105263</v>
      </c>
      <c r="AP21" s="23">
        <v>0.0454545454545455</v>
      </c>
      <c r="AQ21" s="23">
        <v>0.051948051948052</v>
      </c>
      <c r="AR21" s="35">
        <v>0.285714285714286</v>
      </c>
      <c r="AS21" s="35">
        <v>17.1428571428571</v>
      </c>
      <c r="AT21" s="35">
        <v>1.85714285714286</v>
      </c>
      <c r="AU21" s="31">
        <f t="shared" si="3"/>
        <v>66</v>
      </c>
      <c r="AV21" s="36">
        <f>IFERROR(时间!$B$4+AU21,"上周无销量")</f>
        <v>43391</v>
      </c>
    </row>
    <row r="22" spans="1:48">
      <c r="A22" s="21" t="s">
        <v>100</v>
      </c>
      <c r="B22" t="s">
        <v>101</v>
      </c>
      <c r="C22" t="s">
        <v>102</v>
      </c>
      <c r="D22" s="31">
        <v>1</v>
      </c>
      <c r="E22" s="31">
        <v>1</v>
      </c>
      <c r="F22" s="31">
        <v>0</v>
      </c>
      <c r="G22" s="31">
        <v>1</v>
      </c>
      <c r="H22" s="32">
        <v>89.99</v>
      </c>
      <c r="I22">
        <v>3</v>
      </c>
      <c r="J22" s="33">
        <v>0</v>
      </c>
      <c r="K22" s="33">
        <v>0</v>
      </c>
      <c r="L22" s="33">
        <v>0</v>
      </c>
      <c r="M22">
        <v>3</v>
      </c>
      <c r="N22">
        <v>1</v>
      </c>
      <c r="O22">
        <v>0</v>
      </c>
      <c r="P22" t="s">
        <v>57</v>
      </c>
      <c r="Q22" t="s">
        <v>57</v>
      </c>
      <c r="R22" t="s">
        <v>57</v>
      </c>
      <c r="S22" t="s">
        <v>57</v>
      </c>
      <c r="T22" t="s">
        <v>57</v>
      </c>
      <c r="U22" t="s">
        <v>57</v>
      </c>
      <c r="V22" t="s">
        <v>57</v>
      </c>
      <c r="W22" t="s">
        <v>57</v>
      </c>
      <c r="X22" s="23" t="s">
        <v>57</v>
      </c>
      <c r="Y22" s="23" t="s">
        <v>57</v>
      </c>
      <c r="Z22" s="23" t="s">
        <v>57</v>
      </c>
      <c r="AA22" s="23" t="s">
        <v>57</v>
      </c>
      <c r="AB22" t="s">
        <v>57</v>
      </c>
      <c r="AC22" t="s">
        <v>57</v>
      </c>
      <c r="AD22" t="s">
        <v>57</v>
      </c>
      <c r="AE22" t="s">
        <v>57</v>
      </c>
      <c r="AF22" s="23" t="s">
        <v>57</v>
      </c>
      <c r="AG22" s="23" t="s">
        <v>57</v>
      </c>
      <c r="AH22" s="23" t="s">
        <v>57</v>
      </c>
      <c r="AI22" s="23" t="s">
        <v>57</v>
      </c>
      <c r="AJ22">
        <v>102</v>
      </c>
      <c r="AK22">
        <v>42</v>
      </c>
      <c r="AL22">
        <v>65</v>
      </c>
      <c r="AM22">
        <v>136</v>
      </c>
      <c r="AN22" s="23">
        <v>0.00980392156862745</v>
      </c>
      <c r="AO22" s="23">
        <v>0.0238095238095238</v>
      </c>
      <c r="AP22" s="23">
        <v>0</v>
      </c>
      <c r="AQ22" s="23">
        <v>0.00735294117647059</v>
      </c>
      <c r="AR22" s="35">
        <v>0.142857142857143</v>
      </c>
      <c r="AS22" s="35">
        <v>8.57142857142857</v>
      </c>
      <c r="AT22" s="35">
        <v>-5.57142857142857</v>
      </c>
      <c r="AU22" s="31">
        <f t="shared" si="3"/>
        <v>21</v>
      </c>
      <c r="AV22" s="36">
        <f>IFERROR(时间!$B$4+AU22,"上周无销量")</f>
        <v>43346</v>
      </c>
    </row>
    <row r="23" spans="1:48">
      <c r="A23" s="21" t="s">
        <v>103</v>
      </c>
      <c r="B23" t="s">
        <v>104</v>
      </c>
      <c r="C23" t="s">
        <v>102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15</v>
      </c>
      <c r="J23" s="33">
        <v>0</v>
      </c>
      <c r="K23" s="33">
        <v>0</v>
      </c>
      <c r="L23" s="33">
        <v>0</v>
      </c>
      <c r="M23">
        <v>15</v>
      </c>
      <c r="N23">
        <v>0</v>
      </c>
      <c r="O23">
        <v>15</v>
      </c>
      <c r="P23">
        <v>4303</v>
      </c>
      <c r="Q23">
        <v>4470</v>
      </c>
      <c r="R23">
        <v>0</v>
      </c>
      <c r="S23">
        <v>0</v>
      </c>
      <c r="T23">
        <v>13</v>
      </c>
      <c r="U23">
        <v>13</v>
      </c>
      <c r="V23">
        <v>0</v>
      </c>
      <c r="W23">
        <v>0</v>
      </c>
      <c r="X23" s="23">
        <v>0.00302114803625378</v>
      </c>
      <c r="Y23" s="23">
        <v>0.0029082774049217</v>
      </c>
      <c r="Z23" s="23" t="s">
        <v>57</v>
      </c>
      <c r="AA23" s="23" t="s">
        <v>57</v>
      </c>
      <c r="AB23">
        <v>4.69</v>
      </c>
      <c r="AC23">
        <v>4.69</v>
      </c>
      <c r="AD23">
        <v>0</v>
      </c>
      <c r="AE23">
        <v>0</v>
      </c>
      <c r="AF23" s="23" t="s">
        <v>105</v>
      </c>
      <c r="AG23" s="23" t="s">
        <v>105</v>
      </c>
      <c r="AH23" s="23" t="s">
        <v>57</v>
      </c>
      <c r="AI23" s="23" t="s">
        <v>57</v>
      </c>
      <c r="AJ23">
        <v>154</v>
      </c>
      <c r="AK23">
        <v>49</v>
      </c>
      <c r="AL23">
        <v>3</v>
      </c>
      <c r="AM23">
        <v>2</v>
      </c>
      <c r="AN23" s="23">
        <v>0</v>
      </c>
      <c r="AO23" s="23">
        <v>0</v>
      </c>
      <c r="AP23" s="23">
        <v>0</v>
      </c>
      <c r="AQ23" s="23">
        <v>0</v>
      </c>
      <c r="AR23" s="35">
        <v>0</v>
      </c>
      <c r="AS23" s="35">
        <v>0</v>
      </c>
      <c r="AT23" s="35">
        <v>15</v>
      </c>
      <c r="AU23" s="31" t="str">
        <f t="shared" si="3"/>
        <v>库存为15</v>
      </c>
      <c r="AV23" s="36" t="str">
        <f>IFERROR(时间!$B$4+AU23,"上周无销量")</f>
        <v>上周无销量</v>
      </c>
    </row>
    <row r="24" spans="1:48">
      <c r="A24" s="21" t="s">
        <v>106</v>
      </c>
      <c r="B24" t="s">
        <v>107</v>
      </c>
      <c r="C24" t="s">
        <v>108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5</v>
      </c>
      <c r="J24" s="33">
        <v>0</v>
      </c>
      <c r="K24" s="33">
        <v>0</v>
      </c>
      <c r="L24" s="33">
        <v>0</v>
      </c>
      <c r="M24">
        <v>5</v>
      </c>
      <c r="N24">
        <v>0</v>
      </c>
      <c r="O24">
        <v>5</v>
      </c>
      <c r="P24" t="s">
        <v>57</v>
      </c>
      <c r="Q24" t="s">
        <v>57</v>
      </c>
      <c r="R24" t="s">
        <v>57</v>
      </c>
      <c r="S24" t="s">
        <v>57</v>
      </c>
      <c r="T24" t="s">
        <v>57</v>
      </c>
      <c r="U24" t="s">
        <v>57</v>
      </c>
      <c r="V24" t="s">
        <v>57</v>
      </c>
      <c r="W24" t="s">
        <v>57</v>
      </c>
      <c r="X24" s="23" t="s">
        <v>57</v>
      </c>
      <c r="Y24" s="23" t="s">
        <v>57</v>
      </c>
      <c r="Z24" s="23" t="s">
        <v>57</v>
      </c>
      <c r="AA24" s="23" t="s">
        <v>57</v>
      </c>
      <c r="AB24" t="s">
        <v>57</v>
      </c>
      <c r="AC24" t="s">
        <v>57</v>
      </c>
      <c r="AD24" t="s">
        <v>57</v>
      </c>
      <c r="AE24" t="s">
        <v>57</v>
      </c>
      <c r="AF24" s="23" t="s">
        <v>57</v>
      </c>
      <c r="AG24" s="23" t="s">
        <v>57</v>
      </c>
      <c r="AH24" s="23" t="s">
        <v>57</v>
      </c>
      <c r="AI24" s="23" t="s">
        <v>57</v>
      </c>
      <c r="AJ24">
        <v>3</v>
      </c>
      <c r="AK24">
        <v>1</v>
      </c>
      <c r="AL24">
        <v>2</v>
      </c>
      <c r="AM24">
        <v>2</v>
      </c>
      <c r="AN24" s="23">
        <v>0</v>
      </c>
      <c r="AO24" s="23">
        <v>0</v>
      </c>
      <c r="AP24" s="23">
        <v>0</v>
      </c>
      <c r="AQ24" s="23">
        <v>0</v>
      </c>
      <c r="AR24" s="35">
        <v>0</v>
      </c>
      <c r="AS24" s="35">
        <v>0</v>
      </c>
      <c r="AT24" s="35">
        <v>5</v>
      </c>
      <c r="AU24" s="31" t="str">
        <f t="shared" si="3"/>
        <v>库存为5</v>
      </c>
      <c r="AV24" s="36" t="str">
        <f>IFERROR(时间!$B$4+AU24,"上周无销量")</f>
        <v>上周无销量</v>
      </c>
    </row>
    <row r="25" spans="1:48">
      <c r="A25" s="21" t="s">
        <v>109</v>
      </c>
      <c r="B25" t="s">
        <v>110</v>
      </c>
      <c r="C25" t="s">
        <v>108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8</v>
      </c>
      <c r="J25" s="33">
        <v>0</v>
      </c>
      <c r="K25" s="33">
        <v>0</v>
      </c>
      <c r="L25" s="33">
        <v>0</v>
      </c>
      <c r="M25">
        <v>8</v>
      </c>
      <c r="N25">
        <v>0</v>
      </c>
      <c r="O25">
        <v>3</v>
      </c>
      <c r="P25">
        <v>12377</v>
      </c>
      <c r="Q25">
        <v>12415</v>
      </c>
      <c r="R25">
        <v>2219</v>
      </c>
      <c r="S25">
        <v>2900</v>
      </c>
      <c r="T25">
        <v>84</v>
      </c>
      <c r="U25">
        <v>85</v>
      </c>
      <c r="V25">
        <v>18</v>
      </c>
      <c r="W25">
        <v>16</v>
      </c>
      <c r="X25" s="23">
        <v>0.00678678193423285</v>
      </c>
      <c r="Y25" s="23">
        <v>0.00684655658477648</v>
      </c>
      <c r="Z25" s="23">
        <v>0.00811176205497972</v>
      </c>
      <c r="AA25" s="23">
        <v>0.00551724137931034</v>
      </c>
      <c r="AB25">
        <v>13.72</v>
      </c>
      <c r="AC25">
        <v>13.86</v>
      </c>
      <c r="AD25">
        <v>3.26</v>
      </c>
      <c r="AE25">
        <v>2.55</v>
      </c>
      <c r="AF25" s="23" t="s">
        <v>111</v>
      </c>
      <c r="AG25" s="23" t="s">
        <v>112</v>
      </c>
      <c r="AH25" s="23" t="s">
        <v>113</v>
      </c>
      <c r="AI25" s="23" t="s">
        <v>114</v>
      </c>
      <c r="AJ25">
        <v>19</v>
      </c>
      <c r="AK25">
        <v>36</v>
      </c>
      <c r="AL25">
        <v>12</v>
      </c>
      <c r="AM25">
        <v>16</v>
      </c>
      <c r="AN25" s="23">
        <v>0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8</v>
      </c>
      <c r="AU25" s="31" t="str">
        <f t="shared" si="3"/>
        <v>库存为8</v>
      </c>
      <c r="AV25" s="36" t="str">
        <f>IFERROR(时间!$B$4+AU25,"上周无销量")</f>
        <v>上周无销量</v>
      </c>
    </row>
    <row r="26" spans="1:48">
      <c r="A26" s="21" t="s">
        <v>115</v>
      </c>
      <c r="B26" t="s">
        <v>116</v>
      </c>
      <c r="C26" t="s">
        <v>117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5</v>
      </c>
      <c r="J26" s="33">
        <v>0</v>
      </c>
      <c r="K26" s="33">
        <v>0</v>
      </c>
      <c r="L26" s="33">
        <v>0</v>
      </c>
      <c r="M26">
        <v>5</v>
      </c>
      <c r="N26">
        <v>0</v>
      </c>
      <c r="O26">
        <v>0</v>
      </c>
      <c r="P26">
        <v>1446</v>
      </c>
      <c r="Q26">
        <v>1492</v>
      </c>
      <c r="R26">
        <v>192</v>
      </c>
      <c r="S26">
        <v>82</v>
      </c>
      <c r="T26">
        <v>15</v>
      </c>
      <c r="U26">
        <v>15</v>
      </c>
      <c r="V26">
        <v>8</v>
      </c>
      <c r="W26">
        <v>0</v>
      </c>
      <c r="X26" s="23">
        <v>0.0103734439834025</v>
      </c>
      <c r="Y26" s="23">
        <v>0.0100536193029491</v>
      </c>
      <c r="Z26" s="23">
        <v>0.0416666666666667</v>
      </c>
      <c r="AA26" s="23">
        <v>0</v>
      </c>
      <c r="AB26">
        <v>3.4</v>
      </c>
      <c r="AC26">
        <v>3.4</v>
      </c>
      <c r="AD26">
        <v>0.97</v>
      </c>
      <c r="AE26">
        <v>0</v>
      </c>
      <c r="AF26" s="23" t="s">
        <v>118</v>
      </c>
      <c r="AG26" s="23" t="s">
        <v>118</v>
      </c>
      <c r="AH26" s="23" t="s">
        <v>119</v>
      </c>
      <c r="AI26" s="23" t="s">
        <v>57</v>
      </c>
      <c r="AJ26">
        <v>22</v>
      </c>
      <c r="AK26">
        <v>22</v>
      </c>
      <c r="AL26">
        <v>11</v>
      </c>
      <c r="AM26">
        <v>1</v>
      </c>
      <c r="AN26" s="23">
        <v>0</v>
      </c>
      <c r="AO26" s="23">
        <v>0</v>
      </c>
      <c r="AP26" s="23">
        <v>0</v>
      </c>
      <c r="AQ26" s="23">
        <v>0</v>
      </c>
      <c r="AR26" s="35">
        <v>0</v>
      </c>
      <c r="AS26" s="35">
        <v>0</v>
      </c>
      <c r="AT26" s="35">
        <v>5</v>
      </c>
      <c r="AU26" s="31" t="str">
        <f t="shared" si="3"/>
        <v>库存为5</v>
      </c>
      <c r="AV26" s="36" t="str">
        <f>IFERROR(时间!$B$4+AU26,"上周无销量")</f>
        <v>上周无销量</v>
      </c>
    </row>
    <row r="27" spans="1:48">
      <c r="A27" s="21" t="s">
        <v>120</v>
      </c>
      <c r="B27" t="s">
        <v>121</v>
      </c>
      <c r="C27" t="s">
        <v>122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5</v>
      </c>
      <c r="J27" s="33">
        <v>0</v>
      </c>
      <c r="K27" s="33">
        <v>0</v>
      </c>
      <c r="L27" s="33">
        <v>0</v>
      </c>
      <c r="M27">
        <v>5</v>
      </c>
      <c r="N27">
        <v>0</v>
      </c>
      <c r="O27">
        <v>5</v>
      </c>
      <c r="P27" t="s">
        <v>57</v>
      </c>
      <c r="Q27" t="s">
        <v>57</v>
      </c>
      <c r="R27" t="s">
        <v>57</v>
      </c>
      <c r="S27" t="s">
        <v>57</v>
      </c>
      <c r="T27" t="s">
        <v>57</v>
      </c>
      <c r="U27" t="s">
        <v>57</v>
      </c>
      <c r="V27" t="s">
        <v>57</v>
      </c>
      <c r="W27" t="s">
        <v>57</v>
      </c>
      <c r="X27" s="23" t="s">
        <v>57</v>
      </c>
      <c r="Y27" s="23" t="s">
        <v>57</v>
      </c>
      <c r="Z27" s="23" t="s">
        <v>57</v>
      </c>
      <c r="AA27" s="23" t="s">
        <v>57</v>
      </c>
      <c r="AB27" t="s">
        <v>57</v>
      </c>
      <c r="AC27" t="s">
        <v>57</v>
      </c>
      <c r="AD27" t="s">
        <v>57</v>
      </c>
      <c r="AE27" t="s">
        <v>57</v>
      </c>
      <c r="AF27" s="23" t="s">
        <v>57</v>
      </c>
      <c r="AG27" s="23" t="s">
        <v>57</v>
      </c>
      <c r="AH27" s="23" t="s">
        <v>57</v>
      </c>
      <c r="AI27" s="23" t="s">
        <v>57</v>
      </c>
      <c r="AJ27">
        <v>26</v>
      </c>
      <c r="AK27">
        <v>4</v>
      </c>
      <c r="AL27">
        <v>4</v>
      </c>
      <c r="AM27">
        <v>2</v>
      </c>
      <c r="AN27" s="23">
        <v>0</v>
      </c>
      <c r="AO27" s="23">
        <v>0</v>
      </c>
      <c r="AP27" s="23">
        <v>0</v>
      </c>
      <c r="AQ27" s="23">
        <v>0</v>
      </c>
      <c r="AR27" s="35">
        <v>0</v>
      </c>
      <c r="AS27" s="35">
        <v>0</v>
      </c>
      <c r="AT27" s="35">
        <v>5</v>
      </c>
      <c r="AU27" s="31" t="str">
        <f t="shared" si="3"/>
        <v>库存为5</v>
      </c>
      <c r="AV27" s="36" t="str">
        <f>IFERROR(时间!$B$4+AU27,"上周无销量")</f>
        <v>上周无销量</v>
      </c>
    </row>
    <row r="28" spans="1:48">
      <c r="A28" s="21" t="s">
        <v>123</v>
      </c>
      <c r="B28" t="s">
        <v>124</v>
      </c>
      <c r="C28" t="s">
        <v>125</v>
      </c>
      <c r="D28" s="31">
        <v>0</v>
      </c>
      <c r="E28" s="31">
        <v>2</v>
      </c>
      <c r="F28" s="31">
        <v>1</v>
      </c>
      <c r="G28" s="31">
        <v>2</v>
      </c>
      <c r="H28" s="32">
        <v>32.99</v>
      </c>
      <c r="I28">
        <v>16</v>
      </c>
      <c r="J28" s="33">
        <v>0</v>
      </c>
      <c r="K28" s="33">
        <v>0</v>
      </c>
      <c r="L28" s="33">
        <v>0</v>
      </c>
      <c r="M28">
        <v>16</v>
      </c>
      <c r="N28">
        <v>0</v>
      </c>
      <c r="O28">
        <v>5</v>
      </c>
      <c r="P28" t="s">
        <v>57</v>
      </c>
      <c r="Q28" t="s">
        <v>57</v>
      </c>
      <c r="R28" t="s">
        <v>57</v>
      </c>
      <c r="S28" t="s">
        <v>57</v>
      </c>
      <c r="T28" t="s">
        <v>57</v>
      </c>
      <c r="U28" t="s">
        <v>57</v>
      </c>
      <c r="V28" t="s">
        <v>57</v>
      </c>
      <c r="W28" t="s">
        <v>57</v>
      </c>
      <c r="X28" s="23" t="s">
        <v>57</v>
      </c>
      <c r="Y28" s="23" t="s">
        <v>57</v>
      </c>
      <c r="Z28" s="23" t="s">
        <v>57</v>
      </c>
      <c r="AA28" s="23" t="s">
        <v>57</v>
      </c>
      <c r="AB28" t="s">
        <v>57</v>
      </c>
      <c r="AC28" t="s">
        <v>57</v>
      </c>
      <c r="AD28" t="s">
        <v>57</v>
      </c>
      <c r="AE28" t="s">
        <v>57</v>
      </c>
      <c r="AF28" s="23" t="s">
        <v>57</v>
      </c>
      <c r="AG28" s="23" t="s">
        <v>57</v>
      </c>
      <c r="AH28" s="23" t="s">
        <v>57</v>
      </c>
      <c r="AI28" s="23" t="s">
        <v>57</v>
      </c>
      <c r="AJ28">
        <v>53</v>
      </c>
      <c r="AK28">
        <v>48</v>
      </c>
      <c r="AL28">
        <v>42</v>
      </c>
      <c r="AM28">
        <v>54</v>
      </c>
      <c r="AN28" s="23">
        <v>0</v>
      </c>
      <c r="AO28" s="23">
        <v>0.0416666666666667</v>
      </c>
      <c r="AP28" s="23">
        <v>0.0238095238095238</v>
      </c>
      <c r="AQ28" s="23">
        <v>0.037037037037037</v>
      </c>
      <c r="AR28" s="35">
        <v>0</v>
      </c>
      <c r="AS28" s="35">
        <v>0</v>
      </c>
      <c r="AT28" s="35">
        <v>16</v>
      </c>
      <c r="AU28" s="31" t="str">
        <f t="shared" si="3"/>
        <v>库存为16</v>
      </c>
      <c r="AV28" s="36" t="str">
        <f>IFERROR(时间!$B$4+AU28,"上周无销量")</f>
        <v>上周无销量</v>
      </c>
    </row>
    <row r="29" spans="1:48">
      <c r="A29" s="21" t="s">
        <v>126</v>
      </c>
      <c r="B29" t="s">
        <v>127</v>
      </c>
      <c r="C29" t="s">
        <v>125</v>
      </c>
      <c r="D29" s="31">
        <v>1</v>
      </c>
      <c r="E29" s="31">
        <v>1</v>
      </c>
      <c r="F29" s="31">
        <v>2</v>
      </c>
      <c r="G29" s="31">
        <v>1</v>
      </c>
      <c r="H29" s="32">
        <v>32.99</v>
      </c>
      <c r="I29">
        <v>7</v>
      </c>
      <c r="J29" s="33">
        <v>0</v>
      </c>
      <c r="K29" s="33">
        <v>0</v>
      </c>
      <c r="L29" s="33">
        <v>5</v>
      </c>
      <c r="M29">
        <v>12</v>
      </c>
      <c r="N29">
        <v>1</v>
      </c>
      <c r="O29">
        <v>2</v>
      </c>
      <c r="P29" t="s">
        <v>57</v>
      </c>
      <c r="Q29" t="s">
        <v>57</v>
      </c>
      <c r="R29" t="s">
        <v>57</v>
      </c>
      <c r="S29" t="s">
        <v>57</v>
      </c>
      <c r="T29" t="s">
        <v>57</v>
      </c>
      <c r="U29" t="s">
        <v>57</v>
      </c>
      <c r="V29" t="s">
        <v>57</v>
      </c>
      <c r="W29" t="s">
        <v>57</v>
      </c>
      <c r="X29" s="23" t="s">
        <v>57</v>
      </c>
      <c r="Y29" s="23" t="s">
        <v>57</v>
      </c>
      <c r="Z29" s="23" t="s">
        <v>57</v>
      </c>
      <c r="AA29" s="23" t="s">
        <v>57</v>
      </c>
      <c r="AB29" t="s">
        <v>57</v>
      </c>
      <c r="AC29" t="s">
        <v>57</v>
      </c>
      <c r="AD29" t="s">
        <v>57</v>
      </c>
      <c r="AE29" t="s">
        <v>57</v>
      </c>
      <c r="AF29" s="23" t="s">
        <v>57</v>
      </c>
      <c r="AG29" s="23" t="s">
        <v>57</v>
      </c>
      <c r="AH29" s="23" t="s">
        <v>57</v>
      </c>
      <c r="AI29" s="23" t="s">
        <v>57</v>
      </c>
      <c r="AJ29">
        <v>61</v>
      </c>
      <c r="AK29">
        <v>82</v>
      </c>
      <c r="AL29">
        <v>120</v>
      </c>
      <c r="AM29">
        <v>105</v>
      </c>
      <c r="AN29" s="23">
        <v>0.0163934426229508</v>
      </c>
      <c r="AO29" s="23">
        <v>0.0121951219512195</v>
      </c>
      <c r="AP29" s="23">
        <v>0.0166666666666667</v>
      </c>
      <c r="AQ29" s="23">
        <v>0.00952380952380952</v>
      </c>
      <c r="AR29" s="35">
        <v>0.142857142857143</v>
      </c>
      <c r="AS29" s="35">
        <v>8.57142857142857</v>
      </c>
      <c r="AT29" s="35">
        <v>3.42857142857143</v>
      </c>
      <c r="AU29" s="31">
        <f t="shared" si="3"/>
        <v>84</v>
      </c>
      <c r="AV29" s="36">
        <f>IFERROR(时间!$B$4+AU29,"上周无销量")</f>
        <v>43409</v>
      </c>
    </row>
    <row r="30" spans="1:48">
      <c r="A30" s="21" t="s">
        <v>128</v>
      </c>
      <c r="B30" t="s">
        <v>129</v>
      </c>
      <c r="C30" t="s">
        <v>130</v>
      </c>
      <c r="D30" s="31">
        <v>0</v>
      </c>
      <c r="E30" s="31">
        <v>0</v>
      </c>
      <c r="F30" s="31">
        <v>1</v>
      </c>
      <c r="G30" s="31">
        <v>1</v>
      </c>
      <c r="H30" s="32">
        <v>94.6</v>
      </c>
      <c r="I30">
        <v>11</v>
      </c>
      <c r="J30" s="33">
        <v>0</v>
      </c>
      <c r="K30" s="33">
        <v>0</v>
      </c>
      <c r="L30" s="33">
        <v>0</v>
      </c>
      <c r="M30">
        <v>11</v>
      </c>
      <c r="N30">
        <v>0</v>
      </c>
      <c r="O30">
        <v>0</v>
      </c>
      <c r="P30" t="s">
        <v>57</v>
      </c>
      <c r="Q30" t="s">
        <v>57</v>
      </c>
      <c r="R30" t="s">
        <v>57</v>
      </c>
      <c r="S30" t="s">
        <v>57</v>
      </c>
      <c r="T30" t="s">
        <v>57</v>
      </c>
      <c r="U30" t="s">
        <v>57</v>
      </c>
      <c r="V30" t="s">
        <v>57</v>
      </c>
      <c r="W30" t="s">
        <v>57</v>
      </c>
      <c r="X30" s="23" t="s">
        <v>57</v>
      </c>
      <c r="Y30" s="23" t="s">
        <v>57</v>
      </c>
      <c r="Z30" s="23" t="s">
        <v>57</v>
      </c>
      <c r="AA30" s="23" t="s">
        <v>57</v>
      </c>
      <c r="AB30" t="s">
        <v>57</v>
      </c>
      <c r="AC30" t="s">
        <v>57</v>
      </c>
      <c r="AD30" t="s">
        <v>57</v>
      </c>
      <c r="AE30" t="s">
        <v>57</v>
      </c>
      <c r="AF30" s="23" t="s">
        <v>57</v>
      </c>
      <c r="AG30" s="23" t="s">
        <v>57</v>
      </c>
      <c r="AH30" s="23" t="s">
        <v>57</v>
      </c>
      <c r="AI30" s="23" t="s">
        <v>57</v>
      </c>
      <c r="AJ30">
        <v>62</v>
      </c>
      <c r="AK30">
        <v>74</v>
      </c>
      <c r="AL30">
        <v>71</v>
      </c>
      <c r="AM30">
        <v>75</v>
      </c>
      <c r="AN30" s="23">
        <v>0</v>
      </c>
      <c r="AO30" s="23">
        <v>0</v>
      </c>
      <c r="AP30" s="23">
        <v>0.0140845070422535</v>
      </c>
      <c r="AQ30" s="23">
        <v>0.0133333333333333</v>
      </c>
      <c r="AR30" s="35">
        <v>0</v>
      </c>
      <c r="AS30" s="35">
        <v>0</v>
      </c>
      <c r="AT30" s="35">
        <v>11</v>
      </c>
      <c r="AU30" s="31" t="str">
        <f t="shared" si="3"/>
        <v>库存为11</v>
      </c>
      <c r="AV30" s="36" t="str">
        <f>IFERROR(时间!$B$4+AU30,"上周无销量")</f>
        <v>上周无销量</v>
      </c>
    </row>
    <row r="31" spans="1:48">
      <c r="A31" s="21" t="s">
        <v>131</v>
      </c>
      <c r="B31" t="s">
        <v>132</v>
      </c>
      <c r="C31" t="s">
        <v>130</v>
      </c>
      <c r="D31" s="31">
        <v>0</v>
      </c>
      <c r="E31" s="31">
        <v>0</v>
      </c>
      <c r="F31" s="31">
        <v>0</v>
      </c>
      <c r="G31" s="31">
        <v>2</v>
      </c>
      <c r="H31" s="32">
        <v>104.99</v>
      </c>
      <c r="I31">
        <v>11</v>
      </c>
      <c r="J31" s="33">
        <v>0</v>
      </c>
      <c r="K31" s="33">
        <v>0</v>
      </c>
      <c r="L31" s="33">
        <v>0</v>
      </c>
      <c r="M31">
        <v>11</v>
      </c>
      <c r="N31">
        <v>0</v>
      </c>
      <c r="O31">
        <v>1</v>
      </c>
      <c r="P31" t="s">
        <v>57</v>
      </c>
      <c r="Q31" t="s">
        <v>57</v>
      </c>
      <c r="R31" t="s">
        <v>57</v>
      </c>
      <c r="S31" t="s">
        <v>57</v>
      </c>
      <c r="T31" t="s">
        <v>57</v>
      </c>
      <c r="U31" t="s">
        <v>57</v>
      </c>
      <c r="V31" t="s">
        <v>57</v>
      </c>
      <c r="W31" t="s">
        <v>57</v>
      </c>
      <c r="X31" s="23" t="s">
        <v>57</v>
      </c>
      <c r="Y31" s="23" t="s">
        <v>57</v>
      </c>
      <c r="Z31" s="23" t="s">
        <v>57</v>
      </c>
      <c r="AA31" s="23" t="s">
        <v>57</v>
      </c>
      <c r="AB31" t="s">
        <v>57</v>
      </c>
      <c r="AC31" t="s">
        <v>57</v>
      </c>
      <c r="AD31" t="s">
        <v>57</v>
      </c>
      <c r="AE31" t="s">
        <v>57</v>
      </c>
      <c r="AF31" s="23" t="s">
        <v>57</v>
      </c>
      <c r="AG31" s="23" t="s">
        <v>57</v>
      </c>
      <c r="AH31" s="23" t="s">
        <v>57</v>
      </c>
      <c r="AI31" s="23" t="s">
        <v>57</v>
      </c>
      <c r="AJ31">
        <v>85</v>
      </c>
      <c r="AK31">
        <v>46</v>
      </c>
      <c r="AL31">
        <v>71</v>
      </c>
      <c r="AM31">
        <v>94</v>
      </c>
      <c r="AN31" s="23">
        <v>0</v>
      </c>
      <c r="AO31" s="23">
        <v>0</v>
      </c>
      <c r="AP31" s="23">
        <v>0</v>
      </c>
      <c r="AQ31" s="23">
        <v>0.0212765957446809</v>
      </c>
      <c r="AR31" s="35">
        <v>0</v>
      </c>
      <c r="AS31" s="35">
        <v>0</v>
      </c>
      <c r="AT31" s="35">
        <v>11</v>
      </c>
      <c r="AU31" s="31" t="str">
        <f t="shared" si="3"/>
        <v>库存为11</v>
      </c>
      <c r="AV31" s="36" t="str">
        <f>IFERROR(时间!$B$4+AU31,"上周无销量")</f>
        <v>上周无销量</v>
      </c>
    </row>
    <row r="32" spans="1:48">
      <c r="A32" s="21" t="s">
        <v>133</v>
      </c>
      <c r="B32" t="s">
        <v>134</v>
      </c>
      <c r="C32" t="s">
        <v>135</v>
      </c>
      <c r="D32" s="31">
        <v>4</v>
      </c>
      <c r="E32" s="31">
        <v>4</v>
      </c>
      <c r="F32" s="31">
        <v>2</v>
      </c>
      <c r="G32" s="31">
        <v>3</v>
      </c>
      <c r="H32" s="32">
        <v>88.99</v>
      </c>
      <c r="I32">
        <v>0</v>
      </c>
      <c r="J32" s="33">
        <v>2</v>
      </c>
      <c r="K32" s="33">
        <v>0</v>
      </c>
      <c r="L32" s="33">
        <v>0</v>
      </c>
      <c r="M32">
        <v>2</v>
      </c>
      <c r="N32">
        <v>1</v>
      </c>
      <c r="O32">
        <v>0</v>
      </c>
      <c r="P32" t="s">
        <v>57</v>
      </c>
      <c r="Q32" t="s">
        <v>57</v>
      </c>
      <c r="R32" t="s">
        <v>57</v>
      </c>
      <c r="S32" t="s">
        <v>57</v>
      </c>
      <c r="T32" t="s">
        <v>57</v>
      </c>
      <c r="U32" t="s">
        <v>57</v>
      </c>
      <c r="V32" t="s">
        <v>57</v>
      </c>
      <c r="W32" t="s">
        <v>57</v>
      </c>
      <c r="X32" s="23" t="s">
        <v>57</v>
      </c>
      <c r="Y32" s="23" t="s">
        <v>57</v>
      </c>
      <c r="Z32" s="23" t="s">
        <v>57</v>
      </c>
      <c r="AA32" s="23" t="s">
        <v>57</v>
      </c>
      <c r="AB32" t="s">
        <v>57</v>
      </c>
      <c r="AC32" t="s">
        <v>57</v>
      </c>
      <c r="AD32" t="s">
        <v>57</v>
      </c>
      <c r="AE32" t="s">
        <v>57</v>
      </c>
      <c r="AF32" s="23" t="s">
        <v>57</v>
      </c>
      <c r="AG32" s="23" t="s">
        <v>57</v>
      </c>
      <c r="AH32" s="23" t="s">
        <v>57</v>
      </c>
      <c r="AI32" s="23" t="s">
        <v>57</v>
      </c>
      <c r="AJ32">
        <v>111</v>
      </c>
      <c r="AK32">
        <v>94</v>
      </c>
      <c r="AL32">
        <v>120</v>
      </c>
      <c r="AM32">
        <v>133</v>
      </c>
      <c r="AN32" s="23">
        <v>0.036036036036036</v>
      </c>
      <c r="AO32" s="23">
        <v>0.0425531914893617</v>
      </c>
      <c r="AP32" s="23">
        <v>0.0166666666666667</v>
      </c>
      <c r="AQ32" s="23">
        <v>0.0225563909774436</v>
      </c>
      <c r="AR32" s="35">
        <v>0.571428571428571</v>
      </c>
      <c r="AS32" s="35">
        <v>34.2857142857143</v>
      </c>
      <c r="AT32" s="35">
        <v>-32.2857142857143</v>
      </c>
      <c r="AU32" s="31">
        <f t="shared" si="3"/>
        <v>3</v>
      </c>
      <c r="AV32" s="36">
        <f>IFERROR(时间!$B$4+AU32,"上周无销量")</f>
        <v>43328</v>
      </c>
    </row>
    <row r="33" spans="1:48">
      <c r="A33" s="21" t="s">
        <v>136</v>
      </c>
      <c r="B33" t="s">
        <v>137</v>
      </c>
      <c r="C33" t="s">
        <v>138</v>
      </c>
      <c r="D33" s="31">
        <v>0</v>
      </c>
      <c r="E33" s="31">
        <v>1</v>
      </c>
      <c r="F33" s="31">
        <v>0</v>
      </c>
      <c r="G33" s="31">
        <v>0</v>
      </c>
      <c r="H33" s="32">
        <v>79.99</v>
      </c>
      <c r="I33">
        <v>6</v>
      </c>
      <c r="J33" s="33">
        <v>0</v>
      </c>
      <c r="K33" s="33">
        <v>0</v>
      </c>
      <c r="L33" s="33">
        <v>0</v>
      </c>
      <c r="M33">
        <v>6</v>
      </c>
      <c r="N33">
        <v>0</v>
      </c>
      <c r="O33">
        <v>6</v>
      </c>
      <c r="P33">
        <v>64626</v>
      </c>
      <c r="Q33">
        <v>64875</v>
      </c>
      <c r="R33">
        <v>20188</v>
      </c>
      <c r="S33">
        <v>19450</v>
      </c>
      <c r="T33">
        <v>310</v>
      </c>
      <c r="U33">
        <v>311</v>
      </c>
      <c r="V33">
        <v>107</v>
      </c>
      <c r="W33">
        <v>84</v>
      </c>
      <c r="X33" s="23">
        <v>0.00479683099681243</v>
      </c>
      <c r="Y33" s="23">
        <v>0.00479383429672447</v>
      </c>
      <c r="Z33" s="23">
        <v>0.00530017832375669</v>
      </c>
      <c r="AA33" s="23">
        <v>0.00431876606683805</v>
      </c>
      <c r="AB33">
        <v>52.68</v>
      </c>
      <c r="AC33">
        <v>52.73</v>
      </c>
      <c r="AD33">
        <v>18.68</v>
      </c>
      <c r="AE33">
        <v>15.59</v>
      </c>
      <c r="AF33" s="23" t="s">
        <v>139</v>
      </c>
      <c r="AG33" s="23">
        <v>0.659207400925116</v>
      </c>
      <c r="AH33" s="23" t="s">
        <v>140</v>
      </c>
      <c r="AI33" s="23" t="s">
        <v>141</v>
      </c>
      <c r="AJ33">
        <v>135</v>
      </c>
      <c r="AK33">
        <v>98</v>
      </c>
      <c r="AL33">
        <v>63</v>
      </c>
      <c r="AM33">
        <v>85</v>
      </c>
      <c r="AN33" s="23">
        <v>0</v>
      </c>
      <c r="AO33" s="23">
        <v>0.0102040816326531</v>
      </c>
      <c r="AP33" s="23">
        <v>0</v>
      </c>
      <c r="AQ33" s="23">
        <v>0</v>
      </c>
      <c r="AR33" s="35">
        <v>0</v>
      </c>
      <c r="AS33" s="35">
        <v>0</v>
      </c>
      <c r="AT33" s="35">
        <v>6</v>
      </c>
      <c r="AU33" s="31" t="str">
        <f t="shared" si="3"/>
        <v>库存为6</v>
      </c>
      <c r="AV33" s="36" t="str">
        <f>IFERROR(时间!$B$4+AU33,"上周无销量")</f>
        <v>上周无销量</v>
      </c>
    </row>
    <row r="34" spans="1:48">
      <c r="A34" s="21" t="s">
        <v>142</v>
      </c>
      <c r="B34" t="s">
        <v>143</v>
      </c>
      <c r="C34" t="s">
        <v>144</v>
      </c>
      <c r="D34" s="31">
        <v>0</v>
      </c>
      <c r="E34" s="31">
        <v>1</v>
      </c>
      <c r="F34" s="31">
        <v>0</v>
      </c>
      <c r="G34" s="31">
        <v>1</v>
      </c>
      <c r="H34" s="32">
        <v>99.99</v>
      </c>
      <c r="I34">
        <v>6</v>
      </c>
      <c r="J34" s="33">
        <v>0</v>
      </c>
      <c r="K34" s="33">
        <v>0</v>
      </c>
      <c r="L34" s="33">
        <v>0</v>
      </c>
      <c r="M34">
        <v>6</v>
      </c>
      <c r="N34">
        <v>0</v>
      </c>
      <c r="O34">
        <v>0</v>
      </c>
      <c r="P34" t="s">
        <v>57</v>
      </c>
      <c r="Q34" t="s">
        <v>57</v>
      </c>
      <c r="R34" t="s">
        <v>57</v>
      </c>
      <c r="S34" t="s">
        <v>57</v>
      </c>
      <c r="T34" t="s">
        <v>57</v>
      </c>
      <c r="U34" t="s">
        <v>57</v>
      </c>
      <c r="V34" t="s">
        <v>57</v>
      </c>
      <c r="W34" t="s">
        <v>57</v>
      </c>
      <c r="X34" s="23" t="s">
        <v>57</v>
      </c>
      <c r="Y34" s="23" t="s">
        <v>57</v>
      </c>
      <c r="Z34" s="23" t="s">
        <v>57</v>
      </c>
      <c r="AA34" s="23" t="s">
        <v>57</v>
      </c>
      <c r="AB34" t="s">
        <v>57</v>
      </c>
      <c r="AC34" t="s">
        <v>57</v>
      </c>
      <c r="AD34" t="s">
        <v>57</v>
      </c>
      <c r="AE34" t="s">
        <v>57</v>
      </c>
      <c r="AF34" s="23" t="s">
        <v>57</v>
      </c>
      <c r="AG34" s="23" t="s">
        <v>57</v>
      </c>
      <c r="AH34" s="23" t="s">
        <v>57</v>
      </c>
      <c r="AI34" s="23" t="s">
        <v>57</v>
      </c>
      <c r="AJ34">
        <v>14</v>
      </c>
      <c r="AK34">
        <v>15</v>
      </c>
      <c r="AL34">
        <v>11</v>
      </c>
      <c r="AM34">
        <v>7</v>
      </c>
      <c r="AN34" s="23">
        <v>0</v>
      </c>
      <c r="AO34" s="23">
        <v>0.0666666666666667</v>
      </c>
      <c r="AP34" s="23">
        <v>0</v>
      </c>
      <c r="AQ34" s="23">
        <v>0.142857142857143</v>
      </c>
      <c r="AR34" s="35">
        <v>0</v>
      </c>
      <c r="AS34" s="35">
        <v>0</v>
      </c>
      <c r="AT34" s="35">
        <v>6</v>
      </c>
      <c r="AU34" s="31" t="str">
        <f t="shared" si="3"/>
        <v>库存为6</v>
      </c>
      <c r="AV34" s="36" t="str">
        <f>IFERROR(时间!$B$4+AU34,"上周无销量")</f>
        <v>上周无销量</v>
      </c>
    </row>
    <row r="35" spans="1:48">
      <c r="A35" s="21" t="s">
        <v>145</v>
      </c>
      <c r="B35" t="s">
        <v>146</v>
      </c>
      <c r="C35" t="s">
        <v>147</v>
      </c>
      <c r="D35" s="31">
        <v>3</v>
      </c>
      <c r="E35" s="31">
        <v>9</v>
      </c>
      <c r="F35" s="31">
        <v>10</v>
      </c>
      <c r="G35" s="31">
        <v>3</v>
      </c>
      <c r="H35" s="32">
        <v>79.99</v>
      </c>
      <c r="I35">
        <v>12</v>
      </c>
      <c r="J35" s="33">
        <v>5</v>
      </c>
      <c r="K35" s="33">
        <v>0</v>
      </c>
      <c r="L35" s="33">
        <v>11</v>
      </c>
      <c r="M35">
        <v>28</v>
      </c>
      <c r="N35">
        <v>1</v>
      </c>
      <c r="O35">
        <v>0</v>
      </c>
      <c r="P35">
        <v>79488</v>
      </c>
      <c r="Q35">
        <v>79979</v>
      </c>
      <c r="R35">
        <v>23260</v>
      </c>
      <c r="S35">
        <v>21645</v>
      </c>
      <c r="T35">
        <v>448</v>
      </c>
      <c r="U35">
        <v>451</v>
      </c>
      <c r="V35">
        <v>147</v>
      </c>
      <c r="W35">
        <v>99</v>
      </c>
      <c r="X35" s="23">
        <v>0.00563607085346216</v>
      </c>
      <c r="Y35" s="23">
        <v>0.00563898023231098</v>
      </c>
      <c r="Z35" s="23">
        <v>0.00631986242476354</v>
      </c>
      <c r="AA35" s="23">
        <v>0.00457380457380457</v>
      </c>
      <c r="AB35">
        <v>90.56</v>
      </c>
      <c r="AC35">
        <v>91.2</v>
      </c>
      <c r="AD35">
        <v>29.97</v>
      </c>
      <c r="AE35">
        <v>17.59</v>
      </c>
      <c r="AF35" s="23">
        <v>0.37738050589657</v>
      </c>
      <c r="AG35" s="23">
        <v>0.126682501979414</v>
      </c>
      <c r="AH35" s="23">
        <v>0.0374671833979247</v>
      </c>
      <c r="AI35" s="23">
        <v>0.0733008292703255</v>
      </c>
      <c r="AJ35">
        <v>513</v>
      </c>
      <c r="AK35">
        <v>267</v>
      </c>
      <c r="AL35">
        <v>142</v>
      </c>
      <c r="AM35">
        <v>105</v>
      </c>
      <c r="AN35" s="23">
        <v>0.00584795321637427</v>
      </c>
      <c r="AO35" s="23">
        <v>0.0337078651685393</v>
      </c>
      <c r="AP35" s="23">
        <v>0.0704225352112676</v>
      </c>
      <c r="AQ35" s="23">
        <v>0.0285714285714286</v>
      </c>
      <c r="AR35" s="35">
        <v>0.428571428571429</v>
      </c>
      <c r="AS35" s="35">
        <v>25.7142857142857</v>
      </c>
      <c r="AT35" s="35">
        <v>2.28571428571429</v>
      </c>
      <c r="AU35" s="31">
        <f t="shared" si="3"/>
        <v>65</v>
      </c>
      <c r="AV35" s="36">
        <f>IFERROR(时间!$B$4+AU35,"上周无销量")</f>
        <v>43390</v>
      </c>
    </row>
    <row r="36" spans="1:48">
      <c r="A36" s="21" t="s">
        <v>148</v>
      </c>
      <c r="B36" t="s">
        <v>149</v>
      </c>
      <c r="C36" t="s">
        <v>150</v>
      </c>
      <c r="D36" s="31">
        <v>0</v>
      </c>
      <c r="E36" s="31">
        <v>0</v>
      </c>
      <c r="F36" s="31">
        <v>1</v>
      </c>
      <c r="G36" s="31">
        <v>0</v>
      </c>
      <c r="H36" s="32">
        <v>79.99</v>
      </c>
      <c r="I36">
        <v>5</v>
      </c>
      <c r="J36" s="33">
        <v>0</v>
      </c>
      <c r="K36" s="33">
        <v>0</v>
      </c>
      <c r="L36" s="33">
        <v>0</v>
      </c>
      <c r="M36">
        <v>5</v>
      </c>
      <c r="N36">
        <v>0</v>
      </c>
      <c r="O36">
        <v>0</v>
      </c>
      <c r="P36">
        <v>49721</v>
      </c>
      <c r="Q36">
        <v>49757</v>
      </c>
      <c r="R36">
        <v>11400</v>
      </c>
      <c r="S36">
        <v>9358</v>
      </c>
      <c r="T36">
        <v>229</v>
      </c>
      <c r="U36">
        <v>230</v>
      </c>
      <c r="V36">
        <v>29</v>
      </c>
      <c r="W36">
        <v>46</v>
      </c>
      <c r="X36" s="23">
        <v>0.00460569980491141</v>
      </c>
      <c r="Y36" s="23">
        <v>0.00462246518077858</v>
      </c>
      <c r="Z36" s="23">
        <v>0.00254385964912281</v>
      </c>
      <c r="AA36" s="23">
        <v>0.00491558025219064</v>
      </c>
      <c r="AB36">
        <v>49.78</v>
      </c>
      <c r="AC36">
        <v>50.19</v>
      </c>
      <c r="AD36">
        <v>9.46</v>
      </c>
      <c r="AE36">
        <v>15.68</v>
      </c>
      <c r="AF36" s="23" t="s">
        <v>151</v>
      </c>
      <c r="AG36" s="23" t="s">
        <v>152</v>
      </c>
      <c r="AH36" s="23">
        <v>0.118264783097887</v>
      </c>
      <c r="AI36" s="23" t="s">
        <v>153</v>
      </c>
      <c r="AJ36">
        <v>43</v>
      </c>
      <c r="AK36">
        <v>41</v>
      </c>
      <c r="AL36">
        <v>51</v>
      </c>
      <c r="AM36">
        <v>67</v>
      </c>
      <c r="AN36" s="23">
        <v>0</v>
      </c>
      <c r="AO36" s="23">
        <v>0</v>
      </c>
      <c r="AP36" s="23">
        <v>0.0196078431372549</v>
      </c>
      <c r="AQ36" s="23">
        <v>0</v>
      </c>
      <c r="AR36" s="35">
        <v>0</v>
      </c>
      <c r="AS36" s="35">
        <v>0</v>
      </c>
      <c r="AT36" s="35">
        <v>5</v>
      </c>
      <c r="AU36" s="31" t="str">
        <f t="shared" si="3"/>
        <v>库存为5</v>
      </c>
      <c r="AV36" s="36" t="str">
        <f>IFERROR(时间!$B$4+AU36,"上周无销量")</f>
        <v>上周无销量</v>
      </c>
    </row>
    <row r="37" spans="1:48">
      <c r="A37" s="21" t="s">
        <v>154</v>
      </c>
      <c r="B37" t="s">
        <v>155</v>
      </c>
      <c r="C37" t="s">
        <v>150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6</v>
      </c>
      <c r="J37" s="33">
        <v>0</v>
      </c>
      <c r="K37" s="33">
        <v>0</v>
      </c>
      <c r="L37" s="33">
        <v>0</v>
      </c>
      <c r="M37">
        <v>6</v>
      </c>
      <c r="N37">
        <v>0</v>
      </c>
      <c r="O37">
        <v>1</v>
      </c>
      <c r="P37" t="s">
        <v>57</v>
      </c>
      <c r="Q37" t="s">
        <v>57</v>
      </c>
      <c r="R37" t="s">
        <v>57</v>
      </c>
      <c r="S37" t="s">
        <v>57</v>
      </c>
      <c r="T37" t="s">
        <v>57</v>
      </c>
      <c r="U37" t="s">
        <v>57</v>
      </c>
      <c r="V37" t="s">
        <v>57</v>
      </c>
      <c r="W37" t="s">
        <v>57</v>
      </c>
      <c r="X37" s="23" t="s">
        <v>57</v>
      </c>
      <c r="Y37" s="23" t="s">
        <v>57</v>
      </c>
      <c r="Z37" s="23" t="s">
        <v>57</v>
      </c>
      <c r="AA37" s="23" t="s">
        <v>57</v>
      </c>
      <c r="AB37" t="s">
        <v>57</v>
      </c>
      <c r="AC37" t="s">
        <v>57</v>
      </c>
      <c r="AD37" t="s">
        <v>57</v>
      </c>
      <c r="AE37" t="s">
        <v>57</v>
      </c>
      <c r="AF37" s="23" t="s">
        <v>57</v>
      </c>
      <c r="AG37" s="23" t="s">
        <v>57</v>
      </c>
      <c r="AH37" s="23" t="s">
        <v>57</v>
      </c>
      <c r="AI37" s="23" t="s">
        <v>57</v>
      </c>
      <c r="AJ37">
        <v>33</v>
      </c>
      <c r="AK37">
        <v>24</v>
      </c>
      <c r="AL37">
        <v>12</v>
      </c>
      <c r="AM37">
        <v>28</v>
      </c>
      <c r="AN37" s="23">
        <v>0</v>
      </c>
      <c r="AO37" s="23">
        <v>0</v>
      </c>
      <c r="AP37" s="23">
        <v>0</v>
      </c>
      <c r="AQ37" s="23">
        <v>0</v>
      </c>
      <c r="AR37" s="35">
        <v>0</v>
      </c>
      <c r="AS37" s="35">
        <v>0</v>
      </c>
      <c r="AT37" s="35">
        <v>6</v>
      </c>
      <c r="AU37" s="31" t="str">
        <f t="shared" si="3"/>
        <v>库存为6</v>
      </c>
      <c r="AV37" s="36" t="str">
        <f>IFERROR(时间!$B$4+AU37,"上周无销量")</f>
        <v>上周无销量</v>
      </c>
    </row>
    <row r="38" spans="1:48">
      <c r="A38" s="21" t="s">
        <v>156</v>
      </c>
      <c r="B38" t="s">
        <v>157</v>
      </c>
      <c r="C38" t="s">
        <v>158</v>
      </c>
      <c r="D38" s="31">
        <v>0</v>
      </c>
      <c r="E38" s="31">
        <v>1</v>
      </c>
      <c r="F38" s="31">
        <v>1</v>
      </c>
      <c r="G38" s="31">
        <v>1</v>
      </c>
      <c r="H38" s="32">
        <v>89.99</v>
      </c>
      <c r="I38">
        <v>5</v>
      </c>
      <c r="J38" s="33">
        <v>0</v>
      </c>
      <c r="K38" s="33">
        <v>0</v>
      </c>
      <c r="L38" s="33">
        <v>0</v>
      </c>
      <c r="M38">
        <v>5</v>
      </c>
      <c r="N38">
        <v>0</v>
      </c>
      <c r="O38">
        <v>0</v>
      </c>
      <c r="P38">
        <v>32815</v>
      </c>
      <c r="Q38">
        <v>32890</v>
      </c>
      <c r="R38">
        <v>5742</v>
      </c>
      <c r="S38">
        <v>5349</v>
      </c>
      <c r="T38">
        <v>240</v>
      </c>
      <c r="U38">
        <v>241</v>
      </c>
      <c r="V38">
        <v>44</v>
      </c>
      <c r="W38">
        <v>49</v>
      </c>
      <c r="X38" s="23">
        <v>0.00731372847783026</v>
      </c>
      <c r="Y38" s="23">
        <v>0.00732745515354211</v>
      </c>
      <c r="Z38" s="23">
        <v>0.00766283524904215</v>
      </c>
      <c r="AA38" s="23">
        <v>0.0091605907646289</v>
      </c>
      <c r="AB38">
        <v>60.04</v>
      </c>
      <c r="AC38">
        <v>60.54</v>
      </c>
      <c r="AD38">
        <v>12.92</v>
      </c>
      <c r="AE38">
        <v>22.42</v>
      </c>
      <c r="AF38" s="23" t="s">
        <v>159</v>
      </c>
      <c r="AG38" s="23">
        <v>0.672741415712857</v>
      </c>
      <c r="AH38" s="23">
        <v>0.143571507945327</v>
      </c>
      <c r="AI38" s="23">
        <v>0.249138793199244</v>
      </c>
      <c r="AJ38">
        <v>50</v>
      </c>
      <c r="AK38">
        <v>78</v>
      </c>
      <c r="AL38">
        <v>68</v>
      </c>
      <c r="AM38">
        <v>54</v>
      </c>
      <c r="AN38" s="23">
        <v>0</v>
      </c>
      <c r="AO38" s="23">
        <v>0.0128205128205128</v>
      </c>
      <c r="AP38" s="23">
        <v>0.0147058823529412</v>
      </c>
      <c r="AQ38" s="23">
        <v>0.0185185185185185</v>
      </c>
      <c r="AR38" s="35">
        <v>0</v>
      </c>
      <c r="AS38" s="35">
        <v>0</v>
      </c>
      <c r="AT38" s="35">
        <v>5</v>
      </c>
      <c r="AU38" s="31" t="str">
        <f t="shared" si="3"/>
        <v>库存为5</v>
      </c>
      <c r="AV38" s="36" t="str">
        <f>IFERROR(时间!$B$4+AU38,"上周无销量")</f>
        <v>上周无销量</v>
      </c>
    </row>
    <row r="39" spans="1:48">
      <c r="A39" s="21" t="s">
        <v>160</v>
      </c>
      <c r="B39" t="s">
        <v>161</v>
      </c>
      <c r="C39" t="s">
        <v>162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10</v>
      </c>
      <c r="J39" s="33">
        <v>0</v>
      </c>
      <c r="K39" s="33">
        <v>0</v>
      </c>
      <c r="L39" s="33">
        <v>0</v>
      </c>
      <c r="M39">
        <v>10</v>
      </c>
      <c r="N39">
        <v>0</v>
      </c>
      <c r="O39">
        <v>5</v>
      </c>
      <c r="P39">
        <v>31279</v>
      </c>
      <c r="Q39">
        <v>31283</v>
      </c>
      <c r="R39">
        <v>475</v>
      </c>
      <c r="S39">
        <v>1747</v>
      </c>
      <c r="T39">
        <v>216</v>
      </c>
      <c r="U39">
        <v>216</v>
      </c>
      <c r="V39">
        <v>6</v>
      </c>
      <c r="W39">
        <v>22</v>
      </c>
      <c r="X39" s="23">
        <v>0.00690559161098501</v>
      </c>
      <c r="Y39" s="23">
        <v>0.00690470862768916</v>
      </c>
      <c r="Z39" s="23">
        <v>0.0126315789473684</v>
      </c>
      <c r="AA39" s="23">
        <v>0.0125930165998855</v>
      </c>
      <c r="AB39">
        <v>34.46</v>
      </c>
      <c r="AC39">
        <v>34.46</v>
      </c>
      <c r="AD39">
        <v>1.02</v>
      </c>
      <c r="AE39">
        <v>4.59</v>
      </c>
      <c r="AF39" s="23" t="s">
        <v>163</v>
      </c>
      <c r="AG39" s="23" t="s">
        <v>163</v>
      </c>
      <c r="AH39" s="23" t="s">
        <v>164</v>
      </c>
      <c r="AI39" s="23" t="s">
        <v>165</v>
      </c>
      <c r="AJ39">
        <v>22</v>
      </c>
      <c r="AK39">
        <v>14</v>
      </c>
      <c r="AL39">
        <v>11</v>
      </c>
      <c r="AM39">
        <v>20</v>
      </c>
      <c r="AN39" s="23">
        <v>0</v>
      </c>
      <c r="AO39" s="23">
        <v>0</v>
      </c>
      <c r="AP39" s="23">
        <v>0</v>
      </c>
      <c r="AQ39" s="23">
        <v>0</v>
      </c>
      <c r="AR39" s="35">
        <v>0</v>
      </c>
      <c r="AS39" s="35">
        <v>0</v>
      </c>
      <c r="AT39" s="35">
        <v>10</v>
      </c>
      <c r="AU39" s="31" t="str">
        <f t="shared" si="3"/>
        <v>库存为10</v>
      </c>
      <c r="AV39" s="36" t="str">
        <f>IFERROR(时间!$B$4+AU39,"上周无销量")</f>
        <v>上周无销量</v>
      </c>
    </row>
    <row r="40" spans="1:48">
      <c r="A40" s="21" t="s">
        <v>166</v>
      </c>
      <c r="B40" t="s">
        <v>167</v>
      </c>
      <c r="C40" t="s">
        <v>162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8</v>
      </c>
      <c r="J40" s="33">
        <v>0</v>
      </c>
      <c r="K40" s="33">
        <v>0</v>
      </c>
      <c r="L40" s="33">
        <v>0</v>
      </c>
      <c r="M40">
        <v>8</v>
      </c>
      <c r="N40">
        <v>0</v>
      </c>
      <c r="O40">
        <v>3</v>
      </c>
      <c r="P40">
        <v>6210</v>
      </c>
      <c r="Q40">
        <v>6210</v>
      </c>
      <c r="R40">
        <v>0</v>
      </c>
      <c r="S40">
        <v>0</v>
      </c>
      <c r="T40">
        <v>29</v>
      </c>
      <c r="U40">
        <v>29</v>
      </c>
      <c r="V40">
        <v>0</v>
      </c>
      <c r="W40">
        <v>0</v>
      </c>
      <c r="X40" s="23">
        <v>0.00466988727858293</v>
      </c>
      <c r="Y40" s="23">
        <v>0.00466988727858293</v>
      </c>
      <c r="Z40" s="23" t="s">
        <v>57</v>
      </c>
      <c r="AA40" s="23" t="s">
        <v>57</v>
      </c>
      <c r="AB40">
        <v>5.28</v>
      </c>
      <c r="AC40">
        <v>5.28</v>
      </c>
      <c r="AD40">
        <v>0</v>
      </c>
      <c r="AE40">
        <v>0</v>
      </c>
      <c r="AF40" s="23" t="s">
        <v>168</v>
      </c>
      <c r="AG40" s="23" t="s">
        <v>168</v>
      </c>
      <c r="AH40" s="23" t="s">
        <v>57</v>
      </c>
      <c r="AI40" s="23" t="s">
        <v>57</v>
      </c>
      <c r="AJ40">
        <v>11</v>
      </c>
      <c r="AK40">
        <v>12</v>
      </c>
      <c r="AL40">
        <v>11</v>
      </c>
      <c r="AM40">
        <v>15</v>
      </c>
      <c r="AN40" s="23">
        <v>0</v>
      </c>
      <c r="AO40" s="23">
        <v>0</v>
      </c>
      <c r="AP40" s="23">
        <v>0</v>
      </c>
      <c r="AQ40" s="23">
        <v>0</v>
      </c>
      <c r="AR40" s="35">
        <v>0</v>
      </c>
      <c r="AS40" s="35">
        <v>0</v>
      </c>
      <c r="AT40" s="35">
        <v>8</v>
      </c>
      <c r="AU40" s="31" t="str">
        <f t="shared" si="3"/>
        <v>库存为8</v>
      </c>
      <c r="AV40" s="36" t="str">
        <f>IFERROR(时间!$B$4+AU40,"上周无销量")</f>
        <v>上周无销量</v>
      </c>
    </row>
    <row r="41" spans="1:48">
      <c r="A41" s="21" t="s">
        <v>169</v>
      </c>
      <c r="B41" t="s">
        <v>170</v>
      </c>
      <c r="C41" t="s">
        <v>171</v>
      </c>
      <c r="D41" s="31">
        <v>11</v>
      </c>
      <c r="E41" s="31">
        <v>7</v>
      </c>
      <c r="F41" s="31">
        <v>13</v>
      </c>
      <c r="G41" s="31">
        <v>18</v>
      </c>
      <c r="H41" s="32">
        <v>89.9899999999999</v>
      </c>
      <c r="I41">
        <v>92</v>
      </c>
      <c r="J41" s="33">
        <v>0</v>
      </c>
      <c r="K41" s="33">
        <v>0</v>
      </c>
      <c r="L41" s="33">
        <v>0</v>
      </c>
      <c r="M41">
        <v>92</v>
      </c>
      <c r="N41">
        <v>4</v>
      </c>
      <c r="O41">
        <v>0</v>
      </c>
      <c r="P41" t="s">
        <v>57</v>
      </c>
      <c r="Q41" t="s">
        <v>57</v>
      </c>
      <c r="R41" t="s">
        <v>57</v>
      </c>
      <c r="S41" t="s">
        <v>57</v>
      </c>
      <c r="T41" t="s">
        <v>57</v>
      </c>
      <c r="U41" t="s">
        <v>57</v>
      </c>
      <c r="V41" t="s">
        <v>57</v>
      </c>
      <c r="W41" t="s">
        <v>57</v>
      </c>
      <c r="X41" s="23" t="s">
        <v>57</v>
      </c>
      <c r="Y41" s="23" t="s">
        <v>57</v>
      </c>
      <c r="Z41" s="23" t="s">
        <v>57</v>
      </c>
      <c r="AA41" s="23" t="s">
        <v>57</v>
      </c>
      <c r="AB41" t="s">
        <v>57</v>
      </c>
      <c r="AC41" t="s">
        <v>57</v>
      </c>
      <c r="AD41" t="s">
        <v>57</v>
      </c>
      <c r="AE41" t="s">
        <v>57</v>
      </c>
      <c r="AF41" s="23" t="s">
        <v>57</v>
      </c>
      <c r="AG41" s="23" t="s">
        <v>57</v>
      </c>
      <c r="AH41" s="23" t="s">
        <v>57</v>
      </c>
      <c r="AI41" s="23" t="s">
        <v>57</v>
      </c>
      <c r="AJ41">
        <v>1005</v>
      </c>
      <c r="AK41">
        <v>673</v>
      </c>
      <c r="AL41">
        <v>831</v>
      </c>
      <c r="AM41">
        <v>1322</v>
      </c>
      <c r="AN41" s="23">
        <v>0.0109452736318408</v>
      </c>
      <c r="AO41" s="23">
        <v>0.0104011887072808</v>
      </c>
      <c r="AP41" s="23">
        <v>0.0156438026474128</v>
      </c>
      <c r="AQ41" s="23">
        <v>0.0136157337367625</v>
      </c>
      <c r="AR41" s="35">
        <v>1.57142857142857</v>
      </c>
      <c r="AS41" s="35">
        <v>94.2857142857143</v>
      </c>
      <c r="AT41" s="35">
        <v>-2.28571428571428</v>
      </c>
      <c r="AU41" s="31">
        <f t="shared" si="3"/>
        <v>58</v>
      </c>
      <c r="AV41" s="36">
        <f>IFERROR(时间!$B$4+AU41,"上周无销量")</f>
        <v>43383</v>
      </c>
    </row>
    <row r="42" spans="1:48">
      <c r="A42" s="21" t="s">
        <v>172</v>
      </c>
      <c r="B42" t="s">
        <v>173</v>
      </c>
      <c r="C42" t="s">
        <v>171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5</v>
      </c>
      <c r="J42" s="33">
        <v>0</v>
      </c>
      <c r="K42" s="33">
        <v>0</v>
      </c>
      <c r="L42" s="33">
        <v>0</v>
      </c>
      <c r="M42">
        <v>5</v>
      </c>
      <c r="N42">
        <v>0</v>
      </c>
      <c r="O42">
        <v>4</v>
      </c>
      <c r="P42" t="s">
        <v>57</v>
      </c>
      <c r="Q42" t="s">
        <v>57</v>
      </c>
      <c r="R42" t="s">
        <v>57</v>
      </c>
      <c r="S42" t="s">
        <v>57</v>
      </c>
      <c r="T42" t="s">
        <v>57</v>
      </c>
      <c r="U42" t="s">
        <v>57</v>
      </c>
      <c r="V42" t="s">
        <v>57</v>
      </c>
      <c r="W42" t="s">
        <v>57</v>
      </c>
      <c r="X42" s="23" t="s">
        <v>57</v>
      </c>
      <c r="Y42" s="23" t="s">
        <v>57</v>
      </c>
      <c r="Z42" s="23" t="s">
        <v>57</v>
      </c>
      <c r="AA42" s="23" t="s">
        <v>57</v>
      </c>
      <c r="AB42" t="s">
        <v>57</v>
      </c>
      <c r="AC42" t="s">
        <v>57</v>
      </c>
      <c r="AD42" t="s">
        <v>57</v>
      </c>
      <c r="AE42" t="s">
        <v>57</v>
      </c>
      <c r="AF42" s="23" t="s">
        <v>57</v>
      </c>
      <c r="AG42" s="23" t="s">
        <v>57</v>
      </c>
      <c r="AH42" s="23" t="s">
        <v>57</v>
      </c>
      <c r="AI42" s="23" t="s">
        <v>57</v>
      </c>
      <c r="AJ42">
        <v>34</v>
      </c>
      <c r="AK42">
        <v>14</v>
      </c>
      <c r="AL42">
        <v>12</v>
      </c>
      <c r="AM42">
        <v>23</v>
      </c>
      <c r="AN42" s="23">
        <v>0</v>
      </c>
      <c r="AO42" s="23">
        <v>0</v>
      </c>
      <c r="AP42" s="23">
        <v>0</v>
      </c>
      <c r="AQ42" s="23">
        <v>0</v>
      </c>
      <c r="AR42" s="35">
        <v>0</v>
      </c>
      <c r="AS42" s="35">
        <v>0</v>
      </c>
      <c r="AT42" s="35">
        <v>5</v>
      </c>
      <c r="AU42" s="31" t="str">
        <f t="shared" si="3"/>
        <v>库存为5</v>
      </c>
      <c r="AV42" s="36" t="str">
        <f>IFERROR(时间!$B$4+AU42,"上周无销量")</f>
        <v>上周无销量</v>
      </c>
    </row>
    <row r="43" spans="1:48">
      <c r="A43" s="21" t="s">
        <v>174</v>
      </c>
      <c r="B43" t="s">
        <v>175</v>
      </c>
      <c r="C43" t="s">
        <v>171</v>
      </c>
      <c r="D43" s="31">
        <v>1</v>
      </c>
      <c r="E43" s="31">
        <v>0</v>
      </c>
      <c r="F43" s="31">
        <v>0</v>
      </c>
      <c r="G43" s="31">
        <v>2</v>
      </c>
      <c r="H43" s="32">
        <v>32.99</v>
      </c>
      <c r="I43">
        <v>5</v>
      </c>
      <c r="J43" s="33">
        <v>0</v>
      </c>
      <c r="K43" s="33">
        <v>0</v>
      </c>
      <c r="L43" s="33">
        <v>0</v>
      </c>
      <c r="M43">
        <v>5</v>
      </c>
      <c r="N43">
        <v>0</v>
      </c>
      <c r="O43">
        <v>0</v>
      </c>
      <c r="P43" t="s">
        <v>57</v>
      </c>
      <c r="Q43" t="s">
        <v>57</v>
      </c>
      <c r="R43" t="s">
        <v>57</v>
      </c>
      <c r="S43" t="s">
        <v>57</v>
      </c>
      <c r="T43" t="s">
        <v>57</v>
      </c>
      <c r="U43" t="s">
        <v>57</v>
      </c>
      <c r="V43" t="s">
        <v>57</v>
      </c>
      <c r="W43" t="s">
        <v>57</v>
      </c>
      <c r="X43" s="23" t="s">
        <v>57</v>
      </c>
      <c r="Y43" s="23" t="s">
        <v>57</v>
      </c>
      <c r="Z43" s="23" t="s">
        <v>57</v>
      </c>
      <c r="AA43" s="23" t="s">
        <v>57</v>
      </c>
      <c r="AB43" t="s">
        <v>57</v>
      </c>
      <c r="AC43" t="s">
        <v>57</v>
      </c>
      <c r="AD43" t="s">
        <v>57</v>
      </c>
      <c r="AE43" t="s">
        <v>57</v>
      </c>
      <c r="AF43" s="23" t="s">
        <v>57</v>
      </c>
      <c r="AG43" s="23" t="s">
        <v>57</v>
      </c>
      <c r="AH43" s="23" t="s">
        <v>57</v>
      </c>
      <c r="AI43" s="23" t="s">
        <v>57</v>
      </c>
      <c r="AJ43">
        <v>72</v>
      </c>
      <c r="AK43">
        <v>31</v>
      </c>
      <c r="AL43">
        <v>32</v>
      </c>
      <c r="AM43">
        <v>58</v>
      </c>
      <c r="AN43" s="23">
        <v>0.0138888888888889</v>
      </c>
      <c r="AO43" s="23">
        <v>0</v>
      </c>
      <c r="AP43" s="23">
        <v>0</v>
      </c>
      <c r="AQ43" s="23">
        <v>0.0344827586206897</v>
      </c>
      <c r="AR43" s="35">
        <v>0.142857142857143</v>
      </c>
      <c r="AS43" s="35">
        <v>8.57142857142857</v>
      </c>
      <c r="AT43" s="35">
        <v>-3.57142857142857</v>
      </c>
      <c r="AU43" s="31">
        <f t="shared" si="3"/>
        <v>35</v>
      </c>
      <c r="AV43" s="36">
        <f>IFERROR(时间!$B$4+AU43,"上周无销量")</f>
        <v>43360</v>
      </c>
    </row>
    <row r="44" spans="1:48">
      <c r="A44" s="21" t="s">
        <v>176</v>
      </c>
      <c r="B44" t="s">
        <v>177</v>
      </c>
      <c r="C44" t="s">
        <v>178</v>
      </c>
      <c r="D44" s="31">
        <v>0</v>
      </c>
      <c r="E44" s="31">
        <v>0</v>
      </c>
      <c r="F44" s="31">
        <v>0</v>
      </c>
      <c r="G44" s="31">
        <v>1</v>
      </c>
      <c r="H44" s="32">
        <v>89.99</v>
      </c>
      <c r="I44">
        <v>5</v>
      </c>
      <c r="J44" s="33">
        <v>0</v>
      </c>
      <c r="K44" s="33">
        <v>0</v>
      </c>
      <c r="L44" s="33">
        <v>0</v>
      </c>
      <c r="M44">
        <v>5</v>
      </c>
      <c r="N44">
        <v>0</v>
      </c>
      <c r="O44">
        <v>5</v>
      </c>
      <c r="P44">
        <v>18799</v>
      </c>
      <c r="Q44">
        <v>18799</v>
      </c>
      <c r="R44">
        <v>0</v>
      </c>
      <c r="S44">
        <v>0</v>
      </c>
      <c r="T44">
        <v>117</v>
      </c>
      <c r="U44">
        <v>117</v>
      </c>
      <c r="V44">
        <v>0</v>
      </c>
      <c r="W44">
        <v>0</v>
      </c>
      <c r="X44" s="23">
        <v>0.00622373530506942</v>
      </c>
      <c r="Y44" s="23">
        <v>0.00622373530506942</v>
      </c>
      <c r="Z44" s="23" t="s">
        <v>57</v>
      </c>
      <c r="AA44" s="23" t="s">
        <v>57</v>
      </c>
      <c r="AB44">
        <v>18.87</v>
      </c>
      <c r="AC44">
        <v>18.87</v>
      </c>
      <c r="AD44">
        <v>0</v>
      </c>
      <c r="AE44">
        <v>0</v>
      </c>
      <c r="AF44" s="23" t="s">
        <v>179</v>
      </c>
      <c r="AG44" s="23" t="s">
        <v>179</v>
      </c>
      <c r="AH44" s="23" t="s">
        <v>57</v>
      </c>
      <c r="AI44" s="23" t="s">
        <v>57</v>
      </c>
      <c r="AJ44">
        <v>51</v>
      </c>
      <c r="AK44">
        <v>12</v>
      </c>
      <c r="AL44">
        <v>5</v>
      </c>
      <c r="AM44">
        <v>14</v>
      </c>
      <c r="AN44" s="23">
        <v>0</v>
      </c>
      <c r="AO44" s="23">
        <v>0</v>
      </c>
      <c r="AP44" s="23">
        <v>0</v>
      </c>
      <c r="AQ44" s="23">
        <v>0.0714285714285714</v>
      </c>
      <c r="AR44" s="35">
        <v>0</v>
      </c>
      <c r="AS44" s="35">
        <v>0</v>
      </c>
      <c r="AT44" s="35">
        <v>5</v>
      </c>
      <c r="AU44" s="31" t="str">
        <f t="shared" si="3"/>
        <v>库存为5</v>
      </c>
      <c r="AV44" s="36" t="str">
        <f>IFERROR(时间!$B$4+AU44,"上周无销量")</f>
        <v>上周无销量</v>
      </c>
    </row>
    <row r="45" spans="1:48">
      <c r="A45" s="21" t="s">
        <v>180</v>
      </c>
      <c r="B45" t="s">
        <v>181</v>
      </c>
      <c r="C45" t="s">
        <v>182</v>
      </c>
      <c r="D45" s="31">
        <v>1</v>
      </c>
      <c r="E45" s="31">
        <v>2</v>
      </c>
      <c r="F45" s="31">
        <v>2</v>
      </c>
      <c r="G45" s="31">
        <v>3</v>
      </c>
      <c r="H45" s="32">
        <v>89.99</v>
      </c>
      <c r="I45">
        <v>12</v>
      </c>
      <c r="J45" s="33">
        <v>0</v>
      </c>
      <c r="K45" s="33">
        <v>0</v>
      </c>
      <c r="L45" s="33">
        <v>0</v>
      </c>
      <c r="M45">
        <v>12</v>
      </c>
      <c r="N45">
        <v>0</v>
      </c>
      <c r="O45">
        <v>0</v>
      </c>
      <c r="P45">
        <v>183870</v>
      </c>
      <c r="Q45">
        <v>184603</v>
      </c>
      <c r="R45">
        <v>71380</v>
      </c>
      <c r="S45">
        <v>73885</v>
      </c>
      <c r="T45">
        <v>640</v>
      </c>
      <c r="U45">
        <v>640</v>
      </c>
      <c r="V45">
        <v>235</v>
      </c>
      <c r="W45">
        <v>219</v>
      </c>
      <c r="X45" s="23">
        <v>0.0034807200739653</v>
      </c>
      <c r="Y45" s="23">
        <v>0.00346689923782387</v>
      </c>
      <c r="Z45" s="23">
        <v>0.00329223872233119</v>
      </c>
      <c r="AA45" s="23">
        <v>0.00296406577789809</v>
      </c>
      <c r="AB45">
        <v>128.94</v>
      </c>
      <c r="AC45">
        <v>128.94</v>
      </c>
      <c r="AD45">
        <v>54.45</v>
      </c>
      <c r="AE45">
        <v>41.97</v>
      </c>
      <c r="AF45" s="23">
        <v>1.43282586954106</v>
      </c>
      <c r="AG45" s="23">
        <v>0.71641293477053</v>
      </c>
      <c r="AH45" s="23">
        <v>0.302533614846094</v>
      </c>
      <c r="AI45" s="23">
        <v>0.155461717968663</v>
      </c>
      <c r="AJ45">
        <v>198</v>
      </c>
      <c r="AK45">
        <v>182</v>
      </c>
      <c r="AL45">
        <v>175</v>
      </c>
      <c r="AM45">
        <v>140</v>
      </c>
      <c r="AN45" s="23">
        <v>0.00505050505050505</v>
      </c>
      <c r="AO45" s="23">
        <v>0.010989010989011</v>
      </c>
      <c r="AP45" s="23">
        <v>0.0114285714285714</v>
      </c>
      <c r="AQ45" s="23">
        <v>0.0214285714285714</v>
      </c>
      <c r="AR45" s="35">
        <v>0.142857142857143</v>
      </c>
      <c r="AS45" s="35">
        <v>8.57142857142857</v>
      </c>
      <c r="AT45" s="35">
        <v>3.42857142857143</v>
      </c>
      <c r="AU45" s="31">
        <f t="shared" si="3"/>
        <v>84</v>
      </c>
      <c r="AV45" s="36">
        <f>IFERROR(时间!$B$4+AU45,"上周无销量")</f>
        <v>43409</v>
      </c>
    </row>
    <row r="46" spans="1:48">
      <c r="A46" s="21" t="s">
        <v>183</v>
      </c>
      <c r="B46" t="s">
        <v>184</v>
      </c>
      <c r="C46" t="s">
        <v>185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>
        <v>20780</v>
      </c>
      <c r="Q46">
        <v>20780</v>
      </c>
      <c r="R46">
        <v>0</v>
      </c>
      <c r="S46">
        <v>0</v>
      </c>
      <c r="T46">
        <v>97</v>
      </c>
      <c r="U46">
        <v>97</v>
      </c>
      <c r="V46">
        <v>0</v>
      </c>
      <c r="W46">
        <v>0</v>
      </c>
      <c r="X46" s="23">
        <v>0.00466794995187681</v>
      </c>
      <c r="Y46" s="23">
        <v>0.00466794995187681</v>
      </c>
      <c r="Z46" s="23" t="s">
        <v>57</v>
      </c>
      <c r="AA46" s="23" t="s">
        <v>57</v>
      </c>
      <c r="AB46">
        <v>16.25</v>
      </c>
      <c r="AC46">
        <v>16.25</v>
      </c>
      <c r="AD46">
        <v>0</v>
      </c>
      <c r="AE46">
        <v>0</v>
      </c>
      <c r="AF46" s="23" t="s">
        <v>186</v>
      </c>
      <c r="AG46" s="23" t="s">
        <v>186</v>
      </c>
      <c r="AH46" s="23" t="s">
        <v>57</v>
      </c>
      <c r="AI46" s="23" t="s">
        <v>57</v>
      </c>
      <c r="AJ46">
        <v>0</v>
      </c>
      <c r="AK46">
        <v>0</v>
      </c>
      <c r="AL46">
        <v>0</v>
      </c>
      <c r="AM46">
        <v>0</v>
      </c>
      <c r="AN46" s="23" t="s">
        <v>57</v>
      </c>
      <c r="AO46" s="23" t="s">
        <v>57</v>
      </c>
      <c r="AP46" s="23" t="s">
        <v>57</v>
      </c>
      <c r="AQ46" s="23" t="s">
        <v>57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1" t="s">
        <v>187</v>
      </c>
      <c r="B47" t="s">
        <v>188</v>
      </c>
      <c r="C47" t="s">
        <v>185</v>
      </c>
      <c r="D47" s="31">
        <v>1</v>
      </c>
      <c r="E47" s="31">
        <v>0</v>
      </c>
      <c r="F47" s="31">
        <v>1</v>
      </c>
      <c r="G47" s="31">
        <v>2</v>
      </c>
      <c r="H47" s="32">
        <v>91.6</v>
      </c>
      <c r="I47">
        <v>46</v>
      </c>
      <c r="J47" s="33">
        <v>0</v>
      </c>
      <c r="K47" s="33">
        <v>0</v>
      </c>
      <c r="L47" s="33">
        <v>0</v>
      </c>
      <c r="M47">
        <v>46</v>
      </c>
      <c r="N47">
        <v>0</v>
      </c>
      <c r="O47">
        <v>16</v>
      </c>
      <c r="P47" t="s">
        <v>57</v>
      </c>
      <c r="Q47" t="s">
        <v>57</v>
      </c>
      <c r="R47" t="s">
        <v>57</v>
      </c>
      <c r="S47" t="s">
        <v>57</v>
      </c>
      <c r="T47" t="s">
        <v>57</v>
      </c>
      <c r="U47" t="s">
        <v>57</v>
      </c>
      <c r="V47" t="s">
        <v>57</v>
      </c>
      <c r="W47" t="s">
        <v>57</v>
      </c>
      <c r="X47" s="23" t="s">
        <v>57</v>
      </c>
      <c r="Y47" s="23" t="s">
        <v>57</v>
      </c>
      <c r="Z47" s="23" t="s">
        <v>57</v>
      </c>
      <c r="AA47" s="23" t="s">
        <v>57</v>
      </c>
      <c r="AB47" t="s">
        <v>57</v>
      </c>
      <c r="AC47" t="s">
        <v>57</v>
      </c>
      <c r="AD47" t="s">
        <v>57</v>
      </c>
      <c r="AE47" t="s">
        <v>57</v>
      </c>
      <c r="AF47" s="23" t="s">
        <v>57</v>
      </c>
      <c r="AG47" s="23" t="s">
        <v>57</v>
      </c>
      <c r="AH47" s="23" t="s">
        <v>57</v>
      </c>
      <c r="AI47" s="23" t="s">
        <v>57</v>
      </c>
      <c r="AJ47">
        <v>12</v>
      </c>
      <c r="AK47">
        <v>4</v>
      </c>
      <c r="AL47">
        <v>10</v>
      </c>
      <c r="AM47">
        <v>104</v>
      </c>
      <c r="AN47" s="23">
        <v>0.0833333333333333</v>
      </c>
      <c r="AO47" s="23">
        <v>0</v>
      </c>
      <c r="AP47" s="23">
        <v>0.1</v>
      </c>
      <c r="AQ47" s="23">
        <v>0.0192307692307692</v>
      </c>
      <c r="AR47" s="35">
        <v>0.142857142857143</v>
      </c>
      <c r="AS47" s="35">
        <v>8.57142857142857</v>
      </c>
      <c r="AT47" s="35">
        <v>37.4285714285714</v>
      </c>
      <c r="AU47" s="31">
        <f t="shared" si="3"/>
        <v>322</v>
      </c>
      <c r="AV47" s="36">
        <f>IFERROR(时间!$B$4+AU47,"上周无销量")</f>
        <v>43647</v>
      </c>
    </row>
    <row r="48" spans="1:48">
      <c r="A48" s="21" t="s">
        <v>189</v>
      </c>
      <c r="B48" t="s">
        <v>190</v>
      </c>
      <c r="C48" t="s">
        <v>191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4</v>
      </c>
      <c r="J48" s="33">
        <v>0</v>
      </c>
      <c r="K48" s="33">
        <v>0</v>
      </c>
      <c r="L48" s="33">
        <v>0</v>
      </c>
      <c r="M48">
        <v>4</v>
      </c>
      <c r="N48">
        <v>0</v>
      </c>
      <c r="O48">
        <v>4</v>
      </c>
      <c r="P48" t="s">
        <v>57</v>
      </c>
      <c r="Q48" t="s">
        <v>57</v>
      </c>
      <c r="R48" t="s">
        <v>57</v>
      </c>
      <c r="S48" t="s">
        <v>57</v>
      </c>
      <c r="T48" t="s">
        <v>57</v>
      </c>
      <c r="U48" t="s">
        <v>57</v>
      </c>
      <c r="V48" t="s">
        <v>57</v>
      </c>
      <c r="W48" t="s">
        <v>57</v>
      </c>
      <c r="X48" s="23" t="s">
        <v>57</v>
      </c>
      <c r="Y48" s="23" t="s">
        <v>57</v>
      </c>
      <c r="Z48" s="23" t="s">
        <v>57</v>
      </c>
      <c r="AA48" s="23" t="s">
        <v>57</v>
      </c>
      <c r="AB48" t="s">
        <v>57</v>
      </c>
      <c r="AC48" t="s">
        <v>57</v>
      </c>
      <c r="AD48" t="s">
        <v>57</v>
      </c>
      <c r="AE48" t="s">
        <v>57</v>
      </c>
      <c r="AF48" s="23" t="s">
        <v>57</v>
      </c>
      <c r="AG48" s="23" t="s">
        <v>57</v>
      </c>
      <c r="AH48" s="23" t="s">
        <v>57</v>
      </c>
      <c r="AI48" s="23" t="s">
        <v>57</v>
      </c>
      <c r="AJ48">
        <v>6</v>
      </c>
      <c r="AK48">
        <v>8</v>
      </c>
      <c r="AL48">
        <v>6</v>
      </c>
      <c r="AM48">
        <v>12</v>
      </c>
      <c r="AN48" s="23">
        <v>0</v>
      </c>
      <c r="AO48" s="23">
        <v>0</v>
      </c>
      <c r="AP48" s="23">
        <v>0</v>
      </c>
      <c r="AQ48" s="23">
        <v>0</v>
      </c>
      <c r="AR48" s="35">
        <v>0</v>
      </c>
      <c r="AS48" s="35">
        <v>0</v>
      </c>
      <c r="AT48" s="35">
        <v>4</v>
      </c>
      <c r="AU48" s="31" t="str">
        <f t="shared" si="3"/>
        <v>库存为4</v>
      </c>
      <c r="AV48" s="36" t="str">
        <f>IFERROR(时间!$B$4+AU48,"上周无销量")</f>
        <v>上周无销量</v>
      </c>
    </row>
    <row r="49" spans="1:48">
      <c r="A49" s="21" t="s">
        <v>192</v>
      </c>
      <c r="B49" t="s">
        <v>193</v>
      </c>
      <c r="C49" t="s">
        <v>194</v>
      </c>
      <c r="D49" s="31">
        <v>0</v>
      </c>
      <c r="E49" s="31">
        <v>0</v>
      </c>
      <c r="F49" s="31">
        <v>1</v>
      </c>
      <c r="G49" s="31">
        <v>0</v>
      </c>
      <c r="H49" s="32">
        <v>89.99</v>
      </c>
      <c r="I49">
        <v>6</v>
      </c>
      <c r="J49" s="33">
        <v>0</v>
      </c>
      <c r="K49" s="33">
        <v>0</v>
      </c>
      <c r="L49" s="33">
        <v>0</v>
      </c>
      <c r="M49">
        <v>6</v>
      </c>
      <c r="N49">
        <v>0</v>
      </c>
      <c r="O49">
        <v>0</v>
      </c>
      <c r="P49">
        <v>70699</v>
      </c>
      <c r="Q49">
        <v>70847</v>
      </c>
      <c r="R49">
        <v>28545</v>
      </c>
      <c r="S49">
        <v>23487</v>
      </c>
      <c r="T49">
        <v>457</v>
      </c>
      <c r="U49">
        <v>460</v>
      </c>
      <c r="V49">
        <v>190</v>
      </c>
      <c r="W49">
        <v>106</v>
      </c>
      <c r="X49" s="23">
        <v>0.0064640235364008</v>
      </c>
      <c r="Y49" s="23">
        <v>0.00649286490606518</v>
      </c>
      <c r="Z49" s="23">
        <v>0.00665615694517429</v>
      </c>
      <c r="AA49" s="23">
        <v>0.00451313492570358</v>
      </c>
      <c r="AB49">
        <v>124.8</v>
      </c>
      <c r="AC49">
        <v>125.86</v>
      </c>
      <c r="AD49">
        <v>52.5</v>
      </c>
      <c r="AE49">
        <v>38.93</v>
      </c>
      <c r="AF49" s="23" t="s">
        <v>195</v>
      </c>
      <c r="AG49" s="23" t="s">
        <v>196</v>
      </c>
      <c r="AH49" s="23">
        <v>0.583398155350595</v>
      </c>
      <c r="AI49" s="23" t="s">
        <v>197</v>
      </c>
      <c r="AJ49">
        <v>134</v>
      </c>
      <c r="AK49">
        <v>252</v>
      </c>
      <c r="AL49">
        <v>240</v>
      </c>
      <c r="AM49">
        <v>203</v>
      </c>
      <c r="AN49" s="23">
        <v>0</v>
      </c>
      <c r="AO49" s="23">
        <v>0</v>
      </c>
      <c r="AP49" s="23">
        <v>0.00416666666666667</v>
      </c>
      <c r="AQ49" s="23">
        <v>0</v>
      </c>
      <c r="AR49" s="35">
        <v>0</v>
      </c>
      <c r="AS49" s="35">
        <v>0</v>
      </c>
      <c r="AT49" s="35">
        <v>6</v>
      </c>
      <c r="AU49" s="31" t="str">
        <f t="shared" si="3"/>
        <v>库存为6</v>
      </c>
      <c r="AV49" s="36" t="str">
        <f>IFERROR(时间!$B$4+AU49,"上周无销量")</f>
        <v>上周无销量</v>
      </c>
    </row>
    <row r="50" spans="1:48">
      <c r="A50" s="21" t="s">
        <v>198</v>
      </c>
      <c r="B50" t="s">
        <v>199</v>
      </c>
      <c r="C50" t="s">
        <v>200</v>
      </c>
      <c r="D50" s="31">
        <v>3</v>
      </c>
      <c r="E50" s="31">
        <v>6</v>
      </c>
      <c r="F50" s="31">
        <v>4</v>
      </c>
      <c r="G50" s="31">
        <v>8</v>
      </c>
      <c r="H50" s="32">
        <v>89.99</v>
      </c>
      <c r="I50">
        <v>19</v>
      </c>
      <c r="J50" s="33">
        <v>13</v>
      </c>
      <c r="K50" s="33">
        <v>0</v>
      </c>
      <c r="L50" s="33">
        <v>4</v>
      </c>
      <c r="M50">
        <v>36</v>
      </c>
      <c r="N50">
        <v>0</v>
      </c>
      <c r="O50">
        <v>0</v>
      </c>
      <c r="P50">
        <v>328729</v>
      </c>
      <c r="Q50">
        <v>329184</v>
      </c>
      <c r="R50">
        <v>60854</v>
      </c>
      <c r="S50">
        <v>56403</v>
      </c>
      <c r="T50">
        <v>2063</v>
      </c>
      <c r="U50">
        <v>2064</v>
      </c>
      <c r="V50">
        <v>345</v>
      </c>
      <c r="W50">
        <v>305</v>
      </c>
      <c r="X50" s="23">
        <v>0.00627568605142838</v>
      </c>
      <c r="Y50" s="23">
        <v>0.00627004957713619</v>
      </c>
      <c r="Z50" s="23">
        <v>0.00566930686561278</v>
      </c>
      <c r="AA50" s="23">
        <v>0.00540751378472776</v>
      </c>
      <c r="AB50">
        <v>405.5</v>
      </c>
      <c r="AC50">
        <v>405.62</v>
      </c>
      <c r="AD50">
        <v>93.64</v>
      </c>
      <c r="AE50">
        <v>88.61</v>
      </c>
      <c r="AF50" s="23">
        <v>1.50201874282328</v>
      </c>
      <c r="AG50" s="23">
        <v>0.751231618327962</v>
      </c>
      <c r="AH50" s="23">
        <v>0.260140015557284</v>
      </c>
      <c r="AI50" s="23">
        <v>0.123083120346705</v>
      </c>
      <c r="AJ50">
        <v>368</v>
      </c>
      <c r="AK50">
        <v>547</v>
      </c>
      <c r="AL50">
        <v>536</v>
      </c>
      <c r="AM50">
        <v>551</v>
      </c>
      <c r="AN50" s="23">
        <v>0.00815217391304348</v>
      </c>
      <c r="AO50" s="23">
        <v>0.0109689213893967</v>
      </c>
      <c r="AP50" s="23">
        <v>0.00746268656716418</v>
      </c>
      <c r="AQ50" s="23">
        <v>0.014519056261343</v>
      </c>
      <c r="AR50" s="35">
        <v>0.428571428571429</v>
      </c>
      <c r="AS50" s="35">
        <v>25.7142857142857</v>
      </c>
      <c r="AT50" s="35">
        <v>10.2857142857143</v>
      </c>
      <c r="AU50" s="31">
        <f t="shared" si="3"/>
        <v>84</v>
      </c>
      <c r="AV50" s="36">
        <f>IFERROR(时间!$B$4+AU50,"上周无销量")</f>
        <v>43409</v>
      </c>
    </row>
    <row r="51" spans="1:48">
      <c r="A51" s="21" t="s">
        <v>201</v>
      </c>
      <c r="B51" t="s">
        <v>202</v>
      </c>
      <c r="C51" t="s">
        <v>200</v>
      </c>
      <c r="D51" s="31">
        <v>0</v>
      </c>
      <c r="E51" s="31">
        <v>1</v>
      </c>
      <c r="F51" s="31">
        <v>0</v>
      </c>
      <c r="G51" s="31">
        <v>0</v>
      </c>
      <c r="H51" s="32">
        <v>69.99</v>
      </c>
      <c r="I51">
        <v>2</v>
      </c>
      <c r="J51" s="33">
        <v>0</v>
      </c>
      <c r="K51" s="33">
        <v>0</v>
      </c>
      <c r="L51" s="33">
        <v>0</v>
      </c>
      <c r="M51">
        <v>2</v>
      </c>
      <c r="N51">
        <v>0</v>
      </c>
      <c r="O51">
        <v>2</v>
      </c>
      <c r="P51" t="s">
        <v>57</v>
      </c>
      <c r="Q51" t="s">
        <v>57</v>
      </c>
      <c r="R51" t="s">
        <v>57</v>
      </c>
      <c r="S51" t="s">
        <v>57</v>
      </c>
      <c r="T51" t="s">
        <v>57</v>
      </c>
      <c r="U51" t="s">
        <v>57</v>
      </c>
      <c r="V51" t="s">
        <v>57</v>
      </c>
      <c r="W51" t="s">
        <v>57</v>
      </c>
      <c r="X51" s="23" t="s">
        <v>57</v>
      </c>
      <c r="Y51" s="23" t="s">
        <v>57</v>
      </c>
      <c r="Z51" s="23" t="s">
        <v>57</v>
      </c>
      <c r="AA51" s="23" t="s">
        <v>57</v>
      </c>
      <c r="AB51" t="s">
        <v>57</v>
      </c>
      <c r="AC51" t="s">
        <v>57</v>
      </c>
      <c r="AD51" t="s">
        <v>57</v>
      </c>
      <c r="AE51" t="s">
        <v>57</v>
      </c>
      <c r="AF51" s="23" t="s">
        <v>57</v>
      </c>
      <c r="AG51" s="23" t="s">
        <v>57</v>
      </c>
      <c r="AH51" s="23" t="s">
        <v>57</v>
      </c>
      <c r="AI51" s="23" t="s">
        <v>57</v>
      </c>
      <c r="AJ51">
        <v>6</v>
      </c>
      <c r="AK51">
        <v>17</v>
      </c>
      <c r="AL51">
        <v>1</v>
      </c>
      <c r="AM51">
        <v>1</v>
      </c>
      <c r="AN51" s="23">
        <v>0</v>
      </c>
      <c r="AO51" s="23">
        <v>0.0588235294117647</v>
      </c>
      <c r="AP51" s="23">
        <v>0</v>
      </c>
      <c r="AQ51" s="23">
        <v>0</v>
      </c>
      <c r="AR51" s="35">
        <v>0</v>
      </c>
      <c r="AS51" s="35">
        <v>0</v>
      </c>
      <c r="AT51" s="35">
        <v>2</v>
      </c>
      <c r="AU51" s="31" t="str">
        <f t="shared" si="3"/>
        <v>库存为2</v>
      </c>
      <c r="AV51" s="36" t="str">
        <f>IFERROR(时间!$B$4+AU51,"上周无销量")</f>
        <v>上周无销量</v>
      </c>
    </row>
    <row r="52" spans="1:48">
      <c r="A52" s="21" t="s">
        <v>203</v>
      </c>
      <c r="B52" t="s">
        <v>204</v>
      </c>
      <c r="C52" t="s">
        <v>205</v>
      </c>
      <c r="D52" s="31">
        <v>1</v>
      </c>
      <c r="E52" s="31">
        <v>1</v>
      </c>
      <c r="F52" s="31">
        <v>1</v>
      </c>
      <c r="G52" s="31">
        <v>0</v>
      </c>
      <c r="H52" s="32">
        <v>84.99</v>
      </c>
      <c r="I52">
        <v>6</v>
      </c>
      <c r="J52" s="33">
        <v>0</v>
      </c>
      <c r="K52" s="33">
        <v>0</v>
      </c>
      <c r="L52" s="33">
        <v>0</v>
      </c>
      <c r="M52">
        <v>6</v>
      </c>
      <c r="N52">
        <v>0</v>
      </c>
      <c r="O52">
        <v>7</v>
      </c>
      <c r="P52">
        <v>26358</v>
      </c>
      <c r="Q52">
        <v>26528</v>
      </c>
      <c r="R52">
        <v>14504</v>
      </c>
      <c r="S52">
        <v>6917</v>
      </c>
      <c r="T52">
        <v>253</v>
      </c>
      <c r="U52">
        <v>255</v>
      </c>
      <c r="V52">
        <v>135</v>
      </c>
      <c r="W52">
        <v>69</v>
      </c>
      <c r="X52" s="23">
        <v>0.00959860383944154</v>
      </c>
      <c r="Y52" s="23">
        <v>0.00961248492159228</v>
      </c>
      <c r="Z52" s="23">
        <v>0.00930777716492002</v>
      </c>
      <c r="AA52" s="23">
        <v>0.00997542287118693</v>
      </c>
      <c r="AB52">
        <v>47.01</v>
      </c>
      <c r="AC52">
        <v>47.41</v>
      </c>
      <c r="AD52">
        <v>24.93</v>
      </c>
      <c r="AE52">
        <v>13.94</v>
      </c>
      <c r="AF52" s="23">
        <v>0.553123896929051</v>
      </c>
      <c r="AG52" s="23">
        <v>0.557830332980351</v>
      </c>
      <c r="AH52" s="23">
        <v>0.293328626897282</v>
      </c>
      <c r="AI52" s="23" t="s">
        <v>206</v>
      </c>
      <c r="AJ52">
        <v>204</v>
      </c>
      <c r="AK52">
        <v>99</v>
      </c>
      <c r="AL52">
        <v>98</v>
      </c>
      <c r="AM52">
        <v>34</v>
      </c>
      <c r="AN52" s="23">
        <v>0.00490196078431373</v>
      </c>
      <c r="AO52" s="23">
        <v>0.0101010101010101</v>
      </c>
      <c r="AP52" s="23">
        <v>0.0102040816326531</v>
      </c>
      <c r="AQ52" s="23">
        <v>0</v>
      </c>
      <c r="AR52" s="35">
        <v>0.142857142857143</v>
      </c>
      <c r="AS52" s="35">
        <v>8.57142857142857</v>
      </c>
      <c r="AT52" s="35">
        <v>-2.57142857142857</v>
      </c>
      <c r="AU52" s="31">
        <f t="shared" si="3"/>
        <v>42</v>
      </c>
      <c r="AV52" s="36">
        <f>IFERROR(时间!$B$4+AU52,"上周无销量")</f>
        <v>43367</v>
      </c>
    </row>
    <row r="53" spans="1:48">
      <c r="A53" s="21" t="s">
        <v>207</v>
      </c>
      <c r="B53" t="s">
        <v>208</v>
      </c>
      <c r="C53" t="s">
        <v>205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8</v>
      </c>
      <c r="J53" s="33">
        <v>0</v>
      </c>
      <c r="K53" s="33">
        <v>0</v>
      </c>
      <c r="L53" s="33">
        <v>0</v>
      </c>
      <c r="M53">
        <v>8</v>
      </c>
      <c r="N53">
        <v>1</v>
      </c>
      <c r="O53">
        <v>0</v>
      </c>
      <c r="P53">
        <v>27281</v>
      </c>
      <c r="Q53">
        <v>27376</v>
      </c>
      <c r="R53">
        <v>6482</v>
      </c>
      <c r="S53">
        <v>5168</v>
      </c>
      <c r="T53">
        <v>234</v>
      </c>
      <c r="U53">
        <v>234</v>
      </c>
      <c r="V53">
        <v>61</v>
      </c>
      <c r="W53">
        <v>39</v>
      </c>
      <c r="X53" s="23">
        <v>0.00857739818921594</v>
      </c>
      <c r="Y53" s="23">
        <v>0.00854763296317943</v>
      </c>
      <c r="Z53" s="23">
        <v>0.00941067571737118</v>
      </c>
      <c r="AA53" s="23">
        <v>0.00754643962848297</v>
      </c>
      <c r="AB53">
        <v>59.66</v>
      </c>
      <c r="AC53">
        <v>59.66</v>
      </c>
      <c r="AD53">
        <v>20.21</v>
      </c>
      <c r="AE53">
        <v>15.03</v>
      </c>
      <c r="AF53" s="23" t="s">
        <v>209</v>
      </c>
      <c r="AG53" s="23" t="s">
        <v>209</v>
      </c>
      <c r="AH53" s="23" t="s">
        <v>210</v>
      </c>
      <c r="AI53" s="23" t="s">
        <v>211</v>
      </c>
      <c r="AJ53">
        <v>36</v>
      </c>
      <c r="AK53">
        <v>76</v>
      </c>
      <c r="AL53">
        <v>67</v>
      </c>
      <c r="AM53">
        <v>52</v>
      </c>
      <c r="AN53" s="23">
        <v>0</v>
      </c>
      <c r="AO53" s="23">
        <v>0</v>
      </c>
      <c r="AP53" s="23">
        <v>0</v>
      </c>
      <c r="AQ53" s="23">
        <v>0</v>
      </c>
      <c r="AR53" s="35">
        <v>0</v>
      </c>
      <c r="AS53" s="35">
        <v>0</v>
      </c>
      <c r="AT53" s="35">
        <v>8</v>
      </c>
      <c r="AU53" s="31" t="str">
        <f t="shared" si="3"/>
        <v>库存为8</v>
      </c>
      <c r="AV53" s="36" t="str">
        <f>IFERROR(时间!$B$4+AU53,"上周无销量")</f>
        <v>上周无销量</v>
      </c>
    </row>
    <row r="54" spans="1:48">
      <c r="A54" s="21" t="s">
        <v>212</v>
      </c>
      <c r="B54" t="s">
        <v>213</v>
      </c>
      <c r="C54" t="s">
        <v>205</v>
      </c>
      <c r="D54" s="31">
        <v>6</v>
      </c>
      <c r="E54" s="31">
        <v>4</v>
      </c>
      <c r="F54" s="31">
        <v>9</v>
      </c>
      <c r="G54" s="31">
        <v>6</v>
      </c>
      <c r="H54" s="32">
        <v>85.99</v>
      </c>
      <c r="I54">
        <v>19</v>
      </c>
      <c r="J54" s="33">
        <v>11</v>
      </c>
      <c r="K54" s="33">
        <v>0</v>
      </c>
      <c r="L54" s="33">
        <v>11</v>
      </c>
      <c r="M54">
        <v>41</v>
      </c>
      <c r="N54">
        <v>0</v>
      </c>
      <c r="O54">
        <v>0</v>
      </c>
      <c r="P54">
        <v>395006</v>
      </c>
      <c r="Q54">
        <v>396870</v>
      </c>
      <c r="R54">
        <v>161494</v>
      </c>
      <c r="S54">
        <v>145566</v>
      </c>
      <c r="T54">
        <v>2233</v>
      </c>
      <c r="U54">
        <v>2239</v>
      </c>
      <c r="V54">
        <v>900</v>
      </c>
      <c r="W54">
        <v>734</v>
      </c>
      <c r="X54" s="23">
        <v>0.00565307868741234</v>
      </c>
      <c r="Y54" s="23">
        <v>0.0056416458790032</v>
      </c>
      <c r="Z54" s="23">
        <v>0.00557296246300172</v>
      </c>
      <c r="AA54" s="23">
        <v>0.00504238627151945</v>
      </c>
      <c r="AB54">
        <v>435.58</v>
      </c>
      <c r="AC54">
        <v>436.88</v>
      </c>
      <c r="AD54">
        <v>187.68</v>
      </c>
      <c r="AE54">
        <v>135.31</v>
      </c>
      <c r="AF54" s="23">
        <v>0.844245454897856</v>
      </c>
      <c r="AG54" s="23">
        <v>1.27014769159205</v>
      </c>
      <c r="AH54" s="23">
        <v>0.242508818854906</v>
      </c>
      <c r="AI54" s="23">
        <v>0.262259177423731</v>
      </c>
      <c r="AJ54">
        <v>677</v>
      </c>
      <c r="AK54">
        <v>944</v>
      </c>
      <c r="AL54">
        <v>868</v>
      </c>
      <c r="AM54">
        <v>656</v>
      </c>
      <c r="AN54" s="23">
        <v>0.00886262924667651</v>
      </c>
      <c r="AO54" s="23">
        <v>0.00423728813559322</v>
      </c>
      <c r="AP54" s="23">
        <v>0.01036866359447</v>
      </c>
      <c r="AQ54" s="23">
        <v>0.00914634146341463</v>
      </c>
      <c r="AR54" s="35">
        <v>0.857142857142857</v>
      </c>
      <c r="AS54" s="35">
        <v>51.4285714285714</v>
      </c>
      <c r="AT54" s="35">
        <v>-10.4285714285714</v>
      </c>
      <c r="AU54" s="31">
        <f t="shared" si="3"/>
        <v>47</v>
      </c>
      <c r="AV54" s="36">
        <f>IFERROR(时间!$B$4+AU54,"上周无销量")</f>
        <v>43372</v>
      </c>
    </row>
    <row r="55" spans="1:48">
      <c r="A55" s="21" t="s">
        <v>214</v>
      </c>
      <c r="B55" t="s">
        <v>215</v>
      </c>
      <c r="C55" t="s">
        <v>216</v>
      </c>
      <c r="D55" s="31">
        <v>1</v>
      </c>
      <c r="E55" s="31">
        <v>0</v>
      </c>
      <c r="F55" s="31">
        <v>0</v>
      </c>
      <c r="G55" s="31">
        <v>0</v>
      </c>
      <c r="H55" s="32">
        <v>79.99</v>
      </c>
      <c r="I55">
        <v>2</v>
      </c>
      <c r="J55" s="33">
        <v>0</v>
      </c>
      <c r="K55" s="33">
        <v>0</v>
      </c>
      <c r="L55" s="33">
        <v>0</v>
      </c>
      <c r="M55">
        <v>2</v>
      </c>
      <c r="N55">
        <v>0</v>
      </c>
      <c r="O55">
        <v>3</v>
      </c>
      <c r="P55">
        <v>63097</v>
      </c>
      <c r="Q55">
        <v>63123</v>
      </c>
      <c r="R55">
        <v>10601</v>
      </c>
      <c r="S55">
        <v>19024</v>
      </c>
      <c r="T55">
        <v>179</v>
      </c>
      <c r="U55">
        <v>180</v>
      </c>
      <c r="V55">
        <v>36</v>
      </c>
      <c r="W55">
        <v>38</v>
      </c>
      <c r="X55" s="23">
        <v>0.00283690191292771</v>
      </c>
      <c r="Y55" s="23">
        <v>0.00285157549546124</v>
      </c>
      <c r="Z55" s="23">
        <v>0.00339590604659938</v>
      </c>
      <c r="AA55" s="23">
        <v>0.00199747687132044</v>
      </c>
      <c r="AB55">
        <v>52.18</v>
      </c>
      <c r="AC55">
        <v>52.56</v>
      </c>
      <c r="AD55">
        <v>12.09</v>
      </c>
      <c r="AE55">
        <v>23.43</v>
      </c>
      <c r="AF55" s="23">
        <v>0.65233154144268</v>
      </c>
      <c r="AG55" s="23" t="s">
        <v>217</v>
      </c>
      <c r="AH55" s="23" t="s">
        <v>218</v>
      </c>
      <c r="AI55" s="23" t="s">
        <v>219</v>
      </c>
      <c r="AJ55">
        <v>20</v>
      </c>
      <c r="AK55">
        <v>21</v>
      </c>
      <c r="AL55">
        <v>26</v>
      </c>
      <c r="AM55">
        <v>27</v>
      </c>
      <c r="AN55" s="23">
        <v>0.05</v>
      </c>
      <c r="AO55" s="23">
        <v>0</v>
      </c>
      <c r="AP55" s="23">
        <v>0</v>
      </c>
      <c r="AQ55" s="23">
        <v>0</v>
      </c>
      <c r="AR55" s="35">
        <v>0.142857142857143</v>
      </c>
      <c r="AS55" s="35">
        <v>8.57142857142857</v>
      </c>
      <c r="AT55" s="35">
        <v>-6.57142857142857</v>
      </c>
      <c r="AU55" s="31">
        <f t="shared" si="3"/>
        <v>14</v>
      </c>
      <c r="AV55" s="36">
        <f>IFERROR(时间!$B$4+AU55,"上周无销量")</f>
        <v>43339</v>
      </c>
    </row>
    <row r="56" spans="1:48">
      <c r="A56" s="21" t="s">
        <v>220</v>
      </c>
      <c r="B56" t="s">
        <v>221</v>
      </c>
      <c r="C56" t="s">
        <v>222</v>
      </c>
      <c r="D56" s="31">
        <v>0</v>
      </c>
      <c r="E56" s="31">
        <v>1</v>
      </c>
      <c r="F56" s="31">
        <v>0</v>
      </c>
      <c r="G56" s="31">
        <v>0</v>
      </c>
      <c r="H56" s="32">
        <v>79.99</v>
      </c>
      <c r="I56">
        <v>2</v>
      </c>
      <c r="J56" s="33">
        <v>0</v>
      </c>
      <c r="K56" s="33">
        <v>0</v>
      </c>
      <c r="L56" s="33">
        <v>0</v>
      </c>
      <c r="M56">
        <v>2</v>
      </c>
      <c r="N56">
        <v>0</v>
      </c>
      <c r="O56">
        <v>2</v>
      </c>
      <c r="P56">
        <v>174599</v>
      </c>
      <c r="Q56">
        <v>174794</v>
      </c>
      <c r="R56">
        <v>22766</v>
      </c>
      <c r="S56">
        <v>37475</v>
      </c>
      <c r="T56">
        <v>463</v>
      </c>
      <c r="U56">
        <v>463</v>
      </c>
      <c r="V56">
        <v>82</v>
      </c>
      <c r="W56">
        <v>105</v>
      </c>
      <c r="X56" s="23">
        <v>0.00265179067463158</v>
      </c>
      <c r="Y56" s="23">
        <v>0.00264883233978283</v>
      </c>
      <c r="Z56" s="23">
        <v>0.00360186242642537</v>
      </c>
      <c r="AA56" s="23">
        <v>0.00280186791194129</v>
      </c>
      <c r="AB56">
        <v>76.69</v>
      </c>
      <c r="AC56">
        <v>76.69</v>
      </c>
      <c r="AD56">
        <v>11.06</v>
      </c>
      <c r="AE56">
        <v>27.58</v>
      </c>
      <c r="AF56" s="23" t="s">
        <v>223</v>
      </c>
      <c r="AG56" s="23">
        <v>0.958744843105388</v>
      </c>
      <c r="AH56" s="23" t="s">
        <v>224</v>
      </c>
      <c r="AI56" s="23" t="s">
        <v>225</v>
      </c>
      <c r="AJ56">
        <v>154</v>
      </c>
      <c r="AK56">
        <v>65</v>
      </c>
      <c r="AL56">
        <v>61</v>
      </c>
      <c r="AM56">
        <v>74</v>
      </c>
      <c r="AN56" s="23">
        <v>0</v>
      </c>
      <c r="AO56" s="23">
        <v>0.0153846153846154</v>
      </c>
      <c r="AP56" s="23">
        <v>0</v>
      </c>
      <c r="AQ56" s="23">
        <v>0</v>
      </c>
      <c r="AR56" s="35">
        <v>0</v>
      </c>
      <c r="AS56" s="35">
        <v>0</v>
      </c>
      <c r="AT56" s="35">
        <v>2</v>
      </c>
      <c r="AU56" s="31" t="str">
        <f t="shared" si="3"/>
        <v>库存为2</v>
      </c>
      <c r="AV56" s="36" t="str">
        <f>IFERROR(时间!$B$4+AU56,"上周无销量")</f>
        <v>上周无销量</v>
      </c>
    </row>
    <row r="57" spans="1:48">
      <c r="A57" s="21" t="s">
        <v>226</v>
      </c>
      <c r="B57" t="s">
        <v>227</v>
      </c>
      <c r="C57" t="s">
        <v>222</v>
      </c>
      <c r="D57" s="31">
        <v>1</v>
      </c>
      <c r="E57" s="31">
        <v>0</v>
      </c>
      <c r="F57" s="31">
        <v>0</v>
      </c>
      <c r="G57" s="31">
        <v>1</v>
      </c>
      <c r="H57" s="32">
        <v>89.99</v>
      </c>
      <c r="I57">
        <v>5</v>
      </c>
      <c r="J57" s="33">
        <v>0</v>
      </c>
      <c r="K57" s="33">
        <v>0</v>
      </c>
      <c r="L57" s="33">
        <v>0</v>
      </c>
      <c r="M57">
        <v>5</v>
      </c>
      <c r="N57">
        <v>0</v>
      </c>
      <c r="O57">
        <v>0</v>
      </c>
      <c r="P57">
        <v>82899</v>
      </c>
      <c r="Q57">
        <v>83037</v>
      </c>
      <c r="R57">
        <v>13914</v>
      </c>
      <c r="S57">
        <v>37164</v>
      </c>
      <c r="T57">
        <v>294</v>
      </c>
      <c r="U57">
        <v>294</v>
      </c>
      <c r="V57">
        <v>50</v>
      </c>
      <c r="W57">
        <v>59</v>
      </c>
      <c r="X57" s="23">
        <v>0.00354648427604676</v>
      </c>
      <c r="Y57" s="23">
        <v>0.00354059033924636</v>
      </c>
      <c r="Z57" s="23">
        <v>0.00359350294667242</v>
      </c>
      <c r="AA57" s="23">
        <v>0.00158755785168443</v>
      </c>
      <c r="AB57">
        <v>85.38</v>
      </c>
      <c r="AC57">
        <v>85.38</v>
      </c>
      <c r="AD57">
        <v>16.37</v>
      </c>
      <c r="AE57">
        <v>37.71</v>
      </c>
      <c r="AF57" s="23">
        <v>0.94877208578731</v>
      </c>
      <c r="AG57" s="23" t="s">
        <v>228</v>
      </c>
      <c r="AH57" s="23" t="s">
        <v>229</v>
      </c>
      <c r="AI57" s="23">
        <v>0.41904656072897</v>
      </c>
      <c r="AJ57">
        <v>48</v>
      </c>
      <c r="AK57">
        <v>59</v>
      </c>
      <c r="AL57">
        <v>89</v>
      </c>
      <c r="AM57">
        <v>75</v>
      </c>
      <c r="AN57" s="23">
        <v>0.0208333333333333</v>
      </c>
      <c r="AO57" s="23">
        <v>0</v>
      </c>
      <c r="AP57" s="23">
        <v>0</v>
      </c>
      <c r="AQ57" s="23">
        <v>0.0133333333333333</v>
      </c>
      <c r="AR57" s="35">
        <v>0.142857142857143</v>
      </c>
      <c r="AS57" s="35">
        <v>8.57142857142857</v>
      </c>
      <c r="AT57" s="35">
        <v>-3.57142857142857</v>
      </c>
      <c r="AU57" s="31">
        <f t="shared" si="3"/>
        <v>35</v>
      </c>
      <c r="AV57" s="36">
        <f>IFERROR(时间!$B$4+AU57,"上周无销量")</f>
        <v>43360</v>
      </c>
    </row>
    <row r="58" spans="1:48">
      <c r="A58" s="21" t="s">
        <v>230</v>
      </c>
      <c r="B58" t="s">
        <v>231</v>
      </c>
      <c r="C58" t="s">
        <v>232</v>
      </c>
      <c r="D58" s="31">
        <v>0</v>
      </c>
      <c r="E58" s="31">
        <v>1</v>
      </c>
      <c r="F58" s="31">
        <v>4</v>
      </c>
      <c r="G58" s="31">
        <v>2</v>
      </c>
      <c r="H58" s="32">
        <v>99.99</v>
      </c>
      <c r="I58">
        <v>5</v>
      </c>
      <c r="J58" s="33">
        <v>0</v>
      </c>
      <c r="K58" s="33">
        <v>0</v>
      </c>
      <c r="L58" s="33">
        <v>0</v>
      </c>
      <c r="M58">
        <v>5</v>
      </c>
      <c r="N58">
        <v>0</v>
      </c>
      <c r="O58">
        <v>0</v>
      </c>
      <c r="P58">
        <v>73447</v>
      </c>
      <c r="Q58">
        <v>73628</v>
      </c>
      <c r="R58">
        <v>22078</v>
      </c>
      <c r="S58">
        <v>9213</v>
      </c>
      <c r="T58">
        <v>350</v>
      </c>
      <c r="U58">
        <v>353</v>
      </c>
      <c r="V58">
        <v>87</v>
      </c>
      <c r="W58">
        <v>45</v>
      </c>
      <c r="X58" s="23">
        <v>0.00476534099418628</v>
      </c>
      <c r="Y58" s="23">
        <v>0.00479437170641604</v>
      </c>
      <c r="Z58" s="23">
        <v>0.00394057432738473</v>
      </c>
      <c r="AA58" s="23">
        <v>0.00488440247476392</v>
      </c>
      <c r="AB58">
        <v>88.57</v>
      </c>
      <c r="AC58">
        <v>89.77</v>
      </c>
      <c r="AD58">
        <v>27.09</v>
      </c>
      <c r="AE58">
        <v>23.3</v>
      </c>
      <c r="AF58" s="23" t="s">
        <v>233</v>
      </c>
      <c r="AG58" s="23">
        <v>0.897789778977898</v>
      </c>
      <c r="AH58" s="23">
        <v>0.0677317731773177</v>
      </c>
      <c r="AI58" s="23">
        <v>0.116511651165117</v>
      </c>
      <c r="AJ58">
        <v>90</v>
      </c>
      <c r="AK58">
        <v>144</v>
      </c>
      <c r="AL58">
        <v>120</v>
      </c>
      <c r="AM58">
        <v>57</v>
      </c>
      <c r="AN58" s="23">
        <v>0</v>
      </c>
      <c r="AO58" s="23">
        <v>0.00694444444444444</v>
      </c>
      <c r="AP58" s="23">
        <v>0.0333333333333333</v>
      </c>
      <c r="AQ58" s="23">
        <v>0.0350877192982456</v>
      </c>
      <c r="AR58" s="35">
        <v>0</v>
      </c>
      <c r="AS58" s="35">
        <v>0</v>
      </c>
      <c r="AT58" s="35">
        <v>5</v>
      </c>
      <c r="AU58" s="31" t="str">
        <f t="shared" si="3"/>
        <v>库存为5</v>
      </c>
      <c r="AV58" s="36" t="str">
        <f>IFERROR(时间!$B$4+AU58,"上周无销量")</f>
        <v>上周无销量</v>
      </c>
    </row>
    <row r="59" spans="1:48">
      <c r="A59" s="21" t="s">
        <v>234</v>
      </c>
      <c r="B59" t="s">
        <v>235</v>
      </c>
      <c r="C59" t="s">
        <v>232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5</v>
      </c>
      <c r="J59" s="33">
        <v>0</v>
      </c>
      <c r="K59" s="33">
        <v>0</v>
      </c>
      <c r="L59" s="33">
        <v>0</v>
      </c>
      <c r="M59">
        <v>5</v>
      </c>
      <c r="N59">
        <v>0</v>
      </c>
      <c r="O59">
        <v>0</v>
      </c>
      <c r="P59" t="s">
        <v>57</v>
      </c>
      <c r="Q59" t="s">
        <v>57</v>
      </c>
      <c r="R59" t="s">
        <v>57</v>
      </c>
      <c r="S59" t="s">
        <v>57</v>
      </c>
      <c r="T59" t="s">
        <v>57</v>
      </c>
      <c r="U59" t="s">
        <v>57</v>
      </c>
      <c r="V59" t="s">
        <v>57</v>
      </c>
      <c r="W59" t="s">
        <v>57</v>
      </c>
      <c r="X59" s="23" t="s">
        <v>57</v>
      </c>
      <c r="Y59" s="23" t="s">
        <v>57</v>
      </c>
      <c r="Z59" s="23" t="s">
        <v>57</v>
      </c>
      <c r="AA59" s="23" t="s">
        <v>57</v>
      </c>
      <c r="AB59" t="s">
        <v>57</v>
      </c>
      <c r="AC59" t="s">
        <v>57</v>
      </c>
      <c r="AD59" t="s">
        <v>57</v>
      </c>
      <c r="AE59" t="s">
        <v>57</v>
      </c>
      <c r="AF59" s="23" t="s">
        <v>57</v>
      </c>
      <c r="AG59" s="23" t="s">
        <v>57</v>
      </c>
      <c r="AH59" s="23" t="s">
        <v>57</v>
      </c>
      <c r="AI59" s="23" t="s">
        <v>57</v>
      </c>
      <c r="AJ59">
        <v>10</v>
      </c>
      <c r="AK59">
        <v>18</v>
      </c>
      <c r="AL59">
        <v>42</v>
      </c>
      <c r="AM59">
        <v>77</v>
      </c>
      <c r="AN59" s="23">
        <v>0</v>
      </c>
      <c r="AO59" s="23">
        <v>0</v>
      </c>
      <c r="AP59" s="23">
        <v>0</v>
      </c>
      <c r="AQ59" s="23">
        <v>0</v>
      </c>
      <c r="AR59" s="35">
        <v>0</v>
      </c>
      <c r="AS59" s="35">
        <v>0</v>
      </c>
      <c r="AT59" s="35">
        <v>5</v>
      </c>
      <c r="AU59" s="31" t="str">
        <f t="shared" si="3"/>
        <v>库存为5</v>
      </c>
      <c r="AV59" s="36" t="str">
        <f>IFERROR(时间!$B$4+AU59,"上周无销量")</f>
        <v>上周无销量</v>
      </c>
    </row>
    <row r="60" spans="1:48">
      <c r="A60" s="21" t="s">
        <v>236</v>
      </c>
      <c r="B60" t="s">
        <v>237</v>
      </c>
      <c r="C60" t="s">
        <v>238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3</v>
      </c>
      <c r="J60" s="33">
        <v>0</v>
      </c>
      <c r="K60" s="33">
        <v>0</v>
      </c>
      <c r="L60" s="33">
        <v>0</v>
      </c>
      <c r="M60">
        <v>3</v>
      </c>
      <c r="N60">
        <v>0</v>
      </c>
      <c r="O60">
        <v>3</v>
      </c>
      <c r="P60">
        <v>322313</v>
      </c>
      <c r="Q60">
        <v>322318</v>
      </c>
      <c r="R60">
        <v>669</v>
      </c>
      <c r="S60">
        <v>2303</v>
      </c>
      <c r="T60">
        <v>792</v>
      </c>
      <c r="U60">
        <v>792</v>
      </c>
      <c r="V60">
        <v>8</v>
      </c>
      <c r="W60">
        <v>19</v>
      </c>
      <c r="X60" s="23">
        <v>0.00245723877100831</v>
      </c>
      <c r="Y60" s="23">
        <v>0.00245720065277149</v>
      </c>
      <c r="Z60" s="23">
        <v>0.0119581464872945</v>
      </c>
      <c r="AA60" s="23">
        <v>0.00825010855405992</v>
      </c>
      <c r="AB60">
        <v>202.38</v>
      </c>
      <c r="AC60">
        <v>202.38</v>
      </c>
      <c r="AD60">
        <v>1.22</v>
      </c>
      <c r="AE60">
        <v>3.85</v>
      </c>
      <c r="AF60" s="23" t="s">
        <v>239</v>
      </c>
      <c r="AG60" s="23" t="s">
        <v>239</v>
      </c>
      <c r="AH60" s="23" t="s">
        <v>240</v>
      </c>
      <c r="AI60" s="23" t="s">
        <v>241</v>
      </c>
      <c r="AJ60">
        <v>67</v>
      </c>
      <c r="AK60">
        <v>42</v>
      </c>
      <c r="AL60">
        <v>22</v>
      </c>
      <c r="AM60">
        <v>34</v>
      </c>
      <c r="AN60" s="23">
        <v>0</v>
      </c>
      <c r="AO60" s="23">
        <v>0</v>
      </c>
      <c r="AP60" s="23">
        <v>0</v>
      </c>
      <c r="AQ60" s="23">
        <v>0</v>
      </c>
      <c r="AR60" s="35">
        <v>0</v>
      </c>
      <c r="AS60" s="35">
        <v>0</v>
      </c>
      <c r="AT60" s="35">
        <v>3</v>
      </c>
      <c r="AU60" s="31" t="str">
        <f t="shared" si="3"/>
        <v>库存为3</v>
      </c>
      <c r="AV60" s="36" t="str">
        <f>IFERROR(时间!$B$4+AU60,"上周无销量")</f>
        <v>上周无销量</v>
      </c>
    </row>
    <row r="61" spans="1:48">
      <c r="A61" s="21" t="s">
        <v>242</v>
      </c>
      <c r="B61" t="s">
        <v>243</v>
      </c>
      <c r="C61" t="s">
        <v>244</v>
      </c>
      <c r="D61" s="31">
        <v>0</v>
      </c>
      <c r="E61" s="31">
        <v>0</v>
      </c>
      <c r="F61" s="31">
        <v>1</v>
      </c>
      <c r="G61" s="31">
        <v>0</v>
      </c>
      <c r="H61" s="32">
        <v>99.6</v>
      </c>
      <c r="I61">
        <v>26</v>
      </c>
      <c r="J61" s="33">
        <v>0</v>
      </c>
      <c r="K61" s="33">
        <v>0</v>
      </c>
      <c r="L61" s="33">
        <v>0</v>
      </c>
      <c r="M61">
        <v>26</v>
      </c>
      <c r="N61">
        <v>1</v>
      </c>
      <c r="O61">
        <v>0</v>
      </c>
      <c r="P61" t="s">
        <v>57</v>
      </c>
      <c r="Q61" t="s">
        <v>57</v>
      </c>
      <c r="R61" t="s">
        <v>57</v>
      </c>
      <c r="S61" t="s">
        <v>57</v>
      </c>
      <c r="T61" t="s">
        <v>57</v>
      </c>
      <c r="U61" t="s">
        <v>57</v>
      </c>
      <c r="V61" t="s">
        <v>57</v>
      </c>
      <c r="W61" t="s">
        <v>57</v>
      </c>
      <c r="X61" s="23" t="s">
        <v>57</v>
      </c>
      <c r="Y61" s="23" t="s">
        <v>57</v>
      </c>
      <c r="Z61" s="23" t="s">
        <v>57</v>
      </c>
      <c r="AA61" s="23" t="s">
        <v>57</v>
      </c>
      <c r="AB61" t="s">
        <v>57</v>
      </c>
      <c r="AC61" t="s">
        <v>57</v>
      </c>
      <c r="AD61" t="s">
        <v>57</v>
      </c>
      <c r="AE61" t="s">
        <v>57</v>
      </c>
      <c r="AF61" s="23" t="s">
        <v>57</v>
      </c>
      <c r="AG61" s="23" t="s">
        <v>57</v>
      </c>
      <c r="AH61" s="23" t="s">
        <v>57</v>
      </c>
      <c r="AI61" s="23" t="s">
        <v>57</v>
      </c>
      <c r="AJ61">
        <v>37</v>
      </c>
      <c r="AK61">
        <v>31</v>
      </c>
      <c r="AL61">
        <v>31</v>
      </c>
      <c r="AM61">
        <v>25</v>
      </c>
      <c r="AN61" s="23">
        <v>0</v>
      </c>
      <c r="AO61" s="23">
        <v>0</v>
      </c>
      <c r="AP61" s="23">
        <v>0.032258064516129</v>
      </c>
      <c r="AQ61" s="23">
        <v>0</v>
      </c>
      <c r="AR61" s="35">
        <v>0</v>
      </c>
      <c r="AS61" s="35">
        <v>0</v>
      </c>
      <c r="AT61" s="35">
        <v>26</v>
      </c>
      <c r="AU61" s="31" t="str">
        <f t="shared" si="3"/>
        <v>库存为26</v>
      </c>
      <c r="AV61" s="36" t="str">
        <f>IFERROR(时间!$B$4+AU61,"上周无销量")</f>
        <v>上周无销量</v>
      </c>
    </row>
    <row r="62" spans="1:48">
      <c r="A62" s="21" t="s">
        <v>245</v>
      </c>
      <c r="B62" t="s">
        <v>246</v>
      </c>
      <c r="C62" t="s">
        <v>247</v>
      </c>
      <c r="D62" s="31">
        <v>3</v>
      </c>
      <c r="E62" s="31">
        <v>2</v>
      </c>
      <c r="F62" s="31">
        <v>0</v>
      </c>
      <c r="G62" s="31">
        <v>0</v>
      </c>
      <c r="H62" s="32">
        <v>69.99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2</v>
      </c>
      <c r="P62" t="s">
        <v>57</v>
      </c>
      <c r="Q62" t="s">
        <v>57</v>
      </c>
      <c r="R62" t="s">
        <v>57</v>
      </c>
      <c r="S62" t="s">
        <v>57</v>
      </c>
      <c r="T62" t="s">
        <v>57</v>
      </c>
      <c r="U62" t="s">
        <v>57</v>
      </c>
      <c r="V62" t="s">
        <v>57</v>
      </c>
      <c r="W62" t="s">
        <v>57</v>
      </c>
      <c r="X62" s="23" t="s">
        <v>57</v>
      </c>
      <c r="Y62" s="23" t="s">
        <v>57</v>
      </c>
      <c r="Z62" s="23" t="s">
        <v>57</v>
      </c>
      <c r="AA62" s="23" t="s">
        <v>57</v>
      </c>
      <c r="AB62" t="s">
        <v>57</v>
      </c>
      <c r="AC62" t="s">
        <v>57</v>
      </c>
      <c r="AD62" t="s">
        <v>57</v>
      </c>
      <c r="AE62" t="s">
        <v>57</v>
      </c>
      <c r="AF62" s="23" t="s">
        <v>57</v>
      </c>
      <c r="AG62" s="23" t="s">
        <v>57</v>
      </c>
      <c r="AH62" s="23" t="s">
        <v>57</v>
      </c>
      <c r="AI62" s="23" t="s">
        <v>57</v>
      </c>
      <c r="AJ62">
        <v>82</v>
      </c>
      <c r="AK62">
        <v>34</v>
      </c>
      <c r="AL62">
        <v>20</v>
      </c>
      <c r="AM62">
        <v>11</v>
      </c>
      <c r="AN62" s="23">
        <v>0.0365853658536585</v>
      </c>
      <c r="AO62" s="23">
        <v>0.0588235294117647</v>
      </c>
      <c r="AP62" s="23">
        <v>0</v>
      </c>
      <c r="AQ62" s="23">
        <v>0</v>
      </c>
      <c r="AR62" s="35">
        <v>0.428571428571429</v>
      </c>
      <c r="AS62" s="35">
        <v>25.7142857142857</v>
      </c>
      <c r="AT62" s="35">
        <v>-25.7142857142857</v>
      </c>
      <c r="AU62" s="31">
        <f t="shared" si="3"/>
        <v>0</v>
      </c>
      <c r="AV62" s="36">
        <f>IFERROR(时间!$B$4+AU62,"上周无销量")</f>
        <v>43325</v>
      </c>
    </row>
    <row r="63" spans="1:48">
      <c r="A63" s="21" t="s">
        <v>248</v>
      </c>
      <c r="B63" t="s">
        <v>249</v>
      </c>
      <c r="C63" t="s">
        <v>247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>
        <v>152059</v>
      </c>
      <c r="Q63">
        <v>152059</v>
      </c>
      <c r="R63">
        <v>0</v>
      </c>
      <c r="S63">
        <v>0</v>
      </c>
      <c r="T63">
        <v>544</v>
      </c>
      <c r="U63">
        <v>544</v>
      </c>
      <c r="V63">
        <v>0</v>
      </c>
      <c r="W63">
        <v>0</v>
      </c>
      <c r="X63" s="23">
        <v>0.00357755871076359</v>
      </c>
      <c r="Y63" s="23">
        <v>0.00357755871076359</v>
      </c>
      <c r="Z63" s="23" t="s">
        <v>57</v>
      </c>
      <c r="AA63" s="23" t="s">
        <v>57</v>
      </c>
      <c r="AB63">
        <v>88.02</v>
      </c>
      <c r="AC63">
        <v>88.02</v>
      </c>
      <c r="AD63">
        <v>0</v>
      </c>
      <c r="AE63">
        <v>0</v>
      </c>
      <c r="AF63" s="23" t="s">
        <v>250</v>
      </c>
      <c r="AG63" s="23" t="s">
        <v>250</v>
      </c>
      <c r="AH63" s="23" t="s">
        <v>57</v>
      </c>
      <c r="AI63" s="23" t="s">
        <v>57</v>
      </c>
      <c r="AJ63">
        <v>47</v>
      </c>
      <c r="AK63">
        <v>41</v>
      </c>
      <c r="AL63">
        <v>26</v>
      </c>
      <c r="AM63">
        <v>43</v>
      </c>
      <c r="AN63" s="23">
        <v>0</v>
      </c>
      <c r="AO63" s="23">
        <v>0</v>
      </c>
      <c r="AP63" s="23">
        <v>0</v>
      </c>
      <c r="AQ63" s="23">
        <v>0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1" t="s">
        <v>251</v>
      </c>
      <c r="B64" t="s">
        <v>252</v>
      </c>
      <c r="C64" t="s">
        <v>253</v>
      </c>
      <c r="D64" s="31">
        <v>0</v>
      </c>
      <c r="E64" s="31">
        <v>1</v>
      </c>
      <c r="F64" s="31">
        <v>0</v>
      </c>
      <c r="G64" s="31">
        <v>2</v>
      </c>
      <c r="H64" s="32">
        <v>85.99</v>
      </c>
      <c r="I64">
        <v>6</v>
      </c>
      <c r="J64" s="33">
        <v>5</v>
      </c>
      <c r="K64" s="33">
        <v>0</v>
      </c>
      <c r="L64" s="33">
        <v>0</v>
      </c>
      <c r="M64">
        <v>11</v>
      </c>
      <c r="N64">
        <v>0</v>
      </c>
      <c r="O64">
        <v>0</v>
      </c>
      <c r="P64">
        <v>62824</v>
      </c>
      <c r="Q64">
        <v>62955</v>
      </c>
      <c r="R64">
        <v>16167</v>
      </c>
      <c r="S64">
        <v>23445</v>
      </c>
      <c r="T64">
        <v>283</v>
      </c>
      <c r="U64">
        <v>284</v>
      </c>
      <c r="V64">
        <v>63</v>
      </c>
      <c r="W64">
        <v>117</v>
      </c>
      <c r="X64" s="23">
        <v>0.00450464790525914</v>
      </c>
      <c r="Y64" s="23">
        <v>0.00451115876419665</v>
      </c>
      <c r="Z64" s="23">
        <v>0.00389682686954908</v>
      </c>
      <c r="AA64" s="23">
        <v>0.00499040307101727</v>
      </c>
      <c r="AB64">
        <v>57.21</v>
      </c>
      <c r="AC64">
        <v>57.36</v>
      </c>
      <c r="AD64">
        <v>11.85</v>
      </c>
      <c r="AE64">
        <v>25.58</v>
      </c>
      <c r="AF64" s="23" t="s">
        <v>254</v>
      </c>
      <c r="AG64" s="23">
        <v>0.66705430864054</v>
      </c>
      <c r="AH64" s="23" t="s">
        <v>255</v>
      </c>
      <c r="AI64" s="23">
        <v>0.148738225375044</v>
      </c>
      <c r="AJ64">
        <v>106</v>
      </c>
      <c r="AK64">
        <v>71</v>
      </c>
      <c r="AL64">
        <v>81</v>
      </c>
      <c r="AM64">
        <v>107</v>
      </c>
      <c r="AN64" s="23">
        <v>0</v>
      </c>
      <c r="AO64" s="23">
        <v>0.0140845070422535</v>
      </c>
      <c r="AP64" s="23">
        <v>0</v>
      </c>
      <c r="AQ64" s="23">
        <v>0.0186915887850467</v>
      </c>
      <c r="AR64" s="35">
        <v>0</v>
      </c>
      <c r="AS64" s="35">
        <v>0</v>
      </c>
      <c r="AT64" s="35">
        <v>11</v>
      </c>
      <c r="AU64" s="31" t="str">
        <f t="shared" si="3"/>
        <v>库存为11</v>
      </c>
      <c r="AV64" s="36" t="str">
        <f>IFERROR(时间!$B$4+AU64,"上周无销量")</f>
        <v>上周无销量</v>
      </c>
    </row>
    <row r="65" spans="1:48">
      <c r="A65" s="21" t="s">
        <v>256</v>
      </c>
      <c r="B65" t="s">
        <v>257</v>
      </c>
      <c r="C65" t="s">
        <v>258</v>
      </c>
      <c r="D65" s="31">
        <v>2</v>
      </c>
      <c r="E65" s="31">
        <v>0</v>
      </c>
      <c r="F65" s="31">
        <v>1</v>
      </c>
      <c r="G65" s="31">
        <v>3</v>
      </c>
      <c r="H65" s="32">
        <v>89.99</v>
      </c>
      <c r="I65">
        <v>4</v>
      </c>
      <c r="J65" s="33">
        <v>5</v>
      </c>
      <c r="K65" s="33">
        <v>0</v>
      </c>
      <c r="L65" s="33">
        <v>0</v>
      </c>
      <c r="M65">
        <v>9</v>
      </c>
      <c r="N65">
        <v>0</v>
      </c>
      <c r="O65">
        <v>0</v>
      </c>
      <c r="P65">
        <v>151772</v>
      </c>
      <c r="Q65">
        <v>152205</v>
      </c>
      <c r="R65">
        <v>25990</v>
      </c>
      <c r="S65">
        <v>64599</v>
      </c>
      <c r="T65">
        <v>697</v>
      </c>
      <c r="U65">
        <v>697</v>
      </c>
      <c r="V65">
        <v>114</v>
      </c>
      <c r="W65">
        <v>251</v>
      </c>
      <c r="X65" s="23">
        <v>0.00459241493819677</v>
      </c>
      <c r="Y65" s="23">
        <v>0.00457935021845537</v>
      </c>
      <c r="Z65" s="23">
        <v>0.00438630242400923</v>
      </c>
      <c r="AA65" s="23">
        <v>0.0038855090636078</v>
      </c>
      <c r="AB65">
        <v>142.57</v>
      </c>
      <c r="AC65">
        <v>142.57</v>
      </c>
      <c r="AD65">
        <v>17.43</v>
      </c>
      <c r="AE65">
        <v>75.46</v>
      </c>
      <c r="AF65" s="23">
        <v>0.792143571507945</v>
      </c>
      <c r="AG65" s="23" t="s">
        <v>259</v>
      </c>
      <c r="AH65" s="23">
        <v>0.193688187576397</v>
      </c>
      <c r="AI65" s="23">
        <v>0.279512538430196</v>
      </c>
      <c r="AJ65">
        <v>303</v>
      </c>
      <c r="AK65">
        <v>225</v>
      </c>
      <c r="AL65">
        <v>110</v>
      </c>
      <c r="AM65">
        <v>258</v>
      </c>
      <c r="AN65" s="23">
        <v>0.0066006600660066</v>
      </c>
      <c r="AO65" s="23">
        <v>0</v>
      </c>
      <c r="AP65" s="23">
        <v>0.00909090909090909</v>
      </c>
      <c r="AQ65" s="23">
        <v>0.0116279069767442</v>
      </c>
      <c r="AR65" s="35">
        <v>0.285714285714286</v>
      </c>
      <c r="AS65" s="35">
        <v>17.1428571428571</v>
      </c>
      <c r="AT65" s="35">
        <v>-8.14285714285714</v>
      </c>
      <c r="AU65" s="31">
        <f t="shared" si="3"/>
        <v>31</v>
      </c>
      <c r="AV65" s="36">
        <f>IFERROR(时间!$B$4+AU65,"上周无销量")</f>
        <v>43356</v>
      </c>
    </row>
    <row r="66" spans="1:48">
      <c r="A66" s="21" t="s">
        <v>260</v>
      </c>
      <c r="B66" t="s">
        <v>249</v>
      </c>
      <c r="C66" t="s">
        <v>258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6</v>
      </c>
      <c r="J66" s="33">
        <v>0</v>
      </c>
      <c r="K66" s="33">
        <v>0</v>
      </c>
      <c r="L66" s="33">
        <v>0</v>
      </c>
      <c r="M66">
        <v>6</v>
      </c>
      <c r="N66">
        <v>0</v>
      </c>
      <c r="O66">
        <v>0</v>
      </c>
      <c r="P66" t="s">
        <v>57</v>
      </c>
      <c r="Q66" t="s">
        <v>57</v>
      </c>
      <c r="R66" t="s">
        <v>57</v>
      </c>
      <c r="S66" t="s">
        <v>57</v>
      </c>
      <c r="T66" t="s">
        <v>57</v>
      </c>
      <c r="U66" t="s">
        <v>57</v>
      </c>
      <c r="V66" t="s">
        <v>57</v>
      </c>
      <c r="W66" t="s">
        <v>57</v>
      </c>
      <c r="X66" s="23" t="s">
        <v>57</v>
      </c>
      <c r="Y66" s="23" t="s">
        <v>57</v>
      </c>
      <c r="Z66" s="23" t="s">
        <v>57</v>
      </c>
      <c r="AA66" s="23" t="s">
        <v>57</v>
      </c>
      <c r="AB66" t="s">
        <v>57</v>
      </c>
      <c r="AC66" t="s">
        <v>57</v>
      </c>
      <c r="AD66" t="s">
        <v>57</v>
      </c>
      <c r="AE66" t="s">
        <v>57</v>
      </c>
      <c r="AF66" s="23" t="s">
        <v>57</v>
      </c>
      <c r="AG66" s="23" t="s">
        <v>57</v>
      </c>
      <c r="AH66" s="23" t="s">
        <v>57</v>
      </c>
      <c r="AI66" s="23" t="s">
        <v>57</v>
      </c>
      <c r="AJ66">
        <v>47</v>
      </c>
      <c r="AK66">
        <v>41</v>
      </c>
      <c r="AL66">
        <v>26</v>
      </c>
      <c r="AM66">
        <v>43</v>
      </c>
      <c r="AN66" s="23">
        <v>0</v>
      </c>
      <c r="AO66" s="23">
        <v>0</v>
      </c>
      <c r="AP66" s="23">
        <v>0</v>
      </c>
      <c r="AQ66" s="23">
        <v>0</v>
      </c>
      <c r="AR66" s="35">
        <v>0</v>
      </c>
      <c r="AS66" s="35">
        <v>0</v>
      </c>
      <c r="AT66" s="35">
        <v>6</v>
      </c>
      <c r="AU66" s="31" t="str">
        <f t="shared" si="3"/>
        <v>库存为6</v>
      </c>
      <c r="AV66" s="36" t="str">
        <f>IFERROR(时间!$B$4+AU66,"上周无销量")</f>
        <v>上周无销量</v>
      </c>
    </row>
    <row r="67" spans="1:48">
      <c r="A67" s="21" t="s">
        <v>261</v>
      </c>
      <c r="B67" t="s">
        <v>262</v>
      </c>
      <c r="C67" t="s">
        <v>263</v>
      </c>
      <c r="D67" s="31">
        <v>0</v>
      </c>
      <c r="E67" s="31">
        <v>0</v>
      </c>
      <c r="F67" s="31">
        <v>0</v>
      </c>
      <c r="G67" s="31">
        <v>1</v>
      </c>
      <c r="H67" s="32">
        <v>79.99</v>
      </c>
      <c r="I67">
        <v>3</v>
      </c>
      <c r="J67" s="33">
        <v>0</v>
      </c>
      <c r="K67" s="33">
        <v>0</v>
      </c>
      <c r="L67" s="33">
        <v>0</v>
      </c>
      <c r="M67">
        <v>3</v>
      </c>
      <c r="N67">
        <v>0</v>
      </c>
      <c r="O67">
        <v>0</v>
      </c>
      <c r="P67">
        <v>2394</v>
      </c>
      <c r="Q67">
        <v>2404</v>
      </c>
      <c r="R67">
        <v>2210</v>
      </c>
      <c r="S67">
        <v>0</v>
      </c>
      <c r="T67">
        <v>31</v>
      </c>
      <c r="U67">
        <v>32</v>
      </c>
      <c r="V67">
        <v>28</v>
      </c>
      <c r="W67">
        <v>0</v>
      </c>
      <c r="X67" s="23">
        <v>0.0129490392648287</v>
      </c>
      <c r="Y67" s="23">
        <v>0.0133111480865225</v>
      </c>
      <c r="Z67" s="23">
        <v>0.0126696832579186</v>
      </c>
      <c r="AA67" s="23" t="s">
        <v>57</v>
      </c>
      <c r="AB67">
        <v>7.94</v>
      </c>
      <c r="AC67">
        <v>8.23</v>
      </c>
      <c r="AD67">
        <v>7.07</v>
      </c>
      <c r="AE67">
        <v>0</v>
      </c>
      <c r="AF67" s="23" t="s">
        <v>264</v>
      </c>
      <c r="AG67" s="23" t="s">
        <v>265</v>
      </c>
      <c r="AH67" s="23" t="s">
        <v>266</v>
      </c>
      <c r="AI67" s="23" t="s">
        <v>57</v>
      </c>
      <c r="AJ67">
        <v>137</v>
      </c>
      <c r="AK67">
        <v>28</v>
      </c>
      <c r="AL67">
        <v>41</v>
      </c>
      <c r="AM67">
        <v>9</v>
      </c>
      <c r="AN67" s="23">
        <v>0</v>
      </c>
      <c r="AO67" s="23">
        <v>0</v>
      </c>
      <c r="AP67" s="23">
        <v>0</v>
      </c>
      <c r="AQ67" s="23">
        <v>0.111111111111111</v>
      </c>
      <c r="AR67" s="35">
        <v>0</v>
      </c>
      <c r="AS67" s="35">
        <v>0</v>
      </c>
      <c r="AT67" s="35">
        <v>3</v>
      </c>
      <c r="AU67" s="31" t="str">
        <f t="shared" si="3"/>
        <v>库存为3</v>
      </c>
      <c r="AV67" s="36" t="str">
        <f>IFERROR(时间!$B$4+AU67,"上周无销量")</f>
        <v>上周无销量</v>
      </c>
    </row>
    <row r="68" spans="1:48">
      <c r="A68" s="21" t="s">
        <v>267</v>
      </c>
      <c r="B68" t="s">
        <v>268</v>
      </c>
      <c r="C68" t="s">
        <v>263</v>
      </c>
      <c r="D68" s="31">
        <v>0</v>
      </c>
      <c r="E68" s="31">
        <v>1</v>
      </c>
      <c r="F68" s="31">
        <v>0</v>
      </c>
      <c r="G68" s="31">
        <v>0</v>
      </c>
      <c r="H68" s="32">
        <v>79.99</v>
      </c>
      <c r="I68">
        <v>2</v>
      </c>
      <c r="J68" s="33">
        <v>0</v>
      </c>
      <c r="K68" s="33">
        <v>0</v>
      </c>
      <c r="L68" s="33">
        <v>0</v>
      </c>
      <c r="M68">
        <v>2</v>
      </c>
      <c r="N68">
        <v>0</v>
      </c>
      <c r="O68">
        <v>0</v>
      </c>
      <c r="P68" t="s">
        <v>57</v>
      </c>
      <c r="Q68" t="s">
        <v>57</v>
      </c>
      <c r="R68" t="s">
        <v>57</v>
      </c>
      <c r="S68" t="s">
        <v>57</v>
      </c>
      <c r="T68" t="s">
        <v>57</v>
      </c>
      <c r="U68" t="s">
        <v>57</v>
      </c>
      <c r="V68" t="s">
        <v>57</v>
      </c>
      <c r="W68" t="s">
        <v>57</v>
      </c>
      <c r="X68" s="23" t="s">
        <v>57</v>
      </c>
      <c r="Y68" s="23" t="s">
        <v>57</v>
      </c>
      <c r="Z68" s="23" t="s">
        <v>57</v>
      </c>
      <c r="AA68" s="23" t="s">
        <v>57</v>
      </c>
      <c r="AB68" t="s">
        <v>57</v>
      </c>
      <c r="AC68" t="s">
        <v>57</v>
      </c>
      <c r="AD68" t="s">
        <v>57</v>
      </c>
      <c r="AE68" t="s">
        <v>57</v>
      </c>
      <c r="AF68" s="23" t="s">
        <v>57</v>
      </c>
      <c r="AG68" s="23" t="s">
        <v>57</v>
      </c>
      <c r="AH68" s="23" t="s">
        <v>57</v>
      </c>
      <c r="AI68" s="23" t="s">
        <v>57</v>
      </c>
      <c r="AJ68">
        <v>55</v>
      </c>
      <c r="AK68">
        <v>11</v>
      </c>
      <c r="AL68">
        <v>13</v>
      </c>
      <c r="AM68">
        <v>23</v>
      </c>
      <c r="AN68" s="23">
        <v>0</v>
      </c>
      <c r="AO68" s="23">
        <v>0.0909090909090909</v>
      </c>
      <c r="AP68" s="23">
        <v>0</v>
      </c>
      <c r="AQ68" s="23">
        <v>0</v>
      </c>
      <c r="AR68" s="35">
        <v>0</v>
      </c>
      <c r="AS68" s="35">
        <v>0</v>
      </c>
      <c r="AT68" s="35">
        <v>2</v>
      </c>
      <c r="AU68" s="31" t="str">
        <f t="shared" si="3"/>
        <v>库存为2</v>
      </c>
      <c r="AV68" s="36" t="str">
        <f>IFERROR(时间!$B$4+AU68,"上周无销量")</f>
        <v>上周无销量</v>
      </c>
    </row>
    <row r="69" spans="1:48">
      <c r="A69" s="21" t="s">
        <v>269</v>
      </c>
      <c r="B69" t="s">
        <v>270</v>
      </c>
      <c r="C69" t="s">
        <v>271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3</v>
      </c>
      <c r="J69" s="33">
        <v>0</v>
      </c>
      <c r="K69" s="33">
        <v>0</v>
      </c>
      <c r="L69" s="33">
        <v>0</v>
      </c>
      <c r="M69">
        <v>3</v>
      </c>
      <c r="N69">
        <v>0</v>
      </c>
      <c r="O69">
        <v>0</v>
      </c>
      <c r="P69">
        <v>1776</v>
      </c>
      <c r="Q69">
        <v>1831</v>
      </c>
      <c r="R69">
        <v>211</v>
      </c>
      <c r="S69">
        <v>75</v>
      </c>
      <c r="T69">
        <v>8</v>
      </c>
      <c r="U69">
        <v>8</v>
      </c>
      <c r="V69">
        <v>0</v>
      </c>
      <c r="W69">
        <v>1</v>
      </c>
      <c r="X69" s="23">
        <v>0.0045045045045045</v>
      </c>
      <c r="Y69" s="23">
        <v>0.00436919716002185</v>
      </c>
      <c r="Z69" s="23">
        <v>0</v>
      </c>
      <c r="AA69" s="23">
        <v>0.0133333333333333</v>
      </c>
      <c r="AB69">
        <v>3.09</v>
      </c>
      <c r="AC69">
        <v>3.09</v>
      </c>
      <c r="AD69">
        <v>0</v>
      </c>
      <c r="AE69">
        <v>0.25</v>
      </c>
      <c r="AF69" s="23" t="s">
        <v>272</v>
      </c>
      <c r="AG69" s="23" t="s">
        <v>272</v>
      </c>
      <c r="AH69" s="23" t="s">
        <v>57</v>
      </c>
      <c r="AI69" s="23" t="s">
        <v>273</v>
      </c>
      <c r="AJ69">
        <v>12</v>
      </c>
      <c r="AK69">
        <v>31</v>
      </c>
      <c r="AL69">
        <v>1</v>
      </c>
      <c r="AM69">
        <v>2</v>
      </c>
      <c r="AN69" s="23">
        <v>0</v>
      </c>
      <c r="AO69" s="23">
        <v>0</v>
      </c>
      <c r="AP69" s="23">
        <v>0</v>
      </c>
      <c r="AQ69" s="23">
        <v>0</v>
      </c>
      <c r="AR69" s="35">
        <v>0</v>
      </c>
      <c r="AS69" s="35">
        <v>0</v>
      </c>
      <c r="AT69" s="35">
        <v>3</v>
      </c>
      <c r="AU69" s="31" t="str">
        <f t="shared" ref="AU69:AU132" si="5">IF(AR69="","库存为"&amp;M69,IF(AS69=0,"库存为"&amp;M69,INT(M69/AR69)))</f>
        <v>库存为3</v>
      </c>
      <c r="AV69" s="36" t="str">
        <f>IFERROR(时间!$B$4+AU69,"上周无销量")</f>
        <v>上周无销量</v>
      </c>
    </row>
    <row r="70" spans="1:48">
      <c r="A70" s="21" t="s">
        <v>274</v>
      </c>
      <c r="B70" t="s">
        <v>275</v>
      </c>
      <c r="C70" t="s">
        <v>276</v>
      </c>
      <c r="D70" s="31">
        <v>0</v>
      </c>
      <c r="E70" s="31">
        <v>2</v>
      </c>
      <c r="F70" s="31">
        <v>1</v>
      </c>
      <c r="G70" s="31">
        <v>0</v>
      </c>
      <c r="H70" s="32">
        <v>95.99</v>
      </c>
      <c r="I70">
        <v>1</v>
      </c>
      <c r="J70" s="33">
        <v>0</v>
      </c>
      <c r="K70" s="33">
        <v>0</v>
      </c>
      <c r="L70" s="33">
        <v>1</v>
      </c>
      <c r="M70">
        <v>2</v>
      </c>
      <c r="N70">
        <v>0</v>
      </c>
      <c r="O70">
        <v>2</v>
      </c>
      <c r="P70">
        <v>15887</v>
      </c>
      <c r="Q70">
        <v>15887</v>
      </c>
      <c r="R70">
        <v>0</v>
      </c>
      <c r="S70">
        <v>15887</v>
      </c>
      <c r="T70">
        <v>18</v>
      </c>
      <c r="U70">
        <v>18</v>
      </c>
      <c r="V70">
        <v>0</v>
      </c>
      <c r="W70">
        <v>18</v>
      </c>
      <c r="X70" s="23">
        <v>0.00113300182539183</v>
      </c>
      <c r="Y70" s="23">
        <v>0.00113300182539183</v>
      </c>
      <c r="Z70" s="23" t="s">
        <v>57</v>
      </c>
      <c r="AA70" s="23">
        <v>0.00113300182539183</v>
      </c>
      <c r="AB70">
        <v>20.36</v>
      </c>
      <c r="AC70">
        <v>20.36</v>
      </c>
      <c r="AD70">
        <v>0</v>
      </c>
      <c r="AE70">
        <v>20.36</v>
      </c>
      <c r="AF70" s="23" t="s">
        <v>277</v>
      </c>
      <c r="AG70" s="23">
        <v>0.106052713824357</v>
      </c>
      <c r="AH70" s="23" t="s">
        <v>57</v>
      </c>
      <c r="AI70" s="23" t="s">
        <v>277</v>
      </c>
      <c r="AJ70">
        <v>107</v>
      </c>
      <c r="AK70">
        <v>89</v>
      </c>
      <c r="AL70">
        <v>55</v>
      </c>
      <c r="AM70">
        <v>74</v>
      </c>
      <c r="AN70" s="23">
        <v>0</v>
      </c>
      <c r="AO70" s="23">
        <v>0.0224719101123595</v>
      </c>
      <c r="AP70" s="23">
        <v>0.0181818181818182</v>
      </c>
      <c r="AQ70" s="23">
        <v>0</v>
      </c>
      <c r="AR70" s="35">
        <v>0</v>
      </c>
      <c r="AS70" s="35">
        <v>0</v>
      </c>
      <c r="AT70" s="35">
        <v>2</v>
      </c>
      <c r="AU70" s="31" t="str">
        <f t="shared" si="5"/>
        <v>库存为2</v>
      </c>
      <c r="AV70" s="36" t="str">
        <f>IFERROR(时间!$B$4+AU70,"上周无销量")</f>
        <v>上周无销量</v>
      </c>
    </row>
    <row r="71" spans="1:48">
      <c r="A71" s="21" t="s">
        <v>278</v>
      </c>
      <c r="B71" t="s">
        <v>279</v>
      </c>
      <c r="C71" t="s">
        <v>276</v>
      </c>
      <c r="D71" s="31">
        <v>1</v>
      </c>
      <c r="E71" s="31">
        <v>0</v>
      </c>
      <c r="F71" s="31">
        <v>0</v>
      </c>
      <c r="G71" s="31">
        <v>2</v>
      </c>
      <c r="H71" s="32">
        <v>89.6</v>
      </c>
      <c r="I71">
        <v>12</v>
      </c>
      <c r="J71" s="33">
        <v>0</v>
      </c>
      <c r="K71" s="33">
        <v>0</v>
      </c>
      <c r="L71" s="33">
        <v>0</v>
      </c>
      <c r="M71">
        <v>12</v>
      </c>
      <c r="N71">
        <v>1</v>
      </c>
      <c r="O71">
        <v>0</v>
      </c>
      <c r="P71">
        <v>126941</v>
      </c>
      <c r="Q71">
        <v>127202</v>
      </c>
      <c r="R71">
        <v>25132</v>
      </c>
      <c r="S71">
        <v>23108</v>
      </c>
      <c r="T71">
        <v>520</v>
      </c>
      <c r="U71">
        <v>522</v>
      </c>
      <c r="V71">
        <v>95</v>
      </c>
      <c r="W71">
        <v>84</v>
      </c>
      <c r="X71" s="23">
        <v>0.00409639123687382</v>
      </c>
      <c r="Y71" s="23">
        <v>0.00410370906117828</v>
      </c>
      <c r="Z71" s="23">
        <v>0.00378004138150565</v>
      </c>
      <c r="AA71" s="23">
        <v>0.00363510472563614</v>
      </c>
      <c r="AB71">
        <v>121.29</v>
      </c>
      <c r="AC71">
        <v>122.1</v>
      </c>
      <c r="AD71">
        <v>29.5</v>
      </c>
      <c r="AE71">
        <v>31.84</v>
      </c>
      <c r="AF71" s="23">
        <v>1.35368303571429</v>
      </c>
      <c r="AG71" s="23" t="s">
        <v>280</v>
      </c>
      <c r="AH71" s="23" t="s">
        <v>281</v>
      </c>
      <c r="AI71" s="23">
        <v>0.177678571428571</v>
      </c>
      <c r="AJ71">
        <v>75</v>
      </c>
      <c r="AK71">
        <v>184</v>
      </c>
      <c r="AL71">
        <v>104</v>
      </c>
      <c r="AM71">
        <v>114</v>
      </c>
      <c r="AN71" s="23">
        <v>0.0133333333333333</v>
      </c>
      <c r="AO71" s="23">
        <v>0</v>
      </c>
      <c r="AP71" s="23">
        <v>0</v>
      </c>
      <c r="AQ71" s="23">
        <v>0.0175438596491228</v>
      </c>
      <c r="AR71" s="35">
        <v>0.142857142857143</v>
      </c>
      <c r="AS71" s="35">
        <v>8.57142857142857</v>
      </c>
      <c r="AT71" s="35">
        <v>3.42857142857143</v>
      </c>
      <c r="AU71" s="31">
        <f t="shared" si="5"/>
        <v>84</v>
      </c>
      <c r="AV71" s="36">
        <f>IFERROR(时间!$B$4+AU71,"上周无销量")</f>
        <v>43409</v>
      </c>
    </row>
    <row r="72" spans="1:48">
      <c r="A72" s="21" t="s">
        <v>282</v>
      </c>
      <c r="B72" t="s">
        <v>283</v>
      </c>
      <c r="C72" t="s">
        <v>284</v>
      </c>
      <c r="D72" s="31">
        <v>0</v>
      </c>
      <c r="E72" s="31">
        <v>2</v>
      </c>
      <c r="F72" s="31">
        <v>1</v>
      </c>
      <c r="G72" s="31">
        <v>0</v>
      </c>
      <c r="H72" s="32">
        <v>79.99</v>
      </c>
      <c r="I72">
        <v>2</v>
      </c>
      <c r="J72" s="33">
        <v>0</v>
      </c>
      <c r="K72" s="33">
        <v>0</v>
      </c>
      <c r="L72" s="33">
        <v>0</v>
      </c>
      <c r="M72">
        <v>2</v>
      </c>
      <c r="N72">
        <v>0</v>
      </c>
      <c r="O72">
        <v>2</v>
      </c>
      <c r="P72" t="s">
        <v>57</v>
      </c>
      <c r="Q72" t="s">
        <v>57</v>
      </c>
      <c r="R72" t="s">
        <v>57</v>
      </c>
      <c r="S72" t="s">
        <v>57</v>
      </c>
      <c r="T72" t="s">
        <v>57</v>
      </c>
      <c r="U72" t="s">
        <v>57</v>
      </c>
      <c r="V72" t="s">
        <v>57</v>
      </c>
      <c r="W72" t="s">
        <v>57</v>
      </c>
      <c r="X72" s="23" t="s">
        <v>57</v>
      </c>
      <c r="Y72" s="23" t="s">
        <v>57</v>
      </c>
      <c r="Z72" s="23" t="s">
        <v>57</v>
      </c>
      <c r="AA72" s="23" t="s">
        <v>57</v>
      </c>
      <c r="AB72" t="s">
        <v>57</v>
      </c>
      <c r="AC72" t="s">
        <v>57</v>
      </c>
      <c r="AD72" t="s">
        <v>57</v>
      </c>
      <c r="AE72" t="s">
        <v>57</v>
      </c>
      <c r="AF72" s="23" t="s">
        <v>57</v>
      </c>
      <c r="AG72" s="23" t="s">
        <v>57</v>
      </c>
      <c r="AH72" s="23" t="s">
        <v>57</v>
      </c>
      <c r="AI72" s="23" t="s">
        <v>57</v>
      </c>
      <c r="AJ72">
        <v>11</v>
      </c>
      <c r="AK72">
        <v>21</v>
      </c>
      <c r="AL72">
        <v>15</v>
      </c>
      <c r="AM72">
        <v>16</v>
      </c>
      <c r="AN72" s="23">
        <v>0</v>
      </c>
      <c r="AO72" s="23">
        <v>0.0952380952380952</v>
      </c>
      <c r="AP72" s="23">
        <v>0.0666666666666667</v>
      </c>
      <c r="AQ72" s="23">
        <v>0</v>
      </c>
      <c r="AR72" s="35">
        <v>0</v>
      </c>
      <c r="AS72" s="35">
        <v>0</v>
      </c>
      <c r="AT72" s="35">
        <v>2</v>
      </c>
      <c r="AU72" s="31" t="str">
        <f t="shared" si="5"/>
        <v>库存为2</v>
      </c>
      <c r="AV72" s="36" t="str">
        <f>IFERROR(时间!$B$4+AU72,"上周无销量")</f>
        <v>上周无销量</v>
      </c>
    </row>
    <row r="73" spans="1:48">
      <c r="A73" s="21" t="s">
        <v>285</v>
      </c>
      <c r="B73" t="s">
        <v>286</v>
      </c>
      <c r="C73" t="s">
        <v>287</v>
      </c>
      <c r="D73" s="31">
        <v>6</v>
      </c>
      <c r="E73" s="31">
        <v>9</v>
      </c>
      <c r="F73" s="31">
        <v>13</v>
      </c>
      <c r="G73" s="31">
        <v>15</v>
      </c>
      <c r="H73" s="32">
        <v>89.9899999999999</v>
      </c>
      <c r="I73">
        <v>55</v>
      </c>
      <c r="J73" s="33">
        <v>12</v>
      </c>
      <c r="K73" s="33">
        <v>0</v>
      </c>
      <c r="L73" s="33">
        <v>0</v>
      </c>
      <c r="M73">
        <v>67</v>
      </c>
      <c r="N73">
        <v>1</v>
      </c>
      <c r="O73">
        <v>0</v>
      </c>
      <c r="P73">
        <v>23998</v>
      </c>
      <c r="Q73">
        <v>23998</v>
      </c>
      <c r="R73">
        <v>0</v>
      </c>
      <c r="S73">
        <v>0</v>
      </c>
      <c r="T73">
        <v>138</v>
      </c>
      <c r="U73">
        <v>138</v>
      </c>
      <c r="V73">
        <v>0</v>
      </c>
      <c r="W73">
        <v>0</v>
      </c>
      <c r="X73" s="23">
        <v>0.00575047920660055</v>
      </c>
      <c r="Y73" s="23">
        <v>0.00575047920660055</v>
      </c>
      <c r="Z73" s="23" t="s">
        <v>57</v>
      </c>
      <c r="AA73" s="23" t="s">
        <v>57</v>
      </c>
      <c r="AB73">
        <v>19.3</v>
      </c>
      <c r="AC73">
        <v>19.3</v>
      </c>
      <c r="AD73">
        <v>0</v>
      </c>
      <c r="AE73">
        <v>0</v>
      </c>
      <c r="AF73" s="23">
        <v>0.0357447123754492</v>
      </c>
      <c r="AG73" s="23">
        <v>0.0238298082502994</v>
      </c>
      <c r="AH73" s="23" t="s">
        <v>57</v>
      </c>
      <c r="AI73" s="23" t="s">
        <v>57</v>
      </c>
      <c r="AJ73">
        <v>798</v>
      </c>
      <c r="AK73">
        <v>635</v>
      </c>
      <c r="AL73">
        <v>817</v>
      </c>
      <c r="AM73">
        <v>850</v>
      </c>
      <c r="AN73" s="23">
        <v>0.0075187969924812</v>
      </c>
      <c r="AO73" s="23">
        <v>0.0141732283464567</v>
      </c>
      <c r="AP73" s="23">
        <v>0.0159118727050184</v>
      </c>
      <c r="AQ73" s="23">
        <v>0.0176470588235294</v>
      </c>
      <c r="AR73" s="35">
        <v>0.857142857142857</v>
      </c>
      <c r="AS73" s="35">
        <v>51.4285714285714</v>
      </c>
      <c r="AT73" s="35">
        <v>15.5714285714286</v>
      </c>
      <c r="AU73" s="31">
        <f t="shared" si="5"/>
        <v>78</v>
      </c>
      <c r="AV73" s="36">
        <f>IFERROR(时间!$B$4+AU73,"上周无销量")</f>
        <v>43403</v>
      </c>
    </row>
    <row r="74" spans="1:48">
      <c r="A74" s="21" t="s">
        <v>288</v>
      </c>
      <c r="B74" t="s">
        <v>289</v>
      </c>
      <c r="C74" t="s">
        <v>290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3</v>
      </c>
      <c r="K74" s="33">
        <v>0</v>
      </c>
      <c r="L74" s="33">
        <v>0</v>
      </c>
      <c r="M74">
        <v>3</v>
      </c>
      <c r="N74">
        <v>0</v>
      </c>
      <c r="O74">
        <v>0</v>
      </c>
      <c r="P74" t="s">
        <v>57</v>
      </c>
      <c r="Q74" t="s">
        <v>57</v>
      </c>
      <c r="R74" t="s">
        <v>57</v>
      </c>
      <c r="S74" t="s">
        <v>57</v>
      </c>
      <c r="T74" t="s">
        <v>57</v>
      </c>
      <c r="U74" t="s">
        <v>57</v>
      </c>
      <c r="V74" t="s">
        <v>57</v>
      </c>
      <c r="W74" t="s">
        <v>57</v>
      </c>
      <c r="X74" s="23" t="s">
        <v>57</v>
      </c>
      <c r="Y74" s="23" t="s">
        <v>57</v>
      </c>
      <c r="Z74" s="23" t="s">
        <v>57</v>
      </c>
      <c r="AA74" s="23" t="s">
        <v>57</v>
      </c>
      <c r="AB74" t="s">
        <v>57</v>
      </c>
      <c r="AC74" t="s">
        <v>57</v>
      </c>
      <c r="AD74" t="s">
        <v>57</v>
      </c>
      <c r="AE74" t="s">
        <v>57</v>
      </c>
      <c r="AF74" s="23" t="s">
        <v>57</v>
      </c>
      <c r="AG74" s="23" t="s">
        <v>57</v>
      </c>
      <c r="AH74" s="23" t="s">
        <v>57</v>
      </c>
      <c r="AI74" s="23" t="s">
        <v>57</v>
      </c>
      <c r="AJ74">
        <v>0</v>
      </c>
      <c r="AK74">
        <v>0</v>
      </c>
      <c r="AL74">
        <v>0</v>
      </c>
      <c r="AM74">
        <v>0</v>
      </c>
      <c r="AN74" s="23" t="s">
        <v>57</v>
      </c>
      <c r="AO74" s="23" t="s">
        <v>57</v>
      </c>
      <c r="AP74" s="23" t="s">
        <v>57</v>
      </c>
      <c r="AQ74" s="23" t="s">
        <v>57</v>
      </c>
      <c r="AR74" s="35">
        <v>0</v>
      </c>
      <c r="AS74" s="35">
        <v>0</v>
      </c>
      <c r="AT74" s="35">
        <v>3</v>
      </c>
      <c r="AU74" s="31" t="str">
        <f t="shared" si="5"/>
        <v>库存为3</v>
      </c>
      <c r="AV74" s="36" t="str">
        <f>IFERROR(时间!$B$4+AU74,"上周无销量")</f>
        <v>上周无销量</v>
      </c>
    </row>
    <row r="75" spans="1:48">
      <c r="A75" s="21" t="s">
        <v>291</v>
      </c>
      <c r="B75" t="s">
        <v>292</v>
      </c>
      <c r="C75" t="s">
        <v>293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57</v>
      </c>
      <c r="Q75" t="s">
        <v>57</v>
      </c>
      <c r="R75" t="s">
        <v>57</v>
      </c>
      <c r="S75" t="s">
        <v>57</v>
      </c>
      <c r="T75" t="s">
        <v>57</v>
      </c>
      <c r="U75" t="s">
        <v>57</v>
      </c>
      <c r="V75" t="s">
        <v>57</v>
      </c>
      <c r="W75" t="s">
        <v>57</v>
      </c>
      <c r="X75" s="23" t="s">
        <v>57</v>
      </c>
      <c r="Y75" s="23" t="s">
        <v>57</v>
      </c>
      <c r="Z75" s="23" t="s">
        <v>57</v>
      </c>
      <c r="AA75" s="23" t="s">
        <v>57</v>
      </c>
      <c r="AB75" t="s">
        <v>57</v>
      </c>
      <c r="AC75" t="s">
        <v>57</v>
      </c>
      <c r="AD75" t="s">
        <v>57</v>
      </c>
      <c r="AE75" t="s">
        <v>57</v>
      </c>
      <c r="AF75" s="23" t="s">
        <v>57</v>
      </c>
      <c r="AG75" s="23" t="s">
        <v>57</v>
      </c>
      <c r="AH75" s="23" t="s">
        <v>57</v>
      </c>
      <c r="AI75" s="23" t="s">
        <v>57</v>
      </c>
      <c r="AJ75">
        <v>0</v>
      </c>
      <c r="AK75">
        <v>0</v>
      </c>
      <c r="AL75">
        <v>0</v>
      </c>
      <c r="AM75">
        <v>0</v>
      </c>
      <c r="AN75" s="23" t="s">
        <v>57</v>
      </c>
      <c r="AO75" s="23" t="s">
        <v>57</v>
      </c>
      <c r="AP75" s="23" t="s">
        <v>57</v>
      </c>
      <c r="AQ75" s="23" t="s">
        <v>57</v>
      </c>
      <c r="AR75" s="35">
        <v>0</v>
      </c>
      <c r="AS75" s="35">
        <v>0</v>
      </c>
      <c r="AT75" s="35">
        <v>0</v>
      </c>
      <c r="AU75" s="31" t="str">
        <f t="shared" si="5"/>
        <v>库存为0</v>
      </c>
      <c r="AV75" s="36" t="str">
        <f>IFERROR(时间!$B$4+AU75,"上周无销量")</f>
        <v>上周无销量</v>
      </c>
    </row>
    <row r="76" spans="1:48">
      <c r="A76" s="21" t="s">
        <v>294</v>
      </c>
      <c r="B76" t="s">
        <v>295</v>
      </c>
      <c r="C76" t="s">
        <v>296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1</v>
      </c>
      <c r="J76" s="33">
        <v>0</v>
      </c>
      <c r="K76" s="33">
        <v>0</v>
      </c>
      <c r="L76" s="33">
        <v>2</v>
      </c>
      <c r="M76">
        <v>3</v>
      </c>
      <c r="N76">
        <v>0</v>
      </c>
      <c r="O76">
        <v>0</v>
      </c>
      <c r="P76" t="s">
        <v>57</v>
      </c>
      <c r="Q76" t="s">
        <v>57</v>
      </c>
      <c r="R76" t="s">
        <v>57</v>
      </c>
      <c r="S76" t="s">
        <v>57</v>
      </c>
      <c r="T76" t="s">
        <v>57</v>
      </c>
      <c r="U76" t="s">
        <v>57</v>
      </c>
      <c r="V76" t="s">
        <v>57</v>
      </c>
      <c r="W76" t="s">
        <v>57</v>
      </c>
      <c r="X76" s="23" t="s">
        <v>57</v>
      </c>
      <c r="Y76" s="23" t="s">
        <v>57</v>
      </c>
      <c r="Z76" s="23" t="s">
        <v>57</v>
      </c>
      <c r="AA76" s="23" t="s">
        <v>57</v>
      </c>
      <c r="AB76" t="s">
        <v>57</v>
      </c>
      <c r="AC76" t="s">
        <v>57</v>
      </c>
      <c r="AD76" t="s">
        <v>57</v>
      </c>
      <c r="AE76" t="s">
        <v>57</v>
      </c>
      <c r="AF76" s="23" t="s">
        <v>57</v>
      </c>
      <c r="AG76" s="23" t="s">
        <v>57</v>
      </c>
      <c r="AH76" s="23" t="s">
        <v>57</v>
      </c>
      <c r="AI76" s="23" t="s">
        <v>57</v>
      </c>
      <c r="AJ76">
        <v>1</v>
      </c>
      <c r="AK76">
        <v>0</v>
      </c>
      <c r="AL76">
        <v>0</v>
      </c>
      <c r="AM76">
        <v>0</v>
      </c>
      <c r="AN76" s="23">
        <v>0</v>
      </c>
      <c r="AO76" s="23" t="s">
        <v>57</v>
      </c>
      <c r="AP76" s="23" t="s">
        <v>57</v>
      </c>
      <c r="AQ76" s="23" t="s">
        <v>57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1" t="s">
        <v>297</v>
      </c>
      <c r="B77" t="s">
        <v>298</v>
      </c>
      <c r="C77" t="s">
        <v>299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3</v>
      </c>
      <c r="M77">
        <v>3</v>
      </c>
      <c r="N77">
        <v>0</v>
      </c>
      <c r="O77">
        <v>0</v>
      </c>
      <c r="P77" t="s">
        <v>57</v>
      </c>
      <c r="Q77" t="s">
        <v>57</v>
      </c>
      <c r="R77" t="s">
        <v>57</v>
      </c>
      <c r="S77" t="s">
        <v>57</v>
      </c>
      <c r="T77" t="s">
        <v>57</v>
      </c>
      <c r="U77" t="s">
        <v>57</v>
      </c>
      <c r="V77" t="s">
        <v>57</v>
      </c>
      <c r="W77" t="s">
        <v>57</v>
      </c>
      <c r="X77" s="23" t="s">
        <v>57</v>
      </c>
      <c r="Y77" s="23" t="s">
        <v>57</v>
      </c>
      <c r="Z77" s="23" t="s">
        <v>57</v>
      </c>
      <c r="AA77" s="23" t="s">
        <v>57</v>
      </c>
      <c r="AB77" t="s">
        <v>57</v>
      </c>
      <c r="AC77" t="s">
        <v>57</v>
      </c>
      <c r="AD77" t="s">
        <v>57</v>
      </c>
      <c r="AE77" t="s">
        <v>57</v>
      </c>
      <c r="AF77" s="23" t="s">
        <v>57</v>
      </c>
      <c r="AG77" s="23" t="s">
        <v>57</v>
      </c>
      <c r="AH77" s="23" t="s">
        <v>57</v>
      </c>
      <c r="AI77" s="23" t="s">
        <v>57</v>
      </c>
      <c r="AJ77">
        <v>0</v>
      </c>
      <c r="AK77">
        <v>0</v>
      </c>
      <c r="AL77">
        <v>0</v>
      </c>
      <c r="AM77">
        <v>0</v>
      </c>
      <c r="AN77" s="23" t="s">
        <v>57</v>
      </c>
      <c r="AO77" s="23" t="s">
        <v>57</v>
      </c>
      <c r="AP77" s="23" t="s">
        <v>57</v>
      </c>
      <c r="AQ77" s="23" t="s">
        <v>57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21" t="s">
        <v>300</v>
      </c>
      <c r="B78" t="s">
        <v>301</v>
      </c>
      <c r="C78" t="s">
        <v>302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3</v>
      </c>
      <c r="M78">
        <v>3</v>
      </c>
      <c r="N78">
        <v>0</v>
      </c>
      <c r="O78">
        <v>0</v>
      </c>
      <c r="P78" t="s">
        <v>57</v>
      </c>
      <c r="Q78" t="s">
        <v>57</v>
      </c>
      <c r="R78" t="s">
        <v>57</v>
      </c>
      <c r="S78" t="s">
        <v>57</v>
      </c>
      <c r="T78" t="s">
        <v>57</v>
      </c>
      <c r="U78" t="s">
        <v>57</v>
      </c>
      <c r="V78" t="s">
        <v>57</v>
      </c>
      <c r="W78" t="s">
        <v>57</v>
      </c>
      <c r="X78" s="23" t="s">
        <v>57</v>
      </c>
      <c r="Y78" s="23" t="s">
        <v>57</v>
      </c>
      <c r="Z78" s="23" t="s">
        <v>57</v>
      </c>
      <c r="AA78" s="23" t="s">
        <v>57</v>
      </c>
      <c r="AB78" t="s">
        <v>57</v>
      </c>
      <c r="AC78" t="s">
        <v>57</v>
      </c>
      <c r="AD78" t="s">
        <v>57</v>
      </c>
      <c r="AE78" t="s">
        <v>57</v>
      </c>
      <c r="AF78" s="23" t="s">
        <v>57</v>
      </c>
      <c r="AG78" s="23" t="s">
        <v>57</v>
      </c>
      <c r="AH78" s="23" t="s">
        <v>57</v>
      </c>
      <c r="AI78" s="23" t="s">
        <v>57</v>
      </c>
      <c r="AJ78">
        <v>2</v>
      </c>
      <c r="AK78">
        <v>0</v>
      </c>
      <c r="AL78">
        <v>0</v>
      </c>
      <c r="AM78">
        <v>0</v>
      </c>
      <c r="AN78" s="23">
        <v>0</v>
      </c>
      <c r="AO78" s="23" t="s">
        <v>57</v>
      </c>
      <c r="AP78" s="23" t="s">
        <v>57</v>
      </c>
      <c r="AQ78" s="23" t="s">
        <v>57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21" t="s">
        <v>303</v>
      </c>
      <c r="B79" t="s">
        <v>304</v>
      </c>
      <c r="C79" t="s">
        <v>305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57</v>
      </c>
      <c r="Q79" t="s">
        <v>57</v>
      </c>
      <c r="R79" t="s">
        <v>57</v>
      </c>
      <c r="S79" t="s">
        <v>57</v>
      </c>
      <c r="T79" t="s">
        <v>57</v>
      </c>
      <c r="U79" t="s">
        <v>57</v>
      </c>
      <c r="V79" t="s">
        <v>57</v>
      </c>
      <c r="W79" t="s">
        <v>57</v>
      </c>
      <c r="X79" s="23" t="s">
        <v>57</v>
      </c>
      <c r="Y79" s="23" t="s">
        <v>57</v>
      </c>
      <c r="Z79" s="23" t="s">
        <v>57</v>
      </c>
      <c r="AA79" s="23" t="s">
        <v>57</v>
      </c>
      <c r="AB79" t="s">
        <v>57</v>
      </c>
      <c r="AC79" t="s">
        <v>57</v>
      </c>
      <c r="AD79" t="s">
        <v>57</v>
      </c>
      <c r="AE79" t="s">
        <v>57</v>
      </c>
      <c r="AF79" s="23" t="s">
        <v>57</v>
      </c>
      <c r="AG79" s="23" t="s">
        <v>57</v>
      </c>
      <c r="AH79" s="23" t="s">
        <v>57</v>
      </c>
      <c r="AI79" s="23" t="s">
        <v>57</v>
      </c>
      <c r="AJ79">
        <v>0</v>
      </c>
      <c r="AK79">
        <v>0</v>
      </c>
      <c r="AL79">
        <v>0</v>
      </c>
      <c r="AM79">
        <v>0</v>
      </c>
      <c r="AN79" s="23" t="s">
        <v>57</v>
      </c>
      <c r="AO79" s="23" t="s">
        <v>57</v>
      </c>
      <c r="AP79" s="23" t="s">
        <v>57</v>
      </c>
      <c r="AQ79" s="23" t="s">
        <v>57</v>
      </c>
      <c r="AR79" s="35">
        <v>0</v>
      </c>
      <c r="AS79" s="35">
        <v>0</v>
      </c>
      <c r="AT79" s="35">
        <v>0</v>
      </c>
      <c r="AU79" s="31" t="str">
        <f t="shared" si="5"/>
        <v>库存为0</v>
      </c>
      <c r="AV79" s="36" t="str">
        <f>IFERROR(时间!$B$4+AU79,"上周无销量")</f>
        <v>上周无销量</v>
      </c>
    </row>
    <row r="80" spans="1:48">
      <c r="A80" s="21" t="s">
        <v>306</v>
      </c>
      <c r="B80" t="s">
        <v>307</v>
      </c>
      <c r="C80" t="s">
        <v>308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57</v>
      </c>
      <c r="Q80" t="s">
        <v>57</v>
      </c>
      <c r="R80" t="s">
        <v>57</v>
      </c>
      <c r="S80" t="s">
        <v>57</v>
      </c>
      <c r="T80" t="s">
        <v>57</v>
      </c>
      <c r="U80" t="s">
        <v>57</v>
      </c>
      <c r="V80" t="s">
        <v>57</v>
      </c>
      <c r="W80" t="s">
        <v>57</v>
      </c>
      <c r="X80" s="23" t="s">
        <v>57</v>
      </c>
      <c r="Y80" s="23" t="s">
        <v>57</v>
      </c>
      <c r="Z80" s="23" t="s">
        <v>57</v>
      </c>
      <c r="AA80" s="23" t="s">
        <v>57</v>
      </c>
      <c r="AB80" t="s">
        <v>57</v>
      </c>
      <c r="AC80" t="s">
        <v>57</v>
      </c>
      <c r="AD80" t="s">
        <v>57</v>
      </c>
      <c r="AE80" t="s">
        <v>57</v>
      </c>
      <c r="AF80" s="23" t="s">
        <v>57</v>
      </c>
      <c r="AG80" s="23" t="s">
        <v>57</v>
      </c>
      <c r="AH80" s="23" t="s">
        <v>57</v>
      </c>
      <c r="AI80" s="23" t="s">
        <v>57</v>
      </c>
      <c r="AJ80">
        <v>0</v>
      </c>
      <c r="AK80">
        <v>0</v>
      </c>
      <c r="AL80">
        <v>0</v>
      </c>
      <c r="AM80">
        <v>0</v>
      </c>
      <c r="AN80" s="23" t="s">
        <v>57</v>
      </c>
      <c r="AO80" s="23" t="s">
        <v>57</v>
      </c>
      <c r="AP80" s="23" t="s">
        <v>57</v>
      </c>
      <c r="AQ80" s="23" t="s">
        <v>57</v>
      </c>
      <c r="AR80" s="35">
        <v>0</v>
      </c>
      <c r="AS80" s="35">
        <v>0</v>
      </c>
      <c r="AT80" s="35">
        <v>0</v>
      </c>
      <c r="AU80" s="31" t="str">
        <f t="shared" si="5"/>
        <v>库存为0</v>
      </c>
      <c r="AV80" s="36" t="str">
        <f>IFERROR(时间!$B$4+AU80,"上周无销量")</f>
        <v>上周无销量</v>
      </c>
    </row>
    <row r="81" spans="1:48">
      <c r="A81" s="21" t="s">
        <v>309</v>
      </c>
      <c r="B81" t="s">
        <v>310</v>
      </c>
      <c r="C81" t="s">
        <v>311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57</v>
      </c>
      <c r="Q81" t="s">
        <v>57</v>
      </c>
      <c r="R81" t="s">
        <v>57</v>
      </c>
      <c r="S81" t="s">
        <v>57</v>
      </c>
      <c r="T81" t="s">
        <v>57</v>
      </c>
      <c r="U81" t="s">
        <v>57</v>
      </c>
      <c r="V81" t="s">
        <v>57</v>
      </c>
      <c r="W81" t="s">
        <v>57</v>
      </c>
      <c r="X81" s="23" t="s">
        <v>57</v>
      </c>
      <c r="Y81" s="23" t="s">
        <v>57</v>
      </c>
      <c r="Z81" s="23" t="s">
        <v>57</v>
      </c>
      <c r="AA81" s="23" t="s">
        <v>57</v>
      </c>
      <c r="AB81" t="s">
        <v>57</v>
      </c>
      <c r="AC81" t="s">
        <v>57</v>
      </c>
      <c r="AD81" t="s">
        <v>57</v>
      </c>
      <c r="AE81" t="s">
        <v>57</v>
      </c>
      <c r="AF81" s="23" t="s">
        <v>57</v>
      </c>
      <c r="AG81" s="23" t="s">
        <v>57</v>
      </c>
      <c r="AH81" s="23" t="s">
        <v>57</v>
      </c>
      <c r="AI81" s="23" t="s">
        <v>57</v>
      </c>
      <c r="AJ81">
        <v>0</v>
      </c>
      <c r="AK81">
        <v>0</v>
      </c>
      <c r="AL81">
        <v>0</v>
      </c>
      <c r="AM81">
        <v>0</v>
      </c>
      <c r="AN81" s="23" t="s">
        <v>57</v>
      </c>
      <c r="AO81" s="23" t="s">
        <v>57</v>
      </c>
      <c r="AP81" s="23" t="s">
        <v>57</v>
      </c>
      <c r="AQ81" s="23" t="s">
        <v>57</v>
      </c>
      <c r="AR81" s="35">
        <v>0</v>
      </c>
      <c r="AS81" s="35">
        <v>0</v>
      </c>
      <c r="AT81" s="35">
        <v>0</v>
      </c>
      <c r="AU81" s="31" t="str">
        <f t="shared" si="5"/>
        <v>库存为0</v>
      </c>
      <c r="AV81" s="36" t="str">
        <f>IFERROR(时间!$B$4+AU81,"上周无销量")</f>
        <v>上周无销量</v>
      </c>
    </row>
    <row r="82" spans="1:48">
      <c r="A82" s="21" t="s">
        <v>312</v>
      </c>
      <c r="B82" t="s">
        <v>313</v>
      </c>
      <c r="C82" t="s">
        <v>314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57</v>
      </c>
      <c r="Q82" t="s">
        <v>57</v>
      </c>
      <c r="R82" t="s">
        <v>57</v>
      </c>
      <c r="S82" t="s">
        <v>57</v>
      </c>
      <c r="T82" t="s">
        <v>57</v>
      </c>
      <c r="U82" t="s">
        <v>57</v>
      </c>
      <c r="V82" t="s">
        <v>57</v>
      </c>
      <c r="W82" t="s">
        <v>57</v>
      </c>
      <c r="X82" s="23" t="s">
        <v>57</v>
      </c>
      <c r="Y82" s="23" t="s">
        <v>57</v>
      </c>
      <c r="Z82" s="23" t="s">
        <v>57</v>
      </c>
      <c r="AA82" s="23" t="s">
        <v>57</v>
      </c>
      <c r="AB82" t="s">
        <v>57</v>
      </c>
      <c r="AC82" t="s">
        <v>57</v>
      </c>
      <c r="AD82" t="s">
        <v>57</v>
      </c>
      <c r="AE82" t="s">
        <v>57</v>
      </c>
      <c r="AF82" s="23" t="s">
        <v>57</v>
      </c>
      <c r="AG82" s="23" t="s">
        <v>57</v>
      </c>
      <c r="AH82" s="23" t="s">
        <v>57</v>
      </c>
      <c r="AI82" s="23" t="s">
        <v>57</v>
      </c>
      <c r="AJ82">
        <v>0</v>
      </c>
      <c r="AK82">
        <v>0</v>
      </c>
      <c r="AL82">
        <v>0</v>
      </c>
      <c r="AM82">
        <v>0</v>
      </c>
      <c r="AN82" s="23" t="s">
        <v>57</v>
      </c>
      <c r="AO82" s="23" t="s">
        <v>57</v>
      </c>
      <c r="AP82" s="23" t="s">
        <v>57</v>
      </c>
      <c r="AQ82" s="23" t="s">
        <v>57</v>
      </c>
      <c r="AR82" s="35">
        <v>0</v>
      </c>
      <c r="AS82" s="35">
        <v>0</v>
      </c>
      <c r="AT82" s="35">
        <v>0</v>
      </c>
      <c r="AU82" s="31" t="str">
        <f t="shared" si="5"/>
        <v>库存为0</v>
      </c>
      <c r="AV82" s="36" t="str">
        <f>IFERROR(时间!$B$4+AU82,"上周无销量")</f>
        <v>上周无销量</v>
      </c>
    </row>
    <row r="83" spans="1:48">
      <c r="A83" s="21" t="s">
        <v>315</v>
      </c>
      <c r="B83" t="s">
        <v>316</v>
      </c>
      <c r="C83" t="s">
        <v>317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14</v>
      </c>
      <c r="J83" s="33">
        <v>0</v>
      </c>
      <c r="K83" s="33">
        <v>0</v>
      </c>
      <c r="L83" s="33">
        <v>0</v>
      </c>
      <c r="M83">
        <v>14</v>
      </c>
      <c r="N83">
        <v>0</v>
      </c>
      <c r="O83">
        <v>3</v>
      </c>
      <c r="P83" t="s">
        <v>57</v>
      </c>
      <c r="Q83" t="s">
        <v>57</v>
      </c>
      <c r="R83" t="s">
        <v>57</v>
      </c>
      <c r="S83" t="s">
        <v>57</v>
      </c>
      <c r="T83" t="s">
        <v>57</v>
      </c>
      <c r="U83" t="s">
        <v>57</v>
      </c>
      <c r="V83" t="s">
        <v>57</v>
      </c>
      <c r="W83" t="s">
        <v>57</v>
      </c>
      <c r="X83" s="23" t="s">
        <v>57</v>
      </c>
      <c r="Y83" s="23" t="s">
        <v>57</v>
      </c>
      <c r="Z83" s="23" t="s">
        <v>57</v>
      </c>
      <c r="AA83" s="23" t="s">
        <v>57</v>
      </c>
      <c r="AB83" t="s">
        <v>57</v>
      </c>
      <c r="AC83" t="s">
        <v>57</v>
      </c>
      <c r="AD83" t="s">
        <v>57</v>
      </c>
      <c r="AE83" t="s">
        <v>57</v>
      </c>
      <c r="AF83" s="23" t="s">
        <v>57</v>
      </c>
      <c r="AG83" s="23" t="s">
        <v>57</v>
      </c>
      <c r="AH83" s="23" t="s">
        <v>57</v>
      </c>
      <c r="AI83" s="23" t="s">
        <v>57</v>
      </c>
      <c r="AJ83">
        <v>15</v>
      </c>
      <c r="AK83">
        <v>17</v>
      </c>
      <c r="AL83">
        <v>16</v>
      </c>
      <c r="AM83">
        <v>22</v>
      </c>
      <c r="AN83" s="23">
        <v>0</v>
      </c>
      <c r="AO83" s="23">
        <v>0</v>
      </c>
      <c r="AP83" s="23">
        <v>0</v>
      </c>
      <c r="AQ83" s="23">
        <v>0</v>
      </c>
      <c r="AR83" s="35">
        <v>0</v>
      </c>
      <c r="AS83" s="35">
        <v>0</v>
      </c>
      <c r="AT83" s="35">
        <v>14</v>
      </c>
      <c r="AU83" s="31" t="str">
        <f t="shared" si="5"/>
        <v>库存为14</v>
      </c>
      <c r="AV83" s="36" t="str">
        <f>IFERROR(时间!$B$4+AU83,"上周无销量")</f>
        <v>上周无销量</v>
      </c>
    </row>
    <row r="84" spans="1:48">
      <c r="A84" s="21" t="s">
        <v>318</v>
      </c>
      <c r="B84" t="s">
        <v>319</v>
      </c>
      <c r="C84" t="s">
        <v>317</v>
      </c>
      <c r="D84" s="31">
        <v>0</v>
      </c>
      <c r="E84" s="31">
        <v>0</v>
      </c>
      <c r="F84" s="31">
        <v>1</v>
      </c>
      <c r="G84" s="31">
        <v>1</v>
      </c>
      <c r="H84" s="32">
        <v>32.99</v>
      </c>
      <c r="I84">
        <v>10</v>
      </c>
      <c r="J84" s="33">
        <v>0</v>
      </c>
      <c r="K84" s="33">
        <v>0</v>
      </c>
      <c r="L84" s="33">
        <v>0</v>
      </c>
      <c r="M84">
        <v>10</v>
      </c>
      <c r="N84">
        <v>0</v>
      </c>
      <c r="O84">
        <v>0</v>
      </c>
      <c r="P84" t="s">
        <v>57</v>
      </c>
      <c r="Q84" t="s">
        <v>57</v>
      </c>
      <c r="R84" t="s">
        <v>57</v>
      </c>
      <c r="S84" t="s">
        <v>57</v>
      </c>
      <c r="T84" t="s">
        <v>57</v>
      </c>
      <c r="U84" t="s">
        <v>57</v>
      </c>
      <c r="V84" t="s">
        <v>57</v>
      </c>
      <c r="W84" t="s">
        <v>57</v>
      </c>
      <c r="X84" s="23" t="s">
        <v>57</v>
      </c>
      <c r="Y84" s="23" t="s">
        <v>57</v>
      </c>
      <c r="Z84" s="23" t="s">
        <v>57</v>
      </c>
      <c r="AA84" s="23" t="s">
        <v>57</v>
      </c>
      <c r="AB84" t="s">
        <v>57</v>
      </c>
      <c r="AC84" t="s">
        <v>57</v>
      </c>
      <c r="AD84" t="s">
        <v>57</v>
      </c>
      <c r="AE84" t="s">
        <v>57</v>
      </c>
      <c r="AF84" s="23" t="s">
        <v>57</v>
      </c>
      <c r="AG84" s="23" t="s">
        <v>57</v>
      </c>
      <c r="AH84" s="23" t="s">
        <v>57</v>
      </c>
      <c r="AI84" s="23" t="s">
        <v>57</v>
      </c>
      <c r="AJ84">
        <v>74</v>
      </c>
      <c r="AK84">
        <v>82</v>
      </c>
      <c r="AL84">
        <v>55</v>
      </c>
      <c r="AM84">
        <v>62</v>
      </c>
      <c r="AN84" s="23">
        <v>0</v>
      </c>
      <c r="AO84" s="23">
        <v>0</v>
      </c>
      <c r="AP84" s="23">
        <v>0.0181818181818182</v>
      </c>
      <c r="AQ84" s="23">
        <v>0.0161290322580645</v>
      </c>
      <c r="AR84" s="35">
        <v>0</v>
      </c>
      <c r="AS84" s="35">
        <v>0</v>
      </c>
      <c r="AT84" s="35">
        <v>10</v>
      </c>
      <c r="AU84" s="31" t="str">
        <f t="shared" si="5"/>
        <v>库存为10</v>
      </c>
      <c r="AV84" s="36" t="str">
        <f>IFERROR(时间!$B$4+AU84,"上周无销量")</f>
        <v>上周无销量</v>
      </c>
    </row>
    <row r="85" spans="1:48">
      <c r="A85" s="21" t="s">
        <v>320</v>
      </c>
      <c r="B85" t="s">
        <v>321</v>
      </c>
      <c r="C85" t="s">
        <v>322</v>
      </c>
      <c r="D85" s="31">
        <v>0</v>
      </c>
      <c r="E85" s="31">
        <v>2</v>
      </c>
      <c r="F85" s="31">
        <v>1</v>
      </c>
      <c r="G85" s="31">
        <v>0</v>
      </c>
      <c r="H85" s="32">
        <v>89.99</v>
      </c>
      <c r="I85">
        <v>11</v>
      </c>
      <c r="J85" s="33">
        <v>0</v>
      </c>
      <c r="K85" s="33">
        <v>0</v>
      </c>
      <c r="L85" s="33">
        <v>5</v>
      </c>
      <c r="M85">
        <v>16</v>
      </c>
      <c r="N85">
        <v>0</v>
      </c>
      <c r="O85">
        <v>0</v>
      </c>
      <c r="P85" t="s">
        <v>57</v>
      </c>
      <c r="Q85" t="s">
        <v>57</v>
      </c>
      <c r="R85" t="s">
        <v>57</v>
      </c>
      <c r="S85" t="s">
        <v>57</v>
      </c>
      <c r="T85" t="s">
        <v>57</v>
      </c>
      <c r="U85" t="s">
        <v>57</v>
      </c>
      <c r="V85" t="s">
        <v>57</v>
      </c>
      <c r="W85" t="s">
        <v>57</v>
      </c>
      <c r="X85" s="23" t="s">
        <v>57</v>
      </c>
      <c r="Y85" s="23" t="s">
        <v>57</v>
      </c>
      <c r="Z85" s="23" t="s">
        <v>57</v>
      </c>
      <c r="AA85" s="23" t="s">
        <v>57</v>
      </c>
      <c r="AB85" t="s">
        <v>57</v>
      </c>
      <c r="AC85" t="s">
        <v>57</v>
      </c>
      <c r="AD85" t="s">
        <v>57</v>
      </c>
      <c r="AE85" t="s">
        <v>57</v>
      </c>
      <c r="AF85" s="23" t="s">
        <v>57</v>
      </c>
      <c r="AG85" s="23" t="s">
        <v>57</v>
      </c>
      <c r="AH85" s="23" t="s">
        <v>57</v>
      </c>
      <c r="AI85" s="23" t="s">
        <v>57</v>
      </c>
      <c r="AJ85">
        <v>8</v>
      </c>
      <c r="AK85">
        <v>21</v>
      </c>
      <c r="AL85">
        <v>15</v>
      </c>
      <c r="AM85">
        <v>11</v>
      </c>
      <c r="AN85" s="23">
        <v>0</v>
      </c>
      <c r="AO85" s="23">
        <v>0.0952380952380952</v>
      </c>
      <c r="AP85" s="23">
        <v>0.0666666666666667</v>
      </c>
      <c r="AQ85" s="23">
        <v>0</v>
      </c>
      <c r="AR85" s="35">
        <v>0</v>
      </c>
      <c r="AS85" s="35">
        <v>0</v>
      </c>
      <c r="AT85" s="35">
        <v>16</v>
      </c>
      <c r="AU85" s="31" t="str">
        <f t="shared" si="5"/>
        <v>库存为16</v>
      </c>
      <c r="AV85" s="36" t="str">
        <f>IFERROR(时间!$B$4+AU85,"上周无销量")</f>
        <v>上周无销量</v>
      </c>
    </row>
    <row r="86" spans="1:48">
      <c r="A86" s="21" t="s">
        <v>323</v>
      </c>
      <c r="B86" t="s">
        <v>324</v>
      </c>
      <c r="C86" t="s">
        <v>325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3</v>
      </c>
      <c r="P86" t="s">
        <v>57</v>
      </c>
      <c r="Q86" t="s">
        <v>57</v>
      </c>
      <c r="R86" t="s">
        <v>57</v>
      </c>
      <c r="S86" t="s">
        <v>57</v>
      </c>
      <c r="T86" t="s">
        <v>57</v>
      </c>
      <c r="U86" t="s">
        <v>57</v>
      </c>
      <c r="V86" t="s">
        <v>57</v>
      </c>
      <c r="W86" t="s">
        <v>57</v>
      </c>
      <c r="X86" s="23" t="s">
        <v>57</v>
      </c>
      <c r="Y86" s="23" t="s">
        <v>57</v>
      </c>
      <c r="Z86" s="23" t="s">
        <v>57</v>
      </c>
      <c r="AA86" s="23" t="s">
        <v>57</v>
      </c>
      <c r="AB86" t="s">
        <v>57</v>
      </c>
      <c r="AC86" t="s">
        <v>57</v>
      </c>
      <c r="AD86" t="s">
        <v>57</v>
      </c>
      <c r="AE86" t="s">
        <v>57</v>
      </c>
      <c r="AF86" s="23" t="s">
        <v>57</v>
      </c>
      <c r="AG86" s="23" t="s">
        <v>57</v>
      </c>
      <c r="AH86" s="23" t="s">
        <v>57</v>
      </c>
      <c r="AI86" s="23" t="s">
        <v>57</v>
      </c>
      <c r="AJ86">
        <v>4</v>
      </c>
      <c r="AK86">
        <v>2</v>
      </c>
      <c r="AL86">
        <v>7</v>
      </c>
      <c r="AM86">
        <v>4</v>
      </c>
      <c r="AN86" s="23">
        <v>0</v>
      </c>
      <c r="AO86" s="23">
        <v>0</v>
      </c>
      <c r="AP86" s="23">
        <v>0</v>
      </c>
      <c r="AQ86" s="23">
        <v>0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1" t="s">
        <v>326</v>
      </c>
      <c r="B87" t="s">
        <v>327</v>
      </c>
      <c r="C87" t="s">
        <v>328</v>
      </c>
      <c r="D87" s="31">
        <v>3</v>
      </c>
      <c r="E87" s="31">
        <v>1</v>
      </c>
      <c r="F87" s="31">
        <v>2</v>
      </c>
      <c r="G87" s="31">
        <v>3</v>
      </c>
      <c r="H87" s="32">
        <v>79.99</v>
      </c>
      <c r="I87">
        <v>23</v>
      </c>
      <c r="J87" s="33">
        <v>0</v>
      </c>
      <c r="K87" s="33">
        <v>0</v>
      </c>
      <c r="L87" s="33">
        <v>1</v>
      </c>
      <c r="M87">
        <v>24</v>
      </c>
      <c r="N87">
        <v>3</v>
      </c>
      <c r="O87">
        <v>0</v>
      </c>
      <c r="P87">
        <v>46443</v>
      </c>
      <c r="Q87">
        <v>46621</v>
      </c>
      <c r="R87">
        <v>3450</v>
      </c>
      <c r="S87">
        <v>5550</v>
      </c>
      <c r="T87">
        <v>253</v>
      </c>
      <c r="U87">
        <v>255</v>
      </c>
      <c r="V87">
        <v>32</v>
      </c>
      <c r="W87">
        <v>30</v>
      </c>
      <c r="X87" s="23">
        <v>0.005447537842086</v>
      </c>
      <c r="Y87" s="23">
        <v>0.00546963814589992</v>
      </c>
      <c r="Z87" s="23">
        <v>0.00927536231884058</v>
      </c>
      <c r="AA87" s="23">
        <v>0.00540540540540541</v>
      </c>
      <c r="AB87">
        <v>41.04</v>
      </c>
      <c r="AC87">
        <v>41.62</v>
      </c>
      <c r="AD87">
        <v>5.27</v>
      </c>
      <c r="AE87">
        <v>5.15</v>
      </c>
      <c r="AF87" s="23">
        <v>0.171021377672209</v>
      </c>
      <c r="AG87" s="23">
        <v>0.520315039379923</v>
      </c>
      <c r="AH87" s="23">
        <v>0.0329416177022128</v>
      </c>
      <c r="AI87" s="23">
        <v>0.0214610159603284</v>
      </c>
      <c r="AJ87">
        <v>191</v>
      </c>
      <c r="AK87">
        <v>141</v>
      </c>
      <c r="AL87">
        <v>125</v>
      </c>
      <c r="AM87">
        <v>144</v>
      </c>
      <c r="AN87" s="23">
        <v>0.0157068062827225</v>
      </c>
      <c r="AO87" s="23">
        <v>0.00709219858156028</v>
      </c>
      <c r="AP87" s="23">
        <v>0.016</v>
      </c>
      <c r="AQ87" s="23">
        <v>0.0208333333333333</v>
      </c>
      <c r="AR87" s="35">
        <v>0.428571428571429</v>
      </c>
      <c r="AS87" s="35">
        <v>25.7142857142857</v>
      </c>
      <c r="AT87" s="35">
        <v>-1.71428571428571</v>
      </c>
      <c r="AU87" s="31">
        <f t="shared" si="5"/>
        <v>56</v>
      </c>
      <c r="AV87" s="36">
        <f>IFERROR(时间!$B$4+AU87,"上周无销量")</f>
        <v>43381</v>
      </c>
    </row>
    <row r="88" spans="1:48">
      <c r="A88" s="21" t="s">
        <v>329</v>
      </c>
      <c r="B88" t="s">
        <v>330</v>
      </c>
      <c r="C88" t="s">
        <v>331</v>
      </c>
      <c r="D88" s="31">
        <v>0</v>
      </c>
      <c r="E88" s="31">
        <v>1</v>
      </c>
      <c r="F88" s="31">
        <v>1</v>
      </c>
      <c r="G88" s="31">
        <v>3</v>
      </c>
      <c r="H88" s="32">
        <v>32.99</v>
      </c>
      <c r="I88">
        <v>14</v>
      </c>
      <c r="J88" s="33">
        <v>0</v>
      </c>
      <c r="K88" s="33">
        <v>0</v>
      </c>
      <c r="L88" s="33">
        <v>0</v>
      </c>
      <c r="M88">
        <v>14</v>
      </c>
      <c r="N88">
        <v>1</v>
      </c>
      <c r="O88">
        <v>0</v>
      </c>
      <c r="P88">
        <v>10001</v>
      </c>
      <c r="Q88">
        <v>10007</v>
      </c>
      <c r="R88">
        <v>1230</v>
      </c>
      <c r="S88">
        <v>2212</v>
      </c>
      <c r="T88">
        <v>110</v>
      </c>
      <c r="U88">
        <v>110</v>
      </c>
      <c r="V88">
        <v>10</v>
      </c>
      <c r="W88">
        <v>35</v>
      </c>
      <c r="X88" s="23">
        <v>0.010998900109989</v>
      </c>
      <c r="Y88" s="23">
        <v>0.0109923053862296</v>
      </c>
      <c r="Z88" s="23">
        <v>0.00813008130081301</v>
      </c>
      <c r="AA88" s="23">
        <v>0.0158227848101266</v>
      </c>
      <c r="AB88">
        <v>17.3</v>
      </c>
      <c r="AC88">
        <v>17.3</v>
      </c>
      <c r="AD88">
        <v>0.95</v>
      </c>
      <c r="AE88">
        <v>4.8</v>
      </c>
      <c r="AF88" s="23" t="s">
        <v>332</v>
      </c>
      <c r="AG88" s="23">
        <v>0.524401333737496</v>
      </c>
      <c r="AH88" s="23">
        <v>0.0287966050318278</v>
      </c>
      <c r="AI88" s="23">
        <v>0.0484995453167627</v>
      </c>
      <c r="AJ88">
        <v>53</v>
      </c>
      <c r="AK88">
        <v>27</v>
      </c>
      <c r="AL88">
        <v>63</v>
      </c>
      <c r="AM88">
        <v>104</v>
      </c>
      <c r="AN88" s="23">
        <v>0</v>
      </c>
      <c r="AO88" s="23">
        <v>0.037037037037037</v>
      </c>
      <c r="AP88" s="23">
        <v>0.0158730158730159</v>
      </c>
      <c r="AQ88" s="23">
        <v>0.0288461538461538</v>
      </c>
      <c r="AR88" s="35">
        <v>0</v>
      </c>
      <c r="AS88" s="35">
        <v>0</v>
      </c>
      <c r="AT88" s="35">
        <v>14</v>
      </c>
      <c r="AU88" s="31" t="str">
        <f t="shared" si="5"/>
        <v>库存为14</v>
      </c>
      <c r="AV88" s="36" t="str">
        <f>IFERROR(时间!$B$4+AU88,"上周无销量")</f>
        <v>上周无销量</v>
      </c>
    </row>
    <row r="89" spans="1:48">
      <c r="A89" s="21" t="s">
        <v>333</v>
      </c>
      <c r="B89" t="s">
        <v>334</v>
      </c>
      <c r="C89" t="s">
        <v>335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5</v>
      </c>
      <c r="J89" s="33">
        <v>0</v>
      </c>
      <c r="K89" s="33">
        <v>0</v>
      </c>
      <c r="L89" s="33">
        <v>0</v>
      </c>
      <c r="M89">
        <v>5</v>
      </c>
      <c r="N89">
        <v>0</v>
      </c>
      <c r="O89">
        <v>0</v>
      </c>
      <c r="P89" t="s">
        <v>57</v>
      </c>
      <c r="Q89" t="s">
        <v>57</v>
      </c>
      <c r="R89" t="s">
        <v>57</v>
      </c>
      <c r="S89" t="s">
        <v>57</v>
      </c>
      <c r="T89" t="s">
        <v>57</v>
      </c>
      <c r="U89" t="s">
        <v>57</v>
      </c>
      <c r="V89" t="s">
        <v>57</v>
      </c>
      <c r="W89" t="s">
        <v>57</v>
      </c>
      <c r="X89" s="23" t="s">
        <v>57</v>
      </c>
      <c r="Y89" s="23" t="s">
        <v>57</v>
      </c>
      <c r="Z89" s="23" t="s">
        <v>57</v>
      </c>
      <c r="AA89" s="23" t="s">
        <v>57</v>
      </c>
      <c r="AB89" t="s">
        <v>57</v>
      </c>
      <c r="AC89" t="s">
        <v>57</v>
      </c>
      <c r="AD89" t="s">
        <v>57</v>
      </c>
      <c r="AE89" t="s">
        <v>57</v>
      </c>
      <c r="AF89" s="23" t="s">
        <v>57</v>
      </c>
      <c r="AG89" s="23" t="s">
        <v>57</v>
      </c>
      <c r="AH89" s="23" t="s">
        <v>57</v>
      </c>
      <c r="AI89" s="23" t="s">
        <v>57</v>
      </c>
      <c r="AJ89">
        <v>0</v>
      </c>
      <c r="AK89">
        <v>0</v>
      </c>
      <c r="AL89">
        <v>0</v>
      </c>
      <c r="AM89">
        <v>0</v>
      </c>
      <c r="AN89" s="23" t="s">
        <v>57</v>
      </c>
      <c r="AO89" s="23" t="s">
        <v>57</v>
      </c>
      <c r="AP89" s="23" t="s">
        <v>57</v>
      </c>
      <c r="AQ89" s="23" t="s">
        <v>57</v>
      </c>
      <c r="AR89" s="35">
        <v>0</v>
      </c>
      <c r="AS89" s="35">
        <v>0</v>
      </c>
      <c r="AT89" s="35">
        <v>5</v>
      </c>
      <c r="AU89" s="31" t="str">
        <f t="shared" si="5"/>
        <v>库存为5</v>
      </c>
      <c r="AV89" s="36" t="str">
        <f>IFERROR(时间!$B$4+AU89,"上周无销量")</f>
        <v>上周无销量</v>
      </c>
    </row>
    <row r="90" spans="1:48">
      <c r="A90" s="21" t="s">
        <v>336</v>
      </c>
      <c r="B90" t="s">
        <v>337</v>
      </c>
      <c r="C90" t="s">
        <v>338</v>
      </c>
      <c r="D90" s="31">
        <v>0</v>
      </c>
      <c r="E90" s="31">
        <v>0</v>
      </c>
      <c r="F90" s="31">
        <v>0</v>
      </c>
      <c r="G90" s="31">
        <v>1</v>
      </c>
      <c r="H90" s="32">
        <v>79.6</v>
      </c>
      <c r="I90">
        <v>5</v>
      </c>
      <c r="J90" s="33">
        <v>0</v>
      </c>
      <c r="K90" s="33">
        <v>0</v>
      </c>
      <c r="L90" s="33">
        <v>0</v>
      </c>
      <c r="M90">
        <v>5</v>
      </c>
      <c r="N90">
        <v>0</v>
      </c>
      <c r="O90">
        <v>5</v>
      </c>
      <c r="P90">
        <v>117743</v>
      </c>
      <c r="Q90">
        <v>118258</v>
      </c>
      <c r="R90">
        <v>63472</v>
      </c>
      <c r="S90">
        <v>39903</v>
      </c>
      <c r="T90">
        <v>370</v>
      </c>
      <c r="U90">
        <v>373</v>
      </c>
      <c r="V90">
        <v>208</v>
      </c>
      <c r="W90">
        <v>118</v>
      </c>
      <c r="X90" s="23">
        <v>0.00314243734234732</v>
      </c>
      <c r="Y90" s="23">
        <v>0.00315412065145698</v>
      </c>
      <c r="Z90" s="23">
        <v>0.00327703554323166</v>
      </c>
      <c r="AA90" s="23">
        <v>0.00295717114001454</v>
      </c>
      <c r="AB90">
        <v>63.99</v>
      </c>
      <c r="AC90">
        <v>64.49</v>
      </c>
      <c r="AD90">
        <v>38.85</v>
      </c>
      <c r="AE90">
        <v>17.46</v>
      </c>
      <c r="AF90" s="23" t="s">
        <v>339</v>
      </c>
      <c r="AG90" s="23" t="s">
        <v>340</v>
      </c>
      <c r="AH90" s="23" t="s">
        <v>341</v>
      </c>
      <c r="AI90" s="23">
        <v>0.219346733668342</v>
      </c>
      <c r="AJ90">
        <v>134</v>
      </c>
      <c r="AK90">
        <v>168</v>
      </c>
      <c r="AL90">
        <v>168</v>
      </c>
      <c r="AM90">
        <v>80</v>
      </c>
      <c r="AN90" s="23">
        <v>0</v>
      </c>
      <c r="AO90" s="23">
        <v>0</v>
      </c>
      <c r="AP90" s="23">
        <v>0</v>
      </c>
      <c r="AQ90" s="23">
        <v>0.0125</v>
      </c>
      <c r="AR90" s="35">
        <v>0</v>
      </c>
      <c r="AS90" s="35">
        <v>0</v>
      </c>
      <c r="AT90" s="35">
        <v>5</v>
      </c>
      <c r="AU90" s="31" t="str">
        <f t="shared" si="5"/>
        <v>库存为5</v>
      </c>
      <c r="AV90" s="36" t="str">
        <f>IFERROR(时间!$B$4+AU90,"上周无销量")</f>
        <v>上周无销量</v>
      </c>
    </row>
    <row r="91" spans="1:48">
      <c r="A91" s="21" t="s">
        <v>342</v>
      </c>
      <c r="B91" t="s">
        <v>343</v>
      </c>
      <c r="C91" t="s">
        <v>344</v>
      </c>
      <c r="D91" s="31">
        <v>1</v>
      </c>
      <c r="E91" s="31">
        <v>2</v>
      </c>
      <c r="F91" s="31">
        <v>1</v>
      </c>
      <c r="G91" s="31">
        <v>1</v>
      </c>
      <c r="H91" s="32">
        <v>89.99</v>
      </c>
      <c r="I91">
        <v>10</v>
      </c>
      <c r="J91" s="33">
        <v>0</v>
      </c>
      <c r="K91" s="33">
        <v>0</v>
      </c>
      <c r="L91" s="33">
        <v>0</v>
      </c>
      <c r="M91">
        <v>10</v>
      </c>
      <c r="N91">
        <v>0</v>
      </c>
      <c r="O91">
        <v>0</v>
      </c>
      <c r="P91" t="s">
        <v>57</v>
      </c>
      <c r="Q91" t="s">
        <v>57</v>
      </c>
      <c r="R91" t="s">
        <v>57</v>
      </c>
      <c r="S91" t="s">
        <v>57</v>
      </c>
      <c r="T91" t="s">
        <v>57</v>
      </c>
      <c r="U91" t="s">
        <v>57</v>
      </c>
      <c r="V91" t="s">
        <v>57</v>
      </c>
      <c r="W91" t="s">
        <v>57</v>
      </c>
      <c r="X91" s="23" t="s">
        <v>57</v>
      </c>
      <c r="Y91" s="23" t="s">
        <v>57</v>
      </c>
      <c r="Z91" s="23" t="s">
        <v>57</v>
      </c>
      <c r="AA91" s="23" t="s">
        <v>57</v>
      </c>
      <c r="AB91" t="s">
        <v>57</v>
      </c>
      <c r="AC91" t="s">
        <v>57</v>
      </c>
      <c r="AD91" t="s">
        <v>57</v>
      </c>
      <c r="AE91" t="s">
        <v>57</v>
      </c>
      <c r="AF91" s="23" t="s">
        <v>57</v>
      </c>
      <c r="AG91" s="23" t="s">
        <v>57</v>
      </c>
      <c r="AH91" s="23" t="s">
        <v>57</v>
      </c>
      <c r="AI91" s="23" t="s">
        <v>57</v>
      </c>
      <c r="AJ91">
        <v>24</v>
      </c>
      <c r="AK91">
        <v>8</v>
      </c>
      <c r="AL91">
        <v>10</v>
      </c>
      <c r="AM91">
        <v>15</v>
      </c>
      <c r="AN91" s="23">
        <v>0.0416666666666667</v>
      </c>
      <c r="AO91" s="23">
        <v>0.25</v>
      </c>
      <c r="AP91" s="23">
        <v>0.1</v>
      </c>
      <c r="AQ91" s="23">
        <v>0.0666666666666667</v>
      </c>
      <c r="AR91" s="35">
        <v>0.142857142857143</v>
      </c>
      <c r="AS91" s="35">
        <v>8.57142857142857</v>
      </c>
      <c r="AT91" s="35">
        <v>1.42857142857143</v>
      </c>
      <c r="AU91" s="31">
        <f t="shared" si="5"/>
        <v>70</v>
      </c>
      <c r="AV91" s="36">
        <f>IFERROR(时间!$B$4+AU91,"上周无销量")</f>
        <v>43395</v>
      </c>
    </row>
    <row r="92" spans="1:48">
      <c r="A92" s="21" t="s">
        <v>345</v>
      </c>
      <c r="B92" t="s">
        <v>346</v>
      </c>
      <c r="C92" t="s">
        <v>347</v>
      </c>
      <c r="D92" s="31">
        <v>0</v>
      </c>
      <c r="E92" s="31">
        <v>1</v>
      </c>
      <c r="F92" s="31">
        <v>0</v>
      </c>
      <c r="G92" s="31">
        <v>0</v>
      </c>
      <c r="H92" s="32">
        <v>79.99</v>
      </c>
      <c r="I92">
        <v>9</v>
      </c>
      <c r="J92" s="33">
        <v>0</v>
      </c>
      <c r="K92" s="33">
        <v>0</v>
      </c>
      <c r="L92" s="33">
        <v>0</v>
      </c>
      <c r="M92">
        <v>9</v>
      </c>
      <c r="N92">
        <v>0</v>
      </c>
      <c r="O92">
        <v>9</v>
      </c>
      <c r="P92">
        <v>7194</v>
      </c>
      <c r="Q92">
        <v>7252</v>
      </c>
      <c r="R92">
        <v>3981</v>
      </c>
      <c r="S92">
        <v>2228</v>
      </c>
      <c r="T92">
        <v>72</v>
      </c>
      <c r="U92">
        <v>72</v>
      </c>
      <c r="V92">
        <v>44</v>
      </c>
      <c r="W92">
        <v>17</v>
      </c>
      <c r="X92" s="23">
        <v>0.0100083402835696</v>
      </c>
      <c r="Y92" s="23">
        <v>0.00992829564258136</v>
      </c>
      <c r="Z92" s="23">
        <v>0.0110524993720171</v>
      </c>
      <c r="AA92" s="23">
        <v>0.00763016157989228</v>
      </c>
      <c r="AB92">
        <v>13.02</v>
      </c>
      <c r="AC92">
        <v>13.02</v>
      </c>
      <c r="AD92">
        <v>8.5</v>
      </c>
      <c r="AE92">
        <v>2.53</v>
      </c>
      <c r="AF92" s="23" t="s">
        <v>348</v>
      </c>
      <c r="AG92" s="23">
        <v>0.162770346293287</v>
      </c>
      <c r="AH92" s="23" t="s">
        <v>349</v>
      </c>
      <c r="AI92" s="23" t="s">
        <v>350</v>
      </c>
      <c r="AJ92">
        <v>76</v>
      </c>
      <c r="AK92">
        <v>48</v>
      </c>
      <c r="AL92">
        <v>26</v>
      </c>
      <c r="AM92">
        <v>18</v>
      </c>
      <c r="AN92" s="23">
        <v>0</v>
      </c>
      <c r="AO92" s="23">
        <v>0.0208333333333333</v>
      </c>
      <c r="AP92" s="23">
        <v>0</v>
      </c>
      <c r="AQ92" s="23">
        <v>0</v>
      </c>
      <c r="AR92" s="35">
        <v>0</v>
      </c>
      <c r="AS92" s="35">
        <v>0</v>
      </c>
      <c r="AT92" s="35">
        <v>9</v>
      </c>
      <c r="AU92" s="31" t="str">
        <f t="shared" si="5"/>
        <v>库存为9</v>
      </c>
      <c r="AV92" s="36" t="str">
        <f>IFERROR(时间!$B$4+AU92,"上周无销量")</f>
        <v>上周无销量</v>
      </c>
    </row>
    <row r="93" spans="1:48">
      <c r="A93" s="21" t="s">
        <v>351</v>
      </c>
      <c r="B93" t="s">
        <v>352</v>
      </c>
      <c r="C93" t="s">
        <v>353</v>
      </c>
      <c r="D93" s="31">
        <v>1</v>
      </c>
      <c r="E93" s="31">
        <v>0</v>
      </c>
      <c r="F93" s="31">
        <v>0</v>
      </c>
      <c r="G93" s="31">
        <v>0</v>
      </c>
      <c r="H93" s="32">
        <v>59.99</v>
      </c>
      <c r="I93">
        <v>2</v>
      </c>
      <c r="J93" s="33">
        <v>0</v>
      </c>
      <c r="K93" s="33">
        <v>0</v>
      </c>
      <c r="L93" s="33">
        <v>0</v>
      </c>
      <c r="M93">
        <v>2</v>
      </c>
      <c r="N93">
        <v>0</v>
      </c>
      <c r="O93">
        <v>3</v>
      </c>
      <c r="P93">
        <v>6155</v>
      </c>
      <c r="Q93">
        <v>6196</v>
      </c>
      <c r="R93">
        <v>1238</v>
      </c>
      <c r="S93">
        <v>553</v>
      </c>
      <c r="T93">
        <v>24</v>
      </c>
      <c r="U93">
        <v>24</v>
      </c>
      <c r="V93">
        <v>7</v>
      </c>
      <c r="W93">
        <v>3</v>
      </c>
      <c r="X93" s="23">
        <v>0.00389926888708367</v>
      </c>
      <c r="Y93" s="23">
        <v>0.00387346675274371</v>
      </c>
      <c r="Z93" s="23">
        <v>0.00565428109854604</v>
      </c>
      <c r="AA93" s="23">
        <v>0.0054249547920434</v>
      </c>
      <c r="AB93">
        <v>6.34</v>
      </c>
      <c r="AC93">
        <v>6.34</v>
      </c>
      <c r="AD93">
        <v>1.78</v>
      </c>
      <c r="AE93">
        <v>0.72</v>
      </c>
      <c r="AF93" s="23">
        <v>0.105684280713452</v>
      </c>
      <c r="AG93" s="23" t="s">
        <v>354</v>
      </c>
      <c r="AH93" s="23" t="s">
        <v>355</v>
      </c>
      <c r="AI93" s="23" t="s">
        <v>356</v>
      </c>
      <c r="AJ93">
        <v>47</v>
      </c>
      <c r="AK93">
        <v>46</v>
      </c>
      <c r="AL93">
        <v>14</v>
      </c>
      <c r="AM93">
        <v>6</v>
      </c>
      <c r="AN93" s="23">
        <v>0.0212765957446809</v>
      </c>
      <c r="AO93" s="23">
        <v>0</v>
      </c>
      <c r="AP93" s="23">
        <v>0</v>
      </c>
      <c r="AQ93" s="23">
        <v>0</v>
      </c>
      <c r="AR93" s="35">
        <v>0.142857142857143</v>
      </c>
      <c r="AS93" s="35">
        <v>8.57142857142857</v>
      </c>
      <c r="AT93" s="35">
        <v>-6.57142857142857</v>
      </c>
      <c r="AU93" s="31">
        <f t="shared" si="5"/>
        <v>14</v>
      </c>
      <c r="AV93" s="36">
        <f>IFERROR(时间!$B$4+AU93,"上周无销量")</f>
        <v>43339</v>
      </c>
    </row>
    <row r="94" spans="1:48">
      <c r="A94" s="21" t="s">
        <v>357</v>
      </c>
      <c r="B94" t="s">
        <v>358</v>
      </c>
      <c r="C94" t="s">
        <v>359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3</v>
      </c>
      <c r="J94" s="33">
        <v>0</v>
      </c>
      <c r="K94" s="33">
        <v>0</v>
      </c>
      <c r="L94" s="33">
        <v>0</v>
      </c>
      <c r="M94">
        <v>3</v>
      </c>
      <c r="N94">
        <v>0</v>
      </c>
      <c r="O94">
        <v>0</v>
      </c>
      <c r="P94">
        <v>1872</v>
      </c>
      <c r="Q94">
        <v>1950</v>
      </c>
      <c r="R94">
        <v>179</v>
      </c>
      <c r="S94">
        <v>81</v>
      </c>
      <c r="T94">
        <v>6</v>
      </c>
      <c r="U94">
        <v>6</v>
      </c>
      <c r="V94">
        <v>2</v>
      </c>
      <c r="W94">
        <v>0</v>
      </c>
      <c r="X94" s="23">
        <v>0.00320512820512821</v>
      </c>
      <c r="Y94" s="23">
        <v>0.00307692307692308</v>
      </c>
      <c r="Z94" s="23">
        <v>0.0111731843575419</v>
      </c>
      <c r="AA94" s="23">
        <v>0</v>
      </c>
      <c r="AB94">
        <v>2.25</v>
      </c>
      <c r="AC94">
        <v>2.25</v>
      </c>
      <c r="AD94">
        <v>0.52</v>
      </c>
      <c r="AE94">
        <v>0</v>
      </c>
      <c r="AF94" s="23" t="s">
        <v>360</v>
      </c>
      <c r="AG94" s="23" t="s">
        <v>360</v>
      </c>
      <c r="AH94" s="23" t="s">
        <v>361</v>
      </c>
      <c r="AI94" s="23" t="s">
        <v>57</v>
      </c>
      <c r="AJ94">
        <v>16</v>
      </c>
      <c r="AK94">
        <v>29</v>
      </c>
      <c r="AL94">
        <v>8</v>
      </c>
      <c r="AM94">
        <v>1</v>
      </c>
      <c r="AN94" s="23">
        <v>0</v>
      </c>
      <c r="AO94" s="23">
        <v>0</v>
      </c>
      <c r="AP94" s="23">
        <v>0</v>
      </c>
      <c r="AQ94" s="23">
        <v>0</v>
      </c>
      <c r="AR94" s="35">
        <v>0</v>
      </c>
      <c r="AS94" s="35">
        <v>0</v>
      </c>
      <c r="AT94" s="35">
        <v>3</v>
      </c>
      <c r="AU94" s="31" t="str">
        <f t="shared" si="5"/>
        <v>库存为3</v>
      </c>
      <c r="AV94" s="36" t="str">
        <f>IFERROR(时间!$B$4+AU94,"上周无销量")</f>
        <v>上周无销量</v>
      </c>
    </row>
    <row r="95" spans="1:48">
      <c r="A95" s="21" t="s">
        <v>362</v>
      </c>
      <c r="B95" t="s">
        <v>363</v>
      </c>
      <c r="C95" t="s">
        <v>364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2</v>
      </c>
      <c r="J95" s="33">
        <v>0</v>
      </c>
      <c r="K95" s="33">
        <v>0</v>
      </c>
      <c r="L95" s="33">
        <v>0</v>
      </c>
      <c r="M95">
        <v>2</v>
      </c>
      <c r="N95">
        <v>0</v>
      </c>
      <c r="O95">
        <v>0</v>
      </c>
      <c r="P95" t="s">
        <v>57</v>
      </c>
      <c r="Q95" t="s">
        <v>57</v>
      </c>
      <c r="R95" t="s">
        <v>57</v>
      </c>
      <c r="S95" t="s">
        <v>57</v>
      </c>
      <c r="T95" t="s">
        <v>57</v>
      </c>
      <c r="U95" t="s">
        <v>57</v>
      </c>
      <c r="V95" t="s">
        <v>57</v>
      </c>
      <c r="W95" t="s">
        <v>57</v>
      </c>
      <c r="X95" s="23" t="s">
        <v>57</v>
      </c>
      <c r="Y95" s="23" t="s">
        <v>57</v>
      </c>
      <c r="Z95" s="23" t="s">
        <v>57</v>
      </c>
      <c r="AA95" s="23" t="s">
        <v>57</v>
      </c>
      <c r="AB95" t="s">
        <v>57</v>
      </c>
      <c r="AC95" t="s">
        <v>57</v>
      </c>
      <c r="AD95" t="s">
        <v>57</v>
      </c>
      <c r="AE95" t="s">
        <v>57</v>
      </c>
      <c r="AF95" s="23" t="s">
        <v>57</v>
      </c>
      <c r="AG95" s="23" t="s">
        <v>57</v>
      </c>
      <c r="AH95" s="23" t="s">
        <v>57</v>
      </c>
      <c r="AI95" s="23" t="s">
        <v>57</v>
      </c>
      <c r="AJ95">
        <v>1</v>
      </c>
      <c r="AK95">
        <v>2</v>
      </c>
      <c r="AL95">
        <v>2</v>
      </c>
      <c r="AM95">
        <v>0</v>
      </c>
      <c r="AN95" s="23">
        <v>0</v>
      </c>
      <c r="AO95" s="23">
        <v>0</v>
      </c>
      <c r="AP95" s="23">
        <v>0</v>
      </c>
      <c r="AQ95" s="23" t="s">
        <v>57</v>
      </c>
      <c r="AR95" s="35">
        <v>0</v>
      </c>
      <c r="AS95" s="35">
        <v>0</v>
      </c>
      <c r="AT95" s="35">
        <v>2</v>
      </c>
      <c r="AU95" s="31" t="str">
        <f t="shared" si="5"/>
        <v>库存为2</v>
      </c>
      <c r="AV95" s="36" t="str">
        <f>IFERROR(时间!$B$4+AU95,"上周无销量")</f>
        <v>上周无销量</v>
      </c>
    </row>
    <row r="96" spans="1:48">
      <c r="A96" s="21" t="s">
        <v>365</v>
      </c>
      <c r="B96" t="s">
        <v>366</v>
      </c>
      <c r="C96" t="s">
        <v>367</v>
      </c>
      <c r="D96" s="31">
        <v>1</v>
      </c>
      <c r="E96" s="31">
        <v>0</v>
      </c>
      <c r="F96" s="31">
        <v>1</v>
      </c>
      <c r="G96" s="31">
        <v>0</v>
      </c>
      <c r="H96" s="32">
        <v>89.99</v>
      </c>
      <c r="I96">
        <v>7</v>
      </c>
      <c r="J96" s="33">
        <v>0</v>
      </c>
      <c r="K96" s="33">
        <v>0</v>
      </c>
      <c r="L96" s="33">
        <v>0</v>
      </c>
      <c r="M96">
        <v>7</v>
      </c>
      <c r="N96">
        <v>0</v>
      </c>
      <c r="O96">
        <v>3</v>
      </c>
      <c r="P96">
        <v>99282</v>
      </c>
      <c r="Q96">
        <v>99448</v>
      </c>
      <c r="R96">
        <v>55261</v>
      </c>
      <c r="S96">
        <v>39659</v>
      </c>
      <c r="T96">
        <v>496</v>
      </c>
      <c r="U96">
        <v>497</v>
      </c>
      <c r="V96">
        <v>276</v>
      </c>
      <c r="W96">
        <v>179</v>
      </c>
      <c r="X96" s="23">
        <v>0.00499587034910659</v>
      </c>
      <c r="Y96" s="23">
        <v>0.00499758667846513</v>
      </c>
      <c r="Z96" s="23">
        <v>0.00499448073686687</v>
      </c>
      <c r="AA96" s="23">
        <v>0.00451347739479059</v>
      </c>
      <c r="AB96">
        <v>152.33</v>
      </c>
      <c r="AC96">
        <v>152.51</v>
      </c>
      <c r="AD96">
        <v>76.02</v>
      </c>
      <c r="AE96">
        <v>70.86</v>
      </c>
      <c r="AF96" s="23">
        <v>1.69274363818202</v>
      </c>
      <c r="AG96" s="23" t="s">
        <v>368</v>
      </c>
      <c r="AH96" s="23">
        <v>0.844760528947661</v>
      </c>
      <c r="AI96" s="23" t="s">
        <v>369</v>
      </c>
      <c r="AJ96">
        <v>73</v>
      </c>
      <c r="AK96">
        <v>74</v>
      </c>
      <c r="AL96">
        <v>265</v>
      </c>
      <c r="AM96">
        <v>173</v>
      </c>
      <c r="AN96" s="23">
        <v>0.0136986301369863</v>
      </c>
      <c r="AO96" s="23">
        <v>0</v>
      </c>
      <c r="AP96" s="23">
        <v>0.00377358490566038</v>
      </c>
      <c r="AQ96" s="23">
        <v>0</v>
      </c>
      <c r="AR96" s="35">
        <v>0.142857142857143</v>
      </c>
      <c r="AS96" s="35">
        <v>8.57142857142857</v>
      </c>
      <c r="AT96" s="35">
        <v>-1.57142857142857</v>
      </c>
      <c r="AU96" s="31">
        <f t="shared" si="5"/>
        <v>49</v>
      </c>
      <c r="AV96" s="36">
        <f>IFERROR(时间!$B$4+AU96,"上周无销量")</f>
        <v>43374</v>
      </c>
    </row>
    <row r="97" spans="1:48">
      <c r="A97" s="21" t="s">
        <v>370</v>
      </c>
      <c r="B97" t="s">
        <v>371</v>
      </c>
      <c r="C97" t="s">
        <v>372</v>
      </c>
      <c r="D97" s="31">
        <v>0</v>
      </c>
      <c r="E97" s="31">
        <v>0</v>
      </c>
      <c r="F97" s="31">
        <v>0</v>
      </c>
      <c r="G97" s="31">
        <v>1</v>
      </c>
      <c r="H97" s="32">
        <v>89.99</v>
      </c>
      <c r="I97">
        <v>20</v>
      </c>
      <c r="J97" s="33">
        <v>0</v>
      </c>
      <c r="K97" s="33">
        <v>0</v>
      </c>
      <c r="L97" s="33">
        <v>0</v>
      </c>
      <c r="M97">
        <v>20</v>
      </c>
      <c r="N97">
        <v>0</v>
      </c>
      <c r="O97">
        <v>14</v>
      </c>
      <c r="P97" t="s">
        <v>57</v>
      </c>
      <c r="Q97" t="s">
        <v>57</v>
      </c>
      <c r="R97" t="s">
        <v>57</v>
      </c>
      <c r="S97" t="s">
        <v>57</v>
      </c>
      <c r="T97" t="s">
        <v>57</v>
      </c>
      <c r="U97" t="s">
        <v>57</v>
      </c>
      <c r="V97" t="s">
        <v>57</v>
      </c>
      <c r="W97" t="s">
        <v>57</v>
      </c>
      <c r="X97" s="23" t="s">
        <v>57</v>
      </c>
      <c r="Y97" s="23" t="s">
        <v>57</v>
      </c>
      <c r="Z97" s="23" t="s">
        <v>57</v>
      </c>
      <c r="AA97" s="23" t="s">
        <v>57</v>
      </c>
      <c r="AB97" t="s">
        <v>57</v>
      </c>
      <c r="AC97" t="s">
        <v>57</v>
      </c>
      <c r="AD97" t="s">
        <v>57</v>
      </c>
      <c r="AE97" t="s">
        <v>57</v>
      </c>
      <c r="AF97" s="23" t="s">
        <v>57</v>
      </c>
      <c r="AG97" s="23" t="s">
        <v>57</v>
      </c>
      <c r="AH97" s="23" t="s">
        <v>57</v>
      </c>
      <c r="AI97" s="23" t="s">
        <v>57</v>
      </c>
      <c r="AJ97">
        <v>46</v>
      </c>
      <c r="AK97">
        <v>27</v>
      </c>
      <c r="AL97">
        <v>39</v>
      </c>
      <c r="AM97">
        <v>47</v>
      </c>
      <c r="AN97" s="23">
        <v>0</v>
      </c>
      <c r="AO97" s="23">
        <v>0</v>
      </c>
      <c r="AP97" s="23">
        <v>0</v>
      </c>
      <c r="AQ97" s="23">
        <v>0.0212765957446809</v>
      </c>
      <c r="AR97" s="35">
        <v>0</v>
      </c>
      <c r="AS97" s="35">
        <v>0</v>
      </c>
      <c r="AT97" s="35">
        <v>20</v>
      </c>
      <c r="AU97" s="31" t="str">
        <f t="shared" si="5"/>
        <v>库存为20</v>
      </c>
      <c r="AV97" s="36" t="str">
        <f>IFERROR(时间!$B$4+AU97,"上周无销量")</f>
        <v>上周无销量</v>
      </c>
    </row>
    <row r="98" spans="1:48">
      <c r="A98" s="21" t="s">
        <v>373</v>
      </c>
      <c r="B98" t="s">
        <v>374</v>
      </c>
      <c r="C98" t="s">
        <v>375</v>
      </c>
      <c r="D98" s="31">
        <v>0</v>
      </c>
      <c r="E98" s="31">
        <v>0</v>
      </c>
      <c r="F98" s="31">
        <v>0</v>
      </c>
      <c r="G98" s="31">
        <v>1</v>
      </c>
      <c r="H98" s="32">
        <v>69.99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>
        <v>1116</v>
      </c>
      <c r="Q98">
        <v>1116</v>
      </c>
      <c r="R98">
        <v>0</v>
      </c>
      <c r="S98">
        <v>1134</v>
      </c>
      <c r="T98">
        <v>15</v>
      </c>
      <c r="U98">
        <v>15</v>
      </c>
      <c r="V98">
        <v>0</v>
      </c>
      <c r="W98">
        <v>15</v>
      </c>
      <c r="X98" s="23">
        <v>0.0134408602150538</v>
      </c>
      <c r="Y98" s="23">
        <v>0.0134408602150538</v>
      </c>
      <c r="Z98" s="23" t="s">
        <v>57</v>
      </c>
      <c r="AA98" s="23">
        <v>0.0132275132275132</v>
      </c>
      <c r="AB98">
        <v>2.45</v>
      </c>
      <c r="AC98">
        <v>2.45</v>
      </c>
      <c r="AD98">
        <v>0</v>
      </c>
      <c r="AE98">
        <v>2.45</v>
      </c>
      <c r="AF98" s="23" t="s">
        <v>376</v>
      </c>
      <c r="AG98" s="23" t="s">
        <v>376</v>
      </c>
      <c r="AH98" s="23" t="s">
        <v>57</v>
      </c>
      <c r="AI98" s="23">
        <v>0.0350050007143878</v>
      </c>
      <c r="AJ98">
        <v>0</v>
      </c>
      <c r="AK98">
        <v>0</v>
      </c>
      <c r="AL98">
        <v>0</v>
      </c>
      <c r="AM98">
        <v>12</v>
      </c>
      <c r="AN98" s="23" t="s">
        <v>57</v>
      </c>
      <c r="AO98" s="23" t="s">
        <v>57</v>
      </c>
      <c r="AP98" s="23" t="s">
        <v>57</v>
      </c>
      <c r="AQ98" s="23">
        <v>0.0833333333333333</v>
      </c>
      <c r="AR98" s="35">
        <v>0</v>
      </c>
      <c r="AS98" s="35">
        <v>0</v>
      </c>
      <c r="AT98" s="35">
        <v>0</v>
      </c>
      <c r="AU98" s="31" t="str">
        <f t="shared" si="5"/>
        <v>库存为0</v>
      </c>
      <c r="AV98" s="36" t="str">
        <f>IFERROR(时间!$B$4+AU98,"上周无销量")</f>
        <v>上周无销量</v>
      </c>
    </row>
    <row r="99" spans="1:48">
      <c r="A99" s="21" t="s">
        <v>377</v>
      </c>
      <c r="B99" t="s">
        <v>378</v>
      </c>
      <c r="C99" t="s">
        <v>375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>
        <v>19073</v>
      </c>
      <c r="Q99">
        <v>19073</v>
      </c>
      <c r="R99">
        <v>0</v>
      </c>
      <c r="S99">
        <v>0</v>
      </c>
      <c r="T99">
        <v>249</v>
      </c>
      <c r="U99">
        <v>249</v>
      </c>
      <c r="V99">
        <v>0</v>
      </c>
      <c r="W99">
        <v>0</v>
      </c>
      <c r="X99" s="23">
        <v>0.0130551040738216</v>
      </c>
      <c r="Y99" s="23">
        <v>0.0130551040738216</v>
      </c>
      <c r="Z99" s="23" t="s">
        <v>57</v>
      </c>
      <c r="AA99" s="23" t="s">
        <v>57</v>
      </c>
      <c r="AB99">
        <v>36.43</v>
      </c>
      <c r="AC99">
        <v>36.43</v>
      </c>
      <c r="AD99">
        <v>0</v>
      </c>
      <c r="AE99">
        <v>0</v>
      </c>
      <c r="AF99" s="23" t="s">
        <v>379</v>
      </c>
      <c r="AG99" s="23" t="s">
        <v>379</v>
      </c>
      <c r="AH99" s="23" t="s">
        <v>57</v>
      </c>
      <c r="AI99" s="23" t="s">
        <v>57</v>
      </c>
      <c r="AJ99">
        <v>0</v>
      </c>
      <c r="AK99">
        <v>0</v>
      </c>
      <c r="AL99">
        <v>0</v>
      </c>
      <c r="AM99">
        <v>0</v>
      </c>
      <c r="AN99" s="23" t="s">
        <v>57</v>
      </c>
      <c r="AO99" s="23" t="s">
        <v>57</v>
      </c>
      <c r="AP99" s="23" t="s">
        <v>57</v>
      </c>
      <c r="AQ99" s="23" t="s">
        <v>57</v>
      </c>
      <c r="AR99" s="35">
        <v>0</v>
      </c>
      <c r="AS99" s="35">
        <v>0</v>
      </c>
      <c r="AT99" s="35">
        <v>0</v>
      </c>
      <c r="AU99" s="31" t="str">
        <f t="shared" si="5"/>
        <v>库存为0</v>
      </c>
      <c r="AV99" s="36" t="str">
        <f>IFERROR(时间!$B$4+AU99,"上周无销量")</f>
        <v>上周无销量</v>
      </c>
    </row>
    <row r="100" spans="1:48">
      <c r="A100" s="21" t="s">
        <v>380</v>
      </c>
      <c r="B100" t="s">
        <v>381</v>
      </c>
      <c r="C100" t="s">
        <v>382</v>
      </c>
      <c r="D100" s="31">
        <v>2</v>
      </c>
      <c r="E100" s="31">
        <v>1</v>
      </c>
      <c r="F100" s="31">
        <v>0</v>
      </c>
      <c r="G100" s="31">
        <v>0</v>
      </c>
      <c r="H100" s="32">
        <v>59.99</v>
      </c>
      <c r="I100">
        <v>1</v>
      </c>
      <c r="J100" s="33">
        <v>0</v>
      </c>
      <c r="K100" s="33">
        <v>0</v>
      </c>
      <c r="L100" s="33">
        <v>0</v>
      </c>
      <c r="M100">
        <v>1</v>
      </c>
      <c r="N100">
        <v>0</v>
      </c>
      <c r="O100">
        <v>4</v>
      </c>
      <c r="P100">
        <v>8521</v>
      </c>
      <c r="Q100">
        <v>8522</v>
      </c>
      <c r="R100">
        <v>1655</v>
      </c>
      <c r="S100">
        <v>1639</v>
      </c>
      <c r="T100">
        <v>101</v>
      </c>
      <c r="U100">
        <v>101</v>
      </c>
      <c r="V100">
        <v>27</v>
      </c>
      <c r="W100">
        <v>15</v>
      </c>
      <c r="X100" s="23">
        <v>0.0118530688886281</v>
      </c>
      <c r="Y100" s="23">
        <v>0.0118516780098568</v>
      </c>
      <c r="Z100" s="23">
        <v>0.0163141993957704</v>
      </c>
      <c r="AA100" s="23">
        <v>0.00915192190359976</v>
      </c>
      <c r="AB100">
        <v>19.01</v>
      </c>
      <c r="AC100">
        <v>19.01</v>
      </c>
      <c r="AD100">
        <v>6.06</v>
      </c>
      <c r="AE100">
        <v>3.78</v>
      </c>
      <c r="AF100" s="23">
        <v>0.158443073845641</v>
      </c>
      <c r="AG100" s="23">
        <v>0.316886147691282</v>
      </c>
      <c r="AH100" s="23" t="s">
        <v>383</v>
      </c>
      <c r="AI100" s="23" t="s">
        <v>384</v>
      </c>
      <c r="AJ100">
        <v>92</v>
      </c>
      <c r="AK100">
        <v>51</v>
      </c>
      <c r="AL100">
        <v>45</v>
      </c>
      <c r="AM100">
        <v>19</v>
      </c>
      <c r="AN100" s="23">
        <v>0.0217391304347826</v>
      </c>
      <c r="AO100" s="23">
        <v>0.0196078431372549</v>
      </c>
      <c r="AP100" s="23">
        <v>0</v>
      </c>
      <c r="AQ100" s="23">
        <v>0</v>
      </c>
      <c r="AR100" s="35">
        <v>0.285714285714286</v>
      </c>
      <c r="AS100" s="35">
        <v>17.1428571428571</v>
      </c>
      <c r="AT100" s="35">
        <v>-16.1428571428571</v>
      </c>
      <c r="AU100" s="31">
        <f t="shared" si="5"/>
        <v>3</v>
      </c>
      <c r="AV100" s="36">
        <f>IFERROR(时间!$B$4+AU100,"上周无销量")</f>
        <v>43328</v>
      </c>
    </row>
    <row r="101" spans="1:48">
      <c r="A101" s="21" t="s">
        <v>385</v>
      </c>
      <c r="B101" t="s">
        <v>386</v>
      </c>
      <c r="C101" t="s">
        <v>387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7</v>
      </c>
      <c r="J101" s="33">
        <v>0</v>
      </c>
      <c r="K101" s="33">
        <v>10</v>
      </c>
      <c r="L101" s="33">
        <v>0</v>
      </c>
      <c r="M101">
        <v>17</v>
      </c>
      <c r="N101">
        <v>0</v>
      </c>
      <c r="O101">
        <v>0</v>
      </c>
      <c r="P101">
        <v>15876</v>
      </c>
      <c r="Q101">
        <v>15876</v>
      </c>
      <c r="R101">
        <v>0</v>
      </c>
      <c r="S101">
        <v>0</v>
      </c>
      <c r="T101">
        <v>99</v>
      </c>
      <c r="U101">
        <v>99</v>
      </c>
      <c r="V101">
        <v>0</v>
      </c>
      <c r="W101">
        <v>0</v>
      </c>
      <c r="X101" s="23">
        <v>0.00623582766439909</v>
      </c>
      <c r="Y101" s="23">
        <v>0.00623582766439909</v>
      </c>
      <c r="Z101" s="23" t="s">
        <v>57</v>
      </c>
      <c r="AA101" s="23" t="s">
        <v>57</v>
      </c>
      <c r="AB101">
        <v>13.3</v>
      </c>
      <c r="AC101">
        <v>13.3</v>
      </c>
      <c r="AD101">
        <v>0</v>
      </c>
      <c r="AE101">
        <v>0</v>
      </c>
      <c r="AF101" s="23" t="s">
        <v>388</v>
      </c>
      <c r="AG101" s="23" t="s">
        <v>388</v>
      </c>
      <c r="AH101" s="23" t="s">
        <v>57</v>
      </c>
      <c r="AI101" s="23" t="s">
        <v>57</v>
      </c>
      <c r="AJ101">
        <v>23</v>
      </c>
      <c r="AK101">
        <v>16</v>
      </c>
      <c r="AL101">
        <v>17</v>
      </c>
      <c r="AM101">
        <v>12</v>
      </c>
      <c r="AN101" s="23">
        <v>0</v>
      </c>
      <c r="AO101" s="23">
        <v>0</v>
      </c>
      <c r="AP101" s="23">
        <v>0</v>
      </c>
      <c r="AQ101" s="23">
        <v>0</v>
      </c>
      <c r="AR101" s="35">
        <v>0</v>
      </c>
      <c r="AS101" s="35">
        <v>0</v>
      </c>
      <c r="AT101" s="35">
        <v>17</v>
      </c>
      <c r="AU101" s="31" t="str">
        <f t="shared" si="5"/>
        <v>库存为17</v>
      </c>
      <c r="AV101" s="36" t="str">
        <f>IFERROR(时间!$B$4+AU101,"上周无销量")</f>
        <v>上周无销量</v>
      </c>
    </row>
    <row r="102" spans="1:48">
      <c r="A102" s="21" t="s">
        <v>389</v>
      </c>
      <c r="B102" t="s">
        <v>390</v>
      </c>
      <c r="C102" t="s">
        <v>391</v>
      </c>
      <c r="D102" s="31">
        <v>0</v>
      </c>
      <c r="E102" s="31">
        <v>2</v>
      </c>
      <c r="F102" s="31">
        <v>2</v>
      </c>
      <c r="G102" s="31">
        <v>0</v>
      </c>
      <c r="H102" s="32">
        <v>88.99</v>
      </c>
      <c r="I102">
        <v>4</v>
      </c>
      <c r="J102" s="33">
        <v>0</v>
      </c>
      <c r="K102" s="33">
        <v>0</v>
      </c>
      <c r="L102" s="33">
        <v>0</v>
      </c>
      <c r="M102">
        <v>4</v>
      </c>
      <c r="N102">
        <v>0</v>
      </c>
      <c r="O102">
        <v>4</v>
      </c>
      <c r="P102">
        <v>201368</v>
      </c>
      <c r="Q102">
        <v>202640</v>
      </c>
      <c r="R102">
        <v>106985</v>
      </c>
      <c r="S102">
        <v>57558</v>
      </c>
      <c r="T102">
        <v>1112</v>
      </c>
      <c r="U102">
        <v>1117</v>
      </c>
      <c r="V102">
        <v>561</v>
      </c>
      <c r="W102">
        <v>347</v>
      </c>
      <c r="X102" s="23">
        <v>0.00552222796074848</v>
      </c>
      <c r="Y102" s="23">
        <v>0.00551223845242795</v>
      </c>
      <c r="Z102" s="23">
        <v>0.0052437257559471</v>
      </c>
      <c r="AA102" s="23">
        <v>0.00602870148372077</v>
      </c>
      <c r="AB102">
        <v>339.63</v>
      </c>
      <c r="AC102">
        <v>340.83</v>
      </c>
      <c r="AD102">
        <v>163.69</v>
      </c>
      <c r="AE102">
        <v>120.89</v>
      </c>
      <c r="AF102" s="23" t="s">
        <v>392</v>
      </c>
      <c r="AG102" s="23">
        <v>1.91499044836498</v>
      </c>
      <c r="AH102" s="23">
        <v>0.919710079784245</v>
      </c>
      <c r="AI102" s="23" t="s">
        <v>393</v>
      </c>
      <c r="AJ102">
        <v>280</v>
      </c>
      <c r="AK102">
        <v>493</v>
      </c>
      <c r="AL102">
        <v>463</v>
      </c>
      <c r="AM102">
        <v>248</v>
      </c>
      <c r="AN102" s="23">
        <v>0</v>
      </c>
      <c r="AO102" s="23">
        <v>0.00405679513184584</v>
      </c>
      <c r="AP102" s="23">
        <v>0.00431965442764579</v>
      </c>
      <c r="AQ102" s="23">
        <v>0</v>
      </c>
      <c r="AR102" s="35">
        <v>0</v>
      </c>
      <c r="AS102" s="35">
        <v>0</v>
      </c>
      <c r="AT102" s="35">
        <v>4</v>
      </c>
      <c r="AU102" s="31" t="str">
        <f t="shared" si="5"/>
        <v>库存为4</v>
      </c>
      <c r="AV102" s="36" t="str">
        <f>IFERROR(时间!$B$4+AU102,"上周无销量")</f>
        <v>上周无销量</v>
      </c>
    </row>
    <row r="103" spans="1:48">
      <c r="A103" s="21" t="s">
        <v>394</v>
      </c>
      <c r="B103" t="s">
        <v>395</v>
      </c>
      <c r="C103" t="s">
        <v>396</v>
      </c>
      <c r="D103" s="31">
        <v>3</v>
      </c>
      <c r="E103" s="31">
        <v>2</v>
      </c>
      <c r="F103" s="31">
        <v>7</v>
      </c>
      <c r="G103" s="31">
        <v>2</v>
      </c>
      <c r="H103" s="32">
        <v>85.99</v>
      </c>
      <c r="I103">
        <v>4</v>
      </c>
      <c r="J103" s="33">
        <v>0</v>
      </c>
      <c r="K103" s="33">
        <v>0</v>
      </c>
      <c r="L103" s="33">
        <v>0</v>
      </c>
      <c r="M103">
        <v>4</v>
      </c>
      <c r="N103">
        <v>0</v>
      </c>
      <c r="O103">
        <v>0</v>
      </c>
      <c r="P103">
        <v>363544</v>
      </c>
      <c r="Q103">
        <v>363947</v>
      </c>
      <c r="R103">
        <v>45269</v>
      </c>
      <c r="S103">
        <v>57494</v>
      </c>
      <c r="T103">
        <v>1690</v>
      </c>
      <c r="U103">
        <v>1693</v>
      </c>
      <c r="V103">
        <v>294</v>
      </c>
      <c r="W103">
        <v>298</v>
      </c>
      <c r="X103" s="23">
        <v>0.00464868076491429</v>
      </c>
      <c r="Y103" s="23">
        <v>0.00465177622016393</v>
      </c>
      <c r="Z103" s="23">
        <v>0.00649451059223751</v>
      </c>
      <c r="AA103" s="23">
        <v>0.00518314954603959</v>
      </c>
      <c r="AB103">
        <v>268.22</v>
      </c>
      <c r="AC103">
        <v>268.6</v>
      </c>
      <c r="AD103">
        <v>36.93</v>
      </c>
      <c r="AE103">
        <v>50.59</v>
      </c>
      <c r="AF103" s="23">
        <v>1.03973330232198</v>
      </c>
      <c r="AG103" s="23">
        <v>1.56180951273404</v>
      </c>
      <c r="AH103" s="23">
        <v>0.0613526489791172</v>
      </c>
      <c r="AI103" s="23">
        <v>0.294162111873474</v>
      </c>
      <c r="AJ103">
        <v>621</v>
      </c>
      <c r="AK103">
        <v>328</v>
      </c>
      <c r="AL103">
        <v>297</v>
      </c>
      <c r="AM103">
        <v>276</v>
      </c>
      <c r="AN103" s="23">
        <v>0.00483091787439614</v>
      </c>
      <c r="AO103" s="23">
        <v>0.00609756097560976</v>
      </c>
      <c r="AP103" s="23">
        <v>0.0235690235690236</v>
      </c>
      <c r="AQ103" s="23">
        <v>0.0072463768115942</v>
      </c>
      <c r="AR103" s="35">
        <v>0.428571428571429</v>
      </c>
      <c r="AS103" s="35">
        <v>25.7142857142857</v>
      </c>
      <c r="AT103" s="35">
        <v>-21.7142857142857</v>
      </c>
      <c r="AU103" s="31">
        <f t="shared" si="5"/>
        <v>9</v>
      </c>
      <c r="AV103" s="36">
        <f>IFERROR(时间!$B$4+AU103,"上周无销量")</f>
        <v>43334</v>
      </c>
    </row>
    <row r="104" spans="1:48">
      <c r="A104" s="21" t="s">
        <v>397</v>
      </c>
      <c r="B104" t="s">
        <v>398</v>
      </c>
      <c r="C104" t="s">
        <v>396</v>
      </c>
      <c r="D104" s="31">
        <v>1</v>
      </c>
      <c r="E104" s="31">
        <v>1</v>
      </c>
      <c r="F104" s="31">
        <v>1</v>
      </c>
      <c r="G104" s="31">
        <v>1</v>
      </c>
      <c r="H104" s="32">
        <v>85.99</v>
      </c>
      <c r="I104">
        <v>5</v>
      </c>
      <c r="J104" s="33">
        <v>0</v>
      </c>
      <c r="K104" s="33">
        <v>0</v>
      </c>
      <c r="L104" s="33">
        <v>0</v>
      </c>
      <c r="M104">
        <v>5</v>
      </c>
      <c r="N104">
        <v>0</v>
      </c>
      <c r="O104">
        <v>0</v>
      </c>
      <c r="P104">
        <v>36965</v>
      </c>
      <c r="Q104">
        <v>37153</v>
      </c>
      <c r="R104">
        <v>24958</v>
      </c>
      <c r="S104">
        <v>5897</v>
      </c>
      <c r="T104">
        <v>297</v>
      </c>
      <c r="U104">
        <v>298</v>
      </c>
      <c r="V104">
        <v>184</v>
      </c>
      <c r="W104">
        <v>64</v>
      </c>
      <c r="X104" s="23">
        <v>0.00803462735019613</v>
      </c>
      <c r="Y104" s="23">
        <v>0.00802088660404274</v>
      </c>
      <c r="Z104" s="23">
        <v>0.00737238560782114</v>
      </c>
      <c r="AA104" s="23">
        <v>0.0108529760895371</v>
      </c>
      <c r="AB104">
        <v>41.19</v>
      </c>
      <c r="AC104">
        <v>41.36</v>
      </c>
      <c r="AD104">
        <v>23.67</v>
      </c>
      <c r="AE104">
        <v>11.43</v>
      </c>
      <c r="AF104" s="23">
        <v>0.479009187114781</v>
      </c>
      <c r="AG104" s="23">
        <v>0.480986161181533</v>
      </c>
      <c r="AH104" s="23">
        <v>0.275264565647168</v>
      </c>
      <c r="AI104" s="23">
        <v>0.132922432841028</v>
      </c>
      <c r="AJ104">
        <v>484</v>
      </c>
      <c r="AK104">
        <v>235</v>
      </c>
      <c r="AL104">
        <v>159</v>
      </c>
      <c r="AM104">
        <v>64</v>
      </c>
      <c r="AN104" s="23">
        <v>0.00206611570247934</v>
      </c>
      <c r="AO104" s="23">
        <v>0.00425531914893617</v>
      </c>
      <c r="AP104" s="23">
        <v>0.00628930817610063</v>
      </c>
      <c r="AQ104" s="23">
        <v>0.015625</v>
      </c>
      <c r="AR104" s="35">
        <v>0.142857142857143</v>
      </c>
      <c r="AS104" s="35">
        <v>8.57142857142857</v>
      </c>
      <c r="AT104" s="35">
        <v>-3.57142857142857</v>
      </c>
      <c r="AU104" s="31">
        <f t="shared" si="5"/>
        <v>35</v>
      </c>
      <c r="AV104" s="36">
        <f>IFERROR(时间!$B$4+AU104,"上周无销量")</f>
        <v>43360</v>
      </c>
    </row>
    <row r="105" spans="1:48">
      <c r="A105" s="21" t="s">
        <v>399</v>
      </c>
      <c r="B105" t="s">
        <v>400</v>
      </c>
      <c r="C105" t="s">
        <v>401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17</v>
      </c>
      <c r="J105" s="33">
        <v>0</v>
      </c>
      <c r="K105" s="33">
        <v>0</v>
      </c>
      <c r="L105" s="33">
        <v>0</v>
      </c>
      <c r="M105">
        <v>17</v>
      </c>
      <c r="N105">
        <v>0</v>
      </c>
      <c r="O105">
        <v>17</v>
      </c>
      <c r="P105" t="s">
        <v>57</v>
      </c>
      <c r="Q105" t="s">
        <v>57</v>
      </c>
      <c r="R105" t="s">
        <v>57</v>
      </c>
      <c r="S105" t="s">
        <v>57</v>
      </c>
      <c r="T105" t="s">
        <v>57</v>
      </c>
      <c r="U105" t="s">
        <v>57</v>
      </c>
      <c r="V105" t="s">
        <v>57</v>
      </c>
      <c r="W105" t="s">
        <v>57</v>
      </c>
      <c r="X105" s="23" t="s">
        <v>57</v>
      </c>
      <c r="Y105" s="23" t="s">
        <v>57</v>
      </c>
      <c r="Z105" s="23" t="s">
        <v>57</v>
      </c>
      <c r="AA105" s="23" t="s">
        <v>57</v>
      </c>
      <c r="AB105" t="s">
        <v>57</v>
      </c>
      <c r="AC105" t="s">
        <v>57</v>
      </c>
      <c r="AD105" t="s">
        <v>57</v>
      </c>
      <c r="AE105" t="s">
        <v>57</v>
      </c>
      <c r="AF105" s="23" t="s">
        <v>57</v>
      </c>
      <c r="AG105" s="23" t="s">
        <v>57</v>
      </c>
      <c r="AH105" s="23" t="s">
        <v>57</v>
      </c>
      <c r="AI105" s="23" t="s">
        <v>57</v>
      </c>
      <c r="AJ105">
        <v>21</v>
      </c>
      <c r="AK105">
        <v>12</v>
      </c>
      <c r="AL105">
        <v>17</v>
      </c>
      <c r="AM105">
        <v>29</v>
      </c>
      <c r="AN105" s="23">
        <v>0</v>
      </c>
      <c r="AO105" s="23">
        <v>0</v>
      </c>
      <c r="AP105" s="23">
        <v>0</v>
      </c>
      <c r="AQ105" s="23">
        <v>0</v>
      </c>
      <c r="AR105" s="35">
        <v>0</v>
      </c>
      <c r="AS105" s="35">
        <v>0</v>
      </c>
      <c r="AT105" s="35">
        <v>17</v>
      </c>
      <c r="AU105" s="31" t="str">
        <f t="shared" si="5"/>
        <v>库存为17</v>
      </c>
      <c r="AV105" s="36" t="str">
        <f>IFERROR(时间!$B$4+AU105,"上周无销量")</f>
        <v>上周无销量</v>
      </c>
    </row>
    <row r="106" spans="1:48">
      <c r="A106" s="21" t="s">
        <v>402</v>
      </c>
      <c r="B106" t="s">
        <v>403</v>
      </c>
      <c r="C106" t="s">
        <v>404</v>
      </c>
      <c r="D106" s="31">
        <v>0</v>
      </c>
      <c r="E106" s="31">
        <v>0</v>
      </c>
      <c r="F106" s="31">
        <v>1</v>
      </c>
      <c r="G106" s="31">
        <v>1</v>
      </c>
      <c r="H106" s="32">
        <v>99.99</v>
      </c>
      <c r="I106">
        <v>9</v>
      </c>
      <c r="J106" s="33">
        <v>0</v>
      </c>
      <c r="K106" s="33">
        <v>0</v>
      </c>
      <c r="L106" s="33">
        <v>0</v>
      </c>
      <c r="M106">
        <v>9</v>
      </c>
      <c r="N106">
        <v>2</v>
      </c>
      <c r="O106">
        <v>0</v>
      </c>
      <c r="P106">
        <v>81802</v>
      </c>
      <c r="Q106">
        <v>82026</v>
      </c>
      <c r="R106">
        <v>16358</v>
      </c>
      <c r="S106">
        <v>30092</v>
      </c>
      <c r="T106">
        <v>559</v>
      </c>
      <c r="U106">
        <v>561</v>
      </c>
      <c r="V106">
        <v>93</v>
      </c>
      <c r="W106">
        <v>197</v>
      </c>
      <c r="X106" s="23">
        <v>0.00683357375125303</v>
      </c>
      <c r="Y106" s="23">
        <v>0.00683929485772804</v>
      </c>
      <c r="Z106" s="23">
        <v>0.00568529160044015</v>
      </c>
      <c r="AA106" s="23">
        <v>0.00654659045593513</v>
      </c>
      <c r="AB106">
        <v>136.75</v>
      </c>
      <c r="AC106">
        <v>137.63</v>
      </c>
      <c r="AD106">
        <v>26.59</v>
      </c>
      <c r="AE106">
        <v>61.48</v>
      </c>
      <c r="AF106" s="23" t="s">
        <v>405</v>
      </c>
      <c r="AG106" s="23" t="s">
        <v>406</v>
      </c>
      <c r="AH106" s="23">
        <v>0.265926592659266</v>
      </c>
      <c r="AI106" s="23">
        <v>0.614861486148615</v>
      </c>
      <c r="AJ106">
        <v>119</v>
      </c>
      <c r="AK106">
        <v>205</v>
      </c>
      <c r="AL106">
        <v>115</v>
      </c>
      <c r="AM106">
        <v>220</v>
      </c>
      <c r="AN106" s="23">
        <v>0</v>
      </c>
      <c r="AO106" s="23">
        <v>0</v>
      </c>
      <c r="AP106" s="23">
        <v>0.00869565217391304</v>
      </c>
      <c r="AQ106" s="23">
        <v>0.00454545454545455</v>
      </c>
      <c r="AR106" s="35">
        <v>0</v>
      </c>
      <c r="AS106" s="35">
        <v>0</v>
      </c>
      <c r="AT106" s="35">
        <v>9</v>
      </c>
      <c r="AU106" s="31" t="str">
        <f t="shared" si="5"/>
        <v>库存为9</v>
      </c>
      <c r="AV106" s="36" t="str">
        <f>IFERROR(时间!$B$4+AU106,"上周无销量")</f>
        <v>上周无销量</v>
      </c>
    </row>
    <row r="107" spans="1:48">
      <c r="A107" s="21" t="s">
        <v>407</v>
      </c>
      <c r="B107" t="s">
        <v>408</v>
      </c>
      <c r="C107" t="s">
        <v>409</v>
      </c>
      <c r="D107" s="31">
        <v>0</v>
      </c>
      <c r="E107" s="31">
        <v>2</v>
      </c>
      <c r="F107" s="31">
        <v>0</v>
      </c>
      <c r="G107" s="31">
        <v>1</v>
      </c>
      <c r="H107" s="32">
        <v>99.6</v>
      </c>
      <c r="I107">
        <v>39</v>
      </c>
      <c r="J107" s="33">
        <v>0</v>
      </c>
      <c r="K107" s="33">
        <v>0</v>
      </c>
      <c r="L107" s="33">
        <v>0</v>
      </c>
      <c r="M107">
        <v>39</v>
      </c>
      <c r="N107">
        <v>0</v>
      </c>
      <c r="O107">
        <v>9</v>
      </c>
      <c r="P107">
        <v>4</v>
      </c>
      <c r="Q107">
        <v>4</v>
      </c>
      <c r="R107">
        <v>0</v>
      </c>
      <c r="S107">
        <v>1</v>
      </c>
      <c r="T107">
        <v>2</v>
      </c>
      <c r="U107">
        <v>2</v>
      </c>
      <c r="V107">
        <v>0</v>
      </c>
      <c r="W107">
        <v>0</v>
      </c>
      <c r="X107" s="23">
        <v>0.5</v>
      </c>
      <c r="Y107" s="23">
        <v>0.5</v>
      </c>
      <c r="Z107" s="23" t="s">
        <v>57</v>
      </c>
      <c r="AA107" s="23">
        <v>0</v>
      </c>
      <c r="AB107">
        <v>0.48</v>
      </c>
      <c r="AC107">
        <v>0.48</v>
      </c>
      <c r="AD107">
        <v>0</v>
      </c>
      <c r="AE107">
        <v>0</v>
      </c>
      <c r="AF107" s="23" t="s">
        <v>410</v>
      </c>
      <c r="AG107" s="23">
        <v>0.00240963855421687</v>
      </c>
      <c r="AH107" s="23" t="s">
        <v>57</v>
      </c>
      <c r="AI107" s="23" t="s">
        <v>57</v>
      </c>
      <c r="AJ107">
        <v>52</v>
      </c>
      <c r="AK107">
        <v>58</v>
      </c>
      <c r="AL107">
        <v>65</v>
      </c>
      <c r="AM107">
        <v>74</v>
      </c>
      <c r="AN107" s="23">
        <v>0</v>
      </c>
      <c r="AO107" s="23">
        <v>0.0344827586206897</v>
      </c>
      <c r="AP107" s="23">
        <v>0</v>
      </c>
      <c r="AQ107" s="23">
        <v>0.0135135135135135</v>
      </c>
      <c r="AR107" s="35">
        <v>0</v>
      </c>
      <c r="AS107" s="35">
        <v>0</v>
      </c>
      <c r="AT107" s="35">
        <v>39</v>
      </c>
      <c r="AU107" s="31" t="str">
        <f t="shared" si="5"/>
        <v>库存为39</v>
      </c>
      <c r="AV107" s="36" t="str">
        <f>IFERROR(时间!$B$4+AU107,"上周无销量")</f>
        <v>上周无销量</v>
      </c>
    </row>
    <row r="108" spans="1:48">
      <c r="A108" s="21" t="s">
        <v>411</v>
      </c>
      <c r="B108" t="s">
        <v>412</v>
      </c>
      <c r="C108" t="s">
        <v>409</v>
      </c>
      <c r="D108" s="31">
        <v>0</v>
      </c>
      <c r="E108" s="31">
        <v>1</v>
      </c>
      <c r="F108" s="31">
        <v>3</v>
      </c>
      <c r="G108" s="31">
        <v>2</v>
      </c>
      <c r="H108" s="32">
        <v>83</v>
      </c>
      <c r="I108">
        <v>31</v>
      </c>
      <c r="J108" s="33">
        <v>0</v>
      </c>
      <c r="K108" s="33">
        <v>0</v>
      </c>
      <c r="L108" s="33">
        <v>2</v>
      </c>
      <c r="M108">
        <v>33</v>
      </c>
      <c r="N108">
        <v>0</v>
      </c>
      <c r="O108">
        <v>0</v>
      </c>
      <c r="P108">
        <v>56804</v>
      </c>
      <c r="Q108">
        <v>56917</v>
      </c>
      <c r="R108">
        <v>36616</v>
      </c>
      <c r="S108">
        <v>16042</v>
      </c>
      <c r="T108">
        <v>187</v>
      </c>
      <c r="U108">
        <v>188</v>
      </c>
      <c r="V108">
        <v>108</v>
      </c>
      <c r="W108">
        <v>63</v>
      </c>
      <c r="X108" s="23">
        <v>0.00329202168861348</v>
      </c>
      <c r="Y108" s="23">
        <v>0.00330305532617671</v>
      </c>
      <c r="Z108" s="23">
        <v>0.00294953025999563</v>
      </c>
      <c r="AA108" s="23">
        <v>0.00392719112330133</v>
      </c>
      <c r="AB108">
        <v>66.61</v>
      </c>
      <c r="AC108">
        <v>66.97</v>
      </c>
      <c r="AD108">
        <v>33.6</v>
      </c>
      <c r="AE108">
        <v>27.4</v>
      </c>
      <c r="AF108" s="23" t="s">
        <v>413</v>
      </c>
      <c r="AG108" s="23">
        <v>0.806867469879518</v>
      </c>
      <c r="AH108" s="23">
        <v>0.134939759036145</v>
      </c>
      <c r="AI108" s="23">
        <v>0.165060240963855</v>
      </c>
      <c r="AJ108">
        <v>140</v>
      </c>
      <c r="AK108">
        <v>207</v>
      </c>
      <c r="AL108">
        <v>251</v>
      </c>
      <c r="AM108">
        <v>244</v>
      </c>
      <c r="AN108" s="23">
        <v>0</v>
      </c>
      <c r="AO108" s="23">
        <v>0.00483091787439614</v>
      </c>
      <c r="AP108" s="23">
        <v>0.0119521912350598</v>
      </c>
      <c r="AQ108" s="23">
        <v>0.00819672131147541</v>
      </c>
      <c r="AR108" s="35">
        <v>0</v>
      </c>
      <c r="AS108" s="35">
        <v>0</v>
      </c>
      <c r="AT108" s="35">
        <v>33</v>
      </c>
      <c r="AU108" s="31" t="str">
        <f t="shared" si="5"/>
        <v>库存为33</v>
      </c>
      <c r="AV108" s="36" t="str">
        <f>IFERROR(时间!$B$4+AU108,"上周无销量")</f>
        <v>上周无销量</v>
      </c>
    </row>
    <row r="109" spans="1:48">
      <c r="A109" s="21" t="s">
        <v>414</v>
      </c>
      <c r="B109" t="s">
        <v>415</v>
      </c>
      <c r="C109" t="s">
        <v>416</v>
      </c>
      <c r="D109" s="31">
        <v>0</v>
      </c>
      <c r="E109" s="31">
        <v>0</v>
      </c>
      <c r="F109" s="31">
        <v>2</v>
      </c>
      <c r="G109" s="31">
        <v>1</v>
      </c>
      <c r="H109" s="32">
        <v>99.99</v>
      </c>
      <c r="I109">
        <v>1</v>
      </c>
      <c r="J109" s="33">
        <v>5</v>
      </c>
      <c r="K109" s="33">
        <v>1</v>
      </c>
      <c r="L109" s="33">
        <v>0</v>
      </c>
      <c r="M109">
        <v>7</v>
      </c>
      <c r="N109">
        <v>0</v>
      </c>
      <c r="O109">
        <v>0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 s="23">
        <v>0</v>
      </c>
      <c r="Y109" s="23">
        <v>0</v>
      </c>
      <c r="Z109" s="23" t="s">
        <v>57</v>
      </c>
      <c r="AA109" s="23" t="s">
        <v>57</v>
      </c>
      <c r="AB109">
        <v>0</v>
      </c>
      <c r="AC109">
        <v>0</v>
      </c>
      <c r="AD109">
        <v>0</v>
      </c>
      <c r="AE109">
        <v>0</v>
      </c>
      <c r="AF109" s="23" t="s">
        <v>57</v>
      </c>
      <c r="AG109" s="23" t="s">
        <v>57</v>
      </c>
      <c r="AH109" s="23" t="s">
        <v>57</v>
      </c>
      <c r="AI109" s="23" t="s">
        <v>57</v>
      </c>
      <c r="AJ109">
        <v>36</v>
      </c>
      <c r="AK109">
        <v>8</v>
      </c>
      <c r="AL109">
        <v>24</v>
      </c>
      <c r="AM109">
        <v>37</v>
      </c>
      <c r="AN109" s="23">
        <v>0</v>
      </c>
      <c r="AO109" s="23">
        <v>0</v>
      </c>
      <c r="AP109" s="23">
        <v>0.0833333333333333</v>
      </c>
      <c r="AQ109" s="23">
        <v>0.027027027027027</v>
      </c>
      <c r="AR109" s="35">
        <v>0</v>
      </c>
      <c r="AS109" s="35">
        <v>0</v>
      </c>
      <c r="AT109" s="35">
        <v>7</v>
      </c>
      <c r="AU109" s="31" t="str">
        <f t="shared" si="5"/>
        <v>库存为7</v>
      </c>
      <c r="AV109" s="36" t="str">
        <f>IFERROR(时间!$B$4+AU109,"上周无销量")</f>
        <v>上周无销量</v>
      </c>
    </row>
    <row r="110" spans="1:48">
      <c r="A110" s="21" t="s">
        <v>417</v>
      </c>
      <c r="B110" t="s">
        <v>418</v>
      </c>
      <c r="C110" t="s">
        <v>416</v>
      </c>
      <c r="D110" s="31">
        <v>1</v>
      </c>
      <c r="E110" s="31">
        <v>0</v>
      </c>
      <c r="F110" s="31">
        <v>0</v>
      </c>
      <c r="G110" s="31">
        <v>0</v>
      </c>
      <c r="H110" s="32">
        <v>99.99</v>
      </c>
      <c r="I110">
        <v>5</v>
      </c>
      <c r="J110" s="33">
        <v>0</v>
      </c>
      <c r="K110" s="33">
        <v>0</v>
      </c>
      <c r="L110" s="33">
        <v>0</v>
      </c>
      <c r="M110">
        <v>5</v>
      </c>
      <c r="N110">
        <v>0</v>
      </c>
      <c r="O110">
        <v>0</v>
      </c>
      <c r="P110">
        <v>19</v>
      </c>
      <c r="Q110">
        <v>19</v>
      </c>
      <c r="R110">
        <v>4</v>
      </c>
      <c r="S110">
        <v>4</v>
      </c>
      <c r="T110">
        <v>0</v>
      </c>
      <c r="U110">
        <v>0</v>
      </c>
      <c r="V110">
        <v>0</v>
      </c>
      <c r="W110">
        <v>0</v>
      </c>
      <c r="X110" s="23">
        <v>0</v>
      </c>
      <c r="Y110" s="23">
        <v>0</v>
      </c>
      <c r="Z110" s="23">
        <v>0</v>
      </c>
      <c r="AA110" s="23">
        <v>0</v>
      </c>
      <c r="AB110">
        <v>0</v>
      </c>
      <c r="AC110">
        <v>0</v>
      </c>
      <c r="AD110">
        <v>0</v>
      </c>
      <c r="AE110">
        <v>0</v>
      </c>
      <c r="AF110" s="23" t="s">
        <v>57</v>
      </c>
      <c r="AG110" s="23" t="s">
        <v>57</v>
      </c>
      <c r="AH110" s="23" t="s">
        <v>57</v>
      </c>
      <c r="AI110" s="23" t="s">
        <v>57</v>
      </c>
      <c r="AJ110">
        <v>17</v>
      </c>
      <c r="AK110">
        <v>19</v>
      </c>
      <c r="AL110">
        <v>39</v>
      </c>
      <c r="AM110">
        <v>13</v>
      </c>
      <c r="AN110" s="23">
        <v>0.0588235294117647</v>
      </c>
      <c r="AO110" s="23">
        <v>0</v>
      </c>
      <c r="AP110" s="23">
        <v>0</v>
      </c>
      <c r="AQ110" s="23">
        <v>0</v>
      </c>
      <c r="AR110" s="35">
        <v>0.142857142857143</v>
      </c>
      <c r="AS110" s="35">
        <v>8.57142857142857</v>
      </c>
      <c r="AT110" s="35">
        <v>-3.57142857142857</v>
      </c>
      <c r="AU110" s="31">
        <f t="shared" si="5"/>
        <v>35</v>
      </c>
      <c r="AV110" s="36">
        <f>IFERROR(时间!$B$4+AU110,"上周无销量")</f>
        <v>43360</v>
      </c>
    </row>
    <row r="111" spans="1:48">
      <c r="A111" s="21" t="s">
        <v>419</v>
      </c>
      <c r="B111" t="s">
        <v>420</v>
      </c>
      <c r="C111" t="s">
        <v>421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10</v>
      </c>
      <c r="J111" s="33">
        <v>0</v>
      </c>
      <c r="K111" s="33">
        <v>0</v>
      </c>
      <c r="L111" s="33">
        <v>1</v>
      </c>
      <c r="M111">
        <v>11</v>
      </c>
      <c r="N111">
        <v>0</v>
      </c>
      <c r="O111">
        <v>0</v>
      </c>
      <c r="P111" t="s">
        <v>57</v>
      </c>
      <c r="Q111" t="s">
        <v>57</v>
      </c>
      <c r="R111" t="s">
        <v>57</v>
      </c>
      <c r="S111" t="s">
        <v>57</v>
      </c>
      <c r="T111" t="s">
        <v>57</v>
      </c>
      <c r="U111" t="s">
        <v>57</v>
      </c>
      <c r="V111" t="s">
        <v>57</v>
      </c>
      <c r="W111" t="s">
        <v>57</v>
      </c>
      <c r="X111" s="23" t="s">
        <v>57</v>
      </c>
      <c r="Y111" s="23" t="s">
        <v>57</v>
      </c>
      <c r="Z111" s="23" t="s">
        <v>57</v>
      </c>
      <c r="AA111" s="23" t="s">
        <v>57</v>
      </c>
      <c r="AB111" t="s">
        <v>57</v>
      </c>
      <c r="AC111" t="s">
        <v>57</v>
      </c>
      <c r="AD111" t="s">
        <v>57</v>
      </c>
      <c r="AE111" t="s">
        <v>57</v>
      </c>
      <c r="AF111" s="23" t="s">
        <v>57</v>
      </c>
      <c r="AG111" s="23" t="s">
        <v>57</v>
      </c>
      <c r="AH111" s="23" t="s">
        <v>57</v>
      </c>
      <c r="AI111" s="23" t="s">
        <v>57</v>
      </c>
      <c r="AJ111">
        <v>4</v>
      </c>
      <c r="AK111">
        <v>0</v>
      </c>
      <c r="AL111">
        <v>1</v>
      </c>
      <c r="AM111">
        <v>2</v>
      </c>
      <c r="AN111" s="23">
        <v>0</v>
      </c>
      <c r="AO111" s="23" t="s">
        <v>57</v>
      </c>
      <c r="AP111" s="23">
        <v>0</v>
      </c>
      <c r="AQ111" s="23">
        <v>0</v>
      </c>
      <c r="AR111" s="35">
        <v>0</v>
      </c>
      <c r="AS111" s="35">
        <v>0</v>
      </c>
      <c r="AT111" s="35">
        <v>11</v>
      </c>
      <c r="AU111" s="31" t="str">
        <f t="shared" si="5"/>
        <v>库存为11</v>
      </c>
      <c r="AV111" s="36" t="str">
        <f>IFERROR(时间!$B$4+AU111,"上周无销量")</f>
        <v>上周无销量</v>
      </c>
    </row>
    <row r="112" spans="1:48">
      <c r="A112" s="21" t="s">
        <v>422</v>
      </c>
      <c r="B112" t="s">
        <v>423</v>
      </c>
      <c r="C112" t="s">
        <v>424</v>
      </c>
      <c r="D112" s="31">
        <v>0</v>
      </c>
      <c r="E112" s="31">
        <v>2</v>
      </c>
      <c r="F112" s="31">
        <v>0</v>
      </c>
      <c r="G112" s="31">
        <v>0</v>
      </c>
      <c r="H112" s="32">
        <v>79.99</v>
      </c>
      <c r="I112">
        <v>9</v>
      </c>
      <c r="J112" s="33">
        <v>0</v>
      </c>
      <c r="K112" s="33">
        <v>0</v>
      </c>
      <c r="L112" s="33">
        <v>0</v>
      </c>
      <c r="M112">
        <v>9</v>
      </c>
      <c r="N112">
        <v>0</v>
      </c>
      <c r="O112">
        <v>0</v>
      </c>
      <c r="P112">
        <v>80588</v>
      </c>
      <c r="Q112">
        <v>80640</v>
      </c>
      <c r="R112">
        <v>14188</v>
      </c>
      <c r="S112">
        <v>22429</v>
      </c>
      <c r="T112">
        <v>612</v>
      </c>
      <c r="U112">
        <v>613</v>
      </c>
      <c r="V112">
        <v>130</v>
      </c>
      <c r="W112">
        <v>106</v>
      </c>
      <c r="X112" s="23">
        <v>0.00759418275673798</v>
      </c>
      <c r="Y112" s="23">
        <v>0.00760168650793651</v>
      </c>
      <c r="Z112" s="23">
        <v>0.00916267268113899</v>
      </c>
      <c r="AA112" s="23">
        <v>0.00472602434348388</v>
      </c>
      <c r="AB112">
        <v>137.12</v>
      </c>
      <c r="AC112">
        <v>137.41</v>
      </c>
      <c r="AD112">
        <v>35.22</v>
      </c>
      <c r="AE112">
        <v>37.65</v>
      </c>
      <c r="AF112" s="23" t="s">
        <v>425</v>
      </c>
      <c r="AG112" s="23">
        <v>0.858919864983123</v>
      </c>
      <c r="AH112" s="23" t="s">
        <v>426</v>
      </c>
      <c r="AI112" s="23" t="s">
        <v>427</v>
      </c>
      <c r="AJ112">
        <v>55</v>
      </c>
      <c r="AK112">
        <v>84</v>
      </c>
      <c r="AL112">
        <v>162</v>
      </c>
      <c r="AM112">
        <v>116</v>
      </c>
      <c r="AN112" s="23">
        <v>0</v>
      </c>
      <c r="AO112" s="23">
        <v>0.0238095238095238</v>
      </c>
      <c r="AP112" s="23">
        <v>0</v>
      </c>
      <c r="AQ112" s="23">
        <v>0</v>
      </c>
      <c r="AR112" s="35">
        <v>0</v>
      </c>
      <c r="AS112" s="35">
        <v>0</v>
      </c>
      <c r="AT112" s="35">
        <v>9</v>
      </c>
      <c r="AU112" s="31" t="str">
        <f t="shared" si="5"/>
        <v>库存为9</v>
      </c>
      <c r="AV112" s="36" t="str">
        <f>IFERROR(时间!$B$4+AU112,"上周无销量")</f>
        <v>上周无销量</v>
      </c>
    </row>
    <row r="113" spans="1:48">
      <c r="A113" s="21" t="s">
        <v>428</v>
      </c>
      <c r="B113" t="s">
        <v>429</v>
      </c>
      <c r="C113" t="s">
        <v>430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57</v>
      </c>
      <c r="Q113" t="s">
        <v>57</v>
      </c>
      <c r="R113" t="s">
        <v>57</v>
      </c>
      <c r="S113" t="s">
        <v>57</v>
      </c>
      <c r="T113" t="s">
        <v>57</v>
      </c>
      <c r="U113" t="s">
        <v>57</v>
      </c>
      <c r="V113" t="s">
        <v>57</v>
      </c>
      <c r="W113" t="s">
        <v>57</v>
      </c>
      <c r="X113" s="23" t="s">
        <v>57</v>
      </c>
      <c r="Y113" s="23" t="s">
        <v>57</v>
      </c>
      <c r="Z113" s="23" t="s">
        <v>57</v>
      </c>
      <c r="AA113" s="23" t="s">
        <v>57</v>
      </c>
      <c r="AB113" t="s">
        <v>57</v>
      </c>
      <c r="AC113" t="s">
        <v>57</v>
      </c>
      <c r="AD113" t="s">
        <v>57</v>
      </c>
      <c r="AE113" t="s">
        <v>57</v>
      </c>
      <c r="AF113" s="23" t="s">
        <v>57</v>
      </c>
      <c r="AG113" s="23" t="s">
        <v>57</v>
      </c>
      <c r="AH113" s="23" t="s">
        <v>57</v>
      </c>
      <c r="AI113" s="23" t="s">
        <v>57</v>
      </c>
      <c r="AJ113">
        <v>0</v>
      </c>
      <c r="AK113">
        <v>0</v>
      </c>
      <c r="AL113">
        <v>0</v>
      </c>
      <c r="AM113">
        <v>0</v>
      </c>
      <c r="AN113" s="23" t="s">
        <v>57</v>
      </c>
      <c r="AO113" s="23" t="s">
        <v>57</v>
      </c>
      <c r="AP113" s="23" t="s">
        <v>57</v>
      </c>
      <c r="AQ113" s="23" t="s">
        <v>57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1" t="s">
        <v>431</v>
      </c>
      <c r="B114" t="s">
        <v>432</v>
      </c>
      <c r="C114" t="s">
        <v>433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57</v>
      </c>
      <c r="Q114" t="s">
        <v>57</v>
      </c>
      <c r="R114" t="s">
        <v>57</v>
      </c>
      <c r="S114" t="s">
        <v>57</v>
      </c>
      <c r="T114" t="s">
        <v>57</v>
      </c>
      <c r="U114" t="s">
        <v>57</v>
      </c>
      <c r="V114" t="s">
        <v>57</v>
      </c>
      <c r="W114" t="s">
        <v>57</v>
      </c>
      <c r="X114" s="23" t="s">
        <v>57</v>
      </c>
      <c r="Y114" s="23" t="s">
        <v>57</v>
      </c>
      <c r="Z114" s="23" t="s">
        <v>57</v>
      </c>
      <c r="AA114" s="23" t="s">
        <v>57</v>
      </c>
      <c r="AB114" t="s">
        <v>57</v>
      </c>
      <c r="AC114" t="s">
        <v>57</v>
      </c>
      <c r="AD114" t="s">
        <v>57</v>
      </c>
      <c r="AE114" t="s">
        <v>57</v>
      </c>
      <c r="AF114" s="23" t="s">
        <v>57</v>
      </c>
      <c r="AG114" s="23" t="s">
        <v>57</v>
      </c>
      <c r="AH114" s="23" t="s">
        <v>57</v>
      </c>
      <c r="AI114" s="23" t="s">
        <v>57</v>
      </c>
      <c r="AJ114">
        <v>0</v>
      </c>
      <c r="AK114">
        <v>0</v>
      </c>
      <c r="AL114">
        <v>0</v>
      </c>
      <c r="AM114">
        <v>0</v>
      </c>
      <c r="AN114" s="23" t="s">
        <v>57</v>
      </c>
      <c r="AO114" s="23" t="s">
        <v>57</v>
      </c>
      <c r="AP114" s="23" t="s">
        <v>57</v>
      </c>
      <c r="AQ114" s="23" t="s">
        <v>57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1" t="s">
        <v>434</v>
      </c>
      <c r="B115" t="s">
        <v>435</v>
      </c>
      <c r="C115" t="s">
        <v>433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57</v>
      </c>
      <c r="Q115" t="s">
        <v>57</v>
      </c>
      <c r="R115" t="s">
        <v>57</v>
      </c>
      <c r="S115" t="s">
        <v>57</v>
      </c>
      <c r="T115" t="s">
        <v>57</v>
      </c>
      <c r="U115" t="s">
        <v>57</v>
      </c>
      <c r="V115" t="s">
        <v>57</v>
      </c>
      <c r="W115" t="s">
        <v>57</v>
      </c>
      <c r="X115" s="23" t="s">
        <v>57</v>
      </c>
      <c r="Y115" s="23" t="s">
        <v>57</v>
      </c>
      <c r="Z115" s="23" t="s">
        <v>57</v>
      </c>
      <c r="AA115" s="23" t="s">
        <v>57</v>
      </c>
      <c r="AB115" t="s">
        <v>57</v>
      </c>
      <c r="AC115" t="s">
        <v>57</v>
      </c>
      <c r="AD115" t="s">
        <v>57</v>
      </c>
      <c r="AE115" t="s">
        <v>57</v>
      </c>
      <c r="AF115" s="23" t="s">
        <v>57</v>
      </c>
      <c r="AG115" s="23" t="s">
        <v>57</v>
      </c>
      <c r="AH115" s="23" t="s">
        <v>57</v>
      </c>
      <c r="AI115" s="23" t="s">
        <v>57</v>
      </c>
      <c r="AJ115">
        <v>0</v>
      </c>
      <c r="AK115">
        <v>0</v>
      </c>
      <c r="AL115">
        <v>0</v>
      </c>
      <c r="AM115">
        <v>0</v>
      </c>
      <c r="AN115" s="23" t="s">
        <v>57</v>
      </c>
      <c r="AO115" s="23" t="s">
        <v>57</v>
      </c>
      <c r="AP115" s="23" t="s">
        <v>57</v>
      </c>
      <c r="AQ115" s="23" t="s">
        <v>57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1" t="s">
        <v>436</v>
      </c>
      <c r="B116" t="s">
        <v>437</v>
      </c>
      <c r="C116" t="s">
        <v>433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57</v>
      </c>
      <c r="Q116" t="s">
        <v>57</v>
      </c>
      <c r="R116" t="s">
        <v>57</v>
      </c>
      <c r="S116" t="s">
        <v>57</v>
      </c>
      <c r="T116" t="s">
        <v>57</v>
      </c>
      <c r="U116" t="s">
        <v>57</v>
      </c>
      <c r="V116" t="s">
        <v>57</v>
      </c>
      <c r="W116" t="s">
        <v>57</v>
      </c>
      <c r="X116" s="23" t="s">
        <v>57</v>
      </c>
      <c r="Y116" s="23" t="s">
        <v>57</v>
      </c>
      <c r="Z116" s="23" t="s">
        <v>57</v>
      </c>
      <c r="AA116" s="23" t="s">
        <v>57</v>
      </c>
      <c r="AB116" t="s">
        <v>57</v>
      </c>
      <c r="AC116" t="s">
        <v>57</v>
      </c>
      <c r="AD116" t="s">
        <v>57</v>
      </c>
      <c r="AE116" t="s">
        <v>57</v>
      </c>
      <c r="AF116" s="23" t="s">
        <v>57</v>
      </c>
      <c r="AG116" s="23" t="s">
        <v>57</v>
      </c>
      <c r="AH116" s="23" t="s">
        <v>57</v>
      </c>
      <c r="AI116" s="23" t="s">
        <v>57</v>
      </c>
      <c r="AJ116">
        <v>0</v>
      </c>
      <c r="AK116">
        <v>0</v>
      </c>
      <c r="AL116">
        <v>0</v>
      </c>
      <c r="AM116">
        <v>0</v>
      </c>
      <c r="AN116" s="23" t="s">
        <v>57</v>
      </c>
      <c r="AO116" s="23" t="s">
        <v>57</v>
      </c>
      <c r="AP116" s="23" t="s">
        <v>57</v>
      </c>
      <c r="AQ116" s="23" t="s">
        <v>57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1" t="s">
        <v>438</v>
      </c>
      <c r="B117" t="s">
        <v>439</v>
      </c>
      <c r="C117" t="s">
        <v>440</v>
      </c>
      <c r="D117" s="31">
        <v>0</v>
      </c>
      <c r="E117" s="31">
        <v>3</v>
      </c>
      <c r="F117" s="31">
        <v>3</v>
      </c>
      <c r="G117" s="31">
        <v>2</v>
      </c>
      <c r="H117" s="32">
        <v>99.99</v>
      </c>
      <c r="I117">
        <v>0</v>
      </c>
      <c r="J117" s="33">
        <v>5</v>
      </c>
      <c r="K117" s="33">
        <v>0</v>
      </c>
      <c r="L117" s="33">
        <v>0</v>
      </c>
      <c r="M117">
        <v>5</v>
      </c>
      <c r="N117">
        <v>0</v>
      </c>
      <c r="O117">
        <v>0</v>
      </c>
      <c r="P117">
        <v>248690</v>
      </c>
      <c r="Q117">
        <v>249727</v>
      </c>
      <c r="R117">
        <v>116505</v>
      </c>
      <c r="S117">
        <v>71601</v>
      </c>
      <c r="T117">
        <v>1820</v>
      </c>
      <c r="U117">
        <v>1827</v>
      </c>
      <c r="V117">
        <v>890</v>
      </c>
      <c r="W117">
        <v>555</v>
      </c>
      <c r="X117" s="23">
        <v>0.00731834814427601</v>
      </c>
      <c r="Y117" s="23">
        <v>0.00731598906005358</v>
      </c>
      <c r="Z117" s="23">
        <v>0.00763915711772027</v>
      </c>
      <c r="AA117" s="23">
        <v>0.00775128838982696</v>
      </c>
      <c r="AB117">
        <v>256.75</v>
      </c>
      <c r="AC117">
        <v>257.98</v>
      </c>
      <c r="AD117">
        <v>109.81</v>
      </c>
      <c r="AE117">
        <v>95.31</v>
      </c>
      <c r="AF117" s="23" t="s">
        <v>441</v>
      </c>
      <c r="AG117" s="23">
        <v>0.86001933526686</v>
      </c>
      <c r="AH117" s="23">
        <v>0.366069940327366</v>
      </c>
      <c r="AI117" s="23">
        <v>0.476597659765977</v>
      </c>
      <c r="AJ117">
        <v>0</v>
      </c>
      <c r="AK117">
        <v>289</v>
      </c>
      <c r="AL117">
        <v>1002</v>
      </c>
      <c r="AM117">
        <v>614</v>
      </c>
      <c r="AN117" s="23" t="s">
        <v>57</v>
      </c>
      <c r="AO117" s="23">
        <v>0.0103806228373702</v>
      </c>
      <c r="AP117" s="23">
        <v>0.0029940119760479</v>
      </c>
      <c r="AQ117" s="23">
        <v>0.00325732899022801</v>
      </c>
      <c r="AR117" s="35">
        <v>0</v>
      </c>
      <c r="AS117" s="35">
        <v>0</v>
      </c>
      <c r="AT117" s="35">
        <v>5</v>
      </c>
      <c r="AU117" s="31" t="str">
        <f t="shared" si="5"/>
        <v>库存为5</v>
      </c>
      <c r="AV117" s="36" t="str">
        <f>IFERROR(时间!$B$4+AU117,"上周无销量")</f>
        <v>上周无销量</v>
      </c>
    </row>
    <row r="118" spans="1:48">
      <c r="A118" s="21" t="s">
        <v>442</v>
      </c>
      <c r="B118" t="s">
        <v>443</v>
      </c>
      <c r="C118" t="s">
        <v>444</v>
      </c>
      <c r="D118" s="31">
        <v>0</v>
      </c>
      <c r="E118" s="31">
        <v>0</v>
      </c>
      <c r="F118" s="31">
        <v>3</v>
      </c>
      <c r="G118" s="31">
        <v>2</v>
      </c>
      <c r="H118" s="32">
        <v>92.99</v>
      </c>
      <c r="I118">
        <v>5</v>
      </c>
      <c r="J118" s="33">
        <v>0</v>
      </c>
      <c r="K118" s="33">
        <v>0</v>
      </c>
      <c r="L118" s="33">
        <v>1</v>
      </c>
      <c r="M118">
        <v>6</v>
      </c>
      <c r="N118">
        <v>0</v>
      </c>
      <c r="O118">
        <v>0</v>
      </c>
      <c r="P118">
        <v>103442</v>
      </c>
      <c r="Q118">
        <v>103442</v>
      </c>
      <c r="R118">
        <v>14051</v>
      </c>
      <c r="S118">
        <v>34144</v>
      </c>
      <c r="T118">
        <v>574</v>
      </c>
      <c r="U118">
        <v>574</v>
      </c>
      <c r="V118">
        <v>127</v>
      </c>
      <c r="W118">
        <v>198</v>
      </c>
      <c r="X118" s="23">
        <v>0.00554900330620058</v>
      </c>
      <c r="Y118" s="23">
        <v>0.00554900330620058</v>
      </c>
      <c r="Z118" s="23">
        <v>0.00903850259767988</v>
      </c>
      <c r="AA118" s="23">
        <v>0.00579896907216495</v>
      </c>
      <c r="AB118">
        <v>89.8</v>
      </c>
      <c r="AC118">
        <v>89.8</v>
      </c>
      <c r="AD118">
        <v>15.55</v>
      </c>
      <c r="AE118">
        <v>36.24</v>
      </c>
      <c r="AF118" s="23" t="s">
        <v>445</v>
      </c>
      <c r="AG118" s="23" t="s">
        <v>445</v>
      </c>
      <c r="AH118" s="23">
        <v>0.0557407606552676</v>
      </c>
      <c r="AI118" s="23">
        <v>0.194859662329283</v>
      </c>
      <c r="AJ118">
        <v>216</v>
      </c>
      <c r="AK118">
        <v>14</v>
      </c>
      <c r="AL118">
        <v>163</v>
      </c>
      <c r="AM118">
        <v>171</v>
      </c>
      <c r="AN118" s="23">
        <v>0</v>
      </c>
      <c r="AO118" s="23">
        <v>0</v>
      </c>
      <c r="AP118" s="23">
        <v>0.0184049079754601</v>
      </c>
      <c r="AQ118" s="23">
        <v>0.0116959064327485</v>
      </c>
      <c r="AR118" s="35">
        <v>0</v>
      </c>
      <c r="AS118" s="35">
        <v>0</v>
      </c>
      <c r="AT118" s="35">
        <v>6</v>
      </c>
      <c r="AU118" s="31" t="str">
        <f t="shared" si="5"/>
        <v>库存为6</v>
      </c>
      <c r="AV118" s="36" t="str">
        <f>IFERROR(时间!$B$4+AU118,"上周无销量")</f>
        <v>上周无销量</v>
      </c>
    </row>
    <row r="119" spans="1:48">
      <c r="A119" s="21" t="s">
        <v>446</v>
      </c>
      <c r="B119" t="s">
        <v>447</v>
      </c>
      <c r="C119" t="s">
        <v>448</v>
      </c>
      <c r="D119" s="31">
        <v>2</v>
      </c>
      <c r="E119" s="31">
        <v>5</v>
      </c>
      <c r="F119" s="31">
        <v>0</v>
      </c>
      <c r="G119" s="31">
        <v>0</v>
      </c>
      <c r="H119" s="32">
        <v>99.99</v>
      </c>
      <c r="I119">
        <v>8</v>
      </c>
      <c r="J119" s="33">
        <v>0</v>
      </c>
      <c r="K119" s="33">
        <v>0</v>
      </c>
      <c r="L119" s="33">
        <v>0</v>
      </c>
      <c r="M119">
        <v>8</v>
      </c>
      <c r="N119">
        <v>1</v>
      </c>
      <c r="O119">
        <v>0</v>
      </c>
      <c r="P119">
        <v>239580</v>
      </c>
      <c r="Q119">
        <v>240542</v>
      </c>
      <c r="R119">
        <v>59345</v>
      </c>
      <c r="S119">
        <v>0</v>
      </c>
      <c r="T119">
        <v>1285</v>
      </c>
      <c r="U119">
        <v>1286</v>
      </c>
      <c r="V119">
        <v>336</v>
      </c>
      <c r="W119">
        <v>0</v>
      </c>
      <c r="X119" s="23">
        <v>0.00536355288421404</v>
      </c>
      <c r="Y119" s="23">
        <v>0.00534625969685128</v>
      </c>
      <c r="Z119" s="23">
        <v>0.00566180807144663</v>
      </c>
      <c r="AA119" s="23" t="s">
        <v>57</v>
      </c>
      <c r="AB119">
        <v>174.23</v>
      </c>
      <c r="AC119">
        <v>174.42</v>
      </c>
      <c r="AD119">
        <v>42.95</v>
      </c>
      <c r="AE119">
        <v>0</v>
      </c>
      <c r="AF119" s="23">
        <v>0.871237123712371</v>
      </c>
      <c r="AG119" s="23">
        <v>0.348874887488749</v>
      </c>
      <c r="AH119" s="23" t="s">
        <v>449</v>
      </c>
      <c r="AI119" s="23" t="s">
        <v>57</v>
      </c>
      <c r="AJ119">
        <v>373</v>
      </c>
      <c r="AK119">
        <v>569</v>
      </c>
      <c r="AL119">
        <v>350</v>
      </c>
      <c r="AM119">
        <v>0</v>
      </c>
      <c r="AN119" s="23">
        <v>0.00536193029490617</v>
      </c>
      <c r="AO119" s="23">
        <v>0.00878734622144113</v>
      </c>
      <c r="AP119" s="23">
        <v>0</v>
      </c>
      <c r="AQ119" s="23" t="s">
        <v>57</v>
      </c>
      <c r="AR119" s="35">
        <v>0.285714285714286</v>
      </c>
      <c r="AS119" s="35">
        <v>17.1428571428571</v>
      </c>
      <c r="AT119" s="35">
        <v>-9.14285714285714</v>
      </c>
      <c r="AU119" s="31">
        <f t="shared" si="5"/>
        <v>28</v>
      </c>
      <c r="AV119" s="36">
        <f>IFERROR(时间!$B$4+AU119,"上周无销量")</f>
        <v>43353</v>
      </c>
    </row>
    <row r="120" spans="1:48">
      <c r="A120" s="21" t="s">
        <v>450</v>
      </c>
      <c r="B120" t="s">
        <v>451</v>
      </c>
      <c r="C120" t="s">
        <v>452</v>
      </c>
      <c r="D120" s="31">
        <v>1</v>
      </c>
      <c r="E120" s="31">
        <v>2</v>
      </c>
      <c r="F120" s="31">
        <v>0</v>
      </c>
      <c r="G120" s="31">
        <v>0</v>
      </c>
      <c r="H120" s="32">
        <v>89.99</v>
      </c>
      <c r="I120">
        <v>2</v>
      </c>
      <c r="J120" s="33">
        <v>0</v>
      </c>
      <c r="K120" s="33">
        <v>0</v>
      </c>
      <c r="L120" s="33">
        <v>5</v>
      </c>
      <c r="M120">
        <v>7</v>
      </c>
      <c r="N120">
        <v>0</v>
      </c>
      <c r="O120">
        <v>0</v>
      </c>
      <c r="P120">
        <v>154991</v>
      </c>
      <c r="Q120">
        <v>155121</v>
      </c>
      <c r="R120">
        <v>16961</v>
      </c>
      <c r="S120">
        <v>23298</v>
      </c>
      <c r="T120">
        <v>685</v>
      </c>
      <c r="U120">
        <v>685</v>
      </c>
      <c r="V120">
        <v>108</v>
      </c>
      <c r="W120">
        <v>131</v>
      </c>
      <c r="X120" s="23">
        <v>0.00441961146131066</v>
      </c>
      <c r="Y120" s="23">
        <v>0.00441590758182322</v>
      </c>
      <c r="Z120" s="23">
        <v>0.00636754908319085</v>
      </c>
      <c r="AA120" s="23">
        <v>0.00562280024036398</v>
      </c>
      <c r="AB120">
        <v>110.37</v>
      </c>
      <c r="AC120">
        <v>110.37</v>
      </c>
      <c r="AD120">
        <v>14.18</v>
      </c>
      <c r="AE120">
        <v>25.23</v>
      </c>
      <c r="AF120" s="23">
        <v>1.22646960773419</v>
      </c>
      <c r="AG120" s="23">
        <v>0.613234803867096</v>
      </c>
      <c r="AH120" s="23" t="s">
        <v>453</v>
      </c>
      <c r="AI120" s="23" t="s">
        <v>454</v>
      </c>
      <c r="AJ120">
        <v>244</v>
      </c>
      <c r="AK120">
        <v>204</v>
      </c>
      <c r="AL120">
        <v>158</v>
      </c>
      <c r="AM120">
        <v>182</v>
      </c>
      <c r="AN120" s="23">
        <v>0.00409836065573771</v>
      </c>
      <c r="AO120" s="23">
        <v>0.00980392156862745</v>
      </c>
      <c r="AP120" s="23">
        <v>0</v>
      </c>
      <c r="AQ120" s="23">
        <v>0</v>
      </c>
      <c r="AR120" s="35">
        <v>0.142857142857143</v>
      </c>
      <c r="AS120" s="35">
        <v>8.57142857142857</v>
      </c>
      <c r="AT120" s="35">
        <v>-1.57142857142857</v>
      </c>
      <c r="AU120" s="31">
        <f t="shared" si="5"/>
        <v>49</v>
      </c>
      <c r="AV120" s="36">
        <f>IFERROR(时间!$B$4+AU120,"上周无销量")</f>
        <v>43374</v>
      </c>
    </row>
    <row r="121" spans="1:48">
      <c r="A121" s="21" t="s">
        <v>455</v>
      </c>
      <c r="B121" t="s">
        <v>456</v>
      </c>
      <c r="C121" t="s">
        <v>457</v>
      </c>
      <c r="D121" s="31">
        <v>3</v>
      </c>
      <c r="E121" s="31">
        <v>0</v>
      </c>
      <c r="F121" s="31">
        <v>2</v>
      </c>
      <c r="G121" s="31">
        <v>1</v>
      </c>
      <c r="H121" s="32">
        <v>108.99</v>
      </c>
      <c r="I121">
        <v>2</v>
      </c>
      <c r="J121" s="33">
        <v>0</v>
      </c>
      <c r="K121" s="33">
        <v>0</v>
      </c>
      <c r="L121" s="33">
        <v>0</v>
      </c>
      <c r="M121">
        <v>2</v>
      </c>
      <c r="N121">
        <v>1</v>
      </c>
      <c r="O121">
        <v>0</v>
      </c>
      <c r="P121">
        <v>8129</v>
      </c>
      <c r="Q121">
        <v>8180</v>
      </c>
      <c r="R121">
        <v>1690</v>
      </c>
      <c r="S121">
        <v>2371</v>
      </c>
      <c r="T121">
        <v>115</v>
      </c>
      <c r="U121">
        <v>117</v>
      </c>
      <c r="V121">
        <v>24</v>
      </c>
      <c r="W121">
        <v>41</v>
      </c>
      <c r="X121" s="23">
        <v>0.0141468815352442</v>
      </c>
      <c r="Y121" s="23">
        <v>0.0143031784841076</v>
      </c>
      <c r="Z121" s="23">
        <v>0.0142011834319527</v>
      </c>
      <c r="AA121" s="23">
        <v>0.0172922817376634</v>
      </c>
      <c r="AB121">
        <v>25</v>
      </c>
      <c r="AC121">
        <v>25.22</v>
      </c>
      <c r="AD121">
        <v>3.81</v>
      </c>
      <c r="AE121">
        <v>9.21</v>
      </c>
      <c r="AF121" s="23">
        <v>0.0764596140318684</v>
      </c>
      <c r="AG121" s="23" t="s">
        <v>458</v>
      </c>
      <c r="AH121" s="23">
        <v>0.0174786677676851</v>
      </c>
      <c r="AI121" s="23">
        <v>0.0845031654280209</v>
      </c>
      <c r="AJ121">
        <v>147</v>
      </c>
      <c r="AK121">
        <v>90</v>
      </c>
      <c r="AL121">
        <v>44</v>
      </c>
      <c r="AM121">
        <v>37</v>
      </c>
      <c r="AN121" s="23">
        <v>0.0204081632653061</v>
      </c>
      <c r="AO121" s="23">
        <v>0</v>
      </c>
      <c r="AP121" s="23">
        <v>0.0454545454545455</v>
      </c>
      <c r="AQ121" s="23">
        <v>0.027027027027027</v>
      </c>
      <c r="AR121" s="35">
        <v>0.428571428571429</v>
      </c>
      <c r="AS121" s="35">
        <v>25.7142857142857</v>
      </c>
      <c r="AT121" s="35">
        <v>-23.7142857142857</v>
      </c>
      <c r="AU121" s="31">
        <f t="shared" si="5"/>
        <v>4</v>
      </c>
      <c r="AV121" s="36">
        <f>IFERROR(时间!$B$4+AU121,"上周无销量")</f>
        <v>43329</v>
      </c>
    </row>
    <row r="122" spans="1:48">
      <c r="A122" s="21" t="s">
        <v>459</v>
      </c>
      <c r="B122" t="s">
        <v>460</v>
      </c>
      <c r="C122" t="s">
        <v>461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8</v>
      </c>
      <c r="J122" s="33">
        <v>0</v>
      </c>
      <c r="K122" s="33">
        <v>0</v>
      </c>
      <c r="L122" s="33">
        <v>0</v>
      </c>
      <c r="M122">
        <v>8</v>
      </c>
      <c r="N122">
        <v>0</v>
      </c>
      <c r="O122">
        <v>8</v>
      </c>
      <c r="P122" t="s">
        <v>57</v>
      </c>
      <c r="Q122" t="s">
        <v>57</v>
      </c>
      <c r="R122" t="s">
        <v>57</v>
      </c>
      <c r="S122" t="s">
        <v>57</v>
      </c>
      <c r="T122" t="s">
        <v>57</v>
      </c>
      <c r="U122" t="s">
        <v>57</v>
      </c>
      <c r="V122" t="s">
        <v>57</v>
      </c>
      <c r="W122" t="s">
        <v>57</v>
      </c>
      <c r="X122" s="23" t="s">
        <v>57</v>
      </c>
      <c r="Y122" s="23" t="s">
        <v>57</v>
      </c>
      <c r="Z122" s="23" t="s">
        <v>57</v>
      </c>
      <c r="AA122" s="23" t="s">
        <v>57</v>
      </c>
      <c r="AB122" t="s">
        <v>57</v>
      </c>
      <c r="AC122" t="s">
        <v>57</v>
      </c>
      <c r="AD122" t="s">
        <v>57</v>
      </c>
      <c r="AE122" t="s">
        <v>57</v>
      </c>
      <c r="AF122" s="23" t="s">
        <v>57</v>
      </c>
      <c r="AG122" s="23" t="s">
        <v>57</v>
      </c>
      <c r="AH122" s="23" t="s">
        <v>57</v>
      </c>
      <c r="AI122" s="23" t="s">
        <v>57</v>
      </c>
      <c r="AJ122">
        <v>9</v>
      </c>
      <c r="AK122">
        <v>8</v>
      </c>
      <c r="AL122">
        <v>9</v>
      </c>
      <c r="AM122">
        <v>12</v>
      </c>
      <c r="AN122" s="23">
        <v>0</v>
      </c>
      <c r="AO122" s="23">
        <v>0</v>
      </c>
      <c r="AP122" s="23">
        <v>0</v>
      </c>
      <c r="AQ122" s="23">
        <v>0</v>
      </c>
      <c r="AR122" s="35">
        <v>0</v>
      </c>
      <c r="AS122" s="35">
        <v>0</v>
      </c>
      <c r="AT122" s="35">
        <v>8</v>
      </c>
      <c r="AU122" s="31" t="str">
        <f t="shared" si="5"/>
        <v>库存为8</v>
      </c>
      <c r="AV122" s="36" t="str">
        <f>IFERROR(时间!$B$4+AU122,"上周无销量")</f>
        <v>上周无销量</v>
      </c>
    </row>
    <row r="123" spans="1:48">
      <c r="A123" s="21" t="s">
        <v>462</v>
      </c>
      <c r="B123" t="s">
        <v>463</v>
      </c>
      <c r="C123" t="s">
        <v>461</v>
      </c>
      <c r="D123" s="31">
        <v>0</v>
      </c>
      <c r="E123" s="31">
        <v>0</v>
      </c>
      <c r="F123" s="31">
        <v>0</v>
      </c>
      <c r="G123" s="31">
        <v>1</v>
      </c>
      <c r="H123" s="32">
        <v>32.99</v>
      </c>
      <c r="I123">
        <v>13</v>
      </c>
      <c r="J123" s="33">
        <v>0</v>
      </c>
      <c r="K123" s="33">
        <v>0</v>
      </c>
      <c r="L123" s="33">
        <v>0</v>
      </c>
      <c r="M123">
        <v>13</v>
      </c>
      <c r="N123">
        <v>0</v>
      </c>
      <c r="O123">
        <v>0</v>
      </c>
      <c r="P123" t="s">
        <v>57</v>
      </c>
      <c r="Q123" t="s">
        <v>57</v>
      </c>
      <c r="R123" t="s">
        <v>57</v>
      </c>
      <c r="S123" t="s">
        <v>57</v>
      </c>
      <c r="T123" t="s">
        <v>57</v>
      </c>
      <c r="U123" t="s">
        <v>57</v>
      </c>
      <c r="V123" t="s">
        <v>57</v>
      </c>
      <c r="W123" t="s">
        <v>57</v>
      </c>
      <c r="X123" s="23" t="s">
        <v>57</v>
      </c>
      <c r="Y123" s="23" t="s">
        <v>57</v>
      </c>
      <c r="Z123" s="23" t="s">
        <v>57</v>
      </c>
      <c r="AA123" s="23" t="s">
        <v>57</v>
      </c>
      <c r="AB123" t="s">
        <v>57</v>
      </c>
      <c r="AC123" t="s">
        <v>57</v>
      </c>
      <c r="AD123" t="s">
        <v>57</v>
      </c>
      <c r="AE123" t="s">
        <v>57</v>
      </c>
      <c r="AF123" s="23" t="s">
        <v>57</v>
      </c>
      <c r="AG123" s="23" t="s">
        <v>57</v>
      </c>
      <c r="AH123" s="23" t="s">
        <v>57</v>
      </c>
      <c r="AI123" s="23" t="s">
        <v>57</v>
      </c>
      <c r="AJ123">
        <v>54</v>
      </c>
      <c r="AK123">
        <v>40</v>
      </c>
      <c r="AL123">
        <v>37</v>
      </c>
      <c r="AM123">
        <v>43</v>
      </c>
      <c r="AN123" s="23">
        <v>0</v>
      </c>
      <c r="AO123" s="23">
        <v>0</v>
      </c>
      <c r="AP123" s="23">
        <v>0</v>
      </c>
      <c r="AQ123" s="23">
        <v>0.0232558139534884</v>
      </c>
      <c r="AR123" s="35">
        <v>0</v>
      </c>
      <c r="AS123" s="35">
        <v>0</v>
      </c>
      <c r="AT123" s="35">
        <v>13</v>
      </c>
      <c r="AU123" s="31" t="str">
        <f t="shared" si="5"/>
        <v>库存为13</v>
      </c>
      <c r="AV123" s="36" t="str">
        <f>IFERROR(时间!$B$4+AU123,"上周无销量")</f>
        <v>上周无销量</v>
      </c>
    </row>
    <row r="124" spans="1:48">
      <c r="A124" s="21" t="s">
        <v>464</v>
      </c>
      <c r="B124" t="s">
        <v>465</v>
      </c>
      <c r="C124" t="s">
        <v>461</v>
      </c>
      <c r="D124" s="31">
        <v>0</v>
      </c>
      <c r="E124" s="31">
        <v>0</v>
      </c>
      <c r="F124" s="31">
        <v>0</v>
      </c>
      <c r="G124" s="31">
        <v>1</v>
      </c>
      <c r="H124" s="32">
        <v>34.99</v>
      </c>
      <c r="I124">
        <v>16</v>
      </c>
      <c r="J124" s="33">
        <v>0</v>
      </c>
      <c r="K124" s="33">
        <v>0</v>
      </c>
      <c r="L124" s="33">
        <v>0</v>
      </c>
      <c r="M124">
        <v>16</v>
      </c>
      <c r="N124">
        <v>0</v>
      </c>
      <c r="O124">
        <v>2</v>
      </c>
      <c r="P124" t="s">
        <v>57</v>
      </c>
      <c r="Q124" t="s">
        <v>57</v>
      </c>
      <c r="R124" t="s">
        <v>57</v>
      </c>
      <c r="S124" t="s">
        <v>57</v>
      </c>
      <c r="T124" t="s">
        <v>57</v>
      </c>
      <c r="U124" t="s">
        <v>57</v>
      </c>
      <c r="V124" t="s">
        <v>57</v>
      </c>
      <c r="W124" t="s">
        <v>57</v>
      </c>
      <c r="X124" s="23" t="s">
        <v>57</v>
      </c>
      <c r="Y124" s="23" t="s">
        <v>57</v>
      </c>
      <c r="Z124" s="23" t="s">
        <v>57</v>
      </c>
      <c r="AA124" s="23" t="s">
        <v>57</v>
      </c>
      <c r="AB124" t="s">
        <v>57</v>
      </c>
      <c r="AC124" t="s">
        <v>57</v>
      </c>
      <c r="AD124" t="s">
        <v>57</v>
      </c>
      <c r="AE124" t="s">
        <v>57</v>
      </c>
      <c r="AF124" s="23" t="s">
        <v>57</v>
      </c>
      <c r="AG124" s="23" t="s">
        <v>57</v>
      </c>
      <c r="AH124" s="23" t="s">
        <v>57</v>
      </c>
      <c r="AI124" s="23" t="s">
        <v>57</v>
      </c>
      <c r="AJ124">
        <v>52</v>
      </c>
      <c r="AK124">
        <v>52</v>
      </c>
      <c r="AL124">
        <v>52</v>
      </c>
      <c r="AM124">
        <v>56</v>
      </c>
      <c r="AN124" s="23">
        <v>0</v>
      </c>
      <c r="AO124" s="23">
        <v>0</v>
      </c>
      <c r="AP124" s="23">
        <v>0</v>
      </c>
      <c r="AQ124" s="23">
        <v>0.0178571428571429</v>
      </c>
      <c r="AR124" s="35">
        <v>0</v>
      </c>
      <c r="AS124" s="35">
        <v>0</v>
      </c>
      <c r="AT124" s="35">
        <v>16</v>
      </c>
      <c r="AU124" s="31" t="str">
        <f t="shared" si="5"/>
        <v>库存为16</v>
      </c>
      <c r="AV124" s="36" t="str">
        <f>IFERROR(时间!$B$4+AU124,"上周无销量")</f>
        <v>上周无销量</v>
      </c>
    </row>
    <row r="125" spans="1:48">
      <c r="A125" s="21" t="s">
        <v>466</v>
      </c>
      <c r="B125" t="s">
        <v>467</v>
      </c>
      <c r="C125" t="s">
        <v>461</v>
      </c>
      <c r="D125" s="31">
        <v>0</v>
      </c>
      <c r="E125" s="31">
        <v>1</v>
      </c>
      <c r="F125" s="31">
        <v>0</v>
      </c>
      <c r="G125" s="31">
        <v>0</v>
      </c>
      <c r="H125" s="32">
        <v>99.99</v>
      </c>
      <c r="I125">
        <v>4</v>
      </c>
      <c r="J125" s="33">
        <v>0</v>
      </c>
      <c r="K125" s="33">
        <v>0</v>
      </c>
      <c r="L125" s="33">
        <v>0</v>
      </c>
      <c r="M125">
        <v>4</v>
      </c>
      <c r="N125">
        <v>0</v>
      </c>
      <c r="O125">
        <v>0</v>
      </c>
      <c r="P125">
        <v>3088</v>
      </c>
      <c r="Q125">
        <v>3110</v>
      </c>
      <c r="R125">
        <v>1106</v>
      </c>
      <c r="S125">
        <v>706</v>
      </c>
      <c r="T125">
        <v>57</v>
      </c>
      <c r="U125">
        <v>57</v>
      </c>
      <c r="V125">
        <v>22</v>
      </c>
      <c r="W125">
        <v>14</v>
      </c>
      <c r="X125" s="23">
        <v>0.0184585492227979</v>
      </c>
      <c r="Y125" s="23">
        <v>0.0183279742765273</v>
      </c>
      <c r="Z125" s="23">
        <v>0.0198915009041591</v>
      </c>
      <c r="AA125" s="23">
        <v>0.0198300283286119</v>
      </c>
      <c r="AB125">
        <v>18.49</v>
      </c>
      <c r="AC125">
        <v>18.49</v>
      </c>
      <c r="AD125">
        <v>6.07</v>
      </c>
      <c r="AE125">
        <v>5.36</v>
      </c>
      <c r="AF125" s="23" t="s">
        <v>468</v>
      </c>
      <c r="AG125" s="23">
        <v>0.184918491849185</v>
      </c>
      <c r="AH125" s="23" t="s">
        <v>469</v>
      </c>
      <c r="AI125" s="23" t="s">
        <v>470</v>
      </c>
      <c r="AJ125">
        <v>70</v>
      </c>
      <c r="AK125">
        <v>31</v>
      </c>
      <c r="AL125">
        <v>38</v>
      </c>
      <c r="AM125">
        <v>21</v>
      </c>
      <c r="AN125" s="23">
        <v>0</v>
      </c>
      <c r="AO125" s="23">
        <v>0.032258064516129</v>
      </c>
      <c r="AP125" s="23">
        <v>0</v>
      </c>
      <c r="AQ125" s="23">
        <v>0</v>
      </c>
      <c r="AR125" s="35">
        <v>0</v>
      </c>
      <c r="AS125" s="35">
        <v>0</v>
      </c>
      <c r="AT125" s="35">
        <v>4</v>
      </c>
      <c r="AU125" s="31" t="str">
        <f t="shared" si="5"/>
        <v>库存为4</v>
      </c>
      <c r="AV125" s="36" t="str">
        <f>IFERROR(时间!$B$4+AU125,"上周无销量")</f>
        <v>上周无销量</v>
      </c>
    </row>
    <row r="126" spans="1:48">
      <c r="A126" s="21" t="s">
        <v>471</v>
      </c>
      <c r="B126" t="s">
        <v>472</v>
      </c>
      <c r="C126" t="s">
        <v>473</v>
      </c>
      <c r="D126" s="31">
        <v>0</v>
      </c>
      <c r="E126" s="31">
        <v>1</v>
      </c>
      <c r="F126" s="31">
        <v>0</v>
      </c>
      <c r="G126" s="31">
        <v>0</v>
      </c>
      <c r="H126" s="32">
        <v>99.99</v>
      </c>
      <c r="I126">
        <v>2</v>
      </c>
      <c r="J126" s="33">
        <v>0</v>
      </c>
      <c r="K126" s="33">
        <v>0</v>
      </c>
      <c r="L126" s="33">
        <v>0</v>
      </c>
      <c r="M126">
        <v>2</v>
      </c>
      <c r="N126">
        <v>0</v>
      </c>
      <c r="O126">
        <v>0</v>
      </c>
      <c r="P126">
        <v>8207</v>
      </c>
      <c r="Q126">
        <v>8246</v>
      </c>
      <c r="R126">
        <v>2461</v>
      </c>
      <c r="S126">
        <v>648</v>
      </c>
      <c r="T126">
        <v>49</v>
      </c>
      <c r="U126">
        <v>49</v>
      </c>
      <c r="V126">
        <v>9</v>
      </c>
      <c r="W126">
        <v>9</v>
      </c>
      <c r="X126" s="23">
        <v>0.00597051297672718</v>
      </c>
      <c r="Y126" s="23">
        <v>0.00594227504244482</v>
      </c>
      <c r="Z126" s="23">
        <v>0.00365704997968306</v>
      </c>
      <c r="AA126" s="23">
        <v>0.0138888888888889</v>
      </c>
      <c r="AB126">
        <v>14.84</v>
      </c>
      <c r="AC126">
        <v>14.84</v>
      </c>
      <c r="AD126">
        <v>2.63</v>
      </c>
      <c r="AE126">
        <v>2.61</v>
      </c>
      <c r="AF126" s="23" t="s">
        <v>474</v>
      </c>
      <c r="AG126" s="23">
        <v>0.148414841484148</v>
      </c>
      <c r="AH126" s="23" t="s">
        <v>475</v>
      </c>
      <c r="AI126" s="23" t="s">
        <v>476</v>
      </c>
      <c r="AJ126">
        <v>40</v>
      </c>
      <c r="AK126">
        <v>46</v>
      </c>
      <c r="AL126">
        <v>18</v>
      </c>
      <c r="AM126">
        <v>8</v>
      </c>
      <c r="AN126" s="23">
        <v>0</v>
      </c>
      <c r="AO126" s="23">
        <v>0.0217391304347826</v>
      </c>
      <c r="AP126" s="23">
        <v>0</v>
      </c>
      <c r="AQ126" s="23">
        <v>0</v>
      </c>
      <c r="AR126" s="35">
        <v>0</v>
      </c>
      <c r="AS126" s="35">
        <v>0</v>
      </c>
      <c r="AT126" s="35">
        <v>2</v>
      </c>
      <c r="AU126" s="31" t="str">
        <f t="shared" si="5"/>
        <v>库存为2</v>
      </c>
      <c r="AV126" s="36" t="str">
        <f>IFERROR(时间!$B$4+AU126,"上周无销量")</f>
        <v>上周无销量</v>
      </c>
    </row>
    <row r="127" spans="1:48">
      <c r="A127" s="21" t="s">
        <v>477</v>
      </c>
      <c r="B127" t="s">
        <v>478</v>
      </c>
      <c r="C127" t="s">
        <v>479</v>
      </c>
      <c r="D127" s="31">
        <v>1</v>
      </c>
      <c r="E127" s="31">
        <v>0</v>
      </c>
      <c r="F127" s="31">
        <v>1</v>
      </c>
      <c r="G127" s="31">
        <v>5</v>
      </c>
      <c r="H127" s="32">
        <v>108.99</v>
      </c>
      <c r="I127">
        <v>13</v>
      </c>
      <c r="J127" s="33">
        <v>0</v>
      </c>
      <c r="K127" s="33">
        <v>0</v>
      </c>
      <c r="L127" s="33">
        <v>0</v>
      </c>
      <c r="M127">
        <v>13</v>
      </c>
      <c r="N127">
        <v>0</v>
      </c>
      <c r="O127">
        <v>0</v>
      </c>
      <c r="P127">
        <v>68946</v>
      </c>
      <c r="Q127">
        <v>69070</v>
      </c>
      <c r="R127">
        <v>5342</v>
      </c>
      <c r="S127">
        <v>13169</v>
      </c>
      <c r="T127">
        <v>262</v>
      </c>
      <c r="U127">
        <v>262</v>
      </c>
      <c r="V127">
        <v>29</v>
      </c>
      <c r="W127">
        <v>56</v>
      </c>
      <c r="X127" s="23">
        <v>0.00380007542134424</v>
      </c>
      <c r="Y127" s="23">
        <v>0.00379325322136963</v>
      </c>
      <c r="Z127" s="23">
        <v>0.00542867839760389</v>
      </c>
      <c r="AA127" s="23">
        <v>0.00425241096514542</v>
      </c>
      <c r="AB127">
        <v>60.22</v>
      </c>
      <c r="AC127">
        <v>60.22</v>
      </c>
      <c r="AD127">
        <v>10.4</v>
      </c>
      <c r="AE127">
        <v>20.4</v>
      </c>
      <c r="AF127" s="23">
        <v>0.552527754839894</v>
      </c>
      <c r="AG127" s="23" t="s">
        <v>480</v>
      </c>
      <c r="AH127" s="23">
        <v>0.0954215983117717</v>
      </c>
      <c r="AI127" s="23">
        <v>0.0374346270300028</v>
      </c>
      <c r="AJ127">
        <v>174</v>
      </c>
      <c r="AK127">
        <v>124</v>
      </c>
      <c r="AL127">
        <v>44</v>
      </c>
      <c r="AM127">
        <v>149</v>
      </c>
      <c r="AN127" s="23">
        <v>0.00574712643678161</v>
      </c>
      <c r="AO127" s="23">
        <v>0</v>
      </c>
      <c r="AP127" s="23">
        <v>0.0227272727272727</v>
      </c>
      <c r="AQ127" s="23">
        <v>0.0335570469798658</v>
      </c>
      <c r="AR127" s="35">
        <v>0.142857142857143</v>
      </c>
      <c r="AS127" s="35">
        <v>8.57142857142857</v>
      </c>
      <c r="AT127" s="35">
        <v>4.42857142857143</v>
      </c>
      <c r="AU127" s="31">
        <f t="shared" si="5"/>
        <v>91</v>
      </c>
      <c r="AV127" s="36">
        <f>IFERROR(时间!$B$4+AU127,"上周无销量")</f>
        <v>43416</v>
      </c>
    </row>
    <row r="128" spans="1:48">
      <c r="A128" s="21" t="s">
        <v>481</v>
      </c>
      <c r="B128" t="s">
        <v>482</v>
      </c>
      <c r="C128" t="s">
        <v>483</v>
      </c>
      <c r="D128" s="31">
        <v>2</v>
      </c>
      <c r="E128" s="31">
        <v>2</v>
      </c>
      <c r="F128" s="31">
        <v>2</v>
      </c>
      <c r="G128" s="31">
        <v>4</v>
      </c>
      <c r="H128" s="32">
        <v>108.99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>
        <v>69100</v>
      </c>
      <c r="Q128">
        <v>69142</v>
      </c>
      <c r="R128">
        <v>21696</v>
      </c>
      <c r="S128">
        <v>19763</v>
      </c>
      <c r="T128">
        <v>281</v>
      </c>
      <c r="U128">
        <v>281</v>
      </c>
      <c r="V128">
        <v>91</v>
      </c>
      <c r="W128">
        <v>82</v>
      </c>
      <c r="X128" s="23">
        <v>0.00406657018813314</v>
      </c>
      <c r="Y128" s="23">
        <v>0.00406409996818142</v>
      </c>
      <c r="Z128" s="23">
        <v>0.0041943215339233</v>
      </c>
      <c r="AA128" s="23">
        <v>0.00414916763649244</v>
      </c>
      <c r="AB128">
        <v>83.43</v>
      </c>
      <c r="AC128">
        <v>83.43</v>
      </c>
      <c r="AD128">
        <v>30.26</v>
      </c>
      <c r="AE128">
        <v>34.94</v>
      </c>
      <c r="AF128" s="23">
        <v>0.382741535920727</v>
      </c>
      <c r="AG128" s="23">
        <v>0.382741535920727</v>
      </c>
      <c r="AH128" s="23">
        <v>0.13882007523626</v>
      </c>
      <c r="AI128" s="23">
        <v>0.0801449674282044</v>
      </c>
      <c r="AJ128">
        <v>100</v>
      </c>
      <c r="AK128">
        <v>79</v>
      </c>
      <c r="AL128">
        <v>141</v>
      </c>
      <c r="AM128">
        <v>132</v>
      </c>
      <c r="AN128" s="23">
        <v>0.02</v>
      </c>
      <c r="AO128" s="23">
        <v>0.0253164556962025</v>
      </c>
      <c r="AP128" s="23">
        <v>0.0141843971631206</v>
      </c>
      <c r="AQ128" s="23">
        <v>0.0303030303030303</v>
      </c>
      <c r="AR128" s="35">
        <v>0.285714285714286</v>
      </c>
      <c r="AS128" s="35">
        <v>17.1428571428571</v>
      </c>
      <c r="AT128" s="35">
        <v>-17.1428571428571</v>
      </c>
      <c r="AU128" s="31">
        <f t="shared" si="5"/>
        <v>0</v>
      </c>
      <c r="AV128" s="36">
        <f>IFERROR(时间!$B$4+AU128,"上周无销量")</f>
        <v>43325</v>
      </c>
    </row>
    <row r="129" spans="1:48">
      <c r="A129" s="21" t="s">
        <v>484</v>
      </c>
      <c r="B129" t="s">
        <v>485</v>
      </c>
      <c r="C129" t="s">
        <v>486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1</v>
      </c>
      <c r="J129" s="33">
        <v>0</v>
      </c>
      <c r="K129" s="33">
        <v>0</v>
      </c>
      <c r="L129" s="33">
        <v>2</v>
      </c>
      <c r="M129">
        <v>3</v>
      </c>
      <c r="N129">
        <v>0</v>
      </c>
      <c r="O129">
        <v>0</v>
      </c>
      <c r="P129" t="s">
        <v>57</v>
      </c>
      <c r="Q129" t="s">
        <v>57</v>
      </c>
      <c r="R129" t="s">
        <v>57</v>
      </c>
      <c r="S129" t="s">
        <v>57</v>
      </c>
      <c r="T129" t="s">
        <v>57</v>
      </c>
      <c r="U129" t="s">
        <v>57</v>
      </c>
      <c r="V129" t="s">
        <v>57</v>
      </c>
      <c r="W129" t="s">
        <v>57</v>
      </c>
      <c r="X129" s="23" t="s">
        <v>57</v>
      </c>
      <c r="Y129" s="23" t="s">
        <v>57</v>
      </c>
      <c r="Z129" s="23" t="s">
        <v>57</v>
      </c>
      <c r="AA129" s="23" t="s">
        <v>57</v>
      </c>
      <c r="AB129" t="s">
        <v>57</v>
      </c>
      <c r="AC129" t="s">
        <v>57</v>
      </c>
      <c r="AD129" t="s">
        <v>57</v>
      </c>
      <c r="AE129" t="s">
        <v>57</v>
      </c>
      <c r="AF129" s="23" t="s">
        <v>57</v>
      </c>
      <c r="AG129" s="23" t="s">
        <v>57</v>
      </c>
      <c r="AH129" s="23" t="s">
        <v>57</v>
      </c>
      <c r="AI129" s="23" t="s">
        <v>57</v>
      </c>
      <c r="AJ129">
        <v>3</v>
      </c>
      <c r="AK129">
        <v>0</v>
      </c>
      <c r="AL129">
        <v>0</v>
      </c>
      <c r="AM129">
        <v>0</v>
      </c>
      <c r="AN129" s="23">
        <v>0</v>
      </c>
      <c r="AO129" s="23" t="s">
        <v>57</v>
      </c>
      <c r="AP129" s="23" t="s">
        <v>57</v>
      </c>
      <c r="AQ129" s="23" t="s">
        <v>57</v>
      </c>
      <c r="AR129" s="35">
        <v>0</v>
      </c>
      <c r="AS129" s="35">
        <v>0</v>
      </c>
      <c r="AT129" s="35">
        <v>3</v>
      </c>
      <c r="AU129" s="31" t="str">
        <f t="shared" si="5"/>
        <v>库存为3</v>
      </c>
      <c r="AV129" s="36" t="str">
        <f>IFERROR(时间!$B$4+AU129,"上周无销量")</f>
        <v>上周无销量</v>
      </c>
    </row>
    <row r="130" spans="1:48">
      <c r="A130" s="21" t="s">
        <v>487</v>
      </c>
      <c r="B130" t="s">
        <v>488</v>
      </c>
      <c r="C130" t="s">
        <v>489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3</v>
      </c>
      <c r="K130" s="33">
        <v>0</v>
      </c>
      <c r="L130" s="33">
        <v>0</v>
      </c>
      <c r="M130">
        <v>3</v>
      </c>
      <c r="N130">
        <v>0</v>
      </c>
      <c r="O130">
        <v>0</v>
      </c>
      <c r="P130" t="s">
        <v>57</v>
      </c>
      <c r="Q130" t="s">
        <v>57</v>
      </c>
      <c r="R130" t="s">
        <v>57</v>
      </c>
      <c r="S130" t="s">
        <v>57</v>
      </c>
      <c r="T130" t="s">
        <v>57</v>
      </c>
      <c r="U130" t="s">
        <v>57</v>
      </c>
      <c r="V130" t="s">
        <v>57</v>
      </c>
      <c r="W130" t="s">
        <v>57</v>
      </c>
      <c r="X130" s="23" t="s">
        <v>57</v>
      </c>
      <c r="Y130" s="23" t="s">
        <v>57</v>
      </c>
      <c r="Z130" s="23" t="s">
        <v>57</v>
      </c>
      <c r="AA130" s="23" t="s">
        <v>57</v>
      </c>
      <c r="AB130" t="s">
        <v>57</v>
      </c>
      <c r="AC130" t="s">
        <v>57</v>
      </c>
      <c r="AD130" t="s">
        <v>57</v>
      </c>
      <c r="AE130" t="s">
        <v>57</v>
      </c>
      <c r="AF130" s="23" t="s">
        <v>57</v>
      </c>
      <c r="AG130" s="23" t="s">
        <v>57</v>
      </c>
      <c r="AH130" s="23" t="s">
        <v>57</v>
      </c>
      <c r="AI130" s="23" t="s">
        <v>57</v>
      </c>
      <c r="AJ130">
        <v>0</v>
      </c>
      <c r="AK130">
        <v>0</v>
      </c>
      <c r="AL130">
        <v>0</v>
      </c>
      <c r="AM130">
        <v>0</v>
      </c>
      <c r="AN130" s="23" t="s">
        <v>57</v>
      </c>
      <c r="AO130" s="23" t="s">
        <v>57</v>
      </c>
      <c r="AP130" s="23" t="s">
        <v>57</v>
      </c>
      <c r="AQ130" s="23" t="s">
        <v>57</v>
      </c>
      <c r="AR130" s="35">
        <v>0</v>
      </c>
      <c r="AS130" s="35">
        <v>0</v>
      </c>
      <c r="AT130" s="35">
        <v>3</v>
      </c>
      <c r="AU130" s="31" t="str">
        <f t="shared" si="5"/>
        <v>库存为3</v>
      </c>
      <c r="AV130" s="36" t="str">
        <f>IFERROR(时间!$B$4+AU130,"上周无销量")</f>
        <v>上周无销量</v>
      </c>
    </row>
    <row r="131" spans="1:48">
      <c r="A131" s="21" t="s">
        <v>490</v>
      </c>
      <c r="B131" t="s">
        <v>491</v>
      </c>
      <c r="C131" t="s">
        <v>492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0</v>
      </c>
      <c r="P131">
        <v>173</v>
      </c>
      <c r="Q131">
        <v>187</v>
      </c>
      <c r="R131">
        <v>0</v>
      </c>
      <c r="S131">
        <v>0</v>
      </c>
      <c r="T131">
        <v>2</v>
      </c>
      <c r="U131">
        <v>2</v>
      </c>
      <c r="V131">
        <v>0</v>
      </c>
      <c r="W131">
        <v>0</v>
      </c>
      <c r="X131" s="23">
        <v>0.0115606936416185</v>
      </c>
      <c r="Y131" s="23">
        <v>0.0106951871657754</v>
      </c>
      <c r="Z131" s="23" t="s">
        <v>57</v>
      </c>
      <c r="AA131" s="23" t="s">
        <v>57</v>
      </c>
      <c r="AB131">
        <v>0.64</v>
      </c>
      <c r="AC131">
        <v>0.64</v>
      </c>
      <c r="AD131">
        <v>0</v>
      </c>
      <c r="AE131">
        <v>0</v>
      </c>
      <c r="AF131" s="23" t="s">
        <v>493</v>
      </c>
      <c r="AG131" s="23" t="s">
        <v>493</v>
      </c>
      <c r="AH131" s="23" t="s">
        <v>57</v>
      </c>
      <c r="AI131" s="23" t="s">
        <v>57</v>
      </c>
      <c r="AJ131">
        <v>24</v>
      </c>
      <c r="AK131">
        <v>6</v>
      </c>
      <c r="AL131">
        <v>0</v>
      </c>
      <c r="AM131">
        <v>0</v>
      </c>
      <c r="AN131" s="23">
        <v>0</v>
      </c>
      <c r="AO131" s="23">
        <v>0</v>
      </c>
      <c r="AP131" s="23" t="s">
        <v>57</v>
      </c>
      <c r="AQ131" s="23" t="s">
        <v>57</v>
      </c>
      <c r="AR131" s="35">
        <v>0</v>
      </c>
      <c r="AS131" s="35">
        <v>0</v>
      </c>
      <c r="AT131" s="35">
        <v>3</v>
      </c>
      <c r="AU131" s="31" t="str">
        <f t="shared" si="5"/>
        <v>库存为3</v>
      </c>
      <c r="AV131" s="36" t="str">
        <f>IFERROR(时间!$B$4+AU131,"上周无销量")</f>
        <v>上周无销量</v>
      </c>
    </row>
    <row r="132" spans="1:48">
      <c r="A132" s="21" t="s">
        <v>494</v>
      </c>
      <c r="B132" t="s">
        <v>495</v>
      </c>
      <c r="C132" t="s">
        <v>496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3</v>
      </c>
      <c r="J132" s="33">
        <v>0</v>
      </c>
      <c r="K132" s="33">
        <v>0</v>
      </c>
      <c r="L132" s="33">
        <v>0</v>
      </c>
      <c r="M132">
        <v>3</v>
      </c>
      <c r="N132">
        <v>0</v>
      </c>
      <c r="O132">
        <v>0</v>
      </c>
      <c r="P132">
        <v>262</v>
      </c>
      <c r="Q132">
        <v>269</v>
      </c>
      <c r="R132">
        <v>0</v>
      </c>
      <c r="S132">
        <v>0</v>
      </c>
      <c r="T132">
        <v>5</v>
      </c>
      <c r="U132">
        <v>5</v>
      </c>
      <c r="V132">
        <v>0</v>
      </c>
      <c r="W132">
        <v>0</v>
      </c>
      <c r="X132" s="23">
        <v>0.0190839694656489</v>
      </c>
      <c r="Y132" s="23">
        <v>0.0185873605947955</v>
      </c>
      <c r="Z132" s="23" t="s">
        <v>57</v>
      </c>
      <c r="AA132" s="23" t="s">
        <v>57</v>
      </c>
      <c r="AB132">
        <v>2.06</v>
      </c>
      <c r="AC132">
        <v>2.06</v>
      </c>
      <c r="AD132">
        <v>0</v>
      </c>
      <c r="AE132">
        <v>0</v>
      </c>
      <c r="AF132" s="23" t="s">
        <v>497</v>
      </c>
      <c r="AG132" s="23" t="s">
        <v>497</v>
      </c>
      <c r="AH132" s="23" t="s">
        <v>57</v>
      </c>
      <c r="AI132" s="23" t="s">
        <v>57</v>
      </c>
      <c r="AJ132">
        <v>178</v>
      </c>
      <c r="AK132">
        <v>46</v>
      </c>
      <c r="AL132">
        <v>0</v>
      </c>
      <c r="AM132">
        <v>0</v>
      </c>
      <c r="AN132" s="23">
        <v>0</v>
      </c>
      <c r="AO132" s="23">
        <v>0</v>
      </c>
      <c r="AP132" s="23" t="s">
        <v>57</v>
      </c>
      <c r="AQ132" s="23" t="s">
        <v>57</v>
      </c>
      <c r="AR132" s="35">
        <v>0</v>
      </c>
      <c r="AS132" s="35">
        <v>0</v>
      </c>
      <c r="AT132" s="35">
        <v>3</v>
      </c>
      <c r="AU132" s="31" t="str">
        <f t="shared" si="5"/>
        <v>库存为3</v>
      </c>
      <c r="AV132" s="36" t="str">
        <f>IFERROR(时间!$B$4+AU132,"上周无销量")</f>
        <v>上周无销量</v>
      </c>
    </row>
    <row r="133" spans="1:48">
      <c r="A133" s="21" t="s">
        <v>498</v>
      </c>
      <c r="B133" t="s">
        <v>499</v>
      </c>
      <c r="C133" t="s">
        <v>500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0</v>
      </c>
      <c r="P133">
        <v>193</v>
      </c>
      <c r="Q133">
        <v>204</v>
      </c>
      <c r="R133">
        <v>0</v>
      </c>
      <c r="S133">
        <v>0</v>
      </c>
      <c r="T133">
        <v>1</v>
      </c>
      <c r="U133">
        <v>1</v>
      </c>
      <c r="V133">
        <v>0</v>
      </c>
      <c r="W133">
        <v>0</v>
      </c>
      <c r="X133" s="23">
        <v>0.00518134715025907</v>
      </c>
      <c r="Y133" s="23">
        <v>0.00490196078431373</v>
      </c>
      <c r="Z133" s="23" t="s">
        <v>57</v>
      </c>
      <c r="AA133" s="23" t="s">
        <v>57</v>
      </c>
      <c r="AB133">
        <v>0.74</v>
      </c>
      <c r="AC133">
        <v>0.74</v>
      </c>
      <c r="AD133">
        <v>0</v>
      </c>
      <c r="AE133">
        <v>0</v>
      </c>
      <c r="AF133" s="23" t="s">
        <v>501</v>
      </c>
      <c r="AG133" s="23" t="s">
        <v>501</v>
      </c>
      <c r="AH133" s="23" t="s">
        <v>57</v>
      </c>
      <c r="AI133" s="23" t="s">
        <v>57</v>
      </c>
      <c r="AJ133">
        <v>20</v>
      </c>
      <c r="AK133">
        <v>9</v>
      </c>
      <c r="AL133">
        <v>1</v>
      </c>
      <c r="AM133">
        <v>0</v>
      </c>
      <c r="AN133" s="23">
        <v>0</v>
      </c>
      <c r="AO133" s="23">
        <v>0</v>
      </c>
      <c r="AP133" s="23">
        <v>0</v>
      </c>
      <c r="AQ133" s="23" t="s">
        <v>57</v>
      </c>
      <c r="AR133" s="35">
        <v>0</v>
      </c>
      <c r="AS133" s="35">
        <v>0</v>
      </c>
      <c r="AT133" s="35">
        <v>3</v>
      </c>
      <c r="AU133" s="31" t="str">
        <f t="shared" ref="AU133:AU189" si="6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1" t="s">
        <v>502</v>
      </c>
      <c r="B134" t="s">
        <v>503</v>
      </c>
      <c r="C134" t="s">
        <v>504</v>
      </c>
      <c r="D134" s="31">
        <v>4</v>
      </c>
      <c r="E134" s="31">
        <v>3</v>
      </c>
      <c r="F134" s="31">
        <v>1</v>
      </c>
      <c r="G134" s="31">
        <v>6</v>
      </c>
      <c r="H134" s="32">
        <v>89.99</v>
      </c>
      <c r="I134">
        <v>24</v>
      </c>
      <c r="J134" s="33">
        <v>0</v>
      </c>
      <c r="K134" s="33">
        <v>0</v>
      </c>
      <c r="L134" s="33">
        <v>0</v>
      </c>
      <c r="M134">
        <v>24</v>
      </c>
      <c r="N134">
        <v>0</v>
      </c>
      <c r="O134">
        <v>0</v>
      </c>
      <c r="P134" t="s">
        <v>57</v>
      </c>
      <c r="Q134" t="s">
        <v>57</v>
      </c>
      <c r="R134" t="s">
        <v>57</v>
      </c>
      <c r="S134" t="s">
        <v>57</v>
      </c>
      <c r="T134" t="s">
        <v>57</v>
      </c>
      <c r="U134" t="s">
        <v>57</v>
      </c>
      <c r="V134" t="s">
        <v>57</v>
      </c>
      <c r="W134" t="s">
        <v>57</v>
      </c>
      <c r="X134" s="23" t="s">
        <v>57</v>
      </c>
      <c r="Y134" s="23" t="s">
        <v>57</v>
      </c>
      <c r="Z134" s="23" t="s">
        <v>57</v>
      </c>
      <c r="AA134" s="23" t="s">
        <v>57</v>
      </c>
      <c r="AB134" t="s">
        <v>57</v>
      </c>
      <c r="AC134" t="s">
        <v>57</v>
      </c>
      <c r="AD134" t="s">
        <v>57</v>
      </c>
      <c r="AE134" t="s">
        <v>57</v>
      </c>
      <c r="AF134" s="23" t="s">
        <v>57</v>
      </c>
      <c r="AG134" s="23" t="s">
        <v>57</v>
      </c>
      <c r="AH134" s="23" t="s">
        <v>57</v>
      </c>
      <c r="AI134" s="23" t="s">
        <v>57</v>
      </c>
      <c r="AJ134">
        <v>174</v>
      </c>
      <c r="AK134">
        <v>96</v>
      </c>
      <c r="AL134">
        <v>124</v>
      </c>
      <c r="AM134">
        <v>119</v>
      </c>
      <c r="AN134" s="23">
        <v>0.0229885057471264</v>
      </c>
      <c r="AO134" s="23">
        <v>0.03125</v>
      </c>
      <c r="AP134" s="23">
        <v>0.00806451612903226</v>
      </c>
      <c r="AQ134" s="23">
        <v>0.0504201680672269</v>
      </c>
      <c r="AR134" s="35">
        <v>0.571428571428571</v>
      </c>
      <c r="AS134" s="35">
        <v>34.2857142857143</v>
      </c>
      <c r="AT134" s="35">
        <v>-10.2857142857143</v>
      </c>
      <c r="AU134" s="31">
        <f t="shared" si="6"/>
        <v>42</v>
      </c>
      <c r="AV134" s="36">
        <f>IFERROR(时间!$B$4+AU134,"上周无销量")</f>
        <v>43367</v>
      </c>
    </row>
    <row r="135" spans="1:48">
      <c r="A135" s="21" t="s">
        <v>505</v>
      </c>
      <c r="B135" t="s">
        <v>506</v>
      </c>
      <c r="C135" t="s">
        <v>507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57</v>
      </c>
      <c r="Q135" t="s">
        <v>57</v>
      </c>
      <c r="R135" t="s">
        <v>57</v>
      </c>
      <c r="S135" t="s">
        <v>57</v>
      </c>
      <c r="T135" t="s">
        <v>57</v>
      </c>
      <c r="U135" t="s">
        <v>57</v>
      </c>
      <c r="V135" t="s">
        <v>57</v>
      </c>
      <c r="W135" t="s">
        <v>57</v>
      </c>
      <c r="X135" s="23" t="s">
        <v>57</v>
      </c>
      <c r="Y135" s="23" t="s">
        <v>57</v>
      </c>
      <c r="Z135" s="23" t="s">
        <v>57</v>
      </c>
      <c r="AA135" s="23" t="s">
        <v>57</v>
      </c>
      <c r="AB135" t="s">
        <v>57</v>
      </c>
      <c r="AC135" t="s">
        <v>57</v>
      </c>
      <c r="AD135" t="s">
        <v>57</v>
      </c>
      <c r="AE135" t="s">
        <v>57</v>
      </c>
      <c r="AF135" s="23" t="s">
        <v>57</v>
      </c>
      <c r="AG135" s="23" t="s">
        <v>57</v>
      </c>
      <c r="AH135" s="23" t="s">
        <v>57</v>
      </c>
      <c r="AI135" s="23" t="s">
        <v>57</v>
      </c>
      <c r="AJ135">
        <v>0</v>
      </c>
      <c r="AK135">
        <v>0</v>
      </c>
      <c r="AL135">
        <v>0</v>
      </c>
      <c r="AM135">
        <v>0</v>
      </c>
      <c r="AN135" s="23" t="s">
        <v>57</v>
      </c>
      <c r="AO135" s="23" t="s">
        <v>57</v>
      </c>
      <c r="AP135" s="23" t="s">
        <v>57</v>
      </c>
      <c r="AQ135" s="23" t="s">
        <v>57</v>
      </c>
      <c r="AR135" s="35">
        <v>0</v>
      </c>
      <c r="AS135" s="35">
        <v>0</v>
      </c>
      <c r="AT135" s="35">
        <v>0</v>
      </c>
      <c r="AU135" s="31" t="str">
        <f t="shared" si="6"/>
        <v>库存为0</v>
      </c>
      <c r="AV135" s="36" t="str">
        <f>IFERROR(时间!$B$4+AU135,"上周无销量")</f>
        <v>上周无销量</v>
      </c>
    </row>
    <row r="136" spans="1:48">
      <c r="A136" s="21" t="s">
        <v>508</v>
      </c>
      <c r="B136" t="s">
        <v>509</v>
      </c>
      <c r="C136" t="s">
        <v>510</v>
      </c>
      <c r="D136" s="31">
        <v>0</v>
      </c>
      <c r="E136" s="31">
        <v>0</v>
      </c>
      <c r="F136" s="31">
        <v>3</v>
      </c>
      <c r="G136" s="31">
        <v>0</v>
      </c>
      <c r="H136" s="32">
        <v>89.99</v>
      </c>
      <c r="I136">
        <v>15</v>
      </c>
      <c r="J136" s="33">
        <v>0</v>
      </c>
      <c r="K136" s="33">
        <v>0</v>
      </c>
      <c r="L136" s="33">
        <v>0</v>
      </c>
      <c r="M136">
        <v>15</v>
      </c>
      <c r="N136">
        <v>0</v>
      </c>
      <c r="O136">
        <v>5</v>
      </c>
      <c r="P136" t="s">
        <v>57</v>
      </c>
      <c r="Q136" t="s">
        <v>57</v>
      </c>
      <c r="R136" t="s">
        <v>57</v>
      </c>
      <c r="S136" t="s">
        <v>57</v>
      </c>
      <c r="T136" t="s">
        <v>57</v>
      </c>
      <c r="U136" t="s">
        <v>57</v>
      </c>
      <c r="V136" t="s">
        <v>57</v>
      </c>
      <c r="W136" t="s">
        <v>57</v>
      </c>
      <c r="X136" s="23" t="s">
        <v>57</v>
      </c>
      <c r="Y136" s="23" t="s">
        <v>57</v>
      </c>
      <c r="Z136" s="23" t="s">
        <v>57</v>
      </c>
      <c r="AA136" s="23" t="s">
        <v>57</v>
      </c>
      <c r="AB136" t="s">
        <v>57</v>
      </c>
      <c r="AC136" t="s">
        <v>57</v>
      </c>
      <c r="AD136" t="s">
        <v>57</v>
      </c>
      <c r="AE136" t="s">
        <v>57</v>
      </c>
      <c r="AF136" s="23" t="s">
        <v>57</v>
      </c>
      <c r="AG136" s="23" t="s">
        <v>57</v>
      </c>
      <c r="AH136" s="23" t="s">
        <v>57</v>
      </c>
      <c r="AI136" s="23" t="s">
        <v>57</v>
      </c>
      <c r="AJ136">
        <v>141</v>
      </c>
      <c r="AK136">
        <v>64</v>
      </c>
      <c r="AL136">
        <v>132</v>
      </c>
      <c r="AM136">
        <v>211</v>
      </c>
      <c r="AN136" s="23">
        <v>0</v>
      </c>
      <c r="AO136" s="23">
        <v>0</v>
      </c>
      <c r="AP136" s="23">
        <v>0.0227272727272727</v>
      </c>
      <c r="AQ136" s="23">
        <v>0</v>
      </c>
      <c r="AR136" s="35">
        <v>0</v>
      </c>
      <c r="AS136" s="35">
        <v>0</v>
      </c>
      <c r="AT136" s="35">
        <v>15</v>
      </c>
      <c r="AU136" s="31" t="str">
        <f t="shared" si="6"/>
        <v>库存为15</v>
      </c>
      <c r="AV136" s="36" t="str">
        <f>IFERROR(时间!$B$4+AU136,"上周无销量")</f>
        <v>上周无销量</v>
      </c>
    </row>
    <row r="137" spans="1:48">
      <c r="A137" s="21" t="s">
        <v>511</v>
      </c>
      <c r="B137" t="s">
        <v>512</v>
      </c>
      <c r="C137" t="s">
        <v>510</v>
      </c>
      <c r="D137" s="31">
        <v>1</v>
      </c>
      <c r="E137" s="31">
        <v>1</v>
      </c>
      <c r="F137" s="31">
        <v>1</v>
      </c>
      <c r="G137" s="31">
        <v>1</v>
      </c>
      <c r="H137" s="32">
        <v>106.99</v>
      </c>
      <c r="I137">
        <v>4</v>
      </c>
      <c r="J137" s="33">
        <v>0</v>
      </c>
      <c r="K137" s="33">
        <v>0</v>
      </c>
      <c r="L137" s="33">
        <v>0</v>
      </c>
      <c r="M137">
        <v>4</v>
      </c>
      <c r="N137">
        <v>0</v>
      </c>
      <c r="O137">
        <v>8</v>
      </c>
      <c r="P137">
        <v>97258</v>
      </c>
      <c r="Q137">
        <v>97458</v>
      </c>
      <c r="R137">
        <v>49337</v>
      </c>
      <c r="S137">
        <v>38691</v>
      </c>
      <c r="T137">
        <v>390</v>
      </c>
      <c r="U137">
        <v>392</v>
      </c>
      <c r="V137">
        <v>236</v>
      </c>
      <c r="W137">
        <v>130</v>
      </c>
      <c r="X137" s="23">
        <v>0.00400995290875815</v>
      </c>
      <c r="Y137" s="23">
        <v>0.00402224548010425</v>
      </c>
      <c r="Z137" s="23">
        <v>0.0047834282587105</v>
      </c>
      <c r="AA137" s="23">
        <v>0.00335995451138508</v>
      </c>
      <c r="AB137">
        <v>129.66</v>
      </c>
      <c r="AC137">
        <v>130.55</v>
      </c>
      <c r="AD137">
        <v>73.82</v>
      </c>
      <c r="AE137">
        <v>48.43</v>
      </c>
      <c r="AF137" s="23">
        <v>1.21188896158519</v>
      </c>
      <c r="AG137" s="23">
        <v>1.22020749602767</v>
      </c>
      <c r="AH137" s="23">
        <v>0.68997102532947</v>
      </c>
      <c r="AI137" s="23">
        <v>0.452659127021217</v>
      </c>
      <c r="AJ137">
        <v>99</v>
      </c>
      <c r="AK137">
        <v>255</v>
      </c>
      <c r="AL137">
        <v>298</v>
      </c>
      <c r="AM137">
        <v>192</v>
      </c>
      <c r="AN137" s="23">
        <v>0.0101010101010101</v>
      </c>
      <c r="AO137" s="23">
        <v>0.00392156862745098</v>
      </c>
      <c r="AP137" s="23">
        <v>0.00335570469798658</v>
      </c>
      <c r="AQ137" s="23">
        <v>0.00520833333333333</v>
      </c>
      <c r="AR137" s="35">
        <v>0.142857142857143</v>
      </c>
      <c r="AS137" s="35">
        <v>8.57142857142857</v>
      </c>
      <c r="AT137" s="35">
        <v>-4.57142857142857</v>
      </c>
      <c r="AU137" s="31">
        <f t="shared" si="6"/>
        <v>28</v>
      </c>
      <c r="AV137" s="36">
        <f>IFERROR(时间!$B$4+AU137,"上周无销量")</f>
        <v>43353</v>
      </c>
    </row>
    <row r="138" spans="1:48">
      <c r="A138" s="21" t="s">
        <v>513</v>
      </c>
      <c r="B138" t="s">
        <v>514</v>
      </c>
      <c r="C138" t="s">
        <v>515</v>
      </c>
      <c r="D138" s="31">
        <v>1</v>
      </c>
      <c r="E138" s="31">
        <v>1</v>
      </c>
      <c r="F138" s="31">
        <v>2</v>
      </c>
      <c r="G138" s="31">
        <v>0</v>
      </c>
      <c r="H138" s="32">
        <v>30.74</v>
      </c>
      <c r="I138">
        <v>9</v>
      </c>
      <c r="J138" s="33">
        <v>0</v>
      </c>
      <c r="K138" s="33">
        <v>0</v>
      </c>
      <c r="L138" s="33">
        <v>0</v>
      </c>
      <c r="M138">
        <v>9</v>
      </c>
      <c r="N138">
        <v>0</v>
      </c>
      <c r="O138">
        <v>9</v>
      </c>
      <c r="P138" t="s">
        <v>57</v>
      </c>
      <c r="Q138" t="s">
        <v>57</v>
      </c>
      <c r="R138" t="s">
        <v>57</v>
      </c>
      <c r="S138" t="s">
        <v>57</v>
      </c>
      <c r="T138" t="s">
        <v>57</v>
      </c>
      <c r="U138" t="s">
        <v>57</v>
      </c>
      <c r="V138" t="s">
        <v>57</v>
      </c>
      <c r="W138" t="s">
        <v>57</v>
      </c>
      <c r="X138" s="23" t="s">
        <v>57</v>
      </c>
      <c r="Y138" s="23" t="s">
        <v>57</v>
      </c>
      <c r="Z138" s="23" t="s">
        <v>57</v>
      </c>
      <c r="AA138" s="23" t="s">
        <v>57</v>
      </c>
      <c r="AB138" t="s">
        <v>57</v>
      </c>
      <c r="AC138" t="s">
        <v>57</v>
      </c>
      <c r="AD138" t="s">
        <v>57</v>
      </c>
      <c r="AE138" t="s">
        <v>57</v>
      </c>
      <c r="AF138" s="23" t="s">
        <v>57</v>
      </c>
      <c r="AG138" s="23" t="s">
        <v>57</v>
      </c>
      <c r="AH138" s="23" t="s">
        <v>57</v>
      </c>
      <c r="AI138" s="23" t="s">
        <v>57</v>
      </c>
      <c r="AJ138">
        <v>118</v>
      </c>
      <c r="AK138">
        <v>151</v>
      </c>
      <c r="AL138">
        <v>145</v>
      </c>
      <c r="AM138">
        <v>49</v>
      </c>
      <c r="AN138" s="23">
        <v>0.00847457627118644</v>
      </c>
      <c r="AO138" s="23">
        <v>0.00662251655629139</v>
      </c>
      <c r="AP138" s="23">
        <v>0.0137931034482759</v>
      </c>
      <c r="AQ138" s="23">
        <v>0</v>
      </c>
      <c r="AR138" s="35">
        <v>0.142857142857143</v>
      </c>
      <c r="AS138" s="35">
        <v>8.57142857142857</v>
      </c>
      <c r="AT138" s="35">
        <v>0.428571428571429</v>
      </c>
      <c r="AU138" s="31">
        <f t="shared" si="6"/>
        <v>63</v>
      </c>
      <c r="AV138" s="36">
        <f>IFERROR(时间!$B$4+AU138,"上周无销量")</f>
        <v>43388</v>
      </c>
    </row>
    <row r="139" spans="1:48">
      <c r="A139" s="21" t="s">
        <v>516</v>
      </c>
      <c r="B139" t="s">
        <v>514</v>
      </c>
      <c r="C139" t="s">
        <v>515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57</v>
      </c>
      <c r="Q139" t="s">
        <v>57</v>
      </c>
      <c r="R139" t="s">
        <v>57</v>
      </c>
      <c r="S139" t="s">
        <v>57</v>
      </c>
      <c r="T139" t="s">
        <v>57</v>
      </c>
      <c r="U139" t="s">
        <v>57</v>
      </c>
      <c r="V139" t="s">
        <v>57</v>
      </c>
      <c r="W139" t="s">
        <v>57</v>
      </c>
      <c r="X139" s="23" t="s">
        <v>57</v>
      </c>
      <c r="Y139" s="23" t="s">
        <v>57</v>
      </c>
      <c r="Z139" s="23" t="s">
        <v>57</v>
      </c>
      <c r="AA139" s="23" t="s">
        <v>57</v>
      </c>
      <c r="AB139" t="s">
        <v>57</v>
      </c>
      <c r="AC139" t="s">
        <v>57</v>
      </c>
      <c r="AD139" t="s">
        <v>57</v>
      </c>
      <c r="AE139" t="s">
        <v>57</v>
      </c>
      <c r="AF139" s="23" t="s">
        <v>57</v>
      </c>
      <c r="AG139" s="23" t="s">
        <v>57</v>
      </c>
      <c r="AH139" s="23" t="s">
        <v>57</v>
      </c>
      <c r="AI139" s="23" t="s">
        <v>57</v>
      </c>
      <c r="AJ139">
        <v>118</v>
      </c>
      <c r="AK139">
        <v>151</v>
      </c>
      <c r="AL139">
        <v>145</v>
      </c>
      <c r="AM139">
        <v>49</v>
      </c>
      <c r="AN139" s="23">
        <v>0</v>
      </c>
      <c r="AO139" s="23">
        <v>0</v>
      </c>
      <c r="AP139" s="23">
        <v>0</v>
      </c>
      <c r="AQ139" s="23">
        <v>0</v>
      </c>
      <c r="AR139" s="35">
        <v>0</v>
      </c>
      <c r="AS139" s="35">
        <v>0</v>
      </c>
      <c r="AT139" s="35">
        <v>0</v>
      </c>
      <c r="AU139" s="31" t="str">
        <f t="shared" si="6"/>
        <v>库存为0</v>
      </c>
      <c r="AV139" s="36" t="str">
        <f>IFERROR(时间!$B$4+AU139,"上周无销量")</f>
        <v>上周无销量</v>
      </c>
    </row>
    <row r="140" spans="1:48">
      <c r="A140" s="21" t="s">
        <v>517</v>
      </c>
      <c r="B140" t="s">
        <v>518</v>
      </c>
      <c r="C140" t="s">
        <v>515</v>
      </c>
      <c r="D140" s="31">
        <v>6</v>
      </c>
      <c r="E140" s="31">
        <v>2</v>
      </c>
      <c r="F140" s="31">
        <v>1</v>
      </c>
      <c r="G140" s="31">
        <v>1</v>
      </c>
      <c r="H140" s="32">
        <v>30.59</v>
      </c>
      <c r="I140">
        <v>6</v>
      </c>
      <c r="J140" s="33">
        <v>0</v>
      </c>
      <c r="K140" s="33">
        <v>0</v>
      </c>
      <c r="L140" s="33">
        <v>0</v>
      </c>
      <c r="M140">
        <v>6</v>
      </c>
      <c r="N140">
        <v>0</v>
      </c>
      <c r="O140">
        <v>0</v>
      </c>
      <c r="P140">
        <v>5079</v>
      </c>
      <c r="Q140">
        <v>5169</v>
      </c>
      <c r="R140">
        <v>3035</v>
      </c>
      <c r="S140">
        <v>1383</v>
      </c>
      <c r="T140">
        <v>105</v>
      </c>
      <c r="U140">
        <v>106</v>
      </c>
      <c r="V140">
        <v>57</v>
      </c>
      <c r="W140">
        <v>35</v>
      </c>
      <c r="X140" s="23">
        <v>0.0206733608978145</v>
      </c>
      <c r="Y140" s="23">
        <v>0.020506867866125</v>
      </c>
      <c r="Z140" s="23">
        <v>0.0187808896210873</v>
      </c>
      <c r="AA140" s="23">
        <v>0.0253073029645698</v>
      </c>
      <c r="AB140">
        <v>19.84</v>
      </c>
      <c r="AC140">
        <v>20.03</v>
      </c>
      <c r="AD140">
        <v>9.38</v>
      </c>
      <c r="AE140">
        <v>7.43</v>
      </c>
      <c r="AF140" s="23">
        <v>0.108096327775962</v>
      </c>
      <c r="AG140" s="23">
        <v>0.327394573389997</v>
      </c>
      <c r="AH140" s="23">
        <v>0.306636155606407</v>
      </c>
      <c r="AI140" s="23">
        <v>0.242889833278849</v>
      </c>
      <c r="AJ140">
        <v>260</v>
      </c>
      <c r="AK140">
        <v>173</v>
      </c>
      <c r="AL140">
        <v>149</v>
      </c>
      <c r="AM140">
        <v>150</v>
      </c>
      <c r="AN140" s="23">
        <v>0.0230769230769231</v>
      </c>
      <c r="AO140" s="23">
        <v>0.0115606936416185</v>
      </c>
      <c r="AP140" s="23">
        <v>0.00671140939597315</v>
      </c>
      <c r="AQ140" s="23">
        <v>0.00666666666666667</v>
      </c>
      <c r="AR140" s="35">
        <v>0.857142857142857</v>
      </c>
      <c r="AS140" s="35">
        <v>51.4285714285714</v>
      </c>
      <c r="AT140" s="35">
        <v>-45.4285714285714</v>
      </c>
      <c r="AU140" s="31">
        <f t="shared" si="6"/>
        <v>7</v>
      </c>
      <c r="AV140" s="36">
        <f>IFERROR(时间!$B$4+AU140,"上周无销量")</f>
        <v>43332</v>
      </c>
    </row>
    <row r="141" spans="1:48">
      <c r="A141" s="21" t="s">
        <v>519</v>
      </c>
      <c r="B141" t="s">
        <v>520</v>
      </c>
      <c r="C141" t="s">
        <v>521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10</v>
      </c>
      <c r="J141" s="33">
        <v>0</v>
      </c>
      <c r="K141" s="33">
        <v>0</v>
      </c>
      <c r="L141" s="33">
        <v>0</v>
      </c>
      <c r="M141">
        <v>10</v>
      </c>
      <c r="N141">
        <v>0</v>
      </c>
      <c r="O141">
        <v>6</v>
      </c>
      <c r="P141">
        <v>26870</v>
      </c>
      <c r="Q141">
        <v>26887</v>
      </c>
      <c r="R141">
        <v>2132</v>
      </c>
      <c r="S141">
        <v>3853</v>
      </c>
      <c r="T141">
        <v>164</v>
      </c>
      <c r="U141">
        <v>164</v>
      </c>
      <c r="V141">
        <v>25</v>
      </c>
      <c r="W141">
        <v>25</v>
      </c>
      <c r="X141" s="23">
        <v>0.00610346110904354</v>
      </c>
      <c r="Y141" s="23">
        <v>0.00609960203815971</v>
      </c>
      <c r="Z141" s="23">
        <v>0.0117260787992495</v>
      </c>
      <c r="AA141" s="23">
        <v>0.00648845055800675</v>
      </c>
      <c r="AB141">
        <v>29.1</v>
      </c>
      <c r="AC141">
        <v>29.1</v>
      </c>
      <c r="AD141">
        <v>3.44</v>
      </c>
      <c r="AE141">
        <v>5.99</v>
      </c>
      <c r="AF141" s="23" t="s">
        <v>522</v>
      </c>
      <c r="AG141" s="23" t="s">
        <v>522</v>
      </c>
      <c r="AH141" s="23" t="s">
        <v>523</v>
      </c>
      <c r="AI141" s="23" t="s">
        <v>524</v>
      </c>
      <c r="AJ141">
        <v>39</v>
      </c>
      <c r="AK141">
        <v>53</v>
      </c>
      <c r="AL141">
        <v>85</v>
      </c>
      <c r="AM141">
        <v>136</v>
      </c>
      <c r="AN141" s="23">
        <v>0</v>
      </c>
      <c r="AO141" s="23">
        <v>0</v>
      </c>
      <c r="AP141" s="23">
        <v>0</v>
      </c>
      <c r="AQ141" s="23">
        <v>0</v>
      </c>
      <c r="AR141" s="35">
        <v>0</v>
      </c>
      <c r="AS141" s="35">
        <v>0</v>
      </c>
      <c r="AT141" s="35">
        <v>10</v>
      </c>
      <c r="AU141" s="31" t="str">
        <f t="shared" si="6"/>
        <v>库存为10</v>
      </c>
      <c r="AV141" s="36" t="str">
        <f>IFERROR(时间!$B$4+AU141,"上周无销量")</f>
        <v>上周无销量</v>
      </c>
    </row>
    <row r="142" spans="1:48">
      <c r="A142" s="21" t="s">
        <v>525</v>
      </c>
      <c r="B142" t="s">
        <v>526</v>
      </c>
      <c r="C142" t="s">
        <v>527</v>
      </c>
      <c r="D142" s="31">
        <v>0</v>
      </c>
      <c r="E142" s="31">
        <v>0</v>
      </c>
      <c r="F142" s="31">
        <v>1</v>
      </c>
      <c r="G142" s="31">
        <v>1</v>
      </c>
      <c r="H142" s="32">
        <v>29.99</v>
      </c>
      <c r="I142">
        <v>12</v>
      </c>
      <c r="J142" s="33">
        <v>0</v>
      </c>
      <c r="K142" s="33">
        <v>0</v>
      </c>
      <c r="L142" s="33">
        <v>0</v>
      </c>
      <c r="M142">
        <v>12</v>
      </c>
      <c r="N142">
        <v>0</v>
      </c>
      <c r="O142">
        <v>12</v>
      </c>
      <c r="P142" t="s">
        <v>57</v>
      </c>
      <c r="Q142" t="s">
        <v>57</v>
      </c>
      <c r="R142" t="s">
        <v>57</v>
      </c>
      <c r="S142" t="s">
        <v>57</v>
      </c>
      <c r="T142" t="s">
        <v>57</v>
      </c>
      <c r="U142" t="s">
        <v>57</v>
      </c>
      <c r="V142" t="s">
        <v>57</v>
      </c>
      <c r="W142" t="s">
        <v>57</v>
      </c>
      <c r="X142" s="23" t="s">
        <v>57</v>
      </c>
      <c r="Y142" s="23" t="s">
        <v>57</v>
      </c>
      <c r="Z142" s="23" t="s">
        <v>57</v>
      </c>
      <c r="AA142" s="23" t="s">
        <v>57</v>
      </c>
      <c r="AB142" t="s">
        <v>57</v>
      </c>
      <c r="AC142" t="s">
        <v>57</v>
      </c>
      <c r="AD142" t="s">
        <v>57</v>
      </c>
      <c r="AE142" t="s">
        <v>57</v>
      </c>
      <c r="AF142" s="23" t="s">
        <v>57</v>
      </c>
      <c r="AG142" s="23" t="s">
        <v>57</v>
      </c>
      <c r="AH142" s="23" t="s">
        <v>57</v>
      </c>
      <c r="AI142" s="23" t="s">
        <v>57</v>
      </c>
      <c r="AJ142">
        <v>42</v>
      </c>
      <c r="AK142">
        <v>34</v>
      </c>
      <c r="AL142">
        <v>37</v>
      </c>
      <c r="AM142">
        <v>44</v>
      </c>
      <c r="AN142" s="23">
        <v>0</v>
      </c>
      <c r="AO142" s="23">
        <v>0</v>
      </c>
      <c r="AP142" s="23">
        <v>0.027027027027027</v>
      </c>
      <c r="AQ142" s="23">
        <v>0.0227272727272727</v>
      </c>
      <c r="AR142" s="35">
        <v>0</v>
      </c>
      <c r="AS142" s="35">
        <v>0</v>
      </c>
      <c r="AT142" s="35">
        <v>12</v>
      </c>
      <c r="AU142" s="31" t="str">
        <f t="shared" si="6"/>
        <v>库存为12</v>
      </c>
      <c r="AV142" s="36" t="str">
        <f>IFERROR(时间!$B$4+AU142,"上周无销量")</f>
        <v>上周无销量</v>
      </c>
    </row>
    <row r="143" spans="1:48">
      <c r="A143" s="21" t="s">
        <v>528</v>
      </c>
      <c r="B143" t="s">
        <v>529</v>
      </c>
      <c r="C143" t="s">
        <v>527</v>
      </c>
      <c r="D143" s="31">
        <v>1</v>
      </c>
      <c r="E143" s="31">
        <v>3</v>
      </c>
      <c r="F143" s="31">
        <v>1</v>
      </c>
      <c r="G143" s="31">
        <v>1</v>
      </c>
      <c r="H143" s="32">
        <v>26.99</v>
      </c>
      <c r="I143">
        <v>17</v>
      </c>
      <c r="J143" s="33">
        <v>0</v>
      </c>
      <c r="K143" s="33">
        <v>0</v>
      </c>
      <c r="L143" s="33">
        <v>0</v>
      </c>
      <c r="M143">
        <v>17</v>
      </c>
      <c r="N143">
        <v>0</v>
      </c>
      <c r="O143">
        <v>17</v>
      </c>
      <c r="P143">
        <v>16294</v>
      </c>
      <c r="Q143">
        <v>16294</v>
      </c>
      <c r="R143">
        <v>0</v>
      </c>
      <c r="S143">
        <v>0</v>
      </c>
      <c r="T143">
        <v>84</v>
      </c>
      <c r="U143">
        <v>84</v>
      </c>
      <c r="V143">
        <v>0</v>
      </c>
      <c r="W143">
        <v>0</v>
      </c>
      <c r="X143" s="23">
        <v>0.00515527187921934</v>
      </c>
      <c r="Y143" s="23">
        <v>0.00515527187921934</v>
      </c>
      <c r="Z143" s="23" t="s">
        <v>57</v>
      </c>
      <c r="AA143" s="23" t="s">
        <v>57</v>
      </c>
      <c r="AB143">
        <v>15.06</v>
      </c>
      <c r="AC143">
        <v>15.06</v>
      </c>
      <c r="AD143">
        <v>0</v>
      </c>
      <c r="AE143">
        <v>0</v>
      </c>
      <c r="AF143" s="23">
        <v>0.557984438680993</v>
      </c>
      <c r="AG143" s="23">
        <v>0.185994812893664</v>
      </c>
      <c r="AH143" s="23" t="s">
        <v>57</v>
      </c>
      <c r="AI143" s="23" t="s">
        <v>57</v>
      </c>
      <c r="AJ143">
        <v>72</v>
      </c>
      <c r="AK143">
        <v>134</v>
      </c>
      <c r="AL143">
        <v>144</v>
      </c>
      <c r="AM143">
        <v>127</v>
      </c>
      <c r="AN143" s="23">
        <v>0.0138888888888889</v>
      </c>
      <c r="AO143" s="23">
        <v>0.0223880597014925</v>
      </c>
      <c r="AP143" s="23">
        <v>0.00694444444444444</v>
      </c>
      <c r="AQ143" s="23">
        <v>0.0078740157480315</v>
      </c>
      <c r="AR143" s="35">
        <v>0.142857142857143</v>
      </c>
      <c r="AS143" s="35">
        <v>8.57142857142857</v>
      </c>
      <c r="AT143" s="35">
        <v>8.42857142857143</v>
      </c>
      <c r="AU143" s="31">
        <f t="shared" si="6"/>
        <v>119</v>
      </c>
      <c r="AV143" s="36">
        <f>IFERROR(时间!$B$4+AU143,"上周无销量")</f>
        <v>43444</v>
      </c>
    </row>
    <row r="144" spans="1:48">
      <c r="A144" s="21" t="s">
        <v>530</v>
      </c>
      <c r="B144" t="s">
        <v>531</v>
      </c>
      <c r="C144" t="s">
        <v>532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12</v>
      </c>
      <c r="J144" s="33">
        <v>0</v>
      </c>
      <c r="K144" s="33">
        <v>0</v>
      </c>
      <c r="L144" s="33">
        <v>0</v>
      </c>
      <c r="M144">
        <v>12</v>
      </c>
      <c r="N144">
        <v>0</v>
      </c>
      <c r="O144">
        <v>12</v>
      </c>
      <c r="P144" t="s">
        <v>57</v>
      </c>
      <c r="Q144" t="s">
        <v>57</v>
      </c>
      <c r="R144" t="s">
        <v>57</v>
      </c>
      <c r="S144" t="s">
        <v>57</v>
      </c>
      <c r="T144" t="s">
        <v>57</v>
      </c>
      <c r="U144" t="s">
        <v>57</v>
      </c>
      <c r="V144" t="s">
        <v>57</v>
      </c>
      <c r="W144" t="s">
        <v>57</v>
      </c>
      <c r="X144" s="23" t="s">
        <v>57</v>
      </c>
      <c r="Y144" s="23" t="s">
        <v>57</v>
      </c>
      <c r="Z144" s="23" t="s">
        <v>57</v>
      </c>
      <c r="AA144" s="23" t="s">
        <v>57</v>
      </c>
      <c r="AB144" t="s">
        <v>57</v>
      </c>
      <c r="AC144" t="s">
        <v>57</v>
      </c>
      <c r="AD144" t="s">
        <v>57</v>
      </c>
      <c r="AE144" t="s">
        <v>57</v>
      </c>
      <c r="AF144" s="23" t="s">
        <v>57</v>
      </c>
      <c r="AG144" s="23" t="s">
        <v>57</v>
      </c>
      <c r="AH144" s="23" t="s">
        <v>57</v>
      </c>
      <c r="AI144" s="23" t="s">
        <v>57</v>
      </c>
      <c r="AJ144">
        <v>21</v>
      </c>
      <c r="AK144">
        <v>16</v>
      </c>
      <c r="AL144">
        <v>26</v>
      </c>
      <c r="AM144">
        <v>52</v>
      </c>
      <c r="AN144" s="23">
        <v>0</v>
      </c>
      <c r="AO144" s="23">
        <v>0</v>
      </c>
      <c r="AP144" s="23">
        <v>0</v>
      </c>
      <c r="AQ144" s="23">
        <v>0</v>
      </c>
      <c r="AR144" s="35">
        <v>0</v>
      </c>
      <c r="AS144" s="35">
        <v>0</v>
      </c>
      <c r="AT144" s="35">
        <v>12</v>
      </c>
      <c r="AU144" s="31" t="str">
        <f t="shared" si="6"/>
        <v>库存为12</v>
      </c>
      <c r="AV144" s="36" t="str">
        <f>IFERROR(时间!$B$4+AU144,"上周无销量")</f>
        <v>上周无销量</v>
      </c>
    </row>
    <row r="145" spans="1:48">
      <c r="A145" s="21" t="s">
        <v>533</v>
      </c>
      <c r="B145" t="s">
        <v>534</v>
      </c>
      <c r="C145" t="s">
        <v>532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13</v>
      </c>
      <c r="J145" s="33">
        <v>0</v>
      </c>
      <c r="K145" s="33">
        <v>0</v>
      </c>
      <c r="L145" s="33">
        <v>0</v>
      </c>
      <c r="M145">
        <v>13</v>
      </c>
      <c r="N145">
        <v>0</v>
      </c>
      <c r="O145">
        <v>13</v>
      </c>
      <c r="P145" t="s">
        <v>57</v>
      </c>
      <c r="Q145" t="s">
        <v>57</v>
      </c>
      <c r="R145" t="s">
        <v>57</v>
      </c>
      <c r="S145" t="s">
        <v>57</v>
      </c>
      <c r="T145" t="s">
        <v>57</v>
      </c>
      <c r="U145" t="s">
        <v>57</v>
      </c>
      <c r="V145" t="s">
        <v>57</v>
      </c>
      <c r="W145" t="s">
        <v>57</v>
      </c>
      <c r="X145" s="23" t="s">
        <v>57</v>
      </c>
      <c r="Y145" s="23" t="s">
        <v>57</v>
      </c>
      <c r="Z145" s="23" t="s">
        <v>57</v>
      </c>
      <c r="AA145" s="23" t="s">
        <v>57</v>
      </c>
      <c r="AB145" t="s">
        <v>57</v>
      </c>
      <c r="AC145" t="s">
        <v>57</v>
      </c>
      <c r="AD145" t="s">
        <v>57</v>
      </c>
      <c r="AE145" t="s">
        <v>57</v>
      </c>
      <c r="AF145" s="23" t="s">
        <v>57</v>
      </c>
      <c r="AG145" s="23" t="s">
        <v>57</v>
      </c>
      <c r="AH145" s="23" t="s">
        <v>57</v>
      </c>
      <c r="AI145" s="23" t="s">
        <v>57</v>
      </c>
      <c r="AJ145">
        <v>28</v>
      </c>
      <c r="AK145">
        <v>26</v>
      </c>
      <c r="AL145">
        <v>31</v>
      </c>
      <c r="AM145">
        <v>65</v>
      </c>
      <c r="AN145" s="23">
        <v>0</v>
      </c>
      <c r="AO145" s="23">
        <v>0</v>
      </c>
      <c r="AP145" s="23">
        <v>0</v>
      </c>
      <c r="AQ145" s="23">
        <v>0</v>
      </c>
      <c r="AR145" s="35">
        <v>0</v>
      </c>
      <c r="AS145" s="35">
        <v>0</v>
      </c>
      <c r="AT145" s="35">
        <v>13</v>
      </c>
      <c r="AU145" s="31" t="str">
        <f t="shared" si="6"/>
        <v>库存为13</v>
      </c>
      <c r="AV145" s="36" t="str">
        <f>IFERROR(时间!$B$4+AU145,"上周无销量")</f>
        <v>上周无销量</v>
      </c>
    </row>
    <row r="146" spans="1:48">
      <c r="A146" s="21" t="s">
        <v>535</v>
      </c>
      <c r="B146" t="s">
        <v>536</v>
      </c>
      <c r="C146" t="s">
        <v>537</v>
      </c>
      <c r="D146" s="31">
        <v>0</v>
      </c>
      <c r="E146" s="31">
        <v>0</v>
      </c>
      <c r="F146" s="31">
        <v>1</v>
      </c>
      <c r="G146" s="31">
        <v>1</v>
      </c>
      <c r="H146" s="32">
        <v>89.6</v>
      </c>
      <c r="I146">
        <v>4</v>
      </c>
      <c r="J146" s="33">
        <v>0</v>
      </c>
      <c r="K146" s="33">
        <v>0</v>
      </c>
      <c r="L146" s="33">
        <v>0</v>
      </c>
      <c r="M146">
        <v>4</v>
      </c>
      <c r="N146">
        <v>0</v>
      </c>
      <c r="O146">
        <v>0</v>
      </c>
      <c r="P146">
        <v>8505</v>
      </c>
      <c r="Q146">
        <v>8505</v>
      </c>
      <c r="R146">
        <v>0</v>
      </c>
      <c r="S146">
        <v>0</v>
      </c>
      <c r="T146">
        <v>97</v>
      </c>
      <c r="U146">
        <v>97</v>
      </c>
      <c r="V146">
        <v>0</v>
      </c>
      <c r="W146">
        <v>0</v>
      </c>
      <c r="X146" s="23">
        <v>0.0114050558495003</v>
      </c>
      <c r="Y146" s="23">
        <v>0.0114050558495003</v>
      </c>
      <c r="Z146" s="23" t="s">
        <v>57</v>
      </c>
      <c r="AA146" s="23" t="s">
        <v>57</v>
      </c>
      <c r="AB146">
        <v>12.73</v>
      </c>
      <c r="AC146">
        <v>12.73</v>
      </c>
      <c r="AD146">
        <v>0</v>
      </c>
      <c r="AE146">
        <v>0</v>
      </c>
      <c r="AF146" s="23" t="s">
        <v>538</v>
      </c>
      <c r="AG146" s="23" t="s">
        <v>538</v>
      </c>
      <c r="AH146" s="23" t="s">
        <v>57</v>
      </c>
      <c r="AI146" s="23" t="s">
        <v>57</v>
      </c>
      <c r="AJ146">
        <v>25</v>
      </c>
      <c r="AK146">
        <v>11</v>
      </c>
      <c r="AL146">
        <v>26</v>
      </c>
      <c r="AM146">
        <v>44</v>
      </c>
      <c r="AN146" s="23">
        <v>0</v>
      </c>
      <c r="AO146" s="23">
        <v>0</v>
      </c>
      <c r="AP146" s="23">
        <v>0.0384615384615385</v>
      </c>
      <c r="AQ146" s="23">
        <v>0.0227272727272727</v>
      </c>
      <c r="AR146" s="35">
        <v>0</v>
      </c>
      <c r="AS146" s="35">
        <v>0</v>
      </c>
      <c r="AT146" s="35">
        <v>4</v>
      </c>
      <c r="AU146" s="31" t="str">
        <f t="shared" si="6"/>
        <v>库存为4</v>
      </c>
      <c r="AV146" s="36" t="str">
        <f>IFERROR(时间!$B$4+AU146,"上周无销量")</f>
        <v>上周无销量</v>
      </c>
    </row>
    <row r="147" spans="1:48">
      <c r="A147" s="21" t="s">
        <v>539</v>
      </c>
      <c r="B147" t="s">
        <v>540</v>
      </c>
      <c r="C147" t="s">
        <v>541</v>
      </c>
      <c r="D147" s="31">
        <v>15</v>
      </c>
      <c r="E147" s="31">
        <v>13</v>
      </c>
      <c r="F147" s="31">
        <v>13</v>
      </c>
      <c r="G147" s="31">
        <v>32</v>
      </c>
      <c r="H147" s="32">
        <v>98.3598630136985</v>
      </c>
      <c r="I147">
        <v>152</v>
      </c>
      <c r="J147" s="33">
        <v>0</v>
      </c>
      <c r="K147" s="33">
        <v>0</v>
      </c>
      <c r="L147" s="33">
        <v>1</v>
      </c>
      <c r="M147">
        <v>153</v>
      </c>
      <c r="N147">
        <v>4</v>
      </c>
      <c r="O147">
        <v>0</v>
      </c>
      <c r="P147">
        <v>278529</v>
      </c>
      <c r="Q147">
        <v>279023</v>
      </c>
      <c r="R147">
        <v>18295</v>
      </c>
      <c r="S147">
        <v>64399</v>
      </c>
      <c r="T147">
        <v>1430</v>
      </c>
      <c r="U147">
        <v>1431</v>
      </c>
      <c r="V147">
        <v>82</v>
      </c>
      <c r="W147">
        <v>276</v>
      </c>
      <c r="X147" s="23">
        <v>0.0051341152985865</v>
      </c>
      <c r="Y147" s="23">
        <v>0.00512860946947026</v>
      </c>
      <c r="Z147" s="23">
        <v>0.00448209893413501</v>
      </c>
      <c r="AA147" s="23">
        <v>0.00428578083510614</v>
      </c>
      <c r="AB147">
        <v>281.81</v>
      </c>
      <c r="AC147">
        <v>282.1</v>
      </c>
      <c r="AD147">
        <v>20.17</v>
      </c>
      <c r="AE147">
        <v>91.89</v>
      </c>
      <c r="AF147" s="23">
        <v>0.191006094942577</v>
      </c>
      <c r="AG147" s="23">
        <v>0.220618444710297</v>
      </c>
      <c r="AH147" s="23">
        <v>0.0157741014881485</v>
      </c>
      <c r="AI147" s="23">
        <v>0.0291944540386365</v>
      </c>
      <c r="AJ147">
        <v>1332</v>
      </c>
      <c r="AK147">
        <v>1292</v>
      </c>
      <c r="AL147">
        <v>1354</v>
      </c>
      <c r="AM147">
        <v>1882</v>
      </c>
      <c r="AN147" s="23">
        <v>0.0112612612612613</v>
      </c>
      <c r="AO147" s="23">
        <v>0.010061919504644</v>
      </c>
      <c r="AP147" s="23">
        <v>0.00960118168389956</v>
      </c>
      <c r="AQ147" s="23">
        <v>0.0170031880977683</v>
      </c>
      <c r="AR147" s="35">
        <v>2.14285714285714</v>
      </c>
      <c r="AS147" s="35">
        <v>128.571428571429</v>
      </c>
      <c r="AT147" s="35">
        <v>24.4285714285714</v>
      </c>
      <c r="AU147" s="31">
        <f t="shared" si="6"/>
        <v>71</v>
      </c>
      <c r="AV147" s="36">
        <f>IFERROR(时间!$B$4+AU147,"上周无销量")</f>
        <v>43396</v>
      </c>
    </row>
    <row r="148" spans="1:48">
      <c r="A148" s="21" t="s">
        <v>542</v>
      </c>
      <c r="B148" t="s">
        <v>543</v>
      </c>
      <c r="C148" t="s">
        <v>544</v>
      </c>
      <c r="D148" s="31">
        <v>11</v>
      </c>
      <c r="E148" s="31">
        <v>15</v>
      </c>
      <c r="F148" s="31">
        <v>7</v>
      </c>
      <c r="G148" s="31">
        <v>6</v>
      </c>
      <c r="H148" s="32">
        <v>89.9899999999999</v>
      </c>
      <c r="I148">
        <v>26</v>
      </c>
      <c r="J148" s="33">
        <v>0</v>
      </c>
      <c r="K148" s="33">
        <v>0</v>
      </c>
      <c r="L148" s="33">
        <v>1</v>
      </c>
      <c r="M148">
        <v>27</v>
      </c>
      <c r="N148">
        <v>5</v>
      </c>
      <c r="O148">
        <v>0</v>
      </c>
      <c r="P148">
        <v>242920</v>
      </c>
      <c r="Q148">
        <v>243750</v>
      </c>
      <c r="R148">
        <v>59230</v>
      </c>
      <c r="S148">
        <v>86265</v>
      </c>
      <c r="T148">
        <v>1731</v>
      </c>
      <c r="U148">
        <v>1734</v>
      </c>
      <c r="V148">
        <v>360</v>
      </c>
      <c r="W148">
        <v>420</v>
      </c>
      <c r="X148" s="23">
        <v>0.00712580273341018</v>
      </c>
      <c r="Y148" s="23">
        <v>0.00711384615384615</v>
      </c>
      <c r="Z148" s="23">
        <v>0.00607800101300017</v>
      </c>
      <c r="AA148" s="23">
        <v>0.00486871848374196</v>
      </c>
      <c r="AB148">
        <v>364.92</v>
      </c>
      <c r="AC148">
        <v>365.48</v>
      </c>
      <c r="AD148">
        <v>85.39</v>
      </c>
      <c r="AE148">
        <v>121.96</v>
      </c>
      <c r="AF148" s="23">
        <v>0.368647021386215</v>
      </c>
      <c r="AG148" s="23">
        <v>0.270756009927029</v>
      </c>
      <c r="AH148" s="23">
        <v>0.135554744177925</v>
      </c>
      <c r="AI148" s="23">
        <v>0.225876949290662</v>
      </c>
      <c r="AJ148">
        <v>813</v>
      </c>
      <c r="AK148">
        <v>798</v>
      </c>
      <c r="AL148">
        <v>672</v>
      </c>
      <c r="AM148">
        <v>768</v>
      </c>
      <c r="AN148" s="23">
        <v>0.013530135301353</v>
      </c>
      <c r="AO148" s="23">
        <v>0.018796992481203</v>
      </c>
      <c r="AP148" s="23">
        <v>0.0104166666666667</v>
      </c>
      <c r="AQ148" s="23">
        <v>0.0078125</v>
      </c>
      <c r="AR148" s="35">
        <v>1.57142857142857</v>
      </c>
      <c r="AS148" s="35">
        <v>94.2857142857143</v>
      </c>
      <c r="AT148" s="35">
        <v>-67.2857142857143</v>
      </c>
      <c r="AU148" s="31">
        <f t="shared" si="6"/>
        <v>17</v>
      </c>
      <c r="AV148" s="36">
        <f>IFERROR(时间!$B$4+AU148,"上周无销量")</f>
        <v>43342</v>
      </c>
    </row>
    <row r="149" spans="1:48">
      <c r="A149" s="21" t="s">
        <v>545</v>
      </c>
      <c r="B149" t="s">
        <v>546</v>
      </c>
      <c r="C149" t="s">
        <v>547</v>
      </c>
      <c r="D149" s="31">
        <v>4</v>
      </c>
      <c r="E149" s="31">
        <v>3</v>
      </c>
      <c r="F149" s="31">
        <v>6</v>
      </c>
      <c r="G149" s="31">
        <v>16</v>
      </c>
      <c r="H149" s="32">
        <v>89.99</v>
      </c>
      <c r="I149">
        <v>63</v>
      </c>
      <c r="J149" s="33">
        <v>0</v>
      </c>
      <c r="K149" s="33">
        <v>0</v>
      </c>
      <c r="L149" s="33">
        <v>0</v>
      </c>
      <c r="M149">
        <v>63</v>
      </c>
      <c r="N149">
        <v>4</v>
      </c>
      <c r="O149">
        <v>0</v>
      </c>
      <c r="P149" t="s">
        <v>57</v>
      </c>
      <c r="Q149" t="s">
        <v>57</v>
      </c>
      <c r="R149" t="s">
        <v>57</v>
      </c>
      <c r="S149" t="s">
        <v>57</v>
      </c>
      <c r="T149" t="s">
        <v>57</v>
      </c>
      <c r="U149" t="s">
        <v>57</v>
      </c>
      <c r="V149" t="s">
        <v>57</v>
      </c>
      <c r="W149" t="s">
        <v>57</v>
      </c>
      <c r="X149" s="23" t="s">
        <v>57</v>
      </c>
      <c r="Y149" s="23" t="s">
        <v>57</v>
      </c>
      <c r="Z149" s="23" t="s">
        <v>57</v>
      </c>
      <c r="AA149" s="23" t="s">
        <v>57</v>
      </c>
      <c r="AB149" t="s">
        <v>57</v>
      </c>
      <c r="AC149" t="s">
        <v>57</v>
      </c>
      <c r="AD149" t="s">
        <v>57</v>
      </c>
      <c r="AE149" t="s">
        <v>57</v>
      </c>
      <c r="AF149" s="23" t="s">
        <v>57</v>
      </c>
      <c r="AG149" s="23" t="s">
        <v>57</v>
      </c>
      <c r="AH149" s="23" t="s">
        <v>57</v>
      </c>
      <c r="AI149" s="23" t="s">
        <v>57</v>
      </c>
      <c r="AJ149">
        <v>642</v>
      </c>
      <c r="AK149">
        <v>343</v>
      </c>
      <c r="AL149">
        <v>357</v>
      </c>
      <c r="AM149">
        <v>1130</v>
      </c>
      <c r="AN149" s="23">
        <v>0.00623052959501558</v>
      </c>
      <c r="AO149" s="23">
        <v>0.0087463556851312</v>
      </c>
      <c r="AP149" s="23">
        <v>0.0168067226890756</v>
      </c>
      <c r="AQ149" s="23">
        <v>0.0141592920353982</v>
      </c>
      <c r="AR149" s="35">
        <v>0.571428571428571</v>
      </c>
      <c r="AS149" s="35">
        <v>34.2857142857143</v>
      </c>
      <c r="AT149" s="35">
        <v>28.7142857142857</v>
      </c>
      <c r="AU149" s="31">
        <f t="shared" si="6"/>
        <v>110</v>
      </c>
      <c r="AV149" s="36">
        <f>IFERROR(时间!$B$4+AU149,"上周无销量")</f>
        <v>43435</v>
      </c>
    </row>
    <row r="150" spans="1:48">
      <c r="A150" s="21" t="s">
        <v>548</v>
      </c>
      <c r="B150" t="s">
        <v>549</v>
      </c>
      <c r="C150" t="s">
        <v>550</v>
      </c>
      <c r="D150" s="31">
        <v>3</v>
      </c>
      <c r="E150" s="31">
        <v>2</v>
      </c>
      <c r="F150" s="31">
        <v>4</v>
      </c>
      <c r="G150" s="31">
        <v>5</v>
      </c>
      <c r="H150" s="32">
        <v>89.6</v>
      </c>
      <c r="I150">
        <v>56</v>
      </c>
      <c r="J150" s="33">
        <v>0</v>
      </c>
      <c r="K150" s="33">
        <v>0</v>
      </c>
      <c r="L150" s="33">
        <v>0</v>
      </c>
      <c r="M150">
        <v>56</v>
      </c>
      <c r="N150">
        <v>0</v>
      </c>
      <c r="O150">
        <v>0</v>
      </c>
      <c r="P150">
        <v>162405</v>
      </c>
      <c r="Q150">
        <v>164186</v>
      </c>
      <c r="R150">
        <v>70566</v>
      </c>
      <c r="S150">
        <v>78030</v>
      </c>
      <c r="T150">
        <v>760</v>
      </c>
      <c r="U150">
        <v>761</v>
      </c>
      <c r="V150">
        <v>315</v>
      </c>
      <c r="W150">
        <v>365</v>
      </c>
      <c r="X150" s="23">
        <v>0.00467965887749761</v>
      </c>
      <c r="Y150" s="23">
        <v>0.00463498714872157</v>
      </c>
      <c r="Z150" s="23">
        <v>0.00446390613043109</v>
      </c>
      <c r="AA150" s="23">
        <v>0.00467768806869153</v>
      </c>
      <c r="AB150">
        <v>191.5</v>
      </c>
      <c r="AC150">
        <v>191.66</v>
      </c>
      <c r="AD150">
        <v>79.33</v>
      </c>
      <c r="AE150">
        <v>95.14</v>
      </c>
      <c r="AF150" s="23">
        <v>0.712425595238095</v>
      </c>
      <c r="AG150" s="23">
        <v>1.06953125</v>
      </c>
      <c r="AH150" s="23">
        <v>0.221344866071429</v>
      </c>
      <c r="AI150" s="23">
        <v>0.212366071428571</v>
      </c>
      <c r="AJ150">
        <v>223</v>
      </c>
      <c r="AK150">
        <v>252</v>
      </c>
      <c r="AL150">
        <v>331</v>
      </c>
      <c r="AM150">
        <v>394</v>
      </c>
      <c r="AN150" s="23">
        <v>0.0134529147982063</v>
      </c>
      <c r="AO150" s="23">
        <v>0.00793650793650794</v>
      </c>
      <c r="AP150" s="23">
        <v>0.0120845921450151</v>
      </c>
      <c r="AQ150" s="23">
        <v>0.0126903553299492</v>
      </c>
      <c r="AR150" s="35">
        <v>0.428571428571429</v>
      </c>
      <c r="AS150" s="35">
        <v>25.7142857142857</v>
      </c>
      <c r="AT150" s="35">
        <v>30.2857142857143</v>
      </c>
      <c r="AU150" s="31">
        <f t="shared" si="6"/>
        <v>130</v>
      </c>
      <c r="AV150" s="36">
        <f>IFERROR(时间!$B$4+AU150,"上周无销量")</f>
        <v>43455</v>
      </c>
    </row>
    <row r="151" spans="1:48">
      <c r="A151" s="21" t="s">
        <v>551</v>
      </c>
      <c r="B151" t="s">
        <v>552</v>
      </c>
      <c r="C151" t="s">
        <v>553</v>
      </c>
      <c r="D151" s="31">
        <v>10</v>
      </c>
      <c r="E151" s="31">
        <v>7</v>
      </c>
      <c r="F151" s="31">
        <v>3</v>
      </c>
      <c r="G151" s="31">
        <v>8</v>
      </c>
      <c r="H151" s="32">
        <v>89.99</v>
      </c>
      <c r="I151">
        <v>73</v>
      </c>
      <c r="J151" s="33">
        <v>0</v>
      </c>
      <c r="K151" s="33">
        <v>0</v>
      </c>
      <c r="L151" s="33">
        <v>4</v>
      </c>
      <c r="M151">
        <v>77</v>
      </c>
      <c r="N151">
        <v>4</v>
      </c>
      <c r="O151">
        <v>0</v>
      </c>
      <c r="P151">
        <v>50890</v>
      </c>
      <c r="Q151">
        <v>50890</v>
      </c>
      <c r="R151">
        <v>0</v>
      </c>
      <c r="S151">
        <v>13950</v>
      </c>
      <c r="T151">
        <v>279</v>
      </c>
      <c r="U151">
        <v>279</v>
      </c>
      <c r="V151">
        <v>0</v>
      </c>
      <c r="W151">
        <v>42</v>
      </c>
      <c r="X151" s="23">
        <v>0.00548241304775005</v>
      </c>
      <c r="Y151" s="23">
        <v>0.00548241304775005</v>
      </c>
      <c r="Z151" s="23" t="s">
        <v>57</v>
      </c>
      <c r="AA151" s="23">
        <v>0.00301075268817204</v>
      </c>
      <c r="AB151">
        <v>69.5</v>
      </c>
      <c r="AC151">
        <v>69.5</v>
      </c>
      <c r="AD151">
        <v>0</v>
      </c>
      <c r="AE151">
        <v>35.07</v>
      </c>
      <c r="AF151" s="23">
        <v>0.0772308034226025</v>
      </c>
      <c r="AG151" s="23">
        <v>0.110329719175146</v>
      </c>
      <c r="AH151" s="23" t="s">
        <v>57</v>
      </c>
      <c r="AI151" s="23">
        <v>0.0487137459717746</v>
      </c>
      <c r="AJ151">
        <v>381</v>
      </c>
      <c r="AK151">
        <v>429</v>
      </c>
      <c r="AL151">
        <v>356</v>
      </c>
      <c r="AM151">
        <v>452</v>
      </c>
      <c r="AN151" s="23">
        <v>0.026246719160105</v>
      </c>
      <c r="AO151" s="23">
        <v>0.0163170163170163</v>
      </c>
      <c r="AP151" s="23">
        <v>0.00842696629213483</v>
      </c>
      <c r="AQ151" s="23">
        <v>0.0176991150442478</v>
      </c>
      <c r="AR151" s="35">
        <v>1.42857142857143</v>
      </c>
      <c r="AS151" s="35">
        <v>85.7142857142857</v>
      </c>
      <c r="AT151" s="35">
        <v>-8.71428571428572</v>
      </c>
      <c r="AU151" s="31">
        <f t="shared" si="6"/>
        <v>53</v>
      </c>
      <c r="AV151" s="36">
        <f>IFERROR(时间!$B$4+AU151,"上周无销量")</f>
        <v>43378</v>
      </c>
    </row>
    <row r="152" spans="1:48">
      <c r="A152" s="21" t="s">
        <v>554</v>
      </c>
      <c r="B152" t="s">
        <v>555</v>
      </c>
      <c r="C152" t="s">
        <v>556</v>
      </c>
      <c r="D152" s="31">
        <v>0</v>
      </c>
      <c r="E152" s="31">
        <v>2</v>
      </c>
      <c r="F152" s="31">
        <v>2</v>
      </c>
      <c r="G152" s="31">
        <v>4</v>
      </c>
      <c r="H152" s="32">
        <v>89.99</v>
      </c>
      <c r="I152">
        <v>69</v>
      </c>
      <c r="J152" s="33">
        <v>0</v>
      </c>
      <c r="K152" s="33">
        <v>0</v>
      </c>
      <c r="L152" s="33">
        <v>0</v>
      </c>
      <c r="M152">
        <v>69</v>
      </c>
      <c r="N152">
        <v>1</v>
      </c>
      <c r="O152">
        <v>0</v>
      </c>
      <c r="P152">
        <v>23482</v>
      </c>
      <c r="Q152">
        <v>23482</v>
      </c>
      <c r="R152">
        <v>0</v>
      </c>
      <c r="S152">
        <v>0</v>
      </c>
      <c r="T152">
        <v>119</v>
      </c>
      <c r="U152">
        <v>119</v>
      </c>
      <c r="V152">
        <v>0</v>
      </c>
      <c r="W152">
        <v>0</v>
      </c>
      <c r="X152" s="23">
        <v>0.00506771143854868</v>
      </c>
      <c r="Y152" s="23">
        <v>0.00506771143854868</v>
      </c>
      <c r="Z152" s="23" t="s">
        <v>57</v>
      </c>
      <c r="AA152" s="23" t="s">
        <v>57</v>
      </c>
      <c r="AB152">
        <v>16.6</v>
      </c>
      <c r="AC152">
        <v>16.6</v>
      </c>
      <c r="AD152">
        <v>0</v>
      </c>
      <c r="AE152">
        <v>0</v>
      </c>
      <c r="AF152" s="23" t="s">
        <v>557</v>
      </c>
      <c r="AG152" s="23">
        <v>0.092232470274475</v>
      </c>
      <c r="AH152" s="23" t="s">
        <v>57</v>
      </c>
      <c r="AI152" s="23" t="s">
        <v>57</v>
      </c>
      <c r="AJ152">
        <v>57</v>
      </c>
      <c r="AK152">
        <v>62</v>
      </c>
      <c r="AL152">
        <v>67</v>
      </c>
      <c r="AM152">
        <v>242</v>
      </c>
      <c r="AN152" s="23">
        <v>0</v>
      </c>
      <c r="AO152" s="23">
        <v>0.032258064516129</v>
      </c>
      <c r="AP152" s="23">
        <v>0.0298507462686567</v>
      </c>
      <c r="AQ152" s="23">
        <v>0.0165289256198347</v>
      </c>
      <c r="AR152" s="35">
        <v>0</v>
      </c>
      <c r="AS152" s="35">
        <v>0</v>
      </c>
      <c r="AT152" s="35">
        <v>69</v>
      </c>
      <c r="AU152" s="31" t="str">
        <f t="shared" si="6"/>
        <v>库存为69</v>
      </c>
      <c r="AV152" s="36" t="str">
        <f>IFERROR(时间!$B$4+AU152,"上周无销量")</f>
        <v>上周无销量</v>
      </c>
    </row>
    <row r="153" spans="1:48">
      <c r="A153" s="21" t="s">
        <v>558</v>
      </c>
      <c r="B153" t="s">
        <v>559</v>
      </c>
      <c r="C153" t="s">
        <v>560</v>
      </c>
      <c r="D153" s="31">
        <v>0</v>
      </c>
      <c r="E153" s="31">
        <v>1</v>
      </c>
      <c r="F153" s="31">
        <v>0</v>
      </c>
      <c r="G153" s="31">
        <v>1</v>
      </c>
      <c r="H153" s="32">
        <v>79.6</v>
      </c>
      <c r="I153">
        <v>5</v>
      </c>
      <c r="J153" s="33">
        <v>0</v>
      </c>
      <c r="K153" s="33">
        <v>0</v>
      </c>
      <c r="L153" s="33">
        <v>0</v>
      </c>
      <c r="M153">
        <v>5</v>
      </c>
      <c r="N153">
        <v>0</v>
      </c>
      <c r="O153">
        <v>5</v>
      </c>
      <c r="P153" t="s">
        <v>57</v>
      </c>
      <c r="Q153" t="s">
        <v>57</v>
      </c>
      <c r="R153" t="s">
        <v>57</v>
      </c>
      <c r="S153" t="s">
        <v>57</v>
      </c>
      <c r="T153" t="s">
        <v>57</v>
      </c>
      <c r="U153" t="s">
        <v>57</v>
      </c>
      <c r="V153" t="s">
        <v>57</v>
      </c>
      <c r="W153" t="s">
        <v>57</v>
      </c>
      <c r="X153" s="23" t="s">
        <v>57</v>
      </c>
      <c r="Y153" s="23" t="s">
        <v>57</v>
      </c>
      <c r="Z153" s="23" t="s">
        <v>57</v>
      </c>
      <c r="AA153" s="23" t="s">
        <v>57</v>
      </c>
      <c r="AB153" t="s">
        <v>57</v>
      </c>
      <c r="AC153" t="s">
        <v>57</v>
      </c>
      <c r="AD153" t="s">
        <v>57</v>
      </c>
      <c r="AE153" t="s">
        <v>57</v>
      </c>
      <c r="AF153" s="23" t="s">
        <v>57</v>
      </c>
      <c r="AG153" s="23" t="s">
        <v>57</v>
      </c>
      <c r="AH153" s="23" t="s">
        <v>57</v>
      </c>
      <c r="AI153" s="23" t="s">
        <v>57</v>
      </c>
      <c r="AJ153">
        <v>65</v>
      </c>
      <c r="AK153">
        <v>16</v>
      </c>
      <c r="AL153">
        <v>11</v>
      </c>
      <c r="AM153">
        <v>6</v>
      </c>
      <c r="AN153" s="23">
        <v>0</v>
      </c>
      <c r="AO153" s="23">
        <v>0.0625</v>
      </c>
      <c r="AP153" s="23">
        <v>0</v>
      </c>
      <c r="AQ153" s="23">
        <v>0.166666666666667</v>
      </c>
      <c r="AR153" s="35">
        <v>0</v>
      </c>
      <c r="AS153" s="35">
        <v>0</v>
      </c>
      <c r="AT153" s="35">
        <v>5</v>
      </c>
      <c r="AU153" s="31" t="str">
        <f t="shared" si="6"/>
        <v>库存为5</v>
      </c>
      <c r="AV153" s="36" t="str">
        <f>IFERROR(时间!$B$4+AU153,"上周无销量")</f>
        <v>上周无销量</v>
      </c>
    </row>
    <row r="154" spans="1:48">
      <c r="A154" s="21" t="s">
        <v>561</v>
      </c>
      <c r="B154" t="s">
        <v>562</v>
      </c>
      <c r="C154" t="s">
        <v>563</v>
      </c>
      <c r="D154" s="31">
        <v>2</v>
      </c>
      <c r="E154" s="31">
        <v>1</v>
      </c>
      <c r="F154" s="31">
        <v>0</v>
      </c>
      <c r="G154" s="31">
        <v>0</v>
      </c>
      <c r="H154" s="32">
        <v>79.99</v>
      </c>
      <c r="I154">
        <v>13</v>
      </c>
      <c r="J154" s="33">
        <v>0</v>
      </c>
      <c r="K154" s="33">
        <v>0</v>
      </c>
      <c r="L154" s="33">
        <v>0</v>
      </c>
      <c r="M154">
        <v>13</v>
      </c>
      <c r="N154">
        <v>0</v>
      </c>
      <c r="O154">
        <v>14</v>
      </c>
      <c r="P154" t="s">
        <v>57</v>
      </c>
      <c r="Q154" t="s">
        <v>57</v>
      </c>
      <c r="R154" t="s">
        <v>57</v>
      </c>
      <c r="S154" t="s">
        <v>57</v>
      </c>
      <c r="T154" t="s">
        <v>57</v>
      </c>
      <c r="U154" t="s">
        <v>57</v>
      </c>
      <c r="V154" t="s">
        <v>57</v>
      </c>
      <c r="W154" t="s">
        <v>57</v>
      </c>
      <c r="X154" s="23" t="s">
        <v>57</v>
      </c>
      <c r="Y154" s="23" t="s">
        <v>57</v>
      </c>
      <c r="Z154" s="23" t="s">
        <v>57</v>
      </c>
      <c r="AA154" s="23" t="s">
        <v>57</v>
      </c>
      <c r="AB154" t="s">
        <v>57</v>
      </c>
      <c r="AC154" t="s">
        <v>57</v>
      </c>
      <c r="AD154" t="s">
        <v>57</v>
      </c>
      <c r="AE154" t="s">
        <v>57</v>
      </c>
      <c r="AF154" s="23" t="s">
        <v>57</v>
      </c>
      <c r="AG154" s="23" t="s">
        <v>57</v>
      </c>
      <c r="AH154" s="23" t="s">
        <v>57</v>
      </c>
      <c r="AI154" s="23" t="s">
        <v>57</v>
      </c>
      <c r="AJ154">
        <v>60</v>
      </c>
      <c r="AK154">
        <v>24</v>
      </c>
      <c r="AL154">
        <v>23</v>
      </c>
      <c r="AM154">
        <v>28</v>
      </c>
      <c r="AN154" s="23">
        <v>0.0333333333333333</v>
      </c>
      <c r="AO154" s="23">
        <v>0.0416666666666667</v>
      </c>
      <c r="AP154" s="23">
        <v>0</v>
      </c>
      <c r="AQ154" s="23">
        <v>0</v>
      </c>
      <c r="AR154" s="35">
        <v>0.285714285714286</v>
      </c>
      <c r="AS154" s="35">
        <v>17.1428571428571</v>
      </c>
      <c r="AT154" s="35">
        <v>-4.14285714285714</v>
      </c>
      <c r="AU154" s="31">
        <f t="shared" si="6"/>
        <v>45</v>
      </c>
      <c r="AV154" s="36">
        <f>IFERROR(时间!$B$4+AU154,"上周无销量")</f>
        <v>43370</v>
      </c>
    </row>
    <row r="155" spans="1:48">
      <c r="A155" s="21" t="s">
        <v>564</v>
      </c>
      <c r="B155" t="s">
        <v>565</v>
      </c>
      <c r="C155" t="s">
        <v>566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9</v>
      </c>
      <c r="J155" s="33">
        <v>0</v>
      </c>
      <c r="K155" s="33">
        <v>0</v>
      </c>
      <c r="L155" s="33">
        <v>0</v>
      </c>
      <c r="M155">
        <v>9</v>
      </c>
      <c r="N155">
        <v>0</v>
      </c>
      <c r="O155">
        <v>9</v>
      </c>
      <c r="P155">
        <v>11011</v>
      </c>
      <c r="Q155">
        <v>11011</v>
      </c>
      <c r="R155">
        <v>25</v>
      </c>
      <c r="S155">
        <v>195</v>
      </c>
      <c r="T155">
        <v>125</v>
      </c>
      <c r="U155">
        <v>125</v>
      </c>
      <c r="V155">
        <v>0</v>
      </c>
      <c r="W155">
        <v>0</v>
      </c>
      <c r="X155" s="23">
        <v>0.0113522840795568</v>
      </c>
      <c r="Y155" s="23">
        <v>0.0113522840795568</v>
      </c>
      <c r="Z155" s="23">
        <v>0</v>
      </c>
      <c r="AA155" s="23">
        <v>0</v>
      </c>
      <c r="AB155">
        <v>20.17</v>
      </c>
      <c r="AC155">
        <v>20.17</v>
      </c>
      <c r="AD155">
        <v>0</v>
      </c>
      <c r="AE155">
        <v>0</v>
      </c>
      <c r="AF155" s="23" t="s">
        <v>567</v>
      </c>
      <c r="AG155" s="23" t="s">
        <v>567</v>
      </c>
      <c r="AH155" s="23" t="s">
        <v>57</v>
      </c>
      <c r="AI155" s="23" t="s">
        <v>57</v>
      </c>
      <c r="AJ155">
        <v>6</v>
      </c>
      <c r="AK155">
        <v>12</v>
      </c>
      <c r="AL155">
        <v>15</v>
      </c>
      <c r="AM155">
        <v>8</v>
      </c>
      <c r="AN155" s="23">
        <v>0</v>
      </c>
      <c r="AO155" s="23">
        <v>0</v>
      </c>
      <c r="AP155" s="23">
        <v>0</v>
      </c>
      <c r="AQ155" s="23">
        <v>0</v>
      </c>
      <c r="AR155" s="35">
        <v>0</v>
      </c>
      <c r="AS155" s="35">
        <v>0</v>
      </c>
      <c r="AT155" s="35">
        <v>9</v>
      </c>
      <c r="AU155" s="31" t="str">
        <f t="shared" si="6"/>
        <v>库存为9</v>
      </c>
      <c r="AV155" s="36" t="str">
        <f>IFERROR(时间!$B$4+AU155,"上周无销量")</f>
        <v>上周无销量</v>
      </c>
    </row>
    <row r="156" spans="1:48">
      <c r="A156" s="21" t="s">
        <v>568</v>
      </c>
      <c r="B156" t="s">
        <v>569</v>
      </c>
      <c r="C156" t="s">
        <v>566</v>
      </c>
      <c r="D156" s="31">
        <v>0</v>
      </c>
      <c r="E156" s="31">
        <v>1</v>
      </c>
      <c r="F156" s="31">
        <v>0</v>
      </c>
      <c r="G156" s="31">
        <v>0</v>
      </c>
      <c r="H156" s="32">
        <v>89.99</v>
      </c>
      <c r="I156">
        <v>20</v>
      </c>
      <c r="J156" s="33">
        <v>0</v>
      </c>
      <c r="K156" s="33">
        <v>0</v>
      </c>
      <c r="L156" s="33">
        <v>0</v>
      </c>
      <c r="M156">
        <v>20</v>
      </c>
      <c r="N156">
        <v>1</v>
      </c>
      <c r="O156">
        <v>20</v>
      </c>
      <c r="P156">
        <v>12669</v>
      </c>
      <c r="Q156">
        <v>12711</v>
      </c>
      <c r="R156">
        <v>8619</v>
      </c>
      <c r="S156">
        <v>1895</v>
      </c>
      <c r="T156">
        <v>80</v>
      </c>
      <c r="U156">
        <v>80</v>
      </c>
      <c r="V156">
        <v>45</v>
      </c>
      <c r="W156">
        <v>19</v>
      </c>
      <c r="X156" s="23">
        <v>0.00631462625305865</v>
      </c>
      <c r="Y156" s="23">
        <v>0.00629376130910235</v>
      </c>
      <c r="Z156" s="23">
        <v>0.00522102332057083</v>
      </c>
      <c r="AA156" s="23">
        <v>0.0100263852242744</v>
      </c>
      <c r="AB156">
        <v>22.29</v>
      </c>
      <c r="AC156">
        <v>22.29</v>
      </c>
      <c r="AD156">
        <v>13.1</v>
      </c>
      <c r="AE156">
        <v>6.09</v>
      </c>
      <c r="AF156" s="23" t="s">
        <v>570</v>
      </c>
      <c r="AG156" s="23">
        <v>0.247694188243138</v>
      </c>
      <c r="AH156" s="23" t="s">
        <v>571</v>
      </c>
      <c r="AI156" s="23" t="s">
        <v>572</v>
      </c>
      <c r="AJ156">
        <v>26</v>
      </c>
      <c r="AK156">
        <v>56</v>
      </c>
      <c r="AL156">
        <v>55</v>
      </c>
      <c r="AM156">
        <v>21</v>
      </c>
      <c r="AN156" s="23">
        <v>0</v>
      </c>
      <c r="AO156" s="23">
        <v>0.0178571428571429</v>
      </c>
      <c r="AP156" s="23">
        <v>0</v>
      </c>
      <c r="AQ156" s="23">
        <v>0</v>
      </c>
      <c r="AR156" s="35">
        <v>0</v>
      </c>
      <c r="AS156" s="35">
        <v>0</v>
      </c>
      <c r="AT156" s="35">
        <v>20</v>
      </c>
      <c r="AU156" s="31" t="str">
        <f t="shared" si="6"/>
        <v>库存为20</v>
      </c>
      <c r="AV156" s="36" t="str">
        <f>IFERROR(时间!$B$4+AU156,"上周无销量")</f>
        <v>上周无销量</v>
      </c>
    </row>
    <row r="157" spans="1:48">
      <c r="A157" s="21" t="s">
        <v>573</v>
      </c>
      <c r="B157" t="s">
        <v>574</v>
      </c>
      <c r="C157" t="s">
        <v>566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57</v>
      </c>
      <c r="Q157" t="s">
        <v>57</v>
      </c>
      <c r="R157" t="s">
        <v>57</v>
      </c>
      <c r="S157" t="s">
        <v>57</v>
      </c>
      <c r="T157" t="s">
        <v>57</v>
      </c>
      <c r="U157" t="s">
        <v>57</v>
      </c>
      <c r="V157" t="s">
        <v>57</v>
      </c>
      <c r="W157" t="s">
        <v>57</v>
      </c>
      <c r="X157" s="23" t="s">
        <v>57</v>
      </c>
      <c r="Y157" s="23" t="s">
        <v>57</v>
      </c>
      <c r="Z157" s="23" t="s">
        <v>57</v>
      </c>
      <c r="AA157" s="23" t="s">
        <v>57</v>
      </c>
      <c r="AB157" t="s">
        <v>57</v>
      </c>
      <c r="AC157" t="s">
        <v>57</v>
      </c>
      <c r="AD157" t="s">
        <v>57</v>
      </c>
      <c r="AE157" t="s">
        <v>57</v>
      </c>
      <c r="AF157" s="23" t="s">
        <v>57</v>
      </c>
      <c r="AG157" s="23" t="s">
        <v>57</v>
      </c>
      <c r="AH157" s="23" t="s">
        <v>57</v>
      </c>
      <c r="AI157" s="23" t="s">
        <v>57</v>
      </c>
      <c r="AJ157">
        <v>0</v>
      </c>
      <c r="AK157">
        <v>0</v>
      </c>
      <c r="AL157">
        <v>2</v>
      </c>
      <c r="AM157">
        <v>3</v>
      </c>
      <c r="AN157" s="23" t="s">
        <v>57</v>
      </c>
      <c r="AO157" s="23" t="s">
        <v>57</v>
      </c>
      <c r="AP157" s="23">
        <v>0</v>
      </c>
      <c r="AQ157" s="23">
        <v>0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1" t="s">
        <v>575</v>
      </c>
      <c r="B158" t="s">
        <v>576</v>
      </c>
      <c r="C158" t="s">
        <v>566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33</v>
      </c>
      <c r="J158" s="33">
        <v>0</v>
      </c>
      <c r="K158" s="33">
        <v>0</v>
      </c>
      <c r="L158" s="33">
        <v>1</v>
      </c>
      <c r="M158">
        <v>34</v>
      </c>
      <c r="N158">
        <v>0</v>
      </c>
      <c r="O158">
        <v>33</v>
      </c>
      <c r="P158">
        <v>1192</v>
      </c>
      <c r="Q158">
        <v>1192</v>
      </c>
      <c r="R158">
        <v>146</v>
      </c>
      <c r="S158">
        <v>266</v>
      </c>
      <c r="T158">
        <v>25</v>
      </c>
      <c r="U158">
        <v>25</v>
      </c>
      <c r="V158">
        <v>6</v>
      </c>
      <c r="W158">
        <v>3</v>
      </c>
      <c r="X158" s="23">
        <v>0.0209731543624161</v>
      </c>
      <c r="Y158" s="23">
        <v>0.0209731543624161</v>
      </c>
      <c r="Z158" s="23">
        <v>0.0410958904109589</v>
      </c>
      <c r="AA158" s="23">
        <v>0.0112781954887218</v>
      </c>
      <c r="AB158">
        <v>3.98</v>
      </c>
      <c r="AC158">
        <v>3.98</v>
      </c>
      <c r="AD158">
        <v>1.09</v>
      </c>
      <c r="AE158">
        <v>0.8</v>
      </c>
      <c r="AF158" s="23" t="s">
        <v>577</v>
      </c>
      <c r="AG158" s="23" t="s">
        <v>577</v>
      </c>
      <c r="AH158" s="23" t="s">
        <v>578</v>
      </c>
      <c r="AI158" s="23" t="s">
        <v>579</v>
      </c>
      <c r="AJ158">
        <v>13</v>
      </c>
      <c r="AK158">
        <v>15</v>
      </c>
      <c r="AL158">
        <v>23</v>
      </c>
      <c r="AM158">
        <v>9</v>
      </c>
      <c r="AN158" s="23">
        <v>0</v>
      </c>
      <c r="AO158" s="23">
        <v>0</v>
      </c>
      <c r="AP158" s="23">
        <v>0</v>
      </c>
      <c r="AQ158" s="23">
        <v>0</v>
      </c>
      <c r="AR158" s="35">
        <v>0</v>
      </c>
      <c r="AS158" s="35">
        <v>0</v>
      </c>
      <c r="AT158" s="35">
        <v>34</v>
      </c>
      <c r="AU158" s="31" t="str">
        <f t="shared" si="6"/>
        <v>库存为34</v>
      </c>
      <c r="AV158" s="36" t="str">
        <f>IFERROR(时间!$B$4+AU158,"上周无销量")</f>
        <v>上周无销量</v>
      </c>
    </row>
    <row r="159" spans="1:48">
      <c r="A159" s="21" t="s">
        <v>580</v>
      </c>
      <c r="B159" t="s">
        <v>581</v>
      </c>
      <c r="C159" t="s">
        <v>582</v>
      </c>
      <c r="D159" s="31">
        <v>3</v>
      </c>
      <c r="E159" s="31">
        <v>3</v>
      </c>
      <c r="F159" s="31">
        <v>0</v>
      </c>
      <c r="G159" s="31">
        <v>0</v>
      </c>
      <c r="H159" s="32">
        <v>99.99</v>
      </c>
      <c r="I159">
        <v>8</v>
      </c>
      <c r="J159" s="33">
        <v>6</v>
      </c>
      <c r="K159" s="33">
        <v>0</v>
      </c>
      <c r="L159" s="33">
        <v>0</v>
      </c>
      <c r="M159">
        <v>14</v>
      </c>
      <c r="N159">
        <v>0</v>
      </c>
      <c r="O159">
        <v>4</v>
      </c>
      <c r="P159">
        <v>14</v>
      </c>
      <c r="Q159">
        <v>14</v>
      </c>
      <c r="R159">
        <v>1</v>
      </c>
      <c r="S159">
        <v>2</v>
      </c>
      <c r="T159">
        <v>0</v>
      </c>
      <c r="U159">
        <v>0</v>
      </c>
      <c r="V159">
        <v>0</v>
      </c>
      <c r="W159">
        <v>0</v>
      </c>
      <c r="X159" s="23">
        <v>0</v>
      </c>
      <c r="Y159" s="23">
        <v>0</v>
      </c>
      <c r="Z159" s="23">
        <v>0</v>
      </c>
      <c r="AA159" s="23">
        <v>0</v>
      </c>
      <c r="AB159">
        <v>0</v>
      </c>
      <c r="AC159">
        <v>0</v>
      </c>
      <c r="AD159">
        <v>0</v>
      </c>
      <c r="AE159">
        <v>0</v>
      </c>
      <c r="AF159" s="23" t="s">
        <v>57</v>
      </c>
      <c r="AG159" s="23" t="s">
        <v>57</v>
      </c>
      <c r="AH159" s="23" t="s">
        <v>57</v>
      </c>
      <c r="AI159" s="23" t="s">
        <v>57</v>
      </c>
      <c r="AJ159">
        <v>202</v>
      </c>
      <c r="AK159">
        <v>144</v>
      </c>
      <c r="AL159">
        <v>113</v>
      </c>
      <c r="AM159">
        <v>99</v>
      </c>
      <c r="AN159" s="23">
        <v>0.0148514851485149</v>
      </c>
      <c r="AO159" s="23">
        <v>0.0208333333333333</v>
      </c>
      <c r="AP159" s="23">
        <v>0</v>
      </c>
      <c r="AQ159" s="23">
        <v>0</v>
      </c>
      <c r="AR159" s="35">
        <v>0.428571428571429</v>
      </c>
      <c r="AS159" s="35">
        <v>25.7142857142857</v>
      </c>
      <c r="AT159" s="35">
        <v>-11.7142857142857</v>
      </c>
      <c r="AU159" s="31">
        <f t="shared" si="6"/>
        <v>32</v>
      </c>
      <c r="AV159" s="36">
        <f>IFERROR(时间!$B$4+AU159,"上周无销量")</f>
        <v>43357</v>
      </c>
    </row>
    <row r="160" spans="1:48">
      <c r="A160" s="21" t="s">
        <v>583</v>
      </c>
      <c r="B160" t="s">
        <v>584</v>
      </c>
      <c r="C160" t="s">
        <v>585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16</v>
      </c>
      <c r="J160" s="33">
        <v>0</v>
      </c>
      <c r="K160" s="33">
        <v>0</v>
      </c>
      <c r="L160" s="33">
        <v>0</v>
      </c>
      <c r="M160">
        <v>16</v>
      </c>
      <c r="N160">
        <v>0</v>
      </c>
      <c r="O160">
        <v>16</v>
      </c>
      <c r="P160" t="s">
        <v>57</v>
      </c>
      <c r="Q160" t="s">
        <v>57</v>
      </c>
      <c r="R160" t="s">
        <v>57</v>
      </c>
      <c r="S160" t="s">
        <v>57</v>
      </c>
      <c r="T160" t="s">
        <v>57</v>
      </c>
      <c r="U160" t="s">
        <v>57</v>
      </c>
      <c r="V160" t="s">
        <v>57</v>
      </c>
      <c r="W160" t="s">
        <v>57</v>
      </c>
      <c r="X160" s="23" t="s">
        <v>57</v>
      </c>
      <c r="Y160" s="23" t="s">
        <v>57</v>
      </c>
      <c r="Z160" s="23" t="s">
        <v>57</v>
      </c>
      <c r="AA160" s="23" t="s">
        <v>57</v>
      </c>
      <c r="AB160" t="s">
        <v>57</v>
      </c>
      <c r="AC160" t="s">
        <v>57</v>
      </c>
      <c r="AD160" t="s">
        <v>57</v>
      </c>
      <c r="AE160" t="s">
        <v>57</v>
      </c>
      <c r="AF160" s="23" t="s">
        <v>57</v>
      </c>
      <c r="AG160" s="23" t="s">
        <v>57</v>
      </c>
      <c r="AH160" s="23" t="s">
        <v>57</v>
      </c>
      <c r="AI160" s="23" t="s">
        <v>57</v>
      </c>
      <c r="AJ160">
        <v>7</v>
      </c>
      <c r="AK160">
        <v>8</v>
      </c>
      <c r="AL160">
        <v>6</v>
      </c>
      <c r="AM160">
        <v>5</v>
      </c>
      <c r="AN160" s="23">
        <v>0</v>
      </c>
      <c r="AO160" s="23">
        <v>0</v>
      </c>
      <c r="AP160" s="23">
        <v>0</v>
      </c>
      <c r="AQ160" s="23">
        <v>0</v>
      </c>
      <c r="AR160" s="35">
        <v>0</v>
      </c>
      <c r="AS160" s="35">
        <v>0</v>
      </c>
      <c r="AT160" s="35">
        <v>16</v>
      </c>
      <c r="AU160" s="31" t="str">
        <f t="shared" si="6"/>
        <v>库存为16</v>
      </c>
      <c r="AV160" s="36" t="str">
        <f>IFERROR(时间!$B$4+AU160,"上周无销量")</f>
        <v>上周无销量</v>
      </c>
    </row>
    <row r="161" spans="1:48">
      <c r="A161" s="21" t="s">
        <v>586</v>
      </c>
      <c r="B161" t="s">
        <v>587</v>
      </c>
      <c r="C161" t="s">
        <v>588</v>
      </c>
      <c r="D161" s="31">
        <v>0</v>
      </c>
      <c r="E161" s="31">
        <v>0</v>
      </c>
      <c r="F161" s="31">
        <v>0</v>
      </c>
      <c r="G161" s="31">
        <v>1</v>
      </c>
      <c r="H161" s="32">
        <v>32.99</v>
      </c>
      <c r="I161">
        <v>9</v>
      </c>
      <c r="J161" s="33">
        <v>0</v>
      </c>
      <c r="K161" s="33">
        <v>0</v>
      </c>
      <c r="L161" s="33">
        <v>0</v>
      </c>
      <c r="M161">
        <v>9</v>
      </c>
      <c r="N161">
        <v>0</v>
      </c>
      <c r="O161">
        <v>4</v>
      </c>
      <c r="P161" t="s">
        <v>57</v>
      </c>
      <c r="Q161" t="s">
        <v>57</v>
      </c>
      <c r="R161" t="s">
        <v>57</v>
      </c>
      <c r="S161" t="s">
        <v>57</v>
      </c>
      <c r="T161" t="s">
        <v>57</v>
      </c>
      <c r="U161" t="s">
        <v>57</v>
      </c>
      <c r="V161" t="s">
        <v>57</v>
      </c>
      <c r="W161" t="s">
        <v>57</v>
      </c>
      <c r="X161" s="23" t="s">
        <v>57</v>
      </c>
      <c r="Y161" s="23" t="s">
        <v>57</v>
      </c>
      <c r="Z161" s="23" t="s">
        <v>57</v>
      </c>
      <c r="AA161" s="23" t="s">
        <v>57</v>
      </c>
      <c r="AB161" t="s">
        <v>57</v>
      </c>
      <c r="AC161" t="s">
        <v>57</v>
      </c>
      <c r="AD161" t="s">
        <v>57</v>
      </c>
      <c r="AE161" t="s">
        <v>57</v>
      </c>
      <c r="AF161" s="23" t="s">
        <v>57</v>
      </c>
      <c r="AG161" s="23" t="s">
        <v>57</v>
      </c>
      <c r="AH161" s="23" t="s">
        <v>57</v>
      </c>
      <c r="AI161" s="23" t="s">
        <v>57</v>
      </c>
      <c r="AJ161">
        <v>22</v>
      </c>
      <c r="AK161">
        <v>25</v>
      </c>
      <c r="AL161">
        <v>45</v>
      </c>
      <c r="AM161">
        <v>62</v>
      </c>
      <c r="AN161" s="23">
        <v>0</v>
      </c>
      <c r="AO161" s="23">
        <v>0</v>
      </c>
      <c r="AP161" s="23">
        <v>0</v>
      </c>
      <c r="AQ161" s="23">
        <v>0.0161290322580645</v>
      </c>
      <c r="AR161" s="35">
        <v>0</v>
      </c>
      <c r="AS161" s="35">
        <v>0</v>
      </c>
      <c r="AT161" s="35">
        <v>9</v>
      </c>
      <c r="AU161" s="31" t="str">
        <f t="shared" si="6"/>
        <v>库存为9</v>
      </c>
      <c r="AV161" s="36" t="str">
        <f>IFERROR(时间!$B$4+AU161,"上周无销量")</f>
        <v>上周无销量</v>
      </c>
    </row>
    <row r="162" spans="1:48">
      <c r="A162" s="21" t="s">
        <v>589</v>
      </c>
      <c r="B162" t="s">
        <v>590</v>
      </c>
      <c r="C162" t="s">
        <v>588</v>
      </c>
      <c r="D162" s="31">
        <v>0</v>
      </c>
      <c r="E162" s="31">
        <v>0</v>
      </c>
      <c r="F162" s="31">
        <v>1</v>
      </c>
      <c r="G162" s="31">
        <v>2</v>
      </c>
      <c r="H162" s="32">
        <v>32.99</v>
      </c>
      <c r="I162">
        <v>18</v>
      </c>
      <c r="J162" s="33">
        <v>0</v>
      </c>
      <c r="K162" s="33">
        <v>0</v>
      </c>
      <c r="L162" s="33">
        <v>0</v>
      </c>
      <c r="M162">
        <v>18</v>
      </c>
      <c r="N162">
        <v>0</v>
      </c>
      <c r="O162">
        <v>8</v>
      </c>
      <c r="P162" t="s">
        <v>57</v>
      </c>
      <c r="Q162" t="s">
        <v>57</v>
      </c>
      <c r="R162" t="s">
        <v>57</v>
      </c>
      <c r="S162" t="s">
        <v>57</v>
      </c>
      <c r="T162" t="s">
        <v>57</v>
      </c>
      <c r="U162" t="s">
        <v>57</v>
      </c>
      <c r="V162" t="s">
        <v>57</v>
      </c>
      <c r="W162" t="s">
        <v>57</v>
      </c>
      <c r="X162" s="23" t="s">
        <v>57</v>
      </c>
      <c r="Y162" s="23" t="s">
        <v>57</v>
      </c>
      <c r="Z162" s="23" t="s">
        <v>57</v>
      </c>
      <c r="AA162" s="23" t="s">
        <v>57</v>
      </c>
      <c r="AB162" t="s">
        <v>57</v>
      </c>
      <c r="AC162" t="s">
        <v>57</v>
      </c>
      <c r="AD162" t="s">
        <v>57</v>
      </c>
      <c r="AE162" t="s">
        <v>57</v>
      </c>
      <c r="AF162" s="23" t="s">
        <v>57</v>
      </c>
      <c r="AG162" s="23" t="s">
        <v>57</v>
      </c>
      <c r="AH162" s="23" t="s">
        <v>57</v>
      </c>
      <c r="AI162" s="23" t="s">
        <v>57</v>
      </c>
      <c r="AJ162">
        <v>29</v>
      </c>
      <c r="AK162">
        <v>51</v>
      </c>
      <c r="AL162">
        <v>62</v>
      </c>
      <c r="AM162">
        <v>50</v>
      </c>
      <c r="AN162" s="23">
        <v>0</v>
      </c>
      <c r="AO162" s="23">
        <v>0</v>
      </c>
      <c r="AP162" s="23">
        <v>0.0161290322580645</v>
      </c>
      <c r="AQ162" s="23">
        <v>0.04</v>
      </c>
      <c r="AR162" s="35">
        <v>0</v>
      </c>
      <c r="AS162" s="35">
        <v>0</v>
      </c>
      <c r="AT162" s="35">
        <v>18</v>
      </c>
      <c r="AU162" s="31" t="str">
        <f t="shared" si="6"/>
        <v>库存为18</v>
      </c>
      <c r="AV162" s="36" t="str">
        <f>IFERROR(时间!$B$4+AU162,"上周无销量")</f>
        <v>上周无销量</v>
      </c>
    </row>
    <row r="163" spans="1:48">
      <c r="A163" s="21" t="s">
        <v>591</v>
      </c>
      <c r="B163" t="s">
        <v>592</v>
      </c>
      <c r="C163" t="s">
        <v>588</v>
      </c>
      <c r="D163" s="31">
        <v>2</v>
      </c>
      <c r="E163" s="31">
        <v>3</v>
      </c>
      <c r="F163" s="31">
        <v>1</v>
      </c>
      <c r="G163" s="31">
        <v>25</v>
      </c>
      <c r="H163" s="32">
        <v>34.99</v>
      </c>
      <c r="I163">
        <v>51</v>
      </c>
      <c r="J163" s="33">
        <v>0</v>
      </c>
      <c r="K163" s="33">
        <v>0</v>
      </c>
      <c r="L163" s="33">
        <v>0</v>
      </c>
      <c r="M163">
        <v>51</v>
      </c>
      <c r="N163">
        <v>1</v>
      </c>
      <c r="O163">
        <v>0</v>
      </c>
      <c r="P163">
        <v>57765</v>
      </c>
      <c r="Q163">
        <v>57765</v>
      </c>
      <c r="R163">
        <v>0</v>
      </c>
      <c r="S163">
        <v>35767</v>
      </c>
      <c r="T163">
        <v>282</v>
      </c>
      <c r="U163">
        <v>282</v>
      </c>
      <c r="V163">
        <v>0</v>
      </c>
      <c r="W163">
        <v>166</v>
      </c>
      <c r="X163" s="23">
        <v>0.00488184887042327</v>
      </c>
      <c r="Y163" s="23">
        <v>0.00488184887042327</v>
      </c>
      <c r="Z163" s="23" t="s">
        <v>57</v>
      </c>
      <c r="AA163" s="23">
        <v>0.00464114966309727</v>
      </c>
      <c r="AB163">
        <v>57.64</v>
      </c>
      <c r="AC163">
        <v>57.64</v>
      </c>
      <c r="AD163">
        <v>0</v>
      </c>
      <c r="AE163">
        <v>37.12</v>
      </c>
      <c r="AF163" s="23">
        <v>0.823663903972564</v>
      </c>
      <c r="AG163" s="23">
        <v>0.549109269315042</v>
      </c>
      <c r="AH163" s="23" t="s">
        <v>57</v>
      </c>
      <c r="AI163" s="23">
        <v>0.0424349814232638</v>
      </c>
      <c r="AJ163">
        <v>127</v>
      </c>
      <c r="AK163">
        <v>135</v>
      </c>
      <c r="AL163">
        <v>227</v>
      </c>
      <c r="AM163">
        <v>668</v>
      </c>
      <c r="AN163" s="23">
        <v>0.015748031496063</v>
      </c>
      <c r="AO163" s="23">
        <v>0.0222222222222222</v>
      </c>
      <c r="AP163" s="23">
        <v>0.00440528634361234</v>
      </c>
      <c r="AQ163" s="23">
        <v>0.0374251497005988</v>
      </c>
      <c r="AR163" s="35">
        <v>0.285714285714286</v>
      </c>
      <c r="AS163" s="35">
        <v>17.1428571428571</v>
      </c>
      <c r="AT163" s="35">
        <v>33.8571428571429</v>
      </c>
      <c r="AU163" s="31">
        <f t="shared" si="6"/>
        <v>178</v>
      </c>
      <c r="AV163" s="36">
        <f>IFERROR(时间!$B$4+AU163,"上周无销量")</f>
        <v>43503</v>
      </c>
    </row>
    <row r="164" spans="1:48">
      <c r="A164" s="21" t="s">
        <v>593</v>
      </c>
      <c r="B164" t="s">
        <v>587</v>
      </c>
      <c r="C164" t="s">
        <v>588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10</v>
      </c>
      <c r="J164" s="33">
        <v>0</v>
      </c>
      <c r="K164" s="33">
        <v>0</v>
      </c>
      <c r="L164" s="33">
        <v>0</v>
      </c>
      <c r="M164">
        <v>10</v>
      </c>
      <c r="N164">
        <v>0</v>
      </c>
      <c r="O164">
        <v>10</v>
      </c>
      <c r="P164" t="s">
        <v>57</v>
      </c>
      <c r="Q164" t="s">
        <v>57</v>
      </c>
      <c r="R164" t="s">
        <v>57</v>
      </c>
      <c r="S164" t="s">
        <v>57</v>
      </c>
      <c r="T164" t="s">
        <v>57</v>
      </c>
      <c r="U164" t="s">
        <v>57</v>
      </c>
      <c r="V164" t="s">
        <v>57</v>
      </c>
      <c r="W164" t="s">
        <v>57</v>
      </c>
      <c r="X164" s="23" t="s">
        <v>57</v>
      </c>
      <c r="Y164" s="23" t="s">
        <v>57</v>
      </c>
      <c r="Z164" s="23" t="s">
        <v>57</v>
      </c>
      <c r="AA164" s="23" t="s">
        <v>57</v>
      </c>
      <c r="AB164" t="s">
        <v>57</v>
      </c>
      <c r="AC164" t="s">
        <v>57</v>
      </c>
      <c r="AD164" t="s">
        <v>57</v>
      </c>
      <c r="AE164" t="s">
        <v>57</v>
      </c>
      <c r="AF164" s="23" t="s">
        <v>57</v>
      </c>
      <c r="AG164" s="23" t="s">
        <v>57</v>
      </c>
      <c r="AH164" s="23" t="s">
        <v>57</v>
      </c>
      <c r="AI164" s="23" t="s">
        <v>57</v>
      </c>
      <c r="AJ164">
        <v>22</v>
      </c>
      <c r="AK164">
        <v>25</v>
      </c>
      <c r="AL164">
        <v>45</v>
      </c>
      <c r="AM164">
        <v>62</v>
      </c>
      <c r="AN164" s="23">
        <v>0</v>
      </c>
      <c r="AO164" s="23">
        <v>0</v>
      </c>
      <c r="AP164" s="23">
        <v>0</v>
      </c>
      <c r="AQ164" s="23">
        <v>0</v>
      </c>
      <c r="AR164" s="35">
        <v>0</v>
      </c>
      <c r="AS164" s="35">
        <v>0</v>
      </c>
      <c r="AT164" s="35">
        <v>10</v>
      </c>
      <c r="AU164" s="31" t="str">
        <f t="shared" si="6"/>
        <v>库存为10</v>
      </c>
      <c r="AV164" s="36" t="str">
        <f>IFERROR(时间!$B$4+AU164,"上周无销量")</f>
        <v>上周无销量</v>
      </c>
    </row>
    <row r="165" spans="1:48">
      <c r="A165" s="21" t="s">
        <v>594</v>
      </c>
      <c r="B165" t="s">
        <v>509</v>
      </c>
      <c r="C165" t="s">
        <v>595</v>
      </c>
      <c r="D165" s="31">
        <v>5</v>
      </c>
      <c r="E165" s="31">
        <v>1</v>
      </c>
      <c r="F165" s="31">
        <v>0</v>
      </c>
      <c r="G165" s="31">
        <v>4</v>
      </c>
      <c r="H165" s="32">
        <v>89.99</v>
      </c>
      <c r="I165">
        <v>55</v>
      </c>
      <c r="J165" s="33">
        <v>0</v>
      </c>
      <c r="K165" s="33">
        <v>0</v>
      </c>
      <c r="L165" s="33">
        <v>0</v>
      </c>
      <c r="M165">
        <v>55</v>
      </c>
      <c r="N165">
        <v>0</v>
      </c>
      <c r="O165">
        <v>1</v>
      </c>
      <c r="P165" t="s">
        <v>57</v>
      </c>
      <c r="Q165" t="s">
        <v>57</v>
      </c>
      <c r="R165" t="s">
        <v>57</v>
      </c>
      <c r="S165" t="s">
        <v>57</v>
      </c>
      <c r="T165" t="s">
        <v>57</v>
      </c>
      <c r="U165" t="s">
        <v>57</v>
      </c>
      <c r="V165" t="s">
        <v>57</v>
      </c>
      <c r="W165" t="s">
        <v>57</v>
      </c>
      <c r="X165" s="23" t="s">
        <v>57</v>
      </c>
      <c r="Y165" s="23" t="s">
        <v>57</v>
      </c>
      <c r="Z165" s="23" t="s">
        <v>57</v>
      </c>
      <c r="AA165" s="23" t="s">
        <v>57</v>
      </c>
      <c r="AB165" t="s">
        <v>57</v>
      </c>
      <c r="AC165" t="s">
        <v>57</v>
      </c>
      <c r="AD165" t="s">
        <v>57</v>
      </c>
      <c r="AE165" t="s">
        <v>57</v>
      </c>
      <c r="AF165" s="23" t="s">
        <v>57</v>
      </c>
      <c r="AG165" s="23" t="s">
        <v>57</v>
      </c>
      <c r="AH165" s="23" t="s">
        <v>57</v>
      </c>
      <c r="AI165" s="23" t="s">
        <v>57</v>
      </c>
      <c r="AJ165">
        <v>141</v>
      </c>
      <c r="AK165">
        <v>64</v>
      </c>
      <c r="AL165">
        <v>132</v>
      </c>
      <c r="AM165">
        <v>211</v>
      </c>
      <c r="AN165" s="23">
        <v>0.0354609929078014</v>
      </c>
      <c r="AO165" s="23">
        <v>0.015625</v>
      </c>
      <c r="AP165" s="23">
        <v>0</v>
      </c>
      <c r="AQ165" s="23">
        <v>0.018957345971564</v>
      </c>
      <c r="AR165" s="35">
        <v>0.714285714285714</v>
      </c>
      <c r="AS165" s="35">
        <v>42.8571428571429</v>
      </c>
      <c r="AT165" s="35">
        <v>12.1428571428571</v>
      </c>
      <c r="AU165" s="31">
        <f t="shared" si="6"/>
        <v>77</v>
      </c>
      <c r="AV165" s="36">
        <f>IFERROR(时间!$B$4+AU165,"上周无销量")</f>
        <v>43402</v>
      </c>
    </row>
    <row r="166" spans="1:48">
      <c r="A166" s="21" t="s">
        <v>596</v>
      </c>
      <c r="B166" t="s">
        <v>597</v>
      </c>
      <c r="C166" t="s">
        <v>598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11</v>
      </c>
      <c r="J166" s="33">
        <v>0</v>
      </c>
      <c r="K166" s="33">
        <v>0</v>
      </c>
      <c r="L166" s="33">
        <v>0</v>
      </c>
      <c r="M166">
        <v>11</v>
      </c>
      <c r="N166">
        <v>0</v>
      </c>
      <c r="O166">
        <v>11</v>
      </c>
      <c r="P166" t="s">
        <v>57</v>
      </c>
      <c r="Q166" t="s">
        <v>57</v>
      </c>
      <c r="R166" t="s">
        <v>57</v>
      </c>
      <c r="S166" t="s">
        <v>57</v>
      </c>
      <c r="T166" t="s">
        <v>57</v>
      </c>
      <c r="U166" t="s">
        <v>57</v>
      </c>
      <c r="V166" t="s">
        <v>57</v>
      </c>
      <c r="W166" t="s">
        <v>57</v>
      </c>
      <c r="X166" s="23" t="s">
        <v>57</v>
      </c>
      <c r="Y166" s="23" t="s">
        <v>57</v>
      </c>
      <c r="Z166" s="23" t="s">
        <v>57</v>
      </c>
      <c r="AA166" s="23" t="s">
        <v>57</v>
      </c>
      <c r="AB166" t="s">
        <v>57</v>
      </c>
      <c r="AC166" t="s">
        <v>57</v>
      </c>
      <c r="AD166" t="s">
        <v>57</v>
      </c>
      <c r="AE166" t="s">
        <v>57</v>
      </c>
      <c r="AF166" s="23" t="s">
        <v>57</v>
      </c>
      <c r="AG166" s="23" t="s">
        <v>57</v>
      </c>
      <c r="AH166" s="23" t="s">
        <v>57</v>
      </c>
      <c r="AI166" s="23" t="s">
        <v>57</v>
      </c>
      <c r="AJ166">
        <v>22</v>
      </c>
      <c r="AK166">
        <v>16</v>
      </c>
      <c r="AL166">
        <v>8</v>
      </c>
      <c r="AM166">
        <v>12</v>
      </c>
      <c r="AN166" s="23">
        <v>0</v>
      </c>
      <c r="AO166" s="23">
        <v>0</v>
      </c>
      <c r="AP166" s="23">
        <v>0</v>
      </c>
      <c r="AQ166" s="23">
        <v>0</v>
      </c>
      <c r="AR166" s="35">
        <v>0</v>
      </c>
      <c r="AS166" s="35">
        <v>0</v>
      </c>
      <c r="AT166" s="35">
        <v>11</v>
      </c>
      <c r="AU166" s="31" t="str">
        <f t="shared" si="6"/>
        <v>库存为11</v>
      </c>
      <c r="AV166" s="36" t="str">
        <f>IFERROR(时间!$B$4+AU166,"上周无销量")</f>
        <v>上周无销量</v>
      </c>
    </row>
    <row r="167" spans="1:48">
      <c r="A167" s="21" t="s">
        <v>599</v>
      </c>
      <c r="B167" t="s">
        <v>600</v>
      </c>
      <c r="C167" t="s">
        <v>601</v>
      </c>
      <c r="D167" s="31">
        <v>1</v>
      </c>
      <c r="E167" s="31">
        <v>3</v>
      </c>
      <c r="F167" s="31">
        <v>1</v>
      </c>
      <c r="G167" s="31">
        <v>0</v>
      </c>
      <c r="H167" s="32">
        <v>99.6</v>
      </c>
      <c r="I167">
        <v>31</v>
      </c>
      <c r="J167" s="33">
        <v>0</v>
      </c>
      <c r="K167" s="33">
        <v>0</v>
      </c>
      <c r="L167" s="33">
        <v>0</v>
      </c>
      <c r="M167">
        <v>31</v>
      </c>
      <c r="N167">
        <v>0</v>
      </c>
      <c r="O167">
        <v>0</v>
      </c>
      <c r="P167">
        <v>18953</v>
      </c>
      <c r="Q167">
        <v>18953</v>
      </c>
      <c r="R167">
        <v>0</v>
      </c>
      <c r="S167">
        <v>0</v>
      </c>
      <c r="T167">
        <v>131</v>
      </c>
      <c r="U167">
        <v>131</v>
      </c>
      <c r="V167">
        <v>0</v>
      </c>
      <c r="W167">
        <v>0</v>
      </c>
      <c r="X167" s="23">
        <v>0.00691183453806785</v>
      </c>
      <c r="Y167" s="23">
        <v>0.00691183453806785</v>
      </c>
      <c r="Z167" s="23" t="s">
        <v>57</v>
      </c>
      <c r="AA167" s="23" t="s">
        <v>57</v>
      </c>
      <c r="AB167">
        <v>19.11</v>
      </c>
      <c r="AC167">
        <v>19.11</v>
      </c>
      <c r="AD167">
        <v>0</v>
      </c>
      <c r="AE167">
        <v>0</v>
      </c>
      <c r="AF167" s="23">
        <v>0.191867469879518</v>
      </c>
      <c r="AG167" s="23">
        <v>0.0639558232931727</v>
      </c>
      <c r="AH167" s="23" t="s">
        <v>57</v>
      </c>
      <c r="AI167" s="23" t="s">
        <v>57</v>
      </c>
      <c r="AJ167">
        <v>60</v>
      </c>
      <c r="AK167">
        <v>44</v>
      </c>
      <c r="AL167">
        <v>52</v>
      </c>
      <c r="AM167">
        <v>51</v>
      </c>
      <c r="AN167" s="23">
        <v>0.0166666666666667</v>
      </c>
      <c r="AO167" s="23">
        <v>0.0681818181818182</v>
      </c>
      <c r="AP167" s="23">
        <v>0.0192307692307692</v>
      </c>
      <c r="AQ167" s="23">
        <v>0</v>
      </c>
      <c r="AR167" s="35">
        <v>0.142857142857143</v>
      </c>
      <c r="AS167" s="35">
        <v>8.57142857142857</v>
      </c>
      <c r="AT167" s="35">
        <v>22.4285714285714</v>
      </c>
      <c r="AU167" s="31">
        <f t="shared" si="6"/>
        <v>217</v>
      </c>
      <c r="AV167" s="36">
        <f>IFERROR(时间!$B$4+AU167,"上周无销量")</f>
        <v>43542</v>
      </c>
    </row>
    <row r="168" ht="14" customHeight="1" spans="1:48">
      <c r="A168" s="21" t="s">
        <v>602</v>
      </c>
      <c r="B168" t="s">
        <v>603</v>
      </c>
      <c r="C168" t="s">
        <v>604</v>
      </c>
      <c r="D168" s="31">
        <v>0</v>
      </c>
      <c r="E168" s="31">
        <v>2</v>
      </c>
      <c r="F168" s="31">
        <v>9</v>
      </c>
      <c r="G168" s="31">
        <v>4</v>
      </c>
      <c r="H168" s="32">
        <v>21.99</v>
      </c>
      <c r="I168">
        <v>19</v>
      </c>
      <c r="J168" s="33">
        <v>0</v>
      </c>
      <c r="K168" s="33">
        <v>0</v>
      </c>
      <c r="L168" s="33">
        <v>0</v>
      </c>
      <c r="M168">
        <v>19</v>
      </c>
      <c r="N168">
        <v>0</v>
      </c>
      <c r="O168">
        <v>19</v>
      </c>
      <c r="P168" t="s">
        <v>57</v>
      </c>
      <c r="Q168" t="s">
        <v>57</v>
      </c>
      <c r="R168" t="s">
        <v>57</v>
      </c>
      <c r="S168" t="s">
        <v>57</v>
      </c>
      <c r="T168" t="s">
        <v>57</v>
      </c>
      <c r="U168" t="s">
        <v>57</v>
      </c>
      <c r="V168" t="s">
        <v>57</v>
      </c>
      <c r="W168" t="s">
        <v>57</v>
      </c>
      <c r="X168" s="23" t="s">
        <v>57</v>
      </c>
      <c r="Y168" s="23" t="s">
        <v>57</v>
      </c>
      <c r="Z168" s="23" t="s">
        <v>57</v>
      </c>
      <c r="AA168" s="23" t="s">
        <v>57</v>
      </c>
      <c r="AB168" t="s">
        <v>57</v>
      </c>
      <c r="AC168" t="s">
        <v>57</v>
      </c>
      <c r="AD168" t="s">
        <v>57</v>
      </c>
      <c r="AE168" t="s">
        <v>57</v>
      </c>
      <c r="AF168" s="23" t="s">
        <v>57</v>
      </c>
      <c r="AG168" s="23" t="s">
        <v>57</v>
      </c>
      <c r="AH168" s="23" t="s">
        <v>57</v>
      </c>
      <c r="AI168" s="23" t="s">
        <v>57</v>
      </c>
      <c r="AJ168">
        <v>30</v>
      </c>
      <c r="AK168">
        <v>46</v>
      </c>
      <c r="AL168">
        <v>39</v>
      </c>
      <c r="AM168">
        <v>38</v>
      </c>
      <c r="AN168" s="23">
        <v>0</v>
      </c>
      <c r="AO168" s="23">
        <v>0.0434782608695652</v>
      </c>
      <c r="AP168" s="23">
        <v>0.230769230769231</v>
      </c>
      <c r="AQ168" s="23">
        <v>0.105263157894737</v>
      </c>
      <c r="AR168" s="35">
        <v>0</v>
      </c>
      <c r="AS168" s="35">
        <v>0</v>
      </c>
      <c r="AT168" s="35">
        <v>19</v>
      </c>
      <c r="AU168" s="31" t="str">
        <f t="shared" si="6"/>
        <v>库存为19</v>
      </c>
      <c r="AV168" s="36" t="str">
        <f>IFERROR(时间!$B$4+AU168,"上周无销量")</f>
        <v>上周无销量</v>
      </c>
    </row>
    <row r="169" spans="1:48">
      <c r="A169" s="21" t="s">
        <v>605</v>
      </c>
      <c r="B169" t="s">
        <v>606</v>
      </c>
      <c r="C169" t="s">
        <v>604</v>
      </c>
      <c r="D169" s="31">
        <v>5</v>
      </c>
      <c r="E169" s="31">
        <v>2</v>
      </c>
      <c r="F169" s="31">
        <v>3</v>
      </c>
      <c r="G169" s="31">
        <v>4</v>
      </c>
      <c r="H169" s="32">
        <v>13.99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1</v>
      </c>
      <c r="P169">
        <v>58789</v>
      </c>
      <c r="Q169">
        <v>58833</v>
      </c>
      <c r="R169">
        <v>32957</v>
      </c>
      <c r="S169">
        <v>25173</v>
      </c>
      <c r="T169">
        <v>186</v>
      </c>
      <c r="U169">
        <v>186</v>
      </c>
      <c r="V169">
        <v>90</v>
      </c>
      <c r="W169">
        <v>85</v>
      </c>
      <c r="X169" s="23">
        <v>0.00316385718416711</v>
      </c>
      <c r="Y169" s="23">
        <v>0.00316149099994901</v>
      </c>
      <c r="Z169" s="23">
        <v>0.00273083108292624</v>
      </c>
      <c r="AA169" s="23">
        <v>0.00337663369483176</v>
      </c>
      <c r="AB169">
        <v>56.72</v>
      </c>
      <c r="AC169">
        <v>56.72</v>
      </c>
      <c r="AD169">
        <v>26.69</v>
      </c>
      <c r="AE169">
        <v>28.35</v>
      </c>
      <c r="AF169" s="23">
        <v>0.810864903502502</v>
      </c>
      <c r="AG169" s="23">
        <v>2.02716225875625</v>
      </c>
      <c r="AH169" s="23">
        <v>0.635930426495116</v>
      </c>
      <c r="AI169" s="23">
        <v>0.506611865618299</v>
      </c>
      <c r="AJ169">
        <v>14</v>
      </c>
      <c r="AK169">
        <v>26</v>
      </c>
      <c r="AL169">
        <v>53</v>
      </c>
      <c r="AM169">
        <v>33</v>
      </c>
      <c r="AN169" s="23">
        <v>0.357142857142857</v>
      </c>
      <c r="AO169" s="23">
        <v>0.0769230769230769</v>
      </c>
      <c r="AP169" s="23">
        <v>0.0566037735849057</v>
      </c>
      <c r="AQ169" s="23">
        <v>0.121212121212121</v>
      </c>
      <c r="AR169" s="35">
        <v>0.714285714285714</v>
      </c>
      <c r="AS169" s="35">
        <v>42.8571428571429</v>
      </c>
      <c r="AT169" s="35">
        <v>-42.8571428571429</v>
      </c>
      <c r="AU169" s="31">
        <f t="shared" si="6"/>
        <v>0</v>
      </c>
      <c r="AV169" s="36">
        <f>IFERROR(时间!$B$4+AU169,"上周无销量")</f>
        <v>43325</v>
      </c>
    </row>
    <row r="170" spans="1:48">
      <c r="A170" s="21" t="s">
        <v>607</v>
      </c>
      <c r="B170" t="s">
        <v>608</v>
      </c>
      <c r="C170" t="s">
        <v>604</v>
      </c>
      <c r="D170" s="31">
        <v>0</v>
      </c>
      <c r="E170" s="31">
        <v>2</v>
      </c>
      <c r="F170" s="31">
        <v>2</v>
      </c>
      <c r="G170" s="31">
        <v>4</v>
      </c>
      <c r="H170" s="32">
        <v>21.99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57</v>
      </c>
      <c r="Q170" t="s">
        <v>57</v>
      </c>
      <c r="R170" t="s">
        <v>57</v>
      </c>
      <c r="S170" t="s">
        <v>57</v>
      </c>
      <c r="T170" t="s">
        <v>57</v>
      </c>
      <c r="U170" t="s">
        <v>57</v>
      </c>
      <c r="V170" t="s">
        <v>57</v>
      </c>
      <c r="W170" t="s">
        <v>57</v>
      </c>
      <c r="X170" s="23" t="s">
        <v>57</v>
      </c>
      <c r="Y170" s="23" t="s">
        <v>57</v>
      </c>
      <c r="Z170" s="23" t="s">
        <v>57</v>
      </c>
      <c r="AA170" s="23" t="s">
        <v>57</v>
      </c>
      <c r="AB170" t="s">
        <v>57</v>
      </c>
      <c r="AC170" t="s">
        <v>57</v>
      </c>
      <c r="AD170" t="s">
        <v>57</v>
      </c>
      <c r="AE170" t="s">
        <v>57</v>
      </c>
      <c r="AF170" s="23" t="s">
        <v>57</v>
      </c>
      <c r="AG170" s="23" t="s">
        <v>57</v>
      </c>
      <c r="AH170" s="23" t="s">
        <v>57</v>
      </c>
      <c r="AI170" s="23" t="s">
        <v>57</v>
      </c>
      <c r="AJ170">
        <v>49</v>
      </c>
      <c r="AK170">
        <v>21</v>
      </c>
      <c r="AL170">
        <v>36</v>
      </c>
      <c r="AM170">
        <v>98</v>
      </c>
      <c r="AN170" s="23">
        <v>0</v>
      </c>
      <c r="AO170" s="23">
        <v>0.0952380952380952</v>
      </c>
      <c r="AP170" s="23">
        <v>0.0555555555555556</v>
      </c>
      <c r="AQ170" s="23">
        <v>0.0408163265306122</v>
      </c>
      <c r="AR170" s="35">
        <v>0</v>
      </c>
      <c r="AS170" s="35">
        <v>0</v>
      </c>
      <c r="AT170" s="35">
        <v>0</v>
      </c>
      <c r="AU170" s="31" t="str">
        <f t="shared" si="6"/>
        <v>库存为0</v>
      </c>
      <c r="AV170" s="36" t="str">
        <f>IFERROR(时间!$B$4+AU170,"上周无销量")</f>
        <v>上周无销量</v>
      </c>
    </row>
    <row r="171" spans="1:48">
      <c r="A171" s="21" t="s">
        <v>609</v>
      </c>
      <c r="B171" t="s">
        <v>610</v>
      </c>
      <c r="C171" t="s">
        <v>604</v>
      </c>
      <c r="D171" s="31">
        <v>4</v>
      </c>
      <c r="E171" s="31">
        <v>2</v>
      </c>
      <c r="F171" s="31">
        <v>3</v>
      </c>
      <c r="G171" s="31">
        <v>2</v>
      </c>
      <c r="H171" s="32">
        <v>13.8990909090909</v>
      </c>
      <c r="I171">
        <v>4</v>
      </c>
      <c r="J171" s="33">
        <v>0</v>
      </c>
      <c r="K171" s="33">
        <v>0</v>
      </c>
      <c r="L171" s="33">
        <v>0</v>
      </c>
      <c r="M171">
        <v>4</v>
      </c>
      <c r="N171">
        <v>0</v>
      </c>
      <c r="O171">
        <v>6</v>
      </c>
      <c r="P171">
        <v>10214</v>
      </c>
      <c r="Q171">
        <v>10218</v>
      </c>
      <c r="R171">
        <v>4873</v>
      </c>
      <c r="S171">
        <v>5315</v>
      </c>
      <c r="T171">
        <v>60</v>
      </c>
      <c r="U171">
        <v>60</v>
      </c>
      <c r="V171">
        <v>29</v>
      </c>
      <c r="W171">
        <v>28</v>
      </c>
      <c r="X171" s="23">
        <v>0.00587429018993538</v>
      </c>
      <c r="Y171" s="23">
        <v>0.00587199060481503</v>
      </c>
      <c r="Z171" s="23">
        <v>0.00595115945003078</v>
      </c>
      <c r="AA171" s="23">
        <v>0.00526810912511759</v>
      </c>
      <c r="AB171">
        <v>17.61</v>
      </c>
      <c r="AC171">
        <v>17.61</v>
      </c>
      <c r="AD171">
        <v>8.06</v>
      </c>
      <c r="AE171">
        <v>9.28</v>
      </c>
      <c r="AF171" s="23">
        <v>0.316747334685068</v>
      </c>
      <c r="AG171" s="23">
        <v>0.633494669370136</v>
      </c>
      <c r="AH171" s="23">
        <v>0.193298013822574</v>
      </c>
      <c r="AI171" s="23">
        <v>0.333834783177448</v>
      </c>
      <c r="AJ171">
        <v>43</v>
      </c>
      <c r="AK171">
        <v>24</v>
      </c>
      <c r="AL171">
        <v>22</v>
      </c>
      <c r="AM171">
        <v>29</v>
      </c>
      <c r="AN171" s="23">
        <v>0.0930232558139535</v>
      </c>
      <c r="AO171" s="23">
        <v>0.0833333333333333</v>
      </c>
      <c r="AP171" s="23">
        <v>0.136363636363636</v>
      </c>
      <c r="AQ171" s="23">
        <v>0.0689655172413793</v>
      </c>
      <c r="AR171" s="35">
        <v>0.571428571428571</v>
      </c>
      <c r="AS171" s="35">
        <v>34.2857142857143</v>
      </c>
      <c r="AT171" s="35">
        <v>-30.2857142857143</v>
      </c>
      <c r="AU171" s="31">
        <f t="shared" si="6"/>
        <v>7</v>
      </c>
      <c r="AV171" s="36">
        <f>IFERROR(时间!$B$4+AU171,"上周无销量")</f>
        <v>43332</v>
      </c>
    </row>
    <row r="172" spans="1:48">
      <c r="A172" s="21" t="s">
        <v>611</v>
      </c>
      <c r="B172" t="s">
        <v>612</v>
      </c>
      <c r="C172" t="s">
        <v>604</v>
      </c>
      <c r="D172" s="31">
        <v>0</v>
      </c>
      <c r="E172" s="31">
        <v>0</v>
      </c>
      <c r="F172" s="31">
        <v>1</v>
      </c>
      <c r="G172" s="31">
        <v>3</v>
      </c>
      <c r="H172" s="32">
        <v>14.99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>
        <v>28299</v>
      </c>
      <c r="Q172">
        <v>28299</v>
      </c>
      <c r="R172">
        <v>2781</v>
      </c>
      <c r="S172">
        <v>26761</v>
      </c>
      <c r="T172">
        <v>148</v>
      </c>
      <c r="U172">
        <v>148</v>
      </c>
      <c r="V172">
        <v>15</v>
      </c>
      <c r="W172">
        <v>134</v>
      </c>
      <c r="X172" s="23">
        <v>0.00522986677974487</v>
      </c>
      <c r="Y172" s="23">
        <v>0.00522986677974487</v>
      </c>
      <c r="Z172" s="23">
        <v>0.00539374325782093</v>
      </c>
      <c r="AA172" s="23">
        <v>0.00500728672321662</v>
      </c>
      <c r="AB172">
        <v>44.24</v>
      </c>
      <c r="AC172">
        <v>44.24</v>
      </c>
      <c r="AD172">
        <v>4.3</v>
      </c>
      <c r="AE172">
        <v>40.35</v>
      </c>
      <c r="AF172" s="23" t="s">
        <v>613</v>
      </c>
      <c r="AG172" s="23" t="s">
        <v>613</v>
      </c>
      <c r="AH172" s="23">
        <v>0.28685790527018</v>
      </c>
      <c r="AI172" s="23">
        <v>0.897264843228819</v>
      </c>
      <c r="AJ172">
        <v>0</v>
      </c>
      <c r="AK172">
        <v>0</v>
      </c>
      <c r="AL172">
        <v>11</v>
      </c>
      <c r="AM172">
        <v>36</v>
      </c>
      <c r="AN172" s="23" t="s">
        <v>57</v>
      </c>
      <c r="AO172" s="23" t="s">
        <v>57</v>
      </c>
      <c r="AP172" s="23">
        <v>0.0909090909090909</v>
      </c>
      <c r="AQ172" s="23">
        <v>0.0833333333333333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1" t="s">
        <v>614</v>
      </c>
      <c r="B173" t="s">
        <v>615</v>
      </c>
      <c r="C173" t="s">
        <v>616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57</v>
      </c>
      <c r="Q173" t="s">
        <v>57</v>
      </c>
      <c r="R173" t="s">
        <v>57</v>
      </c>
      <c r="S173" t="s">
        <v>57</v>
      </c>
      <c r="T173" t="s">
        <v>57</v>
      </c>
      <c r="U173" t="s">
        <v>57</v>
      </c>
      <c r="V173" t="s">
        <v>57</v>
      </c>
      <c r="W173" t="s">
        <v>57</v>
      </c>
      <c r="X173" s="23" t="s">
        <v>57</v>
      </c>
      <c r="Y173" s="23" t="s">
        <v>57</v>
      </c>
      <c r="Z173" s="23" t="s">
        <v>57</v>
      </c>
      <c r="AA173" s="23" t="s">
        <v>57</v>
      </c>
      <c r="AB173" t="s">
        <v>57</v>
      </c>
      <c r="AC173" t="s">
        <v>57</v>
      </c>
      <c r="AD173" t="s">
        <v>57</v>
      </c>
      <c r="AE173" t="s">
        <v>57</v>
      </c>
      <c r="AF173" s="23" t="s">
        <v>57</v>
      </c>
      <c r="AG173" s="23" t="s">
        <v>57</v>
      </c>
      <c r="AH173" s="23" t="s">
        <v>57</v>
      </c>
      <c r="AI173" s="23" t="s">
        <v>57</v>
      </c>
      <c r="AJ173">
        <v>181</v>
      </c>
      <c r="AK173">
        <v>188</v>
      </c>
      <c r="AL173">
        <v>208</v>
      </c>
      <c r="AM173">
        <v>183</v>
      </c>
      <c r="AN173" s="23">
        <v>0</v>
      </c>
      <c r="AO173" s="23">
        <v>0</v>
      </c>
      <c r="AP173" s="23">
        <v>0</v>
      </c>
      <c r="AQ173" s="23">
        <v>0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1" t="s">
        <v>617</v>
      </c>
      <c r="B174" t="s">
        <v>618</v>
      </c>
      <c r="C174" t="s">
        <v>619</v>
      </c>
      <c r="D174" s="31">
        <v>0</v>
      </c>
      <c r="E174" s="31">
        <v>2</v>
      </c>
      <c r="F174" s="31">
        <v>0</v>
      </c>
      <c r="G174" s="31">
        <v>0</v>
      </c>
      <c r="H174" s="32">
        <v>23.99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57</v>
      </c>
      <c r="Q174" t="s">
        <v>57</v>
      </c>
      <c r="R174" t="s">
        <v>57</v>
      </c>
      <c r="S174" t="s">
        <v>57</v>
      </c>
      <c r="T174" t="s">
        <v>57</v>
      </c>
      <c r="U174" t="s">
        <v>57</v>
      </c>
      <c r="V174" t="s">
        <v>57</v>
      </c>
      <c r="W174" t="s">
        <v>57</v>
      </c>
      <c r="X174" s="23" t="s">
        <v>57</v>
      </c>
      <c r="Y174" s="23" t="s">
        <v>57</v>
      </c>
      <c r="Z174" s="23" t="s">
        <v>57</v>
      </c>
      <c r="AA174" s="23" t="s">
        <v>57</v>
      </c>
      <c r="AB174" t="s">
        <v>57</v>
      </c>
      <c r="AC174" t="s">
        <v>57</v>
      </c>
      <c r="AD174" t="s">
        <v>57</v>
      </c>
      <c r="AE174" t="s">
        <v>57</v>
      </c>
      <c r="AF174" s="23" t="s">
        <v>57</v>
      </c>
      <c r="AG174" s="23" t="s">
        <v>57</v>
      </c>
      <c r="AH174" s="23" t="s">
        <v>57</v>
      </c>
      <c r="AI174" s="23" t="s">
        <v>57</v>
      </c>
      <c r="AJ174">
        <v>0</v>
      </c>
      <c r="AK174">
        <v>6</v>
      </c>
      <c r="AL174">
        <v>7</v>
      </c>
      <c r="AM174">
        <v>8</v>
      </c>
      <c r="AN174" s="23" t="s">
        <v>57</v>
      </c>
      <c r="AO174" s="23">
        <v>0.333333333333333</v>
      </c>
      <c r="AP174" s="23">
        <v>0</v>
      </c>
      <c r="AQ174" s="23">
        <v>0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21" t="s">
        <v>620</v>
      </c>
      <c r="B175" t="s">
        <v>621</v>
      </c>
      <c r="C175" t="s">
        <v>620</v>
      </c>
      <c r="D175" s="31">
        <v>1</v>
      </c>
      <c r="E175" s="31">
        <v>0</v>
      </c>
      <c r="F175" s="31">
        <v>0</v>
      </c>
      <c r="G175" s="31">
        <v>2</v>
      </c>
      <c r="H175" s="32">
        <v>16.99</v>
      </c>
      <c r="I175">
        <v>11</v>
      </c>
      <c r="J175" s="33">
        <v>0</v>
      </c>
      <c r="K175" s="33">
        <v>0</v>
      </c>
      <c r="L175" s="33">
        <v>0</v>
      </c>
      <c r="M175">
        <v>11</v>
      </c>
      <c r="N175">
        <v>0</v>
      </c>
      <c r="O175">
        <v>11</v>
      </c>
      <c r="P175" t="s">
        <v>57</v>
      </c>
      <c r="Q175" t="s">
        <v>57</v>
      </c>
      <c r="R175" t="s">
        <v>57</v>
      </c>
      <c r="S175" t="s">
        <v>57</v>
      </c>
      <c r="T175" t="s">
        <v>57</v>
      </c>
      <c r="U175" t="s">
        <v>57</v>
      </c>
      <c r="V175" t="s">
        <v>57</v>
      </c>
      <c r="W175" t="s">
        <v>57</v>
      </c>
      <c r="X175" s="23" t="s">
        <v>57</v>
      </c>
      <c r="Y175" s="23" t="s">
        <v>57</v>
      </c>
      <c r="Z175" s="23" t="s">
        <v>57</v>
      </c>
      <c r="AA175" s="23" t="s">
        <v>57</v>
      </c>
      <c r="AB175" t="s">
        <v>57</v>
      </c>
      <c r="AC175" t="s">
        <v>57</v>
      </c>
      <c r="AD175" t="s">
        <v>57</v>
      </c>
      <c r="AE175" t="s">
        <v>57</v>
      </c>
      <c r="AF175" s="23" t="s">
        <v>57</v>
      </c>
      <c r="AG175" s="23" t="s">
        <v>57</v>
      </c>
      <c r="AH175" s="23" t="s">
        <v>57</v>
      </c>
      <c r="AI175" s="23" t="s">
        <v>57</v>
      </c>
      <c r="AJ175">
        <v>8</v>
      </c>
      <c r="AK175">
        <v>12</v>
      </c>
      <c r="AL175">
        <v>5</v>
      </c>
      <c r="AM175">
        <v>5</v>
      </c>
      <c r="AN175" s="23">
        <v>0.125</v>
      </c>
      <c r="AO175" s="23">
        <v>0</v>
      </c>
      <c r="AP175" s="23">
        <v>0</v>
      </c>
      <c r="AQ175" s="23">
        <v>0.4</v>
      </c>
      <c r="AR175" s="35">
        <v>0.142857142857143</v>
      </c>
      <c r="AS175" s="35">
        <v>8.57142857142857</v>
      </c>
      <c r="AT175" s="35">
        <v>2.42857142857143</v>
      </c>
      <c r="AU175" s="31">
        <f t="shared" si="6"/>
        <v>77</v>
      </c>
      <c r="AV175" s="36">
        <f>IFERROR(时间!$B$4+AU175,"上周无销量")</f>
        <v>43402</v>
      </c>
    </row>
    <row r="176" spans="1:48">
      <c r="A176" s="21" t="s">
        <v>622</v>
      </c>
      <c r="B176" t="s">
        <v>623</v>
      </c>
      <c r="C176" t="s">
        <v>624</v>
      </c>
      <c r="D176" s="31">
        <v>0</v>
      </c>
      <c r="E176" s="31">
        <v>3</v>
      </c>
      <c r="F176" s="31">
        <v>4</v>
      </c>
      <c r="G176" s="31">
        <v>5</v>
      </c>
      <c r="H176" s="32">
        <v>16.4925</v>
      </c>
      <c r="I176">
        <v>17</v>
      </c>
      <c r="J176" s="33">
        <v>0</v>
      </c>
      <c r="K176" s="33">
        <v>0</v>
      </c>
      <c r="L176" s="33">
        <v>0</v>
      </c>
      <c r="M176">
        <v>17</v>
      </c>
      <c r="N176">
        <v>0</v>
      </c>
      <c r="O176">
        <v>0</v>
      </c>
      <c r="P176" t="s">
        <v>57</v>
      </c>
      <c r="Q176" t="s">
        <v>57</v>
      </c>
      <c r="R176" t="s">
        <v>57</v>
      </c>
      <c r="S176" t="s">
        <v>57</v>
      </c>
      <c r="T176" t="s">
        <v>57</v>
      </c>
      <c r="U176" t="s">
        <v>57</v>
      </c>
      <c r="V176" t="s">
        <v>57</v>
      </c>
      <c r="W176" t="s">
        <v>57</v>
      </c>
      <c r="X176" s="23" t="s">
        <v>57</v>
      </c>
      <c r="Y176" s="23" t="s">
        <v>57</v>
      </c>
      <c r="Z176" s="23" t="s">
        <v>57</v>
      </c>
      <c r="AA176" s="23" t="s">
        <v>57</v>
      </c>
      <c r="AB176" t="s">
        <v>57</v>
      </c>
      <c r="AC176" t="s">
        <v>57</v>
      </c>
      <c r="AD176" t="s">
        <v>57</v>
      </c>
      <c r="AE176" t="s">
        <v>57</v>
      </c>
      <c r="AF176" s="23" t="s">
        <v>57</v>
      </c>
      <c r="AG176" s="23" t="s">
        <v>57</v>
      </c>
      <c r="AH176" s="23" t="s">
        <v>57</v>
      </c>
      <c r="AI176" s="23" t="s">
        <v>57</v>
      </c>
      <c r="AJ176">
        <v>26</v>
      </c>
      <c r="AK176">
        <v>44</v>
      </c>
      <c r="AL176">
        <v>35</v>
      </c>
      <c r="AM176">
        <v>44</v>
      </c>
      <c r="AN176" s="23">
        <v>0</v>
      </c>
      <c r="AO176" s="23">
        <v>0.0681818181818182</v>
      </c>
      <c r="AP176" s="23">
        <v>0.114285714285714</v>
      </c>
      <c r="AQ176" s="23">
        <v>0.113636363636364</v>
      </c>
      <c r="AR176" s="35">
        <v>0</v>
      </c>
      <c r="AS176" s="35">
        <v>0</v>
      </c>
      <c r="AT176" s="35">
        <v>17</v>
      </c>
      <c r="AU176" s="31" t="str">
        <f t="shared" si="6"/>
        <v>库存为17</v>
      </c>
      <c r="AV176" s="36" t="str">
        <f>IFERROR(时间!$B$4+AU176,"上周无销量")</f>
        <v>上周无销量</v>
      </c>
    </row>
    <row r="177" spans="1:48">
      <c r="A177" s="21" t="s">
        <v>625</v>
      </c>
      <c r="B177" t="s">
        <v>608</v>
      </c>
      <c r="C177" t="s">
        <v>626</v>
      </c>
      <c r="D177" s="31">
        <v>5</v>
      </c>
      <c r="E177" s="31">
        <v>0</v>
      </c>
      <c r="F177" s="31">
        <v>0</v>
      </c>
      <c r="G177" s="31">
        <v>0</v>
      </c>
      <c r="H177" s="32">
        <v>21.99</v>
      </c>
      <c r="I177">
        <v>15</v>
      </c>
      <c r="J177" s="33">
        <v>5</v>
      </c>
      <c r="K177" s="33">
        <v>0</v>
      </c>
      <c r="L177" s="33">
        <v>0</v>
      </c>
      <c r="M177">
        <v>20</v>
      </c>
      <c r="N177">
        <v>0</v>
      </c>
      <c r="O177">
        <v>0</v>
      </c>
      <c r="P177" t="s">
        <v>57</v>
      </c>
      <c r="Q177" t="s">
        <v>57</v>
      </c>
      <c r="R177" t="s">
        <v>57</v>
      </c>
      <c r="S177" t="s">
        <v>57</v>
      </c>
      <c r="T177" t="s">
        <v>57</v>
      </c>
      <c r="U177" t="s">
        <v>57</v>
      </c>
      <c r="V177" t="s">
        <v>57</v>
      </c>
      <c r="W177" t="s">
        <v>57</v>
      </c>
      <c r="X177" s="23" t="s">
        <v>57</v>
      </c>
      <c r="Y177" s="23" t="s">
        <v>57</v>
      </c>
      <c r="Z177" s="23" t="s">
        <v>57</v>
      </c>
      <c r="AA177" s="23" t="s">
        <v>57</v>
      </c>
      <c r="AB177" t="s">
        <v>57</v>
      </c>
      <c r="AC177" t="s">
        <v>57</v>
      </c>
      <c r="AD177" t="s">
        <v>57</v>
      </c>
      <c r="AE177" t="s">
        <v>57</v>
      </c>
      <c r="AF177" s="23" t="s">
        <v>57</v>
      </c>
      <c r="AG177" s="23" t="s">
        <v>57</v>
      </c>
      <c r="AH177" s="23" t="s">
        <v>57</v>
      </c>
      <c r="AI177" s="23" t="s">
        <v>57</v>
      </c>
      <c r="AJ177">
        <v>49</v>
      </c>
      <c r="AK177">
        <v>21</v>
      </c>
      <c r="AL177">
        <v>36</v>
      </c>
      <c r="AM177">
        <v>98</v>
      </c>
      <c r="AN177" s="23">
        <v>0.102040816326531</v>
      </c>
      <c r="AO177" s="23">
        <v>0</v>
      </c>
      <c r="AP177" s="23">
        <v>0</v>
      </c>
      <c r="AQ177" s="23">
        <v>0</v>
      </c>
      <c r="AR177" s="35">
        <v>0.714285714285714</v>
      </c>
      <c r="AS177" s="35">
        <v>42.8571428571429</v>
      </c>
      <c r="AT177" s="35">
        <v>-22.8571428571429</v>
      </c>
      <c r="AU177" s="31">
        <f t="shared" si="6"/>
        <v>28</v>
      </c>
      <c r="AV177" s="36">
        <f>IFERROR(时间!$B$4+AU177,"上周无销量")</f>
        <v>43353</v>
      </c>
    </row>
    <row r="178" spans="1:48">
      <c r="A178" s="21" t="s">
        <v>627</v>
      </c>
      <c r="B178" t="s">
        <v>628</v>
      </c>
      <c r="C178" t="s">
        <v>626</v>
      </c>
      <c r="D178" s="31">
        <v>1</v>
      </c>
      <c r="E178" s="31">
        <v>2</v>
      </c>
      <c r="F178" s="31">
        <v>2</v>
      </c>
      <c r="G178" s="31">
        <v>1</v>
      </c>
      <c r="H178" s="32">
        <v>21.99</v>
      </c>
      <c r="I178">
        <v>14</v>
      </c>
      <c r="J178" s="33">
        <v>5</v>
      </c>
      <c r="K178" s="33">
        <v>0</v>
      </c>
      <c r="L178" s="33">
        <v>0</v>
      </c>
      <c r="M178">
        <v>19</v>
      </c>
      <c r="N178">
        <v>0</v>
      </c>
      <c r="O178">
        <v>0</v>
      </c>
      <c r="P178" t="s">
        <v>57</v>
      </c>
      <c r="Q178" t="s">
        <v>57</v>
      </c>
      <c r="R178" t="s">
        <v>57</v>
      </c>
      <c r="S178" t="s">
        <v>57</v>
      </c>
      <c r="T178" t="s">
        <v>57</v>
      </c>
      <c r="U178" t="s">
        <v>57</v>
      </c>
      <c r="V178" t="s">
        <v>57</v>
      </c>
      <c r="W178" t="s">
        <v>57</v>
      </c>
      <c r="X178" s="23" t="s">
        <v>57</v>
      </c>
      <c r="Y178" s="23" t="s">
        <v>57</v>
      </c>
      <c r="Z178" s="23" t="s">
        <v>57</v>
      </c>
      <c r="AA178" s="23" t="s">
        <v>57</v>
      </c>
      <c r="AB178" t="s">
        <v>57</v>
      </c>
      <c r="AC178" t="s">
        <v>57</v>
      </c>
      <c r="AD178" t="s">
        <v>57</v>
      </c>
      <c r="AE178" t="s">
        <v>57</v>
      </c>
      <c r="AF178" s="23" t="s">
        <v>57</v>
      </c>
      <c r="AG178" s="23" t="s">
        <v>57</v>
      </c>
      <c r="AH178" s="23" t="s">
        <v>57</v>
      </c>
      <c r="AI178" s="23" t="s">
        <v>57</v>
      </c>
      <c r="AJ178">
        <v>36</v>
      </c>
      <c r="AK178">
        <v>39</v>
      </c>
      <c r="AL178">
        <v>52</v>
      </c>
      <c r="AM178">
        <v>37</v>
      </c>
      <c r="AN178" s="23">
        <v>0.0277777777777778</v>
      </c>
      <c r="AO178" s="23">
        <v>0.0512820512820513</v>
      </c>
      <c r="AP178" s="23">
        <v>0.0384615384615385</v>
      </c>
      <c r="AQ178" s="23">
        <v>0.027027027027027</v>
      </c>
      <c r="AR178" s="35">
        <v>0.142857142857143</v>
      </c>
      <c r="AS178" s="35">
        <v>8.57142857142857</v>
      </c>
      <c r="AT178" s="35">
        <v>10.4285714285714</v>
      </c>
      <c r="AU178" s="31">
        <f t="shared" si="6"/>
        <v>133</v>
      </c>
      <c r="AV178" s="36">
        <f>IFERROR(时间!$B$4+AU178,"上周无销量")</f>
        <v>43458</v>
      </c>
    </row>
    <row r="179" spans="1:48">
      <c r="A179" s="21" t="s">
        <v>629</v>
      </c>
      <c r="B179" t="s">
        <v>615</v>
      </c>
      <c r="C179" t="s">
        <v>630</v>
      </c>
      <c r="D179" s="31">
        <v>7</v>
      </c>
      <c r="E179" s="31">
        <v>9</v>
      </c>
      <c r="F179" s="31">
        <v>6</v>
      </c>
      <c r="G179" s="31">
        <v>6</v>
      </c>
      <c r="H179" s="32">
        <v>21.99</v>
      </c>
      <c r="I179">
        <v>24</v>
      </c>
      <c r="J179" s="33">
        <v>5</v>
      </c>
      <c r="K179" s="33">
        <v>0</v>
      </c>
      <c r="L179" s="33">
        <v>13</v>
      </c>
      <c r="M179">
        <v>42</v>
      </c>
      <c r="N179">
        <v>0</v>
      </c>
      <c r="O179">
        <v>0</v>
      </c>
      <c r="P179" t="s">
        <v>57</v>
      </c>
      <c r="Q179" t="s">
        <v>57</v>
      </c>
      <c r="R179" t="s">
        <v>57</v>
      </c>
      <c r="S179" t="s">
        <v>57</v>
      </c>
      <c r="T179" t="s">
        <v>57</v>
      </c>
      <c r="U179" t="s">
        <v>57</v>
      </c>
      <c r="V179" t="s">
        <v>57</v>
      </c>
      <c r="W179" t="s">
        <v>57</v>
      </c>
      <c r="X179" s="23" t="s">
        <v>57</v>
      </c>
      <c r="Y179" s="23" t="s">
        <v>57</v>
      </c>
      <c r="Z179" s="23" t="s">
        <v>57</v>
      </c>
      <c r="AA179" s="23" t="s">
        <v>57</v>
      </c>
      <c r="AB179" t="s">
        <v>57</v>
      </c>
      <c r="AC179" t="s">
        <v>57</v>
      </c>
      <c r="AD179" t="s">
        <v>57</v>
      </c>
      <c r="AE179" t="s">
        <v>57</v>
      </c>
      <c r="AF179" s="23" t="s">
        <v>57</v>
      </c>
      <c r="AG179" s="23" t="s">
        <v>57</v>
      </c>
      <c r="AH179" s="23" t="s">
        <v>57</v>
      </c>
      <c r="AI179" s="23" t="s">
        <v>57</v>
      </c>
      <c r="AJ179">
        <v>181</v>
      </c>
      <c r="AK179">
        <v>188</v>
      </c>
      <c r="AL179">
        <v>208</v>
      </c>
      <c r="AM179">
        <v>183</v>
      </c>
      <c r="AN179" s="23">
        <v>0.0386740331491713</v>
      </c>
      <c r="AO179" s="23">
        <v>0.0478723404255319</v>
      </c>
      <c r="AP179" s="23">
        <v>0.0288461538461538</v>
      </c>
      <c r="AQ179" s="23">
        <v>0.0327868852459016</v>
      </c>
      <c r="AR179" s="35">
        <v>1</v>
      </c>
      <c r="AS179" s="35">
        <v>60</v>
      </c>
      <c r="AT179" s="35">
        <v>-18</v>
      </c>
      <c r="AU179" s="31">
        <f t="shared" si="6"/>
        <v>42</v>
      </c>
      <c r="AV179" s="36">
        <f>IFERROR(时间!$B$4+AU179,"上周无销量")</f>
        <v>43367</v>
      </c>
    </row>
    <row r="180" spans="1:48">
      <c r="A180" s="21" t="s">
        <v>631</v>
      </c>
      <c r="B180" t="s">
        <v>632</v>
      </c>
      <c r="C180" t="s">
        <v>633</v>
      </c>
      <c r="D180" s="31">
        <v>0</v>
      </c>
      <c r="E180" s="31">
        <v>1</v>
      </c>
      <c r="F180" s="31">
        <v>0</v>
      </c>
      <c r="G180" s="31">
        <v>0</v>
      </c>
      <c r="H180" s="32">
        <v>21.99</v>
      </c>
      <c r="I180">
        <v>2</v>
      </c>
      <c r="J180" s="33">
        <v>0</v>
      </c>
      <c r="K180" s="33">
        <v>0</v>
      </c>
      <c r="L180" s="33">
        <v>0</v>
      </c>
      <c r="M180">
        <v>2</v>
      </c>
      <c r="N180">
        <v>0</v>
      </c>
      <c r="O180">
        <v>0</v>
      </c>
      <c r="P180" t="s">
        <v>57</v>
      </c>
      <c r="Q180" t="s">
        <v>57</v>
      </c>
      <c r="R180" t="s">
        <v>57</v>
      </c>
      <c r="S180" t="s">
        <v>57</v>
      </c>
      <c r="T180" t="s">
        <v>57</v>
      </c>
      <c r="U180" t="s">
        <v>57</v>
      </c>
      <c r="V180" t="s">
        <v>57</v>
      </c>
      <c r="W180" t="s">
        <v>57</v>
      </c>
      <c r="X180" s="23" t="s">
        <v>57</v>
      </c>
      <c r="Y180" s="23" t="s">
        <v>57</v>
      </c>
      <c r="Z180" s="23" t="s">
        <v>57</v>
      </c>
      <c r="AA180" s="23" t="s">
        <v>57</v>
      </c>
      <c r="AB180" t="s">
        <v>57</v>
      </c>
      <c r="AC180" t="s">
        <v>57</v>
      </c>
      <c r="AD180" t="s">
        <v>57</v>
      </c>
      <c r="AE180" t="s">
        <v>57</v>
      </c>
      <c r="AF180" s="23" t="s">
        <v>57</v>
      </c>
      <c r="AG180" s="23" t="s">
        <v>57</v>
      </c>
      <c r="AH180" s="23" t="s">
        <v>57</v>
      </c>
      <c r="AI180" s="23" t="s">
        <v>57</v>
      </c>
      <c r="AJ180">
        <v>18</v>
      </c>
      <c r="AK180">
        <v>3</v>
      </c>
      <c r="AL180">
        <v>3</v>
      </c>
      <c r="AM180">
        <v>0</v>
      </c>
      <c r="AN180" s="23">
        <v>0</v>
      </c>
      <c r="AO180" s="23">
        <v>0.333333333333333</v>
      </c>
      <c r="AP180" s="23">
        <v>0</v>
      </c>
      <c r="AQ180" s="23" t="s">
        <v>57</v>
      </c>
      <c r="AR180" s="35">
        <v>0</v>
      </c>
      <c r="AS180" s="35">
        <v>0</v>
      </c>
      <c r="AT180" s="35">
        <v>2</v>
      </c>
      <c r="AU180" s="31" t="str">
        <f t="shared" si="6"/>
        <v>库存为2</v>
      </c>
      <c r="AV180" s="36" t="str">
        <f>IFERROR(时间!$B$4+AU180,"上周无销量")</f>
        <v>上周无销量</v>
      </c>
    </row>
    <row r="181" spans="1:48">
      <c r="A181" s="21" t="s">
        <v>634</v>
      </c>
      <c r="B181" t="s">
        <v>635</v>
      </c>
      <c r="C181" t="s">
        <v>636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1</v>
      </c>
      <c r="J181" s="33">
        <v>2</v>
      </c>
      <c r="K181" s="33">
        <v>0</v>
      </c>
      <c r="L181" s="33">
        <v>0</v>
      </c>
      <c r="M181">
        <v>3</v>
      </c>
      <c r="N181">
        <v>0</v>
      </c>
      <c r="O181">
        <v>0</v>
      </c>
      <c r="P181" t="s">
        <v>57</v>
      </c>
      <c r="Q181" t="s">
        <v>57</v>
      </c>
      <c r="R181" t="s">
        <v>57</v>
      </c>
      <c r="S181" t="s">
        <v>57</v>
      </c>
      <c r="T181" t="s">
        <v>57</v>
      </c>
      <c r="U181" t="s">
        <v>57</v>
      </c>
      <c r="V181" t="s">
        <v>57</v>
      </c>
      <c r="W181" t="s">
        <v>57</v>
      </c>
      <c r="X181" s="23" t="s">
        <v>57</v>
      </c>
      <c r="Y181" s="23" t="s">
        <v>57</v>
      </c>
      <c r="Z181" s="23" t="s">
        <v>57</v>
      </c>
      <c r="AA181" s="23" t="s">
        <v>57</v>
      </c>
      <c r="AB181" t="s">
        <v>57</v>
      </c>
      <c r="AC181" t="s">
        <v>57</v>
      </c>
      <c r="AD181" t="s">
        <v>57</v>
      </c>
      <c r="AE181" t="s">
        <v>57</v>
      </c>
      <c r="AF181" s="23" t="s">
        <v>57</v>
      </c>
      <c r="AG181" s="23" t="s">
        <v>57</v>
      </c>
      <c r="AH181" s="23" t="s">
        <v>57</v>
      </c>
      <c r="AI181" s="23" t="s">
        <v>57</v>
      </c>
      <c r="AJ181">
        <v>11</v>
      </c>
      <c r="AK181">
        <v>5</v>
      </c>
      <c r="AL181">
        <v>3</v>
      </c>
      <c r="AM181">
        <v>0</v>
      </c>
      <c r="AN181" s="23">
        <v>0</v>
      </c>
      <c r="AO181" s="23">
        <v>0</v>
      </c>
      <c r="AP181" s="23">
        <v>0</v>
      </c>
      <c r="AQ181" s="23" t="s">
        <v>57</v>
      </c>
      <c r="AR181" s="35">
        <v>0</v>
      </c>
      <c r="AS181" s="35">
        <v>0</v>
      </c>
      <c r="AT181" s="35">
        <v>3</v>
      </c>
      <c r="AU181" s="31" t="str">
        <f t="shared" si="6"/>
        <v>库存为3</v>
      </c>
      <c r="AV181" s="36" t="str">
        <f>IFERROR(时间!$B$4+AU181,"上周无销量")</f>
        <v>上周无销量</v>
      </c>
    </row>
    <row r="182" spans="1:48">
      <c r="A182" s="21" t="s">
        <v>637</v>
      </c>
      <c r="B182" t="s">
        <v>638</v>
      </c>
      <c r="C182" t="s">
        <v>639</v>
      </c>
      <c r="D182" s="31">
        <v>2</v>
      </c>
      <c r="E182" s="31">
        <v>0</v>
      </c>
      <c r="F182" s="31">
        <v>0</v>
      </c>
      <c r="G182" s="31">
        <v>0</v>
      </c>
      <c r="H182" s="32">
        <v>23.99</v>
      </c>
      <c r="I182">
        <v>1</v>
      </c>
      <c r="J182" s="33">
        <v>0</v>
      </c>
      <c r="K182" s="33">
        <v>0</v>
      </c>
      <c r="L182" s="33">
        <v>0</v>
      </c>
      <c r="M182">
        <v>1</v>
      </c>
      <c r="N182">
        <v>0</v>
      </c>
      <c r="O182">
        <v>0</v>
      </c>
      <c r="P182" t="s">
        <v>57</v>
      </c>
      <c r="Q182" t="s">
        <v>57</v>
      </c>
      <c r="R182" t="s">
        <v>57</v>
      </c>
      <c r="S182" t="s">
        <v>57</v>
      </c>
      <c r="T182" t="s">
        <v>57</v>
      </c>
      <c r="U182" t="s">
        <v>57</v>
      </c>
      <c r="V182" t="s">
        <v>57</v>
      </c>
      <c r="W182" t="s">
        <v>57</v>
      </c>
      <c r="X182" s="23" t="s">
        <v>57</v>
      </c>
      <c r="Y182" s="23" t="s">
        <v>57</v>
      </c>
      <c r="Z182" s="23" t="s">
        <v>57</v>
      </c>
      <c r="AA182" s="23" t="s">
        <v>57</v>
      </c>
      <c r="AB182" t="s">
        <v>57</v>
      </c>
      <c r="AC182" t="s">
        <v>57</v>
      </c>
      <c r="AD182" t="s">
        <v>57</v>
      </c>
      <c r="AE182" t="s">
        <v>57</v>
      </c>
      <c r="AF182" s="23" t="s">
        <v>57</v>
      </c>
      <c r="AG182" s="23" t="s">
        <v>57</v>
      </c>
      <c r="AH182" s="23" t="s">
        <v>57</v>
      </c>
      <c r="AI182" s="23" t="s">
        <v>57</v>
      </c>
      <c r="AJ182">
        <v>26</v>
      </c>
      <c r="AK182">
        <v>2</v>
      </c>
      <c r="AL182">
        <v>3</v>
      </c>
      <c r="AM182">
        <v>0</v>
      </c>
      <c r="AN182" s="23">
        <v>0.0769230769230769</v>
      </c>
      <c r="AO182" s="23">
        <v>0</v>
      </c>
      <c r="AP182" s="23">
        <v>0</v>
      </c>
      <c r="AQ182" s="23" t="s">
        <v>57</v>
      </c>
      <c r="AR182" s="35">
        <v>0.285714285714286</v>
      </c>
      <c r="AS182" s="35">
        <v>17.1428571428571</v>
      </c>
      <c r="AT182" s="35">
        <v>-16.1428571428571</v>
      </c>
      <c r="AU182" s="31">
        <f t="shared" si="6"/>
        <v>3</v>
      </c>
      <c r="AV182" s="36">
        <f>IFERROR(时间!$B$4+AU182,"上周无销量")</f>
        <v>43328</v>
      </c>
    </row>
    <row r="183" spans="1:48">
      <c r="A183" s="21" t="s">
        <v>640</v>
      </c>
      <c r="B183" t="s">
        <v>641</v>
      </c>
      <c r="C183" t="s">
        <v>642</v>
      </c>
      <c r="D183" s="31">
        <v>0</v>
      </c>
      <c r="E183" s="31">
        <v>0</v>
      </c>
      <c r="F183" s="31">
        <v>0</v>
      </c>
      <c r="G183" s="31">
        <v>1</v>
      </c>
      <c r="H183" s="32">
        <v>21.99</v>
      </c>
      <c r="I183">
        <v>11</v>
      </c>
      <c r="J183" s="33">
        <v>0</v>
      </c>
      <c r="K183" s="33">
        <v>0</v>
      </c>
      <c r="L183" s="33">
        <v>0</v>
      </c>
      <c r="M183">
        <v>11</v>
      </c>
      <c r="N183">
        <v>0</v>
      </c>
      <c r="O183">
        <v>11</v>
      </c>
      <c r="P183" t="s">
        <v>57</v>
      </c>
      <c r="Q183" t="s">
        <v>57</v>
      </c>
      <c r="R183" t="s">
        <v>57</v>
      </c>
      <c r="S183" t="s">
        <v>57</v>
      </c>
      <c r="T183" t="s">
        <v>57</v>
      </c>
      <c r="U183" t="s">
        <v>57</v>
      </c>
      <c r="V183" t="s">
        <v>57</v>
      </c>
      <c r="W183" t="s">
        <v>57</v>
      </c>
      <c r="X183" s="23" t="s">
        <v>57</v>
      </c>
      <c r="Y183" s="23" t="s">
        <v>57</v>
      </c>
      <c r="Z183" s="23" t="s">
        <v>57</v>
      </c>
      <c r="AA183" s="23" t="s">
        <v>57</v>
      </c>
      <c r="AB183" t="s">
        <v>57</v>
      </c>
      <c r="AC183" t="s">
        <v>57</v>
      </c>
      <c r="AD183" t="s">
        <v>57</v>
      </c>
      <c r="AE183" t="s">
        <v>57</v>
      </c>
      <c r="AF183" s="23" t="s">
        <v>57</v>
      </c>
      <c r="AG183" s="23" t="s">
        <v>57</v>
      </c>
      <c r="AH183" s="23" t="s">
        <v>57</v>
      </c>
      <c r="AI183" s="23" t="s">
        <v>57</v>
      </c>
      <c r="AJ183">
        <v>15</v>
      </c>
      <c r="AK183">
        <v>16</v>
      </c>
      <c r="AL183">
        <v>14</v>
      </c>
      <c r="AM183">
        <v>8</v>
      </c>
      <c r="AN183" s="23">
        <v>0</v>
      </c>
      <c r="AO183" s="23">
        <v>0</v>
      </c>
      <c r="AP183" s="23">
        <v>0</v>
      </c>
      <c r="AQ183" s="23">
        <v>0.125</v>
      </c>
      <c r="AR183" s="35">
        <v>0</v>
      </c>
      <c r="AS183" s="35">
        <v>0</v>
      </c>
      <c r="AT183" s="35">
        <v>11</v>
      </c>
      <c r="AU183" s="31" t="str">
        <f t="shared" si="6"/>
        <v>库存为11</v>
      </c>
      <c r="AV183" s="36" t="str">
        <f>IFERROR(时间!$B$4+AU183,"上周无销量")</f>
        <v>上周无销量</v>
      </c>
    </row>
    <row r="184" spans="1:48">
      <c r="A184" s="21" t="s">
        <v>643</v>
      </c>
      <c r="B184" t="s">
        <v>644</v>
      </c>
      <c r="C184" t="s">
        <v>645</v>
      </c>
      <c r="D184" s="31">
        <v>1</v>
      </c>
      <c r="E184" s="31">
        <v>1</v>
      </c>
      <c r="F184" s="31">
        <v>2</v>
      </c>
      <c r="G184" s="31">
        <v>5</v>
      </c>
      <c r="H184" s="32">
        <v>21.99</v>
      </c>
      <c r="I184">
        <v>5</v>
      </c>
      <c r="J184" s="33">
        <v>8</v>
      </c>
      <c r="K184" s="33">
        <v>0</v>
      </c>
      <c r="L184" s="33">
        <v>0</v>
      </c>
      <c r="M184">
        <v>13</v>
      </c>
      <c r="N184">
        <v>0</v>
      </c>
      <c r="O184">
        <v>0</v>
      </c>
      <c r="P184" t="s">
        <v>57</v>
      </c>
      <c r="Q184" t="s">
        <v>57</v>
      </c>
      <c r="R184" t="s">
        <v>57</v>
      </c>
      <c r="S184" t="s">
        <v>57</v>
      </c>
      <c r="T184" t="s">
        <v>57</v>
      </c>
      <c r="U184" t="s">
        <v>57</v>
      </c>
      <c r="V184" t="s">
        <v>57</v>
      </c>
      <c r="W184" t="s">
        <v>57</v>
      </c>
      <c r="X184" s="23" t="s">
        <v>57</v>
      </c>
      <c r="Y184" s="23" t="s">
        <v>57</v>
      </c>
      <c r="Z184" s="23" t="s">
        <v>57</v>
      </c>
      <c r="AA184" s="23" t="s">
        <v>57</v>
      </c>
      <c r="AB184" t="s">
        <v>57</v>
      </c>
      <c r="AC184" t="s">
        <v>57</v>
      </c>
      <c r="AD184" t="s">
        <v>57</v>
      </c>
      <c r="AE184" t="s">
        <v>57</v>
      </c>
      <c r="AF184" s="23" t="s">
        <v>57</v>
      </c>
      <c r="AG184" s="23" t="s">
        <v>57</v>
      </c>
      <c r="AH184" s="23" t="s">
        <v>57</v>
      </c>
      <c r="AI184" s="23" t="s">
        <v>57</v>
      </c>
      <c r="AJ184">
        <v>11</v>
      </c>
      <c r="AK184">
        <v>11</v>
      </c>
      <c r="AL184">
        <v>18</v>
      </c>
      <c r="AM184">
        <v>35</v>
      </c>
      <c r="AN184" s="23">
        <v>0.0909090909090909</v>
      </c>
      <c r="AO184" s="23">
        <v>0.0909090909090909</v>
      </c>
      <c r="AP184" s="23">
        <v>0.111111111111111</v>
      </c>
      <c r="AQ184" s="23">
        <v>0.142857142857143</v>
      </c>
      <c r="AR184" s="35">
        <v>0.142857142857143</v>
      </c>
      <c r="AS184" s="35">
        <v>8.57142857142857</v>
      </c>
      <c r="AT184" s="35">
        <v>4.42857142857143</v>
      </c>
      <c r="AU184" s="31">
        <f t="shared" si="6"/>
        <v>91</v>
      </c>
      <c r="AV184" s="36">
        <f>IFERROR(时间!$B$4+AU184,"上周无销量")</f>
        <v>43416</v>
      </c>
    </row>
    <row r="185" spans="1:48">
      <c r="A185" s="21" t="s">
        <v>646</v>
      </c>
      <c r="B185" t="s">
        <v>647</v>
      </c>
      <c r="C185" t="s">
        <v>648</v>
      </c>
      <c r="D185" s="31">
        <v>3</v>
      </c>
      <c r="E185" s="31">
        <v>1</v>
      </c>
      <c r="F185" s="31">
        <v>2</v>
      </c>
      <c r="G185" s="31">
        <v>2</v>
      </c>
      <c r="H185" s="32">
        <v>21.99</v>
      </c>
      <c r="I185">
        <v>5</v>
      </c>
      <c r="J185" s="33">
        <v>5</v>
      </c>
      <c r="K185" s="33">
        <v>0</v>
      </c>
      <c r="L185" s="33">
        <v>0</v>
      </c>
      <c r="M185">
        <v>10</v>
      </c>
      <c r="N185">
        <v>0</v>
      </c>
      <c r="O185">
        <v>0</v>
      </c>
      <c r="P185" t="s">
        <v>57</v>
      </c>
      <c r="Q185" t="s">
        <v>57</v>
      </c>
      <c r="R185" t="s">
        <v>57</v>
      </c>
      <c r="S185" t="s">
        <v>57</v>
      </c>
      <c r="T185" t="s">
        <v>57</v>
      </c>
      <c r="U185" t="s">
        <v>57</v>
      </c>
      <c r="V185" t="s">
        <v>57</v>
      </c>
      <c r="W185" t="s">
        <v>57</v>
      </c>
      <c r="X185" s="23" t="s">
        <v>57</v>
      </c>
      <c r="Y185" s="23" t="s">
        <v>57</v>
      </c>
      <c r="Z185" s="23" t="s">
        <v>57</v>
      </c>
      <c r="AA185" s="23" t="s">
        <v>57</v>
      </c>
      <c r="AB185" t="s">
        <v>57</v>
      </c>
      <c r="AC185" t="s">
        <v>57</v>
      </c>
      <c r="AD185" t="s">
        <v>57</v>
      </c>
      <c r="AE185" t="s">
        <v>57</v>
      </c>
      <c r="AF185" s="23" t="s">
        <v>57</v>
      </c>
      <c r="AG185" s="23" t="s">
        <v>57</v>
      </c>
      <c r="AH185" s="23" t="s">
        <v>57</v>
      </c>
      <c r="AI185" s="23" t="s">
        <v>57</v>
      </c>
      <c r="AJ185">
        <v>58</v>
      </c>
      <c r="AK185">
        <v>31</v>
      </c>
      <c r="AL185">
        <v>37</v>
      </c>
      <c r="AM185">
        <v>26</v>
      </c>
      <c r="AN185" s="23">
        <v>0.0517241379310345</v>
      </c>
      <c r="AO185" s="23">
        <v>0.032258064516129</v>
      </c>
      <c r="AP185" s="23">
        <v>0.0540540540540541</v>
      </c>
      <c r="AQ185" s="23">
        <v>0.0769230769230769</v>
      </c>
      <c r="AR185" s="35">
        <v>0.428571428571429</v>
      </c>
      <c r="AS185" s="35">
        <v>25.7142857142857</v>
      </c>
      <c r="AT185" s="35">
        <v>-15.7142857142857</v>
      </c>
      <c r="AU185" s="31">
        <f t="shared" si="6"/>
        <v>23</v>
      </c>
      <c r="AV185" s="36">
        <f>IFERROR(时间!$B$4+AU185,"上周无销量")</f>
        <v>43348</v>
      </c>
    </row>
    <row r="186" spans="1:48">
      <c r="A186" s="21" t="s">
        <v>649</v>
      </c>
      <c r="B186" t="s">
        <v>549</v>
      </c>
      <c r="C186" t="s">
        <v>650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57</v>
      </c>
      <c r="Q186" t="s">
        <v>57</v>
      </c>
      <c r="R186" t="s">
        <v>57</v>
      </c>
      <c r="S186" t="s">
        <v>57</v>
      </c>
      <c r="T186" t="s">
        <v>57</v>
      </c>
      <c r="U186" t="s">
        <v>57</v>
      </c>
      <c r="V186" t="s">
        <v>57</v>
      </c>
      <c r="W186" t="s">
        <v>57</v>
      </c>
      <c r="X186" s="23" t="s">
        <v>57</v>
      </c>
      <c r="Y186" s="23" t="s">
        <v>57</v>
      </c>
      <c r="Z186" s="23" t="s">
        <v>57</v>
      </c>
      <c r="AA186" s="23" t="s">
        <v>57</v>
      </c>
      <c r="AB186" t="s">
        <v>57</v>
      </c>
      <c r="AC186" t="s">
        <v>57</v>
      </c>
      <c r="AD186" t="s">
        <v>57</v>
      </c>
      <c r="AE186" t="s">
        <v>57</v>
      </c>
      <c r="AF186" s="23" t="s">
        <v>57</v>
      </c>
      <c r="AG186" s="23" t="s">
        <v>57</v>
      </c>
      <c r="AH186" s="23" t="s">
        <v>57</v>
      </c>
      <c r="AI186" s="23" t="s">
        <v>57</v>
      </c>
      <c r="AJ186">
        <v>223</v>
      </c>
      <c r="AK186">
        <v>252</v>
      </c>
      <c r="AL186">
        <v>331</v>
      </c>
      <c r="AM186">
        <v>394</v>
      </c>
      <c r="AN186" s="23">
        <v>0</v>
      </c>
      <c r="AO186" s="23">
        <v>0</v>
      </c>
      <c r="AP186" s="23">
        <v>0</v>
      </c>
      <c r="AQ186" s="23">
        <v>0</v>
      </c>
      <c r="AR186" s="35">
        <v>0</v>
      </c>
      <c r="AS186" s="35">
        <v>0</v>
      </c>
      <c r="AT186" s="35">
        <v>0</v>
      </c>
      <c r="AU186" s="31" t="str">
        <f t="shared" si="6"/>
        <v>库存为0</v>
      </c>
      <c r="AV186" s="36" t="str">
        <f>IFERROR(时间!$B$4+AU186,"上周无销量")</f>
        <v>上周无销量</v>
      </c>
    </row>
    <row r="187" spans="1:48">
      <c r="A187" s="21" t="s">
        <v>51</v>
      </c>
      <c r="B187" t="s">
        <v>52</v>
      </c>
      <c r="C187" t="s">
        <v>53</v>
      </c>
      <c r="D187" s="31">
        <v>15</v>
      </c>
      <c r="E187" s="31">
        <v>18</v>
      </c>
      <c r="F187" s="31">
        <v>22</v>
      </c>
      <c r="G187" s="31">
        <v>65</v>
      </c>
      <c r="H187" s="32">
        <v>91.9899999999998</v>
      </c>
      <c r="I187">
        <v>99</v>
      </c>
      <c r="J187" s="33">
        <v>5</v>
      </c>
      <c r="K187" s="33">
        <v>0</v>
      </c>
      <c r="L187" s="33">
        <v>0</v>
      </c>
      <c r="M187">
        <v>104</v>
      </c>
      <c r="N187">
        <v>7</v>
      </c>
      <c r="O187">
        <v>0</v>
      </c>
      <c r="P187">
        <v>681465</v>
      </c>
      <c r="Q187">
        <v>684003</v>
      </c>
      <c r="R187">
        <v>213484</v>
      </c>
      <c r="S187">
        <v>345667</v>
      </c>
      <c r="T187">
        <v>2828</v>
      </c>
      <c r="U187">
        <v>2840</v>
      </c>
      <c r="V187">
        <v>1072</v>
      </c>
      <c r="W187">
        <v>1086</v>
      </c>
      <c r="X187" s="23">
        <v>0.0041498829727132</v>
      </c>
      <c r="Y187" s="23">
        <v>0.0041520285729741</v>
      </c>
      <c r="Z187" s="23">
        <v>0.00502145359839613</v>
      </c>
      <c r="AA187" s="23">
        <v>0.003141752033026</v>
      </c>
      <c r="AB187">
        <v>608.44</v>
      </c>
      <c r="AC187">
        <v>611.61</v>
      </c>
      <c r="AD187">
        <v>203.94</v>
      </c>
      <c r="AE187">
        <v>252.45</v>
      </c>
      <c r="AF187" s="23">
        <v>0.440946479689822</v>
      </c>
      <c r="AG187" s="23">
        <v>0.36936985904265</v>
      </c>
      <c r="AH187" s="23">
        <v>0.100771823024242</v>
      </c>
      <c r="AI187" s="23">
        <v>0.042220308227483</v>
      </c>
      <c r="AJ187">
        <v>1221</v>
      </c>
      <c r="AK187">
        <v>1631</v>
      </c>
      <c r="AL187">
        <v>1067</v>
      </c>
      <c r="AM187">
        <v>2338</v>
      </c>
      <c r="AN187" s="23">
        <v>0.0122850122850123</v>
      </c>
      <c r="AO187" s="23">
        <v>0.0110361741263029</v>
      </c>
      <c r="AP187" s="23">
        <v>0.0206185567010309</v>
      </c>
      <c r="AQ187" s="23">
        <v>0.0278015397775877</v>
      </c>
      <c r="AR187" s="35">
        <v>2.14285714285714</v>
      </c>
      <c r="AS187" s="35">
        <v>128.571428571429</v>
      </c>
      <c r="AT187" s="35">
        <v>-24.5714285714286</v>
      </c>
      <c r="AU187" s="31">
        <f t="shared" si="6"/>
        <v>48</v>
      </c>
      <c r="AV187" s="36">
        <f>IFERROR(时间!$B$4+AU187,"上周无销量")</f>
        <v>43373</v>
      </c>
    </row>
    <row r="188" spans="1:48">
      <c r="A188" s="38" t="s">
        <v>651</v>
      </c>
      <c r="B188" t="s">
        <v>652</v>
      </c>
      <c r="C188" t="s">
        <v>653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>
        <v>1788</v>
      </c>
      <c r="Q188">
        <v>1851</v>
      </c>
      <c r="R188">
        <v>887</v>
      </c>
      <c r="S188">
        <v>0</v>
      </c>
      <c r="T188">
        <v>9</v>
      </c>
      <c r="U188">
        <v>9</v>
      </c>
      <c r="V188">
        <v>6</v>
      </c>
      <c r="W188">
        <v>0</v>
      </c>
      <c r="X188" s="23">
        <v>0.00503355704697987</v>
      </c>
      <c r="Y188" s="23">
        <v>0.00486223662884927</v>
      </c>
      <c r="Z188" s="23">
        <v>0.00676437429537768</v>
      </c>
      <c r="AA188" s="23" t="s">
        <v>57</v>
      </c>
      <c r="AB188">
        <v>3.12</v>
      </c>
      <c r="AC188">
        <v>3.12</v>
      </c>
      <c r="AD188">
        <v>2.11</v>
      </c>
      <c r="AE188">
        <v>0</v>
      </c>
      <c r="AF188" s="23" t="s">
        <v>654</v>
      </c>
      <c r="AG188" s="23" t="s">
        <v>654</v>
      </c>
      <c r="AH188" s="23" t="s">
        <v>655</v>
      </c>
      <c r="AI188" s="23" t="s">
        <v>57</v>
      </c>
      <c r="AJ188">
        <v>2</v>
      </c>
      <c r="AK188">
        <v>19</v>
      </c>
      <c r="AL188">
        <v>8</v>
      </c>
      <c r="AM188">
        <v>0</v>
      </c>
      <c r="AN188" s="23">
        <v>0</v>
      </c>
      <c r="AO188" s="23">
        <v>0</v>
      </c>
      <c r="AP188" s="23">
        <v>0</v>
      </c>
      <c r="AQ188" s="23" t="s">
        <v>57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38" t="s">
        <v>656</v>
      </c>
      <c r="B189" t="s">
        <v>657</v>
      </c>
      <c r="C189" t="s">
        <v>658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>
        <v>236</v>
      </c>
      <c r="Q189">
        <v>236</v>
      </c>
      <c r="R189">
        <v>0</v>
      </c>
      <c r="S189">
        <v>0</v>
      </c>
      <c r="T189">
        <v>3</v>
      </c>
      <c r="U189">
        <v>3</v>
      </c>
      <c r="V189">
        <v>0</v>
      </c>
      <c r="W189">
        <v>0</v>
      </c>
      <c r="X189" s="23">
        <v>0.0127118644067797</v>
      </c>
      <c r="Y189" s="23">
        <v>0.0127118644067797</v>
      </c>
      <c r="Z189" s="23" t="s">
        <v>57</v>
      </c>
      <c r="AA189" s="23" t="s">
        <v>57</v>
      </c>
      <c r="AB189">
        <v>0.6</v>
      </c>
      <c r="AC189">
        <v>0.6</v>
      </c>
      <c r="AD189">
        <v>0</v>
      </c>
      <c r="AE189">
        <v>0</v>
      </c>
      <c r="AF189" s="23" t="s">
        <v>659</v>
      </c>
      <c r="AG189" s="23" t="s">
        <v>659</v>
      </c>
      <c r="AH189" s="23" t="s">
        <v>57</v>
      </c>
      <c r="AI189" s="23" t="s">
        <v>57</v>
      </c>
      <c r="AJ189">
        <v>0</v>
      </c>
      <c r="AK189">
        <v>0</v>
      </c>
      <c r="AL189">
        <v>0</v>
      </c>
      <c r="AM189">
        <v>0</v>
      </c>
      <c r="AN189" s="23" t="s">
        <v>57</v>
      </c>
      <c r="AO189" s="23" t="s">
        <v>57</v>
      </c>
      <c r="AP189" s="23" t="s">
        <v>57</v>
      </c>
      <c r="AQ189" s="23" t="s">
        <v>57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39"/>
      <c r="D190" s="31"/>
      <c r="E190" s="31"/>
      <c r="F190" s="31"/>
      <c r="G190" s="31"/>
      <c r="H190" s="32"/>
      <c r="J190" s="33"/>
      <c r="K190" s="33"/>
      <c r="L190" s="33"/>
      <c r="X190" s="23"/>
      <c r="Y190" s="23"/>
      <c r="Z190" s="23"/>
      <c r="AA190" s="23"/>
      <c r="AF190" s="23"/>
      <c r="AG190" s="23"/>
      <c r="AH190" s="23"/>
      <c r="AI190" s="23"/>
      <c r="AN190" s="23"/>
      <c r="AO190" s="23"/>
      <c r="AP190" s="23"/>
      <c r="AQ190" s="23"/>
      <c r="AR190" s="35"/>
      <c r="AS190" s="35"/>
      <c r="AT190" s="35"/>
      <c r="AU190" s="31"/>
      <c r="AV190" s="36"/>
    </row>
    <row r="191" spans="1:48">
      <c r="A191" s="39"/>
      <c r="D191" s="31"/>
      <c r="E191" s="31"/>
      <c r="F191" s="31"/>
      <c r="G191" s="31"/>
      <c r="H191" s="32"/>
      <c r="J191" s="33"/>
      <c r="K191" s="33"/>
      <c r="L191" s="33"/>
      <c r="X191" s="23"/>
      <c r="Y191" s="23"/>
      <c r="Z191" s="23"/>
      <c r="AA191" s="23"/>
      <c r="AF191" s="23"/>
      <c r="AG191" s="23"/>
      <c r="AH191" s="23"/>
      <c r="AI191" s="23"/>
      <c r="AN191" s="23"/>
      <c r="AO191" s="23"/>
      <c r="AP191" s="23"/>
      <c r="AQ191" s="23"/>
      <c r="AR191" s="35"/>
      <c r="AS191" s="35"/>
      <c r="AT191" s="35"/>
      <c r="AU191" s="31"/>
      <c r="AV191" s="36"/>
    </row>
    <row r="192" spans="1:48">
      <c r="A192" s="39"/>
      <c r="D192" s="31"/>
      <c r="E192" s="31"/>
      <c r="F192" s="31"/>
      <c r="G192" s="31"/>
      <c r="H192" s="32"/>
      <c r="J192" s="33"/>
      <c r="K192" s="33"/>
      <c r="L192" s="33"/>
      <c r="X192" s="23"/>
      <c r="Y192" s="23"/>
      <c r="Z192" s="23"/>
      <c r="AA192" s="23"/>
      <c r="AF192" s="23"/>
      <c r="AG192" s="23"/>
      <c r="AH192" s="23"/>
      <c r="AI192" s="23"/>
      <c r="AN192" s="23"/>
      <c r="AO192" s="23"/>
      <c r="AP192" s="23"/>
      <c r="AQ192" s="23"/>
      <c r="AR192" s="35"/>
      <c r="AS192" s="35"/>
      <c r="AT192" s="35"/>
      <c r="AU192" s="31"/>
      <c r="AV192" s="36"/>
    </row>
    <row r="193" spans="1:48">
      <c r="A193" s="39"/>
      <c r="D193" s="31"/>
      <c r="E193" s="31"/>
      <c r="F193" s="31"/>
      <c r="G193" s="31"/>
      <c r="H193" s="32"/>
      <c r="J193" s="33"/>
      <c r="K193" s="33"/>
      <c r="L193" s="33"/>
      <c r="X193" s="23"/>
      <c r="Y193" s="23"/>
      <c r="Z193" s="23"/>
      <c r="AA193" s="23"/>
      <c r="AF193" s="23"/>
      <c r="AG193" s="23"/>
      <c r="AH193" s="23"/>
      <c r="AI193" s="23"/>
      <c r="AN193" s="23"/>
      <c r="AO193" s="23"/>
      <c r="AP193" s="23"/>
      <c r="AQ193" s="23"/>
      <c r="AR193" s="35"/>
      <c r="AS193" s="35"/>
      <c r="AT193" s="35"/>
      <c r="AU193" s="31"/>
      <c r="AV193" s="36"/>
    </row>
    <row r="194" spans="1:48">
      <c r="A194" s="39"/>
      <c r="D194" s="31"/>
      <c r="E194" s="31"/>
      <c r="F194" s="31"/>
      <c r="G194" s="31"/>
      <c r="H194" s="32"/>
      <c r="J194" s="33"/>
      <c r="K194" s="33"/>
      <c r="L194" s="33"/>
      <c r="X194" s="23"/>
      <c r="Y194" s="23"/>
      <c r="Z194" s="23"/>
      <c r="AA194" s="23"/>
      <c r="AF194" s="23"/>
      <c r="AG194" s="23"/>
      <c r="AH194" s="23"/>
      <c r="AI194" s="23"/>
      <c r="AN194" s="23"/>
      <c r="AO194" s="23"/>
      <c r="AP194" s="23"/>
      <c r="AQ194" s="23"/>
      <c r="AR194" s="35"/>
      <c r="AS194" s="35"/>
      <c r="AT194" s="35"/>
      <c r="AU194" s="31"/>
      <c r="AV194" s="36"/>
    </row>
    <row r="195" spans="1:48">
      <c r="A195" s="39"/>
      <c r="D195" s="31"/>
      <c r="E195" s="31"/>
      <c r="F195" s="31"/>
      <c r="G195" s="31"/>
      <c r="H195" s="32"/>
      <c r="J195" s="33"/>
      <c r="K195" s="33"/>
      <c r="L195" s="33"/>
      <c r="X195" s="23"/>
      <c r="Y195" s="23"/>
      <c r="Z195" s="23"/>
      <c r="AA195" s="23"/>
      <c r="AF195" s="23"/>
      <c r="AG195" s="23"/>
      <c r="AH195" s="23"/>
      <c r="AI195" s="23"/>
      <c r="AN195" s="23"/>
      <c r="AO195" s="23"/>
      <c r="AP195" s="23"/>
      <c r="AQ195" s="23"/>
      <c r="AR195" s="35"/>
      <c r="AS195" s="35"/>
      <c r="AT195" s="35"/>
      <c r="AU195" s="31"/>
      <c r="AV195" s="36"/>
    </row>
    <row r="196" spans="1:48">
      <c r="A196" s="39"/>
      <c r="D196" s="31"/>
      <c r="E196" s="31"/>
      <c r="F196" s="31"/>
      <c r="G196" s="31"/>
      <c r="H196" s="32"/>
      <c r="J196" s="33"/>
      <c r="K196" s="33"/>
      <c r="L196" s="33"/>
      <c r="X196" s="23"/>
      <c r="Y196" s="23"/>
      <c r="Z196" s="23"/>
      <c r="AA196" s="23"/>
      <c r="AF196" s="23"/>
      <c r="AG196" s="23"/>
      <c r="AH196" s="23"/>
      <c r="AI196" s="23"/>
      <c r="AN196" s="23"/>
      <c r="AO196" s="23"/>
      <c r="AP196" s="23"/>
      <c r="AQ196" s="23"/>
      <c r="AR196" s="35"/>
      <c r="AS196" s="35"/>
      <c r="AT196" s="35"/>
      <c r="AU196" s="31"/>
      <c r="AV196" s="36"/>
    </row>
    <row r="197" spans="1:48">
      <c r="A197" s="39"/>
      <c r="D197" s="31"/>
      <c r="E197" s="31"/>
      <c r="F197" s="31"/>
      <c r="G197" s="31"/>
      <c r="H197" s="32"/>
      <c r="J197" s="33"/>
      <c r="K197" s="33"/>
      <c r="L197" s="33"/>
      <c r="X197" s="23"/>
      <c r="Y197" s="23"/>
      <c r="Z197" s="23"/>
      <c r="AA197" s="23"/>
      <c r="AF197" s="23"/>
      <c r="AG197" s="23"/>
      <c r="AH197" s="23"/>
      <c r="AI197" s="23"/>
      <c r="AN197" s="23"/>
      <c r="AO197" s="23"/>
      <c r="AP197" s="23"/>
      <c r="AQ197" s="23"/>
      <c r="AR197" s="35"/>
      <c r="AS197" s="35"/>
      <c r="AT197" s="35"/>
      <c r="AU197" s="31"/>
      <c r="AV197" s="36"/>
    </row>
    <row r="198" spans="1:48">
      <c r="A198" s="39"/>
      <c r="D198" s="31"/>
      <c r="E198" s="31"/>
      <c r="F198" s="31"/>
      <c r="G198" s="31"/>
      <c r="H198" s="32"/>
      <c r="J198" s="33"/>
      <c r="K198" s="33"/>
      <c r="L198" s="33"/>
      <c r="X198" s="23"/>
      <c r="Y198" s="23"/>
      <c r="Z198" s="23"/>
      <c r="AA198" s="23"/>
      <c r="AF198" s="23"/>
      <c r="AG198" s="23"/>
      <c r="AH198" s="23"/>
      <c r="AI198" s="23"/>
      <c r="AN198" s="23"/>
      <c r="AO198" s="23"/>
      <c r="AP198" s="23"/>
      <c r="AQ198" s="23"/>
      <c r="AR198" s="35"/>
      <c r="AS198" s="35"/>
      <c r="AT198" s="35"/>
      <c r="AU198" s="31"/>
      <c r="AV198" s="36"/>
    </row>
    <row r="199" spans="1:48">
      <c r="A199" s="39"/>
      <c r="D199" s="31"/>
      <c r="E199" s="31"/>
      <c r="F199" s="31"/>
      <c r="G199" s="31"/>
      <c r="H199" s="32"/>
      <c r="J199" s="33"/>
      <c r="K199" s="33"/>
      <c r="L199" s="33"/>
      <c r="X199" s="23"/>
      <c r="Y199" s="23"/>
      <c r="Z199" s="23"/>
      <c r="AA199" s="23"/>
      <c r="AF199" s="23"/>
      <c r="AG199" s="23"/>
      <c r="AH199" s="23"/>
      <c r="AI199" s="23"/>
      <c r="AN199" s="23"/>
      <c r="AO199" s="23"/>
      <c r="AP199" s="23"/>
      <c r="AQ199" s="23"/>
      <c r="AR199" s="35"/>
      <c r="AS199" s="35"/>
      <c r="AT199" s="35"/>
      <c r="AU199" s="31"/>
      <c r="AV199" s="36"/>
    </row>
    <row r="200" spans="1:48">
      <c r="A200" s="39"/>
      <c r="D200" s="31"/>
      <c r="E200" s="31"/>
      <c r="F200" s="31"/>
      <c r="G200" s="31"/>
      <c r="H200" s="32"/>
      <c r="J200" s="33"/>
      <c r="K200" s="33"/>
      <c r="L200" s="33"/>
      <c r="X200" s="23"/>
      <c r="Y200" s="23"/>
      <c r="Z200" s="23"/>
      <c r="AA200" s="23"/>
      <c r="AF200" s="23"/>
      <c r="AG200" s="23"/>
      <c r="AH200" s="23"/>
      <c r="AI200" s="23"/>
      <c r="AN200" s="23"/>
      <c r="AO200" s="23"/>
      <c r="AP200" s="23"/>
      <c r="AQ200" s="23"/>
      <c r="AR200" s="35"/>
      <c r="AS200" s="35"/>
      <c r="AT200" s="35"/>
      <c r="AU200" s="31"/>
      <c r="AV200" s="36"/>
    </row>
    <row r="201" spans="1:48">
      <c r="A201" s="39"/>
      <c r="D201" s="31"/>
      <c r="E201" s="31"/>
      <c r="F201" s="31"/>
      <c r="G201" s="31"/>
      <c r="H201" s="32"/>
      <c r="J201" s="33"/>
      <c r="K201" s="33"/>
      <c r="L201" s="33"/>
      <c r="X201" s="23"/>
      <c r="Y201" s="23"/>
      <c r="Z201" s="23"/>
      <c r="AA201" s="23"/>
      <c r="AF201" s="23"/>
      <c r="AG201" s="23"/>
      <c r="AH201" s="23"/>
      <c r="AI201" s="23"/>
      <c r="AN201" s="23"/>
      <c r="AO201" s="23"/>
      <c r="AP201" s="23"/>
      <c r="AQ201" s="23"/>
      <c r="AR201" s="35"/>
      <c r="AS201" s="35"/>
      <c r="AT201" s="35"/>
      <c r="AU201" s="31"/>
      <c r="AV201" s="36"/>
    </row>
    <row r="202" spans="1:48">
      <c r="A202" s="39"/>
      <c r="D202" s="31"/>
      <c r="E202" s="31"/>
      <c r="F202" s="31"/>
      <c r="G202" s="31"/>
      <c r="H202" s="32"/>
      <c r="J202" s="33"/>
      <c r="K202" s="33"/>
      <c r="L202" s="33"/>
      <c r="X202" s="23"/>
      <c r="Y202" s="23"/>
      <c r="Z202" s="23"/>
      <c r="AA202" s="23"/>
      <c r="AF202" s="23"/>
      <c r="AG202" s="23"/>
      <c r="AH202" s="23"/>
      <c r="AI202" s="23"/>
      <c r="AN202" s="23"/>
      <c r="AO202" s="23"/>
      <c r="AP202" s="23"/>
      <c r="AQ202" s="23"/>
      <c r="AR202" s="35"/>
      <c r="AS202" s="35"/>
      <c r="AT202" s="35"/>
      <c r="AU202" s="31"/>
      <c r="AV202" s="36"/>
    </row>
    <row r="203" spans="1:48">
      <c r="A203" s="39"/>
      <c r="D203" s="31"/>
      <c r="E203" s="31"/>
      <c r="F203" s="31"/>
      <c r="G203" s="31"/>
      <c r="H203" s="32"/>
      <c r="J203" s="33"/>
      <c r="K203" s="33"/>
      <c r="L203" s="33"/>
      <c r="X203" s="23"/>
      <c r="Y203" s="23"/>
      <c r="Z203" s="23"/>
      <c r="AA203" s="23"/>
      <c r="AF203" s="23"/>
      <c r="AG203" s="23"/>
      <c r="AH203" s="23"/>
      <c r="AI203" s="23"/>
      <c r="AN203" s="23"/>
      <c r="AO203" s="23"/>
      <c r="AP203" s="23"/>
      <c r="AQ203" s="23"/>
      <c r="AR203" s="35"/>
      <c r="AS203" s="35"/>
      <c r="AT203" s="35"/>
      <c r="AU203" s="31"/>
      <c r="AV203" s="36"/>
    </row>
    <row r="204" spans="1:48">
      <c r="A204" s="39"/>
      <c r="D204" s="31"/>
      <c r="E204" s="31"/>
      <c r="F204" s="31"/>
      <c r="G204" s="31"/>
      <c r="H204" s="32"/>
      <c r="J204" s="33"/>
      <c r="K204" s="33"/>
      <c r="L204" s="33"/>
      <c r="X204" s="23"/>
      <c r="Y204" s="23"/>
      <c r="Z204" s="23"/>
      <c r="AA204" s="23"/>
      <c r="AF204" s="23"/>
      <c r="AG204" s="23"/>
      <c r="AH204" s="23"/>
      <c r="AI204" s="23"/>
      <c r="AN204" s="23"/>
      <c r="AO204" s="23"/>
      <c r="AP204" s="23"/>
      <c r="AQ204" s="23"/>
      <c r="AR204" s="35"/>
      <c r="AS204" s="35"/>
      <c r="AT204" s="35"/>
      <c r="AU204" s="31"/>
      <c r="AV204" s="36"/>
    </row>
    <row r="205" spans="1:48">
      <c r="A205" s="39"/>
      <c r="D205" s="31"/>
      <c r="E205" s="31"/>
      <c r="F205" s="31"/>
      <c r="G205" s="31"/>
      <c r="H205" s="32"/>
      <c r="J205" s="33"/>
      <c r="K205" s="33"/>
      <c r="L205" s="33"/>
      <c r="X205" s="23"/>
      <c r="Y205" s="23"/>
      <c r="Z205" s="23"/>
      <c r="AA205" s="23"/>
      <c r="AF205" s="23"/>
      <c r="AG205" s="23"/>
      <c r="AH205" s="23"/>
      <c r="AI205" s="23"/>
      <c r="AN205" s="23"/>
      <c r="AO205" s="23"/>
      <c r="AP205" s="23"/>
      <c r="AQ205" s="23"/>
      <c r="AR205" s="35"/>
      <c r="AS205" s="35"/>
      <c r="AT205" s="35"/>
      <c r="AU205" s="31"/>
      <c r="AV205" s="36"/>
    </row>
    <row r="206" spans="1:48">
      <c r="A206" s="39"/>
      <c r="D206" s="31"/>
      <c r="E206" s="31"/>
      <c r="F206" s="31"/>
      <c r="G206" s="31"/>
      <c r="H206" s="32"/>
      <c r="J206" s="33"/>
      <c r="K206" s="33"/>
      <c r="L206" s="33"/>
      <c r="X206" s="23"/>
      <c r="Y206" s="23"/>
      <c r="Z206" s="23"/>
      <c r="AA206" s="23"/>
      <c r="AF206" s="23"/>
      <c r="AG206" s="23"/>
      <c r="AH206" s="23"/>
      <c r="AI206" s="23"/>
      <c r="AN206" s="23"/>
      <c r="AO206" s="23"/>
      <c r="AP206" s="23"/>
      <c r="AQ206" s="23"/>
      <c r="AR206" s="35"/>
      <c r="AS206" s="35"/>
      <c r="AT206" s="35"/>
      <c r="AU206" s="31"/>
      <c r="AV206" s="36"/>
    </row>
    <row r="207" spans="1:48">
      <c r="A207" s="39"/>
      <c r="D207" s="31"/>
      <c r="E207" s="31"/>
      <c r="F207" s="31"/>
      <c r="G207" s="31"/>
      <c r="H207" s="32"/>
      <c r="J207" s="33"/>
      <c r="K207" s="33"/>
      <c r="L207" s="33"/>
      <c r="X207" s="23"/>
      <c r="Y207" s="23"/>
      <c r="Z207" s="23"/>
      <c r="AA207" s="23"/>
      <c r="AF207" s="23"/>
      <c r="AG207" s="23"/>
      <c r="AH207" s="23"/>
      <c r="AI207" s="23"/>
      <c r="AN207" s="23"/>
      <c r="AO207" s="23"/>
      <c r="AP207" s="23"/>
      <c r="AQ207" s="23"/>
      <c r="AR207" s="35"/>
      <c r="AS207" s="35"/>
      <c r="AT207" s="35"/>
      <c r="AU207" s="31"/>
      <c r="AV207" s="36"/>
    </row>
    <row r="208" spans="1:48">
      <c r="A208" s="39"/>
      <c r="D208" s="31"/>
      <c r="E208" s="31"/>
      <c r="F208" s="31"/>
      <c r="G208" s="31"/>
      <c r="H208" s="32"/>
      <c r="J208" s="33"/>
      <c r="K208" s="33"/>
      <c r="L208" s="33"/>
      <c r="X208" s="23"/>
      <c r="Y208" s="23"/>
      <c r="Z208" s="23"/>
      <c r="AA208" s="23"/>
      <c r="AF208" s="23"/>
      <c r="AG208" s="23"/>
      <c r="AH208" s="23"/>
      <c r="AI208" s="23"/>
      <c r="AN208" s="23"/>
      <c r="AO208" s="23"/>
      <c r="AP208" s="23"/>
      <c r="AQ208" s="23"/>
      <c r="AR208" s="35"/>
      <c r="AS208" s="35"/>
      <c r="AT208" s="35"/>
      <c r="AU208" s="31"/>
      <c r="AV208" s="36"/>
    </row>
    <row r="209" spans="1:48">
      <c r="A209" s="39"/>
      <c r="D209" s="31"/>
      <c r="E209" s="31"/>
      <c r="F209" s="31"/>
      <c r="G209" s="31"/>
      <c r="H209" s="32"/>
      <c r="J209" s="33"/>
      <c r="K209" s="33"/>
      <c r="L209" s="33"/>
      <c r="X209" s="23"/>
      <c r="Y209" s="23"/>
      <c r="Z209" s="23"/>
      <c r="AA209" s="23"/>
      <c r="AF209" s="23"/>
      <c r="AG209" s="23"/>
      <c r="AH209" s="23"/>
      <c r="AI209" s="23"/>
      <c r="AN209" s="23"/>
      <c r="AO209" s="23"/>
      <c r="AP209" s="23"/>
      <c r="AQ209" s="23"/>
      <c r="AR209" s="35"/>
      <c r="AS209" s="35"/>
      <c r="AT209" s="35"/>
      <c r="AU209" s="31"/>
      <c r="AV209" s="36"/>
    </row>
    <row r="210" spans="1:48">
      <c r="A210" s="39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39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39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39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39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39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39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39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39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39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39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39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39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39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39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39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39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39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39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39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39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39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39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39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39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39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39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39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39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39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39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39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39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39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39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39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39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39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39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39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39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39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39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39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39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39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39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39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39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39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39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39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39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39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39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39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39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39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39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39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39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39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39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39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39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39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39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39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39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39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39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39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39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39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39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39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39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39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39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39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39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39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39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39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39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39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39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39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39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39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39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39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39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39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39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39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39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39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39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39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39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39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39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39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39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39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39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39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39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39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39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39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39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39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39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39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39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39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39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39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39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39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39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39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39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39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39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39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39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39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39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39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39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39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39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39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39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39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39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39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39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39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39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39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39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39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39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39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39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39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39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39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39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39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39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39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39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39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39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39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39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39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39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39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39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39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39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39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39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39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39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39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39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39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39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39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39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39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39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39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39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39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39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39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39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39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39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39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39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39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39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39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39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39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39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39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39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39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39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39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39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39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39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39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39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39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39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39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39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39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39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39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39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39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39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39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39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39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39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39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39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39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39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39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39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39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39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39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39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39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39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39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39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39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39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39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39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39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39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39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39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39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39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39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39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39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39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39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39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39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39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39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39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39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39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39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39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39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39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39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39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39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39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39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39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39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39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39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39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39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39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39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39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39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39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39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39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8">
      <c r="A502" s="39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  <c r="AV502" s="36"/>
    </row>
    <row r="503" spans="1:48">
      <c r="A503" s="39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  <c r="AV503" s="36"/>
    </row>
    <row r="504" spans="1:48">
      <c r="A504" s="39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  <c r="AV504" s="36"/>
    </row>
    <row r="505" spans="1:48">
      <c r="A505" s="39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  <c r="AV505" s="36"/>
    </row>
    <row r="506" spans="1:48">
      <c r="A506" s="39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  <c r="AV506" s="36"/>
    </row>
    <row r="507" spans="1:47">
      <c r="A507" s="21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</row>
    <row r="508" spans="1:47">
      <c r="A508" s="21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</row>
    <row r="509" spans="1:47">
      <c r="A509" s="21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</row>
    <row r="510" spans="1:47">
      <c r="A510" s="21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</row>
    <row r="511" spans="1:47">
      <c r="A511" s="21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21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21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21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21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21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21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21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21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21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21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21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21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21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21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21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21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21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21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21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21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21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21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21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21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21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21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21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21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21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21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21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21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21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21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21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21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21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21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21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21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21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21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21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21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21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21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21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21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21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21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21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21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21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21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21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21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21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21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21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21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21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21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1:47">
      <c r="A574" s="21"/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1:47">
      <c r="A575" s="21"/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1:47">
      <c r="A576" s="21"/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1:47">
      <c r="A577" s="21"/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1:47">
      <c r="A578" s="21"/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4:47"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4:47"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4:47"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4:47"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4:47"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4:47"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4:47"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4:47"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4:47"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1:47">
      <c r="A819" s="39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1:47">
      <c r="A820" s="39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1:47">
      <c r="A821" s="39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1:47">
      <c r="A822" s="39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39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39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39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39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39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39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39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39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39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39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39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39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39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39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39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39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39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39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39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39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39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39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39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39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39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39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39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39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39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39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39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39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39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39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39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39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39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39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39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39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39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39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39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39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39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39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39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39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39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39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39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39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39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39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39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39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39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39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39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39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39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39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39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39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39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39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39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39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39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39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39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39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39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39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39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39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39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39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21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21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21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21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21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21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21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1:47">
      <c r="A908" s="21"/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1:47">
      <c r="A909" s="21"/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1:47">
      <c r="A910" s="21"/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1:47">
      <c r="A911" s="21"/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1:47">
      <c r="A912" s="21"/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4:47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4:47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4:47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4:47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4:47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4:47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4:47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4:47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4:47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1:47">
      <c r="A1280" s="40"/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1:47">
      <c r="A1281" s="40"/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1:47">
      <c r="A1282" s="40"/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1:47">
      <c r="A1283" s="40"/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0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0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0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0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40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40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40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40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40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21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  <row r="1294" spans="1:47">
      <c r="A1294" s="21"/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</row>
    <row r="1295" spans="1:47">
      <c r="A1295" s="21"/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</row>
    <row r="1296" spans="1:47">
      <c r="A1296" s="21"/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</row>
    <row r="1297" spans="1:47">
      <c r="A1297" s="21"/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</row>
    <row r="1298" spans="1:47">
      <c r="A1298" s="21"/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</row>
  </sheetData>
  <autoFilter ref="A4:BI18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5611" operator="lessThan">
      <formula>20</formula>
    </cfRule>
    <cfRule type="cellIs" dxfId="1" priority="5610" operator="greaterThan">
      <formula>120</formula>
    </cfRule>
    <cfRule type="containsText" dxfId="2" priority="5609" operator="between" text="库存为">
      <formula>NOT(ISERROR(SEARCH("库存为",AU2)))</formula>
    </cfRule>
  </conditionalFormatting>
  <conditionalFormatting sqref="AU6">
    <cfRule type="cellIs" dxfId="0" priority="552" operator="lessThan">
      <formula>20</formula>
    </cfRule>
    <cfRule type="cellIs" dxfId="1" priority="368" operator="greaterThan">
      <formula>120</formula>
    </cfRule>
    <cfRule type="containsText" dxfId="2" priority="184" operator="between" text="库存为">
      <formula>NOT(ISERROR(SEARCH("库存为",AU6)))</formula>
    </cfRule>
  </conditionalFormatting>
  <conditionalFormatting sqref="AU7">
    <cfRule type="cellIs" dxfId="0" priority="551" operator="lessThan">
      <formula>20</formula>
    </cfRule>
    <cfRule type="cellIs" dxfId="1" priority="367" operator="greaterThan">
      <formula>120</formula>
    </cfRule>
    <cfRule type="containsText" dxfId="2" priority="183" operator="between" text="库存为">
      <formula>NOT(ISERROR(SEARCH("库存为",AU7)))</formula>
    </cfRule>
  </conditionalFormatting>
  <conditionalFormatting sqref="AU8">
    <cfRule type="cellIs" dxfId="0" priority="550" operator="lessThan">
      <formula>20</formula>
    </cfRule>
    <cfRule type="cellIs" dxfId="1" priority="366" operator="greaterThan">
      <formula>120</formula>
    </cfRule>
    <cfRule type="containsText" dxfId="2" priority="182" operator="between" text="库存为">
      <formula>NOT(ISERROR(SEARCH("库存为",AU8)))</formula>
    </cfRule>
  </conditionalFormatting>
  <conditionalFormatting sqref="AU9">
    <cfRule type="cellIs" dxfId="0" priority="549" operator="lessThan">
      <formula>20</formula>
    </cfRule>
    <cfRule type="cellIs" dxfId="1" priority="365" operator="greaterThan">
      <formula>120</formula>
    </cfRule>
    <cfRule type="containsText" dxfId="2" priority="181" operator="between" text="库存为">
      <formula>NOT(ISERROR(SEARCH("库存为",AU9)))</formula>
    </cfRule>
  </conditionalFormatting>
  <conditionalFormatting sqref="AU10">
    <cfRule type="cellIs" dxfId="0" priority="548" operator="lessThan">
      <formula>20</formula>
    </cfRule>
    <cfRule type="cellIs" dxfId="1" priority="364" operator="greaterThan">
      <formula>120</formula>
    </cfRule>
    <cfRule type="containsText" dxfId="2" priority="180" operator="between" text="库存为">
      <formula>NOT(ISERROR(SEARCH("库存为",AU10)))</formula>
    </cfRule>
  </conditionalFormatting>
  <conditionalFormatting sqref="AU11">
    <cfRule type="cellIs" dxfId="0" priority="547" operator="lessThan">
      <formula>20</formula>
    </cfRule>
    <cfRule type="cellIs" dxfId="1" priority="363" operator="greaterThan">
      <formula>120</formula>
    </cfRule>
    <cfRule type="containsText" dxfId="2" priority="179" operator="between" text="库存为">
      <formula>NOT(ISERROR(SEARCH("库存为",AU11)))</formula>
    </cfRule>
  </conditionalFormatting>
  <conditionalFormatting sqref="AU12">
    <cfRule type="cellIs" dxfId="0" priority="546" operator="lessThan">
      <formula>20</formula>
    </cfRule>
    <cfRule type="cellIs" dxfId="1" priority="362" operator="greaterThan">
      <formula>120</formula>
    </cfRule>
    <cfRule type="containsText" dxfId="2" priority="178" operator="between" text="库存为">
      <formula>NOT(ISERROR(SEARCH("库存为",AU12)))</formula>
    </cfRule>
  </conditionalFormatting>
  <conditionalFormatting sqref="AU13">
    <cfRule type="cellIs" dxfId="0" priority="545" operator="lessThan">
      <formula>20</formula>
    </cfRule>
    <cfRule type="cellIs" dxfId="1" priority="361" operator="greaterThan">
      <formula>120</formula>
    </cfRule>
    <cfRule type="containsText" dxfId="2" priority="177" operator="between" text="库存为">
      <formula>NOT(ISERROR(SEARCH("库存为",AU13)))</formula>
    </cfRule>
  </conditionalFormatting>
  <conditionalFormatting sqref="AU14">
    <cfRule type="cellIs" dxfId="0" priority="544" operator="lessThan">
      <formula>20</formula>
    </cfRule>
    <cfRule type="cellIs" dxfId="1" priority="360" operator="greaterThan">
      <formula>120</formula>
    </cfRule>
    <cfRule type="containsText" dxfId="2" priority="176" operator="between" text="库存为">
      <formula>NOT(ISERROR(SEARCH("库存为",AU14)))</formula>
    </cfRule>
  </conditionalFormatting>
  <conditionalFormatting sqref="AU15">
    <cfRule type="cellIs" dxfId="0" priority="543" operator="lessThan">
      <formula>20</formula>
    </cfRule>
    <cfRule type="cellIs" dxfId="1" priority="359" operator="greaterThan">
      <formula>120</formula>
    </cfRule>
    <cfRule type="containsText" dxfId="2" priority="175" operator="between" text="库存为">
      <formula>NOT(ISERROR(SEARCH("库存为",AU15)))</formula>
    </cfRule>
  </conditionalFormatting>
  <conditionalFormatting sqref="AU16">
    <cfRule type="cellIs" dxfId="0" priority="542" operator="lessThan">
      <formula>20</formula>
    </cfRule>
    <cfRule type="cellIs" dxfId="1" priority="358" operator="greaterThan">
      <formula>120</formula>
    </cfRule>
    <cfRule type="containsText" dxfId="2" priority="174" operator="between" text="库存为">
      <formula>NOT(ISERROR(SEARCH("库存为",AU16)))</formula>
    </cfRule>
  </conditionalFormatting>
  <conditionalFormatting sqref="AU17">
    <cfRule type="cellIs" dxfId="0" priority="541" operator="lessThan">
      <formula>20</formula>
    </cfRule>
    <cfRule type="cellIs" dxfId="1" priority="357" operator="greaterThan">
      <formula>120</formula>
    </cfRule>
    <cfRule type="containsText" dxfId="2" priority="173" operator="between" text="库存为">
      <formula>NOT(ISERROR(SEARCH("库存为",AU17)))</formula>
    </cfRule>
  </conditionalFormatting>
  <conditionalFormatting sqref="AU18">
    <cfRule type="cellIs" dxfId="0" priority="540" operator="lessThan">
      <formula>20</formula>
    </cfRule>
    <cfRule type="cellIs" dxfId="1" priority="356" operator="greaterThan">
      <formula>120</formula>
    </cfRule>
    <cfRule type="containsText" dxfId="2" priority="172" operator="between" text="库存为">
      <formula>NOT(ISERROR(SEARCH("库存为",AU18)))</formula>
    </cfRule>
  </conditionalFormatting>
  <conditionalFormatting sqref="AU19">
    <cfRule type="cellIs" dxfId="0" priority="539" operator="lessThan">
      <formula>20</formula>
    </cfRule>
    <cfRule type="cellIs" dxfId="1" priority="355" operator="greaterThan">
      <formula>120</formula>
    </cfRule>
    <cfRule type="containsText" dxfId="2" priority="171" operator="between" text="库存为">
      <formula>NOT(ISERROR(SEARCH("库存为",AU19)))</formula>
    </cfRule>
  </conditionalFormatting>
  <conditionalFormatting sqref="AU20">
    <cfRule type="cellIs" dxfId="0" priority="538" operator="lessThan">
      <formula>20</formula>
    </cfRule>
    <cfRule type="cellIs" dxfId="1" priority="354" operator="greaterThan">
      <formula>120</formula>
    </cfRule>
    <cfRule type="containsText" dxfId="2" priority="170" operator="between" text="库存为">
      <formula>NOT(ISERROR(SEARCH("库存为",AU20)))</formula>
    </cfRule>
  </conditionalFormatting>
  <conditionalFormatting sqref="AU21">
    <cfRule type="cellIs" dxfId="0" priority="537" operator="lessThan">
      <formula>20</formula>
    </cfRule>
    <cfRule type="cellIs" dxfId="1" priority="353" operator="greaterThan">
      <formula>120</formula>
    </cfRule>
    <cfRule type="containsText" dxfId="2" priority="169" operator="between" text="库存为">
      <formula>NOT(ISERROR(SEARCH("库存为",AU21)))</formula>
    </cfRule>
  </conditionalFormatting>
  <conditionalFormatting sqref="AU22">
    <cfRule type="cellIs" dxfId="0" priority="536" operator="lessThan">
      <formula>20</formula>
    </cfRule>
    <cfRule type="cellIs" dxfId="1" priority="352" operator="greaterThan">
      <formula>120</formula>
    </cfRule>
    <cfRule type="containsText" dxfId="2" priority="168" operator="between" text="库存为">
      <formula>NOT(ISERROR(SEARCH("库存为",AU22)))</formula>
    </cfRule>
  </conditionalFormatting>
  <conditionalFormatting sqref="AU23">
    <cfRule type="cellIs" dxfId="0" priority="535" operator="lessThan">
      <formula>20</formula>
    </cfRule>
    <cfRule type="cellIs" dxfId="1" priority="351" operator="greaterThan">
      <formula>120</formula>
    </cfRule>
    <cfRule type="containsText" dxfId="2" priority="167" operator="between" text="库存为">
      <formula>NOT(ISERROR(SEARCH("库存为",AU23)))</formula>
    </cfRule>
  </conditionalFormatting>
  <conditionalFormatting sqref="AU24">
    <cfRule type="cellIs" dxfId="0" priority="534" operator="lessThan">
      <formula>20</formula>
    </cfRule>
    <cfRule type="cellIs" dxfId="1" priority="350" operator="greaterThan">
      <formula>120</formula>
    </cfRule>
    <cfRule type="containsText" dxfId="2" priority="166" operator="between" text="库存为">
      <formula>NOT(ISERROR(SEARCH("库存为",AU24)))</formula>
    </cfRule>
  </conditionalFormatting>
  <conditionalFormatting sqref="AU25">
    <cfRule type="cellIs" dxfId="0" priority="533" operator="lessThan">
      <formula>20</formula>
    </cfRule>
    <cfRule type="cellIs" dxfId="1" priority="349" operator="greaterThan">
      <formula>120</formula>
    </cfRule>
    <cfRule type="containsText" dxfId="2" priority="165" operator="between" text="库存为">
      <formula>NOT(ISERROR(SEARCH("库存为",AU25)))</formula>
    </cfRule>
  </conditionalFormatting>
  <conditionalFormatting sqref="AU26">
    <cfRule type="cellIs" dxfId="0" priority="532" operator="lessThan">
      <formula>20</formula>
    </cfRule>
    <cfRule type="cellIs" dxfId="1" priority="348" operator="greaterThan">
      <formula>120</formula>
    </cfRule>
    <cfRule type="containsText" dxfId="2" priority="164" operator="between" text="库存为">
      <formula>NOT(ISERROR(SEARCH("库存为",AU26)))</formula>
    </cfRule>
  </conditionalFormatting>
  <conditionalFormatting sqref="AU27">
    <cfRule type="cellIs" dxfId="0" priority="531" operator="lessThan">
      <formula>20</formula>
    </cfRule>
    <cfRule type="cellIs" dxfId="1" priority="347" operator="greaterThan">
      <formula>120</formula>
    </cfRule>
    <cfRule type="containsText" dxfId="2" priority="163" operator="between" text="库存为">
      <formula>NOT(ISERROR(SEARCH("库存为",AU27)))</formula>
    </cfRule>
  </conditionalFormatting>
  <conditionalFormatting sqref="AU28">
    <cfRule type="cellIs" dxfId="0" priority="530" operator="lessThan">
      <formula>20</formula>
    </cfRule>
    <cfRule type="cellIs" dxfId="1" priority="346" operator="greaterThan">
      <formula>120</formula>
    </cfRule>
    <cfRule type="containsText" dxfId="2" priority="162" operator="between" text="库存为">
      <formula>NOT(ISERROR(SEARCH("库存为",AU28)))</formula>
    </cfRule>
  </conditionalFormatting>
  <conditionalFormatting sqref="AU29">
    <cfRule type="cellIs" dxfId="0" priority="529" operator="lessThan">
      <formula>20</formula>
    </cfRule>
    <cfRule type="cellIs" dxfId="1" priority="345" operator="greaterThan">
      <formula>120</formula>
    </cfRule>
    <cfRule type="containsText" dxfId="2" priority="161" operator="between" text="库存为">
      <formula>NOT(ISERROR(SEARCH("库存为",AU29)))</formula>
    </cfRule>
  </conditionalFormatting>
  <conditionalFormatting sqref="AU30">
    <cfRule type="cellIs" dxfId="0" priority="528" operator="lessThan">
      <formula>20</formula>
    </cfRule>
    <cfRule type="cellIs" dxfId="1" priority="344" operator="greaterThan">
      <formula>120</formula>
    </cfRule>
    <cfRule type="containsText" dxfId="2" priority="160" operator="between" text="库存为">
      <formula>NOT(ISERROR(SEARCH("库存为",AU30)))</formula>
    </cfRule>
  </conditionalFormatting>
  <conditionalFormatting sqref="AU31">
    <cfRule type="cellIs" dxfId="0" priority="527" operator="lessThan">
      <formula>20</formula>
    </cfRule>
    <cfRule type="cellIs" dxfId="1" priority="343" operator="greaterThan">
      <formula>120</formula>
    </cfRule>
    <cfRule type="containsText" dxfId="2" priority="159" operator="between" text="库存为">
      <formula>NOT(ISERROR(SEARCH("库存为",AU31)))</formula>
    </cfRule>
  </conditionalFormatting>
  <conditionalFormatting sqref="AU32">
    <cfRule type="cellIs" dxfId="0" priority="526" operator="lessThan">
      <formula>20</formula>
    </cfRule>
    <cfRule type="cellIs" dxfId="1" priority="342" operator="greaterThan">
      <formula>120</formula>
    </cfRule>
    <cfRule type="containsText" dxfId="2" priority="158" operator="between" text="库存为">
      <formula>NOT(ISERROR(SEARCH("库存为",AU32)))</formula>
    </cfRule>
  </conditionalFormatting>
  <conditionalFormatting sqref="AU33">
    <cfRule type="cellIs" dxfId="0" priority="525" operator="lessThan">
      <formula>20</formula>
    </cfRule>
    <cfRule type="cellIs" dxfId="1" priority="341" operator="greaterThan">
      <formula>120</formula>
    </cfRule>
    <cfRule type="containsText" dxfId="2" priority="157" operator="between" text="库存为">
      <formula>NOT(ISERROR(SEARCH("库存为",AU33)))</formula>
    </cfRule>
  </conditionalFormatting>
  <conditionalFormatting sqref="AU34">
    <cfRule type="cellIs" dxfId="0" priority="524" operator="lessThan">
      <formula>20</formula>
    </cfRule>
    <cfRule type="cellIs" dxfId="1" priority="340" operator="greaterThan">
      <formula>120</formula>
    </cfRule>
    <cfRule type="containsText" dxfId="2" priority="156" operator="between" text="库存为">
      <formula>NOT(ISERROR(SEARCH("库存为",AU34)))</formula>
    </cfRule>
  </conditionalFormatting>
  <conditionalFormatting sqref="AU35">
    <cfRule type="cellIs" dxfId="0" priority="523" operator="lessThan">
      <formula>20</formula>
    </cfRule>
    <cfRule type="cellIs" dxfId="1" priority="339" operator="greaterThan">
      <formula>120</formula>
    </cfRule>
    <cfRule type="containsText" dxfId="2" priority="155" operator="between" text="库存为">
      <formula>NOT(ISERROR(SEARCH("库存为",AU35)))</formula>
    </cfRule>
  </conditionalFormatting>
  <conditionalFormatting sqref="AU36">
    <cfRule type="cellIs" dxfId="0" priority="522" operator="lessThan">
      <formula>20</formula>
    </cfRule>
    <cfRule type="cellIs" dxfId="1" priority="338" operator="greaterThan">
      <formula>120</formula>
    </cfRule>
    <cfRule type="containsText" dxfId="2" priority="154" operator="between" text="库存为">
      <formula>NOT(ISERROR(SEARCH("库存为",AU36)))</formula>
    </cfRule>
  </conditionalFormatting>
  <conditionalFormatting sqref="AU37">
    <cfRule type="cellIs" dxfId="0" priority="521" operator="lessThan">
      <formula>20</formula>
    </cfRule>
    <cfRule type="cellIs" dxfId="1" priority="337" operator="greaterThan">
      <formula>120</formula>
    </cfRule>
    <cfRule type="containsText" dxfId="2" priority="153" operator="between" text="库存为">
      <formula>NOT(ISERROR(SEARCH("库存为",AU37)))</formula>
    </cfRule>
  </conditionalFormatting>
  <conditionalFormatting sqref="AU38">
    <cfRule type="cellIs" dxfId="0" priority="520" operator="lessThan">
      <formula>20</formula>
    </cfRule>
    <cfRule type="cellIs" dxfId="1" priority="336" operator="greaterThan">
      <formula>120</formula>
    </cfRule>
    <cfRule type="containsText" dxfId="2" priority="152" operator="between" text="库存为">
      <formula>NOT(ISERROR(SEARCH("库存为",AU38)))</formula>
    </cfRule>
  </conditionalFormatting>
  <conditionalFormatting sqref="AU39">
    <cfRule type="cellIs" dxfId="0" priority="519" operator="lessThan">
      <formula>20</formula>
    </cfRule>
    <cfRule type="cellIs" dxfId="1" priority="335" operator="greaterThan">
      <formula>120</formula>
    </cfRule>
    <cfRule type="containsText" dxfId="2" priority="151" operator="between" text="库存为">
      <formula>NOT(ISERROR(SEARCH("库存为",AU39)))</formula>
    </cfRule>
  </conditionalFormatting>
  <conditionalFormatting sqref="AU40">
    <cfRule type="cellIs" dxfId="0" priority="518" operator="lessThan">
      <formula>20</formula>
    </cfRule>
    <cfRule type="cellIs" dxfId="1" priority="334" operator="greaterThan">
      <formula>120</formula>
    </cfRule>
    <cfRule type="containsText" dxfId="2" priority="150" operator="between" text="库存为">
      <formula>NOT(ISERROR(SEARCH("库存为",AU40)))</formula>
    </cfRule>
  </conditionalFormatting>
  <conditionalFormatting sqref="AU41">
    <cfRule type="cellIs" dxfId="0" priority="517" operator="lessThan">
      <formula>20</formula>
    </cfRule>
    <cfRule type="cellIs" dxfId="1" priority="333" operator="greaterThan">
      <formula>120</formula>
    </cfRule>
    <cfRule type="containsText" dxfId="2" priority="149" operator="between" text="库存为">
      <formula>NOT(ISERROR(SEARCH("库存为",AU41)))</formula>
    </cfRule>
  </conditionalFormatting>
  <conditionalFormatting sqref="AU42">
    <cfRule type="cellIs" dxfId="0" priority="516" operator="lessThan">
      <formula>20</formula>
    </cfRule>
    <cfRule type="cellIs" dxfId="1" priority="332" operator="greaterThan">
      <formula>120</formula>
    </cfRule>
    <cfRule type="containsText" dxfId="2" priority="148" operator="between" text="库存为">
      <formula>NOT(ISERROR(SEARCH("库存为",AU42)))</formula>
    </cfRule>
  </conditionalFormatting>
  <conditionalFormatting sqref="AU43">
    <cfRule type="cellIs" dxfId="0" priority="515" operator="lessThan">
      <formula>20</formula>
    </cfRule>
    <cfRule type="cellIs" dxfId="1" priority="331" operator="greaterThan">
      <formula>120</formula>
    </cfRule>
    <cfRule type="containsText" dxfId="2" priority="147" operator="between" text="库存为">
      <formula>NOT(ISERROR(SEARCH("库存为",AU43)))</formula>
    </cfRule>
  </conditionalFormatting>
  <conditionalFormatting sqref="AU44">
    <cfRule type="cellIs" dxfId="0" priority="514" operator="lessThan">
      <formula>20</formula>
    </cfRule>
    <cfRule type="cellIs" dxfId="1" priority="330" operator="greaterThan">
      <formula>120</formula>
    </cfRule>
    <cfRule type="containsText" dxfId="2" priority="146" operator="between" text="库存为">
      <formula>NOT(ISERROR(SEARCH("库存为",AU44)))</formula>
    </cfRule>
  </conditionalFormatting>
  <conditionalFormatting sqref="AU45">
    <cfRule type="cellIs" dxfId="0" priority="513" operator="lessThan">
      <formula>20</formula>
    </cfRule>
    <cfRule type="cellIs" dxfId="1" priority="329" operator="greaterThan">
      <formula>120</formula>
    </cfRule>
    <cfRule type="containsText" dxfId="2" priority="145" operator="between" text="库存为">
      <formula>NOT(ISERROR(SEARCH("库存为",AU45)))</formula>
    </cfRule>
  </conditionalFormatting>
  <conditionalFormatting sqref="AU46">
    <cfRule type="cellIs" dxfId="0" priority="512" operator="lessThan">
      <formula>20</formula>
    </cfRule>
    <cfRule type="cellIs" dxfId="1" priority="328" operator="greaterThan">
      <formula>120</formula>
    </cfRule>
    <cfRule type="containsText" dxfId="2" priority="144" operator="between" text="库存为">
      <formula>NOT(ISERROR(SEARCH("库存为",AU46)))</formula>
    </cfRule>
  </conditionalFormatting>
  <conditionalFormatting sqref="AU47">
    <cfRule type="cellIs" dxfId="0" priority="511" operator="lessThan">
      <formula>20</formula>
    </cfRule>
    <cfRule type="cellIs" dxfId="1" priority="327" operator="greaterThan">
      <formula>120</formula>
    </cfRule>
    <cfRule type="containsText" dxfId="2" priority="143" operator="between" text="库存为">
      <formula>NOT(ISERROR(SEARCH("库存为",AU47)))</formula>
    </cfRule>
  </conditionalFormatting>
  <conditionalFormatting sqref="AU48">
    <cfRule type="cellIs" dxfId="0" priority="510" operator="lessThan">
      <formula>20</formula>
    </cfRule>
    <cfRule type="cellIs" dxfId="1" priority="326" operator="greaterThan">
      <formula>120</formula>
    </cfRule>
    <cfRule type="containsText" dxfId="2" priority="142" operator="between" text="库存为">
      <formula>NOT(ISERROR(SEARCH("库存为",AU48)))</formula>
    </cfRule>
  </conditionalFormatting>
  <conditionalFormatting sqref="AU49">
    <cfRule type="cellIs" dxfId="0" priority="509" operator="lessThan">
      <formula>20</formula>
    </cfRule>
    <cfRule type="cellIs" dxfId="1" priority="325" operator="greaterThan">
      <formula>120</formula>
    </cfRule>
    <cfRule type="containsText" dxfId="2" priority="141" operator="between" text="库存为">
      <formula>NOT(ISERROR(SEARCH("库存为",AU49)))</formula>
    </cfRule>
  </conditionalFormatting>
  <conditionalFormatting sqref="AU50">
    <cfRule type="cellIs" dxfId="0" priority="508" operator="lessThan">
      <formula>20</formula>
    </cfRule>
    <cfRule type="cellIs" dxfId="1" priority="324" operator="greaterThan">
      <formula>120</formula>
    </cfRule>
    <cfRule type="containsText" dxfId="2" priority="140" operator="between" text="库存为">
      <formula>NOT(ISERROR(SEARCH("库存为",AU50)))</formula>
    </cfRule>
  </conditionalFormatting>
  <conditionalFormatting sqref="AU51">
    <cfRule type="cellIs" dxfId="0" priority="507" operator="lessThan">
      <formula>20</formula>
    </cfRule>
    <cfRule type="cellIs" dxfId="1" priority="323" operator="greaterThan">
      <formula>120</formula>
    </cfRule>
    <cfRule type="containsText" dxfId="2" priority="139" operator="between" text="库存为">
      <formula>NOT(ISERROR(SEARCH("库存为",AU51)))</formula>
    </cfRule>
  </conditionalFormatting>
  <conditionalFormatting sqref="AU52">
    <cfRule type="cellIs" dxfId="0" priority="506" operator="lessThan">
      <formula>20</formula>
    </cfRule>
    <cfRule type="cellIs" dxfId="1" priority="322" operator="greaterThan">
      <formula>120</formula>
    </cfRule>
    <cfRule type="containsText" dxfId="2" priority="138" operator="between" text="库存为">
      <formula>NOT(ISERROR(SEARCH("库存为",AU52)))</formula>
    </cfRule>
  </conditionalFormatting>
  <conditionalFormatting sqref="AU53">
    <cfRule type="cellIs" dxfId="0" priority="505" operator="lessThan">
      <formula>20</formula>
    </cfRule>
    <cfRule type="cellIs" dxfId="1" priority="321" operator="greaterThan">
      <formula>120</formula>
    </cfRule>
    <cfRule type="containsText" dxfId="2" priority="137" operator="between" text="库存为">
      <formula>NOT(ISERROR(SEARCH("库存为",AU53)))</formula>
    </cfRule>
  </conditionalFormatting>
  <conditionalFormatting sqref="AU54">
    <cfRule type="cellIs" dxfId="0" priority="504" operator="lessThan">
      <formula>20</formula>
    </cfRule>
    <cfRule type="cellIs" dxfId="1" priority="320" operator="greaterThan">
      <formula>120</formula>
    </cfRule>
    <cfRule type="containsText" dxfId="2" priority="136" operator="between" text="库存为">
      <formula>NOT(ISERROR(SEARCH("库存为",AU54)))</formula>
    </cfRule>
  </conditionalFormatting>
  <conditionalFormatting sqref="AU55">
    <cfRule type="cellIs" dxfId="0" priority="503" operator="lessThan">
      <formula>20</formula>
    </cfRule>
    <cfRule type="cellIs" dxfId="1" priority="319" operator="greaterThan">
      <formula>120</formula>
    </cfRule>
    <cfRule type="containsText" dxfId="2" priority="135" operator="between" text="库存为">
      <formula>NOT(ISERROR(SEARCH("库存为",AU55)))</formula>
    </cfRule>
  </conditionalFormatting>
  <conditionalFormatting sqref="AU56">
    <cfRule type="cellIs" dxfId="0" priority="502" operator="lessThan">
      <formula>20</formula>
    </cfRule>
    <cfRule type="cellIs" dxfId="1" priority="318" operator="greaterThan">
      <formula>120</formula>
    </cfRule>
    <cfRule type="containsText" dxfId="2" priority="134" operator="between" text="库存为">
      <formula>NOT(ISERROR(SEARCH("库存为",AU56)))</formula>
    </cfRule>
  </conditionalFormatting>
  <conditionalFormatting sqref="AU57">
    <cfRule type="cellIs" dxfId="0" priority="501" operator="lessThan">
      <formula>20</formula>
    </cfRule>
    <cfRule type="cellIs" dxfId="1" priority="317" operator="greaterThan">
      <formula>120</formula>
    </cfRule>
    <cfRule type="containsText" dxfId="2" priority="133" operator="between" text="库存为">
      <formula>NOT(ISERROR(SEARCH("库存为",AU57)))</formula>
    </cfRule>
  </conditionalFormatting>
  <conditionalFormatting sqref="AU58">
    <cfRule type="cellIs" dxfId="0" priority="500" operator="lessThan">
      <formula>20</formula>
    </cfRule>
    <cfRule type="cellIs" dxfId="1" priority="316" operator="greaterThan">
      <formula>120</formula>
    </cfRule>
    <cfRule type="containsText" dxfId="2" priority="132" operator="between" text="库存为">
      <formula>NOT(ISERROR(SEARCH("库存为",AU58)))</formula>
    </cfRule>
  </conditionalFormatting>
  <conditionalFormatting sqref="AU59">
    <cfRule type="cellIs" dxfId="0" priority="499" operator="lessThan">
      <formula>20</formula>
    </cfRule>
    <cfRule type="cellIs" dxfId="1" priority="315" operator="greaterThan">
      <formula>120</formula>
    </cfRule>
    <cfRule type="containsText" dxfId="2" priority="131" operator="between" text="库存为">
      <formula>NOT(ISERROR(SEARCH("库存为",AU59)))</formula>
    </cfRule>
  </conditionalFormatting>
  <conditionalFormatting sqref="AU60">
    <cfRule type="cellIs" dxfId="0" priority="498" operator="lessThan">
      <formula>20</formula>
    </cfRule>
    <cfRule type="cellIs" dxfId="1" priority="314" operator="greaterThan">
      <formula>120</formula>
    </cfRule>
    <cfRule type="containsText" dxfId="2" priority="130" operator="between" text="库存为">
      <formula>NOT(ISERROR(SEARCH("库存为",AU60)))</formula>
    </cfRule>
  </conditionalFormatting>
  <conditionalFormatting sqref="AU61">
    <cfRule type="cellIs" dxfId="0" priority="497" operator="lessThan">
      <formula>20</formula>
    </cfRule>
    <cfRule type="cellIs" dxfId="1" priority="313" operator="greaterThan">
      <formula>120</formula>
    </cfRule>
    <cfRule type="containsText" dxfId="2" priority="129" operator="between" text="库存为">
      <formula>NOT(ISERROR(SEARCH("库存为",AU61)))</formula>
    </cfRule>
  </conditionalFormatting>
  <conditionalFormatting sqref="AU62">
    <cfRule type="cellIs" dxfId="0" priority="496" operator="lessThan">
      <formula>20</formula>
    </cfRule>
    <cfRule type="cellIs" dxfId="1" priority="312" operator="greaterThan">
      <formula>120</formula>
    </cfRule>
    <cfRule type="containsText" dxfId="2" priority="128" operator="between" text="库存为">
      <formula>NOT(ISERROR(SEARCH("库存为",AU62)))</formula>
    </cfRule>
  </conditionalFormatting>
  <conditionalFormatting sqref="AU63">
    <cfRule type="cellIs" dxfId="0" priority="495" operator="lessThan">
      <formula>20</formula>
    </cfRule>
    <cfRule type="cellIs" dxfId="1" priority="311" operator="greaterThan">
      <formula>120</formula>
    </cfRule>
    <cfRule type="containsText" dxfId="2" priority="127" operator="between" text="库存为">
      <formula>NOT(ISERROR(SEARCH("库存为",AU63)))</formula>
    </cfRule>
  </conditionalFormatting>
  <conditionalFormatting sqref="AU64">
    <cfRule type="cellIs" dxfId="0" priority="494" operator="lessThan">
      <formula>20</formula>
    </cfRule>
    <cfRule type="cellIs" dxfId="1" priority="310" operator="greaterThan">
      <formula>120</formula>
    </cfRule>
    <cfRule type="containsText" dxfId="2" priority="126" operator="between" text="库存为">
      <formula>NOT(ISERROR(SEARCH("库存为",AU64)))</formula>
    </cfRule>
  </conditionalFormatting>
  <conditionalFormatting sqref="AU65">
    <cfRule type="cellIs" dxfId="0" priority="493" operator="lessThan">
      <formula>20</formula>
    </cfRule>
    <cfRule type="cellIs" dxfId="1" priority="309" operator="greaterThan">
      <formula>120</formula>
    </cfRule>
    <cfRule type="containsText" dxfId="2" priority="125" operator="between" text="库存为">
      <formula>NOT(ISERROR(SEARCH("库存为",AU65)))</formula>
    </cfRule>
  </conditionalFormatting>
  <conditionalFormatting sqref="AU66">
    <cfRule type="cellIs" dxfId="0" priority="492" operator="lessThan">
      <formula>20</formula>
    </cfRule>
    <cfRule type="cellIs" dxfId="1" priority="308" operator="greaterThan">
      <formula>120</formula>
    </cfRule>
    <cfRule type="containsText" dxfId="2" priority="124" operator="between" text="库存为">
      <formula>NOT(ISERROR(SEARCH("库存为",AU66)))</formula>
    </cfRule>
  </conditionalFormatting>
  <conditionalFormatting sqref="AU67">
    <cfRule type="cellIs" dxfId="0" priority="491" operator="lessThan">
      <formula>20</formula>
    </cfRule>
    <cfRule type="cellIs" dxfId="1" priority="307" operator="greaterThan">
      <formula>120</formula>
    </cfRule>
    <cfRule type="containsText" dxfId="2" priority="123" operator="between" text="库存为">
      <formula>NOT(ISERROR(SEARCH("库存为",AU67)))</formula>
    </cfRule>
  </conditionalFormatting>
  <conditionalFormatting sqref="AU68">
    <cfRule type="cellIs" dxfId="0" priority="490" operator="lessThan">
      <formula>20</formula>
    </cfRule>
    <cfRule type="cellIs" dxfId="1" priority="306" operator="greaterThan">
      <formula>120</formula>
    </cfRule>
    <cfRule type="containsText" dxfId="2" priority="122" operator="between" text="库存为">
      <formula>NOT(ISERROR(SEARCH("库存为",AU68)))</formula>
    </cfRule>
  </conditionalFormatting>
  <conditionalFormatting sqref="AU69">
    <cfRule type="cellIs" dxfId="0" priority="489" operator="lessThan">
      <formula>20</formula>
    </cfRule>
    <cfRule type="cellIs" dxfId="1" priority="305" operator="greaterThan">
      <formula>120</formula>
    </cfRule>
    <cfRule type="containsText" dxfId="2" priority="121" operator="between" text="库存为">
      <formula>NOT(ISERROR(SEARCH("库存为",AU69)))</formula>
    </cfRule>
  </conditionalFormatting>
  <conditionalFormatting sqref="AU70">
    <cfRule type="cellIs" dxfId="0" priority="488" operator="lessThan">
      <formula>20</formula>
    </cfRule>
    <cfRule type="cellIs" dxfId="1" priority="304" operator="greaterThan">
      <formula>120</formula>
    </cfRule>
    <cfRule type="containsText" dxfId="2" priority="120" operator="between" text="库存为">
      <formula>NOT(ISERROR(SEARCH("库存为",AU70)))</formula>
    </cfRule>
  </conditionalFormatting>
  <conditionalFormatting sqref="AU71">
    <cfRule type="cellIs" dxfId="0" priority="487" operator="lessThan">
      <formula>20</formula>
    </cfRule>
    <cfRule type="cellIs" dxfId="1" priority="303" operator="greaterThan">
      <formula>120</formula>
    </cfRule>
    <cfRule type="containsText" dxfId="2" priority="119" operator="between" text="库存为">
      <formula>NOT(ISERROR(SEARCH("库存为",AU71)))</formula>
    </cfRule>
  </conditionalFormatting>
  <conditionalFormatting sqref="AU72">
    <cfRule type="cellIs" dxfId="0" priority="486" operator="lessThan">
      <formula>20</formula>
    </cfRule>
    <cfRule type="cellIs" dxfId="1" priority="302" operator="greaterThan">
      <formula>120</formula>
    </cfRule>
    <cfRule type="containsText" dxfId="2" priority="118" operator="between" text="库存为">
      <formula>NOT(ISERROR(SEARCH("库存为",AU72)))</formula>
    </cfRule>
  </conditionalFormatting>
  <conditionalFormatting sqref="AU73">
    <cfRule type="cellIs" dxfId="0" priority="485" operator="lessThan">
      <formula>20</formula>
    </cfRule>
    <cfRule type="cellIs" dxfId="1" priority="301" operator="greaterThan">
      <formula>120</formula>
    </cfRule>
    <cfRule type="containsText" dxfId="2" priority="117" operator="between" text="库存为">
      <formula>NOT(ISERROR(SEARCH("库存为",AU73)))</formula>
    </cfRule>
  </conditionalFormatting>
  <conditionalFormatting sqref="AU74">
    <cfRule type="cellIs" dxfId="0" priority="484" operator="lessThan">
      <formula>20</formula>
    </cfRule>
    <cfRule type="cellIs" dxfId="1" priority="300" operator="greaterThan">
      <formula>120</formula>
    </cfRule>
    <cfRule type="containsText" dxfId="2" priority="116" operator="between" text="库存为">
      <formula>NOT(ISERROR(SEARCH("库存为",AU74)))</formula>
    </cfRule>
  </conditionalFormatting>
  <conditionalFormatting sqref="AU75">
    <cfRule type="cellIs" dxfId="0" priority="483" operator="lessThan">
      <formula>20</formula>
    </cfRule>
    <cfRule type="cellIs" dxfId="1" priority="299" operator="greaterThan">
      <formula>120</formula>
    </cfRule>
    <cfRule type="containsText" dxfId="2" priority="115" operator="between" text="库存为">
      <formula>NOT(ISERROR(SEARCH("库存为",AU75)))</formula>
    </cfRule>
  </conditionalFormatting>
  <conditionalFormatting sqref="AU76">
    <cfRule type="cellIs" dxfId="0" priority="482" operator="lessThan">
      <formula>20</formula>
    </cfRule>
    <cfRule type="cellIs" dxfId="1" priority="298" operator="greaterThan">
      <formula>120</formula>
    </cfRule>
    <cfRule type="containsText" dxfId="2" priority="114" operator="between" text="库存为">
      <formula>NOT(ISERROR(SEARCH("库存为",AU76)))</formula>
    </cfRule>
  </conditionalFormatting>
  <conditionalFormatting sqref="AU77">
    <cfRule type="cellIs" dxfId="0" priority="481" operator="lessThan">
      <formula>20</formula>
    </cfRule>
    <cfRule type="cellIs" dxfId="1" priority="297" operator="greaterThan">
      <formula>120</formula>
    </cfRule>
    <cfRule type="containsText" dxfId="2" priority="113" operator="between" text="库存为">
      <formula>NOT(ISERROR(SEARCH("库存为",AU77)))</formula>
    </cfRule>
  </conditionalFormatting>
  <conditionalFormatting sqref="AU78">
    <cfRule type="cellIs" dxfId="0" priority="480" operator="lessThan">
      <formula>20</formula>
    </cfRule>
    <cfRule type="cellIs" dxfId="1" priority="296" operator="greaterThan">
      <formula>120</formula>
    </cfRule>
    <cfRule type="containsText" dxfId="2" priority="112" operator="between" text="库存为">
      <formula>NOT(ISERROR(SEARCH("库存为",AU78)))</formula>
    </cfRule>
  </conditionalFormatting>
  <conditionalFormatting sqref="AU79">
    <cfRule type="cellIs" dxfId="0" priority="479" operator="lessThan">
      <formula>20</formula>
    </cfRule>
    <cfRule type="cellIs" dxfId="1" priority="295" operator="greaterThan">
      <formula>120</formula>
    </cfRule>
    <cfRule type="containsText" dxfId="2" priority="111" operator="between" text="库存为">
      <formula>NOT(ISERROR(SEARCH("库存为",AU79)))</formula>
    </cfRule>
  </conditionalFormatting>
  <conditionalFormatting sqref="AU80">
    <cfRule type="cellIs" dxfId="0" priority="478" operator="lessThan">
      <formula>20</formula>
    </cfRule>
    <cfRule type="cellIs" dxfId="1" priority="294" operator="greaterThan">
      <formula>120</formula>
    </cfRule>
    <cfRule type="containsText" dxfId="2" priority="110" operator="between" text="库存为">
      <formula>NOT(ISERROR(SEARCH("库存为",AU80)))</formula>
    </cfRule>
  </conditionalFormatting>
  <conditionalFormatting sqref="AU81">
    <cfRule type="cellIs" dxfId="0" priority="477" operator="lessThan">
      <formula>20</formula>
    </cfRule>
    <cfRule type="cellIs" dxfId="1" priority="293" operator="greaterThan">
      <formula>120</formula>
    </cfRule>
    <cfRule type="containsText" dxfId="2" priority="109" operator="between" text="库存为">
      <formula>NOT(ISERROR(SEARCH("库存为",AU81)))</formula>
    </cfRule>
  </conditionalFormatting>
  <conditionalFormatting sqref="AU82">
    <cfRule type="cellIs" dxfId="0" priority="476" operator="lessThan">
      <formula>20</formula>
    </cfRule>
    <cfRule type="cellIs" dxfId="1" priority="292" operator="greaterThan">
      <formula>120</formula>
    </cfRule>
    <cfRule type="containsText" dxfId="2" priority="108" operator="between" text="库存为">
      <formula>NOT(ISERROR(SEARCH("库存为",AU82)))</formula>
    </cfRule>
  </conditionalFormatting>
  <conditionalFormatting sqref="AU83">
    <cfRule type="cellIs" dxfId="0" priority="475" operator="lessThan">
      <formula>20</formula>
    </cfRule>
    <cfRule type="cellIs" dxfId="1" priority="291" operator="greaterThan">
      <formula>120</formula>
    </cfRule>
    <cfRule type="containsText" dxfId="2" priority="107" operator="between" text="库存为">
      <formula>NOT(ISERROR(SEARCH("库存为",AU83)))</formula>
    </cfRule>
  </conditionalFormatting>
  <conditionalFormatting sqref="AU84">
    <cfRule type="cellIs" dxfId="0" priority="474" operator="lessThan">
      <formula>20</formula>
    </cfRule>
    <cfRule type="cellIs" dxfId="1" priority="290" operator="greaterThan">
      <formula>120</formula>
    </cfRule>
    <cfRule type="containsText" dxfId="2" priority="106" operator="between" text="库存为">
      <formula>NOT(ISERROR(SEARCH("库存为",AU84)))</formula>
    </cfRule>
  </conditionalFormatting>
  <conditionalFormatting sqref="AU85">
    <cfRule type="cellIs" dxfId="0" priority="473" operator="lessThan">
      <formula>20</formula>
    </cfRule>
    <cfRule type="cellIs" dxfId="1" priority="289" operator="greaterThan">
      <formula>120</formula>
    </cfRule>
    <cfRule type="containsText" dxfId="2" priority="105" operator="between" text="库存为">
      <formula>NOT(ISERROR(SEARCH("库存为",AU85)))</formula>
    </cfRule>
  </conditionalFormatting>
  <conditionalFormatting sqref="AU86">
    <cfRule type="cellIs" dxfId="0" priority="472" operator="lessThan">
      <formula>20</formula>
    </cfRule>
    <cfRule type="cellIs" dxfId="1" priority="288" operator="greaterThan">
      <formula>120</formula>
    </cfRule>
    <cfRule type="containsText" dxfId="2" priority="104" operator="between" text="库存为">
      <formula>NOT(ISERROR(SEARCH("库存为",AU86)))</formula>
    </cfRule>
  </conditionalFormatting>
  <conditionalFormatting sqref="AU87">
    <cfRule type="cellIs" dxfId="0" priority="471" operator="lessThan">
      <formula>20</formula>
    </cfRule>
    <cfRule type="cellIs" dxfId="1" priority="287" operator="greaterThan">
      <formula>120</formula>
    </cfRule>
    <cfRule type="containsText" dxfId="2" priority="103" operator="between" text="库存为">
      <formula>NOT(ISERROR(SEARCH("库存为",AU87)))</formula>
    </cfRule>
  </conditionalFormatting>
  <conditionalFormatting sqref="AU88">
    <cfRule type="cellIs" dxfId="0" priority="470" operator="lessThan">
      <formula>20</formula>
    </cfRule>
    <cfRule type="cellIs" dxfId="1" priority="286" operator="greaterThan">
      <formula>120</formula>
    </cfRule>
    <cfRule type="containsText" dxfId="2" priority="102" operator="between" text="库存为">
      <formula>NOT(ISERROR(SEARCH("库存为",AU88)))</formula>
    </cfRule>
  </conditionalFormatting>
  <conditionalFormatting sqref="AU89">
    <cfRule type="cellIs" dxfId="0" priority="469" operator="lessThan">
      <formula>20</formula>
    </cfRule>
    <cfRule type="cellIs" dxfId="1" priority="285" operator="greaterThan">
      <formula>120</formula>
    </cfRule>
    <cfRule type="containsText" dxfId="2" priority="101" operator="between" text="库存为">
      <formula>NOT(ISERROR(SEARCH("库存为",AU89)))</formula>
    </cfRule>
  </conditionalFormatting>
  <conditionalFormatting sqref="AU90">
    <cfRule type="cellIs" dxfId="0" priority="468" operator="lessThan">
      <formula>20</formula>
    </cfRule>
    <cfRule type="cellIs" dxfId="1" priority="284" operator="greaterThan">
      <formula>120</formula>
    </cfRule>
    <cfRule type="containsText" dxfId="2" priority="100" operator="between" text="库存为">
      <formula>NOT(ISERROR(SEARCH("库存为",AU90)))</formula>
    </cfRule>
  </conditionalFormatting>
  <conditionalFormatting sqref="AU91">
    <cfRule type="cellIs" dxfId="0" priority="467" operator="lessThan">
      <formula>20</formula>
    </cfRule>
    <cfRule type="cellIs" dxfId="1" priority="283" operator="greaterThan">
      <formula>120</formula>
    </cfRule>
    <cfRule type="containsText" dxfId="2" priority="99" operator="between" text="库存为">
      <formula>NOT(ISERROR(SEARCH("库存为",AU91)))</formula>
    </cfRule>
  </conditionalFormatting>
  <conditionalFormatting sqref="AU92">
    <cfRule type="cellIs" dxfId="0" priority="466" operator="lessThan">
      <formula>20</formula>
    </cfRule>
    <cfRule type="cellIs" dxfId="1" priority="282" operator="greaterThan">
      <formula>120</formula>
    </cfRule>
    <cfRule type="containsText" dxfId="2" priority="98" operator="between" text="库存为">
      <formula>NOT(ISERROR(SEARCH("库存为",AU92)))</formula>
    </cfRule>
  </conditionalFormatting>
  <conditionalFormatting sqref="AU93">
    <cfRule type="cellIs" dxfId="0" priority="465" operator="lessThan">
      <formula>20</formula>
    </cfRule>
    <cfRule type="cellIs" dxfId="1" priority="281" operator="greaterThan">
      <formula>120</formula>
    </cfRule>
    <cfRule type="containsText" dxfId="2" priority="97" operator="between" text="库存为">
      <formula>NOT(ISERROR(SEARCH("库存为",AU93)))</formula>
    </cfRule>
  </conditionalFormatting>
  <conditionalFormatting sqref="AU94">
    <cfRule type="cellIs" dxfId="0" priority="464" operator="lessThan">
      <formula>20</formula>
    </cfRule>
    <cfRule type="cellIs" dxfId="1" priority="280" operator="greaterThan">
      <formula>120</formula>
    </cfRule>
    <cfRule type="containsText" dxfId="2" priority="96" operator="between" text="库存为">
      <formula>NOT(ISERROR(SEARCH("库存为",AU94)))</formula>
    </cfRule>
  </conditionalFormatting>
  <conditionalFormatting sqref="AU95">
    <cfRule type="cellIs" dxfId="0" priority="463" operator="lessThan">
      <formula>20</formula>
    </cfRule>
    <cfRule type="cellIs" dxfId="1" priority="279" operator="greaterThan">
      <formula>120</formula>
    </cfRule>
    <cfRule type="containsText" dxfId="2" priority="95" operator="between" text="库存为">
      <formula>NOT(ISERROR(SEARCH("库存为",AU95)))</formula>
    </cfRule>
  </conditionalFormatting>
  <conditionalFormatting sqref="AU96">
    <cfRule type="cellIs" dxfId="0" priority="462" operator="lessThan">
      <formula>20</formula>
    </cfRule>
    <cfRule type="cellIs" dxfId="1" priority="278" operator="greaterThan">
      <formula>120</formula>
    </cfRule>
    <cfRule type="containsText" dxfId="2" priority="94" operator="between" text="库存为">
      <formula>NOT(ISERROR(SEARCH("库存为",AU96)))</formula>
    </cfRule>
  </conditionalFormatting>
  <conditionalFormatting sqref="AU97">
    <cfRule type="cellIs" dxfId="0" priority="461" operator="lessThan">
      <formula>20</formula>
    </cfRule>
    <cfRule type="cellIs" dxfId="1" priority="277" operator="greaterThan">
      <formula>120</formula>
    </cfRule>
    <cfRule type="containsText" dxfId="2" priority="93" operator="between" text="库存为">
      <formula>NOT(ISERROR(SEARCH("库存为",AU97)))</formula>
    </cfRule>
  </conditionalFormatting>
  <conditionalFormatting sqref="AU98">
    <cfRule type="cellIs" dxfId="0" priority="460" operator="lessThan">
      <formula>20</formula>
    </cfRule>
    <cfRule type="cellIs" dxfId="1" priority="276" operator="greaterThan">
      <formula>120</formula>
    </cfRule>
    <cfRule type="containsText" dxfId="2" priority="92" operator="between" text="库存为">
      <formula>NOT(ISERROR(SEARCH("库存为",AU98)))</formula>
    </cfRule>
  </conditionalFormatting>
  <conditionalFormatting sqref="AU99">
    <cfRule type="cellIs" dxfId="0" priority="459" operator="lessThan">
      <formula>20</formula>
    </cfRule>
    <cfRule type="cellIs" dxfId="1" priority="275" operator="greaterThan">
      <formula>120</formula>
    </cfRule>
    <cfRule type="containsText" dxfId="2" priority="91" operator="between" text="库存为">
      <formula>NOT(ISERROR(SEARCH("库存为",AU99)))</formula>
    </cfRule>
  </conditionalFormatting>
  <conditionalFormatting sqref="AU100">
    <cfRule type="cellIs" dxfId="0" priority="458" operator="lessThan">
      <formula>20</formula>
    </cfRule>
    <cfRule type="cellIs" dxfId="1" priority="274" operator="greaterThan">
      <formula>120</formula>
    </cfRule>
    <cfRule type="containsText" dxfId="2" priority="90" operator="between" text="库存为">
      <formula>NOT(ISERROR(SEARCH("库存为",AU100)))</formula>
    </cfRule>
  </conditionalFormatting>
  <conditionalFormatting sqref="AU101">
    <cfRule type="cellIs" dxfId="0" priority="457" operator="lessThan">
      <formula>20</formula>
    </cfRule>
    <cfRule type="cellIs" dxfId="1" priority="273" operator="greaterThan">
      <formula>120</formula>
    </cfRule>
    <cfRule type="containsText" dxfId="2" priority="89" operator="between" text="库存为">
      <formula>NOT(ISERROR(SEARCH("库存为",AU101)))</formula>
    </cfRule>
  </conditionalFormatting>
  <conditionalFormatting sqref="AU102">
    <cfRule type="cellIs" dxfId="0" priority="456" operator="lessThan">
      <formula>20</formula>
    </cfRule>
    <cfRule type="cellIs" dxfId="1" priority="272" operator="greaterThan">
      <formula>120</formula>
    </cfRule>
    <cfRule type="containsText" dxfId="2" priority="88" operator="between" text="库存为">
      <formula>NOT(ISERROR(SEARCH("库存为",AU102)))</formula>
    </cfRule>
  </conditionalFormatting>
  <conditionalFormatting sqref="AU103">
    <cfRule type="cellIs" dxfId="0" priority="455" operator="lessThan">
      <formula>20</formula>
    </cfRule>
    <cfRule type="cellIs" dxfId="1" priority="271" operator="greaterThan">
      <formula>120</formula>
    </cfRule>
    <cfRule type="containsText" dxfId="2" priority="87" operator="between" text="库存为">
      <formula>NOT(ISERROR(SEARCH("库存为",AU103)))</formula>
    </cfRule>
  </conditionalFormatting>
  <conditionalFormatting sqref="AU104">
    <cfRule type="cellIs" dxfId="0" priority="454" operator="lessThan">
      <formula>20</formula>
    </cfRule>
    <cfRule type="cellIs" dxfId="1" priority="270" operator="greaterThan">
      <formula>120</formula>
    </cfRule>
    <cfRule type="containsText" dxfId="2" priority="86" operator="between" text="库存为">
      <formula>NOT(ISERROR(SEARCH("库存为",AU104)))</formula>
    </cfRule>
  </conditionalFormatting>
  <conditionalFormatting sqref="AU105">
    <cfRule type="cellIs" dxfId="0" priority="453" operator="lessThan">
      <formula>20</formula>
    </cfRule>
    <cfRule type="cellIs" dxfId="1" priority="269" operator="greaterThan">
      <formula>120</formula>
    </cfRule>
    <cfRule type="containsText" dxfId="2" priority="85" operator="between" text="库存为">
      <formula>NOT(ISERROR(SEARCH("库存为",AU105)))</formula>
    </cfRule>
  </conditionalFormatting>
  <conditionalFormatting sqref="AU106">
    <cfRule type="cellIs" dxfId="0" priority="452" operator="lessThan">
      <formula>20</formula>
    </cfRule>
    <cfRule type="cellIs" dxfId="1" priority="268" operator="greaterThan">
      <formula>120</formula>
    </cfRule>
    <cfRule type="containsText" dxfId="2" priority="84" operator="between" text="库存为">
      <formula>NOT(ISERROR(SEARCH("库存为",AU106)))</formula>
    </cfRule>
  </conditionalFormatting>
  <conditionalFormatting sqref="AU107">
    <cfRule type="cellIs" dxfId="0" priority="451" operator="lessThan">
      <formula>20</formula>
    </cfRule>
    <cfRule type="cellIs" dxfId="1" priority="267" operator="greaterThan">
      <formula>120</formula>
    </cfRule>
    <cfRule type="containsText" dxfId="2" priority="83" operator="between" text="库存为">
      <formula>NOT(ISERROR(SEARCH("库存为",AU107)))</formula>
    </cfRule>
  </conditionalFormatting>
  <conditionalFormatting sqref="AU108">
    <cfRule type="cellIs" dxfId="0" priority="450" operator="lessThan">
      <formula>20</formula>
    </cfRule>
    <cfRule type="cellIs" dxfId="1" priority="266" operator="greaterThan">
      <formula>120</formula>
    </cfRule>
    <cfRule type="containsText" dxfId="2" priority="82" operator="between" text="库存为">
      <formula>NOT(ISERROR(SEARCH("库存为",AU108)))</formula>
    </cfRule>
  </conditionalFormatting>
  <conditionalFormatting sqref="AU109">
    <cfRule type="cellIs" dxfId="0" priority="449" operator="lessThan">
      <formula>20</formula>
    </cfRule>
    <cfRule type="cellIs" dxfId="1" priority="265" operator="greaterThan">
      <formula>120</formula>
    </cfRule>
    <cfRule type="containsText" dxfId="2" priority="81" operator="between" text="库存为">
      <formula>NOT(ISERROR(SEARCH("库存为",AU109)))</formula>
    </cfRule>
  </conditionalFormatting>
  <conditionalFormatting sqref="AU110">
    <cfRule type="cellIs" dxfId="0" priority="448" operator="lessThan">
      <formula>20</formula>
    </cfRule>
    <cfRule type="cellIs" dxfId="1" priority="264" operator="greaterThan">
      <formula>120</formula>
    </cfRule>
    <cfRule type="containsText" dxfId="2" priority="80" operator="between" text="库存为">
      <formula>NOT(ISERROR(SEARCH("库存为",AU110)))</formula>
    </cfRule>
  </conditionalFormatting>
  <conditionalFormatting sqref="AU111">
    <cfRule type="cellIs" dxfId="0" priority="447" operator="lessThan">
      <formula>20</formula>
    </cfRule>
    <cfRule type="cellIs" dxfId="1" priority="263" operator="greaterThan">
      <formula>120</formula>
    </cfRule>
    <cfRule type="containsText" dxfId="2" priority="79" operator="between" text="库存为">
      <formula>NOT(ISERROR(SEARCH("库存为",AU111)))</formula>
    </cfRule>
  </conditionalFormatting>
  <conditionalFormatting sqref="AU112">
    <cfRule type="cellIs" dxfId="0" priority="446" operator="lessThan">
      <formula>20</formula>
    </cfRule>
    <cfRule type="cellIs" dxfId="1" priority="262" operator="greaterThan">
      <formula>120</formula>
    </cfRule>
    <cfRule type="containsText" dxfId="2" priority="78" operator="between" text="库存为">
      <formula>NOT(ISERROR(SEARCH("库存为",AU112)))</formula>
    </cfRule>
  </conditionalFormatting>
  <conditionalFormatting sqref="AU113">
    <cfRule type="cellIs" dxfId="0" priority="445" operator="lessThan">
      <formula>20</formula>
    </cfRule>
    <cfRule type="cellIs" dxfId="1" priority="261" operator="greaterThan">
      <formula>120</formula>
    </cfRule>
    <cfRule type="containsText" dxfId="2" priority="77" operator="between" text="库存为">
      <formula>NOT(ISERROR(SEARCH("库存为",AU113)))</formula>
    </cfRule>
  </conditionalFormatting>
  <conditionalFormatting sqref="AU114">
    <cfRule type="cellIs" dxfId="0" priority="444" operator="lessThan">
      <formula>20</formula>
    </cfRule>
    <cfRule type="cellIs" dxfId="1" priority="260" operator="greaterThan">
      <formula>120</formula>
    </cfRule>
    <cfRule type="containsText" dxfId="2" priority="76" operator="between" text="库存为">
      <formula>NOT(ISERROR(SEARCH("库存为",AU114)))</formula>
    </cfRule>
  </conditionalFormatting>
  <conditionalFormatting sqref="AU115">
    <cfRule type="cellIs" dxfId="0" priority="443" operator="lessThan">
      <formula>20</formula>
    </cfRule>
    <cfRule type="cellIs" dxfId="1" priority="259" operator="greaterThan">
      <formula>120</formula>
    </cfRule>
    <cfRule type="containsText" dxfId="2" priority="75" operator="between" text="库存为">
      <formula>NOT(ISERROR(SEARCH("库存为",AU115)))</formula>
    </cfRule>
  </conditionalFormatting>
  <conditionalFormatting sqref="AU116">
    <cfRule type="cellIs" dxfId="0" priority="442" operator="lessThan">
      <formula>20</formula>
    </cfRule>
    <cfRule type="cellIs" dxfId="1" priority="258" operator="greaterThan">
      <formula>120</formula>
    </cfRule>
    <cfRule type="containsText" dxfId="2" priority="74" operator="between" text="库存为">
      <formula>NOT(ISERROR(SEARCH("库存为",AU116)))</formula>
    </cfRule>
  </conditionalFormatting>
  <conditionalFormatting sqref="AU117">
    <cfRule type="cellIs" dxfId="0" priority="441" operator="lessThan">
      <formula>20</formula>
    </cfRule>
    <cfRule type="cellIs" dxfId="1" priority="257" operator="greaterThan">
      <formula>120</formula>
    </cfRule>
    <cfRule type="containsText" dxfId="2" priority="73" operator="between" text="库存为">
      <formula>NOT(ISERROR(SEARCH("库存为",AU117)))</formula>
    </cfRule>
  </conditionalFormatting>
  <conditionalFormatting sqref="AU118">
    <cfRule type="cellIs" dxfId="0" priority="440" operator="lessThan">
      <formula>20</formula>
    </cfRule>
    <cfRule type="cellIs" dxfId="1" priority="256" operator="greaterThan">
      <formula>120</formula>
    </cfRule>
    <cfRule type="containsText" dxfId="2" priority="72" operator="between" text="库存为">
      <formula>NOT(ISERROR(SEARCH("库存为",AU118)))</formula>
    </cfRule>
  </conditionalFormatting>
  <conditionalFormatting sqref="AU119">
    <cfRule type="cellIs" dxfId="0" priority="439" operator="lessThan">
      <formula>20</formula>
    </cfRule>
    <cfRule type="cellIs" dxfId="1" priority="255" operator="greaterThan">
      <formula>120</formula>
    </cfRule>
    <cfRule type="containsText" dxfId="2" priority="71" operator="between" text="库存为">
      <formula>NOT(ISERROR(SEARCH("库存为",AU119)))</formula>
    </cfRule>
  </conditionalFormatting>
  <conditionalFormatting sqref="AU120">
    <cfRule type="cellIs" dxfId="0" priority="438" operator="lessThan">
      <formula>20</formula>
    </cfRule>
    <cfRule type="cellIs" dxfId="1" priority="254" operator="greaterThan">
      <formula>120</formula>
    </cfRule>
    <cfRule type="containsText" dxfId="2" priority="70" operator="between" text="库存为">
      <formula>NOT(ISERROR(SEARCH("库存为",AU120)))</formula>
    </cfRule>
  </conditionalFormatting>
  <conditionalFormatting sqref="AU121">
    <cfRule type="cellIs" dxfId="0" priority="437" operator="lessThan">
      <formula>20</formula>
    </cfRule>
    <cfRule type="cellIs" dxfId="1" priority="253" operator="greaterThan">
      <formula>120</formula>
    </cfRule>
    <cfRule type="containsText" dxfId="2" priority="69" operator="between" text="库存为">
      <formula>NOT(ISERROR(SEARCH("库存为",AU121)))</formula>
    </cfRule>
  </conditionalFormatting>
  <conditionalFormatting sqref="AU122">
    <cfRule type="cellIs" dxfId="0" priority="436" operator="lessThan">
      <formula>20</formula>
    </cfRule>
    <cfRule type="cellIs" dxfId="1" priority="252" operator="greaterThan">
      <formula>120</formula>
    </cfRule>
    <cfRule type="containsText" dxfId="2" priority="68" operator="between" text="库存为">
      <formula>NOT(ISERROR(SEARCH("库存为",AU122)))</formula>
    </cfRule>
  </conditionalFormatting>
  <conditionalFormatting sqref="AU123">
    <cfRule type="cellIs" dxfId="0" priority="435" operator="lessThan">
      <formula>20</formula>
    </cfRule>
    <cfRule type="cellIs" dxfId="1" priority="251" operator="greaterThan">
      <formula>120</formula>
    </cfRule>
    <cfRule type="containsText" dxfId="2" priority="67" operator="between" text="库存为">
      <formula>NOT(ISERROR(SEARCH("库存为",AU123)))</formula>
    </cfRule>
  </conditionalFormatting>
  <conditionalFormatting sqref="AU124">
    <cfRule type="cellIs" dxfId="0" priority="434" operator="lessThan">
      <formula>20</formula>
    </cfRule>
    <cfRule type="cellIs" dxfId="1" priority="250" operator="greaterThan">
      <formula>120</formula>
    </cfRule>
    <cfRule type="containsText" dxfId="2" priority="66" operator="between" text="库存为">
      <formula>NOT(ISERROR(SEARCH("库存为",AU124)))</formula>
    </cfRule>
  </conditionalFormatting>
  <conditionalFormatting sqref="AU125">
    <cfRule type="cellIs" dxfId="0" priority="433" operator="lessThan">
      <formula>20</formula>
    </cfRule>
    <cfRule type="cellIs" dxfId="1" priority="249" operator="greaterThan">
      <formula>120</formula>
    </cfRule>
    <cfRule type="containsText" dxfId="2" priority="65" operator="between" text="库存为">
      <formula>NOT(ISERROR(SEARCH("库存为",AU125)))</formula>
    </cfRule>
  </conditionalFormatting>
  <conditionalFormatting sqref="AU126">
    <cfRule type="cellIs" dxfId="0" priority="432" operator="lessThan">
      <formula>20</formula>
    </cfRule>
    <cfRule type="cellIs" dxfId="1" priority="248" operator="greaterThan">
      <formula>120</formula>
    </cfRule>
    <cfRule type="containsText" dxfId="2" priority="64" operator="between" text="库存为">
      <formula>NOT(ISERROR(SEARCH("库存为",AU126)))</formula>
    </cfRule>
  </conditionalFormatting>
  <conditionalFormatting sqref="AU127">
    <cfRule type="cellIs" dxfId="0" priority="431" operator="lessThan">
      <formula>20</formula>
    </cfRule>
    <cfRule type="cellIs" dxfId="1" priority="247" operator="greaterThan">
      <formula>120</formula>
    </cfRule>
    <cfRule type="containsText" dxfId="2" priority="63" operator="between" text="库存为">
      <formula>NOT(ISERROR(SEARCH("库存为",AU127)))</formula>
    </cfRule>
  </conditionalFormatting>
  <conditionalFormatting sqref="AU128">
    <cfRule type="cellIs" dxfId="0" priority="430" operator="lessThan">
      <formula>20</formula>
    </cfRule>
    <cfRule type="cellIs" dxfId="1" priority="246" operator="greaterThan">
      <formula>120</formula>
    </cfRule>
    <cfRule type="containsText" dxfId="2" priority="62" operator="between" text="库存为">
      <formula>NOT(ISERROR(SEARCH("库存为",AU128)))</formula>
    </cfRule>
  </conditionalFormatting>
  <conditionalFormatting sqref="AU129">
    <cfRule type="cellIs" dxfId="0" priority="429" operator="lessThan">
      <formula>20</formula>
    </cfRule>
    <cfRule type="cellIs" dxfId="1" priority="245" operator="greaterThan">
      <formula>120</formula>
    </cfRule>
    <cfRule type="containsText" dxfId="2" priority="61" operator="between" text="库存为">
      <formula>NOT(ISERROR(SEARCH("库存为",AU129)))</formula>
    </cfRule>
  </conditionalFormatting>
  <conditionalFormatting sqref="AU130">
    <cfRule type="cellIs" dxfId="0" priority="428" operator="lessThan">
      <formula>20</formula>
    </cfRule>
    <cfRule type="cellIs" dxfId="1" priority="244" operator="greaterThan">
      <formula>120</formula>
    </cfRule>
    <cfRule type="containsText" dxfId="2" priority="60" operator="between" text="库存为">
      <formula>NOT(ISERROR(SEARCH("库存为",AU130)))</formula>
    </cfRule>
  </conditionalFormatting>
  <conditionalFormatting sqref="AU131">
    <cfRule type="cellIs" dxfId="0" priority="427" operator="lessThan">
      <formula>20</formula>
    </cfRule>
    <cfRule type="cellIs" dxfId="1" priority="243" operator="greaterThan">
      <formula>120</formula>
    </cfRule>
    <cfRule type="containsText" dxfId="2" priority="59" operator="between" text="库存为">
      <formula>NOT(ISERROR(SEARCH("库存为",AU131)))</formula>
    </cfRule>
  </conditionalFormatting>
  <conditionalFormatting sqref="AU132">
    <cfRule type="cellIs" dxfId="0" priority="426" operator="lessThan">
      <formula>20</formula>
    </cfRule>
    <cfRule type="cellIs" dxfId="1" priority="242" operator="greaterThan">
      <formula>120</formula>
    </cfRule>
    <cfRule type="containsText" dxfId="2" priority="58" operator="between" text="库存为">
      <formula>NOT(ISERROR(SEARCH("库存为",AU132)))</formula>
    </cfRule>
  </conditionalFormatting>
  <conditionalFormatting sqref="AU133">
    <cfRule type="cellIs" dxfId="0" priority="425" operator="lessThan">
      <formula>20</formula>
    </cfRule>
    <cfRule type="cellIs" dxfId="1" priority="241" operator="greaterThan">
      <formula>120</formula>
    </cfRule>
    <cfRule type="containsText" dxfId="2" priority="57" operator="between" text="库存为">
      <formula>NOT(ISERROR(SEARCH("库存为",AU133)))</formula>
    </cfRule>
  </conditionalFormatting>
  <conditionalFormatting sqref="AU134">
    <cfRule type="cellIs" dxfId="0" priority="424" operator="lessThan">
      <formula>20</formula>
    </cfRule>
    <cfRule type="cellIs" dxfId="1" priority="240" operator="greaterThan">
      <formula>120</formula>
    </cfRule>
    <cfRule type="containsText" dxfId="2" priority="56" operator="between" text="库存为">
      <formula>NOT(ISERROR(SEARCH("库存为",AU134)))</formula>
    </cfRule>
  </conditionalFormatting>
  <conditionalFormatting sqref="AU135">
    <cfRule type="cellIs" dxfId="0" priority="423" operator="lessThan">
      <formula>20</formula>
    </cfRule>
    <cfRule type="cellIs" dxfId="1" priority="239" operator="greaterThan">
      <formula>120</formula>
    </cfRule>
    <cfRule type="containsText" dxfId="2" priority="55" operator="between" text="库存为">
      <formula>NOT(ISERROR(SEARCH("库存为",AU135)))</formula>
    </cfRule>
  </conditionalFormatting>
  <conditionalFormatting sqref="AU136">
    <cfRule type="cellIs" dxfId="0" priority="422" operator="lessThan">
      <formula>20</formula>
    </cfRule>
    <cfRule type="cellIs" dxfId="1" priority="238" operator="greaterThan">
      <formula>120</formula>
    </cfRule>
    <cfRule type="containsText" dxfId="2" priority="54" operator="between" text="库存为">
      <formula>NOT(ISERROR(SEARCH("库存为",AU136)))</formula>
    </cfRule>
  </conditionalFormatting>
  <conditionalFormatting sqref="AU137">
    <cfRule type="cellIs" dxfId="0" priority="421" operator="lessThan">
      <formula>20</formula>
    </cfRule>
    <cfRule type="cellIs" dxfId="1" priority="237" operator="greaterThan">
      <formula>120</formula>
    </cfRule>
    <cfRule type="containsText" dxfId="2" priority="53" operator="between" text="库存为">
      <formula>NOT(ISERROR(SEARCH("库存为",AU137)))</formula>
    </cfRule>
  </conditionalFormatting>
  <conditionalFormatting sqref="AU138">
    <cfRule type="cellIs" dxfId="0" priority="420" operator="lessThan">
      <formula>20</formula>
    </cfRule>
    <cfRule type="cellIs" dxfId="1" priority="236" operator="greaterThan">
      <formula>120</formula>
    </cfRule>
    <cfRule type="containsText" dxfId="2" priority="52" operator="between" text="库存为">
      <formula>NOT(ISERROR(SEARCH("库存为",AU138)))</formula>
    </cfRule>
  </conditionalFormatting>
  <conditionalFormatting sqref="AU139">
    <cfRule type="cellIs" dxfId="0" priority="419" operator="lessThan">
      <formula>20</formula>
    </cfRule>
    <cfRule type="cellIs" dxfId="1" priority="235" operator="greaterThan">
      <formula>120</formula>
    </cfRule>
    <cfRule type="containsText" dxfId="2" priority="51" operator="between" text="库存为">
      <formula>NOT(ISERROR(SEARCH("库存为",AU139)))</formula>
    </cfRule>
  </conditionalFormatting>
  <conditionalFormatting sqref="AU140">
    <cfRule type="cellIs" dxfId="0" priority="418" operator="lessThan">
      <formula>20</formula>
    </cfRule>
    <cfRule type="cellIs" dxfId="1" priority="234" operator="greaterThan">
      <formula>120</formula>
    </cfRule>
    <cfRule type="containsText" dxfId="2" priority="50" operator="between" text="库存为">
      <formula>NOT(ISERROR(SEARCH("库存为",AU140)))</formula>
    </cfRule>
  </conditionalFormatting>
  <conditionalFormatting sqref="AU141">
    <cfRule type="cellIs" dxfId="0" priority="417" operator="lessThan">
      <formula>20</formula>
    </cfRule>
    <cfRule type="cellIs" dxfId="1" priority="233" operator="greaterThan">
      <formula>120</formula>
    </cfRule>
    <cfRule type="containsText" dxfId="2" priority="49" operator="between" text="库存为">
      <formula>NOT(ISERROR(SEARCH("库存为",AU141)))</formula>
    </cfRule>
  </conditionalFormatting>
  <conditionalFormatting sqref="AU142">
    <cfRule type="cellIs" dxfId="0" priority="416" operator="lessThan">
      <formula>20</formula>
    </cfRule>
    <cfRule type="cellIs" dxfId="1" priority="232" operator="greaterThan">
      <formula>120</formula>
    </cfRule>
    <cfRule type="containsText" dxfId="2" priority="48" operator="between" text="库存为">
      <formula>NOT(ISERROR(SEARCH("库存为",AU142)))</formula>
    </cfRule>
  </conditionalFormatting>
  <conditionalFormatting sqref="AU143">
    <cfRule type="cellIs" dxfId="0" priority="415" operator="lessThan">
      <formula>20</formula>
    </cfRule>
    <cfRule type="cellIs" dxfId="1" priority="231" operator="greaterThan">
      <formula>120</formula>
    </cfRule>
    <cfRule type="containsText" dxfId="2" priority="47" operator="between" text="库存为">
      <formula>NOT(ISERROR(SEARCH("库存为",AU143)))</formula>
    </cfRule>
  </conditionalFormatting>
  <conditionalFormatting sqref="AU144">
    <cfRule type="cellIs" dxfId="0" priority="414" operator="lessThan">
      <formula>20</formula>
    </cfRule>
    <cfRule type="cellIs" dxfId="1" priority="230" operator="greaterThan">
      <formula>120</formula>
    </cfRule>
    <cfRule type="containsText" dxfId="2" priority="46" operator="between" text="库存为">
      <formula>NOT(ISERROR(SEARCH("库存为",AU144)))</formula>
    </cfRule>
  </conditionalFormatting>
  <conditionalFormatting sqref="AU145">
    <cfRule type="cellIs" dxfId="0" priority="413" operator="lessThan">
      <formula>20</formula>
    </cfRule>
    <cfRule type="cellIs" dxfId="1" priority="229" operator="greaterThan">
      <formula>120</formula>
    </cfRule>
    <cfRule type="containsText" dxfId="2" priority="45" operator="between" text="库存为">
      <formula>NOT(ISERROR(SEARCH("库存为",AU145)))</formula>
    </cfRule>
  </conditionalFormatting>
  <conditionalFormatting sqref="AU146">
    <cfRule type="cellIs" dxfId="0" priority="412" operator="lessThan">
      <formula>20</formula>
    </cfRule>
    <cfRule type="cellIs" dxfId="1" priority="228" operator="greaterThan">
      <formula>120</formula>
    </cfRule>
    <cfRule type="containsText" dxfId="2" priority="44" operator="between" text="库存为">
      <formula>NOT(ISERROR(SEARCH("库存为",AU146)))</formula>
    </cfRule>
  </conditionalFormatting>
  <conditionalFormatting sqref="AU147">
    <cfRule type="cellIs" dxfId="0" priority="411" operator="lessThan">
      <formula>20</formula>
    </cfRule>
    <cfRule type="cellIs" dxfId="1" priority="227" operator="greaterThan">
      <formula>120</formula>
    </cfRule>
    <cfRule type="containsText" dxfId="2" priority="43" operator="between" text="库存为">
      <formula>NOT(ISERROR(SEARCH("库存为",AU147)))</formula>
    </cfRule>
  </conditionalFormatting>
  <conditionalFormatting sqref="AU148">
    <cfRule type="cellIs" dxfId="0" priority="410" operator="lessThan">
      <formula>20</formula>
    </cfRule>
    <cfRule type="cellIs" dxfId="1" priority="226" operator="greaterThan">
      <formula>120</formula>
    </cfRule>
    <cfRule type="containsText" dxfId="2" priority="42" operator="between" text="库存为">
      <formula>NOT(ISERROR(SEARCH("库存为",AU148)))</formula>
    </cfRule>
  </conditionalFormatting>
  <conditionalFormatting sqref="AU149">
    <cfRule type="cellIs" dxfId="0" priority="409" operator="lessThan">
      <formula>20</formula>
    </cfRule>
    <cfRule type="cellIs" dxfId="1" priority="225" operator="greaterThan">
      <formula>120</formula>
    </cfRule>
    <cfRule type="containsText" dxfId="2" priority="41" operator="between" text="库存为">
      <formula>NOT(ISERROR(SEARCH("库存为",AU149)))</formula>
    </cfRule>
  </conditionalFormatting>
  <conditionalFormatting sqref="AU150">
    <cfRule type="cellIs" dxfId="0" priority="408" operator="lessThan">
      <formula>20</formula>
    </cfRule>
    <cfRule type="cellIs" dxfId="1" priority="224" operator="greaterThan">
      <formula>120</formula>
    </cfRule>
    <cfRule type="containsText" dxfId="2" priority="40" operator="between" text="库存为">
      <formula>NOT(ISERROR(SEARCH("库存为",AU150)))</formula>
    </cfRule>
  </conditionalFormatting>
  <conditionalFormatting sqref="AU151">
    <cfRule type="cellIs" dxfId="0" priority="407" operator="lessThan">
      <formula>20</formula>
    </cfRule>
    <cfRule type="cellIs" dxfId="1" priority="223" operator="greaterThan">
      <formula>120</formula>
    </cfRule>
    <cfRule type="containsText" dxfId="2" priority="39" operator="between" text="库存为">
      <formula>NOT(ISERROR(SEARCH("库存为",AU151)))</formula>
    </cfRule>
  </conditionalFormatting>
  <conditionalFormatting sqref="AU152">
    <cfRule type="cellIs" dxfId="0" priority="406" operator="lessThan">
      <formula>20</formula>
    </cfRule>
    <cfRule type="cellIs" dxfId="1" priority="222" operator="greaterThan">
      <formula>120</formula>
    </cfRule>
    <cfRule type="containsText" dxfId="2" priority="38" operator="between" text="库存为">
      <formula>NOT(ISERROR(SEARCH("库存为",AU152)))</formula>
    </cfRule>
  </conditionalFormatting>
  <conditionalFormatting sqref="AU153">
    <cfRule type="cellIs" dxfId="0" priority="405" operator="lessThan">
      <formula>20</formula>
    </cfRule>
    <cfRule type="cellIs" dxfId="1" priority="221" operator="greaterThan">
      <formula>120</formula>
    </cfRule>
    <cfRule type="containsText" dxfId="2" priority="37" operator="between" text="库存为">
      <formula>NOT(ISERROR(SEARCH("库存为",AU153)))</formula>
    </cfRule>
  </conditionalFormatting>
  <conditionalFormatting sqref="AU154">
    <cfRule type="cellIs" dxfId="0" priority="404" operator="lessThan">
      <formula>20</formula>
    </cfRule>
    <cfRule type="cellIs" dxfId="1" priority="220" operator="greaterThan">
      <formula>120</formula>
    </cfRule>
    <cfRule type="containsText" dxfId="2" priority="36" operator="between" text="库存为">
      <formula>NOT(ISERROR(SEARCH("库存为",AU154)))</formula>
    </cfRule>
  </conditionalFormatting>
  <conditionalFormatting sqref="AU155">
    <cfRule type="cellIs" dxfId="0" priority="403" operator="lessThan">
      <formula>20</formula>
    </cfRule>
    <cfRule type="cellIs" dxfId="1" priority="219" operator="greaterThan">
      <formula>120</formula>
    </cfRule>
    <cfRule type="containsText" dxfId="2" priority="35" operator="between" text="库存为">
      <formula>NOT(ISERROR(SEARCH("库存为",AU155)))</formula>
    </cfRule>
  </conditionalFormatting>
  <conditionalFormatting sqref="AU156">
    <cfRule type="cellIs" dxfId="0" priority="402" operator="lessThan">
      <formula>20</formula>
    </cfRule>
    <cfRule type="cellIs" dxfId="1" priority="218" operator="greaterThan">
      <formula>120</formula>
    </cfRule>
    <cfRule type="containsText" dxfId="2" priority="34" operator="between" text="库存为">
      <formula>NOT(ISERROR(SEARCH("库存为",AU156)))</formula>
    </cfRule>
  </conditionalFormatting>
  <conditionalFormatting sqref="AU157">
    <cfRule type="cellIs" dxfId="0" priority="401" operator="lessThan">
      <formula>20</formula>
    </cfRule>
    <cfRule type="cellIs" dxfId="1" priority="217" operator="greaterThan">
      <formula>120</formula>
    </cfRule>
    <cfRule type="containsText" dxfId="2" priority="33" operator="between" text="库存为">
      <formula>NOT(ISERROR(SEARCH("库存为",AU157)))</formula>
    </cfRule>
  </conditionalFormatting>
  <conditionalFormatting sqref="AU158">
    <cfRule type="cellIs" dxfId="0" priority="400" operator="lessThan">
      <formula>20</formula>
    </cfRule>
    <cfRule type="cellIs" dxfId="1" priority="216" operator="greaterThan">
      <formula>120</formula>
    </cfRule>
    <cfRule type="containsText" dxfId="2" priority="32" operator="between" text="库存为">
      <formula>NOT(ISERROR(SEARCH("库存为",AU158)))</formula>
    </cfRule>
  </conditionalFormatting>
  <conditionalFormatting sqref="AU159">
    <cfRule type="cellIs" dxfId="0" priority="399" operator="lessThan">
      <formula>20</formula>
    </cfRule>
    <cfRule type="cellIs" dxfId="1" priority="215" operator="greaterThan">
      <formula>120</formula>
    </cfRule>
    <cfRule type="containsText" dxfId="2" priority="31" operator="between" text="库存为">
      <formula>NOT(ISERROR(SEARCH("库存为",AU159)))</formula>
    </cfRule>
  </conditionalFormatting>
  <conditionalFormatting sqref="AU160">
    <cfRule type="cellIs" dxfId="0" priority="398" operator="lessThan">
      <formula>20</formula>
    </cfRule>
    <cfRule type="cellIs" dxfId="1" priority="214" operator="greaterThan">
      <formula>120</formula>
    </cfRule>
    <cfRule type="containsText" dxfId="2" priority="30" operator="between" text="库存为">
      <formula>NOT(ISERROR(SEARCH("库存为",AU160)))</formula>
    </cfRule>
  </conditionalFormatting>
  <conditionalFormatting sqref="AU161">
    <cfRule type="cellIs" dxfId="0" priority="397" operator="lessThan">
      <formula>20</formula>
    </cfRule>
    <cfRule type="cellIs" dxfId="1" priority="213" operator="greaterThan">
      <formula>120</formula>
    </cfRule>
    <cfRule type="containsText" dxfId="2" priority="29" operator="between" text="库存为">
      <formula>NOT(ISERROR(SEARCH("库存为",AU161)))</formula>
    </cfRule>
  </conditionalFormatting>
  <conditionalFormatting sqref="AU162">
    <cfRule type="cellIs" dxfId="0" priority="396" operator="lessThan">
      <formula>20</formula>
    </cfRule>
    <cfRule type="cellIs" dxfId="1" priority="212" operator="greaterThan">
      <formula>120</formula>
    </cfRule>
    <cfRule type="containsText" dxfId="2" priority="28" operator="between" text="库存为">
      <formula>NOT(ISERROR(SEARCH("库存为",AU162)))</formula>
    </cfRule>
  </conditionalFormatting>
  <conditionalFormatting sqref="AU163">
    <cfRule type="cellIs" dxfId="0" priority="395" operator="lessThan">
      <formula>20</formula>
    </cfRule>
    <cfRule type="cellIs" dxfId="1" priority="211" operator="greaterThan">
      <formula>120</formula>
    </cfRule>
    <cfRule type="containsText" dxfId="2" priority="27" operator="between" text="库存为">
      <formula>NOT(ISERROR(SEARCH("库存为",AU163)))</formula>
    </cfRule>
  </conditionalFormatting>
  <conditionalFormatting sqref="AU164">
    <cfRule type="cellIs" dxfId="0" priority="394" operator="lessThan">
      <formula>20</formula>
    </cfRule>
    <cfRule type="cellIs" dxfId="1" priority="210" operator="greaterThan">
      <formula>120</formula>
    </cfRule>
    <cfRule type="containsText" dxfId="2" priority="26" operator="between" text="库存为">
      <formula>NOT(ISERROR(SEARCH("库存为",AU164)))</formula>
    </cfRule>
  </conditionalFormatting>
  <conditionalFormatting sqref="AU165">
    <cfRule type="cellIs" dxfId="0" priority="393" operator="lessThan">
      <formula>20</formula>
    </cfRule>
    <cfRule type="cellIs" dxfId="1" priority="209" operator="greaterThan">
      <formula>120</formula>
    </cfRule>
    <cfRule type="containsText" dxfId="2" priority="25" operator="between" text="库存为">
      <formula>NOT(ISERROR(SEARCH("库存为",AU165)))</formula>
    </cfRule>
  </conditionalFormatting>
  <conditionalFormatting sqref="AU166">
    <cfRule type="cellIs" dxfId="0" priority="392" operator="lessThan">
      <formula>20</formula>
    </cfRule>
    <cfRule type="cellIs" dxfId="1" priority="208" operator="greaterThan">
      <formula>120</formula>
    </cfRule>
    <cfRule type="containsText" dxfId="2" priority="24" operator="between" text="库存为">
      <formula>NOT(ISERROR(SEARCH("库存为",AU166)))</formula>
    </cfRule>
  </conditionalFormatting>
  <conditionalFormatting sqref="AU167">
    <cfRule type="cellIs" dxfId="0" priority="391" operator="lessThan">
      <formula>20</formula>
    </cfRule>
    <cfRule type="cellIs" dxfId="1" priority="207" operator="greaterThan">
      <formula>120</formula>
    </cfRule>
    <cfRule type="containsText" dxfId="2" priority="23" operator="between" text="库存为">
      <formula>NOT(ISERROR(SEARCH("库存为",AU167)))</formula>
    </cfRule>
  </conditionalFormatting>
  <conditionalFormatting sqref="AU168">
    <cfRule type="cellIs" dxfId="0" priority="390" operator="lessThan">
      <formula>20</formula>
    </cfRule>
    <cfRule type="cellIs" dxfId="1" priority="206" operator="greaterThan">
      <formula>120</formula>
    </cfRule>
    <cfRule type="containsText" dxfId="2" priority="22" operator="between" text="库存为">
      <formula>NOT(ISERROR(SEARCH("库存为",AU168)))</formula>
    </cfRule>
  </conditionalFormatting>
  <conditionalFormatting sqref="AU169">
    <cfRule type="cellIs" dxfId="0" priority="389" operator="lessThan">
      <formula>20</formula>
    </cfRule>
    <cfRule type="cellIs" dxfId="1" priority="205" operator="greaterThan">
      <formula>120</formula>
    </cfRule>
    <cfRule type="containsText" dxfId="2" priority="21" operator="between" text="库存为">
      <formula>NOT(ISERROR(SEARCH("库存为",AU169)))</formula>
    </cfRule>
  </conditionalFormatting>
  <conditionalFormatting sqref="AU170">
    <cfRule type="cellIs" dxfId="0" priority="388" operator="lessThan">
      <formula>20</formula>
    </cfRule>
    <cfRule type="cellIs" dxfId="1" priority="204" operator="greaterThan">
      <formula>120</formula>
    </cfRule>
    <cfRule type="containsText" dxfId="2" priority="20" operator="between" text="库存为">
      <formula>NOT(ISERROR(SEARCH("库存为",AU170)))</formula>
    </cfRule>
  </conditionalFormatting>
  <conditionalFormatting sqref="AU171">
    <cfRule type="cellIs" dxfId="0" priority="387" operator="lessThan">
      <formula>20</formula>
    </cfRule>
    <cfRule type="cellIs" dxfId="1" priority="203" operator="greaterThan">
      <formula>120</formula>
    </cfRule>
    <cfRule type="containsText" dxfId="2" priority="19" operator="between" text="库存为">
      <formula>NOT(ISERROR(SEARCH("库存为",AU171)))</formula>
    </cfRule>
  </conditionalFormatting>
  <conditionalFormatting sqref="AU172">
    <cfRule type="cellIs" dxfId="0" priority="386" operator="lessThan">
      <formula>20</formula>
    </cfRule>
    <cfRule type="cellIs" dxfId="1" priority="202" operator="greaterThan">
      <formula>120</formula>
    </cfRule>
    <cfRule type="containsText" dxfId="2" priority="18" operator="between" text="库存为">
      <formula>NOT(ISERROR(SEARCH("库存为",AU172)))</formula>
    </cfRule>
  </conditionalFormatting>
  <conditionalFormatting sqref="AU173">
    <cfRule type="cellIs" dxfId="0" priority="385" operator="lessThan">
      <formula>20</formula>
    </cfRule>
    <cfRule type="cellIs" dxfId="1" priority="201" operator="greaterThan">
      <formula>120</formula>
    </cfRule>
    <cfRule type="containsText" dxfId="2" priority="17" operator="between" text="库存为">
      <formula>NOT(ISERROR(SEARCH("库存为",AU173)))</formula>
    </cfRule>
  </conditionalFormatting>
  <conditionalFormatting sqref="AU174">
    <cfRule type="cellIs" dxfId="0" priority="384" operator="lessThan">
      <formula>20</formula>
    </cfRule>
    <cfRule type="cellIs" dxfId="1" priority="200" operator="greaterThan">
      <formula>120</formula>
    </cfRule>
    <cfRule type="containsText" dxfId="2" priority="16" operator="between" text="库存为">
      <formula>NOT(ISERROR(SEARCH("库存为",AU174)))</formula>
    </cfRule>
  </conditionalFormatting>
  <conditionalFormatting sqref="AU175">
    <cfRule type="cellIs" dxfId="0" priority="383" operator="lessThan">
      <formula>20</formula>
    </cfRule>
    <cfRule type="cellIs" dxfId="1" priority="199" operator="greaterThan">
      <formula>120</formula>
    </cfRule>
    <cfRule type="containsText" dxfId="2" priority="15" operator="between" text="库存为">
      <formula>NOT(ISERROR(SEARCH("库存为",AU175)))</formula>
    </cfRule>
  </conditionalFormatting>
  <conditionalFormatting sqref="AU176">
    <cfRule type="cellIs" dxfId="0" priority="382" operator="lessThan">
      <formula>20</formula>
    </cfRule>
    <cfRule type="cellIs" dxfId="1" priority="198" operator="greaterThan">
      <formula>120</formula>
    </cfRule>
    <cfRule type="containsText" dxfId="2" priority="14" operator="between" text="库存为">
      <formula>NOT(ISERROR(SEARCH("库存为",AU176)))</formula>
    </cfRule>
  </conditionalFormatting>
  <conditionalFormatting sqref="AU177">
    <cfRule type="cellIs" dxfId="0" priority="381" operator="lessThan">
      <formula>20</formula>
    </cfRule>
    <cfRule type="cellIs" dxfId="1" priority="197" operator="greaterThan">
      <formula>120</formula>
    </cfRule>
    <cfRule type="containsText" dxfId="2" priority="13" operator="between" text="库存为">
      <formula>NOT(ISERROR(SEARCH("库存为",AU177)))</formula>
    </cfRule>
  </conditionalFormatting>
  <conditionalFormatting sqref="AU178">
    <cfRule type="cellIs" dxfId="0" priority="380" operator="lessThan">
      <formula>20</formula>
    </cfRule>
    <cfRule type="cellIs" dxfId="1" priority="196" operator="greaterThan">
      <formula>120</formula>
    </cfRule>
    <cfRule type="containsText" dxfId="2" priority="12" operator="between" text="库存为">
      <formula>NOT(ISERROR(SEARCH("库存为",AU178)))</formula>
    </cfRule>
  </conditionalFormatting>
  <conditionalFormatting sqref="AU179">
    <cfRule type="cellIs" dxfId="0" priority="379" operator="lessThan">
      <formula>20</formula>
    </cfRule>
    <cfRule type="cellIs" dxfId="1" priority="195" operator="greaterThan">
      <formula>120</formula>
    </cfRule>
    <cfRule type="containsText" dxfId="2" priority="11" operator="between" text="库存为">
      <formula>NOT(ISERROR(SEARCH("库存为",AU179)))</formula>
    </cfRule>
  </conditionalFormatting>
  <conditionalFormatting sqref="AU180">
    <cfRule type="cellIs" dxfId="0" priority="378" operator="lessThan">
      <formula>20</formula>
    </cfRule>
    <cfRule type="cellIs" dxfId="1" priority="194" operator="greaterThan">
      <formula>120</formula>
    </cfRule>
    <cfRule type="containsText" dxfId="2" priority="10" operator="between" text="库存为">
      <formula>NOT(ISERROR(SEARCH("库存为",AU180)))</formula>
    </cfRule>
  </conditionalFormatting>
  <conditionalFormatting sqref="AU181">
    <cfRule type="cellIs" dxfId="0" priority="377" operator="lessThan">
      <formula>20</formula>
    </cfRule>
    <cfRule type="cellIs" dxfId="1" priority="193" operator="greaterThan">
      <formula>120</formula>
    </cfRule>
    <cfRule type="containsText" dxfId="2" priority="9" operator="between" text="库存为">
      <formula>NOT(ISERROR(SEARCH("库存为",AU181)))</formula>
    </cfRule>
  </conditionalFormatting>
  <conditionalFormatting sqref="AU182">
    <cfRule type="cellIs" dxfId="0" priority="376" operator="lessThan">
      <formula>20</formula>
    </cfRule>
    <cfRule type="cellIs" dxfId="1" priority="192" operator="greaterThan">
      <formula>120</formula>
    </cfRule>
    <cfRule type="containsText" dxfId="2" priority="8" operator="between" text="库存为">
      <formula>NOT(ISERROR(SEARCH("库存为",AU182)))</formula>
    </cfRule>
  </conditionalFormatting>
  <conditionalFormatting sqref="AU183">
    <cfRule type="cellIs" dxfId="0" priority="375" operator="lessThan">
      <formula>20</formula>
    </cfRule>
    <cfRule type="cellIs" dxfId="1" priority="191" operator="greaterThan">
      <formula>120</formula>
    </cfRule>
    <cfRule type="containsText" dxfId="2" priority="7" operator="between" text="库存为">
      <formula>NOT(ISERROR(SEARCH("库存为",AU183)))</formula>
    </cfRule>
  </conditionalFormatting>
  <conditionalFormatting sqref="AU184">
    <cfRule type="cellIs" dxfId="0" priority="374" operator="lessThan">
      <formula>20</formula>
    </cfRule>
    <cfRule type="cellIs" dxfId="1" priority="190" operator="greaterThan">
      <formula>120</formula>
    </cfRule>
    <cfRule type="containsText" dxfId="2" priority="6" operator="between" text="库存为">
      <formula>NOT(ISERROR(SEARCH("库存为",AU184)))</formula>
    </cfRule>
  </conditionalFormatting>
  <conditionalFormatting sqref="AU185">
    <cfRule type="cellIs" dxfId="0" priority="373" operator="lessThan">
      <formula>20</formula>
    </cfRule>
    <cfRule type="cellIs" dxfId="1" priority="189" operator="greaterThan">
      <formula>120</formula>
    </cfRule>
    <cfRule type="containsText" dxfId="2" priority="5" operator="between" text="库存为">
      <formula>NOT(ISERROR(SEARCH("库存为",AU185)))</formula>
    </cfRule>
  </conditionalFormatting>
  <conditionalFormatting sqref="AU186">
    <cfRule type="cellIs" dxfId="0" priority="372" operator="lessThan">
      <formula>20</formula>
    </cfRule>
    <cfRule type="cellIs" dxfId="1" priority="188" operator="greaterThan">
      <formula>120</formula>
    </cfRule>
    <cfRule type="containsText" dxfId="2" priority="4" operator="between" text="库存为">
      <formula>NOT(ISERROR(SEARCH("库存为",AU186)))</formula>
    </cfRule>
  </conditionalFormatting>
  <conditionalFormatting sqref="AU187">
    <cfRule type="cellIs" dxfId="0" priority="371" operator="lessThan">
      <formula>20</formula>
    </cfRule>
    <cfRule type="cellIs" dxfId="1" priority="187" operator="greaterThan">
      <formula>120</formula>
    </cfRule>
    <cfRule type="containsText" dxfId="2" priority="3" operator="between" text="库存为">
      <formula>NOT(ISERROR(SEARCH("库存为",AU187)))</formula>
    </cfRule>
  </conditionalFormatting>
  <conditionalFormatting sqref="AU188">
    <cfRule type="cellIs" dxfId="0" priority="370" operator="lessThan">
      <formula>20</formula>
    </cfRule>
    <cfRule type="cellIs" dxfId="1" priority="186" operator="greaterThan">
      <formula>120</formula>
    </cfRule>
    <cfRule type="containsText" dxfId="2" priority="2" operator="between" text="库存为">
      <formula>NOT(ISERROR(SEARCH("库存为",AU188)))</formula>
    </cfRule>
  </conditionalFormatting>
  <conditionalFormatting sqref="AU189">
    <cfRule type="cellIs" dxfId="0" priority="369" operator="lessThan">
      <formula>20</formula>
    </cfRule>
    <cfRule type="cellIs" dxfId="1" priority="185" operator="greaterThan">
      <formula>120</formula>
    </cfRule>
    <cfRule type="containsText" dxfId="2" priority="1" operator="between" text="库存为">
      <formula>NOT(ISERROR(SEARCH("库存为",AU189)))</formula>
    </cfRule>
  </conditionalFormatting>
  <conditionalFormatting sqref="AU190">
    <cfRule type="containsText" dxfId="2" priority="4409" operator="between" text="库存为">
      <formula>NOT(ISERROR(SEARCH("库存为",AU190)))</formula>
    </cfRule>
    <cfRule type="cellIs" dxfId="1" priority="4914" operator="greaterThan">
      <formula>120</formula>
    </cfRule>
    <cfRule type="cellIs" dxfId="0" priority="5419" operator="lessThan">
      <formula>20</formula>
    </cfRule>
  </conditionalFormatting>
  <conditionalFormatting sqref="AU191">
    <cfRule type="containsText" dxfId="2" priority="4408" operator="between" text="库存为">
      <formula>NOT(ISERROR(SEARCH("库存为",AU191)))</formula>
    </cfRule>
    <cfRule type="cellIs" dxfId="1" priority="4913" operator="greaterThan">
      <formula>120</formula>
    </cfRule>
    <cfRule type="cellIs" dxfId="0" priority="5418" operator="lessThan">
      <formula>20</formula>
    </cfRule>
  </conditionalFormatting>
  <conditionalFormatting sqref="AU192">
    <cfRule type="containsText" dxfId="2" priority="4407" operator="between" text="库存为">
      <formula>NOT(ISERROR(SEARCH("库存为",AU192)))</formula>
    </cfRule>
    <cfRule type="cellIs" dxfId="1" priority="4912" operator="greaterThan">
      <formula>120</formula>
    </cfRule>
    <cfRule type="cellIs" dxfId="0" priority="5417" operator="lessThan">
      <formula>20</formula>
    </cfRule>
  </conditionalFormatting>
  <conditionalFormatting sqref="AU193">
    <cfRule type="containsText" dxfId="2" priority="4406" operator="between" text="库存为">
      <formula>NOT(ISERROR(SEARCH("库存为",AU193)))</formula>
    </cfRule>
    <cfRule type="cellIs" dxfId="1" priority="4911" operator="greaterThan">
      <formula>120</formula>
    </cfRule>
    <cfRule type="cellIs" dxfId="0" priority="5416" operator="lessThan">
      <formula>20</formula>
    </cfRule>
  </conditionalFormatting>
  <conditionalFormatting sqref="AU194">
    <cfRule type="containsText" dxfId="2" priority="4405" operator="between" text="库存为">
      <formula>NOT(ISERROR(SEARCH("库存为",AU194)))</formula>
    </cfRule>
    <cfRule type="cellIs" dxfId="1" priority="4910" operator="greaterThan">
      <formula>120</formula>
    </cfRule>
    <cfRule type="cellIs" dxfId="0" priority="5415" operator="lessThan">
      <formula>20</formula>
    </cfRule>
  </conditionalFormatting>
  <conditionalFormatting sqref="AU195">
    <cfRule type="containsText" dxfId="2" priority="4404" operator="between" text="库存为">
      <formula>NOT(ISERROR(SEARCH("库存为",AU195)))</formula>
    </cfRule>
    <cfRule type="cellIs" dxfId="1" priority="4909" operator="greaterThan">
      <formula>120</formula>
    </cfRule>
    <cfRule type="cellIs" dxfId="0" priority="5414" operator="lessThan">
      <formula>20</formula>
    </cfRule>
  </conditionalFormatting>
  <conditionalFormatting sqref="AU196">
    <cfRule type="containsText" dxfId="2" priority="4403" operator="between" text="库存为">
      <formula>NOT(ISERROR(SEARCH("库存为",AU196)))</formula>
    </cfRule>
    <cfRule type="cellIs" dxfId="1" priority="4908" operator="greaterThan">
      <formula>120</formula>
    </cfRule>
    <cfRule type="cellIs" dxfId="0" priority="5413" operator="lessThan">
      <formula>20</formula>
    </cfRule>
  </conditionalFormatting>
  <conditionalFormatting sqref="AU197">
    <cfRule type="containsText" dxfId="2" priority="4402" operator="between" text="库存为">
      <formula>NOT(ISERROR(SEARCH("库存为",AU197)))</formula>
    </cfRule>
    <cfRule type="cellIs" dxfId="1" priority="4907" operator="greaterThan">
      <formula>120</formula>
    </cfRule>
    <cfRule type="cellIs" dxfId="0" priority="5412" operator="lessThan">
      <formula>20</formula>
    </cfRule>
  </conditionalFormatting>
  <conditionalFormatting sqref="AU198">
    <cfRule type="containsText" dxfId="2" priority="4401" operator="between" text="库存为">
      <formula>NOT(ISERROR(SEARCH("库存为",AU198)))</formula>
    </cfRule>
    <cfRule type="cellIs" dxfId="1" priority="4906" operator="greaterThan">
      <formula>120</formula>
    </cfRule>
    <cfRule type="cellIs" dxfId="0" priority="5411" operator="lessThan">
      <formula>20</formula>
    </cfRule>
  </conditionalFormatting>
  <conditionalFormatting sqref="AU199">
    <cfRule type="containsText" dxfId="2" priority="4400" operator="between" text="库存为">
      <formula>NOT(ISERROR(SEARCH("库存为",AU199)))</formula>
    </cfRule>
    <cfRule type="cellIs" dxfId="1" priority="4905" operator="greaterThan">
      <formula>120</formula>
    </cfRule>
    <cfRule type="cellIs" dxfId="0" priority="5410" operator="lessThan">
      <formula>20</formula>
    </cfRule>
  </conditionalFormatting>
  <conditionalFormatting sqref="AU200">
    <cfRule type="containsText" dxfId="2" priority="4399" operator="between" text="库存为">
      <formula>NOT(ISERROR(SEARCH("库存为",AU200)))</formula>
    </cfRule>
    <cfRule type="cellIs" dxfId="1" priority="4904" operator="greaterThan">
      <formula>120</formula>
    </cfRule>
    <cfRule type="cellIs" dxfId="0" priority="5409" operator="lessThan">
      <formula>20</formula>
    </cfRule>
  </conditionalFormatting>
  <conditionalFormatting sqref="AU201">
    <cfRule type="containsText" dxfId="2" priority="4398" operator="between" text="库存为">
      <formula>NOT(ISERROR(SEARCH("库存为",AU201)))</formula>
    </cfRule>
    <cfRule type="cellIs" dxfId="1" priority="4903" operator="greaterThan">
      <formula>120</formula>
    </cfRule>
    <cfRule type="cellIs" dxfId="0" priority="5408" operator="lessThan">
      <formula>20</formula>
    </cfRule>
  </conditionalFormatting>
  <conditionalFormatting sqref="AU202">
    <cfRule type="containsText" dxfId="2" priority="4397" operator="between" text="库存为">
      <formula>NOT(ISERROR(SEARCH("库存为",AU202)))</formula>
    </cfRule>
    <cfRule type="cellIs" dxfId="1" priority="4902" operator="greaterThan">
      <formula>120</formula>
    </cfRule>
    <cfRule type="cellIs" dxfId="0" priority="5407" operator="lessThan">
      <formula>20</formula>
    </cfRule>
  </conditionalFormatting>
  <conditionalFormatting sqref="AU203">
    <cfRule type="containsText" dxfId="2" priority="4396" operator="between" text="库存为">
      <formula>NOT(ISERROR(SEARCH("库存为",AU203)))</formula>
    </cfRule>
    <cfRule type="cellIs" dxfId="1" priority="4901" operator="greaterThan">
      <formula>120</formula>
    </cfRule>
    <cfRule type="cellIs" dxfId="0" priority="5406" operator="lessThan">
      <formula>20</formula>
    </cfRule>
  </conditionalFormatting>
  <conditionalFormatting sqref="AU204">
    <cfRule type="containsText" dxfId="2" priority="4395" operator="between" text="库存为">
      <formula>NOT(ISERROR(SEARCH("库存为",AU204)))</formula>
    </cfRule>
    <cfRule type="cellIs" dxfId="1" priority="4900" operator="greaterThan">
      <formula>120</formula>
    </cfRule>
    <cfRule type="cellIs" dxfId="0" priority="5405" operator="lessThan">
      <formula>20</formula>
    </cfRule>
  </conditionalFormatting>
  <conditionalFormatting sqref="AU205">
    <cfRule type="containsText" dxfId="2" priority="4394" operator="between" text="库存为">
      <formula>NOT(ISERROR(SEARCH("库存为",AU205)))</formula>
    </cfRule>
    <cfRule type="cellIs" dxfId="1" priority="4899" operator="greaterThan">
      <formula>120</formula>
    </cfRule>
    <cfRule type="cellIs" dxfId="0" priority="5404" operator="lessThan">
      <formula>20</formula>
    </cfRule>
  </conditionalFormatting>
  <conditionalFormatting sqref="AU206">
    <cfRule type="containsText" dxfId="2" priority="4393" operator="between" text="库存为">
      <formula>NOT(ISERROR(SEARCH("库存为",AU206)))</formula>
    </cfRule>
    <cfRule type="cellIs" dxfId="1" priority="4898" operator="greaterThan">
      <formula>120</formula>
    </cfRule>
    <cfRule type="cellIs" dxfId="0" priority="5403" operator="lessThan">
      <formula>20</formula>
    </cfRule>
  </conditionalFormatting>
  <conditionalFormatting sqref="AU207">
    <cfRule type="containsText" dxfId="2" priority="4392" operator="between" text="库存为">
      <formula>NOT(ISERROR(SEARCH("库存为",AU207)))</formula>
    </cfRule>
    <cfRule type="cellIs" dxfId="1" priority="4897" operator="greaterThan">
      <formula>120</formula>
    </cfRule>
    <cfRule type="cellIs" dxfId="0" priority="5402" operator="lessThan">
      <formula>20</formula>
    </cfRule>
  </conditionalFormatting>
  <conditionalFormatting sqref="AU208">
    <cfRule type="containsText" dxfId="2" priority="4391" operator="between" text="库存为">
      <formula>NOT(ISERROR(SEARCH("库存为",AU208)))</formula>
    </cfRule>
    <cfRule type="cellIs" dxfId="1" priority="4896" operator="greaterThan">
      <formula>120</formula>
    </cfRule>
    <cfRule type="cellIs" dxfId="0" priority="5401" operator="lessThan">
      <formula>20</formula>
    </cfRule>
  </conditionalFormatting>
  <conditionalFormatting sqref="AU209">
    <cfRule type="containsText" dxfId="2" priority="4390" operator="between" text="库存为">
      <formula>NOT(ISERROR(SEARCH("库存为",AU209)))</formula>
    </cfRule>
    <cfRule type="cellIs" dxfId="1" priority="4895" operator="greaterThan">
      <formula>120</formula>
    </cfRule>
    <cfRule type="cellIs" dxfId="0" priority="5400" operator="lessThan">
      <formula>20</formula>
    </cfRule>
  </conditionalFormatting>
  <conditionalFormatting sqref="AU210">
    <cfRule type="containsText" dxfId="2" priority="4389" operator="between" text="库存为">
      <formula>NOT(ISERROR(SEARCH("库存为",AU210)))</formula>
    </cfRule>
    <cfRule type="cellIs" dxfId="1" priority="4894" operator="greaterThan">
      <formula>120</formula>
    </cfRule>
    <cfRule type="cellIs" dxfId="0" priority="5399" operator="lessThan">
      <formula>20</formula>
    </cfRule>
  </conditionalFormatting>
  <conditionalFormatting sqref="AU211">
    <cfRule type="containsText" dxfId="2" priority="4388" operator="between" text="库存为">
      <formula>NOT(ISERROR(SEARCH("库存为",AU211)))</formula>
    </cfRule>
    <cfRule type="cellIs" dxfId="1" priority="4893" operator="greaterThan">
      <formula>120</formula>
    </cfRule>
    <cfRule type="cellIs" dxfId="0" priority="5398" operator="lessThan">
      <formula>20</formula>
    </cfRule>
  </conditionalFormatting>
  <conditionalFormatting sqref="AU212">
    <cfRule type="containsText" dxfId="2" priority="4387" operator="between" text="库存为">
      <formula>NOT(ISERROR(SEARCH("库存为",AU212)))</formula>
    </cfRule>
    <cfRule type="cellIs" dxfId="1" priority="4892" operator="greaterThan">
      <formula>120</formula>
    </cfRule>
    <cfRule type="cellIs" dxfId="0" priority="5397" operator="lessThan">
      <formula>20</formula>
    </cfRule>
  </conditionalFormatting>
  <conditionalFormatting sqref="AU213">
    <cfRule type="containsText" dxfId="2" priority="4386" operator="between" text="库存为">
      <formula>NOT(ISERROR(SEARCH("库存为",AU213)))</formula>
    </cfRule>
    <cfRule type="cellIs" dxfId="1" priority="4891" operator="greaterThan">
      <formula>120</formula>
    </cfRule>
    <cfRule type="cellIs" dxfId="0" priority="5396" operator="lessThan">
      <formula>20</formula>
    </cfRule>
  </conditionalFormatting>
  <conditionalFormatting sqref="AU214">
    <cfRule type="containsText" dxfId="2" priority="4385" operator="between" text="库存为">
      <formula>NOT(ISERROR(SEARCH("库存为",AU214)))</formula>
    </cfRule>
    <cfRule type="cellIs" dxfId="1" priority="4890" operator="greaterThan">
      <formula>120</formula>
    </cfRule>
    <cfRule type="cellIs" dxfId="0" priority="5395" operator="lessThan">
      <formula>20</formula>
    </cfRule>
  </conditionalFormatting>
  <conditionalFormatting sqref="AU215">
    <cfRule type="containsText" dxfId="2" priority="4384" operator="between" text="库存为">
      <formula>NOT(ISERROR(SEARCH("库存为",AU215)))</formula>
    </cfRule>
    <cfRule type="cellIs" dxfId="1" priority="4889" operator="greaterThan">
      <formula>120</formula>
    </cfRule>
    <cfRule type="cellIs" dxfId="0" priority="5394" operator="lessThan">
      <formula>20</formula>
    </cfRule>
  </conditionalFormatting>
  <conditionalFormatting sqref="AU216">
    <cfRule type="containsText" dxfId="2" priority="4383" operator="between" text="库存为">
      <formula>NOT(ISERROR(SEARCH("库存为",AU216)))</formula>
    </cfRule>
    <cfRule type="cellIs" dxfId="1" priority="4888" operator="greaterThan">
      <formula>120</formula>
    </cfRule>
    <cfRule type="cellIs" dxfId="0" priority="5393" operator="lessThan">
      <formula>20</formula>
    </cfRule>
  </conditionalFormatting>
  <conditionalFormatting sqref="AU217">
    <cfRule type="containsText" dxfId="2" priority="4382" operator="between" text="库存为">
      <formula>NOT(ISERROR(SEARCH("库存为",AU217)))</formula>
    </cfRule>
    <cfRule type="cellIs" dxfId="1" priority="4887" operator="greaterThan">
      <formula>120</formula>
    </cfRule>
    <cfRule type="cellIs" dxfId="0" priority="5392" operator="lessThan">
      <formula>20</formula>
    </cfRule>
  </conditionalFormatting>
  <conditionalFormatting sqref="AU218">
    <cfRule type="containsText" dxfId="2" priority="4381" operator="between" text="库存为">
      <formula>NOT(ISERROR(SEARCH("库存为",AU218)))</formula>
    </cfRule>
    <cfRule type="cellIs" dxfId="1" priority="4886" operator="greaterThan">
      <formula>120</formula>
    </cfRule>
    <cfRule type="cellIs" dxfId="0" priority="5391" operator="lessThan">
      <formula>20</formula>
    </cfRule>
  </conditionalFormatting>
  <conditionalFormatting sqref="AU219">
    <cfRule type="containsText" dxfId="2" priority="4380" operator="between" text="库存为">
      <formula>NOT(ISERROR(SEARCH("库存为",AU219)))</formula>
    </cfRule>
    <cfRule type="cellIs" dxfId="1" priority="4885" operator="greaterThan">
      <formula>120</formula>
    </cfRule>
    <cfRule type="cellIs" dxfId="0" priority="5390" operator="lessThan">
      <formula>20</formula>
    </cfRule>
  </conditionalFormatting>
  <conditionalFormatting sqref="AU220">
    <cfRule type="containsText" dxfId="2" priority="4379" operator="between" text="库存为">
      <formula>NOT(ISERROR(SEARCH("库存为",AU220)))</formula>
    </cfRule>
    <cfRule type="cellIs" dxfId="1" priority="4884" operator="greaterThan">
      <formula>120</formula>
    </cfRule>
    <cfRule type="cellIs" dxfId="0" priority="5389" operator="lessThan">
      <formula>20</formula>
    </cfRule>
  </conditionalFormatting>
  <conditionalFormatting sqref="AU221">
    <cfRule type="containsText" dxfId="2" priority="4378" operator="between" text="库存为">
      <formula>NOT(ISERROR(SEARCH("库存为",AU221)))</formula>
    </cfRule>
    <cfRule type="cellIs" dxfId="1" priority="4883" operator="greaterThan">
      <formula>120</formula>
    </cfRule>
    <cfRule type="cellIs" dxfId="0" priority="5388" operator="lessThan">
      <formula>20</formula>
    </cfRule>
  </conditionalFormatting>
  <conditionalFormatting sqref="AU222">
    <cfRule type="containsText" dxfId="2" priority="4377" operator="between" text="库存为">
      <formula>NOT(ISERROR(SEARCH("库存为",AU222)))</formula>
    </cfRule>
    <cfRule type="cellIs" dxfId="1" priority="4882" operator="greaterThan">
      <formula>120</formula>
    </cfRule>
    <cfRule type="cellIs" dxfId="0" priority="5387" operator="lessThan">
      <formula>20</formula>
    </cfRule>
  </conditionalFormatting>
  <conditionalFormatting sqref="AU223">
    <cfRule type="containsText" dxfId="2" priority="4376" operator="between" text="库存为">
      <formula>NOT(ISERROR(SEARCH("库存为",AU223)))</formula>
    </cfRule>
    <cfRule type="cellIs" dxfId="1" priority="4881" operator="greaterThan">
      <formula>120</formula>
    </cfRule>
    <cfRule type="cellIs" dxfId="0" priority="5386" operator="lessThan">
      <formula>20</formula>
    </cfRule>
  </conditionalFormatting>
  <conditionalFormatting sqref="AU224">
    <cfRule type="containsText" dxfId="2" priority="4375" operator="between" text="库存为">
      <formula>NOT(ISERROR(SEARCH("库存为",AU224)))</formula>
    </cfRule>
    <cfRule type="cellIs" dxfId="1" priority="4880" operator="greaterThan">
      <formula>120</formula>
    </cfRule>
    <cfRule type="cellIs" dxfId="0" priority="5385" operator="lessThan">
      <formula>20</formula>
    </cfRule>
  </conditionalFormatting>
  <conditionalFormatting sqref="AU225">
    <cfRule type="containsText" dxfId="2" priority="4374" operator="between" text="库存为">
      <formula>NOT(ISERROR(SEARCH("库存为",AU225)))</formula>
    </cfRule>
    <cfRule type="cellIs" dxfId="1" priority="4879" operator="greaterThan">
      <formula>120</formula>
    </cfRule>
    <cfRule type="cellIs" dxfId="0" priority="5384" operator="lessThan">
      <formula>20</formula>
    </cfRule>
  </conditionalFormatting>
  <conditionalFormatting sqref="AU226">
    <cfRule type="containsText" dxfId="2" priority="4373" operator="between" text="库存为">
      <formula>NOT(ISERROR(SEARCH("库存为",AU226)))</formula>
    </cfRule>
    <cfRule type="cellIs" dxfId="1" priority="4878" operator="greaterThan">
      <formula>120</formula>
    </cfRule>
    <cfRule type="cellIs" dxfId="0" priority="5383" operator="lessThan">
      <formula>20</formula>
    </cfRule>
  </conditionalFormatting>
  <conditionalFormatting sqref="AU227">
    <cfRule type="containsText" dxfId="2" priority="4372" operator="between" text="库存为">
      <formula>NOT(ISERROR(SEARCH("库存为",AU227)))</formula>
    </cfRule>
    <cfRule type="cellIs" dxfId="1" priority="4877" operator="greaterThan">
      <formula>120</formula>
    </cfRule>
    <cfRule type="cellIs" dxfId="0" priority="5382" operator="lessThan">
      <formula>20</formula>
    </cfRule>
  </conditionalFormatting>
  <conditionalFormatting sqref="AU228">
    <cfRule type="containsText" dxfId="2" priority="4371" operator="between" text="库存为">
      <formula>NOT(ISERROR(SEARCH("库存为",AU228)))</formula>
    </cfRule>
    <cfRule type="cellIs" dxfId="1" priority="4876" operator="greaterThan">
      <formula>120</formula>
    </cfRule>
    <cfRule type="cellIs" dxfId="0" priority="5381" operator="lessThan">
      <formula>20</formula>
    </cfRule>
  </conditionalFormatting>
  <conditionalFormatting sqref="AU229">
    <cfRule type="containsText" dxfId="2" priority="4370" operator="between" text="库存为">
      <formula>NOT(ISERROR(SEARCH("库存为",AU229)))</formula>
    </cfRule>
    <cfRule type="cellIs" dxfId="1" priority="4875" operator="greaterThan">
      <formula>120</formula>
    </cfRule>
    <cfRule type="cellIs" dxfId="0" priority="5380" operator="lessThan">
      <formula>20</formula>
    </cfRule>
  </conditionalFormatting>
  <conditionalFormatting sqref="AU230">
    <cfRule type="containsText" dxfId="2" priority="4369" operator="between" text="库存为">
      <formula>NOT(ISERROR(SEARCH("库存为",AU230)))</formula>
    </cfRule>
    <cfRule type="cellIs" dxfId="1" priority="4874" operator="greaterThan">
      <formula>120</formula>
    </cfRule>
    <cfRule type="cellIs" dxfId="0" priority="5379" operator="lessThan">
      <formula>20</formula>
    </cfRule>
  </conditionalFormatting>
  <conditionalFormatting sqref="AU231">
    <cfRule type="containsText" dxfId="2" priority="4368" operator="between" text="库存为">
      <formula>NOT(ISERROR(SEARCH("库存为",AU231)))</formula>
    </cfRule>
    <cfRule type="cellIs" dxfId="1" priority="4873" operator="greaterThan">
      <formula>120</formula>
    </cfRule>
    <cfRule type="cellIs" dxfId="0" priority="5378" operator="lessThan">
      <formula>20</formula>
    </cfRule>
  </conditionalFormatting>
  <conditionalFormatting sqref="AU232">
    <cfRule type="containsText" dxfId="2" priority="4367" operator="between" text="库存为">
      <formula>NOT(ISERROR(SEARCH("库存为",AU232)))</formula>
    </cfRule>
    <cfRule type="cellIs" dxfId="1" priority="4872" operator="greaterThan">
      <formula>120</formula>
    </cfRule>
    <cfRule type="cellIs" dxfId="0" priority="5377" operator="lessThan">
      <formula>20</formula>
    </cfRule>
  </conditionalFormatting>
  <conditionalFormatting sqref="AU233">
    <cfRule type="containsText" dxfId="2" priority="4366" operator="between" text="库存为">
      <formula>NOT(ISERROR(SEARCH("库存为",AU233)))</formula>
    </cfRule>
    <cfRule type="cellIs" dxfId="1" priority="4871" operator="greaterThan">
      <formula>120</formula>
    </cfRule>
    <cfRule type="cellIs" dxfId="0" priority="5376" operator="lessThan">
      <formula>20</formula>
    </cfRule>
  </conditionalFormatting>
  <conditionalFormatting sqref="AU234">
    <cfRule type="containsText" dxfId="2" priority="4365" operator="between" text="库存为">
      <formula>NOT(ISERROR(SEARCH("库存为",AU234)))</formula>
    </cfRule>
    <cfRule type="cellIs" dxfId="1" priority="4870" operator="greaterThan">
      <formula>120</formula>
    </cfRule>
    <cfRule type="cellIs" dxfId="0" priority="5375" operator="lessThan">
      <formula>20</formula>
    </cfRule>
  </conditionalFormatting>
  <conditionalFormatting sqref="AU235">
    <cfRule type="containsText" dxfId="2" priority="4364" operator="between" text="库存为">
      <formula>NOT(ISERROR(SEARCH("库存为",AU235)))</formula>
    </cfRule>
    <cfRule type="cellIs" dxfId="1" priority="4869" operator="greaterThan">
      <formula>120</formula>
    </cfRule>
    <cfRule type="cellIs" dxfId="0" priority="5374" operator="lessThan">
      <formula>20</formula>
    </cfRule>
  </conditionalFormatting>
  <conditionalFormatting sqref="AU236">
    <cfRule type="containsText" dxfId="2" priority="4363" operator="between" text="库存为">
      <formula>NOT(ISERROR(SEARCH("库存为",AU236)))</formula>
    </cfRule>
    <cfRule type="cellIs" dxfId="1" priority="4868" operator="greaterThan">
      <formula>120</formula>
    </cfRule>
    <cfRule type="cellIs" dxfId="0" priority="5373" operator="lessThan">
      <formula>20</formula>
    </cfRule>
  </conditionalFormatting>
  <conditionalFormatting sqref="AU237">
    <cfRule type="containsText" dxfId="2" priority="4362" operator="between" text="库存为">
      <formula>NOT(ISERROR(SEARCH("库存为",AU237)))</formula>
    </cfRule>
    <cfRule type="cellIs" dxfId="1" priority="4867" operator="greaterThan">
      <formula>120</formula>
    </cfRule>
    <cfRule type="cellIs" dxfId="0" priority="5372" operator="lessThan">
      <formula>20</formula>
    </cfRule>
  </conditionalFormatting>
  <conditionalFormatting sqref="AU238">
    <cfRule type="containsText" dxfId="2" priority="4361" operator="between" text="库存为">
      <formula>NOT(ISERROR(SEARCH("库存为",AU238)))</formula>
    </cfRule>
    <cfRule type="cellIs" dxfId="1" priority="4866" operator="greaterThan">
      <formula>120</formula>
    </cfRule>
    <cfRule type="cellIs" dxfId="0" priority="5371" operator="lessThan">
      <formula>20</formula>
    </cfRule>
  </conditionalFormatting>
  <conditionalFormatting sqref="AU239">
    <cfRule type="containsText" dxfId="2" priority="4360" operator="between" text="库存为">
      <formula>NOT(ISERROR(SEARCH("库存为",AU239)))</formula>
    </cfRule>
    <cfRule type="cellIs" dxfId="1" priority="4865" operator="greaterThan">
      <formula>120</formula>
    </cfRule>
    <cfRule type="cellIs" dxfId="0" priority="5370" operator="lessThan">
      <formula>20</formula>
    </cfRule>
  </conditionalFormatting>
  <conditionalFormatting sqref="AU240">
    <cfRule type="containsText" dxfId="2" priority="4359" operator="between" text="库存为">
      <formula>NOT(ISERROR(SEARCH("库存为",AU240)))</formula>
    </cfRule>
    <cfRule type="cellIs" dxfId="1" priority="4864" operator="greaterThan">
      <formula>120</formula>
    </cfRule>
    <cfRule type="cellIs" dxfId="0" priority="5369" operator="lessThan">
      <formula>20</formula>
    </cfRule>
  </conditionalFormatting>
  <conditionalFormatting sqref="AU241">
    <cfRule type="containsText" dxfId="2" priority="4358" operator="between" text="库存为">
      <formula>NOT(ISERROR(SEARCH("库存为",AU241)))</formula>
    </cfRule>
    <cfRule type="cellIs" dxfId="1" priority="4863" operator="greaterThan">
      <formula>120</formula>
    </cfRule>
    <cfRule type="cellIs" dxfId="0" priority="5368" operator="lessThan">
      <formula>20</formula>
    </cfRule>
  </conditionalFormatting>
  <conditionalFormatting sqref="AU242">
    <cfRule type="containsText" dxfId="2" priority="4357" operator="between" text="库存为">
      <formula>NOT(ISERROR(SEARCH("库存为",AU242)))</formula>
    </cfRule>
    <cfRule type="cellIs" dxfId="1" priority="4862" operator="greaterThan">
      <formula>120</formula>
    </cfRule>
    <cfRule type="cellIs" dxfId="0" priority="5367" operator="lessThan">
      <formula>20</formula>
    </cfRule>
  </conditionalFormatting>
  <conditionalFormatting sqref="AU243">
    <cfRule type="containsText" dxfId="2" priority="4356" operator="between" text="库存为">
      <formula>NOT(ISERROR(SEARCH("库存为",AU243)))</formula>
    </cfRule>
    <cfRule type="cellIs" dxfId="1" priority="4861" operator="greaterThan">
      <formula>120</formula>
    </cfRule>
    <cfRule type="cellIs" dxfId="0" priority="5366" operator="lessThan">
      <formula>20</formula>
    </cfRule>
  </conditionalFormatting>
  <conditionalFormatting sqref="AU244">
    <cfRule type="containsText" dxfId="2" priority="4355" operator="between" text="库存为">
      <formula>NOT(ISERROR(SEARCH("库存为",AU244)))</formula>
    </cfRule>
    <cfRule type="cellIs" dxfId="1" priority="4860" operator="greaterThan">
      <formula>120</formula>
    </cfRule>
    <cfRule type="cellIs" dxfId="0" priority="5365" operator="lessThan">
      <formula>20</formula>
    </cfRule>
  </conditionalFormatting>
  <conditionalFormatting sqref="AU245">
    <cfRule type="containsText" dxfId="2" priority="4354" operator="between" text="库存为">
      <formula>NOT(ISERROR(SEARCH("库存为",AU245)))</formula>
    </cfRule>
    <cfRule type="cellIs" dxfId="1" priority="4859" operator="greaterThan">
      <formula>120</formula>
    </cfRule>
    <cfRule type="cellIs" dxfId="0" priority="5364" operator="lessThan">
      <formula>20</formula>
    </cfRule>
  </conditionalFormatting>
  <conditionalFormatting sqref="AU246">
    <cfRule type="containsText" dxfId="2" priority="4353" operator="between" text="库存为">
      <formula>NOT(ISERROR(SEARCH("库存为",AU246)))</formula>
    </cfRule>
    <cfRule type="cellIs" dxfId="1" priority="4858" operator="greaterThan">
      <formula>120</formula>
    </cfRule>
    <cfRule type="cellIs" dxfId="0" priority="5363" operator="lessThan">
      <formula>20</formula>
    </cfRule>
  </conditionalFormatting>
  <conditionalFormatting sqref="AU247">
    <cfRule type="containsText" dxfId="2" priority="4352" operator="between" text="库存为">
      <formula>NOT(ISERROR(SEARCH("库存为",AU247)))</formula>
    </cfRule>
    <cfRule type="cellIs" dxfId="1" priority="4857" operator="greaterThan">
      <formula>120</formula>
    </cfRule>
    <cfRule type="cellIs" dxfId="0" priority="5362" operator="lessThan">
      <formula>20</formula>
    </cfRule>
  </conditionalFormatting>
  <conditionalFormatting sqref="AU248">
    <cfRule type="containsText" dxfId="2" priority="4351" operator="between" text="库存为">
      <formula>NOT(ISERROR(SEARCH("库存为",AU248)))</formula>
    </cfRule>
    <cfRule type="cellIs" dxfId="1" priority="4856" operator="greaterThan">
      <formula>120</formula>
    </cfRule>
    <cfRule type="cellIs" dxfId="0" priority="5361" operator="lessThan">
      <formula>20</formula>
    </cfRule>
  </conditionalFormatting>
  <conditionalFormatting sqref="AU249">
    <cfRule type="containsText" dxfId="2" priority="4350" operator="between" text="库存为">
      <formula>NOT(ISERROR(SEARCH("库存为",AU249)))</formula>
    </cfRule>
    <cfRule type="cellIs" dxfId="1" priority="4855" operator="greaterThan">
      <formula>120</formula>
    </cfRule>
    <cfRule type="cellIs" dxfId="0" priority="5360" operator="lessThan">
      <formula>20</formula>
    </cfRule>
  </conditionalFormatting>
  <conditionalFormatting sqref="AU250">
    <cfRule type="containsText" dxfId="2" priority="4349" operator="between" text="库存为">
      <formula>NOT(ISERROR(SEARCH("库存为",AU250)))</formula>
    </cfRule>
    <cfRule type="cellIs" dxfId="1" priority="4854" operator="greaterThan">
      <formula>120</formula>
    </cfRule>
    <cfRule type="cellIs" dxfId="0" priority="5359" operator="lessThan">
      <formula>20</formula>
    </cfRule>
  </conditionalFormatting>
  <conditionalFormatting sqref="AU251">
    <cfRule type="containsText" dxfId="2" priority="4348" operator="between" text="库存为">
      <formula>NOT(ISERROR(SEARCH("库存为",AU251)))</formula>
    </cfRule>
    <cfRule type="cellIs" dxfId="1" priority="4853" operator="greaterThan">
      <formula>120</formula>
    </cfRule>
    <cfRule type="cellIs" dxfId="0" priority="5358" operator="lessThan">
      <formula>20</formula>
    </cfRule>
  </conditionalFormatting>
  <conditionalFormatting sqref="AU252">
    <cfRule type="containsText" dxfId="2" priority="4347" operator="between" text="库存为">
      <formula>NOT(ISERROR(SEARCH("库存为",AU252)))</formula>
    </cfRule>
    <cfRule type="cellIs" dxfId="1" priority="4852" operator="greaterThan">
      <formula>120</formula>
    </cfRule>
    <cfRule type="cellIs" dxfId="0" priority="5357" operator="lessThan">
      <formula>20</formula>
    </cfRule>
  </conditionalFormatting>
  <conditionalFormatting sqref="AU253">
    <cfRule type="containsText" dxfId="2" priority="4346" operator="between" text="库存为">
      <formula>NOT(ISERROR(SEARCH("库存为",AU253)))</formula>
    </cfRule>
    <cfRule type="cellIs" dxfId="1" priority="4851" operator="greaterThan">
      <formula>120</formula>
    </cfRule>
    <cfRule type="cellIs" dxfId="0" priority="5356" operator="lessThan">
      <formula>20</formula>
    </cfRule>
  </conditionalFormatting>
  <conditionalFormatting sqref="AU254">
    <cfRule type="containsText" dxfId="2" priority="4345" operator="between" text="库存为">
      <formula>NOT(ISERROR(SEARCH("库存为",AU254)))</formula>
    </cfRule>
    <cfRule type="cellIs" dxfId="1" priority="4850" operator="greaterThan">
      <formula>120</formula>
    </cfRule>
    <cfRule type="cellIs" dxfId="0" priority="5355" operator="lessThan">
      <formula>20</formula>
    </cfRule>
  </conditionalFormatting>
  <conditionalFormatting sqref="AU255">
    <cfRule type="containsText" dxfId="2" priority="4344" operator="between" text="库存为">
      <formula>NOT(ISERROR(SEARCH("库存为",AU255)))</formula>
    </cfRule>
    <cfRule type="cellIs" dxfId="1" priority="4849" operator="greaterThan">
      <formula>120</formula>
    </cfRule>
    <cfRule type="cellIs" dxfId="0" priority="5354" operator="lessThan">
      <formula>20</formula>
    </cfRule>
  </conditionalFormatting>
  <conditionalFormatting sqref="AU256">
    <cfRule type="containsText" dxfId="2" priority="4343" operator="between" text="库存为">
      <formula>NOT(ISERROR(SEARCH("库存为",AU256)))</formula>
    </cfRule>
    <cfRule type="cellIs" dxfId="1" priority="4848" operator="greaterThan">
      <formula>120</formula>
    </cfRule>
    <cfRule type="cellIs" dxfId="0" priority="5353" operator="lessThan">
      <formula>20</formula>
    </cfRule>
  </conditionalFormatting>
  <conditionalFormatting sqref="AU257">
    <cfRule type="containsText" dxfId="2" priority="4342" operator="between" text="库存为">
      <formula>NOT(ISERROR(SEARCH("库存为",AU257)))</formula>
    </cfRule>
    <cfRule type="cellIs" dxfId="1" priority="4847" operator="greaterThan">
      <formula>120</formula>
    </cfRule>
    <cfRule type="cellIs" dxfId="0" priority="5352" operator="lessThan">
      <formula>20</formula>
    </cfRule>
  </conditionalFormatting>
  <conditionalFormatting sqref="AU258">
    <cfRule type="containsText" dxfId="2" priority="4341" operator="between" text="库存为">
      <formula>NOT(ISERROR(SEARCH("库存为",AU258)))</formula>
    </cfRule>
    <cfRule type="cellIs" dxfId="1" priority="4846" operator="greaterThan">
      <formula>120</formula>
    </cfRule>
    <cfRule type="cellIs" dxfId="0" priority="5351" operator="lessThan">
      <formula>20</formula>
    </cfRule>
  </conditionalFormatting>
  <conditionalFormatting sqref="AU259">
    <cfRule type="containsText" dxfId="2" priority="4340" operator="between" text="库存为">
      <formula>NOT(ISERROR(SEARCH("库存为",AU259)))</formula>
    </cfRule>
    <cfRule type="cellIs" dxfId="1" priority="4845" operator="greaterThan">
      <formula>120</formula>
    </cfRule>
    <cfRule type="cellIs" dxfId="0" priority="5350" operator="lessThan">
      <formula>20</formula>
    </cfRule>
  </conditionalFormatting>
  <conditionalFormatting sqref="AU260">
    <cfRule type="containsText" dxfId="2" priority="4339" operator="between" text="库存为">
      <formula>NOT(ISERROR(SEARCH("库存为",AU260)))</formula>
    </cfRule>
    <cfRule type="cellIs" dxfId="1" priority="4844" operator="greaterThan">
      <formula>120</formula>
    </cfRule>
    <cfRule type="cellIs" dxfId="0" priority="5349" operator="lessThan">
      <formula>20</formula>
    </cfRule>
  </conditionalFormatting>
  <conditionalFormatting sqref="AU261">
    <cfRule type="containsText" dxfId="2" priority="4338" operator="between" text="库存为">
      <formula>NOT(ISERROR(SEARCH("库存为",AU261)))</formula>
    </cfRule>
    <cfRule type="cellIs" dxfId="1" priority="4843" operator="greaterThan">
      <formula>120</formula>
    </cfRule>
    <cfRule type="cellIs" dxfId="0" priority="5348" operator="lessThan">
      <formula>20</formula>
    </cfRule>
  </conditionalFormatting>
  <conditionalFormatting sqref="AU262">
    <cfRule type="containsText" dxfId="2" priority="4337" operator="between" text="库存为">
      <formula>NOT(ISERROR(SEARCH("库存为",AU262)))</formula>
    </cfRule>
    <cfRule type="cellIs" dxfId="1" priority="4842" operator="greaterThan">
      <formula>120</formula>
    </cfRule>
    <cfRule type="cellIs" dxfId="0" priority="5347" operator="lessThan">
      <formula>20</formula>
    </cfRule>
  </conditionalFormatting>
  <conditionalFormatting sqref="AU263">
    <cfRule type="containsText" dxfId="2" priority="4336" operator="between" text="库存为">
      <formula>NOT(ISERROR(SEARCH("库存为",AU263)))</formula>
    </cfRule>
    <cfRule type="cellIs" dxfId="1" priority="4841" operator="greaterThan">
      <formula>120</formula>
    </cfRule>
    <cfRule type="cellIs" dxfId="0" priority="5346" operator="lessThan">
      <formula>20</formula>
    </cfRule>
  </conditionalFormatting>
  <conditionalFormatting sqref="AU264">
    <cfRule type="containsText" dxfId="2" priority="4335" operator="between" text="库存为">
      <formula>NOT(ISERROR(SEARCH("库存为",AU264)))</formula>
    </cfRule>
    <cfRule type="cellIs" dxfId="1" priority="4840" operator="greaterThan">
      <formula>120</formula>
    </cfRule>
    <cfRule type="cellIs" dxfId="0" priority="5345" operator="lessThan">
      <formula>20</formula>
    </cfRule>
  </conditionalFormatting>
  <conditionalFormatting sqref="AU265">
    <cfRule type="containsText" dxfId="2" priority="4334" operator="between" text="库存为">
      <formula>NOT(ISERROR(SEARCH("库存为",AU265)))</formula>
    </cfRule>
    <cfRule type="cellIs" dxfId="1" priority="4839" operator="greaterThan">
      <formula>120</formula>
    </cfRule>
    <cfRule type="cellIs" dxfId="0" priority="5344" operator="lessThan">
      <formula>20</formula>
    </cfRule>
  </conditionalFormatting>
  <conditionalFormatting sqref="AU266">
    <cfRule type="containsText" dxfId="2" priority="4333" operator="between" text="库存为">
      <formula>NOT(ISERROR(SEARCH("库存为",AU266)))</formula>
    </cfRule>
    <cfRule type="cellIs" dxfId="1" priority="4838" operator="greaterThan">
      <formula>120</formula>
    </cfRule>
    <cfRule type="cellIs" dxfId="0" priority="5343" operator="lessThan">
      <formula>20</formula>
    </cfRule>
  </conditionalFormatting>
  <conditionalFormatting sqref="AU267">
    <cfRule type="containsText" dxfId="2" priority="4332" operator="between" text="库存为">
      <formula>NOT(ISERROR(SEARCH("库存为",AU267)))</formula>
    </cfRule>
    <cfRule type="cellIs" dxfId="1" priority="4837" operator="greaterThan">
      <formula>120</formula>
    </cfRule>
    <cfRule type="cellIs" dxfId="0" priority="5342" operator="lessThan">
      <formula>20</formula>
    </cfRule>
  </conditionalFormatting>
  <conditionalFormatting sqref="AU268">
    <cfRule type="containsText" dxfId="2" priority="4331" operator="between" text="库存为">
      <formula>NOT(ISERROR(SEARCH("库存为",AU268)))</formula>
    </cfRule>
    <cfRule type="cellIs" dxfId="1" priority="4836" operator="greaterThan">
      <formula>120</formula>
    </cfRule>
    <cfRule type="cellIs" dxfId="0" priority="5341" operator="lessThan">
      <formula>20</formula>
    </cfRule>
  </conditionalFormatting>
  <conditionalFormatting sqref="AU269">
    <cfRule type="containsText" dxfId="2" priority="4330" operator="between" text="库存为">
      <formula>NOT(ISERROR(SEARCH("库存为",AU269)))</formula>
    </cfRule>
    <cfRule type="cellIs" dxfId="1" priority="4835" operator="greaterThan">
      <formula>120</formula>
    </cfRule>
    <cfRule type="cellIs" dxfId="0" priority="5340" operator="lessThan">
      <formula>20</formula>
    </cfRule>
  </conditionalFormatting>
  <conditionalFormatting sqref="AU270">
    <cfRule type="containsText" dxfId="2" priority="4329" operator="between" text="库存为">
      <formula>NOT(ISERROR(SEARCH("库存为",AU270)))</formula>
    </cfRule>
    <cfRule type="cellIs" dxfId="1" priority="4834" operator="greaterThan">
      <formula>120</formula>
    </cfRule>
    <cfRule type="cellIs" dxfId="0" priority="5339" operator="lessThan">
      <formula>20</formula>
    </cfRule>
  </conditionalFormatting>
  <conditionalFormatting sqref="AU271">
    <cfRule type="containsText" dxfId="2" priority="4328" operator="between" text="库存为">
      <formula>NOT(ISERROR(SEARCH("库存为",AU271)))</formula>
    </cfRule>
    <cfRule type="cellIs" dxfId="1" priority="4833" operator="greaterThan">
      <formula>120</formula>
    </cfRule>
    <cfRule type="cellIs" dxfId="0" priority="5338" operator="lessThan">
      <formula>20</formula>
    </cfRule>
  </conditionalFormatting>
  <conditionalFormatting sqref="AU272">
    <cfRule type="containsText" dxfId="2" priority="4327" operator="between" text="库存为">
      <formula>NOT(ISERROR(SEARCH("库存为",AU272)))</formula>
    </cfRule>
    <cfRule type="cellIs" dxfId="1" priority="4832" operator="greaterThan">
      <formula>120</formula>
    </cfRule>
    <cfRule type="cellIs" dxfId="0" priority="5337" operator="lessThan">
      <formula>20</formula>
    </cfRule>
  </conditionalFormatting>
  <conditionalFormatting sqref="AU273">
    <cfRule type="containsText" dxfId="2" priority="4326" operator="between" text="库存为">
      <formula>NOT(ISERROR(SEARCH("库存为",AU273)))</formula>
    </cfRule>
    <cfRule type="cellIs" dxfId="1" priority="4831" operator="greaterThan">
      <formula>120</formula>
    </cfRule>
    <cfRule type="cellIs" dxfId="0" priority="5336" operator="lessThan">
      <formula>20</formula>
    </cfRule>
  </conditionalFormatting>
  <conditionalFormatting sqref="AU274">
    <cfRule type="containsText" dxfId="2" priority="4325" operator="between" text="库存为">
      <formula>NOT(ISERROR(SEARCH("库存为",AU274)))</formula>
    </cfRule>
    <cfRule type="cellIs" dxfId="1" priority="4830" operator="greaterThan">
      <formula>120</formula>
    </cfRule>
    <cfRule type="cellIs" dxfId="0" priority="5335" operator="lessThan">
      <formula>20</formula>
    </cfRule>
  </conditionalFormatting>
  <conditionalFormatting sqref="AU275">
    <cfRule type="containsText" dxfId="2" priority="4324" operator="between" text="库存为">
      <formula>NOT(ISERROR(SEARCH("库存为",AU275)))</formula>
    </cfRule>
    <cfRule type="cellIs" dxfId="1" priority="4829" operator="greaterThan">
      <formula>120</formula>
    </cfRule>
    <cfRule type="cellIs" dxfId="0" priority="5334" operator="lessThan">
      <formula>20</formula>
    </cfRule>
  </conditionalFormatting>
  <conditionalFormatting sqref="AU276">
    <cfRule type="containsText" dxfId="2" priority="4323" operator="between" text="库存为">
      <formula>NOT(ISERROR(SEARCH("库存为",AU276)))</formula>
    </cfRule>
    <cfRule type="cellIs" dxfId="1" priority="4828" operator="greaterThan">
      <formula>120</formula>
    </cfRule>
    <cfRule type="cellIs" dxfId="0" priority="5333" operator="lessThan">
      <formula>20</formula>
    </cfRule>
  </conditionalFormatting>
  <conditionalFormatting sqref="AU277">
    <cfRule type="containsText" dxfId="2" priority="4322" operator="between" text="库存为">
      <formula>NOT(ISERROR(SEARCH("库存为",AU277)))</formula>
    </cfRule>
    <cfRule type="cellIs" dxfId="1" priority="4827" operator="greaterThan">
      <formula>120</formula>
    </cfRule>
    <cfRule type="cellIs" dxfId="0" priority="5332" operator="lessThan">
      <formula>20</formula>
    </cfRule>
  </conditionalFormatting>
  <conditionalFormatting sqref="AU278">
    <cfRule type="containsText" dxfId="2" priority="4321" operator="between" text="库存为">
      <formula>NOT(ISERROR(SEARCH("库存为",AU278)))</formula>
    </cfRule>
    <cfRule type="cellIs" dxfId="1" priority="4826" operator="greaterThan">
      <formula>120</formula>
    </cfRule>
    <cfRule type="cellIs" dxfId="0" priority="5331" operator="lessThan">
      <formula>20</formula>
    </cfRule>
  </conditionalFormatting>
  <conditionalFormatting sqref="AU279">
    <cfRule type="containsText" dxfId="2" priority="4320" operator="between" text="库存为">
      <formula>NOT(ISERROR(SEARCH("库存为",AU279)))</formula>
    </cfRule>
    <cfRule type="cellIs" dxfId="1" priority="4825" operator="greaterThan">
      <formula>120</formula>
    </cfRule>
    <cfRule type="cellIs" dxfId="0" priority="5330" operator="lessThan">
      <formula>20</formula>
    </cfRule>
  </conditionalFormatting>
  <conditionalFormatting sqref="AU280">
    <cfRule type="containsText" dxfId="2" priority="4319" operator="between" text="库存为">
      <formula>NOT(ISERROR(SEARCH("库存为",AU280)))</formula>
    </cfRule>
    <cfRule type="cellIs" dxfId="1" priority="4824" operator="greaterThan">
      <formula>120</formula>
    </cfRule>
    <cfRule type="cellIs" dxfId="0" priority="5329" operator="lessThan">
      <formula>20</formula>
    </cfRule>
  </conditionalFormatting>
  <conditionalFormatting sqref="AU281">
    <cfRule type="containsText" dxfId="2" priority="4318" operator="between" text="库存为">
      <formula>NOT(ISERROR(SEARCH("库存为",AU281)))</formula>
    </cfRule>
    <cfRule type="cellIs" dxfId="1" priority="4823" operator="greaterThan">
      <formula>120</formula>
    </cfRule>
    <cfRule type="cellIs" dxfId="0" priority="5328" operator="lessThan">
      <formula>20</formula>
    </cfRule>
  </conditionalFormatting>
  <conditionalFormatting sqref="AU282">
    <cfRule type="containsText" dxfId="2" priority="4317" operator="between" text="库存为">
      <formula>NOT(ISERROR(SEARCH("库存为",AU282)))</formula>
    </cfRule>
    <cfRule type="cellIs" dxfId="1" priority="4822" operator="greaterThan">
      <formula>120</formula>
    </cfRule>
    <cfRule type="cellIs" dxfId="0" priority="5327" operator="lessThan">
      <formula>20</formula>
    </cfRule>
  </conditionalFormatting>
  <conditionalFormatting sqref="AU283">
    <cfRule type="containsText" dxfId="2" priority="4316" operator="between" text="库存为">
      <formula>NOT(ISERROR(SEARCH("库存为",AU283)))</formula>
    </cfRule>
    <cfRule type="cellIs" dxfId="1" priority="4821" operator="greaterThan">
      <formula>120</formula>
    </cfRule>
    <cfRule type="cellIs" dxfId="0" priority="5326" operator="lessThan">
      <formula>20</formula>
    </cfRule>
  </conditionalFormatting>
  <conditionalFormatting sqref="AU284">
    <cfRule type="containsText" dxfId="2" priority="4315" operator="between" text="库存为">
      <formula>NOT(ISERROR(SEARCH("库存为",AU284)))</formula>
    </cfRule>
    <cfRule type="cellIs" dxfId="1" priority="4820" operator="greaterThan">
      <formula>120</formula>
    </cfRule>
    <cfRule type="cellIs" dxfId="0" priority="5325" operator="lessThan">
      <formula>20</formula>
    </cfRule>
  </conditionalFormatting>
  <conditionalFormatting sqref="AU285">
    <cfRule type="containsText" dxfId="2" priority="4314" operator="between" text="库存为">
      <formula>NOT(ISERROR(SEARCH("库存为",AU285)))</formula>
    </cfRule>
    <cfRule type="cellIs" dxfId="1" priority="4819" operator="greaterThan">
      <formula>120</formula>
    </cfRule>
    <cfRule type="cellIs" dxfId="0" priority="5324" operator="lessThan">
      <formula>20</formula>
    </cfRule>
  </conditionalFormatting>
  <conditionalFormatting sqref="AU286">
    <cfRule type="containsText" dxfId="2" priority="4313" operator="between" text="库存为">
      <formula>NOT(ISERROR(SEARCH("库存为",AU286)))</formula>
    </cfRule>
    <cfRule type="cellIs" dxfId="1" priority="4818" operator="greaterThan">
      <formula>120</formula>
    </cfRule>
    <cfRule type="cellIs" dxfId="0" priority="5323" operator="lessThan">
      <formula>20</formula>
    </cfRule>
  </conditionalFormatting>
  <conditionalFormatting sqref="AU287">
    <cfRule type="containsText" dxfId="2" priority="4312" operator="between" text="库存为">
      <formula>NOT(ISERROR(SEARCH("库存为",AU287)))</formula>
    </cfRule>
    <cfRule type="cellIs" dxfId="1" priority="4817" operator="greaterThan">
      <formula>120</formula>
    </cfRule>
    <cfRule type="cellIs" dxfId="0" priority="5322" operator="lessThan">
      <formula>20</formula>
    </cfRule>
  </conditionalFormatting>
  <conditionalFormatting sqref="AU288">
    <cfRule type="containsText" dxfId="2" priority="4311" operator="between" text="库存为">
      <formula>NOT(ISERROR(SEARCH("库存为",AU288)))</formula>
    </cfRule>
    <cfRule type="cellIs" dxfId="1" priority="4816" operator="greaterThan">
      <formula>120</formula>
    </cfRule>
    <cfRule type="cellIs" dxfId="0" priority="5321" operator="lessThan">
      <formula>20</formula>
    </cfRule>
  </conditionalFormatting>
  <conditionalFormatting sqref="AU289">
    <cfRule type="containsText" dxfId="2" priority="4310" operator="between" text="库存为">
      <formula>NOT(ISERROR(SEARCH("库存为",AU289)))</formula>
    </cfRule>
    <cfRule type="cellIs" dxfId="1" priority="4815" operator="greaterThan">
      <formula>120</formula>
    </cfRule>
    <cfRule type="cellIs" dxfId="0" priority="5320" operator="lessThan">
      <formula>20</formula>
    </cfRule>
  </conditionalFormatting>
  <conditionalFormatting sqref="AU290">
    <cfRule type="containsText" dxfId="2" priority="4309" operator="between" text="库存为">
      <formula>NOT(ISERROR(SEARCH("库存为",AU290)))</formula>
    </cfRule>
    <cfRule type="cellIs" dxfId="1" priority="4814" operator="greaterThan">
      <formula>120</formula>
    </cfRule>
    <cfRule type="cellIs" dxfId="0" priority="5319" operator="lessThan">
      <formula>20</formula>
    </cfRule>
  </conditionalFormatting>
  <conditionalFormatting sqref="AU291">
    <cfRule type="containsText" dxfId="2" priority="4308" operator="between" text="库存为">
      <formula>NOT(ISERROR(SEARCH("库存为",AU291)))</formula>
    </cfRule>
    <cfRule type="cellIs" dxfId="1" priority="4813" operator="greaterThan">
      <formula>120</formula>
    </cfRule>
    <cfRule type="cellIs" dxfId="0" priority="5318" operator="lessThan">
      <formula>20</formula>
    </cfRule>
  </conditionalFormatting>
  <conditionalFormatting sqref="AU292">
    <cfRule type="containsText" dxfId="2" priority="4307" operator="between" text="库存为">
      <formula>NOT(ISERROR(SEARCH("库存为",AU292)))</formula>
    </cfRule>
    <cfRule type="cellIs" dxfId="1" priority="4812" operator="greaterThan">
      <formula>120</formula>
    </cfRule>
    <cfRule type="cellIs" dxfId="0" priority="5317" operator="lessThan">
      <formula>20</formula>
    </cfRule>
  </conditionalFormatting>
  <conditionalFormatting sqref="AU293">
    <cfRule type="containsText" dxfId="2" priority="4306" operator="between" text="库存为">
      <formula>NOT(ISERROR(SEARCH("库存为",AU293)))</formula>
    </cfRule>
    <cfRule type="cellIs" dxfId="1" priority="4811" operator="greaterThan">
      <formula>120</formula>
    </cfRule>
    <cfRule type="cellIs" dxfId="0" priority="5316" operator="lessThan">
      <formula>20</formula>
    </cfRule>
  </conditionalFormatting>
  <conditionalFormatting sqref="AU294">
    <cfRule type="containsText" dxfId="2" priority="4305" operator="between" text="库存为">
      <formula>NOT(ISERROR(SEARCH("库存为",AU294)))</formula>
    </cfRule>
    <cfRule type="cellIs" dxfId="1" priority="4810" operator="greaterThan">
      <formula>120</formula>
    </cfRule>
    <cfRule type="cellIs" dxfId="0" priority="5315" operator="lessThan">
      <formula>20</formula>
    </cfRule>
  </conditionalFormatting>
  <conditionalFormatting sqref="AU295">
    <cfRule type="containsText" dxfId="2" priority="4304" operator="between" text="库存为">
      <formula>NOT(ISERROR(SEARCH("库存为",AU295)))</formula>
    </cfRule>
    <cfRule type="cellIs" dxfId="1" priority="4809" operator="greaterThan">
      <formula>120</formula>
    </cfRule>
    <cfRule type="cellIs" dxfId="0" priority="5314" operator="lessThan">
      <formula>20</formula>
    </cfRule>
  </conditionalFormatting>
  <conditionalFormatting sqref="AU296">
    <cfRule type="containsText" dxfId="2" priority="4303" operator="between" text="库存为">
      <formula>NOT(ISERROR(SEARCH("库存为",AU296)))</formula>
    </cfRule>
    <cfRule type="cellIs" dxfId="1" priority="4808" operator="greaterThan">
      <formula>120</formula>
    </cfRule>
    <cfRule type="cellIs" dxfId="0" priority="5313" operator="lessThan">
      <formula>20</formula>
    </cfRule>
  </conditionalFormatting>
  <conditionalFormatting sqref="AU297">
    <cfRule type="containsText" dxfId="2" priority="4302" operator="between" text="库存为">
      <formula>NOT(ISERROR(SEARCH("库存为",AU297)))</formula>
    </cfRule>
    <cfRule type="cellIs" dxfId="1" priority="4807" operator="greaterThan">
      <formula>120</formula>
    </cfRule>
    <cfRule type="cellIs" dxfId="0" priority="5312" operator="lessThan">
      <formula>20</formula>
    </cfRule>
  </conditionalFormatting>
  <conditionalFormatting sqref="AU298">
    <cfRule type="containsText" dxfId="2" priority="4301" operator="between" text="库存为">
      <formula>NOT(ISERROR(SEARCH("库存为",AU298)))</formula>
    </cfRule>
    <cfRule type="cellIs" dxfId="1" priority="4806" operator="greaterThan">
      <formula>120</formula>
    </cfRule>
    <cfRule type="cellIs" dxfId="0" priority="5311" operator="lessThan">
      <formula>20</formula>
    </cfRule>
  </conditionalFormatting>
  <conditionalFormatting sqref="AU299">
    <cfRule type="containsText" dxfId="2" priority="4300" operator="between" text="库存为">
      <formula>NOT(ISERROR(SEARCH("库存为",AU299)))</formula>
    </cfRule>
    <cfRule type="cellIs" dxfId="1" priority="4805" operator="greaterThan">
      <formula>120</formula>
    </cfRule>
    <cfRule type="cellIs" dxfId="0" priority="5310" operator="lessThan">
      <formula>20</formula>
    </cfRule>
  </conditionalFormatting>
  <conditionalFormatting sqref="AU300">
    <cfRule type="containsText" dxfId="2" priority="4299" operator="between" text="库存为">
      <formula>NOT(ISERROR(SEARCH("库存为",AU300)))</formula>
    </cfRule>
    <cfRule type="cellIs" dxfId="1" priority="4804" operator="greaterThan">
      <formula>120</formula>
    </cfRule>
    <cfRule type="cellIs" dxfId="0" priority="5309" operator="lessThan">
      <formula>20</formula>
    </cfRule>
  </conditionalFormatting>
  <conditionalFormatting sqref="AU301">
    <cfRule type="containsText" dxfId="2" priority="4298" operator="between" text="库存为">
      <formula>NOT(ISERROR(SEARCH("库存为",AU301)))</formula>
    </cfRule>
    <cfRule type="cellIs" dxfId="1" priority="4803" operator="greaterThan">
      <formula>120</formula>
    </cfRule>
    <cfRule type="cellIs" dxfId="0" priority="5308" operator="lessThan">
      <formula>20</formula>
    </cfRule>
  </conditionalFormatting>
  <conditionalFormatting sqref="AU302">
    <cfRule type="containsText" dxfId="2" priority="4297" operator="between" text="库存为">
      <formula>NOT(ISERROR(SEARCH("库存为",AU302)))</formula>
    </cfRule>
    <cfRule type="cellIs" dxfId="1" priority="4802" operator="greaterThan">
      <formula>120</formula>
    </cfRule>
    <cfRule type="cellIs" dxfId="0" priority="5307" operator="lessThan">
      <formula>20</formula>
    </cfRule>
  </conditionalFormatting>
  <conditionalFormatting sqref="AU303">
    <cfRule type="containsText" dxfId="2" priority="4296" operator="between" text="库存为">
      <formula>NOT(ISERROR(SEARCH("库存为",AU303)))</formula>
    </cfRule>
    <cfRule type="cellIs" dxfId="1" priority="4801" operator="greaterThan">
      <formula>120</formula>
    </cfRule>
    <cfRule type="cellIs" dxfId="0" priority="5306" operator="lessThan">
      <formula>20</formula>
    </cfRule>
  </conditionalFormatting>
  <conditionalFormatting sqref="AU304">
    <cfRule type="containsText" dxfId="2" priority="4295" operator="between" text="库存为">
      <formula>NOT(ISERROR(SEARCH("库存为",AU304)))</formula>
    </cfRule>
    <cfRule type="cellIs" dxfId="1" priority="4800" operator="greaterThan">
      <formula>120</formula>
    </cfRule>
    <cfRule type="cellIs" dxfId="0" priority="5305" operator="lessThan">
      <formula>20</formula>
    </cfRule>
  </conditionalFormatting>
  <conditionalFormatting sqref="AU305">
    <cfRule type="containsText" dxfId="2" priority="4294" operator="between" text="库存为">
      <formula>NOT(ISERROR(SEARCH("库存为",AU305)))</formula>
    </cfRule>
    <cfRule type="cellIs" dxfId="1" priority="4799" operator="greaterThan">
      <formula>120</formula>
    </cfRule>
    <cfRule type="cellIs" dxfId="0" priority="5304" operator="lessThan">
      <formula>20</formula>
    </cfRule>
  </conditionalFormatting>
  <conditionalFormatting sqref="AU306">
    <cfRule type="containsText" dxfId="2" priority="4293" operator="between" text="库存为">
      <formula>NOT(ISERROR(SEARCH("库存为",AU306)))</formula>
    </cfRule>
    <cfRule type="cellIs" dxfId="1" priority="4798" operator="greaterThan">
      <formula>120</formula>
    </cfRule>
    <cfRule type="cellIs" dxfId="0" priority="5303" operator="lessThan">
      <formula>20</formula>
    </cfRule>
  </conditionalFormatting>
  <conditionalFormatting sqref="AU307">
    <cfRule type="containsText" dxfId="2" priority="4292" operator="between" text="库存为">
      <formula>NOT(ISERROR(SEARCH("库存为",AU307)))</formula>
    </cfRule>
    <cfRule type="cellIs" dxfId="1" priority="4797" operator="greaterThan">
      <formula>120</formula>
    </cfRule>
    <cfRule type="cellIs" dxfId="0" priority="5302" operator="lessThan">
      <formula>20</formula>
    </cfRule>
  </conditionalFormatting>
  <conditionalFormatting sqref="AU308">
    <cfRule type="containsText" dxfId="2" priority="4291" operator="between" text="库存为">
      <formula>NOT(ISERROR(SEARCH("库存为",AU308)))</formula>
    </cfRule>
    <cfRule type="cellIs" dxfId="1" priority="4796" operator="greaterThan">
      <formula>120</formula>
    </cfRule>
    <cfRule type="cellIs" dxfId="0" priority="5301" operator="lessThan">
      <formula>20</formula>
    </cfRule>
  </conditionalFormatting>
  <conditionalFormatting sqref="AU309">
    <cfRule type="containsText" dxfId="2" priority="4290" operator="between" text="库存为">
      <formula>NOT(ISERROR(SEARCH("库存为",AU309)))</formula>
    </cfRule>
    <cfRule type="cellIs" dxfId="1" priority="4795" operator="greaterThan">
      <formula>120</formula>
    </cfRule>
    <cfRule type="cellIs" dxfId="0" priority="5300" operator="lessThan">
      <formula>20</formula>
    </cfRule>
  </conditionalFormatting>
  <conditionalFormatting sqref="AU310">
    <cfRule type="containsText" dxfId="2" priority="4289" operator="between" text="库存为">
      <formula>NOT(ISERROR(SEARCH("库存为",AU310)))</formula>
    </cfRule>
    <cfRule type="cellIs" dxfId="1" priority="4794" operator="greaterThan">
      <formula>120</formula>
    </cfRule>
    <cfRule type="cellIs" dxfId="0" priority="5299" operator="lessThan">
      <formula>20</formula>
    </cfRule>
  </conditionalFormatting>
  <conditionalFormatting sqref="AU311">
    <cfRule type="containsText" dxfId="2" priority="4288" operator="between" text="库存为">
      <formula>NOT(ISERROR(SEARCH("库存为",AU311)))</formula>
    </cfRule>
    <cfRule type="cellIs" dxfId="1" priority="4793" operator="greaterThan">
      <formula>120</formula>
    </cfRule>
    <cfRule type="cellIs" dxfId="0" priority="5298" operator="lessThan">
      <formula>20</formula>
    </cfRule>
  </conditionalFormatting>
  <conditionalFormatting sqref="AU312">
    <cfRule type="containsText" dxfId="2" priority="4287" operator="between" text="库存为">
      <formula>NOT(ISERROR(SEARCH("库存为",AU312)))</formula>
    </cfRule>
    <cfRule type="cellIs" dxfId="1" priority="4792" operator="greaterThan">
      <formula>120</formula>
    </cfRule>
    <cfRule type="cellIs" dxfId="0" priority="5297" operator="lessThan">
      <formula>20</formula>
    </cfRule>
  </conditionalFormatting>
  <conditionalFormatting sqref="AU313">
    <cfRule type="containsText" dxfId="2" priority="4286" operator="between" text="库存为">
      <formula>NOT(ISERROR(SEARCH("库存为",AU313)))</formula>
    </cfRule>
    <cfRule type="cellIs" dxfId="1" priority="4791" operator="greaterThan">
      <formula>120</formula>
    </cfRule>
    <cfRule type="cellIs" dxfId="0" priority="5296" operator="lessThan">
      <formula>20</formula>
    </cfRule>
  </conditionalFormatting>
  <conditionalFormatting sqref="AU314">
    <cfRule type="containsText" dxfId="2" priority="4285" operator="between" text="库存为">
      <formula>NOT(ISERROR(SEARCH("库存为",AU314)))</formula>
    </cfRule>
    <cfRule type="cellIs" dxfId="1" priority="4790" operator="greaterThan">
      <formula>120</formula>
    </cfRule>
    <cfRule type="cellIs" dxfId="0" priority="5295" operator="lessThan">
      <formula>20</formula>
    </cfRule>
  </conditionalFormatting>
  <conditionalFormatting sqref="AU315">
    <cfRule type="containsText" dxfId="2" priority="4284" operator="between" text="库存为">
      <formula>NOT(ISERROR(SEARCH("库存为",AU315)))</formula>
    </cfRule>
    <cfRule type="cellIs" dxfId="1" priority="4789" operator="greaterThan">
      <formula>120</formula>
    </cfRule>
    <cfRule type="cellIs" dxfId="0" priority="5294" operator="lessThan">
      <formula>20</formula>
    </cfRule>
  </conditionalFormatting>
  <conditionalFormatting sqref="AU316">
    <cfRule type="containsText" dxfId="2" priority="4283" operator="between" text="库存为">
      <formula>NOT(ISERROR(SEARCH("库存为",AU316)))</formula>
    </cfRule>
    <cfRule type="cellIs" dxfId="1" priority="4788" operator="greaterThan">
      <formula>120</formula>
    </cfRule>
    <cfRule type="cellIs" dxfId="0" priority="5293" operator="lessThan">
      <formula>20</formula>
    </cfRule>
  </conditionalFormatting>
  <conditionalFormatting sqref="AU317">
    <cfRule type="containsText" dxfId="2" priority="4282" operator="between" text="库存为">
      <formula>NOT(ISERROR(SEARCH("库存为",AU317)))</formula>
    </cfRule>
    <cfRule type="cellIs" dxfId="1" priority="4787" operator="greaterThan">
      <formula>120</formula>
    </cfRule>
    <cfRule type="cellIs" dxfId="0" priority="5292" operator="lessThan">
      <formula>20</formula>
    </cfRule>
  </conditionalFormatting>
  <conditionalFormatting sqref="AU318">
    <cfRule type="containsText" dxfId="2" priority="4281" operator="between" text="库存为">
      <formula>NOT(ISERROR(SEARCH("库存为",AU318)))</formula>
    </cfRule>
    <cfRule type="cellIs" dxfId="1" priority="4786" operator="greaterThan">
      <formula>120</formula>
    </cfRule>
    <cfRule type="cellIs" dxfId="0" priority="5291" operator="lessThan">
      <formula>20</formula>
    </cfRule>
  </conditionalFormatting>
  <conditionalFormatting sqref="AU319">
    <cfRule type="containsText" dxfId="2" priority="4280" operator="between" text="库存为">
      <formula>NOT(ISERROR(SEARCH("库存为",AU319)))</formula>
    </cfRule>
    <cfRule type="cellIs" dxfId="1" priority="4785" operator="greaterThan">
      <formula>120</formula>
    </cfRule>
    <cfRule type="cellIs" dxfId="0" priority="5290" operator="lessThan">
      <formula>20</formula>
    </cfRule>
  </conditionalFormatting>
  <conditionalFormatting sqref="AU320">
    <cfRule type="containsText" dxfId="2" priority="4279" operator="between" text="库存为">
      <formula>NOT(ISERROR(SEARCH("库存为",AU320)))</formula>
    </cfRule>
    <cfRule type="cellIs" dxfId="1" priority="4784" operator="greaterThan">
      <formula>120</formula>
    </cfRule>
    <cfRule type="cellIs" dxfId="0" priority="5289" operator="lessThan">
      <formula>20</formula>
    </cfRule>
  </conditionalFormatting>
  <conditionalFormatting sqref="AU321">
    <cfRule type="containsText" dxfId="2" priority="4278" operator="between" text="库存为">
      <formula>NOT(ISERROR(SEARCH("库存为",AU321)))</formula>
    </cfRule>
    <cfRule type="cellIs" dxfId="1" priority="4783" operator="greaterThan">
      <formula>120</formula>
    </cfRule>
    <cfRule type="cellIs" dxfId="0" priority="5288" operator="lessThan">
      <formula>20</formula>
    </cfRule>
  </conditionalFormatting>
  <conditionalFormatting sqref="AU322">
    <cfRule type="containsText" dxfId="2" priority="4277" operator="between" text="库存为">
      <formula>NOT(ISERROR(SEARCH("库存为",AU322)))</formula>
    </cfRule>
    <cfRule type="cellIs" dxfId="1" priority="4782" operator="greaterThan">
      <formula>120</formula>
    </cfRule>
    <cfRule type="cellIs" dxfId="0" priority="5287" operator="lessThan">
      <formula>20</formula>
    </cfRule>
  </conditionalFormatting>
  <conditionalFormatting sqref="AU323">
    <cfRule type="containsText" dxfId="2" priority="4276" operator="between" text="库存为">
      <formula>NOT(ISERROR(SEARCH("库存为",AU323)))</formula>
    </cfRule>
    <cfRule type="cellIs" dxfId="1" priority="4781" operator="greaterThan">
      <formula>120</formula>
    </cfRule>
    <cfRule type="cellIs" dxfId="0" priority="5286" operator="lessThan">
      <formula>20</formula>
    </cfRule>
  </conditionalFormatting>
  <conditionalFormatting sqref="AU324">
    <cfRule type="containsText" dxfId="2" priority="4275" operator="between" text="库存为">
      <formula>NOT(ISERROR(SEARCH("库存为",AU324)))</formula>
    </cfRule>
    <cfRule type="cellIs" dxfId="1" priority="4780" operator="greaterThan">
      <formula>120</formula>
    </cfRule>
    <cfRule type="cellIs" dxfId="0" priority="5285" operator="lessThan">
      <formula>20</formula>
    </cfRule>
  </conditionalFormatting>
  <conditionalFormatting sqref="AU325">
    <cfRule type="containsText" dxfId="2" priority="4274" operator="between" text="库存为">
      <formula>NOT(ISERROR(SEARCH("库存为",AU325)))</formula>
    </cfRule>
    <cfRule type="cellIs" dxfId="1" priority="4779" operator="greaterThan">
      <formula>120</formula>
    </cfRule>
    <cfRule type="cellIs" dxfId="0" priority="5284" operator="lessThan">
      <formula>20</formula>
    </cfRule>
  </conditionalFormatting>
  <conditionalFormatting sqref="AU326">
    <cfRule type="containsText" dxfId="2" priority="4273" operator="between" text="库存为">
      <formula>NOT(ISERROR(SEARCH("库存为",AU326)))</formula>
    </cfRule>
    <cfRule type="cellIs" dxfId="1" priority="4778" operator="greaterThan">
      <formula>120</formula>
    </cfRule>
    <cfRule type="cellIs" dxfId="0" priority="5283" operator="lessThan">
      <formula>20</formula>
    </cfRule>
  </conditionalFormatting>
  <conditionalFormatting sqref="AU327">
    <cfRule type="containsText" dxfId="2" priority="4272" operator="between" text="库存为">
      <formula>NOT(ISERROR(SEARCH("库存为",AU327)))</formula>
    </cfRule>
    <cfRule type="cellIs" dxfId="1" priority="4777" operator="greaterThan">
      <formula>120</formula>
    </cfRule>
    <cfRule type="cellIs" dxfId="0" priority="5282" operator="lessThan">
      <formula>20</formula>
    </cfRule>
  </conditionalFormatting>
  <conditionalFormatting sqref="AU328">
    <cfRule type="containsText" dxfId="2" priority="4271" operator="between" text="库存为">
      <formula>NOT(ISERROR(SEARCH("库存为",AU328)))</formula>
    </cfRule>
    <cfRule type="cellIs" dxfId="1" priority="4776" operator="greaterThan">
      <formula>120</formula>
    </cfRule>
    <cfRule type="cellIs" dxfId="0" priority="5281" operator="lessThan">
      <formula>20</formula>
    </cfRule>
  </conditionalFormatting>
  <conditionalFormatting sqref="AU329">
    <cfRule type="containsText" dxfId="2" priority="4270" operator="between" text="库存为">
      <formula>NOT(ISERROR(SEARCH("库存为",AU329)))</formula>
    </cfRule>
    <cfRule type="cellIs" dxfId="1" priority="4775" operator="greaterThan">
      <formula>120</formula>
    </cfRule>
    <cfRule type="cellIs" dxfId="0" priority="5280" operator="lessThan">
      <formula>20</formula>
    </cfRule>
  </conditionalFormatting>
  <conditionalFormatting sqref="AU330">
    <cfRule type="containsText" dxfId="2" priority="4269" operator="between" text="库存为">
      <formula>NOT(ISERROR(SEARCH("库存为",AU330)))</formula>
    </cfRule>
    <cfRule type="cellIs" dxfId="1" priority="4774" operator="greaterThan">
      <formula>120</formula>
    </cfRule>
    <cfRule type="cellIs" dxfId="0" priority="5279" operator="lessThan">
      <formula>20</formula>
    </cfRule>
  </conditionalFormatting>
  <conditionalFormatting sqref="AU331">
    <cfRule type="containsText" dxfId="2" priority="4268" operator="between" text="库存为">
      <formula>NOT(ISERROR(SEARCH("库存为",AU331)))</formula>
    </cfRule>
    <cfRule type="cellIs" dxfId="1" priority="4773" operator="greaterThan">
      <formula>120</formula>
    </cfRule>
    <cfRule type="cellIs" dxfId="0" priority="5278" operator="lessThan">
      <formula>20</formula>
    </cfRule>
  </conditionalFormatting>
  <conditionalFormatting sqref="AU332">
    <cfRule type="containsText" dxfId="2" priority="4267" operator="between" text="库存为">
      <formula>NOT(ISERROR(SEARCH("库存为",AU332)))</formula>
    </cfRule>
    <cfRule type="cellIs" dxfId="1" priority="4772" operator="greaterThan">
      <formula>120</formula>
    </cfRule>
    <cfRule type="cellIs" dxfId="0" priority="5277" operator="lessThan">
      <formula>20</formula>
    </cfRule>
  </conditionalFormatting>
  <conditionalFormatting sqref="AU333">
    <cfRule type="containsText" dxfId="2" priority="4266" operator="between" text="库存为">
      <formula>NOT(ISERROR(SEARCH("库存为",AU333)))</formula>
    </cfRule>
    <cfRule type="cellIs" dxfId="1" priority="4771" operator="greaterThan">
      <formula>120</formula>
    </cfRule>
    <cfRule type="cellIs" dxfId="0" priority="5276" operator="lessThan">
      <formula>20</formula>
    </cfRule>
  </conditionalFormatting>
  <conditionalFormatting sqref="AU334">
    <cfRule type="containsText" dxfId="2" priority="4265" operator="between" text="库存为">
      <formula>NOT(ISERROR(SEARCH("库存为",AU334)))</formula>
    </cfRule>
    <cfRule type="cellIs" dxfId="1" priority="4770" operator="greaterThan">
      <formula>120</formula>
    </cfRule>
    <cfRule type="cellIs" dxfId="0" priority="5275" operator="lessThan">
      <formula>20</formula>
    </cfRule>
  </conditionalFormatting>
  <conditionalFormatting sqref="AU335">
    <cfRule type="containsText" dxfId="2" priority="4264" operator="between" text="库存为">
      <formula>NOT(ISERROR(SEARCH("库存为",AU335)))</formula>
    </cfRule>
    <cfRule type="cellIs" dxfId="1" priority="4769" operator="greaterThan">
      <formula>120</formula>
    </cfRule>
    <cfRule type="cellIs" dxfId="0" priority="5274" operator="lessThan">
      <formula>20</formula>
    </cfRule>
  </conditionalFormatting>
  <conditionalFormatting sqref="AU336">
    <cfRule type="containsText" dxfId="2" priority="4263" operator="between" text="库存为">
      <formula>NOT(ISERROR(SEARCH("库存为",AU336)))</formula>
    </cfRule>
    <cfRule type="cellIs" dxfId="1" priority="4768" operator="greaterThan">
      <formula>120</formula>
    </cfRule>
    <cfRule type="cellIs" dxfId="0" priority="5273" operator="lessThan">
      <formula>20</formula>
    </cfRule>
  </conditionalFormatting>
  <conditionalFormatting sqref="AU337">
    <cfRule type="containsText" dxfId="2" priority="4262" operator="between" text="库存为">
      <formula>NOT(ISERROR(SEARCH("库存为",AU337)))</formula>
    </cfRule>
    <cfRule type="cellIs" dxfId="1" priority="4767" operator="greaterThan">
      <formula>120</formula>
    </cfRule>
    <cfRule type="cellIs" dxfId="0" priority="5272" operator="lessThan">
      <formula>20</formula>
    </cfRule>
  </conditionalFormatting>
  <conditionalFormatting sqref="AU338">
    <cfRule type="containsText" dxfId="2" priority="4261" operator="between" text="库存为">
      <formula>NOT(ISERROR(SEARCH("库存为",AU338)))</formula>
    </cfRule>
    <cfRule type="cellIs" dxfId="1" priority="4766" operator="greaterThan">
      <formula>120</formula>
    </cfRule>
    <cfRule type="cellIs" dxfId="0" priority="5271" operator="lessThan">
      <formula>20</formula>
    </cfRule>
  </conditionalFormatting>
  <conditionalFormatting sqref="AU339">
    <cfRule type="containsText" dxfId="2" priority="4260" operator="between" text="库存为">
      <formula>NOT(ISERROR(SEARCH("库存为",AU339)))</formula>
    </cfRule>
    <cfRule type="cellIs" dxfId="1" priority="4765" operator="greaterThan">
      <formula>120</formula>
    </cfRule>
    <cfRule type="cellIs" dxfId="0" priority="5270" operator="lessThan">
      <formula>20</formula>
    </cfRule>
  </conditionalFormatting>
  <conditionalFormatting sqref="AU340">
    <cfRule type="containsText" dxfId="2" priority="4259" operator="between" text="库存为">
      <formula>NOT(ISERROR(SEARCH("库存为",AU340)))</formula>
    </cfRule>
    <cfRule type="cellIs" dxfId="1" priority="4764" operator="greaterThan">
      <formula>120</formula>
    </cfRule>
    <cfRule type="cellIs" dxfId="0" priority="5269" operator="lessThan">
      <formula>20</formula>
    </cfRule>
  </conditionalFormatting>
  <conditionalFormatting sqref="AU341">
    <cfRule type="containsText" dxfId="2" priority="4258" operator="between" text="库存为">
      <formula>NOT(ISERROR(SEARCH("库存为",AU341)))</formula>
    </cfRule>
    <cfRule type="cellIs" dxfId="1" priority="4763" operator="greaterThan">
      <formula>120</formula>
    </cfRule>
    <cfRule type="cellIs" dxfId="0" priority="5268" operator="lessThan">
      <formula>20</formula>
    </cfRule>
  </conditionalFormatting>
  <conditionalFormatting sqref="AU342">
    <cfRule type="containsText" dxfId="2" priority="4257" operator="between" text="库存为">
      <formula>NOT(ISERROR(SEARCH("库存为",AU342)))</formula>
    </cfRule>
    <cfRule type="cellIs" dxfId="1" priority="4762" operator="greaterThan">
      <formula>120</formula>
    </cfRule>
    <cfRule type="cellIs" dxfId="0" priority="5267" operator="lessThan">
      <formula>20</formula>
    </cfRule>
  </conditionalFormatting>
  <conditionalFormatting sqref="AU343">
    <cfRule type="containsText" dxfId="2" priority="4256" operator="between" text="库存为">
      <formula>NOT(ISERROR(SEARCH("库存为",AU343)))</formula>
    </cfRule>
    <cfRule type="cellIs" dxfId="1" priority="4761" operator="greaterThan">
      <formula>120</formula>
    </cfRule>
    <cfRule type="cellIs" dxfId="0" priority="5266" operator="lessThan">
      <formula>20</formula>
    </cfRule>
  </conditionalFormatting>
  <conditionalFormatting sqref="AU344">
    <cfRule type="containsText" dxfId="2" priority="4255" operator="between" text="库存为">
      <formula>NOT(ISERROR(SEARCH("库存为",AU344)))</formula>
    </cfRule>
    <cfRule type="cellIs" dxfId="1" priority="4760" operator="greaterThan">
      <formula>120</formula>
    </cfRule>
    <cfRule type="cellIs" dxfId="0" priority="5265" operator="lessThan">
      <formula>20</formula>
    </cfRule>
  </conditionalFormatting>
  <conditionalFormatting sqref="AU345">
    <cfRule type="containsText" dxfId="2" priority="4254" operator="between" text="库存为">
      <formula>NOT(ISERROR(SEARCH("库存为",AU345)))</formula>
    </cfRule>
    <cfRule type="cellIs" dxfId="1" priority="4759" operator="greaterThan">
      <formula>120</formula>
    </cfRule>
    <cfRule type="cellIs" dxfId="0" priority="5264" operator="lessThan">
      <formula>20</formula>
    </cfRule>
  </conditionalFormatting>
  <conditionalFormatting sqref="AU346">
    <cfRule type="containsText" dxfId="2" priority="4253" operator="between" text="库存为">
      <formula>NOT(ISERROR(SEARCH("库存为",AU346)))</formula>
    </cfRule>
    <cfRule type="cellIs" dxfId="1" priority="4758" operator="greaterThan">
      <formula>120</formula>
    </cfRule>
    <cfRule type="cellIs" dxfId="0" priority="5263" operator="lessThan">
      <formula>20</formula>
    </cfRule>
  </conditionalFormatting>
  <conditionalFormatting sqref="AU347">
    <cfRule type="containsText" dxfId="2" priority="4252" operator="between" text="库存为">
      <formula>NOT(ISERROR(SEARCH("库存为",AU347)))</formula>
    </cfRule>
    <cfRule type="cellIs" dxfId="1" priority="4757" operator="greaterThan">
      <formula>120</formula>
    </cfRule>
    <cfRule type="cellIs" dxfId="0" priority="5262" operator="lessThan">
      <formula>20</formula>
    </cfRule>
  </conditionalFormatting>
  <conditionalFormatting sqref="AU348">
    <cfRule type="containsText" dxfId="2" priority="4251" operator="between" text="库存为">
      <formula>NOT(ISERROR(SEARCH("库存为",AU348)))</formula>
    </cfRule>
    <cfRule type="cellIs" dxfId="1" priority="4756" operator="greaterThan">
      <formula>120</formula>
    </cfRule>
    <cfRule type="cellIs" dxfId="0" priority="5261" operator="lessThan">
      <formula>20</formula>
    </cfRule>
  </conditionalFormatting>
  <conditionalFormatting sqref="AU349">
    <cfRule type="containsText" dxfId="2" priority="4250" operator="between" text="库存为">
      <formula>NOT(ISERROR(SEARCH("库存为",AU349)))</formula>
    </cfRule>
    <cfRule type="cellIs" dxfId="1" priority="4755" operator="greaterThan">
      <formula>120</formula>
    </cfRule>
    <cfRule type="cellIs" dxfId="0" priority="5260" operator="lessThan">
      <formula>20</formula>
    </cfRule>
  </conditionalFormatting>
  <conditionalFormatting sqref="AU350">
    <cfRule type="containsText" dxfId="2" priority="4249" operator="between" text="库存为">
      <formula>NOT(ISERROR(SEARCH("库存为",AU350)))</formula>
    </cfRule>
    <cfRule type="cellIs" dxfId="1" priority="4754" operator="greaterThan">
      <formula>120</formula>
    </cfRule>
    <cfRule type="cellIs" dxfId="0" priority="5259" operator="lessThan">
      <formula>20</formula>
    </cfRule>
  </conditionalFormatting>
  <conditionalFormatting sqref="AU351">
    <cfRule type="containsText" dxfId="2" priority="4248" operator="between" text="库存为">
      <formula>NOT(ISERROR(SEARCH("库存为",AU351)))</formula>
    </cfRule>
    <cfRule type="cellIs" dxfId="1" priority="4753" operator="greaterThan">
      <formula>120</formula>
    </cfRule>
    <cfRule type="cellIs" dxfId="0" priority="5258" operator="lessThan">
      <formula>20</formula>
    </cfRule>
  </conditionalFormatting>
  <conditionalFormatting sqref="AU352">
    <cfRule type="containsText" dxfId="2" priority="4247" operator="between" text="库存为">
      <formula>NOT(ISERROR(SEARCH("库存为",AU352)))</formula>
    </cfRule>
    <cfRule type="cellIs" dxfId="1" priority="4752" operator="greaterThan">
      <formula>120</formula>
    </cfRule>
    <cfRule type="cellIs" dxfId="0" priority="5257" operator="lessThan">
      <formula>20</formula>
    </cfRule>
  </conditionalFormatting>
  <conditionalFormatting sqref="AU353">
    <cfRule type="containsText" dxfId="2" priority="4246" operator="between" text="库存为">
      <formula>NOT(ISERROR(SEARCH("库存为",AU353)))</formula>
    </cfRule>
    <cfRule type="cellIs" dxfId="1" priority="4751" operator="greaterThan">
      <formula>120</formula>
    </cfRule>
    <cfRule type="cellIs" dxfId="0" priority="5256" operator="lessThan">
      <formula>20</formula>
    </cfRule>
  </conditionalFormatting>
  <conditionalFormatting sqref="AU354">
    <cfRule type="containsText" dxfId="2" priority="4245" operator="between" text="库存为">
      <formula>NOT(ISERROR(SEARCH("库存为",AU354)))</formula>
    </cfRule>
    <cfRule type="cellIs" dxfId="1" priority="4750" operator="greaterThan">
      <formula>120</formula>
    </cfRule>
    <cfRule type="cellIs" dxfId="0" priority="5255" operator="lessThan">
      <formula>20</formula>
    </cfRule>
  </conditionalFormatting>
  <conditionalFormatting sqref="AU355">
    <cfRule type="containsText" dxfId="2" priority="4244" operator="between" text="库存为">
      <formula>NOT(ISERROR(SEARCH("库存为",AU355)))</formula>
    </cfRule>
    <cfRule type="cellIs" dxfId="1" priority="4749" operator="greaterThan">
      <formula>120</formula>
    </cfRule>
    <cfRule type="cellIs" dxfId="0" priority="5254" operator="lessThan">
      <formula>20</formula>
    </cfRule>
  </conditionalFormatting>
  <conditionalFormatting sqref="AU356">
    <cfRule type="containsText" dxfId="2" priority="4243" operator="between" text="库存为">
      <formula>NOT(ISERROR(SEARCH("库存为",AU356)))</formula>
    </cfRule>
    <cfRule type="cellIs" dxfId="1" priority="4748" operator="greaterThan">
      <formula>120</formula>
    </cfRule>
    <cfRule type="cellIs" dxfId="0" priority="5253" operator="lessThan">
      <formula>20</formula>
    </cfRule>
  </conditionalFormatting>
  <conditionalFormatting sqref="AU357">
    <cfRule type="containsText" dxfId="2" priority="4242" operator="between" text="库存为">
      <formula>NOT(ISERROR(SEARCH("库存为",AU357)))</formula>
    </cfRule>
    <cfRule type="cellIs" dxfId="1" priority="4747" operator="greaterThan">
      <formula>120</formula>
    </cfRule>
    <cfRule type="cellIs" dxfId="0" priority="5252" operator="lessThan">
      <formula>20</formula>
    </cfRule>
  </conditionalFormatting>
  <conditionalFormatting sqref="AU358">
    <cfRule type="containsText" dxfId="2" priority="4241" operator="between" text="库存为">
      <formula>NOT(ISERROR(SEARCH("库存为",AU358)))</formula>
    </cfRule>
    <cfRule type="cellIs" dxfId="1" priority="4746" operator="greaterThan">
      <formula>120</formula>
    </cfRule>
    <cfRule type="cellIs" dxfId="0" priority="5251" operator="lessThan">
      <formula>20</formula>
    </cfRule>
  </conditionalFormatting>
  <conditionalFormatting sqref="AU359">
    <cfRule type="containsText" dxfId="2" priority="4240" operator="between" text="库存为">
      <formula>NOT(ISERROR(SEARCH("库存为",AU359)))</formula>
    </cfRule>
    <cfRule type="cellIs" dxfId="1" priority="4745" operator="greaterThan">
      <formula>120</formula>
    </cfRule>
    <cfRule type="cellIs" dxfId="0" priority="5250" operator="lessThan">
      <formula>20</formula>
    </cfRule>
  </conditionalFormatting>
  <conditionalFormatting sqref="AU360">
    <cfRule type="containsText" dxfId="2" priority="4239" operator="between" text="库存为">
      <formula>NOT(ISERROR(SEARCH("库存为",AU360)))</formula>
    </cfRule>
    <cfRule type="cellIs" dxfId="1" priority="4744" operator="greaterThan">
      <formula>120</formula>
    </cfRule>
    <cfRule type="cellIs" dxfId="0" priority="5249" operator="lessThan">
      <formula>20</formula>
    </cfRule>
  </conditionalFormatting>
  <conditionalFormatting sqref="AU361">
    <cfRule type="containsText" dxfId="2" priority="4238" operator="between" text="库存为">
      <formula>NOT(ISERROR(SEARCH("库存为",AU361)))</formula>
    </cfRule>
    <cfRule type="cellIs" dxfId="1" priority="4743" operator="greaterThan">
      <formula>120</formula>
    </cfRule>
    <cfRule type="cellIs" dxfId="0" priority="5248" operator="lessThan">
      <formula>20</formula>
    </cfRule>
  </conditionalFormatting>
  <conditionalFormatting sqref="AU362">
    <cfRule type="containsText" dxfId="2" priority="4237" operator="between" text="库存为">
      <formula>NOT(ISERROR(SEARCH("库存为",AU362)))</formula>
    </cfRule>
    <cfRule type="cellIs" dxfId="1" priority="4742" operator="greaterThan">
      <formula>120</formula>
    </cfRule>
    <cfRule type="cellIs" dxfId="0" priority="5247" operator="lessThan">
      <formula>20</formula>
    </cfRule>
  </conditionalFormatting>
  <conditionalFormatting sqref="AU363">
    <cfRule type="containsText" dxfId="2" priority="4236" operator="between" text="库存为">
      <formula>NOT(ISERROR(SEARCH("库存为",AU363)))</formula>
    </cfRule>
    <cfRule type="cellIs" dxfId="1" priority="4741" operator="greaterThan">
      <formula>120</formula>
    </cfRule>
    <cfRule type="cellIs" dxfId="0" priority="5246" operator="lessThan">
      <formula>20</formula>
    </cfRule>
  </conditionalFormatting>
  <conditionalFormatting sqref="AU364">
    <cfRule type="containsText" dxfId="2" priority="4235" operator="between" text="库存为">
      <formula>NOT(ISERROR(SEARCH("库存为",AU364)))</formula>
    </cfRule>
    <cfRule type="cellIs" dxfId="1" priority="4740" operator="greaterThan">
      <formula>120</formula>
    </cfRule>
    <cfRule type="cellIs" dxfId="0" priority="5245" operator="lessThan">
      <formula>20</formula>
    </cfRule>
  </conditionalFormatting>
  <conditionalFormatting sqref="AU365">
    <cfRule type="containsText" dxfId="2" priority="4234" operator="between" text="库存为">
      <formula>NOT(ISERROR(SEARCH("库存为",AU365)))</formula>
    </cfRule>
    <cfRule type="cellIs" dxfId="1" priority="4739" operator="greaterThan">
      <formula>120</formula>
    </cfRule>
    <cfRule type="cellIs" dxfId="0" priority="5244" operator="lessThan">
      <formula>20</formula>
    </cfRule>
  </conditionalFormatting>
  <conditionalFormatting sqref="AU366">
    <cfRule type="containsText" dxfId="2" priority="4233" operator="between" text="库存为">
      <formula>NOT(ISERROR(SEARCH("库存为",AU366)))</formula>
    </cfRule>
    <cfRule type="cellIs" dxfId="1" priority="4738" operator="greaterThan">
      <formula>120</formula>
    </cfRule>
    <cfRule type="cellIs" dxfId="0" priority="5243" operator="lessThan">
      <formula>20</formula>
    </cfRule>
  </conditionalFormatting>
  <conditionalFormatting sqref="AU367">
    <cfRule type="containsText" dxfId="2" priority="4232" operator="between" text="库存为">
      <formula>NOT(ISERROR(SEARCH("库存为",AU367)))</formula>
    </cfRule>
    <cfRule type="cellIs" dxfId="1" priority="4737" operator="greaterThan">
      <formula>120</formula>
    </cfRule>
    <cfRule type="cellIs" dxfId="0" priority="5242" operator="lessThan">
      <formula>20</formula>
    </cfRule>
  </conditionalFormatting>
  <conditionalFormatting sqref="AU368">
    <cfRule type="containsText" dxfId="2" priority="4231" operator="between" text="库存为">
      <formula>NOT(ISERROR(SEARCH("库存为",AU368)))</formula>
    </cfRule>
    <cfRule type="cellIs" dxfId="1" priority="4736" operator="greaterThan">
      <formula>120</formula>
    </cfRule>
    <cfRule type="cellIs" dxfId="0" priority="5241" operator="lessThan">
      <formula>20</formula>
    </cfRule>
  </conditionalFormatting>
  <conditionalFormatting sqref="AU369">
    <cfRule type="containsText" dxfId="2" priority="4230" operator="between" text="库存为">
      <formula>NOT(ISERROR(SEARCH("库存为",AU369)))</formula>
    </cfRule>
    <cfRule type="cellIs" dxfId="1" priority="4735" operator="greaterThan">
      <formula>120</formula>
    </cfRule>
    <cfRule type="cellIs" dxfId="0" priority="5240" operator="lessThan">
      <formula>20</formula>
    </cfRule>
  </conditionalFormatting>
  <conditionalFormatting sqref="AU370">
    <cfRule type="containsText" dxfId="2" priority="4229" operator="between" text="库存为">
      <formula>NOT(ISERROR(SEARCH("库存为",AU370)))</formula>
    </cfRule>
    <cfRule type="cellIs" dxfId="1" priority="4734" operator="greaterThan">
      <formula>120</formula>
    </cfRule>
    <cfRule type="cellIs" dxfId="0" priority="5239" operator="lessThan">
      <formula>20</formula>
    </cfRule>
  </conditionalFormatting>
  <conditionalFormatting sqref="AU371">
    <cfRule type="containsText" dxfId="2" priority="4228" operator="between" text="库存为">
      <formula>NOT(ISERROR(SEARCH("库存为",AU371)))</formula>
    </cfRule>
    <cfRule type="cellIs" dxfId="1" priority="4733" operator="greaterThan">
      <formula>120</formula>
    </cfRule>
    <cfRule type="cellIs" dxfId="0" priority="5238" operator="lessThan">
      <formula>20</formula>
    </cfRule>
  </conditionalFormatting>
  <conditionalFormatting sqref="AU372">
    <cfRule type="containsText" dxfId="2" priority="4227" operator="between" text="库存为">
      <formula>NOT(ISERROR(SEARCH("库存为",AU372)))</formula>
    </cfRule>
    <cfRule type="cellIs" dxfId="1" priority="4732" operator="greaterThan">
      <formula>120</formula>
    </cfRule>
    <cfRule type="cellIs" dxfId="0" priority="5237" operator="lessThan">
      <formula>20</formula>
    </cfRule>
  </conditionalFormatting>
  <conditionalFormatting sqref="AU373">
    <cfRule type="containsText" dxfId="2" priority="4226" operator="between" text="库存为">
      <formula>NOT(ISERROR(SEARCH("库存为",AU373)))</formula>
    </cfRule>
    <cfRule type="cellIs" dxfId="1" priority="4731" operator="greaterThan">
      <formula>120</formula>
    </cfRule>
    <cfRule type="cellIs" dxfId="0" priority="5236" operator="lessThan">
      <formula>20</formula>
    </cfRule>
  </conditionalFormatting>
  <conditionalFormatting sqref="AU374">
    <cfRule type="containsText" dxfId="2" priority="4225" operator="between" text="库存为">
      <formula>NOT(ISERROR(SEARCH("库存为",AU374)))</formula>
    </cfRule>
    <cfRule type="cellIs" dxfId="1" priority="4730" operator="greaterThan">
      <formula>120</formula>
    </cfRule>
    <cfRule type="cellIs" dxfId="0" priority="5235" operator="lessThan">
      <formula>20</formula>
    </cfRule>
  </conditionalFormatting>
  <conditionalFormatting sqref="AU375">
    <cfRule type="containsText" dxfId="2" priority="4224" operator="between" text="库存为">
      <formula>NOT(ISERROR(SEARCH("库存为",AU375)))</formula>
    </cfRule>
    <cfRule type="cellIs" dxfId="1" priority="4729" operator="greaterThan">
      <formula>120</formula>
    </cfRule>
    <cfRule type="cellIs" dxfId="0" priority="5234" operator="lessThan">
      <formula>20</formula>
    </cfRule>
  </conditionalFormatting>
  <conditionalFormatting sqref="AU376">
    <cfRule type="containsText" dxfId="2" priority="4223" operator="between" text="库存为">
      <formula>NOT(ISERROR(SEARCH("库存为",AU376)))</formula>
    </cfRule>
    <cfRule type="cellIs" dxfId="1" priority="4728" operator="greaterThan">
      <formula>120</formula>
    </cfRule>
    <cfRule type="cellIs" dxfId="0" priority="5233" operator="lessThan">
      <formula>20</formula>
    </cfRule>
  </conditionalFormatting>
  <conditionalFormatting sqref="AU377">
    <cfRule type="containsText" dxfId="2" priority="4222" operator="between" text="库存为">
      <formula>NOT(ISERROR(SEARCH("库存为",AU377)))</formula>
    </cfRule>
    <cfRule type="cellIs" dxfId="1" priority="4727" operator="greaterThan">
      <formula>120</formula>
    </cfRule>
    <cfRule type="cellIs" dxfId="0" priority="5232" operator="lessThan">
      <formula>20</formula>
    </cfRule>
  </conditionalFormatting>
  <conditionalFormatting sqref="AU378">
    <cfRule type="containsText" dxfId="2" priority="4221" operator="between" text="库存为">
      <formula>NOT(ISERROR(SEARCH("库存为",AU378)))</formula>
    </cfRule>
    <cfRule type="cellIs" dxfId="1" priority="4726" operator="greaterThan">
      <formula>120</formula>
    </cfRule>
    <cfRule type="cellIs" dxfId="0" priority="5231" operator="lessThan">
      <formula>20</formula>
    </cfRule>
  </conditionalFormatting>
  <conditionalFormatting sqref="AU379">
    <cfRule type="containsText" dxfId="2" priority="4220" operator="between" text="库存为">
      <formula>NOT(ISERROR(SEARCH("库存为",AU379)))</formula>
    </cfRule>
    <cfRule type="cellIs" dxfId="1" priority="4725" operator="greaterThan">
      <formula>120</formula>
    </cfRule>
    <cfRule type="cellIs" dxfId="0" priority="5230" operator="lessThan">
      <formula>20</formula>
    </cfRule>
  </conditionalFormatting>
  <conditionalFormatting sqref="AU380">
    <cfRule type="containsText" dxfId="2" priority="4219" operator="between" text="库存为">
      <formula>NOT(ISERROR(SEARCH("库存为",AU380)))</formula>
    </cfRule>
    <cfRule type="cellIs" dxfId="1" priority="4724" operator="greaterThan">
      <formula>120</formula>
    </cfRule>
    <cfRule type="cellIs" dxfId="0" priority="5229" operator="lessThan">
      <formula>20</formula>
    </cfRule>
  </conditionalFormatting>
  <conditionalFormatting sqref="AU381">
    <cfRule type="containsText" dxfId="2" priority="4218" operator="between" text="库存为">
      <formula>NOT(ISERROR(SEARCH("库存为",AU381)))</formula>
    </cfRule>
    <cfRule type="cellIs" dxfId="1" priority="4723" operator="greaterThan">
      <formula>120</formula>
    </cfRule>
    <cfRule type="cellIs" dxfId="0" priority="5228" operator="lessThan">
      <formula>20</formula>
    </cfRule>
  </conditionalFormatting>
  <conditionalFormatting sqref="AU382">
    <cfRule type="containsText" dxfId="2" priority="4217" operator="between" text="库存为">
      <formula>NOT(ISERROR(SEARCH("库存为",AU382)))</formula>
    </cfRule>
    <cfRule type="cellIs" dxfId="1" priority="4722" operator="greaterThan">
      <formula>120</formula>
    </cfRule>
    <cfRule type="cellIs" dxfId="0" priority="5227" operator="lessThan">
      <formula>20</formula>
    </cfRule>
  </conditionalFormatting>
  <conditionalFormatting sqref="AU383">
    <cfRule type="containsText" dxfId="2" priority="4216" operator="between" text="库存为">
      <formula>NOT(ISERROR(SEARCH("库存为",AU383)))</formula>
    </cfRule>
    <cfRule type="cellIs" dxfId="1" priority="4721" operator="greaterThan">
      <formula>120</formula>
    </cfRule>
    <cfRule type="cellIs" dxfId="0" priority="5226" operator="lessThan">
      <formula>20</formula>
    </cfRule>
  </conditionalFormatting>
  <conditionalFormatting sqref="AU384">
    <cfRule type="containsText" dxfId="2" priority="4215" operator="between" text="库存为">
      <formula>NOT(ISERROR(SEARCH("库存为",AU384)))</formula>
    </cfRule>
    <cfRule type="cellIs" dxfId="1" priority="4720" operator="greaterThan">
      <formula>120</formula>
    </cfRule>
    <cfRule type="cellIs" dxfId="0" priority="5225" operator="lessThan">
      <formula>20</formula>
    </cfRule>
  </conditionalFormatting>
  <conditionalFormatting sqref="AU385">
    <cfRule type="containsText" dxfId="2" priority="4214" operator="between" text="库存为">
      <formula>NOT(ISERROR(SEARCH("库存为",AU385)))</formula>
    </cfRule>
    <cfRule type="cellIs" dxfId="1" priority="4719" operator="greaterThan">
      <formula>120</formula>
    </cfRule>
    <cfRule type="cellIs" dxfId="0" priority="5224" operator="lessThan">
      <formula>20</formula>
    </cfRule>
  </conditionalFormatting>
  <conditionalFormatting sqref="AU386">
    <cfRule type="containsText" dxfId="2" priority="4213" operator="between" text="库存为">
      <formula>NOT(ISERROR(SEARCH("库存为",AU386)))</formula>
    </cfRule>
    <cfRule type="cellIs" dxfId="1" priority="4718" operator="greaterThan">
      <formula>120</formula>
    </cfRule>
    <cfRule type="cellIs" dxfId="0" priority="5223" operator="lessThan">
      <formula>20</formula>
    </cfRule>
  </conditionalFormatting>
  <conditionalFormatting sqref="AU387">
    <cfRule type="containsText" dxfId="2" priority="4212" operator="between" text="库存为">
      <formula>NOT(ISERROR(SEARCH("库存为",AU387)))</formula>
    </cfRule>
    <cfRule type="cellIs" dxfId="1" priority="4717" operator="greaterThan">
      <formula>120</formula>
    </cfRule>
    <cfRule type="cellIs" dxfId="0" priority="5222" operator="lessThan">
      <formula>20</formula>
    </cfRule>
  </conditionalFormatting>
  <conditionalFormatting sqref="AU388">
    <cfRule type="containsText" dxfId="2" priority="4211" operator="between" text="库存为">
      <formula>NOT(ISERROR(SEARCH("库存为",AU388)))</formula>
    </cfRule>
    <cfRule type="cellIs" dxfId="1" priority="4716" operator="greaterThan">
      <formula>120</formula>
    </cfRule>
    <cfRule type="cellIs" dxfId="0" priority="5221" operator="lessThan">
      <formula>20</formula>
    </cfRule>
  </conditionalFormatting>
  <conditionalFormatting sqref="AU389">
    <cfRule type="containsText" dxfId="2" priority="4210" operator="between" text="库存为">
      <formula>NOT(ISERROR(SEARCH("库存为",AU389)))</formula>
    </cfRule>
    <cfRule type="cellIs" dxfId="1" priority="4715" operator="greaterThan">
      <formula>120</formula>
    </cfRule>
    <cfRule type="cellIs" dxfId="0" priority="5220" operator="lessThan">
      <formula>20</formula>
    </cfRule>
  </conditionalFormatting>
  <conditionalFormatting sqref="AU390">
    <cfRule type="containsText" dxfId="2" priority="4209" operator="between" text="库存为">
      <formula>NOT(ISERROR(SEARCH("库存为",AU390)))</formula>
    </cfRule>
    <cfRule type="cellIs" dxfId="1" priority="4714" operator="greaterThan">
      <formula>120</formula>
    </cfRule>
    <cfRule type="cellIs" dxfId="0" priority="5219" operator="lessThan">
      <formula>20</formula>
    </cfRule>
  </conditionalFormatting>
  <conditionalFormatting sqref="AU391">
    <cfRule type="containsText" dxfId="2" priority="4208" operator="between" text="库存为">
      <formula>NOT(ISERROR(SEARCH("库存为",AU391)))</formula>
    </cfRule>
    <cfRule type="cellIs" dxfId="1" priority="4713" operator="greaterThan">
      <formula>120</formula>
    </cfRule>
    <cfRule type="cellIs" dxfId="0" priority="5218" operator="lessThan">
      <formula>20</formula>
    </cfRule>
  </conditionalFormatting>
  <conditionalFormatting sqref="AU392">
    <cfRule type="containsText" dxfId="2" priority="4207" operator="between" text="库存为">
      <formula>NOT(ISERROR(SEARCH("库存为",AU392)))</formula>
    </cfRule>
    <cfRule type="cellIs" dxfId="1" priority="4712" operator="greaterThan">
      <formula>120</formula>
    </cfRule>
    <cfRule type="cellIs" dxfId="0" priority="5217" operator="lessThan">
      <formula>20</formula>
    </cfRule>
  </conditionalFormatting>
  <conditionalFormatting sqref="AU393">
    <cfRule type="containsText" dxfId="2" priority="4206" operator="between" text="库存为">
      <formula>NOT(ISERROR(SEARCH("库存为",AU393)))</formula>
    </cfRule>
    <cfRule type="cellIs" dxfId="1" priority="4711" operator="greaterThan">
      <formula>120</formula>
    </cfRule>
    <cfRule type="cellIs" dxfId="0" priority="5216" operator="lessThan">
      <formula>20</formula>
    </cfRule>
  </conditionalFormatting>
  <conditionalFormatting sqref="AU394">
    <cfRule type="containsText" dxfId="2" priority="4205" operator="between" text="库存为">
      <formula>NOT(ISERROR(SEARCH("库存为",AU394)))</formula>
    </cfRule>
    <cfRule type="cellIs" dxfId="1" priority="4710" operator="greaterThan">
      <formula>120</formula>
    </cfRule>
    <cfRule type="cellIs" dxfId="0" priority="5215" operator="lessThan">
      <formula>20</formula>
    </cfRule>
  </conditionalFormatting>
  <conditionalFormatting sqref="AU395">
    <cfRule type="containsText" dxfId="2" priority="4204" operator="between" text="库存为">
      <formula>NOT(ISERROR(SEARCH("库存为",AU395)))</formula>
    </cfRule>
    <cfRule type="cellIs" dxfId="1" priority="4709" operator="greaterThan">
      <formula>120</formula>
    </cfRule>
    <cfRule type="cellIs" dxfId="0" priority="5214" operator="lessThan">
      <formula>20</formula>
    </cfRule>
  </conditionalFormatting>
  <conditionalFormatting sqref="AU396">
    <cfRule type="containsText" dxfId="2" priority="4203" operator="between" text="库存为">
      <formula>NOT(ISERROR(SEARCH("库存为",AU396)))</formula>
    </cfRule>
    <cfRule type="cellIs" dxfId="1" priority="4708" operator="greaterThan">
      <formula>120</formula>
    </cfRule>
    <cfRule type="cellIs" dxfId="0" priority="5213" operator="lessThan">
      <formula>20</formula>
    </cfRule>
  </conditionalFormatting>
  <conditionalFormatting sqref="AU397">
    <cfRule type="containsText" dxfId="2" priority="4202" operator="between" text="库存为">
      <formula>NOT(ISERROR(SEARCH("库存为",AU397)))</formula>
    </cfRule>
    <cfRule type="cellIs" dxfId="1" priority="4707" operator="greaterThan">
      <formula>120</formula>
    </cfRule>
    <cfRule type="cellIs" dxfId="0" priority="5212" operator="lessThan">
      <formula>20</formula>
    </cfRule>
  </conditionalFormatting>
  <conditionalFormatting sqref="AU398">
    <cfRule type="containsText" dxfId="2" priority="4201" operator="between" text="库存为">
      <formula>NOT(ISERROR(SEARCH("库存为",AU398)))</formula>
    </cfRule>
    <cfRule type="cellIs" dxfId="1" priority="4706" operator="greaterThan">
      <formula>120</formula>
    </cfRule>
    <cfRule type="cellIs" dxfId="0" priority="5211" operator="lessThan">
      <formula>20</formula>
    </cfRule>
  </conditionalFormatting>
  <conditionalFormatting sqref="AU399">
    <cfRule type="containsText" dxfId="2" priority="4200" operator="between" text="库存为">
      <formula>NOT(ISERROR(SEARCH("库存为",AU399)))</formula>
    </cfRule>
    <cfRule type="cellIs" dxfId="1" priority="4705" operator="greaterThan">
      <formula>120</formula>
    </cfRule>
    <cfRule type="cellIs" dxfId="0" priority="5210" operator="lessThan">
      <formula>20</formula>
    </cfRule>
  </conditionalFormatting>
  <conditionalFormatting sqref="AU400">
    <cfRule type="containsText" dxfId="2" priority="4199" operator="between" text="库存为">
      <formula>NOT(ISERROR(SEARCH("库存为",AU400)))</formula>
    </cfRule>
    <cfRule type="cellIs" dxfId="1" priority="4704" operator="greaterThan">
      <formula>120</formula>
    </cfRule>
    <cfRule type="cellIs" dxfId="0" priority="5209" operator="lessThan">
      <formula>20</formula>
    </cfRule>
  </conditionalFormatting>
  <conditionalFormatting sqref="AU401">
    <cfRule type="containsText" dxfId="2" priority="4198" operator="between" text="库存为">
      <formula>NOT(ISERROR(SEARCH("库存为",AU401)))</formula>
    </cfRule>
    <cfRule type="cellIs" dxfId="1" priority="4703" operator="greaterThan">
      <formula>120</formula>
    </cfRule>
    <cfRule type="cellIs" dxfId="0" priority="5208" operator="lessThan">
      <formula>20</formula>
    </cfRule>
  </conditionalFormatting>
  <conditionalFormatting sqref="AU402">
    <cfRule type="containsText" dxfId="2" priority="4197" operator="between" text="库存为">
      <formula>NOT(ISERROR(SEARCH("库存为",AU402)))</formula>
    </cfRule>
    <cfRule type="cellIs" dxfId="1" priority="4702" operator="greaterThan">
      <formula>120</formula>
    </cfRule>
    <cfRule type="cellIs" dxfId="0" priority="5207" operator="lessThan">
      <formula>20</formula>
    </cfRule>
  </conditionalFormatting>
  <conditionalFormatting sqref="AU403">
    <cfRule type="containsText" dxfId="2" priority="4196" operator="between" text="库存为">
      <formula>NOT(ISERROR(SEARCH("库存为",AU403)))</formula>
    </cfRule>
    <cfRule type="cellIs" dxfId="1" priority="4701" operator="greaterThan">
      <formula>120</formula>
    </cfRule>
    <cfRule type="cellIs" dxfId="0" priority="5206" operator="lessThan">
      <formula>20</formula>
    </cfRule>
  </conditionalFormatting>
  <conditionalFormatting sqref="AU404">
    <cfRule type="containsText" dxfId="2" priority="4195" operator="between" text="库存为">
      <formula>NOT(ISERROR(SEARCH("库存为",AU404)))</formula>
    </cfRule>
    <cfRule type="cellIs" dxfId="1" priority="4700" operator="greaterThan">
      <formula>120</formula>
    </cfRule>
    <cfRule type="cellIs" dxfId="0" priority="5205" operator="lessThan">
      <formula>20</formula>
    </cfRule>
  </conditionalFormatting>
  <conditionalFormatting sqref="AU405">
    <cfRule type="containsText" dxfId="2" priority="4194" operator="between" text="库存为">
      <formula>NOT(ISERROR(SEARCH("库存为",AU405)))</formula>
    </cfRule>
    <cfRule type="cellIs" dxfId="1" priority="4699" operator="greaterThan">
      <formula>120</formula>
    </cfRule>
    <cfRule type="cellIs" dxfId="0" priority="5204" operator="lessThan">
      <formula>20</formula>
    </cfRule>
  </conditionalFormatting>
  <conditionalFormatting sqref="AU406">
    <cfRule type="containsText" dxfId="2" priority="4193" operator="between" text="库存为">
      <formula>NOT(ISERROR(SEARCH("库存为",AU406)))</formula>
    </cfRule>
    <cfRule type="cellIs" dxfId="1" priority="4698" operator="greaterThan">
      <formula>120</formula>
    </cfRule>
    <cfRule type="cellIs" dxfId="0" priority="5203" operator="lessThan">
      <formula>20</formula>
    </cfRule>
  </conditionalFormatting>
  <conditionalFormatting sqref="AU407">
    <cfRule type="containsText" dxfId="2" priority="4192" operator="between" text="库存为">
      <formula>NOT(ISERROR(SEARCH("库存为",AU407)))</formula>
    </cfRule>
    <cfRule type="cellIs" dxfId="1" priority="4697" operator="greaterThan">
      <formula>120</formula>
    </cfRule>
    <cfRule type="cellIs" dxfId="0" priority="5202" operator="lessThan">
      <formula>20</formula>
    </cfRule>
  </conditionalFormatting>
  <conditionalFormatting sqref="AU408">
    <cfRule type="containsText" dxfId="2" priority="4191" operator="between" text="库存为">
      <formula>NOT(ISERROR(SEARCH("库存为",AU408)))</formula>
    </cfRule>
    <cfRule type="cellIs" dxfId="1" priority="4696" operator="greaterThan">
      <formula>120</formula>
    </cfRule>
    <cfRule type="cellIs" dxfId="0" priority="5201" operator="lessThan">
      <formula>20</formula>
    </cfRule>
  </conditionalFormatting>
  <conditionalFormatting sqref="AU409">
    <cfRule type="containsText" dxfId="2" priority="4190" operator="between" text="库存为">
      <formula>NOT(ISERROR(SEARCH("库存为",AU409)))</formula>
    </cfRule>
    <cfRule type="cellIs" dxfId="1" priority="4695" operator="greaterThan">
      <formula>120</formula>
    </cfRule>
    <cfRule type="cellIs" dxfId="0" priority="5200" operator="lessThan">
      <formula>20</formula>
    </cfRule>
  </conditionalFormatting>
  <conditionalFormatting sqref="AU410">
    <cfRule type="containsText" dxfId="2" priority="4189" operator="between" text="库存为">
      <formula>NOT(ISERROR(SEARCH("库存为",AU410)))</formula>
    </cfRule>
    <cfRule type="cellIs" dxfId="1" priority="4694" operator="greaterThan">
      <formula>120</formula>
    </cfRule>
    <cfRule type="cellIs" dxfId="0" priority="5199" operator="lessThan">
      <formula>20</formula>
    </cfRule>
  </conditionalFormatting>
  <conditionalFormatting sqref="AU411">
    <cfRule type="containsText" dxfId="2" priority="4188" operator="between" text="库存为">
      <formula>NOT(ISERROR(SEARCH("库存为",AU411)))</formula>
    </cfRule>
    <cfRule type="cellIs" dxfId="1" priority="4693" operator="greaterThan">
      <formula>120</formula>
    </cfRule>
    <cfRule type="cellIs" dxfId="0" priority="5198" operator="lessThan">
      <formula>20</formula>
    </cfRule>
  </conditionalFormatting>
  <conditionalFormatting sqref="AU412">
    <cfRule type="containsText" dxfId="2" priority="4187" operator="between" text="库存为">
      <formula>NOT(ISERROR(SEARCH("库存为",AU412)))</formula>
    </cfRule>
    <cfRule type="cellIs" dxfId="1" priority="4692" operator="greaterThan">
      <formula>120</formula>
    </cfRule>
    <cfRule type="cellIs" dxfId="0" priority="5197" operator="lessThan">
      <formula>20</formula>
    </cfRule>
  </conditionalFormatting>
  <conditionalFormatting sqref="AU413">
    <cfRule type="containsText" dxfId="2" priority="4186" operator="between" text="库存为">
      <formula>NOT(ISERROR(SEARCH("库存为",AU413)))</formula>
    </cfRule>
    <cfRule type="cellIs" dxfId="1" priority="4691" operator="greaterThan">
      <formula>120</formula>
    </cfRule>
    <cfRule type="cellIs" dxfId="0" priority="5196" operator="lessThan">
      <formula>20</formula>
    </cfRule>
  </conditionalFormatting>
  <conditionalFormatting sqref="AU414">
    <cfRule type="containsText" dxfId="2" priority="4185" operator="between" text="库存为">
      <formula>NOT(ISERROR(SEARCH("库存为",AU414)))</formula>
    </cfRule>
    <cfRule type="cellIs" dxfId="1" priority="4690" operator="greaterThan">
      <formula>120</formula>
    </cfRule>
    <cfRule type="cellIs" dxfId="0" priority="5195" operator="lessThan">
      <formula>20</formula>
    </cfRule>
  </conditionalFormatting>
  <conditionalFormatting sqref="AU415">
    <cfRule type="containsText" dxfId="2" priority="4184" operator="between" text="库存为">
      <formula>NOT(ISERROR(SEARCH("库存为",AU415)))</formula>
    </cfRule>
    <cfRule type="cellIs" dxfId="1" priority="4689" operator="greaterThan">
      <formula>120</formula>
    </cfRule>
    <cfRule type="cellIs" dxfId="0" priority="5194" operator="lessThan">
      <formula>20</formula>
    </cfRule>
  </conditionalFormatting>
  <conditionalFormatting sqref="AU416">
    <cfRule type="containsText" dxfId="2" priority="4183" operator="between" text="库存为">
      <formula>NOT(ISERROR(SEARCH("库存为",AU416)))</formula>
    </cfRule>
    <cfRule type="cellIs" dxfId="1" priority="4688" operator="greaterThan">
      <formula>120</formula>
    </cfRule>
    <cfRule type="cellIs" dxfId="0" priority="5193" operator="lessThan">
      <formula>20</formula>
    </cfRule>
  </conditionalFormatting>
  <conditionalFormatting sqref="AU417">
    <cfRule type="containsText" dxfId="2" priority="4182" operator="between" text="库存为">
      <formula>NOT(ISERROR(SEARCH("库存为",AU417)))</formula>
    </cfRule>
    <cfRule type="cellIs" dxfId="1" priority="4687" operator="greaterThan">
      <formula>120</formula>
    </cfRule>
    <cfRule type="cellIs" dxfId="0" priority="5192" operator="lessThan">
      <formula>20</formula>
    </cfRule>
  </conditionalFormatting>
  <conditionalFormatting sqref="AU418">
    <cfRule type="containsText" dxfId="2" priority="4181" operator="between" text="库存为">
      <formula>NOT(ISERROR(SEARCH("库存为",AU418)))</formula>
    </cfRule>
    <cfRule type="cellIs" dxfId="1" priority="4686" operator="greaterThan">
      <formula>120</formula>
    </cfRule>
    <cfRule type="cellIs" dxfId="0" priority="5191" operator="lessThan">
      <formula>20</formula>
    </cfRule>
  </conditionalFormatting>
  <conditionalFormatting sqref="AU419">
    <cfRule type="containsText" dxfId="2" priority="4180" operator="between" text="库存为">
      <formula>NOT(ISERROR(SEARCH("库存为",AU419)))</formula>
    </cfRule>
    <cfRule type="cellIs" dxfId="1" priority="4685" operator="greaterThan">
      <formula>120</formula>
    </cfRule>
    <cfRule type="cellIs" dxfId="0" priority="5190" operator="lessThan">
      <formula>20</formula>
    </cfRule>
  </conditionalFormatting>
  <conditionalFormatting sqref="AU420">
    <cfRule type="containsText" dxfId="2" priority="4179" operator="between" text="库存为">
      <formula>NOT(ISERROR(SEARCH("库存为",AU420)))</formula>
    </cfRule>
    <cfRule type="cellIs" dxfId="1" priority="4684" operator="greaterThan">
      <formula>120</formula>
    </cfRule>
    <cfRule type="cellIs" dxfId="0" priority="5189" operator="lessThan">
      <formula>20</formula>
    </cfRule>
  </conditionalFormatting>
  <conditionalFormatting sqref="AU421">
    <cfRule type="containsText" dxfId="2" priority="4178" operator="between" text="库存为">
      <formula>NOT(ISERROR(SEARCH("库存为",AU421)))</formula>
    </cfRule>
    <cfRule type="cellIs" dxfId="1" priority="4683" operator="greaterThan">
      <formula>120</formula>
    </cfRule>
    <cfRule type="cellIs" dxfId="0" priority="5188" operator="lessThan">
      <formula>20</formula>
    </cfRule>
  </conditionalFormatting>
  <conditionalFormatting sqref="AU422">
    <cfRule type="containsText" dxfId="2" priority="4177" operator="between" text="库存为">
      <formula>NOT(ISERROR(SEARCH("库存为",AU422)))</formula>
    </cfRule>
    <cfRule type="cellIs" dxfId="1" priority="4682" operator="greaterThan">
      <formula>120</formula>
    </cfRule>
    <cfRule type="cellIs" dxfId="0" priority="5187" operator="lessThan">
      <formula>20</formula>
    </cfRule>
  </conditionalFormatting>
  <conditionalFormatting sqref="AU423">
    <cfRule type="containsText" dxfId="2" priority="4176" operator="between" text="库存为">
      <formula>NOT(ISERROR(SEARCH("库存为",AU423)))</formula>
    </cfRule>
    <cfRule type="cellIs" dxfId="1" priority="4681" operator="greaterThan">
      <formula>120</formula>
    </cfRule>
    <cfRule type="cellIs" dxfId="0" priority="5186" operator="lessThan">
      <formula>20</formula>
    </cfRule>
  </conditionalFormatting>
  <conditionalFormatting sqref="AU424">
    <cfRule type="containsText" dxfId="2" priority="4175" operator="between" text="库存为">
      <formula>NOT(ISERROR(SEARCH("库存为",AU424)))</formula>
    </cfRule>
    <cfRule type="cellIs" dxfId="1" priority="4680" operator="greaterThan">
      <formula>120</formula>
    </cfRule>
    <cfRule type="cellIs" dxfId="0" priority="5185" operator="lessThan">
      <formula>20</formula>
    </cfRule>
  </conditionalFormatting>
  <conditionalFormatting sqref="AU425">
    <cfRule type="containsText" dxfId="2" priority="4174" operator="between" text="库存为">
      <formula>NOT(ISERROR(SEARCH("库存为",AU425)))</formula>
    </cfRule>
    <cfRule type="cellIs" dxfId="1" priority="4679" operator="greaterThan">
      <formula>120</formula>
    </cfRule>
    <cfRule type="cellIs" dxfId="0" priority="5184" operator="lessThan">
      <formula>20</formula>
    </cfRule>
  </conditionalFormatting>
  <conditionalFormatting sqref="AU426">
    <cfRule type="containsText" dxfId="2" priority="4173" operator="between" text="库存为">
      <formula>NOT(ISERROR(SEARCH("库存为",AU426)))</formula>
    </cfRule>
    <cfRule type="cellIs" dxfId="1" priority="4678" operator="greaterThan">
      <formula>120</formula>
    </cfRule>
    <cfRule type="cellIs" dxfId="0" priority="5183" operator="lessThan">
      <formula>20</formula>
    </cfRule>
  </conditionalFormatting>
  <conditionalFormatting sqref="AU427">
    <cfRule type="containsText" dxfId="2" priority="4172" operator="between" text="库存为">
      <formula>NOT(ISERROR(SEARCH("库存为",AU427)))</formula>
    </cfRule>
    <cfRule type="cellIs" dxfId="1" priority="4677" operator="greaterThan">
      <formula>120</formula>
    </cfRule>
    <cfRule type="cellIs" dxfId="0" priority="5182" operator="lessThan">
      <formula>20</formula>
    </cfRule>
  </conditionalFormatting>
  <conditionalFormatting sqref="AU428">
    <cfRule type="containsText" dxfId="2" priority="4171" operator="between" text="库存为">
      <formula>NOT(ISERROR(SEARCH("库存为",AU428)))</formula>
    </cfRule>
    <cfRule type="cellIs" dxfId="1" priority="4676" operator="greaterThan">
      <formula>120</formula>
    </cfRule>
    <cfRule type="cellIs" dxfId="0" priority="5181" operator="lessThan">
      <formula>20</formula>
    </cfRule>
  </conditionalFormatting>
  <conditionalFormatting sqref="AU429">
    <cfRule type="containsText" dxfId="2" priority="4170" operator="between" text="库存为">
      <formula>NOT(ISERROR(SEARCH("库存为",AU429)))</formula>
    </cfRule>
    <cfRule type="cellIs" dxfId="1" priority="4675" operator="greaterThan">
      <formula>120</formula>
    </cfRule>
    <cfRule type="cellIs" dxfId="0" priority="5180" operator="lessThan">
      <formula>20</formula>
    </cfRule>
  </conditionalFormatting>
  <conditionalFormatting sqref="AU430">
    <cfRule type="containsText" dxfId="2" priority="4169" operator="between" text="库存为">
      <formula>NOT(ISERROR(SEARCH("库存为",AU430)))</formula>
    </cfRule>
    <cfRule type="cellIs" dxfId="1" priority="4674" operator="greaterThan">
      <formula>120</formula>
    </cfRule>
    <cfRule type="cellIs" dxfId="0" priority="5179" operator="lessThan">
      <formula>20</formula>
    </cfRule>
  </conditionalFormatting>
  <conditionalFormatting sqref="AU431">
    <cfRule type="containsText" dxfId="2" priority="4168" operator="between" text="库存为">
      <formula>NOT(ISERROR(SEARCH("库存为",AU431)))</formula>
    </cfRule>
    <cfRule type="cellIs" dxfId="1" priority="4673" operator="greaterThan">
      <formula>120</formula>
    </cfRule>
    <cfRule type="cellIs" dxfId="0" priority="5178" operator="lessThan">
      <formula>20</formula>
    </cfRule>
  </conditionalFormatting>
  <conditionalFormatting sqref="AU432">
    <cfRule type="containsText" dxfId="2" priority="4167" operator="between" text="库存为">
      <formula>NOT(ISERROR(SEARCH("库存为",AU432)))</formula>
    </cfRule>
    <cfRule type="cellIs" dxfId="1" priority="4672" operator="greaterThan">
      <formula>120</formula>
    </cfRule>
    <cfRule type="cellIs" dxfId="0" priority="5177" operator="lessThan">
      <formula>20</formula>
    </cfRule>
  </conditionalFormatting>
  <conditionalFormatting sqref="AU433">
    <cfRule type="containsText" dxfId="2" priority="4166" operator="between" text="库存为">
      <formula>NOT(ISERROR(SEARCH("库存为",AU433)))</formula>
    </cfRule>
    <cfRule type="cellIs" dxfId="1" priority="4671" operator="greaterThan">
      <formula>120</formula>
    </cfRule>
    <cfRule type="cellIs" dxfId="0" priority="5176" operator="lessThan">
      <formula>20</formula>
    </cfRule>
  </conditionalFormatting>
  <conditionalFormatting sqref="AU434">
    <cfRule type="containsText" dxfId="2" priority="4165" operator="between" text="库存为">
      <formula>NOT(ISERROR(SEARCH("库存为",AU434)))</formula>
    </cfRule>
    <cfRule type="cellIs" dxfId="1" priority="4670" operator="greaterThan">
      <formula>120</formula>
    </cfRule>
    <cfRule type="cellIs" dxfId="0" priority="5175" operator="lessThan">
      <formula>20</formula>
    </cfRule>
  </conditionalFormatting>
  <conditionalFormatting sqref="AU435">
    <cfRule type="containsText" dxfId="2" priority="4164" operator="between" text="库存为">
      <formula>NOT(ISERROR(SEARCH("库存为",AU435)))</formula>
    </cfRule>
    <cfRule type="cellIs" dxfId="1" priority="4669" operator="greaterThan">
      <formula>120</formula>
    </cfRule>
    <cfRule type="cellIs" dxfId="0" priority="5174" operator="lessThan">
      <formula>20</formula>
    </cfRule>
  </conditionalFormatting>
  <conditionalFormatting sqref="AU436">
    <cfRule type="containsText" dxfId="2" priority="4163" operator="between" text="库存为">
      <formula>NOT(ISERROR(SEARCH("库存为",AU436)))</formula>
    </cfRule>
    <cfRule type="cellIs" dxfId="1" priority="4668" operator="greaterThan">
      <formula>120</formula>
    </cfRule>
    <cfRule type="cellIs" dxfId="0" priority="5173" operator="lessThan">
      <formula>20</formula>
    </cfRule>
  </conditionalFormatting>
  <conditionalFormatting sqref="AU437">
    <cfRule type="containsText" dxfId="2" priority="4162" operator="between" text="库存为">
      <formula>NOT(ISERROR(SEARCH("库存为",AU437)))</formula>
    </cfRule>
    <cfRule type="cellIs" dxfId="1" priority="4667" operator="greaterThan">
      <formula>120</formula>
    </cfRule>
    <cfRule type="cellIs" dxfId="0" priority="5172" operator="lessThan">
      <formula>20</formula>
    </cfRule>
  </conditionalFormatting>
  <conditionalFormatting sqref="AU438">
    <cfRule type="containsText" dxfId="2" priority="4161" operator="between" text="库存为">
      <formula>NOT(ISERROR(SEARCH("库存为",AU438)))</formula>
    </cfRule>
    <cfRule type="cellIs" dxfId="1" priority="4666" operator="greaterThan">
      <formula>120</formula>
    </cfRule>
    <cfRule type="cellIs" dxfId="0" priority="5171" operator="lessThan">
      <formula>20</formula>
    </cfRule>
  </conditionalFormatting>
  <conditionalFormatting sqref="AU439">
    <cfRule type="containsText" dxfId="2" priority="4160" operator="between" text="库存为">
      <formula>NOT(ISERROR(SEARCH("库存为",AU439)))</formula>
    </cfRule>
    <cfRule type="cellIs" dxfId="1" priority="4665" operator="greaterThan">
      <formula>120</formula>
    </cfRule>
    <cfRule type="cellIs" dxfId="0" priority="5170" operator="lessThan">
      <formula>20</formula>
    </cfRule>
  </conditionalFormatting>
  <conditionalFormatting sqref="AU440">
    <cfRule type="containsText" dxfId="2" priority="4159" operator="between" text="库存为">
      <formula>NOT(ISERROR(SEARCH("库存为",AU440)))</formula>
    </cfRule>
    <cfRule type="cellIs" dxfId="1" priority="4664" operator="greaterThan">
      <formula>120</formula>
    </cfRule>
    <cfRule type="cellIs" dxfId="0" priority="5169" operator="lessThan">
      <formula>20</formula>
    </cfRule>
  </conditionalFormatting>
  <conditionalFormatting sqref="AU441">
    <cfRule type="containsText" dxfId="2" priority="4158" operator="between" text="库存为">
      <formula>NOT(ISERROR(SEARCH("库存为",AU441)))</formula>
    </cfRule>
    <cfRule type="cellIs" dxfId="1" priority="4663" operator="greaterThan">
      <formula>120</formula>
    </cfRule>
    <cfRule type="cellIs" dxfId="0" priority="5168" operator="lessThan">
      <formula>20</formula>
    </cfRule>
  </conditionalFormatting>
  <conditionalFormatting sqref="AU442">
    <cfRule type="containsText" dxfId="2" priority="4157" operator="between" text="库存为">
      <formula>NOT(ISERROR(SEARCH("库存为",AU442)))</formula>
    </cfRule>
    <cfRule type="cellIs" dxfId="1" priority="4662" operator="greaterThan">
      <formula>120</formula>
    </cfRule>
    <cfRule type="cellIs" dxfId="0" priority="5167" operator="lessThan">
      <formula>20</formula>
    </cfRule>
  </conditionalFormatting>
  <conditionalFormatting sqref="AU443">
    <cfRule type="containsText" dxfId="2" priority="4156" operator="between" text="库存为">
      <formula>NOT(ISERROR(SEARCH("库存为",AU443)))</formula>
    </cfRule>
    <cfRule type="cellIs" dxfId="1" priority="4661" operator="greaterThan">
      <formula>120</formula>
    </cfRule>
    <cfRule type="cellIs" dxfId="0" priority="5166" operator="lessThan">
      <formula>20</formula>
    </cfRule>
  </conditionalFormatting>
  <conditionalFormatting sqref="AU444">
    <cfRule type="containsText" dxfId="2" priority="4155" operator="between" text="库存为">
      <formula>NOT(ISERROR(SEARCH("库存为",AU444)))</formula>
    </cfRule>
    <cfRule type="cellIs" dxfId="1" priority="4660" operator="greaterThan">
      <formula>120</formula>
    </cfRule>
    <cfRule type="cellIs" dxfId="0" priority="5165" operator="lessThan">
      <formula>20</formula>
    </cfRule>
  </conditionalFormatting>
  <conditionalFormatting sqref="AU445">
    <cfRule type="containsText" dxfId="2" priority="4154" operator="between" text="库存为">
      <formula>NOT(ISERROR(SEARCH("库存为",AU445)))</formula>
    </cfRule>
    <cfRule type="cellIs" dxfId="1" priority="4659" operator="greaterThan">
      <formula>120</formula>
    </cfRule>
    <cfRule type="cellIs" dxfId="0" priority="5164" operator="lessThan">
      <formula>20</formula>
    </cfRule>
  </conditionalFormatting>
  <conditionalFormatting sqref="AU446">
    <cfRule type="containsText" dxfId="2" priority="4153" operator="between" text="库存为">
      <formula>NOT(ISERROR(SEARCH("库存为",AU446)))</formula>
    </cfRule>
    <cfRule type="cellIs" dxfId="1" priority="4658" operator="greaterThan">
      <formula>120</formula>
    </cfRule>
    <cfRule type="cellIs" dxfId="0" priority="5163" operator="lessThan">
      <formula>20</formula>
    </cfRule>
  </conditionalFormatting>
  <conditionalFormatting sqref="AU447">
    <cfRule type="containsText" dxfId="2" priority="4152" operator="between" text="库存为">
      <formula>NOT(ISERROR(SEARCH("库存为",AU447)))</formula>
    </cfRule>
    <cfRule type="cellIs" dxfId="1" priority="4657" operator="greaterThan">
      <formula>120</formula>
    </cfRule>
    <cfRule type="cellIs" dxfId="0" priority="5162" operator="lessThan">
      <formula>20</formula>
    </cfRule>
  </conditionalFormatting>
  <conditionalFormatting sqref="AU448">
    <cfRule type="containsText" dxfId="2" priority="4151" operator="between" text="库存为">
      <formula>NOT(ISERROR(SEARCH("库存为",AU448)))</formula>
    </cfRule>
    <cfRule type="cellIs" dxfId="1" priority="4656" operator="greaterThan">
      <formula>120</formula>
    </cfRule>
    <cfRule type="cellIs" dxfId="0" priority="5161" operator="lessThan">
      <formula>20</formula>
    </cfRule>
  </conditionalFormatting>
  <conditionalFormatting sqref="AU449">
    <cfRule type="containsText" dxfId="2" priority="4150" operator="between" text="库存为">
      <formula>NOT(ISERROR(SEARCH("库存为",AU449)))</formula>
    </cfRule>
    <cfRule type="cellIs" dxfId="1" priority="4655" operator="greaterThan">
      <formula>120</formula>
    </cfRule>
    <cfRule type="cellIs" dxfId="0" priority="5160" operator="lessThan">
      <formula>20</formula>
    </cfRule>
  </conditionalFormatting>
  <conditionalFormatting sqref="AU450">
    <cfRule type="containsText" dxfId="2" priority="4149" operator="between" text="库存为">
      <formula>NOT(ISERROR(SEARCH("库存为",AU450)))</formula>
    </cfRule>
    <cfRule type="cellIs" dxfId="1" priority="4654" operator="greaterThan">
      <formula>120</formula>
    </cfRule>
    <cfRule type="cellIs" dxfId="0" priority="5159" operator="lessThan">
      <formula>20</formula>
    </cfRule>
  </conditionalFormatting>
  <conditionalFormatting sqref="AU451">
    <cfRule type="containsText" dxfId="2" priority="4148" operator="between" text="库存为">
      <formula>NOT(ISERROR(SEARCH("库存为",AU451)))</formula>
    </cfRule>
    <cfRule type="cellIs" dxfId="1" priority="4653" operator="greaterThan">
      <formula>120</formula>
    </cfRule>
    <cfRule type="cellIs" dxfId="0" priority="5158" operator="lessThan">
      <formula>20</formula>
    </cfRule>
  </conditionalFormatting>
  <conditionalFormatting sqref="AU452">
    <cfRule type="containsText" dxfId="2" priority="4147" operator="between" text="库存为">
      <formula>NOT(ISERROR(SEARCH("库存为",AU452)))</formula>
    </cfRule>
    <cfRule type="cellIs" dxfId="1" priority="4652" operator="greaterThan">
      <formula>120</formula>
    </cfRule>
    <cfRule type="cellIs" dxfId="0" priority="5157" operator="lessThan">
      <formula>20</formula>
    </cfRule>
  </conditionalFormatting>
  <conditionalFormatting sqref="AU453">
    <cfRule type="containsText" dxfId="2" priority="4146" operator="between" text="库存为">
      <formula>NOT(ISERROR(SEARCH("库存为",AU453)))</formula>
    </cfRule>
    <cfRule type="cellIs" dxfId="1" priority="4651" operator="greaterThan">
      <formula>120</formula>
    </cfRule>
    <cfRule type="cellIs" dxfId="0" priority="5156" operator="lessThan">
      <formula>20</formula>
    </cfRule>
  </conditionalFormatting>
  <conditionalFormatting sqref="AU454">
    <cfRule type="containsText" dxfId="2" priority="4145" operator="between" text="库存为">
      <formula>NOT(ISERROR(SEARCH("库存为",AU454)))</formula>
    </cfRule>
    <cfRule type="cellIs" dxfId="1" priority="4650" operator="greaterThan">
      <formula>120</formula>
    </cfRule>
    <cfRule type="cellIs" dxfId="0" priority="5155" operator="lessThan">
      <formula>20</formula>
    </cfRule>
  </conditionalFormatting>
  <conditionalFormatting sqref="AU455">
    <cfRule type="containsText" dxfId="2" priority="4144" operator="between" text="库存为">
      <formula>NOT(ISERROR(SEARCH("库存为",AU455)))</formula>
    </cfRule>
    <cfRule type="cellIs" dxfId="1" priority="4649" operator="greaterThan">
      <formula>120</formula>
    </cfRule>
    <cfRule type="cellIs" dxfId="0" priority="5154" operator="lessThan">
      <formula>20</formula>
    </cfRule>
  </conditionalFormatting>
  <conditionalFormatting sqref="AU456">
    <cfRule type="containsText" dxfId="2" priority="4143" operator="between" text="库存为">
      <formula>NOT(ISERROR(SEARCH("库存为",AU456)))</formula>
    </cfRule>
    <cfRule type="cellIs" dxfId="1" priority="4648" operator="greaterThan">
      <formula>120</formula>
    </cfRule>
    <cfRule type="cellIs" dxfId="0" priority="5153" operator="lessThan">
      <formula>20</formula>
    </cfRule>
  </conditionalFormatting>
  <conditionalFormatting sqref="AU457">
    <cfRule type="containsText" dxfId="2" priority="4142" operator="between" text="库存为">
      <formula>NOT(ISERROR(SEARCH("库存为",AU457)))</formula>
    </cfRule>
    <cfRule type="cellIs" dxfId="1" priority="4647" operator="greaterThan">
      <formula>120</formula>
    </cfRule>
    <cfRule type="cellIs" dxfId="0" priority="5152" operator="lessThan">
      <formula>20</formula>
    </cfRule>
  </conditionalFormatting>
  <conditionalFormatting sqref="AU458">
    <cfRule type="containsText" dxfId="2" priority="4141" operator="between" text="库存为">
      <formula>NOT(ISERROR(SEARCH("库存为",AU458)))</formula>
    </cfRule>
    <cfRule type="cellIs" dxfId="1" priority="4646" operator="greaterThan">
      <formula>120</formula>
    </cfRule>
    <cfRule type="cellIs" dxfId="0" priority="5151" operator="lessThan">
      <formula>20</formula>
    </cfRule>
  </conditionalFormatting>
  <conditionalFormatting sqref="AU459">
    <cfRule type="containsText" dxfId="2" priority="4140" operator="between" text="库存为">
      <formula>NOT(ISERROR(SEARCH("库存为",AU459)))</formula>
    </cfRule>
    <cfRule type="cellIs" dxfId="1" priority="4645" operator="greaterThan">
      <formula>120</formula>
    </cfRule>
    <cfRule type="cellIs" dxfId="0" priority="5150" operator="lessThan">
      <formula>20</formula>
    </cfRule>
  </conditionalFormatting>
  <conditionalFormatting sqref="AU460">
    <cfRule type="containsText" dxfId="2" priority="4139" operator="between" text="库存为">
      <formula>NOT(ISERROR(SEARCH("库存为",AU460)))</formula>
    </cfRule>
    <cfRule type="cellIs" dxfId="1" priority="4644" operator="greaterThan">
      <formula>120</formula>
    </cfRule>
    <cfRule type="cellIs" dxfId="0" priority="5149" operator="lessThan">
      <formula>20</formula>
    </cfRule>
  </conditionalFormatting>
  <conditionalFormatting sqref="AU461">
    <cfRule type="containsText" dxfId="2" priority="4138" operator="between" text="库存为">
      <formula>NOT(ISERROR(SEARCH("库存为",AU461)))</formula>
    </cfRule>
    <cfRule type="cellIs" dxfId="1" priority="4643" operator="greaterThan">
      <formula>120</formula>
    </cfRule>
    <cfRule type="cellIs" dxfId="0" priority="5148" operator="lessThan">
      <formula>20</formula>
    </cfRule>
  </conditionalFormatting>
  <conditionalFormatting sqref="AU462">
    <cfRule type="containsText" dxfId="2" priority="4137" operator="between" text="库存为">
      <formula>NOT(ISERROR(SEARCH("库存为",AU462)))</formula>
    </cfRule>
    <cfRule type="cellIs" dxfId="1" priority="4642" operator="greaterThan">
      <formula>120</formula>
    </cfRule>
    <cfRule type="cellIs" dxfId="0" priority="5147" operator="lessThan">
      <formula>20</formula>
    </cfRule>
  </conditionalFormatting>
  <conditionalFormatting sqref="AU463">
    <cfRule type="containsText" dxfId="2" priority="4136" operator="between" text="库存为">
      <formula>NOT(ISERROR(SEARCH("库存为",AU463)))</formula>
    </cfRule>
    <cfRule type="cellIs" dxfId="1" priority="4641" operator="greaterThan">
      <formula>120</formula>
    </cfRule>
    <cfRule type="cellIs" dxfId="0" priority="5146" operator="lessThan">
      <formula>20</formula>
    </cfRule>
  </conditionalFormatting>
  <conditionalFormatting sqref="AU464">
    <cfRule type="containsText" dxfId="2" priority="4135" operator="between" text="库存为">
      <formula>NOT(ISERROR(SEARCH("库存为",AU464)))</formula>
    </cfRule>
    <cfRule type="cellIs" dxfId="1" priority="4640" operator="greaterThan">
      <formula>120</formula>
    </cfRule>
    <cfRule type="cellIs" dxfId="0" priority="5145" operator="lessThan">
      <formula>20</formula>
    </cfRule>
  </conditionalFormatting>
  <conditionalFormatting sqref="AU465">
    <cfRule type="containsText" dxfId="2" priority="4134" operator="between" text="库存为">
      <formula>NOT(ISERROR(SEARCH("库存为",AU465)))</formula>
    </cfRule>
    <cfRule type="cellIs" dxfId="1" priority="4639" operator="greaterThan">
      <formula>120</formula>
    </cfRule>
    <cfRule type="cellIs" dxfId="0" priority="5144" operator="lessThan">
      <formula>20</formula>
    </cfRule>
  </conditionalFormatting>
  <conditionalFormatting sqref="AU466">
    <cfRule type="containsText" dxfId="2" priority="4133" operator="between" text="库存为">
      <formula>NOT(ISERROR(SEARCH("库存为",AU466)))</formula>
    </cfRule>
    <cfRule type="cellIs" dxfId="1" priority="4638" operator="greaterThan">
      <formula>120</formula>
    </cfRule>
    <cfRule type="cellIs" dxfId="0" priority="5143" operator="lessThan">
      <formula>20</formula>
    </cfRule>
  </conditionalFormatting>
  <conditionalFormatting sqref="AU467">
    <cfRule type="containsText" dxfId="2" priority="4132" operator="between" text="库存为">
      <formula>NOT(ISERROR(SEARCH("库存为",AU467)))</formula>
    </cfRule>
    <cfRule type="cellIs" dxfId="1" priority="4637" operator="greaterThan">
      <formula>120</formula>
    </cfRule>
    <cfRule type="cellIs" dxfId="0" priority="5142" operator="lessThan">
      <formula>20</formula>
    </cfRule>
  </conditionalFormatting>
  <conditionalFormatting sqref="AU468">
    <cfRule type="containsText" dxfId="2" priority="4131" operator="between" text="库存为">
      <formula>NOT(ISERROR(SEARCH("库存为",AU468)))</formula>
    </cfRule>
    <cfRule type="cellIs" dxfId="1" priority="4636" operator="greaterThan">
      <formula>120</formula>
    </cfRule>
    <cfRule type="cellIs" dxfId="0" priority="5141" operator="lessThan">
      <formula>20</formula>
    </cfRule>
  </conditionalFormatting>
  <conditionalFormatting sqref="AU469">
    <cfRule type="containsText" dxfId="2" priority="4130" operator="between" text="库存为">
      <formula>NOT(ISERROR(SEARCH("库存为",AU469)))</formula>
    </cfRule>
    <cfRule type="cellIs" dxfId="1" priority="4635" operator="greaterThan">
      <formula>120</formula>
    </cfRule>
    <cfRule type="cellIs" dxfId="0" priority="5140" operator="lessThan">
      <formula>20</formula>
    </cfRule>
  </conditionalFormatting>
  <conditionalFormatting sqref="AU470">
    <cfRule type="containsText" dxfId="2" priority="4129" operator="between" text="库存为">
      <formula>NOT(ISERROR(SEARCH("库存为",AU470)))</formula>
    </cfRule>
    <cfRule type="cellIs" dxfId="1" priority="4634" operator="greaterThan">
      <formula>120</formula>
    </cfRule>
    <cfRule type="cellIs" dxfId="0" priority="5139" operator="lessThan">
      <formula>20</formula>
    </cfRule>
  </conditionalFormatting>
  <conditionalFormatting sqref="AU471">
    <cfRule type="containsText" dxfId="2" priority="4128" operator="between" text="库存为">
      <formula>NOT(ISERROR(SEARCH("库存为",AU471)))</formula>
    </cfRule>
    <cfRule type="cellIs" dxfId="1" priority="4633" operator="greaterThan">
      <formula>120</formula>
    </cfRule>
    <cfRule type="cellIs" dxfId="0" priority="5138" operator="lessThan">
      <formula>20</formula>
    </cfRule>
  </conditionalFormatting>
  <conditionalFormatting sqref="AU472">
    <cfRule type="containsText" dxfId="2" priority="4127" operator="between" text="库存为">
      <formula>NOT(ISERROR(SEARCH("库存为",AU472)))</formula>
    </cfRule>
    <cfRule type="cellIs" dxfId="1" priority="4632" operator="greaterThan">
      <formula>120</formula>
    </cfRule>
    <cfRule type="cellIs" dxfId="0" priority="5137" operator="lessThan">
      <formula>20</formula>
    </cfRule>
  </conditionalFormatting>
  <conditionalFormatting sqref="AU473">
    <cfRule type="containsText" dxfId="2" priority="4126" operator="between" text="库存为">
      <formula>NOT(ISERROR(SEARCH("库存为",AU473)))</formula>
    </cfRule>
    <cfRule type="cellIs" dxfId="1" priority="4631" operator="greaterThan">
      <formula>120</formula>
    </cfRule>
    <cfRule type="cellIs" dxfId="0" priority="5136" operator="lessThan">
      <formula>20</formula>
    </cfRule>
  </conditionalFormatting>
  <conditionalFormatting sqref="AU474">
    <cfRule type="containsText" dxfId="2" priority="4125" operator="between" text="库存为">
      <formula>NOT(ISERROR(SEARCH("库存为",AU474)))</formula>
    </cfRule>
    <cfRule type="cellIs" dxfId="1" priority="4630" operator="greaterThan">
      <formula>120</formula>
    </cfRule>
    <cfRule type="cellIs" dxfId="0" priority="5135" operator="lessThan">
      <formula>20</formula>
    </cfRule>
  </conditionalFormatting>
  <conditionalFormatting sqref="AU475">
    <cfRule type="containsText" dxfId="2" priority="4124" operator="between" text="库存为">
      <formula>NOT(ISERROR(SEARCH("库存为",AU475)))</formula>
    </cfRule>
    <cfRule type="cellIs" dxfId="1" priority="4629" operator="greaterThan">
      <formula>120</formula>
    </cfRule>
    <cfRule type="cellIs" dxfId="0" priority="5134" operator="lessThan">
      <formula>20</formula>
    </cfRule>
  </conditionalFormatting>
  <conditionalFormatting sqref="AU476">
    <cfRule type="containsText" dxfId="2" priority="4123" operator="between" text="库存为">
      <formula>NOT(ISERROR(SEARCH("库存为",AU476)))</formula>
    </cfRule>
    <cfRule type="cellIs" dxfId="1" priority="4628" operator="greaterThan">
      <formula>120</formula>
    </cfRule>
    <cfRule type="cellIs" dxfId="0" priority="5133" operator="lessThan">
      <formula>20</formula>
    </cfRule>
  </conditionalFormatting>
  <conditionalFormatting sqref="AU477">
    <cfRule type="containsText" dxfId="2" priority="4122" operator="between" text="库存为">
      <formula>NOT(ISERROR(SEARCH("库存为",AU477)))</formula>
    </cfRule>
    <cfRule type="cellIs" dxfId="1" priority="4627" operator="greaterThan">
      <formula>120</formula>
    </cfRule>
    <cfRule type="cellIs" dxfId="0" priority="5132" operator="lessThan">
      <formula>20</formula>
    </cfRule>
  </conditionalFormatting>
  <conditionalFormatting sqref="AU478">
    <cfRule type="containsText" dxfId="2" priority="4121" operator="between" text="库存为">
      <formula>NOT(ISERROR(SEARCH("库存为",AU478)))</formula>
    </cfRule>
    <cfRule type="cellIs" dxfId="1" priority="4626" operator="greaterThan">
      <formula>120</formula>
    </cfRule>
    <cfRule type="cellIs" dxfId="0" priority="5131" operator="lessThan">
      <formula>20</formula>
    </cfRule>
  </conditionalFormatting>
  <conditionalFormatting sqref="AU479">
    <cfRule type="containsText" dxfId="2" priority="4120" operator="between" text="库存为">
      <formula>NOT(ISERROR(SEARCH("库存为",AU479)))</formula>
    </cfRule>
    <cfRule type="cellIs" dxfId="1" priority="4625" operator="greaterThan">
      <formula>120</formula>
    </cfRule>
    <cfRule type="cellIs" dxfId="0" priority="5130" operator="lessThan">
      <formula>20</formula>
    </cfRule>
  </conditionalFormatting>
  <conditionalFormatting sqref="AU480">
    <cfRule type="containsText" dxfId="2" priority="4119" operator="between" text="库存为">
      <formula>NOT(ISERROR(SEARCH("库存为",AU480)))</formula>
    </cfRule>
    <cfRule type="cellIs" dxfId="1" priority="4624" operator="greaterThan">
      <formula>120</formula>
    </cfRule>
    <cfRule type="cellIs" dxfId="0" priority="5129" operator="lessThan">
      <formula>20</formula>
    </cfRule>
  </conditionalFormatting>
  <conditionalFormatting sqref="AU481">
    <cfRule type="containsText" dxfId="2" priority="4118" operator="between" text="库存为">
      <formula>NOT(ISERROR(SEARCH("库存为",AU481)))</formula>
    </cfRule>
    <cfRule type="cellIs" dxfId="1" priority="4623" operator="greaterThan">
      <formula>120</formula>
    </cfRule>
    <cfRule type="cellIs" dxfId="0" priority="5128" operator="lessThan">
      <formula>20</formula>
    </cfRule>
  </conditionalFormatting>
  <conditionalFormatting sqref="AU482">
    <cfRule type="containsText" dxfId="2" priority="4117" operator="between" text="库存为">
      <formula>NOT(ISERROR(SEARCH("库存为",AU482)))</formula>
    </cfRule>
    <cfRule type="cellIs" dxfId="1" priority="4622" operator="greaterThan">
      <formula>120</formula>
    </cfRule>
    <cfRule type="cellIs" dxfId="0" priority="5127" operator="lessThan">
      <formula>20</formula>
    </cfRule>
  </conditionalFormatting>
  <conditionalFormatting sqref="AU483">
    <cfRule type="containsText" dxfId="2" priority="4116" operator="between" text="库存为">
      <formula>NOT(ISERROR(SEARCH("库存为",AU483)))</formula>
    </cfRule>
    <cfRule type="cellIs" dxfId="1" priority="4621" operator="greaterThan">
      <formula>120</formula>
    </cfRule>
    <cfRule type="cellIs" dxfId="0" priority="5126" operator="lessThan">
      <formula>20</formula>
    </cfRule>
  </conditionalFormatting>
  <conditionalFormatting sqref="AU484">
    <cfRule type="containsText" dxfId="2" priority="4115" operator="between" text="库存为">
      <formula>NOT(ISERROR(SEARCH("库存为",AU484)))</formula>
    </cfRule>
    <cfRule type="cellIs" dxfId="1" priority="4620" operator="greaterThan">
      <formula>120</formula>
    </cfRule>
    <cfRule type="cellIs" dxfId="0" priority="5125" operator="lessThan">
      <formula>20</formula>
    </cfRule>
  </conditionalFormatting>
  <conditionalFormatting sqref="AU485">
    <cfRule type="containsText" dxfId="2" priority="4114" operator="between" text="库存为">
      <formula>NOT(ISERROR(SEARCH("库存为",AU485)))</formula>
    </cfRule>
    <cfRule type="cellIs" dxfId="1" priority="4619" operator="greaterThan">
      <formula>120</formula>
    </cfRule>
    <cfRule type="cellIs" dxfId="0" priority="5124" operator="lessThan">
      <formula>20</formula>
    </cfRule>
  </conditionalFormatting>
  <conditionalFormatting sqref="AU486">
    <cfRule type="containsText" dxfId="2" priority="4113" operator="between" text="库存为">
      <formula>NOT(ISERROR(SEARCH("库存为",AU486)))</formula>
    </cfRule>
    <cfRule type="cellIs" dxfId="1" priority="4618" operator="greaterThan">
      <formula>120</formula>
    </cfRule>
    <cfRule type="cellIs" dxfId="0" priority="5123" operator="lessThan">
      <formula>20</formula>
    </cfRule>
  </conditionalFormatting>
  <conditionalFormatting sqref="AU487">
    <cfRule type="containsText" dxfId="2" priority="4112" operator="between" text="库存为">
      <formula>NOT(ISERROR(SEARCH("库存为",AU487)))</formula>
    </cfRule>
    <cfRule type="cellIs" dxfId="1" priority="4617" operator="greaterThan">
      <formula>120</formula>
    </cfRule>
    <cfRule type="cellIs" dxfId="0" priority="5122" operator="lessThan">
      <formula>20</formula>
    </cfRule>
  </conditionalFormatting>
  <conditionalFormatting sqref="AU488">
    <cfRule type="containsText" dxfId="2" priority="4111" operator="between" text="库存为">
      <formula>NOT(ISERROR(SEARCH("库存为",AU488)))</formula>
    </cfRule>
    <cfRule type="cellIs" dxfId="1" priority="4616" operator="greaterThan">
      <formula>120</formula>
    </cfRule>
    <cfRule type="cellIs" dxfId="0" priority="5121" operator="lessThan">
      <formula>20</formula>
    </cfRule>
  </conditionalFormatting>
  <conditionalFormatting sqref="AU489">
    <cfRule type="containsText" dxfId="2" priority="4110" operator="between" text="库存为">
      <formula>NOT(ISERROR(SEARCH("库存为",AU489)))</formula>
    </cfRule>
    <cfRule type="cellIs" dxfId="1" priority="4615" operator="greaterThan">
      <formula>120</formula>
    </cfRule>
    <cfRule type="cellIs" dxfId="0" priority="5120" operator="lessThan">
      <formula>20</formula>
    </cfRule>
  </conditionalFormatting>
  <conditionalFormatting sqref="AU490">
    <cfRule type="containsText" dxfId="2" priority="4109" operator="between" text="库存为">
      <formula>NOT(ISERROR(SEARCH("库存为",AU490)))</formula>
    </cfRule>
    <cfRule type="cellIs" dxfId="1" priority="4614" operator="greaterThan">
      <formula>120</formula>
    </cfRule>
    <cfRule type="cellIs" dxfId="0" priority="5119" operator="lessThan">
      <formula>20</formula>
    </cfRule>
  </conditionalFormatting>
  <conditionalFormatting sqref="AU491">
    <cfRule type="containsText" dxfId="2" priority="4108" operator="between" text="库存为">
      <formula>NOT(ISERROR(SEARCH("库存为",AU491)))</formula>
    </cfRule>
    <cfRule type="cellIs" dxfId="1" priority="4613" operator="greaterThan">
      <formula>120</formula>
    </cfRule>
    <cfRule type="cellIs" dxfId="0" priority="5118" operator="lessThan">
      <formula>20</formula>
    </cfRule>
  </conditionalFormatting>
  <conditionalFormatting sqref="AU492">
    <cfRule type="containsText" dxfId="2" priority="4107" operator="between" text="库存为">
      <formula>NOT(ISERROR(SEARCH("库存为",AU492)))</formula>
    </cfRule>
    <cfRule type="cellIs" dxfId="1" priority="4612" operator="greaterThan">
      <formula>120</formula>
    </cfRule>
    <cfRule type="cellIs" dxfId="0" priority="5117" operator="lessThan">
      <formula>20</formula>
    </cfRule>
  </conditionalFormatting>
  <conditionalFormatting sqref="AU493">
    <cfRule type="containsText" dxfId="2" priority="4106" operator="between" text="库存为">
      <formula>NOT(ISERROR(SEARCH("库存为",AU493)))</formula>
    </cfRule>
    <cfRule type="cellIs" dxfId="1" priority="4611" operator="greaterThan">
      <formula>120</formula>
    </cfRule>
    <cfRule type="cellIs" dxfId="0" priority="5116" operator="lessThan">
      <formula>20</formula>
    </cfRule>
  </conditionalFormatting>
  <conditionalFormatting sqref="AU494">
    <cfRule type="containsText" dxfId="2" priority="4105" operator="between" text="库存为">
      <formula>NOT(ISERROR(SEARCH("库存为",AU494)))</formula>
    </cfRule>
    <cfRule type="cellIs" dxfId="1" priority="4610" operator="greaterThan">
      <formula>120</formula>
    </cfRule>
    <cfRule type="cellIs" dxfId="0" priority="5115" operator="lessThan">
      <formula>20</formula>
    </cfRule>
  </conditionalFormatting>
  <conditionalFormatting sqref="AU495">
    <cfRule type="containsText" dxfId="2" priority="4104" operator="between" text="库存为">
      <formula>NOT(ISERROR(SEARCH("库存为",AU495)))</formula>
    </cfRule>
    <cfRule type="cellIs" dxfId="1" priority="4609" operator="greaterThan">
      <formula>120</formula>
    </cfRule>
    <cfRule type="cellIs" dxfId="0" priority="5114" operator="lessThan">
      <formula>20</formula>
    </cfRule>
  </conditionalFormatting>
  <conditionalFormatting sqref="AU496">
    <cfRule type="containsText" dxfId="2" priority="4103" operator="between" text="库存为">
      <formula>NOT(ISERROR(SEARCH("库存为",AU496)))</formula>
    </cfRule>
    <cfRule type="cellIs" dxfId="1" priority="4608" operator="greaterThan">
      <formula>120</formula>
    </cfRule>
    <cfRule type="cellIs" dxfId="0" priority="5113" operator="lessThan">
      <formula>20</formula>
    </cfRule>
  </conditionalFormatting>
  <conditionalFormatting sqref="AU497">
    <cfRule type="containsText" dxfId="2" priority="4102" operator="between" text="库存为">
      <formula>NOT(ISERROR(SEARCH("库存为",AU497)))</formula>
    </cfRule>
    <cfRule type="cellIs" dxfId="1" priority="4607" operator="greaterThan">
      <formula>120</formula>
    </cfRule>
    <cfRule type="cellIs" dxfId="0" priority="5112" operator="lessThan">
      <formula>20</formula>
    </cfRule>
  </conditionalFormatting>
  <conditionalFormatting sqref="AU498">
    <cfRule type="containsText" dxfId="2" priority="4101" operator="between" text="库存为">
      <formula>NOT(ISERROR(SEARCH("库存为",AU498)))</formula>
    </cfRule>
    <cfRule type="cellIs" dxfId="1" priority="4606" operator="greaterThan">
      <formula>120</formula>
    </cfRule>
    <cfRule type="cellIs" dxfId="0" priority="5111" operator="lessThan">
      <formula>20</formula>
    </cfRule>
  </conditionalFormatting>
  <conditionalFormatting sqref="AU499">
    <cfRule type="containsText" dxfId="2" priority="4100" operator="between" text="库存为">
      <formula>NOT(ISERROR(SEARCH("库存为",AU499)))</formula>
    </cfRule>
    <cfRule type="cellIs" dxfId="1" priority="4605" operator="greaterThan">
      <formula>120</formula>
    </cfRule>
    <cfRule type="cellIs" dxfId="0" priority="5110" operator="lessThan">
      <formula>20</formula>
    </cfRule>
  </conditionalFormatting>
  <conditionalFormatting sqref="AU500">
    <cfRule type="containsText" dxfId="2" priority="4099" operator="between" text="库存为">
      <formula>NOT(ISERROR(SEARCH("库存为",AU500)))</formula>
    </cfRule>
    <cfRule type="cellIs" dxfId="1" priority="4604" operator="greaterThan">
      <formula>120</formula>
    </cfRule>
    <cfRule type="cellIs" dxfId="0" priority="5109" operator="lessThan">
      <formula>20</formula>
    </cfRule>
  </conditionalFormatting>
  <conditionalFormatting sqref="AU501">
    <cfRule type="containsText" dxfId="2" priority="4098" operator="between" text="库存为">
      <formula>NOT(ISERROR(SEARCH("库存为",AU501)))</formula>
    </cfRule>
    <cfRule type="cellIs" dxfId="1" priority="4603" operator="greaterThan">
      <formula>120</formula>
    </cfRule>
    <cfRule type="cellIs" dxfId="0" priority="5108" operator="lessThan">
      <formula>20</formula>
    </cfRule>
  </conditionalFormatting>
  <conditionalFormatting sqref="AU502">
    <cfRule type="containsText" dxfId="2" priority="4097" operator="between" text="库存为">
      <formula>NOT(ISERROR(SEARCH("库存为",AU502)))</formula>
    </cfRule>
    <cfRule type="cellIs" dxfId="1" priority="4602" operator="greaterThan">
      <formula>120</formula>
    </cfRule>
    <cfRule type="cellIs" dxfId="0" priority="5107" operator="lessThan">
      <formula>20</formula>
    </cfRule>
  </conditionalFormatting>
  <conditionalFormatting sqref="AU503">
    <cfRule type="containsText" dxfId="2" priority="4096" operator="between" text="库存为">
      <formula>NOT(ISERROR(SEARCH("库存为",AU503)))</formula>
    </cfRule>
    <cfRule type="cellIs" dxfId="1" priority="4601" operator="greaterThan">
      <formula>120</formula>
    </cfRule>
    <cfRule type="cellIs" dxfId="0" priority="5106" operator="lessThan">
      <formula>20</formula>
    </cfRule>
  </conditionalFormatting>
  <conditionalFormatting sqref="AU504">
    <cfRule type="containsText" dxfId="2" priority="4095" operator="between" text="库存为">
      <formula>NOT(ISERROR(SEARCH("库存为",AU504)))</formula>
    </cfRule>
    <cfRule type="cellIs" dxfId="1" priority="4600" operator="greaterThan">
      <formula>120</formula>
    </cfRule>
    <cfRule type="cellIs" dxfId="0" priority="5105" operator="lessThan">
      <formula>20</formula>
    </cfRule>
  </conditionalFormatting>
  <conditionalFormatting sqref="AU505">
    <cfRule type="containsText" dxfId="2" priority="4094" operator="between" text="库存为">
      <formula>NOT(ISERROR(SEARCH("库存为",AU505)))</formula>
    </cfRule>
    <cfRule type="cellIs" dxfId="1" priority="4599" operator="greaterThan">
      <formula>120</formula>
    </cfRule>
    <cfRule type="cellIs" dxfId="0" priority="5104" operator="lessThan">
      <formula>20</formula>
    </cfRule>
  </conditionalFormatting>
  <conditionalFormatting sqref="AU506">
    <cfRule type="containsText" dxfId="2" priority="4093" operator="between" text="库存为">
      <formula>NOT(ISERROR(SEARCH("库存为",AU506)))</formula>
    </cfRule>
    <cfRule type="cellIs" dxfId="1" priority="4598" operator="greaterThan">
      <formula>120</formula>
    </cfRule>
    <cfRule type="cellIs" dxfId="0" priority="5103" operator="lessThan">
      <formula>20</formula>
    </cfRule>
  </conditionalFormatting>
  <conditionalFormatting sqref="AU507:AU1298">
    <cfRule type="containsText" dxfId="2" priority="5621" operator="between" text="库存为">
      <formula>NOT(ISERROR(SEARCH("库存为",AU507)))</formula>
    </cfRule>
    <cfRule type="cellIs" dxfId="1" priority="5622" operator="greaterThan">
      <formula>120</formula>
    </cfRule>
    <cfRule type="cellIs" dxfId="0" priority="562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38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660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661</v>
      </c>
      <c r="AI1" s="10"/>
      <c r="AJ1" s="10"/>
      <c r="AK1" s="10"/>
      <c r="AL1" s="10" t="s">
        <v>662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43297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2018/8/6-2018/8/12</v>
      </c>
      <c r="C3" s="13" t="str">
        <f>TEXT(时间!$B$8,"yyyy/M/d")&amp;"-"&amp;TEXT(时间!$B$7,"yyyy/M/d")</f>
        <v>2018/7/30-2018/8/5</v>
      </c>
      <c r="D3" s="13" t="str">
        <f>TEXT(时间!$B$10,"yyyy/M/d")&amp;"-"&amp;TEXT(时间!$B$9,"yyyy/M/d")</f>
        <v>2018/7/23-2018/7/29</v>
      </c>
      <c r="E3" s="13" t="str">
        <f>TEXT(时间!$B$12,"yyyy/M/d")&amp;"-"&amp;TEXT(时间!$B$11,"yyyy/M/d")</f>
        <v>2018/7/16-2018/7/22</v>
      </c>
      <c r="F3" s="14"/>
      <c r="G3" s="15"/>
      <c r="H3" s="15"/>
      <c r="I3" s="15"/>
      <c r="J3" s="15"/>
      <c r="K3" s="15"/>
      <c r="L3" s="15"/>
      <c r="M3" s="19" t="s">
        <v>663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664</v>
      </c>
      <c r="C4" s="5" t="s">
        <v>665</v>
      </c>
      <c r="D4" s="5" t="s">
        <v>666</v>
      </c>
      <c r="E4" s="5" t="s">
        <v>667</v>
      </c>
      <c r="F4" s="6" t="s">
        <v>20</v>
      </c>
      <c r="G4" t="s">
        <v>21</v>
      </c>
      <c r="H4" t="s">
        <v>22</v>
      </c>
      <c r="I4" t="s">
        <v>668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43318</v>
      </c>
      <c r="AE4" s="21">
        <f>时间!$B$7</f>
        <v>43317</v>
      </c>
      <c r="AF4" s="21">
        <f>时间!$B$8</f>
        <v>43311</v>
      </c>
      <c r="AG4" s="21">
        <f>时间!$B$9</f>
        <v>43310</v>
      </c>
      <c r="AH4" s="21">
        <f>时间!$B$6</f>
        <v>43318</v>
      </c>
      <c r="AI4" s="21">
        <f>时间!$B$7</f>
        <v>43317</v>
      </c>
      <c r="AJ4" s="21">
        <f>时间!$B$8</f>
        <v>43311</v>
      </c>
      <c r="AK4" s="21">
        <f>时间!$B$9</f>
        <v>43310</v>
      </c>
      <c r="AL4" s="21">
        <f>时间!$B$6</f>
        <v>43318</v>
      </c>
      <c r="AM4" s="21">
        <f>时间!$B$7</f>
        <v>43317</v>
      </c>
      <c r="AN4" s="21">
        <f>时间!$B$8</f>
        <v>43311</v>
      </c>
      <c r="AO4" s="21">
        <f>时间!$B$9</f>
        <v>43310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211</v>
      </c>
      <c r="C5" s="16">
        <f t="shared" si="14"/>
        <v>229</v>
      </c>
      <c r="D5" s="16">
        <f t="shared" si="14"/>
        <v>236</v>
      </c>
      <c r="E5" s="16">
        <f t="shared" si="14"/>
        <v>413</v>
      </c>
      <c r="F5" s="17"/>
      <c r="G5" s="4">
        <f t="shared" si="14"/>
        <v>2301</v>
      </c>
      <c r="H5" s="4">
        <f t="shared" si="14"/>
        <v>143</v>
      </c>
      <c r="I5" s="4">
        <f t="shared" si="14"/>
        <v>11</v>
      </c>
      <c r="J5" s="4">
        <f t="shared" si="14"/>
        <v>82</v>
      </c>
      <c r="K5" s="4">
        <f t="shared" si="14"/>
        <v>2537</v>
      </c>
      <c r="L5" s="4">
        <f t="shared" si="14"/>
        <v>55</v>
      </c>
      <c r="M5" s="4">
        <f t="shared" si="14"/>
        <v>512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7553.79</v>
      </c>
      <c r="AA5" s="4">
        <f>SUM(AA6:AA9995)</f>
        <v>7575.85</v>
      </c>
      <c r="AB5" s="4">
        <f>SUM(AB6:AB9995)</f>
        <v>2125.56</v>
      </c>
      <c r="AC5" s="4">
        <f>SUM(AC6:AC9995)</f>
        <v>2387.06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30</v>
      </c>
      <c r="C6" s="5">
        <f>SUMIF('库存（子SKU）'!$C:$C,$A6,'库存（子SKU）'!E:E)</f>
        <v>36</v>
      </c>
      <c r="D6" s="5">
        <f>SUMIF('库存（子SKU）'!$C:$C,$A6,'库存（子SKU）'!F:F)</f>
        <v>44</v>
      </c>
      <c r="E6" s="5">
        <f>SUMIF('库存（子SKU）'!$C:$C,$A6,'库存（子SKU）'!G:G)</f>
        <v>130</v>
      </c>
      <c r="F6" s="6">
        <v>91.99</v>
      </c>
      <c r="G6">
        <f>SUMIF('库存（子SKU）'!$C:$C,$A6,'库存（子SKU）'!I:I)</f>
        <v>198</v>
      </c>
      <c r="H6">
        <f>SUMIF('库存（子SKU）'!$C:$C,$A6,'库存（子SKU）'!J:J)</f>
        <v>10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208</v>
      </c>
      <c r="L6">
        <f>SUMIF('库存（子SKU）'!$C:$C,$A6,'库存（子SKU）'!N:N)</f>
        <v>14</v>
      </c>
      <c r="M6">
        <f>SUMIF('库存（子SKU）'!$C:$C,$A6,'库存（子SKU）'!O:O)</f>
        <v>0</v>
      </c>
      <c r="N6">
        <f>SUMIF('库存（子SKU）'!$C:$C,$A6,'库存（子SKU）'!P:P)</f>
        <v>1362930</v>
      </c>
      <c r="O6">
        <f>SUMIF('库存（子SKU）'!$C:$C,$A6,'库存（子SKU）'!Q:Q)</f>
        <v>1368006</v>
      </c>
      <c r="P6">
        <f>SUMIF('库存（子SKU）'!$C:$C,$A6,'库存（子SKU）'!R:R)</f>
        <v>426968</v>
      </c>
      <c r="Q6">
        <f>SUMIF('库存（子SKU）'!$C:$C,$A6,'库存（子SKU）'!S:S)</f>
        <v>691334</v>
      </c>
      <c r="R6">
        <f>SUMIF('库存（子SKU）'!$C:$C,$A6,'库存（子SKU）'!T:T)</f>
        <v>5656</v>
      </c>
      <c r="S6">
        <f>SUMIF('库存（子SKU）'!$C:$C,$A6,'库存（子SKU）'!U:U)</f>
        <v>5680</v>
      </c>
      <c r="T6">
        <f>SUMIF('库存（子SKU）'!$C:$C,$A6,'库存（子SKU）'!V:V)</f>
        <v>2144</v>
      </c>
      <c r="U6">
        <f>SUMIF('库存（子SKU）'!$C:$C,$A6,'库存（子SKU）'!W:W)</f>
        <v>2172</v>
      </c>
      <c r="V6" s="23">
        <f t="shared" ref="V6:V69" si="15">IFERROR(R6/N6,"")</f>
        <v>0.0041498829727132</v>
      </c>
      <c r="W6" s="23">
        <f t="shared" ref="W6:W69" si="16">IFERROR(S6/O6,"")</f>
        <v>0.0041520285729741</v>
      </c>
      <c r="X6" s="23">
        <f t="shared" ref="X6:X69" si="17">IFERROR(T6/P6,"")</f>
        <v>0.00502145359839613</v>
      </c>
      <c r="Y6" s="23">
        <f t="shared" ref="Y6:Y69" si="18">IFERROR(U6/Q6,"")</f>
        <v>0.003141752033026</v>
      </c>
      <c r="Z6">
        <f>SUMIF('库存（子SKU）'!$C:$C,$A6,'库存（子SKU）'!AB:AB)</f>
        <v>1216.88</v>
      </c>
      <c r="AA6">
        <f>SUMIF('库存（子SKU）'!$C:$C,$A6,'库存（子SKU）'!AC:AC)</f>
        <v>1223.22</v>
      </c>
      <c r="AB6">
        <f>SUMIF('库存（子SKU）'!$C:$C,$A6,'库存（子SKU）'!AD:AD)</f>
        <v>407.88</v>
      </c>
      <c r="AC6">
        <f>SUMIF('库存（子SKU）'!$C:$C,$A6,'库存（子SKU）'!AE:AE)</f>
        <v>504.9</v>
      </c>
      <c r="AD6" s="23">
        <f t="shared" si="2"/>
        <v>0.440946479689821</v>
      </c>
      <c r="AE6" s="23">
        <f t="shared" si="3"/>
        <v>0.36936985904265</v>
      </c>
      <c r="AF6" s="23">
        <f t="shared" si="4"/>
        <v>0.100771823024242</v>
      </c>
      <c r="AG6" s="23">
        <f t="shared" si="5"/>
        <v>0.0422203082274829</v>
      </c>
      <c r="AH6">
        <f>SUMIF('库存（子SKU）'!$C:$C,$A6,'库存（子SKU）'!AJ:AJ)</f>
        <v>2442</v>
      </c>
      <c r="AI6">
        <f>SUMIF('库存（子SKU）'!$C:$C,$A6,'库存（子SKU）'!AK:AK)</f>
        <v>3262</v>
      </c>
      <c r="AJ6">
        <f>SUMIF('库存（子SKU）'!$C:$C,$A6,'库存（子SKU）'!AL:AL)</f>
        <v>2134</v>
      </c>
      <c r="AK6">
        <f>SUMIF('库存（子SKU）'!$C:$C,$A6,'库存（子SKU）'!AM:AM)</f>
        <v>4676</v>
      </c>
      <c r="AL6" s="23">
        <f t="shared" si="6"/>
        <v>0.0122850122850123</v>
      </c>
      <c r="AM6" s="23">
        <f t="shared" si="7"/>
        <v>0.0110361741263029</v>
      </c>
      <c r="AN6" s="23">
        <f t="shared" si="8"/>
        <v>0.0206185567010309</v>
      </c>
      <c r="AO6" s="23">
        <f t="shared" si="9"/>
        <v>0.0278015397775877</v>
      </c>
      <c r="AP6" s="7">
        <f t="shared" si="10"/>
        <v>4.28571428571429</v>
      </c>
      <c r="AQ6" s="7">
        <f t="shared" si="11"/>
        <v>257.142857142857</v>
      </c>
      <c r="AR6" s="7">
        <f t="shared" si="12"/>
        <v>-49.1428571428571</v>
      </c>
      <c r="AS6">
        <f t="shared" si="13"/>
        <v>48</v>
      </c>
      <c r="AT6" s="2">
        <f>IFERROR(时间!$B$4+AS6,"上周无销量")</f>
        <v>43373</v>
      </c>
    </row>
    <row r="7" spans="1:46">
      <c r="A7" s="1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57</v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20</v>
      </c>
      <c r="AI7">
        <f>SUMIF('库存（子SKU）'!$C:$C,$A7,'库存（子SKU）'!AK:AK)</f>
        <v>20</v>
      </c>
      <c r="AJ7">
        <f>SUMIF('库存（子SKU）'!$C:$C,$A7,'库存（子SKU）'!AL:AL)</f>
        <v>8</v>
      </c>
      <c r="AK7">
        <f>SUMIF('库存（子SKU）'!$C:$C,$A7,'库存（子SKU）'!AM:AM)</f>
        <v>9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2</v>
      </c>
      <c r="C8" s="5">
        <f>SUMIF('库存（子SKU）'!$C:$C,$A8,'库存（子SKU）'!E:E)</f>
        <v>3</v>
      </c>
      <c r="D8" s="5">
        <f>SUMIF('库存（子SKU）'!$C:$C,$A8,'库存（子SKU）'!F:F)</f>
        <v>0</v>
      </c>
      <c r="E8" s="5">
        <f>SUMIF('库存（子SKU）'!$C:$C,$A8,'库存（子SKU）'!G:G)</f>
        <v>3</v>
      </c>
      <c r="F8" s="6">
        <v>32.99</v>
      </c>
      <c r="G8">
        <f>SUMIF('库存（子SKU）'!$C:$C,$A8,'库存（子SKU）'!I:I)</f>
        <v>120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120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</v>
      </c>
      <c r="AE8" s="23">
        <f t="shared" si="3"/>
        <v>0</v>
      </c>
      <c r="AF8" s="23" t="str">
        <f t="shared" si="4"/>
        <v/>
      </c>
      <c r="AG8" s="23">
        <f t="shared" si="5"/>
        <v>0</v>
      </c>
      <c r="AH8">
        <f>SUMIF('库存（子SKU）'!$C:$C,$A8,'库存（子SKU）'!AJ:AJ)</f>
        <v>89</v>
      </c>
      <c r="AI8">
        <f>SUMIF('库存（子SKU）'!$C:$C,$A8,'库存（子SKU）'!AK:AK)</f>
        <v>38</v>
      </c>
      <c r="AJ8">
        <f>SUMIF('库存（子SKU）'!$C:$C,$A8,'库存（子SKU）'!AL:AL)</f>
        <v>66</v>
      </c>
      <c r="AK8">
        <f>SUMIF('库存（子SKU）'!$C:$C,$A8,'库存（子SKU）'!AM:AM)</f>
        <v>225</v>
      </c>
      <c r="AL8" s="23">
        <f t="shared" si="6"/>
        <v>0.0224719101123595</v>
      </c>
      <c r="AM8" s="23">
        <f t="shared" si="7"/>
        <v>0.0789473684210526</v>
      </c>
      <c r="AN8" s="23">
        <f t="shared" si="8"/>
        <v>0</v>
      </c>
      <c r="AO8" s="23">
        <f t="shared" si="9"/>
        <v>0.0133333333333333</v>
      </c>
      <c r="AP8" s="7">
        <f t="shared" si="10"/>
        <v>0.285714285714286</v>
      </c>
      <c r="AQ8" s="7">
        <f t="shared" si="11"/>
        <v>17.1428571428571</v>
      </c>
      <c r="AR8" s="7">
        <f t="shared" si="12"/>
        <v>102.857142857143</v>
      </c>
      <c r="AS8">
        <f t="shared" si="13"/>
        <v>420</v>
      </c>
      <c r="AT8" s="2">
        <f>IFERROR(时间!$B$4+AS8,"上周无销量")</f>
        <v>43745</v>
      </c>
    </row>
    <row r="9" spans="1:46">
      <c r="A9" t="s">
        <v>65</v>
      </c>
      <c r="B9" s="5">
        <f>SUMIF('库存（子SKU）'!$C:$C,$A9,'库存（子SKU）'!D:D)</f>
        <v>6</v>
      </c>
      <c r="C9" s="5">
        <f>SUMIF('库存（子SKU）'!$C:$C,$A9,'库存（子SKU）'!E:E)</f>
        <v>0</v>
      </c>
      <c r="D9" s="5">
        <f>SUMIF('库存（子SKU）'!$C:$C,$A9,'库存（子SKU）'!F:F)</f>
        <v>1</v>
      </c>
      <c r="E9" s="5">
        <f>SUMIF('库存（子SKU）'!$C:$C,$A9,'库存（子SKU）'!G:G)</f>
        <v>0</v>
      </c>
      <c r="F9" s="6">
        <v>23.99</v>
      </c>
      <c r="G9">
        <f>SUMIF('库存（子SKU）'!$C:$C,$A9,'库存（子SKU）'!I:I)</f>
        <v>7</v>
      </c>
      <c r="H9">
        <f>SUMIF('库存（子SKU）'!$C:$C,$A9,'库存（子SKU）'!J:J)</f>
        <v>10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17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>
        <f t="shared" si="2"/>
        <v>0</v>
      </c>
      <c r="AE9" s="23" t="str">
        <f t="shared" si="3"/>
        <v/>
      </c>
      <c r="AF9" s="23">
        <f t="shared" si="4"/>
        <v>0</v>
      </c>
      <c r="AG9" s="23" t="str">
        <f t="shared" si="5"/>
        <v/>
      </c>
      <c r="AH9">
        <f>SUMIF('库存（子SKU）'!$C:$C,$A9,'库存（子SKU）'!AJ:AJ)</f>
        <v>89</v>
      </c>
      <c r="AI9">
        <f>SUMIF('库存（子SKU）'!$C:$C,$A9,'库存（子SKU）'!AK:AK)</f>
        <v>74</v>
      </c>
      <c r="AJ9">
        <f>SUMIF('库存（子SKU）'!$C:$C,$A9,'库存（子SKU）'!AL:AL)</f>
        <v>39</v>
      </c>
      <c r="AK9">
        <f>SUMIF('库存（子SKU）'!$C:$C,$A9,'库存（子SKU）'!AM:AM)</f>
        <v>8</v>
      </c>
      <c r="AL9" s="23">
        <f t="shared" si="6"/>
        <v>0.0674157303370786</v>
      </c>
      <c r="AM9" s="23">
        <f t="shared" si="7"/>
        <v>0</v>
      </c>
      <c r="AN9" s="23">
        <f t="shared" si="8"/>
        <v>0.0256410256410256</v>
      </c>
      <c r="AO9" s="23">
        <f t="shared" si="9"/>
        <v>0</v>
      </c>
      <c r="AP9" s="7">
        <f t="shared" si="10"/>
        <v>0.857142857142857</v>
      </c>
      <c r="AQ9" s="7">
        <f t="shared" si="11"/>
        <v>51.4285714285714</v>
      </c>
      <c r="AR9" s="7">
        <f t="shared" si="12"/>
        <v>-34.4285714285714</v>
      </c>
      <c r="AS9">
        <f t="shared" si="13"/>
        <v>19</v>
      </c>
      <c r="AT9" s="2">
        <f>IFERROR(时间!$B$4+AS9,"上周无销量")</f>
        <v>43344</v>
      </c>
    </row>
    <row r="10" spans="1:46">
      <c r="A10" t="s">
        <v>68</v>
      </c>
      <c r="B10" s="5">
        <f>SUMIF('库存（子SKU）'!$C:$C,$A10,'库存（子SKU）'!D:D)</f>
        <v>0</v>
      </c>
      <c r="C10" s="5">
        <f>SUMIF('库存（子SKU）'!$C:$C,$A10,'库存（子SKU）'!E:E)</f>
        <v>1</v>
      </c>
      <c r="D10" s="5">
        <f>SUMIF('库存（子SKU）'!$C:$C,$A10,'库存（子SKU）'!F:F)</f>
        <v>0</v>
      </c>
      <c r="E10" s="5">
        <f>SUMIF('库存（子SKU）'!$C:$C,$A10,'库存（子SKU）'!G:G)</f>
        <v>1</v>
      </c>
      <c r="F10" s="6">
        <v>28.49</v>
      </c>
      <c r="G10">
        <f>SUMIF('库存（子SKU）'!$C:$C,$A10,'库存（子SKU）'!I:I)</f>
        <v>12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12</v>
      </c>
      <c r="L10">
        <f>SUMIF('库存（子SKU）'!$C:$C,$A10,'库存（子SKU）'!N:N)</f>
        <v>0</v>
      </c>
      <c r="M10">
        <f>SUMIF('库存（子SKU）'!$C:$C,$A10,'库存（子SKU）'!O:O)</f>
        <v>12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>
        <f t="shared" si="3"/>
        <v>0</v>
      </c>
      <c r="AF10" s="23" t="str">
        <f t="shared" si="4"/>
        <v/>
      </c>
      <c r="AG10" s="23">
        <f t="shared" si="5"/>
        <v>0</v>
      </c>
      <c r="AH10">
        <f>SUMIF('库存（子SKU）'!$C:$C,$A10,'库存（子SKU）'!AJ:AJ)</f>
        <v>26</v>
      </c>
      <c r="AI10">
        <f>SUMIF('库存（子SKU）'!$C:$C,$A10,'库存（子SKU）'!AK:AK)</f>
        <v>14</v>
      </c>
      <c r="AJ10">
        <f>SUMIF('库存（子SKU）'!$C:$C,$A10,'库存（子SKU）'!AL:AL)</f>
        <v>32</v>
      </c>
      <c r="AK10">
        <f>SUMIF('库存（子SKU）'!$C:$C,$A10,'库存（子SKU）'!AM:AM)</f>
        <v>42</v>
      </c>
      <c r="AL10" s="23">
        <f t="shared" si="6"/>
        <v>0</v>
      </c>
      <c r="AM10" s="23">
        <f t="shared" si="7"/>
        <v>0.0714285714285714</v>
      </c>
      <c r="AN10" s="23">
        <f t="shared" si="8"/>
        <v>0</v>
      </c>
      <c r="AO10" s="23">
        <f t="shared" si="9"/>
        <v>0.0238095238095238</v>
      </c>
      <c r="AP10" s="7">
        <f t="shared" si="10"/>
        <v>0</v>
      </c>
      <c r="AQ10" s="7">
        <f t="shared" si="11"/>
        <v>0</v>
      </c>
      <c r="AR10" s="7">
        <f t="shared" si="12"/>
        <v>12</v>
      </c>
      <c r="AS10" t="str">
        <f t="shared" si="13"/>
        <v>库存为12</v>
      </c>
      <c r="AT10" s="2" t="str">
        <f>IFERROR(时间!$B$4+AS10,"上周无销量")</f>
        <v>上周无销量</v>
      </c>
    </row>
    <row r="11" spans="1:46">
      <c r="A11" t="s">
        <v>74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3</v>
      </c>
      <c r="F11" s="6">
        <v>79.99</v>
      </c>
      <c r="G11">
        <f>SUMIF('库存（子SKU）'!$C:$C,$A11,'库存（子SKU）'!I:I)</f>
        <v>52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52</v>
      </c>
      <c r="L11">
        <f>SUMIF('库存（子SKU）'!$C:$C,$A11,'库存（子SKU）'!N:N)</f>
        <v>0</v>
      </c>
      <c r="M11">
        <f>SUMIF('库存（子SKU）'!$C:$C,$A11,'库存（子SKU）'!O:O)</f>
        <v>21</v>
      </c>
      <c r="N11">
        <f>SUMIF('库存（子SKU）'!$C:$C,$A11,'库存（子SKU）'!P:P)</f>
        <v>21598</v>
      </c>
      <c r="O11">
        <f>SUMIF('库存（子SKU）'!$C:$C,$A11,'库存（子SKU）'!Q:Q)</f>
        <v>21598</v>
      </c>
      <c r="P11">
        <f>SUMIF('库存（子SKU）'!$C:$C,$A11,'库存（子SKU）'!R:R)</f>
        <v>0</v>
      </c>
      <c r="Q11">
        <f>SUMIF('库存（子SKU）'!$C:$C,$A11,'库存（子SKU）'!S:S)</f>
        <v>21598</v>
      </c>
      <c r="R11">
        <f>SUMIF('库存（子SKU）'!$C:$C,$A11,'库存（子SKU）'!T:T)</f>
        <v>36</v>
      </c>
      <c r="S11">
        <f>SUMIF('库存（子SKU）'!$C:$C,$A11,'库存（子SKU）'!U:U)</f>
        <v>36</v>
      </c>
      <c r="T11">
        <f>SUMIF('库存（子SKU）'!$C:$C,$A11,'库存（子SKU）'!V:V)</f>
        <v>0</v>
      </c>
      <c r="U11">
        <f>SUMIF('库存（子SKU）'!$C:$C,$A11,'库存（子SKU）'!W:W)</f>
        <v>36</v>
      </c>
      <c r="V11" s="23">
        <f t="shared" si="15"/>
        <v>0.00166682100194462</v>
      </c>
      <c r="W11" s="23">
        <f t="shared" si="16"/>
        <v>0.00166682100194462</v>
      </c>
      <c r="X11" s="23" t="str">
        <f t="shared" si="17"/>
        <v/>
      </c>
      <c r="Y11" s="23">
        <f t="shared" si="18"/>
        <v>0.00166682100194462</v>
      </c>
      <c r="Z11">
        <f>SUMIF('库存（子SKU）'!$C:$C,$A11,'库存（子SKU）'!AB:AB)</f>
        <v>9.39</v>
      </c>
      <c r="AA11">
        <f>SUMIF('库存（子SKU）'!$C:$C,$A11,'库存（子SKU）'!AC:AC)</f>
        <v>9.39</v>
      </c>
      <c r="AB11">
        <f>SUMIF('库存（子SKU）'!$C:$C,$A11,'库存（子SKU）'!AD:AD)</f>
        <v>0</v>
      </c>
      <c r="AC11">
        <f>SUMIF('库存（子SKU）'!$C:$C,$A11,'库存（子SKU）'!AE:AE)</f>
        <v>9.39</v>
      </c>
      <c r="AD11" s="23" t="str">
        <f t="shared" si="2"/>
        <v>无销量广告费为9.39</v>
      </c>
      <c r="AE11" s="23" t="str">
        <f t="shared" si="3"/>
        <v>无销量广告费为9.39</v>
      </c>
      <c r="AF11" s="23" t="str">
        <f t="shared" si="4"/>
        <v/>
      </c>
      <c r="AG11" s="23">
        <f t="shared" si="5"/>
        <v>0.0391298912364046</v>
      </c>
      <c r="AH11">
        <f>SUMIF('库存（子SKU）'!$C:$C,$A11,'库存（子SKU）'!AJ:AJ)</f>
        <v>21</v>
      </c>
      <c r="AI11">
        <f>SUMIF('库存（子SKU）'!$C:$C,$A11,'库存（子SKU）'!AK:AK)</f>
        <v>10</v>
      </c>
      <c r="AJ11">
        <f>SUMIF('库存（子SKU）'!$C:$C,$A11,'库存（子SKU）'!AL:AL)</f>
        <v>23</v>
      </c>
      <c r="AK11">
        <f>SUMIF('库存（子SKU）'!$C:$C,$A11,'库存（子SKU）'!AM:AM)</f>
        <v>127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0.0236220472440945</v>
      </c>
      <c r="AP11" s="7">
        <f t="shared" si="10"/>
        <v>0</v>
      </c>
      <c r="AQ11" s="7">
        <f t="shared" si="11"/>
        <v>0</v>
      </c>
      <c r="AR11" s="7">
        <f t="shared" si="12"/>
        <v>52</v>
      </c>
      <c r="AS11" t="str">
        <f t="shared" si="13"/>
        <v>库存为52</v>
      </c>
      <c r="AT11" s="2" t="str">
        <f>IFERROR(时间!$B$4+AS11,"上周无销量")</f>
        <v>上周无销量</v>
      </c>
    </row>
    <row r="12" spans="1:46">
      <c r="A12" t="s">
        <v>81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57</v>
      </c>
      <c r="G12">
        <f>SUMIF('库存（子SKU）'!$C:$C,$A12,'库存（子SKU）'!I:I)</f>
        <v>3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3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2118</v>
      </c>
      <c r="O12">
        <f>SUMIF('库存（子SKU）'!$C:$C,$A12,'库存（子SKU）'!Q:Q)</f>
        <v>2132</v>
      </c>
      <c r="P12">
        <f>SUMIF('库存（子SKU）'!$C:$C,$A12,'库存（子SKU）'!R:R)</f>
        <v>1986</v>
      </c>
      <c r="Q12">
        <f>SUMIF('库存（子SKU）'!$C:$C,$A12,'库存（子SKU）'!S:S)</f>
        <v>0</v>
      </c>
      <c r="R12">
        <f>SUMIF('库存（子SKU）'!$C:$C,$A12,'库存（子SKU）'!T:T)</f>
        <v>29</v>
      </c>
      <c r="S12">
        <f>SUMIF('库存（子SKU）'!$C:$C,$A12,'库存（子SKU）'!U:U)</f>
        <v>29</v>
      </c>
      <c r="T12">
        <f>SUMIF('库存（子SKU）'!$C:$C,$A12,'库存（子SKU）'!V:V)</f>
        <v>29</v>
      </c>
      <c r="U12">
        <f>SUMIF('库存（子SKU）'!$C:$C,$A12,'库存（子SKU）'!W:W)</f>
        <v>0</v>
      </c>
      <c r="V12" s="23">
        <f t="shared" si="15"/>
        <v>0.0136921624173749</v>
      </c>
      <c r="W12" s="23">
        <f t="shared" si="16"/>
        <v>0.0136022514071295</v>
      </c>
      <c r="X12" s="23">
        <f t="shared" si="17"/>
        <v>0.0146022155085599</v>
      </c>
      <c r="Y12" s="23" t="str">
        <f t="shared" si="18"/>
        <v/>
      </c>
      <c r="Z12">
        <f>SUMIF('库存（子SKU）'!$C:$C,$A12,'库存（子SKU）'!AB:AB)</f>
        <v>9.99</v>
      </c>
      <c r="AA12">
        <f>SUMIF('库存（子SKU）'!$C:$C,$A12,'库存（子SKU）'!AC:AC)</f>
        <v>9.99</v>
      </c>
      <c r="AB12">
        <f>SUMIF('库存（子SKU）'!$C:$C,$A12,'库存（子SKU）'!AD:AD)</f>
        <v>9.99</v>
      </c>
      <c r="AC12">
        <f>SUMIF('库存（子SKU）'!$C:$C,$A12,'库存（子SKU）'!AE:AE)</f>
        <v>0</v>
      </c>
      <c r="AD12" s="23" t="str">
        <f t="shared" si="2"/>
        <v>无销量广告费为9.99</v>
      </c>
      <c r="AE12" s="23" t="str">
        <f t="shared" si="3"/>
        <v>无销量广告费为9.99</v>
      </c>
      <c r="AF12" s="23" t="str">
        <f t="shared" si="4"/>
        <v>无销量广告费为9.99</v>
      </c>
      <c r="AG12" s="23" t="str">
        <f t="shared" si="5"/>
        <v/>
      </c>
      <c r="AH12">
        <f>SUMIF('库存（子SKU）'!$C:$C,$A12,'库存（子SKU）'!AJ:AJ)</f>
        <v>45</v>
      </c>
      <c r="AI12">
        <f>SUMIF('库存（子SKU）'!$C:$C,$A12,'库存（子SKU）'!AK:AK)</f>
        <v>18</v>
      </c>
      <c r="AJ12">
        <f>SUMIF('库存（子SKU）'!$C:$C,$A12,'库存（子SKU）'!AL:AL)</f>
        <v>24</v>
      </c>
      <c r="AK12">
        <f>SUMIF('库存（子SKU）'!$C:$C,$A12,'库存（子SKU）'!AM:AM)</f>
        <v>0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3</v>
      </c>
      <c r="AS12" t="str">
        <f t="shared" si="13"/>
        <v>库存为3</v>
      </c>
      <c r="AT12" s="2" t="str">
        <f>IFERROR(时间!$B$4+AS12,"上周无销量")</f>
        <v>上周无销量</v>
      </c>
    </row>
    <row r="13" spans="1:46">
      <c r="A13" t="s">
        <v>85</v>
      </c>
      <c r="B13" s="5">
        <f>SUMIF('库存（子SKU）'!$C:$C,$A13,'库存（子SKU）'!D:D)</f>
        <v>4</v>
      </c>
      <c r="C13" s="5">
        <f>SUMIF('库存（子SKU）'!$C:$C,$A13,'库存（子SKU）'!E:E)</f>
        <v>2</v>
      </c>
      <c r="D13" s="5">
        <f>SUMIF('库存（子SKU）'!$C:$C,$A13,'库存（子SKU）'!F:F)</f>
        <v>0</v>
      </c>
      <c r="E13" s="5">
        <f>SUMIF('库存（子SKU）'!$C:$C,$A13,'库存（子SKU）'!G:G)</f>
        <v>1</v>
      </c>
      <c r="F13" s="6">
        <v>85.7042857142857</v>
      </c>
      <c r="G13">
        <f>SUMIF('库存（子SKU）'!$C:$C,$A13,'库存（子SKU）'!I:I)</f>
        <v>26</v>
      </c>
      <c r="H13">
        <f>SUMIF('库存（子SKU）'!$C:$C,$A13,'库存（子SKU）'!J:J)</f>
        <v>5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31</v>
      </c>
      <c r="L13">
        <f>SUMIF('库存（子SKU）'!$C:$C,$A13,'库存（子SKU）'!N:N)</f>
        <v>0</v>
      </c>
      <c r="M13">
        <f>SUMIF('库存（子SKU）'!$C:$C,$A13,'库存（子SKU）'!O:O)</f>
        <v>5</v>
      </c>
      <c r="N13">
        <f>SUMIF('库存（子SKU）'!$C:$C,$A13,'库存（子SKU）'!P:P)</f>
        <v>43019</v>
      </c>
      <c r="O13">
        <f>SUMIF('库存（子SKU）'!$C:$C,$A13,'库存（子SKU）'!Q:Q)</f>
        <v>43268</v>
      </c>
      <c r="P13">
        <f>SUMIF('库存（子SKU）'!$C:$C,$A13,'库存（子SKU）'!R:R)</f>
        <v>16366</v>
      </c>
      <c r="Q13">
        <f>SUMIF('库存（子SKU）'!$C:$C,$A13,'库存（子SKU）'!S:S)</f>
        <v>7931</v>
      </c>
      <c r="R13">
        <f>SUMIF('库存（子SKU）'!$C:$C,$A13,'库存（子SKU）'!T:T)</f>
        <v>450</v>
      </c>
      <c r="S13">
        <f>SUMIF('库存（子SKU）'!$C:$C,$A13,'库存（子SKU）'!U:U)</f>
        <v>450</v>
      </c>
      <c r="T13">
        <f>SUMIF('库存（子SKU）'!$C:$C,$A13,'库存（子SKU）'!V:V)</f>
        <v>208</v>
      </c>
      <c r="U13">
        <f>SUMIF('库存（子SKU）'!$C:$C,$A13,'库存（子SKU）'!W:W)</f>
        <v>87</v>
      </c>
      <c r="V13" s="23">
        <f t="shared" si="15"/>
        <v>0.0104604942002371</v>
      </c>
      <c r="W13" s="23">
        <f t="shared" si="16"/>
        <v>0.010400295830637</v>
      </c>
      <c r="X13" s="23">
        <f t="shared" si="17"/>
        <v>0.0127092753268972</v>
      </c>
      <c r="Y13" s="23">
        <f t="shared" si="18"/>
        <v>0.0109696129113605</v>
      </c>
      <c r="Z13">
        <f>SUMIF('库存（子SKU）'!$C:$C,$A13,'库存（子SKU）'!AB:AB)</f>
        <v>85.67</v>
      </c>
      <c r="AA13">
        <f>SUMIF('库存（子SKU）'!$C:$C,$A13,'库存（子SKU）'!AC:AC)</f>
        <v>85.67</v>
      </c>
      <c r="AB13">
        <f>SUMIF('库存（子SKU）'!$C:$C,$A13,'库存（子SKU）'!AD:AD)</f>
        <v>42.8</v>
      </c>
      <c r="AC13">
        <f>SUMIF('库存（子SKU）'!$C:$C,$A13,'库存（子SKU）'!AE:AE)</f>
        <v>14.12</v>
      </c>
      <c r="AD13" s="23">
        <f t="shared" si="2"/>
        <v>0.249899988331972</v>
      </c>
      <c r="AE13" s="23">
        <f t="shared" si="3"/>
        <v>0.499799976663944</v>
      </c>
      <c r="AF13" s="23" t="str">
        <f t="shared" si="4"/>
        <v>无销量广告费为42.8</v>
      </c>
      <c r="AG13" s="23">
        <f t="shared" si="5"/>
        <v>0.164752554464688</v>
      </c>
      <c r="AH13">
        <f>SUMIF('库存（子SKU）'!$C:$C,$A13,'库存（子SKU）'!AJ:AJ)</f>
        <v>198</v>
      </c>
      <c r="AI13">
        <f>SUMIF('库存（子SKU）'!$C:$C,$A13,'库存（子SKU）'!AK:AK)</f>
        <v>274</v>
      </c>
      <c r="AJ13">
        <f>SUMIF('库存（子SKU）'!$C:$C,$A13,'库存（子SKU）'!AL:AL)</f>
        <v>207</v>
      </c>
      <c r="AK13">
        <f>SUMIF('库存（子SKU）'!$C:$C,$A13,'库存（子SKU）'!AM:AM)</f>
        <v>166</v>
      </c>
      <c r="AL13" s="23">
        <f t="shared" si="6"/>
        <v>0.0202020202020202</v>
      </c>
      <c r="AM13" s="23">
        <f t="shared" si="7"/>
        <v>0.0072992700729927</v>
      </c>
      <c r="AN13" s="23">
        <f t="shared" si="8"/>
        <v>0</v>
      </c>
      <c r="AO13" s="23">
        <f t="shared" si="9"/>
        <v>0.00602409638554217</v>
      </c>
      <c r="AP13" s="7">
        <f t="shared" si="10"/>
        <v>0.571428571428571</v>
      </c>
      <c r="AQ13" s="7">
        <f t="shared" si="11"/>
        <v>34.2857142857143</v>
      </c>
      <c r="AR13" s="7">
        <f t="shared" si="12"/>
        <v>-3.28571428571428</v>
      </c>
      <c r="AS13">
        <f t="shared" si="13"/>
        <v>54</v>
      </c>
      <c r="AT13" s="2">
        <f>IFERROR(时间!$B$4+AS13,"上周无销量")</f>
        <v>43379</v>
      </c>
    </row>
    <row r="14" spans="1:46">
      <c r="A14" t="s">
        <v>94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1</v>
      </c>
      <c r="F14" s="6">
        <v>79.99</v>
      </c>
      <c r="G14">
        <f>SUMIF('库存（子SKU）'!$C:$C,$A14,'库存（子SKU）'!I:I)</f>
        <v>18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18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495665</v>
      </c>
      <c r="O14">
        <f>SUMIF('库存（子SKU）'!$C:$C,$A14,'库存（子SKU）'!Q:Q)</f>
        <v>495668</v>
      </c>
      <c r="P14">
        <f>SUMIF('库存（子SKU）'!$C:$C,$A14,'库存（子SKU）'!R:R)</f>
        <v>690</v>
      </c>
      <c r="Q14">
        <f>SUMIF('库存（子SKU）'!$C:$C,$A14,'库存（子SKU）'!S:S)</f>
        <v>3590</v>
      </c>
      <c r="R14">
        <f>SUMIF('库存（子SKU）'!$C:$C,$A14,'库存（子SKU）'!T:T)</f>
        <v>554</v>
      </c>
      <c r="S14">
        <f>SUMIF('库存（子SKU）'!$C:$C,$A14,'库存（子SKU）'!U:U)</f>
        <v>554</v>
      </c>
      <c r="T14">
        <f>SUMIF('库存（子SKU）'!$C:$C,$A14,'库存（子SKU）'!V:V)</f>
        <v>9</v>
      </c>
      <c r="U14">
        <f>SUMIF('库存（子SKU）'!$C:$C,$A14,'库存（子SKU）'!W:W)</f>
        <v>12</v>
      </c>
      <c r="V14" s="23">
        <f t="shared" si="15"/>
        <v>0.00111769037555607</v>
      </c>
      <c r="W14" s="23">
        <f t="shared" si="16"/>
        <v>0.00111768361080401</v>
      </c>
      <c r="X14" s="23">
        <f t="shared" si="17"/>
        <v>0.0130434782608696</v>
      </c>
      <c r="Y14" s="23">
        <f t="shared" si="18"/>
        <v>0.00334261838440111</v>
      </c>
      <c r="Z14">
        <f>SUMIF('库存（子SKU）'!$C:$C,$A14,'库存（子SKU）'!AB:AB)</f>
        <v>145.43</v>
      </c>
      <c r="AA14">
        <f>SUMIF('库存（子SKU）'!$C:$C,$A14,'库存（子SKU）'!AC:AC)</f>
        <v>145.43</v>
      </c>
      <c r="AB14">
        <f>SUMIF('库存（子SKU）'!$C:$C,$A14,'库存（子SKU）'!AD:AD)</f>
        <v>1.33</v>
      </c>
      <c r="AC14">
        <f>SUMIF('库存（子SKU）'!$C:$C,$A14,'库存（子SKU）'!AE:AE)</f>
        <v>2.69</v>
      </c>
      <c r="AD14" s="23" t="str">
        <f t="shared" si="2"/>
        <v>无销量广告费为145.43</v>
      </c>
      <c r="AE14" s="23" t="str">
        <f t="shared" si="3"/>
        <v>无销量广告费为145.43</v>
      </c>
      <c r="AF14" s="23" t="str">
        <f t="shared" si="4"/>
        <v>无销量广告费为1.33</v>
      </c>
      <c r="AG14" s="23">
        <f t="shared" si="5"/>
        <v>0.0336292036504563</v>
      </c>
      <c r="AH14">
        <f>SUMIF('库存（子SKU）'!$C:$C,$A14,'库存（子SKU）'!AJ:AJ)</f>
        <v>58</v>
      </c>
      <c r="AI14">
        <f>SUMIF('库存（子SKU）'!$C:$C,$A14,'库存（子SKU）'!AK:AK)</f>
        <v>36</v>
      </c>
      <c r="AJ14">
        <f>SUMIF('库存（子SKU）'!$C:$C,$A14,'库存（子SKU）'!AL:AL)</f>
        <v>15</v>
      </c>
      <c r="AK14">
        <f>SUMIF('库存（子SKU）'!$C:$C,$A14,'库存（子SKU）'!AM:AM)</f>
        <v>36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0.0277777777777778</v>
      </c>
      <c r="AP14" s="7">
        <f t="shared" si="10"/>
        <v>0</v>
      </c>
      <c r="AQ14" s="7">
        <f t="shared" si="11"/>
        <v>0</v>
      </c>
      <c r="AR14" s="7">
        <f t="shared" si="12"/>
        <v>18</v>
      </c>
      <c r="AS14" t="str">
        <f t="shared" si="13"/>
        <v>库存为18</v>
      </c>
      <c r="AT14" s="2" t="str">
        <f>IFERROR(时间!$B$4+AS14,"上周无销量")</f>
        <v>上周无销量</v>
      </c>
    </row>
    <row r="15" spans="1:46">
      <c r="A15" t="s">
        <v>99</v>
      </c>
      <c r="B15" s="5">
        <f>SUMIF('库存（子SKU）'!$C:$C,$A15,'库存（子SKU）'!D:D)</f>
        <v>2</v>
      </c>
      <c r="C15" s="5">
        <f>SUMIF('库存（子SKU）'!$C:$C,$A15,'库存（子SKU）'!E:E)</f>
        <v>3</v>
      </c>
      <c r="D15" s="5">
        <f>SUMIF('库存（子SKU）'!$C:$C,$A15,'库存（子SKU）'!F:F)</f>
        <v>4</v>
      </c>
      <c r="E15" s="5">
        <f>SUMIF('库存（子SKU）'!$C:$C,$A15,'库存（子SKU）'!G:G)</f>
        <v>4</v>
      </c>
      <c r="F15" s="6">
        <v>89.99</v>
      </c>
      <c r="G15">
        <f>SUMIF('库存（子SKU）'!$C:$C,$A15,'库存（子SKU）'!I:I)</f>
        <v>1</v>
      </c>
      <c r="H15">
        <f>SUMIF('库存（子SKU）'!$C:$C,$A15,'库存（子SKU）'!J:J)</f>
        <v>13</v>
      </c>
      <c r="I15">
        <f>SUMIF('库存（子SKU）'!$C:$C,$A15,'库存（子SKU）'!K:K)</f>
        <v>0</v>
      </c>
      <c r="J15">
        <f>SUMIF('库存（子SKU）'!$C:$C,$A15,'库存（子SKU）'!L:L)</f>
        <v>5</v>
      </c>
      <c r="K15">
        <f t="shared" si="0"/>
        <v>19</v>
      </c>
      <c r="L15">
        <f>SUMIF('库存（子SKU）'!$C:$C,$A15,'库存（子SKU）'!N:N)</f>
        <v>1</v>
      </c>
      <c r="M15">
        <f>SUMIF('库存（子SKU）'!$C:$C,$A15,'库存（子SKU）'!O:O)</f>
        <v>0</v>
      </c>
      <c r="N15">
        <f>SUMIF('库存（子SKU）'!$C:$C,$A15,'库存（子SKU）'!P:P)</f>
        <v>899</v>
      </c>
      <c r="O15">
        <f>SUMIF('库存（子SKU）'!$C:$C,$A15,'库存（子SKU）'!Q:Q)</f>
        <v>899</v>
      </c>
      <c r="P15">
        <f>SUMIF('库存（子SKU）'!$C:$C,$A15,'库存（子SKU）'!R:R)</f>
        <v>109</v>
      </c>
      <c r="Q15">
        <f>SUMIF('库存（子SKU）'!$C:$C,$A15,'库存（子SKU）'!S:S)</f>
        <v>187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>
        <f t="shared" si="15"/>
        <v>0</v>
      </c>
      <c r="W15" s="23">
        <f t="shared" si="16"/>
        <v>0</v>
      </c>
      <c r="X15" s="23">
        <f t="shared" si="17"/>
        <v>0</v>
      </c>
      <c r="Y15" s="23">
        <f t="shared" si="18"/>
        <v>0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124</v>
      </c>
      <c r="AI15">
        <f>SUMIF('库存（子SKU）'!$C:$C,$A15,'库存（子SKU）'!AK:AK)</f>
        <v>76</v>
      </c>
      <c r="AJ15">
        <f>SUMIF('库存（子SKU）'!$C:$C,$A15,'库存（子SKU）'!AL:AL)</f>
        <v>88</v>
      </c>
      <c r="AK15">
        <f>SUMIF('库存（子SKU）'!$C:$C,$A15,'库存（子SKU）'!AM:AM)</f>
        <v>77</v>
      </c>
      <c r="AL15" s="23">
        <f t="shared" si="6"/>
        <v>0.0161290322580645</v>
      </c>
      <c r="AM15" s="23">
        <f t="shared" si="7"/>
        <v>0.0394736842105263</v>
      </c>
      <c r="AN15" s="23">
        <f t="shared" si="8"/>
        <v>0.0454545454545455</v>
      </c>
      <c r="AO15" s="23">
        <f t="shared" si="9"/>
        <v>0.051948051948052</v>
      </c>
      <c r="AP15" s="7">
        <f t="shared" si="10"/>
        <v>0.285714285714286</v>
      </c>
      <c r="AQ15" s="7">
        <f t="shared" si="11"/>
        <v>17.1428571428571</v>
      </c>
      <c r="AR15" s="7">
        <f t="shared" si="12"/>
        <v>1.85714285714286</v>
      </c>
      <c r="AS15">
        <f t="shared" si="13"/>
        <v>66</v>
      </c>
      <c r="AT15" s="2">
        <f>IFERROR(时间!$B$4+AS15,"上周无销量")</f>
        <v>43391</v>
      </c>
    </row>
    <row r="16" spans="1:46">
      <c r="A16" t="s">
        <v>102</v>
      </c>
      <c r="B16" s="5">
        <f>SUMIF('库存（子SKU）'!$C:$C,$A16,'库存（子SKU）'!D:D)</f>
        <v>1</v>
      </c>
      <c r="C16" s="5">
        <f>SUMIF('库存（子SKU）'!$C:$C,$A16,'库存（子SKU）'!E:E)</f>
        <v>1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v>89.99</v>
      </c>
      <c r="G16">
        <f>SUMIF('库存（子SKU）'!$C:$C,$A16,'库存（子SKU）'!I:I)</f>
        <v>18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18</v>
      </c>
      <c r="L16">
        <f>SUMIF('库存（子SKU）'!$C:$C,$A16,'库存（子SKU）'!N:N)</f>
        <v>1</v>
      </c>
      <c r="M16">
        <f>SUMIF('库存（子SKU）'!$C:$C,$A16,'库存（子SKU）'!O:O)</f>
        <v>15</v>
      </c>
      <c r="N16">
        <f>SUMIF('库存（子SKU）'!$C:$C,$A16,'库存（子SKU）'!P:P)</f>
        <v>4303</v>
      </c>
      <c r="O16">
        <f>SUMIF('库存（子SKU）'!$C:$C,$A16,'库存（子SKU）'!Q:Q)</f>
        <v>4470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13</v>
      </c>
      <c r="S16">
        <f>SUMIF('库存（子SKU）'!$C:$C,$A16,'库存（子SKU）'!U:U)</f>
        <v>13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>
        <f t="shared" si="15"/>
        <v>0.00302114803625378</v>
      </c>
      <c r="W16" s="23">
        <f t="shared" si="16"/>
        <v>0.0029082774049217</v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4.69</v>
      </c>
      <c r="AA16">
        <f>SUMIF('库存（子SKU）'!$C:$C,$A16,'库存（子SKU）'!AC:AC)</f>
        <v>4.69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>
        <f t="shared" si="2"/>
        <v>0.0521169018779864</v>
      </c>
      <c r="AE16" s="23">
        <f t="shared" si="3"/>
        <v>0.0521169018779864</v>
      </c>
      <c r="AF16" s="23" t="str">
        <f t="shared" si="4"/>
        <v/>
      </c>
      <c r="AG16" s="23">
        <f t="shared" si="5"/>
        <v>0</v>
      </c>
      <c r="AH16">
        <f>SUMIF('库存（子SKU）'!$C:$C,$A16,'库存（子SKU）'!AJ:AJ)</f>
        <v>256</v>
      </c>
      <c r="AI16">
        <f>SUMIF('库存（子SKU）'!$C:$C,$A16,'库存（子SKU）'!AK:AK)</f>
        <v>91</v>
      </c>
      <c r="AJ16">
        <f>SUMIF('库存（子SKU）'!$C:$C,$A16,'库存（子SKU）'!AL:AL)</f>
        <v>68</v>
      </c>
      <c r="AK16">
        <f>SUMIF('库存（子SKU）'!$C:$C,$A16,'库存（子SKU）'!AM:AM)</f>
        <v>138</v>
      </c>
      <c r="AL16" s="23">
        <f t="shared" si="6"/>
        <v>0.00390625</v>
      </c>
      <c r="AM16" s="23">
        <f t="shared" si="7"/>
        <v>0.010989010989011</v>
      </c>
      <c r="AN16" s="23">
        <f t="shared" si="8"/>
        <v>0</v>
      </c>
      <c r="AO16" s="23">
        <f t="shared" si="9"/>
        <v>0.0072463768115942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9.42857142857143</v>
      </c>
      <c r="AS16">
        <f t="shared" si="13"/>
        <v>126</v>
      </c>
      <c r="AT16" s="2">
        <f>IFERROR(时间!$B$4+AS16,"上周无销量")</f>
        <v>43451</v>
      </c>
    </row>
    <row r="17" spans="1:46">
      <c r="A17" t="s">
        <v>108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57</v>
      </c>
      <c r="G17">
        <f>SUMIF('库存（子SKU）'!$C:$C,$A17,'库存（子SKU）'!I:I)</f>
        <v>13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13</v>
      </c>
      <c r="L17">
        <f>SUMIF('库存（子SKU）'!$C:$C,$A17,'库存（子SKU）'!N:N)</f>
        <v>0</v>
      </c>
      <c r="M17">
        <f>SUMIF('库存（子SKU）'!$C:$C,$A17,'库存（子SKU）'!O:O)</f>
        <v>8</v>
      </c>
      <c r="N17">
        <f>SUMIF('库存（子SKU）'!$C:$C,$A17,'库存（子SKU）'!P:P)</f>
        <v>12377</v>
      </c>
      <c r="O17">
        <f>SUMIF('库存（子SKU）'!$C:$C,$A17,'库存（子SKU）'!Q:Q)</f>
        <v>12415</v>
      </c>
      <c r="P17">
        <f>SUMIF('库存（子SKU）'!$C:$C,$A17,'库存（子SKU）'!R:R)</f>
        <v>2219</v>
      </c>
      <c r="Q17">
        <f>SUMIF('库存（子SKU）'!$C:$C,$A17,'库存（子SKU）'!S:S)</f>
        <v>2900</v>
      </c>
      <c r="R17">
        <f>SUMIF('库存（子SKU）'!$C:$C,$A17,'库存（子SKU）'!T:T)</f>
        <v>84</v>
      </c>
      <c r="S17">
        <f>SUMIF('库存（子SKU）'!$C:$C,$A17,'库存（子SKU）'!U:U)</f>
        <v>85</v>
      </c>
      <c r="T17">
        <f>SUMIF('库存（子SKU）'!$C:$C,$A17,'库存（子SKU）'!V:V)</f>
        <v>18</v>
      </c>
      <c r="U17">
        <f>SUMIF('库存（子SKU）'!$C:$C,$A17,'库存（子SKU）'!W:W)</f>
        <v>16</v>
      </c>
      <c r="V17" s="23">
        <f t="shared" si="15"/>
        <v>0.00678678193423285</v>
      </c>
      <c r="W17" s="23">
        <f t="shared" si="16"/>
        <v>0.00684655658477648</v>
      </c>
      <c r="X17" s="23">
        <f t="shared" si="17"/>
        <v>0.00811176205497972</v>
      </c>
      <c r="Y17" s="23">
        <f t="shared" si="18"/>
        <v>0.00551724137931034</v>
      </c>
      <c r="Z17">
        <f>SUMIF('库存（子SKU）'!$C:$C,$A17,'库存（子SKU）'!AB:AB)</f>
        <v>13.72</v>
      </c>
      <c r="AA17">
        <f>SUMIF('库存（子SKU）'!$C:$C,$A17,'库存（子SKU）'!AC:AC)</f>
        <v>13.86</v>
      </c>
      <c r="AB17">
        <f>SUMIF('库存（子SKU）'!$C:$C,$A17,'库存（子SKU）'!AD:AD)</f>
        <v>3.26</v>
      </c>
      <c r="AC17">
        <f>SUMIF('库存（子SKU）'!$C:$C,$A17,'库存（子SKU）'!AE:AE)</f>
        <v>2.55</v>
      </c>
      <c r="AD17" s="23" t="str">
        <f t="shared" si="2"/>
        <v>无销量广告费为13.72</v>
      </c>
      <c r="AE17" s="23" t="str">
        <f t="shared" si="3"/>
        <v>无销量广告费为13.86</v>
      </c>
      <c r="AF17" s="23" t="str">
        <f t="shared" si="4"/>
        <v>无销量广告费为3.26</v>
      </c>
      <c r="AG17" s="23" t="str">
        <f t="shared" si="5"/>
        <v>无销量广告费为2.55</v>
      </c>
      <c r="AH17">
        <f>SUMIF('库存（子SKU）'!$C:$C,$A17,'库存（子SKU）'!AJ:AJ)</f>
        <v>22</v>
      </c>
      <c r="AI17">
        <f>SUMIF('库存（子SKU）'!$C:$C,$A17,'库存（子SKU）'!AK:AK)</f>
        <v>37</v>
      </c>
      <c r="AJ17">
        <f>SUMIF('库存（子SKU）'!$C:$C,$A17,'库存（子SKU）'!AL:AL)</f>
        <v>14</v>
      </c>
      <c r="AK17">
        <f>SUMIF('库存（子SKU）'!$C:$C,$A17,'库存（子SKU）'!AM:AM)</f>
        <v>18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13</v>
      </c>
      <c r="AS17" t="str">
        <f t="shared" si="13"/>
        <v>库存为13</v>
      </c>
      <c r="AT17" s="2" t="str">
        <f>IFERROR(时间!$B$4+AS17,"上周无销量")</f>
        <v>上周无销量</v>
      </c>
    </row>
    <row r="18" spans="1:46">
      <c r="A18" t="s">
        <v>117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57</v>
      </c>
      <c r="G18">
        <f>SUMIF('库存（子SKU）'!$C:$C,$A18,'库存（子SKU）'!I:I)</f>
        <v>5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5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1446</v>
      </c>
      <c r="O18">
        <f>SUMIF('库存（子SKU）'!$C:$C,$A18,'库存（子SKU）'!Q:Q)</f>
        <v>1492</v>
      </c>
      <c r="P18">
        <f>SUMIF('库存（子SKU）'!$C:$C,$A18,'库存（子SKU）'!R:R)</f>
        <v>192</v>
      </c>
      <c r="Q18">
        <f>SUMIF('库存（子SKU）'!$C:$C,$A18,'库存（子SKU）'!S:S)</f>
        <v>82</v>
      </c>
      <c r="R18">
        <f>SUMIF('库存（子SKU）'!$C:$C,$A18,'库存（子SKU）'!T:T)</f>
        <v>15</v>
      </c>
      <c r="S18">
        <f>SUMIF('库存（子SKU）'!$C:$C,$A18,'库存（子SKU）'!U:U)</f>
        <v>15</v>
      </c>
      <c r="T18">
        <f>SUMIF('库存（子SKU）'!$C:$C,$A18,'库存（子SKU）'!V:V)</f>
        <v>8</v>
      </c>
      <c r="U18">
        <f>SUMIF('库存（子SKU）'!$C:$C,$A18,'库存（子SKU）'!W:W)</f>
        <v>0</v>
      </c>
      <c r="V18" s="23">
        <f t="shared" si="15"/>
        <v>0.0103734439834025</v>
      </c>
      <c r="W18" s="23">
        <f t="shared" si="16"/>
        <v>0.0100536193029491</v>
      </c>
      <c r="X18" s="23">
        <f t="shared" si="17"/>
        <v>0.0416666666666667</v>
      </c>
      <c r="Y18" s="23">
        <f t="shared" si="18"/>
        <v>0</v>
      </c>
      <c r="Z18">
        <f>SUMIF('库存（子SKU）'!$C:$C,$A18,'库存（子SKU）'!AB:AB)</f>
        <v>3.4</v>
      </c>
      <c r="AA18">
        <f>SUMIF('库存（子SKU）'!$C:$C,$A18,'库存（子SKU）'!AC:AC)</f>
        <v>3.4</v>
      </c>
      <c r="AB18">
        <f>SUMIF('库存（子SKU）'!$C:$C,$A18,'库存（子SKU）'!AD:AD)</f>
        <v>0.97</v>
      </c>
      <c r="AC18">
        <f>SUMIF('库存（子SKU）'!$C:$C,$A18,'库存（子SKU）'!AE:AE)</f>
        <v>0</v>
      </c>
      <c r="AD18" s="23" t="str">
        <f t="shared" si="2"/>
        <v>无销量广告费为3.4</v>
      </c>
      <c r="AE18" s="23" t="str">
        <f t="shared" si="3"/>
        <v>无销量广告费为3.4</v>
      </c>
      <c r="AF18" s="23" t="str">
        <f t="shared" si="4"/>
        <v>无销量广告费为0.97</v>
      </c>
      <c r="AG18" s="23" t="str">
        <f t="shared" si="5"/>
        <v/>
      </c>
      <c r="AH18">
        <f>SUMIF('库存（子SKU）'!$C:$C,$A18,'库存（子SKU）'!AJ:AJ)</f>
        <v>22</v>
      </c>
      <c r="AI18">
        <f>SUMIF('库存（子SKU）'!$C:$C,$A18,'库存（子SKU）'!AK:AK)</f>
        <v>22</v>
      </c>
      <c r="AJ18">
        <f>SUMIF('库存（子SKU）'!$C:$C,$A18,'库存（子SKU）'!AL:AL)</f>
        <v>11</v>
      </c>
      <c r="AK18">
        <f>SUMIF('库存（子SKU）'!$C:$C,$A18,'库存（子SKU）'!AM:AM)</f>
        <v>1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5</v>
      </c>
      <c r="AS18" t="str">
        <f t="shared" si="13"/>
        <v>库存为5</v>
      </c>
      <c r="AT18" s="2" t="str">
        <f>IFERROR(时间!$B$4+AS18,"上周无销量")</f>
        <v>上周无销量</v>
      </c>
    </row>
    <row r="19" spans="1:46">
      <c r="A19" t="s">
        <v>122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57</v>
      </c>
      <c r="G19">
        <f>SUMIF('库存（子SKU）'!$C:$C,$A19,'库存（子SKU）'!I:I)</f>
        <v>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</v>
      </c>
      <c r="L19">
        <f>SUMIF('库存（子SKU）'!$C:$C,$A19,'库存（子SKU）'!N:N)</f>
        <v>0</v>
      </c>
      <c r="M19">
        <f>SUMIF('库存（子SKU）'!$C:$C,$A19,'库存（子SKU）'!O:O)</f>
        <v>5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26</v>
      </c>
      <c r="AI19">
        <f>SUMIF('库存（子SKU）'!$C:$C,$A19,'库存（子SKU）'!AK:AK)</f>
        <v>4</v>
      </c>
      <c r="AJ19">
        <f>SUMIF('库存（子SKU）'!$C:$C,$A19,'库存（子SKU）'!AL:AL)</f>
        <v>4</v>
      </c>
      <c r="AK19">
        <f>SUMIF('库存（子SKU）'!$C:$C,$A19,'库存（子SKU）'!AM:AM)</f>
        <v>2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5</v>
      </c>
      <c r="AS19" t="str">
        <f t="shared" si="13"/>
        <v>库存为5</v>
      </c>
      <c r="AT19" s="2" t="str">
        <f>IFERROR(时间!$B$4+AS19,"上周无销量")</f>
        <v>上周无销量</v>
      </c>
    </row>
    <row r="20" spans="1:46">
      <c r="A20" t="s">
        <v>125</v>
      </c>
      <c r="B20" s="5">
        <f>SUMIF('库存（子SKU）'!$C:$C,$A20,'库存（子SKU）'!D:D)</f>
        <v>1</v>
      </c>
      <c r="C20" s="5">
        <f>SUMIF('库存（子SKU）'!$C:$C,$A20,'库存（子SKU）'!E:E)</f>
        <v>3</v>
      </c>
      <c r="D20" s="5">
        <f>SUMIF('库存（子SKU）'!$C:$C,$A20,'库存（子SKU）'!F:F)</f>
        <v>3</v>
      </c>
      <c r="E20" s="5">
        <f>SUMIF('库存（子SKU）'!$C:$C,$A20,'库存（子SKU）'!G:G)</f>
        <v>3</v>
      </c>
      <c r="F20" s="6">
        <v>32.99</v>
      </c>
      <c r="G20">
        <f>SUMIF('库存（子SKU）'!$C:$C,$A20,'库存（子SKU）'!I:I)</f>
        <v>23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5</v>
      </c>
      <c r="K20">
        <f t="shared" si="0"/>
        <v>28</v>
      </c>
      <c r="L20">
        <f>SUMIF('库存（子SKU）'!$C:$C,$A20,'库存（子SKU）'!N:N)</f>
        <v>1</v>
      </c>
      <c r="M20">
        <f>SUMIF('库存（子SKU）'!$C:$C,$A20,'库存（子SKU）'!O:O)</f>
        <v>7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>
        <f t="shared" si="4"/>
        <v>0</v>
      </c>
      <c r="AG20" s="23">
        <f t="shared" si="5"/>
        <v>0</v>
      </c>
      <c r="AH20">
        <f>SUMIF('库存（子SKU）'!$C:$C,$A20,'库存（子SKU）'!AJ:AJ)</f>
        <v>114</v>
      </c>
      <c r="AI20">
        <f>SUMIF('库存（子SKU）'!$C:$C,$A20,'库存（子SKU）'!AK:AK)</f>
        <v>130</v>
      </c>
      <c r="AJ20">
        <f>SUMIF('库存（子SKU）'!$C:$C,$A20,'库存（子SKU）'!AL:AL)</f>
        <v>162</v>
      </c>
      <c r="AK20">
        <f>SUMIF('库存（子SKU）'!$C:$C,$A20,'库存（子SKU）'!AM:AM)</f>
        <v>159</v>
      </c>
      <c r="AL20" s="23">
        <f t="shared" si="6"/>
        <v>0.0087719298245614</v>
      </c>
      <c r="AM20" s="23">
        <f t="shared" si="7"/>
        <v>0.0230769230769231</v>
      </c>
      <c r="AN20" s="23">
        <f t="shared" si="8"/>
        <v>0.0185185185185185</v>
      </c>
      <c r="AO20" s="23">
        <f t="shared" si="9"/>
        <v>0.0188679245283019</v>
      </c>
      <c r="AP20" s="7">
        <f t="shared" si="10"/>
        <v>0.142857142857143</v>
      </c>
      <c r="AQ20" s="7">
        <f t="shared" si="11"/>
        <v>8.57142857142857</v>
      </c>
      <c r="AR20" s="7">
        <f t="shared" si="12"/>
        <v>19.4285714285714</v>
      </c>
      <c r="AS20">
        <f t="shared" si="13"/>
        <v>196</v>
      </c>
      <c r="AT20" s="2">
        <f>IFERROR(时间!$B$4+AS20,"上周无销量")</f>
        <v>43521</v>
      </c>
    </row>
    <row r="21" spans="1:46">
      <c r="A21" t="s">
        <v>130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1</v>
      </c>
      <c r="E21" s="5">
        <f>SUMIF('库存（子SKU）'!$C:$C,$A21,'库存（子SKU）'!G:G)</f>
        <v>3</v>
      </c>
      <c r="F21" s="6">
        <v>99.795</v>
      </c>
      <c r="G21">
        <f>SUMIF('库存（子SKU）'!$C:$C,$A21,'库存（子SKU）'!I:I)</f>
        <v>22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22</v>
      </c>
      <c r="L21">
        <f>SUMIF('库存（子SKU）'!$C:$C,$A21,'库存（子SKU）'!N:N)</f>
        <v>0</v>
      </c>
      <c r="M21">
        <f>SUMIF('库存（子SKU）'!$C:$C,$A21,'库存（子SKU）'!O:O)</f>
        <v>1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147</v>
      </c>
      <c r="AI21">
        <f>SUMIF('库存（子SKU）'!$C:$C,$A21,'库存（子SKU）'!AK:AK)</f>
        <v>120</v>
      </c>
      <c r="AJ21">
        <f>SUMIF('库存（子SKU）'!$C:$C,$A21,'库存（子SKU）'!AL:AL)</f>
        <v>142</v>
      </c>
      <c r="AK21">
        <f>SUMIF('库存（子SKU）'!$C:$C,$A21,'库存（子SKU）'!AM:AM)</f>
        <v>169</v>
      </c>
      <c r="AL21" s="23">
        <f t="shared" si="6"/>
        <v>0</v>
      </c>
      <c r="AM21" s="23">
        <f t="shared" si="7"/>
        <v>0</v>
      </c>
      <c r="AN21" s="23">
        <f t="shared" si="8"/>
        <v>0.00704225352112676</v>
      </c>
      <c r="AO21" s="23">
        <f t="shared" si="9"/>
        <v>0.0177514792899408</v>
      </c>
      <c r="AP21" s="7">
        <f t="shared" si="10"/>
        <v>0</v>
      </c>
      <c r="AQ21" s="7">
        <f t="shared" si="11"/>
        <v>0</v>
      </c>
      <c r="AR21" s="7">
        <f t="shared" si="12"/>
        <v>22</v>
      </c>
      <c r="AS21" t="str">
        <f t="shared" si="13"/>
        <v>库存为22</v>
      </c>
      <c r="AT21" s="2" t="str">
        <f>IFERROR(时间!$B$4+AS21,"上周无销量")</f>
        <v>上周无销量</v>
      </c>
    </row>
    <row r="22" spans="1:46">
      <c r="A22" t="s">
        <v>135</v>
      </c>
      <c r="B22" s="5">
        <f>SUMIF('库存（子SKU）'!$C:$C,$A22,'库存（子SKU）'!D:D)</f>
        <v>4</v>
      </c>
      <c r="C22" s="5">
        <f>SUMIF('库存（子SKU）'!$C:$C,$A22,'库存（子SKU）'!E:E)</f>
        <v>4</v>
      </c>
      <c r="D22" s="5">
        <f>SUMIF('库存（子SKU）'!$C:$C,$A22,'库存（子SKU）'!F:F)</f>
        <v>2</v>
      </c>
      <c r="E22" s="5">
        <f>SUMIF('库存（子SKU）'!$C:$C,$A22,'库存（子SKU）'!G:G)</f>
        <v>3</v>
      </c>
      <c r="F22" s="6">
        <v>88.99</v>
      </c>
      <c r="G22">
        <f>SUMIF('库存（子SKU）'!$C:$C,$A22,'库存（子SKU）'!I:I)</f>
        <v>0</v>
      </c>
      <c r="H22">
        <f>SUMIF('库存（子SKU）'!$C:$C,$A22,'库存（子SKU）'!J:J)</f>
        <v>2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2</v>
      </c>
      <c r="L22">
        <f>SUMIF('库存（子SKU）'!$C:$C,$A22,'库存（子SKU）'!N:N)</f>
        <v>1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>
        <f t="shared" si="4"/>
        <v>0</v>
      </c>
      <c r="AG22" s="23">
        <f t="shared" si="5"/>
        <v>0</v>
      </c>
      <c r="AH22">
        <f>SUMIF('库存（子SKU）'!$C:$C,$A22,'库存（子SKU）'!AJ:AJ)</f>
        <v>111</v>
      </c>
      <c r="AI22">
        <f>SUMIF('库存（子SKU）'!$C:$C,$A22,'库存（子SKU）'!AK:AK)</f>
        <v>94</v>
      </c>
      <c r="AJ22">
        <f>SUMIF('库存（子SKU）'!$C:$C,$A22,'库存（子SKU）'!AL:AL)</f>
        <v>120</v>
      </c>
      <c r="AK22">
        <f>SUMIF('库存（子SKU）'!$C:$C,$A22,'库存（子SKU）'!AM:AM)</f>
        <v>133</v>
      </c>
      <c r="AL22" s="23">
        <f t="shared" si="6"/>
        <v>0.036036036036036</v>
      </c>
      <c r="AM22" s="23">
        <f t="shared" si="7"/>
        <v>0.0425531914893617</v>
      </c>
      <c r="AN22" s="23">
        <f t="shared" si="8"/>
        <v>0.0166666666666667</v>
      </c>
      <c r="AO22" s="23">
        <f t="shared" si="9"/>
        <v>0.0225563909774436</v>
      </c>
      <c r="AP22" s="7">
        <f t="shared" si="10"/>
        <v>0.571428571428571</v>
      </c>
      <c r="AQ22" s="7">
        <f t="shared" si="11"/>
        <v>34.2857142857143</v>
      </c>
      <c r="AR22" s="7">
        <f t="shared" si="12"/>
        <v>-32.2857142857143</v>
      </c>
      <c r="AS22">
        <f t="shared" si="13"/>
        <v>3</v>
      </c>
      <c r="AT22" s="2">
        <f>IFERROR(时间!$B$4+AS22,"上周无销量")</f>
        <v>43328</v>
      </c>
    </row>
    <row r="23" spans="1:46">
      <c r="A23" t="s">
        <v>138</v>
      </c>
      <c r="B23" s="5">
        <f>SUMIF('库存（子SKU）'!$C:$C,$A23,'库存（子SKU）'!D:D)</f>
        <v>0</v>
      </c>
      <c r="C23" s="5">
        <f>SUMIF('库存（子SKU）'!$C:$C,$A23,'库存（子SKU）'!E:E)</f>
        <v>1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>
        <v>79.99</v>
      </c>
      <c r="G23">
        <f>SUMIF('库存（子SKU）'!$C:$C,$A23,'库存（子SKU）'!I:I)</f>
        <v>6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6</v>
      </c>
      <c r="L23">
        <f>SUMIF('库存（子SKU）'!$C:$C,$A23,'库存（子SKU）'!N:N)</f>
        <v>0</v>
      </c>
      <c r="M23">
        <f>SUMIF('库存（子SKU）'!$C:$C,$A23,'库存（子SKU）'!O:O)</f>
        <v>6</v>
      </c>
      <c r="N23">
        <f>SUMIF('库存（子SKU）'!$C:$C,$A23,'库存（子SKU）'!P:P)</f>
        <v>64626</v>
      </c>
      <c r="O23">
        <f>SUMIF('库存（子SKU）'!$C:$C,$A23,'库存（子SKU）'!Q:Q)</f>
        <v>64875</v>
      </c>
      <c r="P23">
        <f>SUMIF('库存（子SKU）'!$C:$C,$A23,'库存（子SKU）'!R:R)</f>
        <v>20188</v>
      </c>
      <c r="Q23">
        <f>SUMIF('库存（子SKU）'!$C:$C,$A23,'库存（子SKU）'!S:S)</f>
        <v>19450</v>
      </c>
      <c r="R23">
        <f>SUMIF('库存（子SKU）'!$C:$C,$A23,'库存（子SKU）'!T:T)</f>
        <v>310</v>
      </c>
      <c r="S23">
        <f>SUMIF('库存（子SKU）'!$C:$C,$A23,'库存（子SKU）'!U:U)</f>
        <v>311</v>
      </c>
      <c r="T23">
        <f>SUMIF('库存（子SKU）'!$C:$C,$A23,'库存（子SKU）'!V:V)</f>
        <v>107</v>
      </c>
      <c r="U23">
        <f>SUMIF('库存（子SKU）'!$C:$C,$A23,'库存（子SKU）'!W:W)</f>
        <v>84</v>
      </c>
      <c r="V23" s="23">
        <f t="shared" si="15"/>
        <v>0.00479683099681243</v>
      </c>
      <c r="W23" s="23">
        <f t="shared" si="16"/>
        <v>0.00479383429672447</v>
      </c>
      <c r="X23" s="23">
        <f t="shared" si="17"/>
        <v>0.00530017832375669</v>
      </c>
      <c r="Y23" s="23">
        <f t="shared" si="18"/>
        <v>0.00431876606683805</v>
      </c>
      <c r="Z23">
        <f>SUMIF('库存（子SKU）'!$C:$C,$A23,'库存（子SKU）'!AB:AB)</f>
        <v>52.68</v>
      </c>
      <c r="AA23">
        <f>SUMIF('库存（子SKU）'!$C:$C,$A23,'库存（子SKU）'!AC:AC)</f>
        <v>52.73</v>
      </c>
      <c r="AB23">
        <f>SUMIF('库存（子SKU）'!$C:$C,$A23,'库存（子SKU）'!AD:AD)</f>
        <v>18.68</v>
      </c>
      <c r="AC23">
        <f>SUMIF('库存（子SKU）'!$C:$C,$A23,'库存（子SKU）'!AE:AE)</f>
        <v>15.59</v>
      </c>
      <c r="AD23" s="23" t="str">
        <f t="shared" si="2"/>
        <v>无销量广告费为52.68</v>
      </c>
      <c r="AE23" s="23">
        <f t="shared" si="3"/>
        <v>0.659207400925116</v>
      </c>
      <c r="AF23" s="23" t="str">
        <f t="shared" si="4"/>
        <v>无销量广告费为18.68</v>
      </c>
      <c r="AG23" s="23" t="str">
        <f t="shared" si="5"/>
        <v>无销量广告费为15.59</v>
      </c>
      <c r="AH23">
        <f>SUMIF('库存（子SKU）'!$C:$C,$A23,'库存（子SKU）'!AJ:AJ)</f>
        <v>135</v>
      </c>
      <c r="AI23">
        <f>SUMIF('库存（子SKU）'!$C:$C,$A23,'库存（子SKU）'!AK:AK)</f>
        <v>98</v>
      </c>
      <c r="AJ23">
        <f>SUMIF('库存（子SKU）'!$C:$C,$A23,'库存（子SKU）'!AL:AL)</f>
        <v>63</v>
      </c>
      <c r="AK23">
        <f>SUMIF('库存（子SKU）'!$C:$C,$A23,'库存（子SKU）'!AM:AM)</f>
        <v>85</v>
      </c>
      <c r="AL23" s="23">
        <f t="shared" si="6"/>
        <v>0</v>
      </c>
      <c r="AM23" s="23">
        <f t="shared" si="7"/>
        <v>0.0102040816326531</v>
      </c>
      <c r="AN23" s="23">
        <f t="shared" si="8"/>
        <v>0</v>
      </c>
      <c r="AO23" s="23">
        <f t="shared" si="9"/>
        <v>0</v>
      </c>
      <c r="AP23" s="7">
        <f t="shared" si="10"/>
        <v>0</v>
      </c>
      <c r="AQ23" s="7">
        <f t="shared" si="11"/>
        <v>0</v>
      </c>
      <c r="AR23" s="7">
        <f t="shared" si="12"/>
        <v>6</v>
      </c>
      <c r="AS23" t="str">
        <f t="shared" si="13"/>
        <v>库存为6</v>
      </c>
      <c r="AT23" s="2" t="str">
        <f>IFERROR(时间!$B$4+AS23,"上周无销量")</f>
        <v>上周无销量</v>
      </c>
    </row>
    <row r="24" spans="1:46">
      <c r="A24" t="s">
        <v>144</v>
      </c>
      <c r="B24" s="5">
        <f>SUMIF('库存（子SKU）'!$C:$C,$A24,'库存（子SKU）'!D:D)</f>
        <v>0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1</v>
      </c>
      <c r="F24" s="6">
        <v>99.99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>
        <f t="shared" si="3"/>
        <v>0</v>
      </c>
      <c r="AF24" s="23" t="str">
        <f t="shared" si="4"/>
        <v/>
      </c>
      <c r="AG24" s="23">
        <f t="shared" si="5"/>
        <v>0</v>
      </c>
      <c r="AH24">
        <f>SUMIF('库存（子SKU）'!$C:$C,$A24,'库存（子SKU）'!AJ:AJ)</f>
        <v>14</v>
      </c>
      <c r="AI24">
        <f>SUMIF('库存（子SKU）'!$C:$C,$A24,'库存（子SKU）'!AK:AK)</f>
        <v>15</v>
      </c>
      <c r="AJ24">
        <f>SUMIF('库存（子SKU）'!$C:$C,$A24,'库存（子SKU）'!AL:AL)</f>
        <v>11</v>
      </c>
      <c r="AK24">
        <f>SUMIF('库存（子SKU）'!$C:$C,$A24,'库存（子SKU）'!AM:AM)</f>
        <v>7</v>
      </c>
      <c r="AL24" s="23">
        <f t="shared" si="6"/>
        <v>0</v>
      </c>
      <c r="AM24" s="23">
        <f t="shared" si="7"/>
        <v>0.0666666666666667</v>
      </c>
      <c r="AN24" s="23">
        <f t="shared" si="8"/>
        <v>0</v>
      </c>
      <c r="AO24" s="23">
        <f t="shared" si="9"/>
        <v>0.142857142857143</v>
      </c>
      <c r="AP24" s="7">
        <f t="shared" si="10"/>
        <v>0</v>
      </c>
      <c r="AQ24" s="7">
        <f t="shared" si="11"/>
        <v>0</v>
      </c>
      <c r="AR24" s="7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147</v>
      </c>
      <c r="B25" s="5">
        <f>SUMIF('库存（子SKU）'!$C:$C,$A25,'库存（子SKU）'!D:D)</f>
        <v>3</v>
      </c>
      <c r="C25" s="5">
        <f>SUMIF('库存（子SKU）'!$C:$C,$A25,'库存（子SKU）'!E:E)</f>
        <v>9</v>
      </c>
      <c r="D25" s="5">
        <f>SUMIF('库存（子SKU）'!$C:$C,$A25,'库存（子SKU）'!F:F)</f>
        <v>10</v>
      </c>
      <c r="E25" s="5">
        <f>SUMIF('库存（子SKU）'!$C:$C,$A25,'库存（子SKU）'!G:G)</f>
        <v>3</v>
      </c>
      <c r="F25" s="6">
        <v>79.99</v>
      </c>
      <c r="G25">
        <f>SUMIF('库存（子SKU）'!$C:$C,$A25,'库存（子SKU）'!I:I)</f>
        <v>12</v>
      </c>
      <c r="H25">
        <f>SUMIF('库存（子SKU）'!$C:$C,$A25,'库存（子SKU）'!J:J)</f>
        <v>5</v>
      </c>
      <c r="I25">
        <f>SUMIF('库存（子SKU）'!$C:$C,$A25,'库存（子SKU）'!K:K)</f>
        <v>0</v>
      </c>
      <c r="J25">
        <f>SUMIF('库存（子SKU）'!$C:$C,$A25,'库存（子SKU）'!L:L)</f>
        <v>11</v>
      </c>
      <c r="K25">
        <f t="shared" si="0"/>
        <v>28</v>
      </c>
      <c r="L25">
        <f>SUMIF('库存（子SKU）'!$C:$C,$A25,'库存（子SKU）'!N:N)</f>
        <v>1</v>
      </c>
      <c r="M25">
        <f>SUMIF('库存（子SKU）'!$C:$C,$A25,'库存（子SKU）'!O:O)</f>
        <v>0</v>
      </c>
      <c r="N25">
        <f>SUMIF('库存（子SKU）'!$C:$C,$A25,'库存（子SKU）'!P:P)</f>
        <v>79488</v>
      </c>
      <c r="O25">
        <f>SUMIF('库存（子SKU）'!$C:$C,$A25,'库存（子SKU）'!Q:Q)</f>
        <v>79979</v>
      </c>
      <c r="P25">
        <f>SUMIF('库存（子SKU）'!$C:$C,$A25,'库存（子SKU）'!R:R)</f>
        <v>23260</v>
      </c>
      <c r="Q25">
        <f>SUMIF('库存（子SKU）'!$C:$C,$A25,'库存（子SKU）'!S:S)</f>
        <v>21645</v>
      </c>
      <c r="R25">
        <f>SUMIF('库存（子SKU）'!$C:$C,$A25,'库存（子SKU）'!T:T)</f>
        <v>448</v>
      </c>
      <c r="S25">
        <f>SUMIF('库存（子SKU）'!$C:$C,$A25,'库存（子SKU）'!U:U)</f>
        <v>451</v>
      </c>
      <c r="T25">
        <f>SUMIF('库存（子SKU）'!$C:$C,$A25,'库存（子SKU）'!V:V)</f>
        <v>147</v>
      </c>
      <c r="U25">
        <f>SUMIF('库存（子SKU）'!$C:$C,$A25,'库存（子SKU）'!W:W)</f>
        <v>99</v>
      </c>
      <c r="V25" s="23">
        <f t="shared" si="15"/>
        <v>0.00563607085346216</v>
      </c>
      <c r="W25" s="23">
        <f t="shared" si="16"/>
        <v>0.00563898023231098</v>
      </c>
      <c r="X25" s="23">
        <f t="shared" si="17"/>
        <v>0.00631986242476354</v>
      </c>
      <c r="Y25" s="23">
        <f t="shared" si="18"/>
        <v>0.00457380457380457</v>
      </c>
      <c r="Z25">
        <f>SUMIF('库存（子SKU）'!$C:$C,$A25,'库存（子SKU）'!AB:AB)</f>
        <v>90.56</v>
      </c>
      <c r="AA25">
        <f>SUMIF('库存（子SKU）'!$C:$C,$A25,'库存（子SKU）'!AC:AC)</f>
        <v>91.2</v>
      </c>
      <c r="AB25">
        <f>SUMIF('库存（子SKU）'!$C:$C,$A25,'库存（子SKU）'!AD:AD)</f>
        <v>29.97</v>
      </c>
      <c r="AC25">
        <f>SUMIF('库存（子SKU）'!$C:$C,$A25,'库存（子SKU）'!AE:AE)</f>
        <v>17.59</v>
      </c>
      <c r="AD25" s="23">
        <f t="shared" si="2"/>
        <v>0.37738050589657</v>
      </c>
      <c r="AE25" s="23">
        <f t="shared" si="3"/>
        <v>0.126682501979414</v>
      </c>
      <c r="AF25" s="23">
        <f t="shared" si="4"/>
        <v>0.0374671833979247</v>
      </c>
      <c r="AG25" s="23">
        <f t="shared" si="5"/>
        <v>0.0733008292703255</v>
      </c>
      <c r="AH25">
        <f>SUMIF('库存（子SKU）'!$C:$C,$A25,'库存（子SKU）'!AJ:AJ)</f>
        <v>513</v>
      </c>
      <c r="AI25">
        <f>SUMIF('库存（子SKU）'!$C:$C,$A25,'库存（子SKU）'!AK:AK)</f>
        <v>267</v>
      </c>
      <c r="AJ25">
        <f>SUMIF('库存（子SKU）'!$C:$C,$A25,'库存（子SKU）'!AL:AL)</f>
        <v>142</v>
      </c>
      <c r="AK25">
        <f>SUMIF('库存（子SKU）'!$C:$C,$A25,'库存（子SKU）'!AM:AM)</f>
        <v>105</v>
      </c>
      <c r="AL25" s="23">
        <f t="shared" si="6"/>
        <v>0.00584795321637427</v>
      </c>
      <c r="AM25" s="23">
        <f t="shared" si="7"/>
        <v>0.0337078651685393</v>
      </c>
      <c r="AN25" s="23">
        <f t="shared" si="8"/>
        <v>0.0704225352112676</v>
      </c>
      <c r="AO25" s="23">
        <f t="shared" si="9"/>
        <v>0.0285714285714286</v>
      </c>
      <c r="AP25" s="7">
        <f t="shared" si="10"/>
        <v>0.428571428571429</v>
      </c>
      <c r="AQ25" s="7">
        <f t="shared" si="11"/>
        <v>25.7142857142857</v>
      </c>
      <c r="AR25" s="7">
        <f t="shared" si="12"/>
        <v>2.28571428571429</v>
      </c>
      <c r="AS25">
        <f t="shared" si="13"/>
        <v>65</v>
      </c>
      <c r="AT25" s="2">
        <f>IFERROR(时间!$B$4+AS25,"上周无销量")</f>
        <v>43390</v>
      </c>
    </row>
    <row r="26" spans="1:46">
      <c r="A26" t="s">
        <v>150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1</v>
      </c>
      <c r="E26" s="5">
        <f>SUMIF('库存（子SKU）'!$C:$C,$A26,'库存（子SKU）'!G:G)</f>
        <v>0</v>
      </c>
      <c r="F26" s="6">
        <v>79.99</v>
      </c>
      <c r="G26">
        <f>SUMIF('库存（子SKU）'!$C:$C,$A26,'库存（子SKU）'!I:I)</f>
        <v>11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11</v>
      </c>
      <c r="L26">
        <f>SUMIF('库存（子SKU）'!$C:$C,$A26,'库存（子SKU）'!N:N)</f>
        <v>0</v>
      </c>
      <c r="M26">
        <f>SUMIF('库存（子SKU）'!$C:$C,$A26,'库存（子SKU）'!O:O)</f>
        <v>1</v>
      </c>
      <c r="N26">
        <f>SUMIF('库存（子SKU）'!$C:$C,$A26,'库存（子SKU）'!P:P)</f>
        <v>49721</v>
      </c>
      <c r="O26">
        <f>SUMIF('库存（子SKU）'!$C:$C,$A26,'库存（子SKU）'!Q:Q)</f>
        <v>49757</v>
      </c>
      <c r="P26">
        <f>SUMIF('库存（子SKU）'!$C:$C,$A26,'库存（子SKU）'!R:R)</f>
        <v>11400</v>
      </c>
      <c r="Q26">
        <f>SUMIF('库存（子SKU）'!$C:$C,$A26,'库存（子SKU）'!S:S)</f>
        <v>9358</v>
      </c>
      <c r="R26">
        <f>SUMIF('库存（子SKU）'!$C:$C,$A26,'库存（子SKU）'!T:T)</f>
        <v>229</v>
      </c>
      <c r="S26">
        <f>SUMIF('库存（子SKU）'!$C:$C,$A26,'库存（子SKU）'!U:U)</f>
        <v>230</v>
      </c>
      <c r="T26">
        <f>SUMIF('库存（子SKU）'!$C:$C,$A26,'库存（子SKU）'!V:V)</f>
        <v>29</v>
      </c>
      <c r="U26">
        <f>SUMIF('库存（子SKU）'!$C:$C,$A26,'库存（子SKU）'!W:W)</f>
        <v>46</v>
      </c>
      <c r="V26" s="23">
        <f t="shared" si="15"/>
        <v>0.00460569980491141</v>
      </c>
      <c r="W26" s="23">
        <f t="shared" si="16"/>
        <v>0.00462246518077858</v>
      </c>
      <c r="X26" s="23">
        <f t="shared" si="17"/>
        <v>0.00254385964912281</v>
      </c>
      <c r="Y26" s="23">
        <f t="shared" si="18"/>
        <v>0.00491558025219064</v>
      </c>
      <c r="Z26">
        <f>SUMIF('库存（子SKU）'!$C:$C,$A26,'库存（子SKU）'!AB:AB)</f>
        <v>49.78</v>
      </c>
      <c r="AA26">
        <f>SUMIF('库存（子SKU）'!$C:$C,$A26,'库存（子SKU）'!AC:AC)</f>
        <v>50.19</v>
      </c>
      <c r="AB26">
        <f>SUMIF('库存（子SKU）'!$C:$C,$A26,'库存（子SKU）'!AD:AD)</f>
        <v>9.46</v>
      </c>
      <c r="AC26">
        <f>SUMIF('库存（子SKU）'!$C:$C,$A26,'库存（子SKU）'!AE:AE)</f>
        <v>15.68</v>
      </c>
      <c r="AD26" s="23" t="str">
        <f t="shared" si="2"/>
        <v>无销量广告费为49.78</v>
      </c>
      <c r="AE26" s="23" t="str">
        <f t="shared" si="3"/>
        <v>无销量广告费为50.19</v>
      </c>
      <c r="AF26" s="23">
        <f t="shared" si="4"/>
        <v>0.118264783097887</v>
      </c>
      <c r="AG26" s="23" t="str">
        <f t="shared" si="5"/>
        <v>无销量广告费为15.68</v>
      </c>
      <c r="AH26">
        <f>SUMIF('库存（子SKU）'!$C:$C,$A26,'库存（子SKU）'!AJ:AJ)</f>
        <v>76</v>
      </c>
      <c r="AI26">
        <f>SUMIF('库存（子SKU）'!$C:$C,$A26,'库存（子SKU）'!AK:AK)</f>
        <v>65</v>
      </c>
      <c r="AJ26">
        <f>SUMIF('库存（子SKU）'!$C:$C,$A26,'库存（子SKU）'!AL:AL)</f>
        <v>63</v>
      </c>
      <c r="AK26">
        <f>SUMIF('库存（子SKU）'!$C:$C,$A26,'库存（子SKU）'!AM:AM)</f>
        <v>95</v>
      </c>
      <c r="AL26" s="23">
        <f t="shared" si="6"/>
        <v>0</v>
      </c>
      <c r="AM26" s="23">
        <f t="shared" si="7"/>
        <v>0</v>
      </c>
      <c r="AN26" s="23">
        <f t="shared" si="8"/>
        <v>0.0158730158730159</v>
      </c>
      <c r="AO26" s="23">
        <f t="shared" si="9"/>
        <v>0</v>
      </c>
      <c r="AP26" s="7">
        <f t="shared" si="10"/>
        <v>0</v>
      </c>
      <c r="AQ26" s="7">
        <f t="shared" si="11"/>
        <v>0</v>
      </c>
      <c r="AR26" s="7">
        <f t="shared" si="12"/>
        <v>11</v>
      </c>
      <c r="AS26" t="str">
        <f t="shared" si="13"/>
        <v>库存为11</v>
      </c>
      <c r="AT26" s="2" t="str">
        <f>IFERROR(时间!$B$4+AS26,"上周无销量")</f>
        <v>上周无销量</v>
      </c>
    </row>
    <row r="27" spans="1:46">
      <c r="A27" t="s">
        <v>158</v>
      </c>
      <c r="B27" s="5">
        <f>SUMIF('库存（子SKU）'!$C:$C,$A27,'库存（子SKU）'!D:D)</f>
        <v>0</v>
      </c>
      <c r="C27" s="5">
        <f>SUMIF('库存（子SKU）'!$C:$C,$A27,'库存（子SKU）'!E:E)</f>
        <v>1</v>
      </c>
      <c r="D27" s="5">
        <f>SUMIF('库存（子SKU）'!$C:$C,$A27,'库存（子SKU）'!F:F)</f>
        <v>1</v>
      </c>
      <c r="E27" s="5">
        <f>SUMIF('库存（子SKU）'!$C:$C,$A27,'库存（子SKU）'!G:G)</f>
        <v>1</v>
      </c>
      <c r="F27" s="6">
        <v>89.99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32815</v>
      </c>
      <c r="O27">
        <f>SUMIF('库存（子SKU）'!$C:$C,$A27,'库存（子SKU）'!Q:Q)</f>
        <v>32890</v>
      </c>
      <c r="P27">
        <f>SUMIF('库存（子SKU）'!$C:$C,$A27,'库存（子SKU）'!R:R)</f>
        <v>5742</v>
      </c>
      <c r="Q27">
        <f>SUMIF('库存（子SKU）'!$C:$C,$A27,'库存（子SKU）'!S:S)</f>
        <v>5349</v>
      </c>
      <c r="R27">
        <f>SUMIF('库存（子SKU）'!$C:$C,$A27,'库存（子SKU）'!T:T)</f>
        <v>240</v>
      </c>
      <c r="S27">
        <f>SUMIF('库存（子SKU）'!$C:$C,$A27,'库存（子SKU）'!U:U)</f>
        <v>241</v>
      </c>
      <c r="T27">
        <f>SUMIF('库存（子SKU）'!$C:$C,$A27,'库存（子SKU）'!V:V)</f>
        <v>44</v>
      </c>
      <c r="U27">
        <f>SUMIF('库存（子SKU）'!$C:$C,$A27,'库存（子SKU）'!W:W)</f>
        <v>49</v>
      </c>
      <c r="V27" s="23">
        <f t="shared" si="15"/>
        <v>0.00731372847783026</v>
      </c>
      <c r="W27" s="23">
        <f t="shared" si="16"/>
        <v>0.00732745515354211</v>
      </c>
      <c r="X27" s="23">
        <f t="shared" si="17"/>
        <v>0.00766283524904215</v>
      </c>
      <c r="Y27" s="23">
        <f t="shared" si="18"/>
        <v>0.0091605907646289</v>
      </c>
      <c r="Z27">
        <f>SUMIF('库存（子SKU）'!$C:$C,$A27,'库存（子SKU）'!AB:AB)</f>
        <v>60.04</v>
      </c>
      <c r="AA27">
        <f>SUMIF('库存（子SKU）'!$C:$C,$A27,'库存（子SKU）'!AC:AC)</f>
        <v>60.54</v>
      </c>
      <c r="AB27">
        <f>SUMIF('库存（子SKU）'!$C:$C,$A27,'库存（子SKU）'!AD:AD)</f>
        <v>12.92</v>
      </c>
      <c r="AC27">
        <f>SUMIF('库存（子SKU）'!$C:$C,$A27,'库存（子SKU）'!AE:AE)</f>
        <v>22.42</v>
      </c>
      <c r="AD27" s="23" t="str">
        <f t="shared" si="2"/>
        <v>无销量广告费为60.04</v>
      </c>
      <c r="AE27" s="23">
        <f t="shared" si="3"/>
        <v>0.672741415712857</v>
      </c>
      <c r="AF27" s="23">
        <f t="shared" si="4"/>
        <v>0.143571507945327</v>
      </c>
      <c r="AG27" s="23">
        <f t="shared" si="5"/>
        <v>0.249138793199244</v>
      </c>
      <c r="AH27">
        <f>SUMIF('库存（子SKU）'!$C:$C,$A27,'库存（子SKU）'!AJ:AJ)</f>
        <v>50</v>
      </c>
      <c r="AI27">
        <f>SUMIF('库存（子SKU）'!$C:$C,$A27,'库存（子SKU）'!AK:AK)</f>
        <v>78</v>
      </c>
      <c r="AJ27">
        <f>SUMIF('库存（子SKU）'!$C:$C,$A27,'库存（子SKU）'!AL:AL)</f>
        <v>68</v>
      </c>
      <c r="AK27">
        <f>SUMIF('库存（子SKU）'!$C:$C,$A27,'库存（子SKU）'!AM:AM)</f>
        <v>54</v>
      </c>
      <c r="AL27" s="23">
        <f t="shared" si="6"/>
        <v>0</v>
      </c>
      <c r="AM27" s="23">
        <f t="shared" si="7"/>
        <v>0.0128205128205128</v>
      </c>
      <c r="AN27" s="23">
        <f t="shared" si="8"/>
        <v>0.0147058823529412</v>
      </c>
      <c r="AO27" s="23">
        <f t="shared" si="9"/>
        <v>0.0185185185185185</v>
      </c>
      <c r="AP27" s="7">
        <f t="shared" si="10"/>
        <v>0</v>
      </c>
      <c r="AQ27" s="7">
        <f t="shared" si="11"/>
        <v>0</v>
      </c>
      <c r="AR27" s="7">
        <f t="shared" si="12"/>
        <v>5</v>
      </c>
      <c r="AS27" t="str">
        <f t="shared" si="13"/>
        <v>库存为5</v>
      </c>
      <c r="AT27" s="2" t="str">
        <f>IFERROR(时间!$B$4+AS27,"上周无销量")</f>
        <v>上周无销量</v>
      </c>
    </row>
    <row r="28" spans="1:46">
      <c r="A28" t="s">
        <v>162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">
        <v>57</v>
      </c>
      <c r="G28">
        <f>SUMIF('库存（子SKU）'!$C:$C,$A28,'库存（子SKU）'!I:I)</f>
        <v>18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18</v>
      </c>
      <c r="L28">
        <f>SUMIF('库存（子SKU）'!$C:$C,$A28,'库存（子SKU）'!N:N)</f>
        <v>0</v>
      </c>
      <c r="M28">
        <f>SUMIF('库存（子SKU）'!$C:$C,$A28,'库存（子SKU）'!O:O)</f>
        <v>8</v>
      </c>
      <c r="N28">
        <f>SUMIF('库存（子SKU）'!$C:$C,$A28,'库存（子SKU）'!P:P)</f>
        <v>37489</v>
      </c>
      <c r="O28">
        <f>SUMIF('库存（子SKU）'!$C:$C,$A28,'库存（子SKU）'!Q:Q)</f>
        <v>37493</v>
      </c>
      <c r="P28">
        <f>SUMIF('库存（子SKU）'!$C:$C,$A28,'库存（子SKU）'!R:R)</f>
        <v>475</v>
      </c>
      <c r="Q28">
        <f>SUMIF('库存（子SKU）'!$C:$C,$A28,'库存（子SKU）'!S:S)</f>
        <v>1747</v>
      </c>
      <c r="R28">
        <f>SUMIF('库存（子SKU）'!$C:$C,$A28,'库存（子SKU）'!T:T)</f>
        <v>245</v>
      </c>
      <c r="S28">
        <f>SUMIF('库存（子SKU）'!$C:$C,$A28,'库存（子SKU）'!U:U)</f>
        <v>245</v>
      </c>
      <c r="T28">
        <f>SUMIF('库存（子SKU）'!$C:$C,$A28,'库存（子SKU）'!V:V)</f>
        <v>6</v>
      </c>
      <c r="U28">
        <f>SUMIF('库存（子SKU）'!$C:$C,$A28,'库存（子SKU）'!W:W)</f>
        <v>22</v>
      </c>
      <c r="V28" s="23">
        <f t="shared" si="15"/>
        <v>0.00653525034009976</v>
      </c>
      <c r="W28" s="23">
        <f t="shared" si="16"/>
        <v>0.00653455311658176</v>
      </c>
      <c r="X28" s="23">
        <f t="shared" si="17"/>
        <v>0.0126315789473684</v>
      </c>
      <c r="Y28" s="23">
        <f t="shared" si="18"/>
        <v>0.0125930165998855</v>
      </c>
      <c r="Z28">
        <f>SUMIF('库存（子SKU）'!$C:$C,$A28,'库存（子SKU）'!AB:AB)</f>
        <v>39.74</v>
      </c>
      <c r="AA28">
        <f>SUMIF('库存（子SKU）'!$C:$C,$A28,'库存（子SKU）'!AC:AC)</f>
        <v>39.74</v>
      </c>
      <c r="AB28">
        <f>SUMIF('库存（子SKU）'!$C:$C,$A28,'库存（子SKU）'!AD:AD)</f>
        <v>1.02</v>
      </c>
      <c r="AC28">
        <f>SUMIF('库存（子SKU）'!$C:$C,$A28,'库存（子SKU）'!AE:AE)</f>
        <v>4.59</v>
      </c>
      <c r="AD28" s="23" t="str">
        <f t="shared" si="2"/>
        <v>无销量广告费为39.74</v>
      </c>
      <c r="AE28" s="23" t="str">
        <f t="shared" si="3"/>
        <v>无销量广告费为39.74</v>
      </c>
      <c r="AF28" s="23" t="str">
        <f t="shared" si="4"/>
        <v>无销量广告费为1.02</v>
      </c>
      <c r="AG28" s="23" t="str">
        <f t="shared" si="5"/>
        <v>无销量广告费为4.59</v>
      </c>
      <c r="AH28">
        <f>SUMIF('库存（子SKU）'!$C:$C,$A28,'库存（子SKU）'!AJ:AJ)</f>
        <v>33</v>
      </c>
      <c r="AI28">
        <f>SUMIF('库存（子SKU）'!$C:$C,$A28,'库存（子SKU）'!AK:AK)</f>
        <v>26</v>
      </c>
      <c r="AJ28">
        <f>SUMIF('库存（子SKU）'!$C:$C,$A28,'库存（子SKU）'!AL:AL)</f>
        <v>22</v>
      </c>
      <c r="AK28">
        <f>SUMIF('库存（子SKU）'!$C:$C,$A28,'库存（子SKU）'!AM:AM)</f>
        <v>35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18</v>
      </c>
      <c r="AS28" t="str">
        <f t="shared" si="13"/>
        <v>库存为18</v>
      </c>
      <c r="AT28" s="2" t="str">
        <f>IFERROR(时间!$B$4+AS28,"上周无销量")</f>
        <v>上周无销量</v>
      </c>
    </row>
    <row r="29" spans="1:46">
      <c r="A29" t="s">
        <v>171</v>
      </c>
      <c r="B29" s="5">
        <f>SUMIF('库存（子SKU）'!$C:$C,$A29,'库存（子SKU）'!D:D)</f>
        <v>12</v>
      </c>
      <c r="C29" s="5">
        <f>SUMIF('库存（子SKU）'!$C:$C,$A29,'库存（子SKU）'!E:E)</f>
        <v>7</v>
      </c>
      <c r="D29" s="5">
        <f>SUMIF('库存（子SKU）'!$C:$C,$A29,'库存（子SKU）'!F:F)</f>
        <v>13</v>
      </c>
      <c r="E29" s="5">
        <f>SUMIF('库存（子SKU）'!$C:$C,$A29,'库存（子SKU）'!G:G)</f>
        <v>20</v>
      </c>
      <c r="F29" s="6">
        <v>86.7015384615383</v>
      </c>
      <c r="G29">
        <f>SUMIF('库存（子SKU）'!$C:$C,$A29,'库存（子SKU）'!I:I)</f>
        <v>102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102</v>
      </c>
      <c r="L29">
        <f>SUMIF('库存（子SKU）'!$C:$C,$A29,'库存（子SKU）'!N:N)</f>
        <v>4</v>
      </c>
      <c r="M29">
        <f>SUMIF('库存（子SKU）'!$C:$C,$A29,'库存（子SKU）'!O:O)</f>
        <v>4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>
        <f t="shared" si="3"/>
        <v>0</v>
      </c>
      <c r="AF29" s="23">
        <f t="shared" si="4"/>
        <v>0</v>
      </c>
      <c r="AG29" s="23">
        <f t="shared" si="5"/>
        <v>0</v>
      </c>
      <c r="AH29">
        <f>SUMIF('库存（子SKU）'!$C:$C,$A29,'库存（子SKU）'!AJ:AJ)</f>
        <v>1111</v>
      </c>
      <c r="AI29">
        <f>SUMIF('库存（子SKU）'!$C:$C,$A29,'库存（子SKU）'!AK:AK)</f>
        <v>718</v>
      </c>
      <c r="AJ29">
        <f>SUMIF('库存（子SKU）'!$C:$C,$A29,'库存（子SKU）'!AL:AL)</f>
        <v>875</v>
      </c>
      <c r="AK29">
        <f>SUMIF('库存（子SKU）'!$C:$C,$A29,'库存（子SKU）'!AM:AM)</f>
        <v>1403</v>
      </c>
      <c r="AL29" s="23">
        <f t="shared" si="6"/>
        <v>0.0108010801080108</v>
      </c>
      <c r="AM29" s="23">
        <f t="shared" si="7"/>
        <v>0.00974930362116992</v>
      </c>
      <c r="AN29" s="23">
        <f t="shared" si="8"/>
        <v>0.0148571428571429</v>
      </c>
      <c r="AO29" s="23">
        <f t="shared" si="9"/>
        <v>0.0142551674982181</v>
      </c>
      <c r="AP29" s="7">
        <f t="shared" si="10"/>
        <v>1.71428571428571</v>
      </c>
      <c r="AQ29" s="7">
        <f t="shared" si="11"/>
        <v>102.857142857143</v>
      </c>
      <c r="AR29" s="7">
        <f t="shared" si="12"/>
        <v>-0.857142857142847</v>
      </c>
      <c r="AS29">
        <f t="shared" si="13"/>
        <v>59</v>
      </c>
      <c r="AT29" s="2">
        <f>IFERROR(时间!$B$4+AS29,"上周无销量")</f>
        <v>43384</v>
      </c>
    </row>
    <row r="30" spans="1:46">
      <c r="A30" t="s">
        <v>178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1</v>
      </c>
      <c r="F30" s="6">
        <v>89.99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5</v>
      </c>
      <c r="N30">
        <f>SUMIF('库存（子SKU）'!$C:$C,$A30,'库存（子SKU）'!P:P)</f>
        <v>18799</v>
      </c>
      <c r="O30">
        <f>SUMIF('库存（子SKU）'!$C:$C,$A30,'库存（子SKU）'!Q:Q)</f>
        <v>18799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117</v>
      </c>
      <c r="S30">
        <f>SUMIF('库存（子SKU）'!$C:$C,$A30,'库存（子SKU）'!U:U)</f>
        <v>117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>
        <f t="shared" si="15"/>
        <v>0.00622373530506942</v>
      </c>
      <c r="W30" s="23">
        <f t="shared" si="16"/>
        <v>0.00622373530506942</v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18.87</v>
      </c>
      <c r="AA30">
        <f>SUMIF('库存（子SKU）'!$C:$C,$A30,'库存（子SKU）'!AC:AC)</f>
        <v>18.87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>无销量广告费为18.87</v>
      </c>
      <c r="AE30" s="23" t="str">
        <f t="shared" si="3"/>
        <v>无销量广告费为18.87</v>
      </c>
      <c r="AF30" s="23" t="str">
        <f t="shared" si="4"/>
        <v/>
      </c>
      <c r="AG30" s="23">
        <f t="shared" si="5"/>
        <v>0</v>
      </c>
      <c r="AH30">
        <f>SUMIF('库存（子SKU）'!$C:$C,$A30,'库存（子SKU）'!AJ:AJ)</f>
        <v>51</v>
      </c>
      <c r="AI30">
        <f>SUMIF('库存（子SKU）'!$C:$C,$A30,'库存（子SKU）'!AK:AK)</f>
        <v>12</v>
      </c>
      <c r="AJ30">
        <f>SUMIF('库存（子SKU）'!$C:$C,$A30,'库存（子SKU）'!AL:AL)</f>
        <v>5</v>
      </c>
      <c r="AK30">
        <f>SUMIF('库存（子SKU）'!$C:$C,$A30,'库存（子SKU）'!AM:AM)</f>
        <v>14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0.0714285714285714</v>
      </c>
      <c r="AP30" s="7">
        <f t="shared" si="10"/>
        <v>0</v>
      </c>
      <c r="AQ30" s="7">
        <f t="shared" si="11"/>
        <v>0</v>
      </c>
      <c r="AR30" s="7">
        <f t="shared" si="12"/>
        <v>5</v>
      </c>
      <c r="AS30" t="str">
        <f t="shared" si="13"/>
        <v>库存为5</v>
      </c>
      <c r="AT30" s="2" t="str">
        <f>IFERROR(时间!$B$4+AS30,"上周无销量")</f>
        <v>上周无销量</v>
      </c>
    </row>
    <row r="31" spans="1:46">
      <c r="A31" t="s">
        <v>182</v>
      </c>
      <c r="B31" s="5">
        <f>SUMIF('库存（子SKU）'!$C:$C,$A31,'库存（子SKU）'!D:D)</f>
        <v>1</v>
      </c>
      <c r="C31" s="5">
        <f>SUMIF('库存（子SKU）'!$C:$C,$A31,'库存（子SKU）'!E:E)</f>
        <v>2</v>
      </c>
      <c r="D31" s="5">
        <f>SUMIF('库存（子SKU）'!$C:$C,$A31,'库存（子SKU）'!F:F)</f>
        <v>2</v>
      </c>
      <c r="E31" s="5">
        <f>SUMIF('库存（子SKU）'!$C:$C,$A31,'库存（子SKU）'!G:G)</f>
        <v>3</v>
      </c>
      <c r="F31" s="6">
        <v>89.99</v>
      </c>
      <c r="G31">
        <f>SUMIF('库存（子SKU）'!$C:$C,$A31,'库存（子SKU）'!I:I)</f>
        <v>12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12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183870</v>
      </c>
      <c r="O31">
        <f>SUMIF('库存（子SKU）'!$C:$C,$A31,'库存（子SKU）'!Q:Q)</f>
        <v>184603</v>
      </c>
      <c r="P31">
        <f>SUMIF('库存（子SKU）'!$C:$C,$A31,'库存（子SKU）'!R:R)</f>
        <v>71380</v>
      </c>
      <c r="Q31">
        <f>SUMIF('库存（子SKU）'!$C:$C,$A31,'库存（子SKU）'!S:S)</f>
        <v>73885</v>
      </c>
      <c r="R31">
        <f>SUMIF('库存（子SKU）'!$C:$C,$A31,'库存（子SKU）'!T:T)</f>
        <v>640</v>
      </c>
      <c r="S31">
        <f>SUMIF('库存（子SKU）'!$C:$C,$A31,'库存（子SKU）'!U:U)</f>
        <v>640</v>
      </c>
      <c r="T31">
        <f>SUMIF('库存（子SKU）'!$C:$C,$A31,'库存（子SKU）'!V:V)</f>
        <v>235</v>
      </c>
      <c r="U31">
        <f>SUMIF('库存（子SKU）'!$C:$C,$A31,'库存（子SKU）'!W:W)</f>
        <v>219</v>
      </c>
      <c r="V31" s="23">
        <f t="shared" si="15"/>
        <v>0.0034807200739653</v>
      </c>
      <c r="W31" s="23">
        <f t="shared" si="16"/>
        <v>0.00346689923782387</v>
      </c>
      <c r="X31" s="23">
        <f t="shared" si="17"/>
        <v>0.00329223872233119</v>
      </c>
      <c r="Y31" s="23">
        <f t="shared" si="18"/>
        <v>0.00296406577789809</v>
      </c>
      <c r="Z31">
        <f>SUMIF('库存（子SKU）'!$C:$C,$A31,'库存（子SKU）'!AB:AB)</f>
        <v>128.94</v>
      </c>
      <c r="AA31">
        <f>SUMIF('库存（子SKU）'!$C:$C,$A31,'库存（子SKU）'!AC:AC)</f>
        <v>128.94</v>
      </c>
      <c r="AB31">
        <f>SUMIF('库存（子SKU）'!$C:$C,$A31,'库存（子SKU）'!AD:AD)</f>
        <v>54.45</v>
      </c>
      <c r="AC31">
        <f>SUMIF('库存（子SKU）'!$C:$C,$A31,'库存（子SKU）'!AE:AE)</f>
        <v>41.97</v>
      </c>
      <c r="AD31" s="23">
        <f t="shared" si="2"/>
        <v>1.43282586954106</v>
      </c>
      <c r="AE31" s="23">
        <f t="shared" si="3"/>
        <v>0.71641293477053</v>
      </c>
      <c r="AF31" s="23">
        <f t="shared" si="4"/>
        <v>0.302533614846094</v>
      </c>
      <c r="AG31" s="23">
        <f t="shared" si="5"/>
        <v>0.155461717968663</v>
      </c>
      <c r="AH31">
        <f>SUMIF('库存（子SKU）'!$C:$C,$A31,'库存（子SKU）'!AJ:AJ)</f>
        <v>198</v>
      </c>
      <c r="AI31">
        <f>SUMIF('库存（子SKU）'!$C:$C,$A31,'库存（子SKU）'!AK:AK)</f>
        <v>182</v>
      </c>
      <c r="AJ31">
        <f>SUMIF('库存（子SKU）'!$C:$C,$A31,'库存（子SKU）'!AL:AL)</f>
        <v>175</v>
      </c>
      <c r="AK31">
        <f>SUMIF('库存（子SKU）'!$C:$C,$A31,'库存（子SKU）'!AM:AM)</f>
        <v>140</v>
      </c>
      <c r="AL31" s="23">
        <f t="shared" si="6"/>
        <v>0.00505050505050505</v>
      </c>
      <c r="AM31" s="23">
        <f t="shared" si="7"/>
        <v>0.010989010989011</v>
      </c>
      <c r="AN31" s="23">
        <f t="shared" si="8"/>
        <v>0.0114285714285714</v>
      </c>
      <c r="AO31" s="23">
        <f t="shared" si="9"/>
        <v>0.0214285714285714</v>
      </c>
      <c r="AP31" s="7">
        <f t="shared" si="10"/>
        <v>0.142857142857143</v>
      </c>
      <c r="AQ31" s="7">
        <f t="shared" si="11"/>
        <v>8.57142857142857</v>
      </c>
      <c r="AR31" s="7">
        <f t="shared" si="12"/>
        <v>3.42857142857143</v>
      </c>
      <c r="AS31">
        <f t="shared" si="13"/>
        <v>84</v>
      </c>
      <c r="AT31" s="2">
        <f>IFERROR(时间!$B$4+AS31,"上周无销量")</f>
        <v>43409</v>
      </c>
    </row>
    <row r="32" spans="1:46">
      <c r="A32" t="s">
        <v>185</v>
      </c>
      <c r="B32" s="5">
        <f>SUMIF('库存（子SKU）'!$C:$C,$A32,'库存（子SKU）'!D:D)</f>
        <v>1</v>
      </c>
      <c r="C32" s="5">
        <f>SUMIF('库存（子SKU）'!$C:$C,$A32,'库存（子SKU）'!E:E)</f>
        <v>0</v>
      </c>
      <c r="D32" s="5">
        <f>SUMIF('库存（子SKU）'!$C:$C,$A32,'库存（子SKU）'!F:F)</f>
        <v>1</v>
      </c>
      <c r="E32" s="5">
        <f>SUMIF('库存（子SKU）'!$C:$C,$A32,'库存（子SKU）'!G:G)</f>
        <v>2</v>
      </c>
      <c r="F32" s="6">
        <v>91.6</v>
      </c>
      <c r="G32">
        <f>SUMIF('库存（子SKU）'!$C:$C,$A32,'库存（子SKU）'!I:I)</f>
        <v>46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46</v>
      </c>
      <c r="L32">
        <f>SUMIF('库存（子SKU）'!$C:$C,$A32,'库存（子SKU）'!N:N)</f>
        <v>0</v>
      </c>
      <c r="M32">
        <f>SUMIF('库存（子SKU）'!$C:$C,$A32,'库存（子SKU）'!O:O)</f>
        <v>16</v>
      </c>
      <c r="N32">
        <f>SUMIF('库存（子SKU）'!$C:$C,$A32,'库存（子SKU）'!P:P)</f>
        <v>20780</v>
      </c>
      <c r="O32">
        <f>SUMIF('库存（子SKU）'!$C:$C,$A32,'库存（子SKU）'!Q:Q)</f>
        <v>20780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97</v>
      </c>
      <c r="S32">
        <f>SUMIF('库存（子SKU）'!$C:$C,$A32,'库存（子SKU）'!U:U)</f>
        <v>97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>
        <f t="shared" si="15"/>
        <v>0.00466794995187681</v>
      </c>
      <c r="W32" s="23">
        <f t="shared" si="16"/>
        <v>0.00466794995187681</v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16.25</v>
      </c>
      <c r="AA32">
        <f>SUMIF('库存（子SKU）'!$C:$C,$A32,'库存（子SKU）'!AC:AC)</f>
        <v>16.25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>
        <f t="shared" si="2"/>
        <v>0.177401746724891</v>
      </c>
      <c r="AE32" s="23" t="str">
        <f t="shared" si="3"/>
        <v>无销量广告费为16.25</v>
      </c>
      <c r="AF32" s="23">
        <f t="shared" si="4"/>
        <v>0</v>
      </c>
      <c r="AG32" s="23">
        <f t="shared" si="5"/>
        <v>0</v>
      </c>
      <c r="AH32">
        <f>SUMIF('库存（子SKU）'!$C:$C,$A32,'库存（子SKU）'!AJ:AJ)</f>
        <v>12</v>
      </c>
      <c r="AI32">
        <f>SUMIF('库存（子SKU）'!$C:$C,$A32,'库存（子SKU）'!AK:AK)</f>
        <v>4</v>
      </c>
      <c r="AJ32">
        <f>SUMIF('库存（子SKU）'!$C:$C,$A32,'库存（子SKU）'!AL:AL)</f>
        <v>10</v>
      </c>
      <c r="AK32">
        <f>SUMIF('库存（子SKU）'!$C:$C,$A32,'库存（子SKU）'!AM:AM)</f>
        <v>104</v>
      </c>
      <c r="AL32" s="23">
        <f t="shared" si="6"/>
        <v>0.0833333333333333</v>
      </c>
      <c r="AM32" s="23">
        <f t="shared" si="7"/>
        <v>0</v>
      </c>
      <c r="AN32" s="23">
        <f t="shared" si="8"/>
        <v>0.1</v>
      </c>
      <c r="AO32" s="23">
        <f t="shared" si="9"/>
        <v>0.0192307692307692</v>
      </c>
      <c r="AP32" s="7">
        <f t="shared" si="10"/>
        <v>0.142857142857143</v>
      </c>
      <c r="AQ32" s="7">
        <f t="shared" si="11"/>
        <v>8.57142857142857</v>
      </c>
      <c r="AR32" s="7">
        <f t="shared" si="12"/>
        <v>37.4285714285714</v>
      </c>
      <c r="AS32">
        <f t="shared" si="13"/>
        <v>322</v>
      </c>
      <c r="AT32" s="2">
        <f>IFERROR(时间!$B$4+AS32,"上周无销量")</f>
        <v>43647</v>
      </c>
    </row>
    <row r="33" spans="1:46">
      <c r="A33" t="s">
        <v>191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57</v>
      </c>
      <c r="G33">
        <f>SUMIF('库存（子SKU）'!$C:$C,$A33,'库存（子SKU）'!I:I)</f>
        <v>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</v>
      </c>
      <c r="L33">
        <f>SUMIF('库存（子SKU）'!$C:$C,$A33,'库存（子SKU）'!N:N)</f>
        <v>0</v>
      </c>
      <c r="M33">
        <f>SUMIF('库存（子SKU）'!$C:$C,$A33,'库存（子SKU）'!O:O)</f>
        <v>4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6</v>
      </c>
      <c r="AI33">
        <f>SUMIF('库存（子SKU）'!$C:$C,$A33,'库存（子SKU）'!AK:AK)</f>
        <v>8</v>
      </c>
      <c r="AJ33">
        <f>SUMIF('库存（子SKU）'!$C:$C,$A33,'库存（子SKU）'!AL:AL)</f>
        <v>6</v>
      </c>
      <c r="AK33">
        <f>SUMIF('库存（子SKU）'!$C:$C,$A33,'库存（子SKU）'!AM:AM)</f>
        <v>12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4</v>
      </c>
      <c r="AS33" t="str">
        <f t="shared" si="13"/>
        <v>库存为4</v>
      </c>
      <c r="AT33" s="2" t="str">
        <f>IFERROR(时间!$B$4+AS33,"上周无销量")</f>
        <v>上周无销量</v>
      </c>
    </row>
    <row r="34" spans="1:46">
      <c r="A34" t="s">
        <v>194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1</v>
      </c>
      <c r="E34" s="5">
        <f>SUMIF('库存（子SKU）'!$C:$C,$A34,'库存（子SKU）'!G:G)</f>
        <v>0</v>
      </c>
      <c r="F34" s="6">
        <v>89.99</v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6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70699</v>
      </c>
      <c r="O34">
        <f>SUMIF('库存（子SKU）'!$C:$C,$A34,'库存（子SKU）'!Q:Q)</f>
        <v>70847</v>
      </c>
      <c r="P34">
        <f>SUMIF('库存（子SKU）'!$C:$C,$A34,'库存（子SKU）'!R:R)</f>
        <v>28545</v>
      </c>
      <c r="Q34">
        <f>SUMIF('库存（子SKU）'!$C:$C,$A34,'库存（子SKU）'!S:S)</f>
        <v>23487</v>
      </c>
      <c r="R34">
        <f>SUMIF('库存（子SKU）'!$C:$C,$A34,'库存（子SKU）'!T:T)</f>
        <v>457</v>
      </c>
      <c r="S34">
        <f>SUMIF('库存（子SKU）'!$C:$C,$A34,'库存（子SKU）'!U:U)</f>
        <v>460</v>
      </c>
      <c r="T34">
        <f>SUMIF('库存（子SKU）'!$C:$C,$A34,'库存（子SKU）'!V:V)</f>
        <v>190</v>
      </c>
      <c r="U34">
        <f>SUMIF('库存（子SKU）'!$C:$C,$A34,'库存（子SKU）'!W:W)</f>
        <v>106</v>
      </c>
      <c r="V34" s="23">
        <f t="shared" si="15"/>
        <v>0.0064640235364008</v>
      </c>
      <c r="W34" s="23">
        <f t="shared" si="16"/>
        <v>0.00649286490606518</v>
      </c>
      <c r="X34" s="23">
        <f t="shared" si="17"/>
        <v>0.00665615694517429</v>
      </c>
      <c r="Y34" s="23">
        <f t="shared" si="18"/>
        <v>0.00451313492570358</v>
      </c>
      <c r="Z34">
        <f>SUMIF('库存（子SKU）'!$C:$C,$A34,'库存（子SKU）'!AB:AB)</f>
        <v>124.8</v>
      </c>
      <c r="AA34">
        <f>SUMIF('库存（子SKU）'!$C:$C,$A34,'库存（子SKU）'!AC:AC)</f>
        <v>125.86</v>
      </c>
      <c r="AB34">
        <f>SUMIF('库存（子SKU）'!$C:$C,$A34,'库存（子SKU）'!AD:AD)</f>
        <v>52.5</v>
      </c>
      <c r="AC34">
        <f>SUMIF('库存（子SKU）'!$C:$C,$A34,'库存（子SKU）'!AE:AE)</f>
        <v>38.93</v>
      </c>
      <c r="AD34" s="23" t="str">
        <f t="shared" si="2"/>
        <v>无销量广告费为124.8</v>
      </c>
      <c r="AE34" s="23" t="str">
        <f t="shared" si="3"/>
        <v>无销量广告费为125.86</v>
      </c>
      <c r="AF34" s="23">
        <f t="shared" si="4"/>
        <v>0.583398155350595</v>
      </c>
      <c r="AG34" s="23" t="str">
        <f t="shared" si="5"/>
        <v>无销量广告费为38.93</v>
      </c>
      <c r="AH34">
        <f>SUMIF('库存（子SKU）'!$C:$C,$A34,'库存（子SKU）'!AJ:AJ)</f>
        <v>134</v>
      </c>
      <c r="AI34">
        <f>SUMIF('库存（子SKU）'!$C:$C,$A34,'库存（子SKU）'!AK:AK)</f>
        <v>252</v>
      </c>
      <c r="AJ34">
        <f>SUMIF('库存（子SKU）'!$C:$C,$A34,'库存（子SKU）'!AL:AL)</f>
        <v>240</v>
      </c>
      <c r="AK34">
        <f>SUMIF('库存（子SKU）'!$C:$C,$A34,'库存（子SKU）'!AM:AM)</f>
        <v>203</v>
      </c>
      <c r="AL34" s="23">
        <f t="shared" si="6"/>
        <v>0</v>
      </c>
      <c r="AM34" s="23">
        <f t="shared" si="7"/>
        <v>0</v>
      </c>
      <c r="AN34" s="23">
        <f t="shared" si="8"/>
        <v>0.00416666666666667</v>
      </c>
      <c r="AO34" s="23">
        <f t="shared" si="9"/>
        <v>0</v>
      </c>
      <c r="AP34" s="7">
        <f t="shared" si="10"/>
        <v>0</v>
      </c>
      <c r="AQ34" s="7">
        <f t="shared" si="11"/>
        <v>0</v>
      </c>
      <c r="AR34" s="7">
        <f t="shared" si="12"/>
        <v>6</v>
      </c>
      <c r="AS34" t="str">
        <f t="shared" si="13"/>
        <v>库存为6</v>
      </c>
      <c r="AT34" s="2" t="str">
        <f>IFERROR(时间!$B$4+AS34,"上周无销量")</f>
        <v>上周无销量</v>
      </c>
    </row>
    <row r="35" spans="1:46">
      <c r="A35" t="s">
        <v>200</v>
      </c>
      <c r="B35" s="5">
        <f>SUMIF('库存（子SKU）'!$C:$C,$A35,'库存（子SKU）'!D:D)</f>
        <v>3</v>
      </c>
      <c r="C35" s="5">
        <f>SUMIF('库存（子SKU）'!$C:$C,$A35,'库存（子SKU）'!E:E)</f>
        <v>7</v>
      </c>
      <c r="D35" s="5">
        <f>SUMIF('库存（子SKU）'!$C:$C,$A35,'库存（子SKU）'!F:F)</f>
        <v>4</v>
      </c>
      <c r="E35" s="5">
        <f>SUMIF('库存（子SKU）'!$C:$C,$A35,'库存（子SKU）'!G:G)</f>
        <v>8</v>
      </c>
      <c r="F35" s="6">
        <v>89.0809090909091</v>
      </c>
      <c r="G35">
        <f>SUMIF('库存（子SKU）'!$C:$C,$A35,'库存（子SKU）'!I:I)</f>
        <v>21</v>
      </c>
      <c r="H35">
        <f>SUMIF('库存（子SKU）'!$C:$C,$A35,'库存（子SKU）'!J:J)</f>
        <v>13</v>
      </c>
      <c r="I35">
        <f>SUMIF('库存（子SKU）'!$C:$C,$A35,'库存（子SKU）'!K:K)</f>
        <v>0</v>
      </c>
      <c r="J35">
        <f>SUMIF('库存（子SKU）'!$C:$C,$A35,'库存（子SKU）'!L:L)</f>
        <v>4</v>
      </c>
      <c r="K35">
        <f t="shared" si="0"/>
        <v>38</v>
      </c>
      <c r="L35">
        <f>SUMIF('库存（子SKU）'!$C:$C,$A35,'库存（子SKU）'!N:N)</f>
        <v>0</v>
      </c>
      <c r="M35">
        <f>SUMIF('库存（子SKU）'!$C:$C,$A35,'库存（子SKU）'!O:O)</f>
        <v>2</v>
      </c>
      <c r="N35">
        <f>SUMIF('库存（子SKU）'!$C:$C,$A35,'库存（子SKU）'!P:P)</f>
        <v>328729</v>
      </c>
      <c r="O35">
        <f>SUMIF('库存（子SKU）'!$C:$C,$A35,'库存（子SKU）'!Q:Q)</f>
        <v>329184</v>
      </c>
      <c r="P35">
        <f>SUMIF('库存（子SKU）'!$C:$C,$A35,'库存（子SKU）'!R:R)</f>
        <v>60854</v>
      </c>
      <c r="Q35">
        <f>SUMIF('库存（子SKU）'!$C:$C,$A35,'库存（子SKU）'!S:S)</f>
        <v>56403</v>
      </c>
      <c r="R35">
        <f>SUMIF('库存（子SKU）'!$C:$C,$A35,'库存（子SKU）'!T:T)</f>
        <v>2063</v>
      </c>
      <c r="S35">
        <f>SUMIF('库存（子SKU）'!$C:$C,$A35,'库存（子SKU）'!U:U)</f>
        <v>2064</v>
      </c>
      <c r="T35">
        <f>SUMIF('库存（子SKU）'!$C:$C,$A35,'库存（子SKU）'!V:V)</f>
        <v>345</v>
      </c>
      <c r="U35">
        <f>SUMIF('库存（子SKU）'!$C:$C,$A35,'库存（子SKU）'!W:W)</f>
        <v>305</v>
      </c>
      <c r="V35" s="23">
        <f t="shared" si="15"/>
        <v>0.00627568605142838</v>
      </c>
      <c r="W35" s="23">
        <f t="shared" si="16"/>
        <v>0.00627004957713619</v>
      </c>
      <c r="X35" s="23">
        <f t="shared" si="17"/>
        <v>0.00566930686561278</v>
      </c>
      <c r="Y35" s="23">
        <f t="shared" si="18"/>
        <v>0.00540751378472776</v>
      </c>
      <c r="Z35">
        <f>SUMIF('库存（子SKU）'!$C:$C,$A35,'库存（子SKU）'!AB:AB)</f>
        <v>405.5</v>
      </c>
      <c r="AA35">
        <f>SUMIF('库存（子SKU）'!$C:$C,$A35,'库存（子SKU）'!AC:AC)</f>
        <v>405.62</v>
      </c>
      <c r="AB35">
        <f>SUMIF('库存（子SKU）'!$C:$C,$A35,'库存（子SKU）'!AD:AD)</f>
        <v>93.64</v>
      </c>
      <c r="AC35">
        <f>SUMIF('库存（子SKU）'!$C:$C,$A35,'库存（子SKU）'!AE:AE)</f>
        <v>88.61</v>
      </c>
      <c r="AD35" s="23">
        <f t="shared" si="2"/>
        <v>1.51734718522827</v>
      </c>
      <c r="AE35" s="23">
        <f t="shared" si="3"/>
        <v>0.650484092237758</v>
      </c>
      <c r="AF35" s="23">
        <f t="shared" si="4"/>
        <v>0.262794803498352</v>
      </c>
      <c r="AG35" s="23">
        <f t="shared" si="5"/>
        <v>0.124339211544153</v>
      </c>
      <c r="AH35">
        <f>SUMIF('库存（子SKU）'!$C:$C,$A35,'库存（子SKU）'!AJ:AJ)</f>
        <v>374</v>
      </c>
      <c r="AI35">
        <f>SUMIF('库存（子SKU）'!$C:$C,$A35,'库存（子SKU）'!AK:AK)</f>
        <v>564</v>
      </c>
      <c r="AJ35">
        <f>SUMIF('库存（子SKU）'!$C:$C,$A35,'库存（子SKU）'!AL:AL)</f>
        <v>537</v>
      </c>
      <c r="AK35">
        <f>SUMIF('库存（子SKU）'!$C:$C,$A35,'库存（子SKU）'!AM:AM)</f>
        <v>552</v>
      </c>
      <c r="AL35" s="23">
        <f t="shared" si="6"/>
        <v>0.00802139037433155</v>
      </c>
      <c r="AM35" s="23">
        <f t="shared" si="7"/>
        <v>0.0124113475177305</v>
      </c>
      <c r="AN35" s="23">
        <f t="shared" si="8"/>
        <v>0.0074487895716946</v>
      </c>
      <c r="AO35" s="23">
        <f t="shared" si="9"/>
        <v>0.0144927536231884</v>
      </c>
      <c r="AP35" s="7">
        <f t="shared" si="10"/>
        <v>0.428571428571429</v>
      </c>
      <c r="AQ35" s="7">
        <f t="shared" si="11"/>
        <v>25.7142857142857</v>
      </c>
      <c r="AR35" s="7">
        <f t="shared" si="12"/>
        <v>12.2857142857143</v>
      </c>
      <c r="AS35">
        <f t="shared" si="13"/>
        <v>88</v>
      </c>
      <c r="AT35" s="2">
        <f>IFERROR(时间!$B$4+AS35,"上周无销量")</f>
        <v>43413</v>
      </c>
    </row>
    <row r="36" spans="1:46">
      <c r="A36" t="s">
        <v>205</v>
      </c>
      <c r="B36" s="5">
        <f>SUMIF('库存（子SKU）'!$C:$C,$A36,'库存（子SKU）'!D:D)</f>
        <v>7</v>
      </c>
      <c r="C36" s="5">
        <f>SUMIF('库存（子SKU）'!$C:$C,$A36,'库存（子SKU）'!E:E)</f>
        <v>5</v>
      </c>
      <c r="D36" s="5">
        <f>SUMIF('库存（子SKU）'!$C:$C,$A36,'库存（子SKU）'!F:F)</f>
        <v>10</v>
      </c>
      <c r="E36" s="5">
        <f>SUMIF('库存（子SKU）'!$C:$C,$A36,'库存（子SKU）'!G:G)</f>
        <v>6</v>
      </c>
      <c r="F36" s="6">
        <v>85.8828571428571</v>
      </c>
      <c r="G36">
        <f>SUMIF('库存（子SKU）'!$C:$C,$A36,'库存（子SKU）'!I:I)</f>
        <v>33</v>
      </c>
      <c r="H36">
        <f>SUMIF('库存（子SKU）'!$C:$C,$A36,'库存（子SKU）'!J:J)</f>
        <v>11</v>
      </c>
      <c r="I36">
        <f>SUMIF('库存（子SKU）'!$C:$C,$A36,'库存（子SKU）'!K:K)</f>
        <v>0</v>
      </c>
      <c r="J36">
        <f>SUMIF('库存（子SKU）'!$C:$C,$A36,'库存（子SKU）'!L:L)</f>
        <v>11</v>
      </c>
      <c r="K36">
        <f t="shared" si="0"/>
        <v>55</v>
      </c>
      <c r="L36">
        <f>SUMIF('库存（子SKU）'!$C:$C,$A36,'库存（子SKU）'!N:N)</f>
        <v>1</v>
      </c>
      <c r="M36">
        <f>SUMIF('库存（子SKU）'!$C:$C,$A36,'库存（子SKU）'!O:O)</f>
        <v>7</v>
      </c>
      <c r="N36">
        <f>SUMIF('库存（子SKU）'!$C:$C,$A36,'库存（子SKU）'!P:P)</f>
        <v>448645</v>
      </c>
      <c r="O36">
        <f>SUMIF('库存（子SKU）'!$C:$C,$A36,'库存（子SKU）'!Q:Q)</f>
        <v>450774</v>
      </c>
      <c r="P36">
        <f>SUMIF('库存（子SKU）'!$C:$C,$A36,'库存（子SKU）'!R:R)</f>
        <v>182480</v>
      </c>
      <c r="Q36">
        <f>SUMIF('库存（子SKU）'!$C:$C,$A36,'库存（子SKU）'!S:S)</f>
        <v>157651</v>
      </c>
      <c r="R36">
        <f>SUMIF('库存（子SKU）'!$C:$C,$A36,'库存（子SKU）'!T:T)</f>
        <v>2720</v>
      </c>
      <c r="S36">
        <f>SUMIF('库存（子SKU）'!$C:$C,$A36,'库存（子SKU）'!U:U)</f>
        <v>2728</v>
      </c>
      <c r="T36">
        <f>SUMIF('库存（子SKU）'!$C:$C,$A36,'库存（子SKU）'!V:V)</f>
        <v>1096</v>
      </c>
      <c r="U36">
        <f>SUMIF('库存（子SKU）'!$C:$C,$A36,'库存（子SKU）'!W:W)</f>
        <v>842</v>
      </c>
      <c r="V36" s="23">
        <f t="shared" si="15"/>
        <v>0.00606269990749925</v>
      </c>
      <c r="W36" s="23">
        <f t="shared" si="16"/>
        <v>0.00605181310368389</v>
      </c>
      <c r="X36" s="23">
        <f t="shared" si="17"/>
        <v>0.00600613765892153</v>
      </c>
      <c r="Y36" s="23">
        <f t="shared" si="18"/>
        <v>0.00534091125333807</v>
      </c>
      <c r="Z36">
        <f>SUMIF('库存（子SKU）'!$C:$C,$A36,'库存（子SKU）'!AB:AB)</f>
        <v>542.25</v>
      </c>
      <c r="AA36">
        <f>SUMIF('库存（子SKU）'!$C:$C,$A36,'库存（子SKU）'!AC:AC)</f>
        <v>543.95</v>
      </c>
      <c r="AB36">
        <f>SUMIF('库存（子SKU）'!$C:$C,$A36,'库存（子SKU）'!AD:AD)</f>
        <v>232.82</v>
      </c>
      <c r="AC36">
        <f>SUMIF('库存（子SKU）'!$C:$C,$A36,'库存（子SKU）'!AE:AE)</f>
        <v>164.28</v>
      </c>
      <c r="AD36" s="23">
        <f t="shared" si="2"/>
        <v>0.901976113643169</v>
      </c>
      <c r="AE36" s="23">
        <f t="shared" si="3"/>
        <v>1.26672543996806</v>
      </c>
      <c r="AF36" s="23">
        <f t="shared" si="4"/>
        <v>0.271090189294388</v>
      </c>
      <c r="AG36" s="23">
        <f t="shared" si="5"/>
        <v>0.318806347516551</v>
      </c>
      <c r="AH36">
        <f>SUMIF('库存（子SKU）'!$C:$C,$A36,'库存（子SKU）'!AJ:AJ)</f>
        <v>917</v>
      </c>
      <c r="AI36">
        <f>SUMIF('库存（子SKU）'!$C:$C,$A36,'库存（子SKU）'!AK:AK)</f>
        <v>1119</v>
      </c>
      <c r="AJ36">
        <f>SUMIF('库存（子SKU）'!$C:$C,$A36,'库存（子SKU）'!AL:AL)</f>
        <v>1033</v>
      </c>
      <c r="AK36">
        <f>SUMIF('库存（子SKU）'!$C:$C,$A36,'库存（子SKU）'!AM:AM)</f>
        <v>742</v>
      </c>
      <c r="AL36" s="23">
        <f t="shared" si="6"/>
        <v>0.00763358778625954</v>
      </c>
      <c r="AM36" s="23">
        <f t="shared" si="7"/>
        <v>0.00446827524575514</v>
      </c>
      <c r="AN36" s="23">
        <f t="shared" si="8"/>
        <v>0.00968054211035818</v>
      </c>
      <c r="AO36" s="23">
        <f t="shared" si="9"/>
        <v>0.00808625336927224</v>
      </c>
      <c r="AP36" s="7">
        <f t="shared" si="10"/>
        <v>1</v>
      </c>
      <c r="AQ36" s="7">
        <f t="shared" si="11"/>
        <v>60</v>
      </c>
      <c r="AR36" s="7">
        <f t="shared" si="12"/>
        <v>-5</v>
      </c>
      <c r="AS36">
        <f t="shared" si="13"/>
        <v>55</v>
      </c>
      <c r="AT36" s="2">
        <f>IFERROR(时间!$B$4+AS36,"上周无销量")</f>
        <v>43380</v>
      </c>
    </row>
    <row r="37" spans="1:46">
      <c r="A37" t="s">
        <v>216</v>
      </c>
      <c r="B37" s="5">
        <f>SUMIF('库存（子SKU）'!$C:$C,$A37,'库存（子SKU）'!D:D)</f>
        <v>1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>
        <v>79.99</v>
      </c>
      <c r="G37">
        <f>SUMIF('库存（子SKU）'!$C:$C,$A37,'库存（子SKU）'!I:I)</f>
        <v>2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</v>
      </c>
      <c r="L37">
        <f>SUMIF('库存（子SKU）'!$C:$C,$A37,'库存（子SKU）'!N:N)</f>
        <v>0</v>
      </c>
      <c r="M37">
        <f>SUMIF('库存（子SKU）'!$C:$C,$A37,'库存（子SKU）'!O:O)</f>
        <v>3</v>
      </c>
      <c r="N37">
        <f>SUMIF('库存（子SKU）'!$C:$C,$A37,'库存（子SKU）'!P:P)</f>
        <v>63097</v>
      </c>
      <c r="O37">
        <f>SUMIF('库存（子SKU）'!$C:$C,$A37,'库存（子SKU）'!Q:Q)</f>
        <v>63123</v>
      </c>
      <c r="P37">
        <f>SUMIF('库存（子SKU）'!$C:$C,$A37,'库存（子SKU）'!R:R)</f>
        <v>10601</v>
      </c>
      <c r="Q37">
        <f>SUMIF('库存（子SKU）'!$C:$C,$A37,'库存（子SKU）'!S:S)</f>
        <v>19024</v>
      </c>
      <c r="R37">
        <f>SUMIF('库存（子SKU）'!$C:$C,$A37,'库存（子SKU）'!T:T)</f>
        <v>179</v>
      </c>
      <c r="S37">
        <f>SUMIF('库存（子SKU）'!$C:$C,$A37,'库存（子SKU）'!U:U)</f>
        <v>180</v>
      </c>
      <c r="T37">
        <f>SUMIF('库存（子SKU）'!$C:$C,$A37,'库存（子SKU）'!V:V)</f>
        <v>36</v>
      </c>
      <c r="U37">
        <f>SUMIF('库存（子SKU）'!$C:$C,$A37,'库存（子SKU）'!W:W)</f>
        <v>38</v>
      </c>
      <c r="V37" s="23">
        <f t="shared" si="15"/>
        <v>0.00283690191292771</v>
      </c>
      <c r="W37" s="23">
        <f t="shared" si="16"/>
        <v>0.00285157549546124</v>
      </c>
      <c r="X37" s="23">
        <f t="shared" si="17"/>
        <v>0.00339590604659938</v>
      </c>
      <c r="Y37" s="23">
        <f t="shared" si="18"/>
        <v>0.00199747687132044</v>
      </c>
      <c r="Z37">
        <f>SUMIF('库存（子SKU）'!$C:$C,$A37,'库存（子SKU）'!AB:AB)</f>
        <v>52.18</v>
      </c>
      <c r="AA37">
        <f>SUMIF('库存（子SKU）'!$C:$C,$A37,'库存（子SKU）'!AC:AC)</f>
        <v>52.56</v>
      </c>
      <c r="AB37">
        <f>SUMIF('库存（子SKU）'!$C:$C,$A37,'库存（子SKU）'!AD:AD)</f>
        <v>12.09</v>
      </c>
      <c r="AC37">
        <f>SUMIF('库存（子SKU）'!$C:$C,$A37,'库存（子SKU）'!AE:AE)</f>
        <v>23.43</v>
      </c>
      <c r="AD37" s="23">
        <f t="shared" si="2"/>
        <v>0.65233154144268</v>
      </c>
      <c r="AE37" s="23" t="str">
        <f t="shared" si="3"/>
        <v>无销量广告费为52.56</v>
      </c>
      <c r="AF37" s="23" t="str">
        <f t="shared" si="4"/>
        <v>无销量广告费为12.09</v>
      </c>
      <c r="AG37" s="23" t="str">
        <f t="shared" si="5"/>
        <v>无销量广告费为23.43</v>
      </c>
      <c r="AH37">
        <f>SUMIF('库存（子SKU）'!$C:$C,$A37,'库存（子SKU）'!AJ:AJ)</f>
        <v>20</v>
      </c>
      <c r="AI37">
        <f>SUMIF('库存（子SKU）'!$C:$C,$A37,'库存（子SKU）'!AK:AK)</f>
        <v>21</v>
      </c>
      <c r="AJ37">
        <f>SUMIF('库存（子SKU）'!$C:$C,$A37,'库存（子SKU）'!AL:AL)</f>
        <v>26</v>
      </c>
      <c r="AK37">
        <f>SUMIF('库存（子SKU）'!$C:$C,$A37,'库存（子SKU）'!AM:AM)</f>
        <v>27</v>
      </c>
      <c r="AL37" s="23">
        <f t="shared" si="6"/>
        <v>0.05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7">
        <f t="shared" si="10"/>
        <v>0.142857142857143</v>
      </c>
      <c r="AQ37" s="7">
        <f t="shared" si="11"/>
        <v>8.57142857142857</v>
      </c>
      <c r="AR37" s="7">
        <f t="shared" si="12"/>
        <v>-6.57142857142857</v>
      </c>
      <c r="AS37">
        <f t="shared" si="13"/>
        <v>14</v>
      </c>
      <c r="AT37" s="2">
        <f>IFERROR(时间!$B$4+AS37,"上周无销量")</f>
        <v>43339</v>
      </c>
    </row>
    <row r="38" spans="1:46">
      <c r="A38" t="s">
        <v>222</v>
      </c>
      <c r="B38" s="5">
        <f>SUMIF('库存（子SKU）'!$C:$C,$A38,'库存（子SKU）'!D:D)</f>
        <v>1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1</v>
      </c>
      <c r="F38" s="6">
        <v>86.6566666666667</v>
      </c>
      <c r="G38">
        <f>SUMIF('库存（子SKU）'!$C:$C,$A38,'库存（子SKU）'!I:I)</f>
        <v>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7</v>
      </c>
      <c r="L38">
        <f>SUMIF('库存（子SKU）'!$C:$C,$A38,'库存（子SKU）'!N:N)</f>
        <v>0</v>
      </c>
      <c r="M38">
        <f>SUMIF('库存（子SKU）'!$C:$C,$A38,'库存（子SKU）'!O:O)</f>
        <v>2</v>
      </c>
      <c r="N38">
        <f>SUMIF('库存（子SKU）'!$C:$C,$A38,'库存（子SKU）'!P:P)</f>
        <v>257498</v>
      </c>
      <c r="O38">
        <f>SUMIF('库存（子SKU）'!$C:$C,$A38,'库存（子SKU）'!Q:Q)</f>
        <v>257831</v>
      </c>
      <c r="P38">
        <f>SUMIF('库存（子SKU）'!$C:$C,$A38,'库存（子SKU）'!R:R)</f>
        <v>36680</v>
      </c>
      <c r="Q38">
        <f>SUMIF('库存（子SKU）'!$C:$C,$A38,'库存（子SKU）'!S:S)</f>
        <v>74639</v>
      </c>
      <c r="R38">
        <f>SUMIF('库存（子SKU）'!$C:$C,$A38,'库存（子SKU）'!T:T)</f>
        <v>757</v>
      </c>
      <c r="S38">
        <f>SUMIF('库存（子SKU）'!$C:$C,$A38,'库存（子SKU）'!U:U)</f>
        <v>757</v>
      </c>
      <c r="T38">
        <f>SUMIF('库存（子SKU）'!$C:$C,$A38,'库存（子SKU）'!V:V)</f>
        <v>132</v>
      </c>
      <c r="U38">
        <f>SUMIF('库存（子SKU）'!$C:$C,$A38,'库存（子SKU）'!W:W)</f>
        <v>164</v>
      </c>
      <c r="V38" s="23">
        <f t="shared" si="15"/>
        <v>0.00293982865886337</v>
      </c>
      <c r="W38" s="23">
        <f t="shared" si="16"/>
        <v>0.00293603174172229</v>
      </c>
      <c r="X38" s="23">
        <f t="shared" si="17"/>
        <v>0.00359869138495093</v>
      </c>
      <c r="Y38" s="23">
        <f t="shared" si="18"/>
        <v>0.00219724272833237</v>
      </c>
      <c r="Z38">
        <f>SUMIF('库存（子SKU）'!$C:$C,$A38,'库存（子SKU）'!AB:AB)</f>
        <v>162.07</v>
      </c>
      <c r="AA38">
        <f>SUMIF('库存（子SKU）'!$C:$C,$A38,'库存（子SKU）'!AC:AC)</f>
        <v>162.07</v>
      </c>
      <c r="AB38">
        <f>SUMIF('库存（子SKU）'!$C:$C,$A38,'库存（子SKU）'!AD:AD)</f>
        <v>27.43</v>
      </c>
      <c r="AC38">
        <f>SUMIF('库存（子SKU）'!$C:$C,$A38,'库存（子SKU）'!AE:AE)</f>
        <v>65.29</v>
      </c>
      <c r="AD38" s="23">
        <f t="shared" si="2"/>
        <v>1.87025426010693</v>
      </c>
      <c r="AE38" s="23">
        <f t="shared" si="3"/>
        <v>1.87025426010693</v>
      </c>
      <c r="AF38" s="23" t="str">
        <f t="shared" si="4"/>
        <v>无销量广告费为27.43</v>
      </c>
      <c r="AG38" s="23">
        <f t="shared" si="5"/>
        <v>0.75343308843328</v>
      </c>
      <c r="AH38">
        <f>SUMIF('库存（子SKU）'!$C:$C,$A38,'库存（子SKU）'!AJ:AJ)</f>
        <v>202</v>
      </c>
      <c r="AI38">
        <f>SUMIF('库存（子SKU）'!$C:$C,$A38,'库存（子SKU）'!AK:AK)</f>
        <v>124</v>
      </c>
      <c r="AJ38">
        <f>SUMIF('库存（子SKU）'!$C:$C,$A38,'库存（子SKU）'!AL:AL)</f>
        <v>150</v>
      </c>
      <c r="AK38">
        <f>SUMIF('库存（子SKU）'!$C:$C,$A38,'库存（子SKU）'!AM:AM)</f>
        <v>149</v>
      </c>
      <c r="AL38" s="23">
        <f t="shared" si="6"/>
        <v>0.00495049504950495</v>
      </c>
      <c r="AM38" s="23">
        <f t="shared" si="7"/>
        <v>0.00806451612903226</v>
      </c>
      <c r="AN38" s="23">
        <f t="shared" si="8"/>
        <v>0</v>
      </c>
      <c r="AO38" s="23">
        <f t="shared" si="9"/>
        <v>0.00671140939597315</v>
      </c>
      <c r="AP38" s="7">
        <f t="shared" si="10"/>
        <v>0.142857142857143</v>
      </c>
      <c r="AQ38" s="7">
        <f t="shared" si="11"/>
        <v>8.57142857142857</v>
      </c>
      <c r="AR38" s="7">
        <f t="shared" si="12"/>
        <v>-1.57142857142857</v>
      </c>
      <c r="AS38">
        <f t="shared" si="13"/>
        <v>49</v>
      </c>
      <c r="AT38" s="2">
        <f>IFERROR(时间!$B$4+AS38,"上周无销量")</f>
        <v>43374</v>
      </c>
    </row>
    <row r="39" spans="1:46">
      <c r="A39" t="s">
        <v>232</v>
      </c>
      <c r="B39" s="5">
        <f>SUMIF('库存（子SKU）'!$C:$C,$A39,'库存（子SKU）'!D:D)</f>
        <v>0</v>
      </c>
      <c r="C39" s="5">
        <f>SUMIF('库存（子SKU）'!$C:$C,$A39,'库存（子SKU）'!E:E)</f>
        <v>1</v>
      </c>
      <c r="D39" s="5">
        <f>SUMIF('库存（子SKU）'!$C:$C,$A39,'库存（子SKU）'!F:F)</f>
        <v>4</v>
      </c>
      <c r="E39" s="5">
        <f>SUMIF('库存（子SKU）'!$C:$C,$A39,'库存（子SKU）'!G:G)</f>
        <v>2</v>
      </c>
      <c r="F39" s="6">
        <v>99.99</v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73447</v>
      </c>
      <c r="O39">
        <f>SUMIF('库存（子SKU）'!$C:$C,$A39,'库存（子SKU）'!Q:Q)</f>
        <v>73628</v>
      </c>
      <c r="P39">
        <f>SUMIF('库存（子SKU）'!$C:$C,$A39,'库存（子SKU）'!R:R)</f>
        <v>22078</v>
      </c>
      <c r="Q39">
        <f>SUMIF('库存（子SKU）'!$C:$C,$A39,'库存（子SKU）'!S:S)</f>
        <v>9213</v>
      </c>
      <c r="R39">
        <f>SUMIF('库存（子SKU）'!$C:$C,$A39,'库存（子SKU）'!T:T)</f>
        <v>350</v>
      </c>
      <c r="S39">
        <f>SUMIF('库存（子SKU）'!$C:$C,$A39,'库存（子SKU）'!U:U)</f>
        <v>353</v>
      </c>
      <c r="T39">
        <f>SUMIF('库存（子SKU）'!$C:$C,$A39,'库存（子SKU）'!V:V)</f>
        <v>87</v>
      </c>
      <c r="U39">
        <f>SUMIF('库存（子SKU）'!$C:$C,$A39,'库存（子SKU）'!W:W)</f>
        <v>45</v>
      </c>
      <c r="V39" s="23">
        <f t="shared" si="15"/>
        <v>0.00476534099418628</v>
      </c>
      <c r="W39" s="23">
        <f t="shared" si="16"/>
        <v>0.00479437170641604</v>
      </c>
      <c r="X39" s="23">
        <f t="shared" si="17"/>
        <v>0.00394057432738473</v>
      </c>
      <c r="Y39" s="23">
        <f t="shared" si="18"/>
        <v>0.00488440247476392</v>
      </c>
      <c r="Z39">
        <f>SUMIF('库存（子SKU）'!$C:$C,$A39,'库存（子SKU）'!AB:AB)</f>
        <v>88.57</v>
      </c>
      <c r="AA39">
        <f>SUMIF('库存（子SKU）'!$C:$C,$A39,'库存（子SKU）'!AC:AC)</f>
        <v>89.77</v>
      </c>
      <c r="AB39">
        <f>SUMIF('库存（子SKU）'!$C:$C,$A39,'库存（子SKU）'!AD:AD)</f>
        <v>27.09</v>
      </c>
      <c r="AC39">
        <f>SUMIF('库存（子SKU）'!$C:$C,$A39,'库存（子SKU）'!AE:AE)</f>
        <v>23.3</v>
      </c>
      <c r="AD39" s="23" t="str">
        <f t="shared" si="2"/>
        <v>无销量广告费为88.57</v>
      </c>
      <c r="AE39" s="23">
        <f t="shared" si="3"/>
        <v>0.897789778977898</v>
      </c>
      <c r="AF39" s="23">
        <f t="shared" si="4"/>
        <v>0.0677317731773177</v>
      </c>
      <c r="AG39" s="23">
        <f t="shared" si="5"/>
        <v>0.116511651165117</v>
      </c>
      <c r="AH39">
        <f>SUMIF('库存（子SKU）'!$C:$C,$A39,'库存（子SKU）'!AJ:AJ)</f>
        <v>100</v>
      </c>
      <c r="AI39">
        <f>SUMIF('库存（子SKU）'!$C:$C,$A39,'库存（子SKU）'!AK:AK)</f>
        <v>162</v>
      </c>
      <c r="AJ39">
        <f>SUMIF('库存（子SKU）'!$C:$C,$A39,'库存（子SKU）'!AL:AL)</f>
        <v>162</v>
      </c>
      <c r="AK39">
        <f>SUMIF('库存（子SKU）'!$C:$C,$A39,'库存（子SKU）'!AM:AM)</f>
        <v>134</v>
      </c>
      <c r="AL39" s="23">
        <f t="shared" si="6"/>
        <v>0</v>
      </c>
      <c r="AM39" s="23">
        <f t="shared" si="7"/>
        <v>0.00617283950617284</v>
      </c>
      <c r="AN39" s="23">
        <f t="shared" si="8"/>
        <v>0.0246913580246914</v>
      </c>
      <c r="AO39" s="23">
        <f t="shared" si="9"/>
        <v>0.0149253731343284</v>
      </c>
      <c r="AP39" s="7">
        <f t="shared" si="10"/>
        <v>0</v>
      </c>
      <c r="AQ39" s="7">
        <f t="shared" si="11"/>
        <v>0</v>
      </c>
      <c r="AR39" s="7">
        <f t="shared" si="12"/>
        <v>10</v>
      </c>
      <c r="AS39" t="str">
        <f t="shared" si="13"/>
        <v>库存为10</v>
      </c>
      <c r="AT39" s="2" t="str">
        <f>IFERROR(时间!$B$4+AS39,"上周无销量")</f>
        <v>上周无销量</v>
      </c>
    </row>
    <row r="40" spans="1:46">
      <c r="A40" t="s">
        <v>238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57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322313</v>
      </c>
      <c r="O40">
        <f>SUMIF('库存（子SKU）'!$C:$C,$A40,'库存（子SKU）'!Q:Q)</f>
        <v>322318</v>
      </c>
      <c r="P40">
        <f>SUMIF('库存（子SKU）'!$C:$C,$A40,'库存（子SKU）'!R:R)</f>
        <v>669</v>
      </c>
      <c r="Q40">
        <f>SUMIF('库存（子SKU）'!$C:$C,$A40,'库存（子SKU）'!S:S)</f>
        <v>2303</v>
      </c>
      <c r="R40">
        <f>SUMIF('库存（子SKU）'!$C:$C,$A40,'库存（子SKU）'!T:T)</f>
        <v>792</v>
      </c>
      <c r="S40">
        <f>SUMIF('库存（子SKU）'!$C:$C,$A40,'库存（子SKU）'!U:U)</f>
        <v>792</v>
      </c>
      <c r="T40">
        <f>SUMIF('库存（子SKU）'!$C:$C,$A40,'库存（子SKU）'!V:V)</f>
        <v>8</v>
      </c>
      <c r="U40">
        <f>SUMIF('库存（子SKU）'!$C:$C,$A40,'库存（子SKU）'!W:W)</f>
        <v>19</v>
      </c>
      <c r="V40" s="23">
        <f t="shared" si="15"/>
        <v>0.00245723877100831</v>
      </c>
      <c r="W40" s="23">
        <f t="shared" si="16"/>
        <v>0.00245720065277149</v>
      </c>
      <c r="X40" s="23">
        <f t="shared" si="17"/>
        <v>0.0119581464872945</v>
      </c>
      <c r="Y40" s="23">
        <f t="shared" si="18"/>
        <v>0.00825010855405992</v>
      </c>
      <c r="Z40">
        <f>SUMIF('库存（子SKU）'!$C:$C,$A40,'库存（子SKU）'!AB:AB)</f>
        <v>202.38</v>
      </c>
      <c r="AA40">
        <f>SUMIF('库存（子SKU）'!$C:$C,$A40,'库存（子SKU）'!AC:AC)</f>
        <v>202.38</v>
      </c>
      <c r="AB40">
        <f>SUMIF('库存（子SKU）'!$C:$C,$A40,'库存（子SKU）'!AD:AD)</f>
        <v>1.22</v>
      </c>
      <c r="AC40">
        <f>SUMIF('库存（子SKU）'!$C:$C,$A40,'库存（子SKU）'!AE:AE)</f>
        <v>3.85</v>
      </c>
      <c r="AD40" s="23" t="str">
        <f t="shared" si="2"/>
        <v>无销量广告费为202.38</v>
      </c>
      <c r="AE40" s="23" t="str">
        <f t="shared" si="3"/>
        <v>无销量广告费为202.38</v>
      </c>
      <c r="AF40" s="23" t="str">
        <f t="shared" si="4"/>
        <v>无销量广告费为1.22</v>
      </c>
      <c r="AG40" s="23" t="str">
        <f t="shared" si="5"/>
        <v>无销量广告费为3.85</v>
      </c>
      <c r="AH40">
        <f>SUMIF('库存（子SKU）'!$C:$C,$A40,'库存（子SKU）'!AJ:AJ)</f>
        <v>67</v>
      </c>
      <c r="AI40">
        <f>SUMIF('库存（子SKU）'!$C:$C,$A40,'库存（子SKU）'!AK:AK)</f>
        <v>42</v>
      </c>
      <c r="AJ40">
        <f>SUMIF('库存（子SKU）'!$C:$C,$A40,'库存（子SKU）'!AL:AL)</f>
        <v>22</v>
      </c>
      <c r="AK40">
        <f>SUMIF('库存（子SKU）'!$C:$C,$A40,'库存（子SKU）'!AM:AM)</f>
        <v>34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3</v>
      </c>
      <c r="AS40" t="str">
        <f t="shared" si="13"/>
        <v>库存为3</v>
      </c>
      <c r="AT40" s="2" t="str">
        <f>IFERROR(时间!$B$4+AS40,"上周无销量")</f>
        <v>上周无销量</v>
      </c>
    </row>
    <row r="41" spans="1:46">
      <c r="A41" t="s">
        <v>244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1</v>
      </c>
      <c r="E41" s="5">
        <f>SUMIF('库存（子SKU）'!$C:$C,$A41,'库存（子SKU）'!G:G)</f>
        <v>0</v>
      </c>
      <c r="F41" s="6">
        <v>99.6</v>
      </c>
      <c r="G41">
        <f>SUMIF('库存（子SKU）'!$C:$C,$A41,'库存（子SKU）'!I:I)</f>
        <v>26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26</v>
      </c>
      <c r="L41">
        <f>SUMIF('库存（子SKU）'!$C:$C,$A41,'库存（子SKU）'!N:N)</f>
        <v>1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>
        <f t="shared" si="4"/>
        <v>0</v>
      </c>
      <c r="AG41" s="23" t="str">
        <f t="shared" si="5"/>
        <v/>
      </c>
      <c r="AH41">
        <f>SUMIF('库存（子SKU）'!$C:$C,$A41,'库存（子SKU）'!AJ:AJ)</f>
        <v>37</v>
      </c>
      <c r="AI41">
        <f>SUMIF('库存（子SKU）'!$C:$C,$A41,'库存（子SKU）'!AK:AK)</f>
        <v>31</v>
      </c>
      <c r="AJ41">
        <f>SUMIF('库存（子SKU）'!$C:$C,$A41,'库存（子SKU）'!AL:AL)</f>
        <v>31</v>
      </c>
      <c r="AK41">
        <f>SUMIF('库存（子SKU）'!$C:$C,$A41,'库存（子SKU）'!AM:AM)</f>
        <v>25</v>
      </c>
      <c r="AL41" s="23">
        <f t="shared" si="6"/>
        <v>0</v>
      </c>
      <c r="AM41" s="23">
        <f t="shared" si="7"/>
        <v>0</v>
      </c>
      <c r="AN41" s="23">
        <f t="shared" si="8"/>
        <v>0.032258064516129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26</v>
      </c>
      <c r="AS41" t="str">
        <f t="shared" si="13"/>
        <v>库存为26</v>
      </c>
      <c r="AT41" s="2" t="str">
        <f>IFERROR(时间!$B$4+AS41,"上周无销量")</f>
        <v>上周无销量</v>
      </c>
    </row>
    <row r="42" spans="1:46">
      <c r="A42" t="s">
        <v>247</v>
      </c>
      <c r="B42" s="5">
        <f>SUMIF('库存（子SKU）'!$C:$C,$A42,'库存（子SKU）'!D:D)</f>
        <v>3</v>
      </c>
      <c r="C42" s="5">
        <f>SUMIF('库存（子SKU）'!$C:$C,$A42,'库存（子SKU）'!E:E)</f>
        <v>2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v>69.99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2</v>
      </c>
      <c r="N42">
        <f>SUMIF('库存（子SKU）'!$C:$C,$A42,'库存（子SKU）'!P:P)</f>
        <v>152059</v>
      </c>
      <c r="O42">
        <f>SUMIF('库存（子SKU）'!$C:$C,$A42,'库存（子SKU）'!Q:Q)</f>
        <v>152059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544</v>
      </c>
      <c r="S42">
        <f>SUMIF('库存（子SKU）'!$C:$C,$A42,'库存（子SKU）'!U:U)</f>
        <v>544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>
        <f t="shared" si="15"/>
        <v>0.00357755871076359</v>
      </c>
      <c r="W42" s="23">
        <f t="shared" si="16"/>
        <v>0.00357755871076359</v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88.02</v>
      </c>
      <c r="AA42">
        <f>SUMIF('库存（子SKU）'!$C:$C,$A42,'库存（子SKU）'!AC:AC)</f>
        <v>88.02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0.419202743249036</v>
      </c>
      <c r="AE42" s="23">
        <f t="shared" si="3"/>
        <v>0.628804114873553</v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129</v>
      </c>
      <c r="AI42">
        <f>SUMIF('库存（子SKU）'!$C:$C,$A42,'库存（子SKU）'!AK:AK)</f>
        <v>75</v>
      </c>
      <c r="AJ42">
        <f>SUMIF('库存（子SKU）'!$C:$C,$A42,'库存（子SKU）'!AL:AL)</f>
        <v>46</v>
      </c>
      <c r="AK42">
        <f>SUMIF('库存（子SKU）'!$C:$C,$A42,'库存（子SKU）'!AM:AM)</f>
        <v>54</v>
      </c>
      <c r="AL42" s="23">
        <f t="shared" si="6"/>
        <v>0.0232558139534884</v>
      </c>
      <c r="AM42" s="23">
        <f t="shared" si="7"/>
        <v>0.0266666666666667</v>
      </c>
      <c r="AN42" s="23">
        <f t="shared" si="8"/>
        <v>0</v>
      </c>
      <c r="AO42" s="23">
        <f t="shared" si="9"/>
        <v>0</v>
      </c>
      <c r="AP42" s="7">
        <f t="shared" si="10"/>
        <v>0.428571428571429</v>
      </c>
      <c r="AQ42" s="7">
        <f t="shared" si="11"/>
        <v>25.7142857142857</v>
      </c>
      <c r="AR42" s="7">
        <f t="shared" si="12"/>
        <v>-25.7142857142857</v>
      </c>
      <c r="AS42">
        <f t="shared" si="13"/>
        <v>0</v>
      </c>
      <c r="AT42" s="2">
        <f>IFERROR(时间!$B$4+AS42,"上周无销量")</f>
        <v>43325</v>
      </c>
    </row>
    <row r="43" spans="1:46">
      <c r="A43" t="s">
        <v>253</v>
      </c>
      <c r="B43" s="5">
        <f>SUMIF('库存（子SKU）'!$C:$C,$A43,'库存（子SKU）'!D:D)</f>
        <v>0</v>
      </c>
      <c r="C43" s="5">
        <f>SUMIF('库存（子SKU）'!$C:$C,$A43,'库存（子SKU）'!E:E)</f>
        <v>1</v>
      </c>
      <c r="D43" s="5">
        <f>SUMIF('库存（子SKU）'!$C:$C,$A43,'库存（子SKU）'!F:F)</f>
        <v>0</v>
      </c>
      <c r="E43" s="5">
        <f>SUMIF('库存（子SKU）'!$C:$C,$A43,'库存（子SKU）'!G:G)</f>
        <v>2</v>
      </c>
      <c r="F43" s="6">
        <v>85.99</v>
      </c>
      <c r="G43">
        <f>SUMIF('库存（子SKU）'!$C:$C,$A43,'库存（子SKU）'!I:I)</f>
        <v>6</v>
      </c>
      <c r="H43">
        <f>SUMIF('库存（子SKU）'!$C:$C,$A43,'库存（子SKU）'!J:J)</f>
        <v>5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11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62824</v>
      </c>
      <c r="O43">
        <f>SUMIF('库存（子SKU）'!$C:$C,$A43,'库存（子SKU）'!Q:Q)</f>
        <v>62955</v>
      </c>
      <c r="P43">
        <f>SUMIF('库存（子SKU）'!$C:$C,$A43,'库存（子SKU）'!R:R)</f>
        <v>16167</v>
      </c>
      <c r="Q43">
        <f>SUMIF('库存（子SKU）'!$C:$C,$A43,'库存（子SKU）'!S:S)</f>
        <v>23445</v>
      </c>
      <c r="R43">
        <f>SUMIF('库存（子SKU）'!$C:$C,$A43,'库存（子SKU）'!T:T)</f>
        <v>283</v>
      </c>
      <c r="S43">
        <f>SUMIF('库存（子SKU）'!$C:$C,$A43,'库存（子SKU）'!U:U)</f>
        <v>284</v>
      </c>
      <c r="T43">
        <f>SUMIF('库存（子SKU）'!$C:$C,$A43,'库存（子SKU）'!V:V)</f>
        <v>63</v>
      </c>
      <c r="U43">
        <f>SUMIF('库存（子SKU）'!$C:$C,$A43,'库存（子SKU）'!W:W)</f>
        <v>117</v>
      </c>
      <c r="V43" s="23">
        <f t="shared" si="15"/>
        <v>0.00450464790525914</v>
      </c>
      <c r="W43" s="23">
        <f t="shared" si="16"/>
        <v>0.00451115876419665</v>
      </c>
      <c r="X43" s="23">
        <f t="shared" si="17"/>
        <v>0.00389682686954908</v>
      </c>
      <c r="Y43" s="23">
        <f t="shared" si="18"/>
        <v>0.00499040307101727</v>
      </c>
      <c r="Z43">
        <f>SUMIF('库存（子SKU）'!$C:$C,$A43,'库存（子SKU）'!AB:AB)</f>
        <v>57.21</v>
      </c>
      <c r="AA43">
        <f>SUMIF('库存（子SKU）'!$C:$C,$A43,'库存（子SKU）'!AC:AC)</f>
        <v>57.36</v>
      </c>
      <c r="AB43">
        <f>SUMIF('库存（子SKU）'!$C:$C,$A43,'库存（子SKU）'!AD:AD)</f>
        <v>11.85</v>
      </c>
      <c r="AC43">
        <f>SUMIF('库存（子SKU）'!$C:$C,$A43,'库存（子SKU）'!AE:AE)</f>
        <v>25.58</v>
      </c>
      <c r="AD43" s="23" t="str">
        <f t="shared" si="2"/>
        <v>无销量广告费为57.21</v>
      </c>
      <c r="AE43" s="23">
        <f t="shared" si="3"/>
        <v>0.66705430864054</v>
      </c>
      <c r="AF43" s="23" t="str">
        <f t="shared" si="4"/>
        <v>无销量广告费为11.85</v>
      </c>
      <c r="AG43" s="23">
        <f t="shared" si="5"/>
        <v>0.148738225375044</v>
      </c>
      <c r="AH43">
        <f>SUMIF('库存（子SKU）'!$C:$C,$A43,'库存（子SKU）'!AJ:AJ)</f>
        <v>106</v>
      </c>
      <c r="AI43">
        <f>SUMIF('库存（子SKU）'!$C:$C,$A43,'库存（子SKU）'!AK:AK)</f>
        <v>71</v>
      </c>
      <c r="AJ43">
        <f>SUMIF('库存（子SKU）'!$C:$C,$A43,'库存（子SKU）'!AL:AL)</f>
        <v>81</v>
      </c>
      <c r="AK43">
        <f>SUMIF('库存（子SKU）'!$C:$C,$A43,'库存（子SKU）'!AM:AM)</f>
        <v>107</v>
      </c>
      <c r="AL43" s="23">
        <f t="shared" si="6"/>
        <v>0</v>
      </c>
      <c r="AM43" s="23">
        <f t="shared" si="7"/>
        <v>0.0140845070422535</v>
      </c>
      <c r="AN43" s="23">
        <f t="shared" si="8"/>
        <v>0</v>
      </c>
      <c r="AO43" s="23">
        <f t="shared" si="9"/>
        <v>0.0186915887850467</v>
      </c>
      <c r="AP43" s="7">
        <f t="shared" si="10"/>
        <v>0</v>
      </c>
      <c r="AQ43" s="7">
        <f t="shared" si="11"/>
        <v>0</v>
      </c>
      <c r="AR43" s="7">
        <f t="shared" si="12"/>
        <v>11</v>
      </c>
      <c r="AS43" t="str">
        <f t="shared" si="13"/>
        <v>库存为11</v>
      </c>
      <c r="AT43" s="2" t="str">
        <f>IFERROR(时间!$B$4+AS43,"上周无销量")</f>
        <v>上周无销量</v>
      </c>
    </row>
    <row r="44" spans="1:46">
      <c r="A44" t="s">
        <v>258</v>
      </c>
      <c r="B44" s="5">
        <f>SUMIF('库存（子SKU）'!$C:$C,$A44,'库存（子SKU）'!D:D)</f>
        <v>2</v>
      </c>
      <c r="C44" s="5">
        <f>SUMIF('库存（子SKU）'!$C:$C,$A44,'库存（子SKU）'!E:E)</f>
        <v>0</v>
      </c>
      <c r="D44" s="5">
        <f>SUMIF('库存（子SKU）'!$C:$C,$A44,'库存（子SKU）'!F:F)</f>
        <v>1</v>
      </c>
      <c r="E44" s="5">
        <f>SUMIF('库存（子SKU）'!$C:$C,$A44,'库存（子SKU）'!G:G)</f>
        <v>3</v>
      </c>
      <c r="F44" s="6">
        <v>89.99</v>
      </c>
      <c r="G44">
        <f>SUMIF('库存（子SKU）'!$C:$C,$A44,'库存（子SKU）'!I:I)</f>
        <v>10</v>
      </c>
      <c r="H44">
        <f>SUMIF('库存（子SKU）'!$C:$C,$A44,'库存（子SKU）'!J:J)</f>
        <v>5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15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151772</v>
      </c>
      <c r="O44">
        <f>SUMIF('库存（子SKU）'!$C:$C,$A44,'库存（子SKU）'!Q:Q)</f>
        <v>152205</v>
      </c>
      <c r="P44">
        <f>SUMIF('库存（子SKU）'!$C:$C,$A44,'库存（子SKU）'!R:R)</f>
        <v>25990</v>
      </c>
      <c r="Q44">
        <f>SUMIF('库存（子SKU）'!$C:$C,$A44,'库存（子SKU）'!S:S)</f>
        <v>64599</v>
      </c>
      <c r="R44">
        <f>SUMIF('库存（子SKU）'!$C:$C,$A44,'库存（子SKU）'!T:T)</f>
        <v>697</v>
      </c>
      <c r="S44">
        <f>SUMIF('库存（子SKU）'!$C:$C,$A44,'库存（子SKU）'!U:U)</f>
        <v>697</v>
      </c>
      <c r="T44">
        <f>SUMIF('库存（子SKU）'!$C:$C,$A44,'库存（子SKU）'!V:V)</f>
        <v>114</v>
      </c>
      <c r="U44">
        <f>SUMIF('库存（子SKU）'!$C:$C,$A44,'库存（子SKU）'!W:W)</f>
        <v>251</v>
      </c>
      <c r="V44" s="23">
        <f t="shared" si="15"/>
        <v>0.00459241493819677</v>
      </c>
      <c r="W44" s="23">
        <f t="shared" si="16"/>
        <v>0.00457935021845537</v>
      </c>
      <c r="X44" s="23">
        <f t="shared" si="17"/>
        <v>0.00438630242400923</v>
      </c>
      <c r="Y44" s="23">
        <f t="shared" si="18"/>
        <v>0.0038855090636078</v>
      </c>
      <c r="Z44">
        <f>SUMIF('库存（子SKU）'!$C:$C,$A44,'库存（子SKU）'!AB:AB)</f>
        <v>142.57</v>
      </c>
      <c r="AA44">
        <f>SUMIF('库存（子SKU）'!$C:$C,$A44,'库存（子SKU）'!AC:AC)</f>
        <v>142.57</v>
      </c>
      <c r="AB44">
        <f>SUMIF('库存（子SKU）'!$C:$C,$A44,'库存（子SKU）'!AD:AD)</f>
        <v>17.43</v>
      </c>
      <c r="AC44">
        <f>SUMIF('库存（子SKU）'!$C:$C,$A44,'库存（子SKU）'!AE:AE)</f>
        <v>75.46</v>
      </c>
      <c r="AD44" s="23">
        <f t="shared" si="2"/>
        <v>0.792143571507945</v>
      </c>
      <c r="AE44" s="23" t="str">
        <f t="shared" si="3"/>
        <v>无销量广告费为142.57</v>
      </c>
      <c r="AF44" s="23">
        <f t="shared" si="4"/>
        <v>0.193688187576397</v>
      </c>
      <c r="AG44" s="23">
        <f t="shared" si="5"/>
        <v>0.279512538430196</v>
      </c>
      <c r="AH44">
        <f>SUMIF('库存（子SKU）'!$C:$C,$A44,'库存（子SKU）'!AJ:AJ)</f>
        <v>350</v>
      </c>
      <c r="AI44">
        <f>SUMIF('库存（子SKU）'!$C:$C,$A44,'库存（子SKU）'!AK:AK)</f>
        <v>266</v>
      </c>
      <c r="AJ44">
        <f>SUMIF('库存（子SKU）'!$C:$C,$A44,'库存（子SKU）'!AL:AL)</f>
        <v>136</v>
      </c>
      <c r="AK44">
        <f>SUMIF('库存（子SKU）'!$C:$C,$A44,'库存（子SKU）'!AM:AM)</f>
        <v>301</v>
      </c>
      <c r="AL44" s="23">
        <f t="shared" si="6"/>
        <v>0.00571428571428571</v>
      </c>
      <c r="AM44" s="23">
        <f t="shared" si="7"/>
        <v>0</v>
      </c>
      <c r="AN44" s="23">
        <f t="shared" si="8"/>
        <v>0.00735294117647059</v>
      </c>
      <c r="AO44" s="23">
        <f t="shared" si="9"/>
        <v>0.00996677740863787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-2.14285714285714</v>
      </c>
      <c r="AS44">
        <f t="shared" si="13"/>
        <v>52</v>
      </c>
      <c r="AT44" s="2">
        <f>IFERROR(时间!$B$4+AS44,"上周无销量")</f>
        <v>43377</v>
      </c>
    </row>
    <row r="45" spans="1:46">
      <c r="A45" t="s">
        <v>263</v>
      </c>
      <c r="B45" s="5">
        <f>SUMIF('库存（子SKU）'!$C:$C,$A45,'库存（子SKU）'!D:D)</f>
        <v>0</v>
      </c>
      <c r="C45" s="5">
        <f>SUMIF('库存（子SKU）'!$C:$C,$A45,'库存（子SKU）'!E:E)</f>
        <v>1</v>
      </c>
      <c r="D45" s="5">
        <f>SUMIF('库存（子SKU）'!$C:$C,$A45,'库存（子SKU）'!F:F)</f>
        <v>0</v>
      </c>
      <c r="E45" s="5">
        <f>SUMIF('库存（子SKU）'!$C:$C,$A45,'库存（子SKU）'!G:G)</f>
        <v>1</v>
      </c>
      <c r="F45" s="6">
        <v>79.99</v>
      </c>
      <c r="G45">
        <f>SUMIF('库存（子SKU）'!$C:$C,$A45,'库存（子SKU）'!I:I)</f>
        <v>5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5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2394</v>
      </c>
      <c r="O45">
        <f>SUMIF('库存（子SKU）'!$C:$C,$A45,'库存（子SKU）'!Q:Q)</f>
        <v>2404</v>
      </c>
      <c r="P45">
        <f>SUMIF('库存（子SKU）'!$C:$C,$A45,'库存（子SKU）'!R:R)</f>
        <v>2210</v>
      </c>
      <c r="Q45">
        <f>SUMIF('库存（子SKU）'!$C:$C,$A45,'库存（子SKU）'!S:S)</f>
        <v>0</v>
      </c>
      <c r="R45">
        <f>SUMIF('库存（子SKU）'!$C:$C,$A45,'库存（子SKU）'!T:T)</f>
        <v>31</v>
      </c>
      <c r="S45">
        <f>SUMIF('库存（子SKU）'!$C:$C,$A45,'库存（子SKU）'!U:U)</f>
        <v>32</v>
      </c>
      <c r="T45">
        <f>SUMIF('库存（子SKU）'!$C:$C,$A45,'库存（子SKU）'!V:V)</f>
        <v>28</v>
      </c>
      <c r="U45">
        <f>SUMIF('库存（子SKU）'!$C:$C,$A45,'库存（子SKU）'!W:W)</f>
        <v>0</v>
      </c>
      <c r="V45" s="23">
        <f t="shared" si="15"/>
        <v>0.0129490392648287</v>
      </c>
      <c r="W45" s="23">
        <f t="shared" si="16"/>
        <v>0.0133111480865225</v>
      </c>
      <c r="X45" s="23">
        <f t="shared" si="17"/>
        <v>0.0126696832579186</v>
      </c>
      <c r="Y45" s="23" t="str">
        <f t="shared" si="18"/>
        <v/>
      </c>
      <c r="Z45">
        <f>SUMIF('库存（子SKU）'!$C:$C,$A45,'库存（子SKU）'!AB:AB)</f>
        <v>7.94</v>
      </c>
      <c r="AA45">
        <f>SUMIF('库存（子SKU）'!$C:$C,$A45,'库存（子SKU）'!AC:AC)</f>
        <v>8.23</v>
      </c>
      <c r="AB45">
        <f>SUMIF('库存（子SKU）'!$C:$C,$A45,'库存（子SKU）'!AD:AD)</f>
        <v>7.07</v>
      </c>
      <c r="AC45">
        <f>SUMIF('库存（子SKU）'!$C:$C,$A45,'库存（子SKU）'!AE:AE)</f>
        <v>0</v>
      </c>
      <c r="AD45" s="23" t="str">
        <f t="shared" si="2"/>
        <v>无销量广告费为7.94</v>
      </c>
      <c r="AE45" s="23">
        <f t="shared" si="3"/>
        <v>0.102887860982623</v>
      </c>
      <c r="AF45" s="23" t="str">
        <f t="shared" si="4"/>
        <v>无销量广告费为7.07</v>
      </c>
      <c r="AG45" s="23">
        <f t="shared" si="5"/>
        <v>0</v>
      </c>
      <c r="AH45">
        <f>SUMIF('库存（子SKU）'!$C:$C,$A45,'库存（子SKU）'!AJ:AJ)</f>
        <v>192</v>
      </c>
      <c r="AI45">
        <f>SUMIF('库存（子SKU）'!$C:$C,$A45,'库存（子SKU）'!AK:AK)</f>
        <v>39</v>
      </c>
      <c r="AJ45">
        <f>SUMIF('库存（子SKU）'!$C:$C,$A45,'库存（子SKU）'!AL:AL)</f>
        <v>54</v>
      </c>
      <c r="AK45">
        <f>SUMIF('库存（子SKU）'!$C:$C,$A45,'库存（子SKU）'!AM:AM)</f>
        <v>32</v>
      </c>
      <c r="AL45" s="23">
        <f t="shared" si="6"/>
        <v>0</v>
      </c>
      <c r="AM45" s="23">
        <f t="shared" si="7"/>
        <v>0.0256410256410256</v>
      </c>
      <c r="AN45" s="23">
        <f t="shared" si="8"/>
        <v>0</v>
      </c>
      <c r="AO45" s="23">
        <f t="shared" si="9"/>
        <v>0.03125</v>
      </c>
      <c r="AP45" s="7">
        <f t="shared" si="10"/>
        <v>0</v>
      </c>
      <c r="AQ45" s="7">
        <f t="shared" si="11"/>
        <v>0</v>
      </c>
      <c r="AR45" s="7">
        <f t="shared" si="12"/>
        <v>5</v>
      </c>
      <c r="AS45" t="str">
        <f t="shared" si="13"/>
        <v>库存为5</v>
      </c>
      <c r="AT45" s="2" t="str">
        <f>IFERROR(时间!$B$4+AS45,"上周无销量")</f>
        <v>上周无销量</v>
      </c>
    </row>
    <row r="46" spans="1:46">
      <c r="A46" t="s">
        <v>271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57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1776</v>
      </c>
      <c r="O46">
        <f>SUMIF('库存（子SKU）'!$C:$C,$A46,'库存（子SKU）'!Q:Q)</f>
        <v>1831</v>
      </c>
      <c r="P46">
        <f>SUMIF('库存（子SKU）'!$C:$C,$A46,'库存（子SKU）'!R:R)</f>
        <v>211</v>
      </c>
      <c r="Q46">
        <f>SUMIF('库存（子SKU）'!$C:$C,$A46,'库存（子SKU）'!S:S)</f>
        <v>75</v>
      </c>
      <c r="R46">
        <f>SUMIF('库存（子SKU）'!$C:$C,$A46,'库存（子SKU）'!T:T)</f>
        <v>8</v>
      </c>
      <c r="S46">
        <f>SUMIF('库存（子SKU）'!$C:$C,$A46,'库存（子SKU）'!U:U)</f>
        <v>8</v>
      </c>
      <c r="T46">
        <f>SUMIF('库存（子SKU）'!$C:$C,$A46,'库存（子SKU）'!V:V)</f>
        <v>0</v>
      </c>
      <c r="U46">
        <f>SUMIF('库存（子SKU）'!$C:$C,$A46,'库存（子SKU）'!W:W)</f>
        <v>1</v>
      </c>
      <c r="V46" s="23">
        <f t="shared" si="15"/>
        <v>0.0045045045045045</v>
      </c>
      <c r="W46" s="23">
        <f t="shared" si="16"/>
        <v>0.00436919716002185</v>
      </c>
      <c r="X46" s="23">
        <f t="shared" si="17"/>
        <v>0</v>
      </c>
      <c r="Y46" s="23">
        <f t="shared" si="18"/>
        <v>0.0133333333333333</v>
      </c>
      <c r="Z46">
        <f>SUMIF('库存（子SKU）'!$C:$C,$A46,'库存（子SKU）'!AB:AB)</f>
        <v>3.09</v>
      </c>
      <c r="AA46">
        <f>SUMIF('库存（子SKU）'!$C:$C,$A46,'库存（子SKU）'!AC:AC)</f>
        <v>3.09</v>
      </c>
      <c r="AB46">
        <f>SUMIF('库存（子SKU）'!$C:$C,$A46,'库存（子SKU）'!AD:AD)</f>
        <v>0</v>
      </c>
      <c r="AC46">
        <f>SUMIF('库存（子SKU）'!$C:$C,$A46,'库存（子SKU）'!AE:AE)</f>
        <v>0.25</v>
      </c>
      <c r="AD46" s="23" t="str">
        <f t="shared" si="2"/>
        <v>无销量广告费为3.09</v>
      </c>
      <c r="AE46" s="23" t="str">
        <f t="shared" si="3"/>
        <v>无销量广告费为3.09</v>
      </c>
      <c r="AF46" s="23" t="str">
        <f t="shared" si="4"/>
        <v/>
      </c>
      <c r="AG46" s="23" t="str">
        <f t="shared" si="5"/>
        <v>无销量广告费为0.25</v>
      </c>
      <c r="AH46">
        <f>SUMIF('库存（子SKU）'!$C:$C,$A46,'库存（子SKU）'!AJ:AJ)</f>
        <v>12</v>
      </c>
      <c r="AI46">
        <f>SUMIF('库存（子SKU）'!$C:$C,$A46,'库存（子SKU）'!AK:AK)</f>
        <v>31</v>
      </c>
      <c r="AJ46">
        <f>SUMIF('库存（子SKU）'!$C:$C,$A46,'库存（子SKU）'!AL:AL)</f>
        <v>1</v>
      </c>
      <c r="AK46">
        <f>SUMIF('库存（子SKU）'!$C:$C,$A46,'库存（子SKU）'!AM:AM)</f>
        <v>2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276</v>
      </c>
      <c r="B47" s="5">
        <f>SUMIF('库存（子SKU）'!$C:$C,$A47,'库存（子SKU）'!D:D)</f>
        <v>1</v>
      </c>
      <c r="C47" s="5">
        <f>SUMIF('库存（子SKU）'!$C:$C,$A47,'库存（子SKU）'!E:E)</f>
        <v>2</v>
      </c>
      <c r="D47" s="5">
        <f>SUMIF('库存（子SKU）'!$C:$C,$A47,'库存（子SKU）'!F:F)</f>
        <v>1</v>
      </c>
      <c r="E47" s="5">
        <f>SUMIF('库存（子SKU）'!$C:$C,$A47,'库存（子SKU）'!G:G)</f>
        <v>2</v>
      </c>
      <c r="F47" s="6">
        <v>92.795</v>
      </c>
      <c r="G47">
        <f>SUMIF('库存（子SKU）'!$C:$C,$A47,'库存（子SKU）'!I:I)</f>
        <v>13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1</v>
      </c>
      <c r="K47">
        <f t="shared" si="0"/>
        <v>14</v>
      </c>
      <c r="L47">
        <f>SUMIF('库存（子SKU）'!$C:$C,$A47,'库存（子SKU）'!N:N)</f>
        <v>1</v>
      </c>
      <c r="M47">
        <f>SUMIF('库存（子SKU）'!$C:$C,$A47,'库存（子SKU）'!O:O)</f>
        <v>2</v>
      </c>
      <c r="N47">
        <f>SUMIF('库存（子SKU）'!$C:$C,$A47,'库存（子SKU）'!P:P)</f>
        <v>142828</v>
      </c>
      <c r="O47">
        <f>SUMIF('库存（子SKU）'!$C:$C,$A47,'库存（子SKU）'!Q:Q)</f>
        <v>143089</v>
      </c>
      <c r="P47">
        <f>SUMIF('库存（子SKU）'!$C:$C,$A47,'库存（子SKU）'!R:R)</f>
        <v>25132</v>
      </c>
      <c r="Q47">
        <f>SUMIF('库存（子SKU）'!$C:$C,$A47,'库存（子SKU）'!S:S)</f>
        <v>38995</v>
      </c>
      <c r="R47">
        <f>SUMIF('库存（子SKU）'!$C:$C,$A47,'库存（子SKU）'!T:T)</f>
        <v>538</v>
      </c>
      <c r="S47">
        <f>SUMIF('库存（子SKU）'!$C:$C,$A47,'库存（子SKU）'!U:U)</f>
        <v>540</v>
      </c>
      <c r="T47">
        <f>SUMIF('库存（子SKU）'!$C:$C,$A47,'库存（子SKU）'!V:V)</f>
        <v>95</v>
      </c>
      <c r="U47">
        <f>SUMIF('库存（子SKU）'!$C:$C,$A47,'库存（子SKU）'!W:W)</f>
        <v>102</v>
      </c>
      <c r="V47" s="23">
        <f t="shared" si="15"/>
        <v>0.00376676842075783</v>
      </c>
      <c r="W47" s="23">
        <f t="shared" si="16"/>
        <v>0.00377387500087358</v>
      </c>
      <c r="X47" s="23">
        <f t="shared" si="17"/>
        <v>0.00378004138150565</v>
      </c>
      <c r="Y47" s="23">
        <f t="shared" si="18"/>
        <v>0.00261571996409796</v>
      </c>
      <c r="Z47">
        <f>SUMIF('库存（子SKU）'!$C:$C,$A47,'库存（子SKU）'!AB:AB)</f>
        <v>141.65</v>
      </c>
      <c r="AA47">
        <f>SUMIF('库存（子SKU）'!$C:$C,$A47,'库存（子SKU）'!AC:AC)</f>
        <v>142.46</v>
      </c>
      <c r="AB47">
        <f>SUMIF('库存（子SKU）'!$C:$C,$A47,'库存（子SKU）'!AD:AD)</f>
        <v>29.5</v>
      </c>
      <c r="AC47">
        <f>SUMIF('库存（子SKU）'!$C:$C,$A47,'库存（子SKU）'!AE:AE)</f>
        <v>52.2</v>
      </c>
      <c r="AD47" s="23">
        <f t="shared" si="2"/>
        <v>1.52648310792607</v>
      </c>
      <c r="AE47" s="23">
        <f t="shared" si="3"/>
        <v>0.767606013255024</v>
      </c>
      <c r="AF47" s="23">
        <f t="shared" si="4"/>
        <v>0.317905059539846</v>
      </c>
      <c r="AG47" s="23">
        <f t="shared" si="5"/>
        <v>0.281265154372542</v>
      </c>
      <c r="AH47">
        <f>SUMIF('库存（子SKU）'!$C:$C,$A47,'库存（子SKU）'!AJ:AJ)</f>
        <v>182</v>
      </c>
      <c r="AI47">
        <f>SUMIF('库存（子SKU）'!$C:$C,$A47,'库存（子SKU）'!AK:AK)</f>
        <v>273</v>
      </c>
      <c r="AJ47">
        <f>SUMIF('库存（子SKU）'!$C:$C,$A47,'库存（子SKU）'!AL:AL)</f>
        <v>159</v>
      </c>
      <c r="AK47">
        <f>SUMIF('库存（子SKU）'!$C:$C,$A47,'库存（子SKU）'!AM:AM)</f>
        <v>188</v>
      </c>
      <c r="AL47" s="23">
        <f t="shared" si="6"/>
        <v>0.00549450549450549</v>
      </c>
      <c r="AM47" s="23">
        <f t="shared" si="7"/>
        <v>0.00732600732600733</v>
      </c>
      <c r="AN47" s="23">
        <f t="shared" si="8"/>
        <v>0.00628930817610063</v>
      </c>
      <c r="AO47" s="23">
        <f t="shared" si="9"/>
        <v>0.0106382978723404</v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5.42857142857143</v>
      </c>
      <c r="AS47">
        <f t="shared" si="13"/>
        <v>98</v>
      </c>
      <c r="AT47" s="2">
        <f>IFERROR(时间!$B$4+AS47,"上周无销量")</f>
        <v>43423</v>
      </c>
    </row>
    <row r="48" spans="1:46">
      <c r="A48" t="s">
        <v>284</v>
      </c>
      <c r="B48" s="5">
        <f>SUMIF('库存（子SKU）'!$C:$C,$A48,'库存（子SKU）'!D:D)</f>
        <v>0</v>
      </c>
      <c r="C48" s="5">
        <f>SUMIF('库存（子SKU）'!$C:$C,$A48,'库存（子SKU）'!E:E)</f>
        <v>2</v>
      </c>
      <c r="D48" s="5">
        <f>SUMIF('库存（子SKU）'!$C:$C,$A48,'库存（子SKU）'!F:F)</f>
        <v>1</v>
      </c>
      <c r="E48" s="5">
        <f>SUMIF('库存（子SKU）'!$C:$C,$A48,'库存（子SKU）'!G:G)</f>
        <v>0</v>
      </c>
      <c r="F48" s="6">
        <v>79.99</v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>
        <f t="shared" si="3"/>
        <v>0</v>
      </c>
      <c r="AF48" s="23">
        <f t="shared" si="4"/>
        <v>0</v>
      </c>
      <c r="AG48" s="23" t="str">
        <f t="shared" si="5"/>
        <v/>
      </c>
      <c r="AH48">
        <f>SUMIF('库存（子SKU）'!$C:$C,$A48,'库存（子SKU）'!AJ:AJ)</f>
        <v>11</v>
      </c>
      <c r="AI48">
        <f>SUMIF('库存（子SKU）'!$C:$C,$A48,'库存（子SKU）'!AK:AK)</f>
        <v>21</v>
      </c>
      <c r="AJ48">
        <f>SUMIF('库存（子SKU）'!$C:$C,$A48,'库存（子SKU）'!AL:AL)</f>
        <v>15</v>
      </c>
      <c r="AK48">
        <f>SUMIF('库存（子SKU）'!$C:$C,$A48,'库存（子SKU）'!AM:AM)</f>
        <v>16</v>
      </c>
      <c r="AL48" s="23">
        <f t="shared" si="6"/>
        <v>0</v>
      </c>
      <c r="AM48" s="23">
        <f t="shared" si="7"/>
        <v>0.0952380952380952</v>
      </c>
      <c r="AN48" s="23">
        <f t="shared" si="8"/>
        <v>0.0666666666666667</v>
      </c>
      <c r="AO48" s="23">
        <f t="shared" si="9"/>
        <v>0</v>
      </c>
      <c r="AP48" s="7">
        <f t="shared" si="10"/>
        <v>0</v>
      </c>
      <c r="AQ48" s="7">
        <f t="shared" si="11"/>
        <v>0</v>
      </c>
      <c r="AR48" s="7">
        <f t="shared" si="12"/>
        <v>2</v>
      </c>
      <c r="AS48" t="str">
        <f t="shared" si="13"/>
        <v>库存为2</v>
      </c>
      <c r="AT48" s="2" t="str">
        <f>IFERROR(时间!$B$4+AS48,"上周无销量")</f>
        <v>上周无销量</v>
      </c>
    </row>
    <row r="49" spans="1:46">
      <c r="A49" t="s">
        <v>287</v>
      </c>
      <c r="B49" s="5">
        <f>SUMIF('库存（子SKU）'!$C:$C,$A49,'库存（子SKU）'!D:D)</f>
        <v>6</v>
      </c>
      <c r="C49" s="5">
        <f>SUMIF('库存（子SKU）'!$C:$C,$A49,'库存（子SKU）'!E:E)</f>
        <v>9</v>
      </c>
      <c r="D49" s="5">
        <f>SUMIF('库存（子SKU）'!$C:$C,$A49,'库存（子SKU）'!F:F)</f>
        <v>13</v>
      </c>
      <c r="E49" s="5">
        <f>SUMIF('库存（子SKU）'!$C:$C,$A49,'库存（子SKU）'!G:G)</f>
        <v>15</v>
      </c>
      <c r="F49" s="6">
        <v>89.99</v>
      </c>
      <c r="G49">
        <f>SUMIF('库存（子SKU）'!$C:$C,$A49,'库存（子SKU）'!I:I)</f>
        <v>55</v>
      </c>
      <c r="H49">
        <f>SUMIF('库存（子SKU）'!$C:$C,$A49,'库存（子SKU）'!J:J)</f>
        <v>12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67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23998</v>
      </c>
      <c r="O49">
        <f>SUMIF('库存（子SKU）'!$C:$C,$A49,'库存（子SKU）'!Q:Q)</f>
        <v>23998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138</v>
      </c>
      <c r="S49">
        <f>SUMIF('库存（子SKU）'!$C:$C,$A49,'库存（子SKU）'!U:U)</f>
        <v>138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>
        <f t="shared" si="15"/>
        <v>0.00575047920660055</v>
      </c>
      <c r="W49" s="23">
        <f t="shared" si="16"/>
        <v>0.00575047920660055</v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19.3</v>
      </c>
      <c r="AA49">
        <f>SUMIF('库存（子SKU）'!$C:$C,$A49,'库存（子SKU）'!AC:AC)</f>
        <v>19.3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>
        <f t="shared" si="2"/>
        <v>0.0357447123754491</v>
      </c>
      <c r="AE49" s="23">
        <f t="shared" si="3"/>
        <v>0.0238298082502994</v>
      </c>
      <c r="AF49" s="23">
        <f t="shared" si="4"/>
        <v>0</v>
      </c>
      <c r="AG49" s="23">
        <f t="shared" si="5"/>
        <v>0</v>
      </c>
      <c r="AH49">
        <f>SUMIF('库存（子SKU）'!$C:$C,$A49,'库存（子SKU）'!AJ:AJ)</f>
        <v>798</v>
      </c>
      <c r="AI49">
        <f>SUMIF('库存（子SKU）'!$C:$C,$A49,'库存（子SKU）'!AK:AK)</f>
        <v>635</v>
      </c>
      <c r="AJ49">
        <f>SUMIF('库存（子SKU）'!$C:$C,$A49,'库存（子SKU）'!AL:AL)</f>
        <v>817</v>
      </c>
      <c r="AK49">
        <f>SUMIF('库存（子SKU）'!$C:$C,$A49,'库存（子SKU）'!AM:AM)</f>
        <v>850</v>
      </c>
      <c r="AL49" s="23">
        <f t="shared" si="6"/>
        <v>0.0075187969924812</v>
      </c>
      <c r="AM49" s="23">
        <f t="shared" si="7"/>
        <v>0.0141732283464567</v>
      </c>
      <c r="AN49" s="23">
        <f t="shared" si="8"/>
        <v>0.0159118727050184</v>
      </c>
      <c r="AO49" s="23">
        <f t="shared" si="9"/>
        <v>0.0176470588235294</v>
      </c>
      <c r="AP49" s="7">
        <f t="shared" si="10"/>
        <v>0.857142857142857</v>
      </c>
      <c r="AQ49" s="7">
        <f t="shared" si="11"/>
        <v>51.4285714285714</v>
      </c>
      <c r="AR49" s="7">
        <f t="shared" si="12"/>
        <v>15.5714285714286</v>
      </c>
      <c r="AS49">
        <f t="shared" si="13"/>
        <v>78</v>
      </c>
      <c r="AT49" s="2">
        <f>IFERROR(时间!$B$4+AS49,"上周无销量")</f>
        <v>43403</v>
      </c>
    </row>
    <row r="50" spans="1:46">
      <c r="A50" t="s">
        <v>290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57</v>
      </c>
      <c r="G50">
        <f>SUMIF('库存（子SKU）'!$C:$C,$A50,'库存（子SKU）'!I:I)</f>
        <v>0</v>
      </c>
      <c r="H50">
        <f>SUMIF('库存（子SKU）'!$C:$C,$A50,'库存（子SKU）'!J:J)</f>
        <v>3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3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3</v>
      </c>
      <c r="AS50" t="str">
        <f t="shared" si="13"/>
        <v>库存为3</v>
      </c>
      <c r="AT50" s="2" t="str">
        <f>IFERROR(时间!$B$4+AS50,"上周无销量")</f>
        <v>上周无销量</v>
      </c>
    </row>
    <row r="51" spans="1:46">
      <c r="A51" t="s">
        <v>293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57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296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57</v>
      </c>
      <c r="G52">
        <f>SUMIF('库存（子SKU）'!$C:$C,$A52,'库存（子SKU）'!I:I)</f>
        <v>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2</v>
      </c>
      <c r="K52">
        <f t="shared" si="0"/>
        <v>3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>
        <f t="shared" si="6"/>
        <v>0</v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3</v>
      </c>
      <c r="AS52" t="str">
        <f t="shared" si="13"/>
        <v>库存为3</v>
      </c>
      <c r="AT52" s="2" t="str">
        <f>IFERROR(时间!$B$4+AS52,"上周无销量")</f>
        <v>上周无销量</v>
      </c>
    </row>
    <row r="53" spans="1:46">
      <c r="A53" t="s">
        <v>299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57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3</v>
      </c>
      <c r="K53">
        <f t="shared" si="0"/>
        <v>3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3</v>
      </c>
      <c r="AS53" t="str">
        <f t="shared" si="13"/>
        <v>库存为3</v>
      </c>
      <c r="AT53" s="2" t="str">
        <f>IFERROR(时间!$B$4+AS53,"上周无销量")</f>
        <v>上周无销量</v>
      </c>
    </row>
    <row r="54" spans="1:46">
      <c r="A54" t="s">
        <v>302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57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3</v>
      </c>
      <c r="K54">
        <f t="shared" si="0"/>
        <v>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2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>
        <f t="shared" si="6"/>
        <v>0</v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3</v>
      </c>
      <c r="AS54" t="str">
        <f t="shared" si="13"/>
        <v>库存为3</v>
      </c>
      <c r="AT54" s="2" t="str">
        <f>IFERROR(时间!$B$4+AS54,"上周无销量")</f>
        <v>上周无销量</v>
      </c>
    </row>
    <row r="55" spans="1:46">
      <c r="A55" t="s">
        <v>305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57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308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57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311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57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314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57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317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1</v>
      </c>
      <c r="E59" s="5">
        <f>SUMIF('库存（子SKU）'!$C:$C,$A59,'库存（子SKU）'!G:G)</f>
        <v>1</v>
      </c>
      <c r="F59" s="6">
        <v>32.99</v>
      </c>
      <c r="G59">
        <f>SUMIF('库存（子SKU）'!$C:$C,$A59,'库存（子SKU）'!I:I)</f>
        <v>24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24</v>
      </c>
      <c r="L59">
        <f>SUMIF('库存（子SKU）'!$C:$C,$A59,'库存（子SKU）'!N:N)</f>
        <v>0</v>
      </c>
      <c r="M59">
        <f>SUMIF('库存（子SKU）'!$C:$C,$A59,'库存（子SKU）'!O:O)</f>
        <v>3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>
        <f t="shared" si="4"/>
        <v>0</v>
      </c>
      <c r="AG59" s="23">
        <f t="shared" si="5"/>
        <v>0</v>
      </c>
      <c r="AH59">
        <f>SUMIF('库存（子SKU）'!$C:$C,$A59,'库存（子SKU）'!AJ:AJ)</f>
        <v>89</v>
      </c>
      <c r="AI59">
        <f>SUMIF('库存（子SKU）'!$C:$C,$A59,'库存（子SKU）'!AK:AK)</f>
        <v>99</v>
      </c>
      <c r="AJ59">
        <f>SUMIF('库存（子SKU）'!$C:$C,$A59,'库存（子SKU）'!AL:AL)</f>
        <v>71</v>
      </c>
      <c r="AK59">
        <f>SUMIF('库存（子SKU）'!$C:$C,$A59,'库存（子SKU）'!AM:AM)</f>
        <v>84</v>
      </c>
      <c r="AL59" s="23">
        <f t="shared" si="6"/>
        <v>0</v>
      </c>
      <c r="AM59" s="23">
        <f t="shared" si="7"/>
        <v>0</v>
      </c>
      <c r="AN59" s="23">
        <f t="shared" si="8"/>
        <v>0.0140845070422535</v>
      </c>
      <c r="AO59" s="23">
        <f t="shared" si="9"/>
        <v>0.0119047619047619</v>
      </c>
      <c r="AP59" s="7">
        <f t="shared" si="10"/>
        <v>0</v>
      </c>
      <c r="AQ59" s="7">
        <f t="shared" si="11"/>
        <v>0</v>
      </c>
      <c r="AR59" s="7">
        <f t="shared" si="12"/>
        <v>24</v>
      </c>
      <c r="AS59" t="str">
        <f t="shared" si="13"/>
        <v>库存为24</v>
      </c>
      <c r="AT59" s="2" t="str">
        <f>IFERROR(时间!$B$4+AS59,"上周无销量")</f>
        <v>上周无销量</v>
      </c>
    </row>
    <row r="60" spans="1:46">
      <c r="A60" t="s">
        <v>322</v>
      </c>
      <c r="B60" s="5">
        <f>SUMIF('库存（子SKU）'!$C:$C,$A60,'库存（子SKU）'!D:D)</f>
        <v>0</v>
      </c>
      <c r="C60" s="5">
        <f>SUMIF('库存（子SKU）'!$C:$C,$A60,'库存（子SKU）'!E:E)</f>
        <v>2</v>
      </c>
      <c r="D60" s="5">
        <f>SUMIF('库存（子SKU）'!$C:$C,$A60,'库存（子SKU）'!F:F)</f>
        <v>1</v>
      </c>
      <c r="E60" s="5">
        <f>SUMIF('库存（子SKU）'!$C:$C,$A60,'库存（子SKU）'!G:G)</f>
        <v>0</v>
      </c>
      <c r="F60" s="6">
        <v>89.99</v>
      </c>
      <c r="G60">
        <f>SUMIF('库存（子SKU）'!$C:$C,$A60,'库存（子SKU）'!I:I)</f>
        <v>11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5</v>
      </c>
      <c r="K60">
        <f t="shared" si="0"/>
        <v>16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>
        <f t="shared" si="3"/>
        <v>0</v>
      </c>
      <c r="AF60" s="23">
        <f t="shared" si="4"/>
        <v>0</v>
      </c>
      <c r="AG60" s="23" t="str">
        <f t="shared" si="5"/>
        <v/>
      </c>
      <c r="AH60">
        <f>SUMIF('库存（子SKU）'!$C:$C,$A60,'库存（子SKU）'!AJ:AJ)</f>
        <v>8</v>
      </c>
      <c r="AI60">
        <f>SUMIF('库存（子SKU）'!$C:$C,$A60,'库存（子SKU）'!AK:AK)</f>
        <v>21</v>
      </c>
      <c r="AJ60">
        <f>SUMIF('库存（子SKU）'!$C:$C,$A60,'库存（子SKU）'!AL:AL)</f>
        <v>15</v>
      </c>
      <c r="AK60">
        <f>SUMIF('库存（子SKU）'!$C:$C,$A60,'库存（子SKU）'!AM:AM)</f>
        <v>11</v>
      </c>
      <c r="AL60" s="23">
        <f t="shared" si="6"/>
        <v>0</v>
      </c>
      <c r="AM60" s="23">
        <f t="shared" si="7"/>
        <v>0.0952380952380952</v>
      </c>
      <c r="AN60" s="23">
        <f t="shared" si="8"/>
        <v>0.0666666666666667</v>
      </c>
      <c r="AO60" s="23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16</v>
      </c>
      <c r="AS60" t="str">
        <f t="shared" si="13"/>
        <v>库存为16</v>
      </c>
      <c r="AT60" s="2" t="str">
        <f>IFERROR(时间!$B$4+AS60,"上周无销量")</f>
        <v>上周无销量</v>
      </c>
    </row>
    <row r="61" spans="1:46">
      <c r="A61" t="s">
        <v>325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57</v>
      </c>
      <c r="G61">
        <f>SUMIF('库存（子SKU）'!$C:$C,$A61,'库存（子SKU）'!I:I)</f>
        <v>3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3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4</v>
      </c>
      <c r="AI61">
        <f>SUMIF('库存（子SKU）'!$C:$C,$A61,'库存（子SKU）'!AK:AK)</f>
        <v>2</v>
      </c>
      <c r="AJ61">
        <f>SUMIF('库存（子SKU）'!$C:$C,$A61,'库存（子SKU）'!AL:AL)</f>
        <v>7</v>
      </c>
      <c r="AK61">
        <f>SUMIF('库存（子SKU）'!$C:$C,$A61,'库存（子SKU）'!AM:AM)</f>
        <v>4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3</v>
      </c>
      <c r="AS61" t="str">
        <f t="shared" si="13"/>
        <v>库存为3</v>
      </c>
      <c r="AT61" s="2" t="str">
        <f>IFERROR(时间!$B$4+AS61,"上周无销量")</f>
        <v>上周无销量</v>
      </c>
    </row>
    <row r="62" spans="1:46">
      <c r="A62" t="s">
        <v>328</v>
      </c>
      <c r="B62" s="5">
        <f>SUMIF('库存（子SKU）'!$C:$C,$A62,'库存（子SKU）'!D:D)</f>
        <v>3</v>
      </c>
      <c r="C62" s="5">
        <f>SUMIF('库存（子SKU）'!$C:$C,$A62,'库存（子SKU）'!E:E)</f>
        <v>1</v>
      </c>
      <c r="D62" s="5">
        <f>SUMIF('库存（子SKU）'!$C:$C,$A62,'库存（子SKU）'!F:F)</f>
        <v>2</v>
      </c>
      <c r="E62" s="5">
        <f>SUMIF('库存（子SKU）'!$C:$C,$A62,'库存（子SKU）'!G:G)</f>
        <v>3</v>
      </c>
      <c r="F62" s="6">
        <v>79.99</v>
      </c>
      <c r="G62">
        <f>SUMIF('库存（子SKU）'!$C:$C,$A62,'库存（子SKU）'!I:I)</f>
        <v>23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1</v>
      </c>
      <c r="K62">
        <f t="shared" si="0"/>
        <v>24</v>
      </c>
      <c r="L62">
        <f>SUMIF('库存（子SKU）'!$C:$C,$A62,'库存（子SKU）'!N:N)</f>
        <v>3</v>
      </c>
      <c r="M62">
        <f>SUMIF('库存（子SKU）'!$C:$C,$A62,'库存（子SKU）'!O:O)</f>
        <v>0</v>
      </c>
      <c r="N62">
        <f>SUMIF('库存（子SKU）'!$C:$C,$A62,'库存（子SKU）'!P:P)</f>
        <v>46443</v>
      </c>
      <c r="O62">
        <f>SUMIF('库存（子SKU）'!$C:$C,$A62,'库存（子SKU）'!Q:Q)</f>
        <v>46621</v>
      </c>
      <c r="P62">
        <f>SUMIF('库存（子SKU）'!$C:$C,$A62,'库存（子SKU）'!R:R)</f>
        <v>3450</v>
      </c>
      <c r="Q62">
        <f>SUMIF('库存（子SKU）'!$C:$C,$A62,'库存（子SKU）'!S:S)</f>
        <v>5550</v>
      </c>
      <c r="R62">
        <f>SUMIF('库存（子SKU）'!$C:$C,$A62,'库存（子SKU）'!T:T)</f>
        <v>253</v>
      </c>
      <c r="S62">
        <f>SUMIF('库存（子SKU）'!$C:$C,$A62,'库存（子SKU）'!U:U)</f>
        <v>255</v>
      </c>
      <c r="T62">
        <f>SUMIF('库存（子SKU）'!$C:$C,$A62,'库存（子SKU）'!V:V)</f>
        <v>32</v>
      </c>
      <c r="U62">
        <f>SUMIF('库存（子SKU）'!$C:$C,$A62,'库存（子SKU）'!W:W)</f>
        <v>30</v>
      </c>
      <c r="V62" s="23">
        <f t="shared" si="15"/>
        <v>0.005447537842086</v>
      </c>
      <c r="W62" s="23">
        <f t="shared" si="16"/>
        <v>0.00546963814589992</v>
      </c>
      <c r="X62" s="23">
        <f t="shared" si="17"/>
        <v>0.00927536231884058</v>
      </c>
      <c r="Y62" s="23">
        <f t="shared" si="18"/>
        <v>0.00540540540540541</v>
      </c>
      <c r="Z62">
        <f>SUMIF('库存（子SKU）'!$C:$C,$A62,'库存（子SKU）'!AB:AB)</f>
        <v>41.04</v>
      </c>
      <c r="AA62">
        <f>SUMIF('库存（子SKU）'!$C:$C,$A62,'库存（子SKU）'!AC:AC)</f>
        <v>41.62</v>
      </c>
      <c r="AB62">
        <f>SUMIF('库存（子SKU）'!$C:$C,$A62,'库存（子SKU）'!AD:AD)</f>
        <v>5.27</v>
      </c>
      <c r="AC62">
        <f>SUMIF('库存（子SKU）'!$C:$C,$A62,'库存（子SKU）'!AE:AE)</f>
        <v>5.15</v>
      </c>
      <c r="AD62" s="23">
        <f t="shared" si="2"/>
        <v>0.171021377672209</v>
      </c>
      <c r="AE62" s="23">
        <f t="shared" si="3"/>
        <v>0.520315039379923</v>
      </c>
      <c r="AF62" s="23">
        <f t="shared" si="4"/>
        <v>0.0329416177022128</v>
      </c>
      <c r="AG62" s="23">
        <f t="shared" si="5"/>
        <v>0.0214610159603284</v>
      </c>
      <c r="AH62">
        <f>SUMIF('库存（子SKU）'!$C:$C,$A62,'库存（子SKU）'!AJ:AJ)</f>
        <v>191</v>
      </c>
      <c r="AI62">
        <f>SUMIF('库存（子SKU）'!$C:$C,$A62,'库存（子SKU）'!AK:AK)</f>
        <v>141</v>
      </c>
      <c r="AJ62">
        <f>SUMIF('库存（子SKU）'!$C:$C,$A62,'库存（子SKU）'!AL:AL)</f>
        <v>125</v>
      </c>
      <c r="AK62">
        <f>SUMIF('库存（子SKU）'!$C:$C,$A62,'库存（子SKU）'!AM:AM)</f>
        <v>144</v>
      </c>
      <c r="AL62" s="23">
        <f t="shared" si="6"/>
        <v>0.0157068062827225</v>
      </c>
      <c r="AM62" s="23">
        <f t="shared" si="7"/>
        <v>0.00709219858156028</v>
      </c>
      <c r="AN62" s="23">
        <f t="shared" si="8"/>
        <v>0.016</v>
      </c>
      <c r="AO62" s="23">
        <f t="shared" si="9"/>
        <v>0.0208333333333333</v>
      </c>
      <c r="AP62" s="7">
        <f t="shared" si="10"/>
        <v>0.428571428571429</v>
      </c>
      <c r="AQ62" s="7">
        <f t="shared" si="11"/>
        <v>25.7142857142857</v>
      </c>
      <c r="AR62" s="7">
        <f t="shared" si="12"/>
        <v>-1.71428571428571</v>
      </c>
      <c r="AS62">
        <f t="shared" si="13"/>
        <v>56</v>
      </c>
      <c r="AT62" s="2">
        <f>IFERROR(时间!$B$4+AS62,"上周无销量")</f>
        <v>43381</v>
      </c>
    </row>
    <row r="63" spans="1:46">
      <c r="A63" t="s">
        <v>331</v>
      </c>
      <c r="B63" s="5">
        <f>SUMIF('库存（子SKU）'!$C:$C,$A63,'库存（子SKU）'!D:D)</f>
        <v>0</v>
      </c>
      <c r="C63" s="5">
        <f>SUMIF('库存（子SKU）'!$C:$C,$A63,'库存（子SKU）'!E:E)</f>
        <v>1</v>
      </c>
      <c r="D63" s="5">
        <f>SUMIF('库存（子SKU）'!$C:$C,$A63,'库存（子SKU）'!F:F)</f>
        <v>1</v>
      </c>
      <c r="E63" s="5">
        <f>SUMIF('库存（子SKU）'!$C:$C,$A63,'库存（子SKU）'!G:G)</f>
        <v>3</v>
      </c>
      <c r="F63" s="6">
        <v>32.99</v>
      </c>
      <c r="G63">
        <f>SUMIF('库存（子SKU）'!$C:$C,$A63,'库存（子SKU）'!I:I)</f>
        <v>14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14</v>
      </c>
      <c r="L63">
        <f>SUMIF('库存（子SKU）'!$C:$C,$A63,'库存（子SKU）'!N:N)</f>
        <v>1</v>
      </c>
      <c r="M63">
        <f>SUMIF('库存（子SKU）'!$C:$C,$A63,'库存（子SKU）'!O:O)</f>
        <v>0</v>
      </c>
      <c r="N63">
        <f>SUMIF('库存（子SKU）'!$C:$C,$A63,'库存（子SKU）'!P:P)</f>
        <v>10001</v>
      </c>
      <c r="O63">
        <f>SUMIF('库存（子SKU）'!$C:$C,$A63,'库存（子SKU）'!Q:Q)</f>
        <v>10007</v>
      </c>
      <c r="P63">
        <f>SUMIF('库存（子SKU）'!$C:$C,$A63,'库存（子SKU）'!R:R)</f>
        <v>1230</v>
      </c>
      <c r="Q63">
        <f>SUMIF('库存（子SKU）'!$C:$C,$A63,'库存（子SKU）'!S:S)</f>
        <v>2212</v>
      </c>
      <c r="R63">
        <f>SUMIF('库存（子SKU）'!$C:$C,$A63,'库存（子SKU）'!T:T)</f>
        <v>110</v>
      </c>
      <c r="S63">
        <f>SUMIF('库存（子SKU）'!$C:$C,$A63,'库存（子SKU）'!U:U)</f>
        <v>110</v>
      </c>
      <c r="T63">
        <f>SUMIF('库存（子SKU）'!$C:$C,$A63,'库存（子SKU）'!V:V)</f>
        <v>10</v>
      </c>
      <c r="U63">
        <f>SUMIF('库存（子SKU）'!$C:$C,$A63,'库存（子SKU）'!W:W)</f>
        <v>35</v>
      </c>
      <c r="V63" s="23">
        <f t="shared" si="15"/>
        <v>0.010998900109989</v>
      </c>
      <c r="W63" s="23">
        <f t="shared" si="16"/>
        <v>0.0109923053862296</v>
      </c>
      <c r="X63" s="23">
        <f t="shared" si="17"/>
        <v>0.00813008130081301</v>
      </c>
      <c r="Y63" s="23">
        <f t="shared" si="18"/>
        <v>0.0158227848101266</v>
      </c>
      <c r="Z63">
        <f>SUMIF('库存（子SKU）'!$C:$C,$A63,'库存（子SKU）'!AB:AB)</f>
        <v>17.3</v>
      </c>
      <c r="AA63">
        <f>SUMIF('库存（子SKU）'!$C:$C,$A63,'库存（子SKU）'!AC:AC)</f>
        <v>17.3</v>
      </c>
      <c r="AB63">
        <f>SUMIF('库存（子SKU）'!$C:$C,$A63,'库存（子SKU）'!AD:AD)</f>
        <v>0.95</v>
      </c>
      <c r="AC63">
        <f>SUMIF('库存（子SKU）'!$C:$C,$A63,'库存（子SKU）'!AE:AE)</f>
        <v>4.8</v>
      </c>
      <c r="AD63" s="23" t="str">
        <f t="shared" si="2"/>
        <v>无销量广告费为17.3</v>
      </c>
      <c r="AE63" s="23">
        <f t="shared" si="3"/>
        <v>0.524401333737496</v>
      </c>
      <c r="AF63" s="23">
        <f t="shared" si="4"/>
        <v>0.0287966050318278</v>
      </c>
      <c r="AG63" s="23">
        <f t="shared" si="5"/>
        <v>0.0484995453167627</v>
      </c>
      <c r="AH63">
        <f>SUMIF('库存（子SKU）'!$C:$C,$A63,'库存（子SKU）'!AJ:AJ)</f>
        <v>53</v>
      </c>
      <c r="AI63">
        <f>SUMIF('库存（子SKU）'!$C:$C,$A63,'库存（子SKU）'!AK:AK)</f>
        <v>27</v>
      </c>
      <c r="AJ63">
        <f>SUMIF('库存（子SKU）'!$C:$C,$A63,'库存（子SKU）'!AL:AL)</f>
        <v>63</v>
      </c>
      <c r="AK63">
        <f>SUMIF('库存（子SKU）'!$C:$C,$A63,'库存（子SKU）'!AM:AM)</f>
        <v>104</v>
      </c>
      <c r="AL63" s="23">
        <f t="shared" si="6"/>
        <v>0</v>
      </c>
      <c r="AM63" s="23">
        <f t="shared" si="7"/>
        <v>0.037037037037037</v>
      </c>
      <c r="AN63" s="23">
        <f t="shared" si="8"/>
        <v>0.0158730158730159</v>
      </c>
      <c r="AO63" s="23">
        <f t="shared" si="9"/>
        <v>0.0288461538461538</v>
      </c>
      <c r="AP63" s="7">
        <f t="shared" si="10"/>
        <v>0</v>
      </c>
      <c r="AQ63" s="7">
        <f t="shared" si="11"/>
        <v>0</v>
      </c>
      <c r="AR63" s="7">
        <f t="shared" si="12"/>
        <v>14</v>
      </c>
      <c r="AS63" t="str">
        <f t="shared" si="13"/>
        <v>库存为14</v>
      </c>
      <c r="AT63" s="2" t="str">
        <f>IFERROR(时间!$B$4+AS63,"上周无销量")</f>
        <v>上周无销量</v>
      </c>
    </row>
    <row r="64" spans="1:46">
      <c r="A64" t="s">
        <v>335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57</v>
      </c>
      <c r="G64">
        <f>SUMIF('库存（子SKU）'!$C:$C,$A64,'库存（子SKU）'!I:I)</f>
        <v>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5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7">
        <f t="shared" si="10"/>
        <v>0</v>
      </c>
      <c r="AQ64" s="7">
        <f t="shared" si="11"/>
        <v>0</v>
      </c>
      <c r="AR64" s="7">
        <f t="shared" si="12"/>
        <v>5</v>
      </c>
      <c r="AS64" t="str">
        <f t="shared" si="13"/>
        <v>库存为5</v>
      </c>
      <c r="AT64" s="2" t="str">
        <f>IFERROR(时间!$B$4+AS64,"上周无销量")</f>
        <v>上周无销量</v>
      </c>
    </row>
    <row r="65" spans="1:46">
      <c r="A65" t="s">
        <v>338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1</v>
      </c>
      <c r="F65" s="6">
        <v>79.6</v>
      </c>
      <c r="G65">
        <f>SUMIF('库存（子SKU）'!$C:$C,$A65,'库存（子SKU）'!I:I)</f>
        <v>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5</v>
      </c>
      <c r="L65">
        <f>SUMIF('库存（子SKU）'!$C:$C,$A65,'库存（子SKU）'!N:N)</f>
        <v>0</v>
      </c>
      <c r="M65">
        <f>SUMIF('库存（子SKU）'!$C:$C,$A65,'库存（子SKU）'!O:O)</f>
        <v>5</v>
      </c>
      <c r="N65">
        <f>SUMIF('库存（子SKU）'!$C:$C,$A65,'库存（子SKU）'!P:P)</f>
        <v>117743</v>
      </c>
      <c r="O65">
        <f>SUMIF('库存（子SKU）'!$C:$C,$A65,'库存（子SKU）'!Q:Q)</f>
        <v>118258</v>
      </c>
      <c r="P65">
        <f>SUMIF('库存（子SKU）'!$C:$C,$A65,'库存（子SKU）'!R:R)</f>
        <v>63472</v>
      </c>
      <c r="Q65">
        <f>SUMIF('库存（子SKU）'!$C:$C,$A65,'库存（子SKU）'!S:S)</f>
        <v>39903</v>
      </c>
      <c r="R65">
        <f>SUMIF('库存（子SKU）'!$C:$C,$A65,'库存（子SKU）'!T:T)</f>
        <v>370</v>
      </c>
      <c r="S65">
        <f>SUMIF('库存（子SKU）'!$C:$C,$A65,'库存（子SKU）'!U:U)</f>
        <v>373</v>
      </c>
      <c r="T65">
        <f>SUMIF('库存（子SKU）'!$C:$C,$A65,'库存（子SKU）'!V:V)</f>
        <v>208</v>
      </c>
      <c r="U65">
        <f>SUMIF('库存（子SKU）'!$C:$C,$A65,'库存（子SKU）'!W:W)</f>
        <v>118</v>
      </c>
      <c r="V65" s="23">
        <f t="shared" si="15"/>
        <v>0.00314243734234732</v>
      </c>
      <c r="W65" s="23">
        <f t="shared" si="16"/>
        <v>0.00315412065145698</v>
      </c>
      <c r="X65" s="23">
        <f t="shared" si="17"/>
        <v>0.00327703554323166</v>
      </c>
      <c r="Y65" s="23">
        <f t="shared" si="18"/>
        <v>0.00295717114001454</v>
      </c>
      <c r="Z65">
        <f>SUMIF('库存（子SKU）'!$C:$C,$A65,'库存（子SKU）'!AB:AB)</f>
        <v>63.99</v>
      </c>
      <c r="AA65">
        <f>SUMIF('库存（子SKU）'!$C:$C,$A65,'库存（子SKU）'!AC:AC)</f>
        <v>64.49</v>
      </c>
      <c r="AB65">
        <f>SUMIF('库存（子SKU）'!$C:$C,$A65,'库存（子SKU）'!AD:AD)</f>
        <v>38.85</v>
      </c>
      <c r="AC65">
        <f>SUMIF('库存（子SKU）'!$C:$C,$A65,'库存（子SKU）'!AE:AE)</f>
        <v>17.46</v>
      </c>
      <c r="AD65" s="23" t="str">
        <f t="shared" si="2"/>
        <v>无销量广告费为63.99</v>
      </c>
      <c r="AE65" s="23" t="str">
        <f t="shared" si="3"/>
        <v>无销量广告费为64.49</v>
      </c>
      <c r="AF65" s="23" t="str">
        <f t="shared" si="4"/>
        <v>无销量广告费为38.85</v>
      </c>
      <c r="AG65" s="23">
        <f t="shared" si="5"/>
        <v>0.219346733668342</v>
      </c>
      <c r="AH65">
        <f>SUMIF('库存（子SKU）'!$C:$C,$A65,'库存（子SKU）'!AJ:AJ)</f>
        <v>134</v>
      </c>
      <c r="AI65">
        <f>SUMIF('库存（子SKU）'!$C:$C,$A65,'库存（子SKU）'!AK:AK)</f>
        <v>168</v>
      </c>
      <c r="AJ65">
        <f>SUMIF('库存（子SKU）'!$C:$C,$A65,'库存（子SKU）'!AL:AL)</f>
        <v>168</v>
      </c>
      <c r="AK65">
        <f>SUMIF('库存（子SKU）'!$C:$C,$A65,'库存（子SKU）'!AM:AM)</f>
        <v>80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0.0125</v>
      </c>
      <c r="AP65" s="7">
        <f t="shared" si="10"/>
        <v>0</v>
      </c>
      <c r="AQ65" s="7">
        <f t="shared" si="11"/>
        <v>0</v>
      </c>
      <c r="AR65" s="7">
        <f t="shared" si="12"/>
        <v>5</v>
      </c>
      <c r="AS65" t="str">
        <f t="shared" si="13"/>
        <v>库存为5</v>
      </c>
      <c r="AT65" s="2" t="str">
        <f>IFERROR(时间!$B$4+AS65,"上周无销量")</f>
        <v>上周无销量</v>
      </c>
    </row>
    <row r="66" spans="1:46">
      <c r="A66" t="s">
        <v>344</v>
      </c>
      <c r="B66" s="5">
        <f>SUMIF('库存（子SKU）'!$C:$C,$A66,'库存（子SKU）'!D:D)</f>
        <v>1</v>
      </c>
      <c r="C66" s="5">
        <f>SUMIF('库存（子SKU）'!$C:$C,$A66,'库存（子SKU）'!E:E)</f>
        <v>2</v>
      </c>
      <c r="D66" s="5">
        <f>SUMIF('库存（子SKU）'!$C:$C,$A66,'库存（子SKU）'!F:F)</f>
        <v>1</v>
      </c>
      <c r="E66" s="5">
        <f>SUMIF('库存（子SKU）'!$C:$C,$A66,'库存（子SKU）'!G:G)</f>
        <v>1</v>
      </c>
      <c r="F66" s="6">
        <v>89.99</v>
      </c>
      <c r="G66">
        <f>SUMIF('库存（子SKU）'!$C:$C,$A66,'库存（子SKU）'!I:I)</f>
        <v>10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>
        <f t="shared" si="2"/>
        <v>0</v>
      </c>
      <c r="AE66" s="23">
        <f t="shared" si="3"/>
        <v>0</v>
      </c>
      <c r="AF66" s="23">
        <f t="shared" si="4"/>
        <v>0</v>
      </c>
      <c r="AG66" s="23">
        <f t="shared" si="5"/>
        <v>0</v>
      </c>
      <c r="AH66">
        <f>SUMIF('库存（子SKU）'!$C:$C,$A66,'库存（子SKU）'!AJ:AJ)</f>
        <v>24</v>
      </c>
      <c r="AI66">
        <f>SUMIF('库存（子SKU）'!$C:$C,$A66,'库存（子SKU）'!AK:AK)</f>
        <v>8</v>
      </c>
      <c r="AJ66">
        <f>SUMIF('库存（子SKU）'!$C:$C,$A66,'库存（子SKU）'!AL:AL)</f>
        <v>10</v>
      </c>
      <c r="AK66">
        <f>SUMIF('库存（子SKU）'!$C:$C,$A66,'库存（子SKU）'!AM:AM)</f>
        <v>15</v>
      </c>
      <c r="AL66" s="23">
        <f t="shared" si="6"/>
        <v>0.0416666666666667</v>
      </c>
      <c r="AM66" s="23">
        <f t="shared" si="7"/>
        <v>0.25</v>
      </c>
      <c r="AN66" s="23">
        <f t="shared" si="8"/>
        <v>0.1</v>
      </c>
      <c r="AO66" s="23">
        <f t="shared" si="9"/>
        <v>0.0666666666666667</v>
      </c>
      <c r="AP66" s="7">
        <f t="shared" si="10"/>
        <v>0.142857142857143</v>
      </c>
      <c r="AQ66" s="7">
        <f t="shared" si="11"/>
        <v>8.57142857142857</v>
      </c>
      <c r="AR66" s="7">
        <f t="shared" si="12"/>
        <v>1.42857142857143</v>
      </c>
      <c r="AS66">
        <f t="shared" si="13"/>
        <v>70</v>
      </c>
      <c r="AT66" s="2">
        <f>IFERROR(时间!$B$4+AS66,"上周无销量")</f>
        <v>43395</v>
      </c>
    </row>
    <row r="67" spans="1:46">
      <c r="A67" t="s">
        <v>347</v>
      </c>
      <c r="B67" s="5">
        <f>SUMIF('库存（子SKU）'!$C:$C,$A67,'库存（子SKU）'!D:D)</f>
        <v>0</v>
      </c>
      <c r="C67" s="5">
        <f>SUMIF('库存（子SKU）'!$C:$C,$A67,'库存（子SKU）'!E:E)</f>
        <v>1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>
        <v>79.99</v>
      </c>
      <c r="G67">
        <f>SUMIF('库存（子SKU）'!$C:$C,$A67,'库存（子SKU）'!I:I)</f>
        <v>9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9</v>
      </c>
      <c r="L67">
        <f>SUMIF('库存（子SKU）'!$C:$C,$A67,'库存（子SKU）'!N:N)</f>
        <v>0</v>
      </c>
      <c r="M67">
        <f>SUMIF('库存（子SKU）'!$C:$C,$A67,'库存（子SKU）'!O:O)</f>
        <v>9</v>
      </c>
      <c r="N67">
        <f>SUMIF('库存（子SKU）'!$C:$C,$A67,'库存（子SKU）'!P:P)</f>
        <v>7194</v>
      </c>
      <c r="O67">
        <f>SUMIF('库存（子SKU）'!$C:$C,$A67,'库存（子SKU）'!Q:Q)</f>
        <v>7252</v>
      </c>
      <c r="P67">
        <f>SUMIF('库存（子SKU）'!$C:$C,$A67,'库存（子SKU）'!R:R)</f>
        <v>3981</v>
      </c>
      <c r="Q67">
        <f>SUMIF('库存（子SKU）'!$C:$C,$A67,'库存（子SKU）'!S:S)</f>
        <v>2228</v>
      </c>
      <c r="R67">
        <f>SUMIF('库存（子SKU）'!$C:$C,$A67,'库存（子SKU）'!T:T)</f>
        <v>72</v>
      </c>
      <c r="S67">
        <f>SUMIF('库存（子SKU）'!$C:$C,$A67,'库存（子SKU）'!U:U)</f>
        <v>72</v>
      </c>
      <c r="T67">
        <f>SUMIF('库存（子SKU）'!$C:$C,$A67,'库存（子SKU）'!V:V)</f>
        <v>44</v>
      </c>
      <c r="U67">
        <f>SUMIF('库存（子SKU）'!$C:$C,$A67,'库存（子SKU）'!W:W)</f>
        <v>17</v>
      </c>
      <c r="V67" s="23">
        <f t="shared" si="15"/>
        <v>0.0100083402835696</v>
      </c>
      <c r="W67" s="23">
        <f t="shared" si="16"/>
        <v>0.00992829564258136</v>
      </c>
      <c r="X67" s="23">
        <f t="shared" si="17"/>
        <v>0.0110524993720171</v>
      </c>
      <c r="Y67" s="23">
        <f t="shared" si="18"/>
        <v>0.00763016157989228</v>
      </c>
      <c r="Z67">
        <f>SUMIF('库存（子SKU）'!$C:$C,$A67,'库存（子SKU）'!AB:AB)</f>
        <v>13.02</v>
      </c>
      <c r="AA67">
        <f>SUMIF('库存（子SKU）'!$C:$C,$A67,'库存（子SKU）'!AC:AC)</f>
        <v>13.02</v>
      </c>
      <c r="AB67">
        <f>SUMIF('库存（子SKU）'!$C:$C,$A67,'库存（子SKU）'!AD:AD)</f>
        <v>8.5</v>
      </c>
      <c r="AC67">
        <f>SUMIF('库存（子SKU）'!$C:$C,$A67,'库存（子SKU）'!AE:AE)</f>
        <v>2.53</v>
      </c>
      <c r="AD67" s="23" t="str">
        <f t="shared" si="2"/>
        <v>无销量广告费为13.02</v>
      </c>
      <c r="AE67" s="23">
        <f t="shared" si="3"/>
        <v>0.162770346293287</v>
      </c>
      <c r="AF67" s="23" t="str">
        <f t="shared" si="4"/>
        <v>无销量广告费为8.5</v>
      </c>
      <c r="AG67" s="23" t="str">
        <f t="shared" si="5"/>
        <v>无销量广告费为2.53</v>
      </c>
      <c r="AH67">
        <f>SUMIF('库存（子SKU）'!$C:$C,$A67,'库存（子SKU）'!AJ:AJ)</f>
        <v>76</v>
      </c>
      <c r="AI67">
        <f>SUMIF('库存（子SKU）'!$C:$C,$A67,'库存（子SKU）'!AK:AK)</f>
        <v>48</v>
      </c>
      <c r="AJ67">
        <f>SUMIF('库存（子SKU）'!$C:$C,$A67,'库存（子SKU）'!AL:AL)</f>
        <v>26</v>
      </c>
      <c r="AK67">
        <f>SUMIF('库存（子SKU）'!$C:$C,$A67,'库存（子SKU）'!AM:AM)</f>
        <v>18</v>
      </c>
      <c r="AL67" s="23">
        <f t="shared" si="6"/>
        <v>0</v>
      </c>
      <c r="AM67" s="23">
        <f t="shared" si="7"/>
        <v>0.0208333333333333</v>
      </c>
      <c r="AN67" s="23">
        <f t="shared" si="8"/>
        <v>0</v>
      </c>
      <c r="AO67" s="23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9</v>
      </c>
      <c r="AS67" t="str">
        <f t="shared" si="13"/>
        <v>库存为9</v>
      </c>
      <c r="AT67" s="2" t="str">
        <f>IFERROR(时间!$B$4+AS67,"上周无销量")</f>
        <v>上周无销量</v>
      </c>
    </row>
    <row r="68" spans="1:46">
      <c r="A68" t="s">
        <v>353</v>
      </c>
      <c r="B68" s="5">
        <f>SUMIF('库存（子SKU）'!$C:$C,$A68,'库存（子SKU）'!D:D)</f>
        <v>1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>
        <v>59.99</v>
      </c>
      <c r="G68">
        <f>SUMIF('库存（子SKU）'!$C:$C,$A68,'库存（子SKU）'!I:I)</f>
        <v>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</v>
      </c>
      <c r="L68">
        <f>SUMIF('库存（子SKU）'!$C:$C,$A68,'库存（子SKU）'!N:N)</f>
        <v>0</v>
      </c>
      <c r="M68">
        <f>SUMIF('库存（子SKU）'!$C:$C,$A68,'库存（子SKU）'!O:O)</f>
        <v>3</v>
      </c>
      <c r="N68">
        <f>SUMIF('库存（子SKU）'!$C:$C,$A68,'库存（子SKU）'!P:P)</f>
        <v>6155</v>
      </c>
      <c r="O68">
        <f>SUMIF('库存（子SKU）'!$C:$C,$A68,'库存（子SKU）'!Q:Q)</f>
        <v>6196</v>
      </c>
      <c r="P68">
        <f>SUMIF('库存（子SKU）'!$C:$C,$A68,'库存（子SKU）'!R:R)</f>
        <v>1238</v>
      </c>
      <c r="Q68">
        <f>SUMIF('库存（子SKU）'!$C:$C,$A68,'库存（子SKU）'!S:S)</f>
        <v>553</v>
      </c>
      <c r="R68">
        <f>SUMIF('库存（子SKU）'!$C:$C,$A68,'库存（子SKU）'!T:T)</f>
        <v>24</v>
      </c>
      <c r="S68">
        <f>SUMIF('库存（子SKU）'!$C:$C,$A68,'库存（子SKU）'!U:U)</f>
        <v>24</v>
      </c>
      <c r="T68">
        <f>SUMIF('库存（子SKU）'!$C:$C,$A68,'库存（子SKU）'!V:V)</f>
        <v>7</v>
      </c>
      <c r="U68">
        <f>SUMIF('库存（子SKU）'!$C:$C,$A68,'库存（子SKU）'!W:W)</f>
        <v>3</v>
      </c>
      <c r="V68" s="23">
        <f t="shared" si="15"/>
        <v>0.00389926888708367</v>
      </c>
      <c r="W68" s="23">
        <f t="shared" si="16"/>
        <v>0.00387346675274371</v>
      </c>
      <c r="X68" s="23">
        <f t="shared" si="17"/>
        <v>0.00565428109854604</v>
      </c>
      <c r="Y68" s="23">
        <f t="shared" si="18"/>
        <v>0.0054249547920434</v>
      </c>
      <c r="Z68">
        <f>SUMIF('库存（子SKU）'!$C:$C,$A68,'库存（子SKU）'!AB:AB)</f>
        <v>6.34</v>
      </c>
      <c r="AA68">
        <f>SUMIF('库存（子SKU）'!$C:$C,$A68,'库存（子SKU）'!AC:AC)</f>
        <v>6.34</v>
      </c>
      <c r="AB68">
        <f>SUMIF('库存（子SKU）'!$C:$C,$A68,'库存（子SKU）'!AD:AD)</f>
        <v>1.78</v>
      </c>
      <c r="AC68">
        <f>SUMIF('库存（子SKU）'!$C:$C,$A68,'库存（子SKU）'!AE:AE)</f>
        <v>0.72</v>
      </c>
      <c r="AD68" s="23">
        <f t="shared" si="2"/>
        <v>0.105684280713452</v>
      </c>
      <c r="AE68" s="23" t="str">
        <f t="shared" si="3"/>
        <v>无销量广告费为6.34</v>
      </c>
      <c r="AF68" s="23" t="str">
        <f t="shared" si="4"/>
        <v>无销量广告费为1.78</v>
      </c>
      <c r="AG68" s="23" t="str">
        <f t="shared" si="5"/>
        <v>无销量广告费为0.72</v>
      </c>
      <c r="AH68">
        <f>SUMIF('库存（子SKU）'!$C:$C,$A68,'库存（子SKU）'!AJ:AJ)</f>
        <v>47</v>
      </c>
      <c r="AI68">
        <f>SUMIF('库存（子SKU）'!$C:$C,$A68,'库存（子SKU）'!AK:AK)</f>
        <v>46</v>
      </c>
      <c r="AJ68">
        <f>SUMIF('库存（子SKU）'!$C:$C,$A68,'库存（子SKU）'!AL:AL)</f>
        <v>14</v>
      </c>
      <c r="AK68">
        <f>SUMIF('库存（子SKU）'!$C:$C,$A68,'库存（子SKU）'!AM:AM)</f>
        <v>6</v>
      </c>
      <c r="AL68" s="23">
        <f t="shared" si="6"/>
        <v>0.0212765957446809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7">
        <f t="shared" si="10"/>
        <v>0.142857142857143</v>
      </c>
      <c r="AQ68" s="7">
        <f t="shared" si="11"/>
        <v>8.57142857142857</v>
      </c>
      <c r="AR68" s="7">
        <f t="shared" si="12"/>
        <v>-6.57142857142857</v>
      </c>
      <c r="AS68">
        <f t="shared" si="13"/>
        <v>14</v>
      </c>
      <c r="AT68" s="2">
        <f>IFERROR(时间!$B$4+AS68,"上周无销量")</f>
        <v>43339</v>
      </c>
    </row>
    <row r="69" spans="1:46">
      <c r="A69" t="s">
        <v>359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57</v>
      </c>
      <c r="G69">
        <f>SUMIF('库存（子SKU）'!$C:$C,$A69,'库存（子SKU）'!I:I)</f>
        <v>3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3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1872</v>
      </c>
      <c r="O69">
        <f>SUMIF('库存（子SKU）'!$C:$C,$A69,'库存（子SKU）'!Q:Q)</f>
        <v>1950</v>
      </c>
      <c r="P69">
        <f>SUMIF('库存（子SKU）'!$C:$C,$A69,'库存（子SKU）'!R:R)</f>
        <v>179</v>
      </c>
      <c r="Q69">
        <f>SUMIF('库存（子SKU）'!$C:$C,$A69,'库存（子SKU）'!S:S)</f>
        <v>81</v>
      </c>
      <c r="R69">
        <f>SUMIF('库存（子SKU）'!$C:$C,$A69,'库存（子SKU）'!T:T)</f>
        <v>6</v>
      </c>
      <c r="S69">
        <f>SUMIF('库存（子SKU）'!$C:$C,$A69,'库存（子SKU）'!U:U)</f>
        <v>6</v>
      </c>
      <c r="T69">
        <f>SUMIF('库存（子SKU）'!$C:$C,$A69,'库存（子SKU）'!V:V)</f>
        <v>2</v>
      </c>
      <c r="U69">
        <f>SUMIF('库存（子SKU）'!$C:$C,$A69,'库存（子SKU）'!W:W)</f>
        <v>0</v>
      </c>
      <c r="V69" s="23">
        <f t="shared" si="15"/>
        <v>0.00320512820512821</v>
      </c>
      <c r="W69" s="23">
        <f t="shared" si="16"/>
        <v>0.00307692307692308</v>
      </c>
      <c r="X69" s="23">
        <f t="shared" si="17"/>
        <v>0.0111731843575419</v>
      </c>
      <c r="Y69" s="23">
        <f t="shared" si="18"/>
        <v>0</v>
      </c>
      <c r="Z69">
        <f>SUMIF('库存（子SKU）'!$C:$C,$A69,'库存（子SKU）'!AB:AB)</f>
        <v>2.25</v>
      </c>
      <c r="AA69">
        <f>SUMIF('库存（子SKU）'!$C:$C,$A69,'库存（子SKU）'!AC:AC)</f>
        <v>2.25</v>
      </c>
      <c r="AB69">
        <f>SUMIF('库存（子SKU）'!$C:$C,$A69,'库存（子SKU）'!AD:AD)</f>
        <v>0.52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>无销量广告费为2.25</v>
      </c>
      <c r="AE69" s="23" t="str">
        <f t="shared" ref="AE69:AE132" si="21">IF(AND(AA69&gt;0,C69=0),"无销量广告费为"&amp;AA69,IFERROR(AA69/(C69*$F69),""))</f>
        <v>无销量广告费为2.25</v>
      </c>
      <c r="AF69" s="23" t="str">
        <f t="shared" ref="AF69:AF132" si="22">IF(AND(AB69&gt;0,D69=0),"无销量广告费为"&amp;AB69,IFERROR(AB69/(D69*$F69),""))</f>
        <v>无销量广告费为0.52</v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16</v>
      </c>
      <c r="AI69">
        <f>SUMIF('库存（子SKU）'!$C:$C,$A69,'库存（子SKU）'!AK:AK)</f>
        <v>29</v>
      </c>
      <c r="AJ69">
        <f>SUMIF('库存（子SKU）'!$C:$C,$A69,'库存（子SKU）'!AL:AL)</f>
        <v>8</v>
      </c>
      <c r="AK69">
        <f>SUMIF('库存（子SKU）'!$C:$C,$A69,'库存（子SKU）'!AM:AM)</f>
        <v>1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3</v>
      </c>
      <c r="AS69" t="str">
        <f t="shared" ref="AS69:AS132" si="31">IF(AP69=0,"库存为"&amp;K69,INT(K69/AP69))</f>
        <v>库存为3</v>
      </c>
      <c r="AT69" s="2" t="str">
        <f>IFERROR(时间!$B$4+AS69,"上周无销量")</f>
        <v>上周无销量</v>
      </c>
    </row>
    <row r="70" spans="1:46">
      <c r="A70" t="s">
        <v>364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57</v>
      </c>
      <c r="G70">
        <f>SUMIF('库存（子SKU）'!$C:$C,$A70,'库存（子SKU）'!I:I)</f>
        <v>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2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1</v>
      </c>
      <c r="AI70">
        <f>SUMIF('库存（子SKU）'!$C:$C,$A70,'库存（子SKU）'!AK:AK)</f>
        <v>2</v>
      </c>
      <c r="AJ70">
        <f>SUMIF('库存（子SKU）'!$C:$C,$A70,'库存（子SKU）'!AL:AL)</f>
        <v>2</v>
      </c>
      <c r="AK70">
        <f>SUMIF('库存（子SKU）'!$C:$C,$A70,'库存（子SKU）'!AM:AM)</f>
        <v>0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2</v>
      </c>
      <c r="AS70" t="str">
        <f t="shared" si="31"/>
        <v>库存为2</v>
      </c>
      <c r="AT70" s="2" t="str">
        <f>IFERROR(时间!$B$4+AS70,"上周无销量")</f>
        <v>上周无销量</v>
      </c>
    </row>
    <row r="71" spans="1:46">
      <c r="A71" t="s">
        <v>367</v>
      </c>
      <c r="B71" s="5">
        <f>SUMIF('库存（子SKU）'!$C:$C,$A71,'库存（子SKU）'!D:D)</f>
        <v>1</v>
      </c>
      <c r="C71" s="5">
        <f>SUMIF('库存（子SKU）'!$C:$C,$A71,'库存（子SKU）'!E:E)</f>
        <v>0</v>
      </c>
      <c r="D71" s="5">
        <f>SUMIF('库存（子SKU）'!$C:$C,$A71,'库存（子SKU）'!F:F)</f>
        <v>1</v>
      </c>
      <c r="E71" s="5">
        <f>SUMIF('库存（子SKU）'!$C:$C,$A71,'库存（子SKU）'!G:G)</f>
        <v>0</v>
      </c>
      <c r="F71" s="6">
        <v>89.99</v>
      </c>
      <c r="G71">
        <f>SUMIF('库存（子SKU）'!$C:$C,$A71,'库存（子SKU）'!I:I)</f>
        <v>7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</v>
      </c>
      <c r="L71">
        <f>SUMIF('库存（子SKU）'!$C:$C,$A71,'库存（子SKU）'!N:N)</f>
        <v>0</v>
      </c>
      <c r="M71">
        <f>SUMIF('库存（子SKU）'!$C:$C,$A71,'库存（子SKU）'!O:O)</f>
        <v>3</v>
      </c>
      <c r="N71">
        <f>SUMIF('库存（子SKU）'!$C:$C,$A71,'库存（子SKU）'!P:P)</f>
        <v>99282</v>
      </c>
      <c r="O71">
        <f>SUMIF('库存（子SKU）'!$C:$C,$A71,'库存（子SKU）'!Q:Q)</f>
        <v>99448</v>
      </c>
      <c r="P71">
        <f>SUMIF('库存（子SKU）'!$C:$C,$A71,'库存（子SKU）'!R:R)</f>
        <v>55261</v>
      </c>
      <c r="Q71">
        <f>SUMIF('库存（子SKU）'!$C:$C,$A71,'库存（子SKU）'!S:S)</f>
        <v>39659</v>
      </c>
      <c r="R71">
        <f>SUMIF('库存（子SKU）'!$C:$C,$A71,'库存（子SKU）'!T:T)</f>
        <v>496</v>
      </c>
      <c r="S71">
        <f>SUMIF('库存（子SKU）'!$C:$C,$A71,'库存（子SKU）'!U:U)</f>
        <v>497</v>
      </c>
      <c r="T71">
        <f>SUMIF('库存（子SKU）'!$C:$C,$A71,'库存（子SKU）'!V:V)</f>
        <v>276</v>
      </c>
      <c r="U71">
        <f>SUMIF('库存（子SKU）'!$C:$C,$A71,'库存（子SKU）'!W:W)</f>
        <v>179</v>
      </c>
      <c r="V71" s="23">
        <f t="shared" si="32"/>
        <v>0.00499587034910659</v>
      </c>
      <c r="W71" s="23">
        <f t="shared" si="33"/>
        <v>0.00499758667846513</v>
      </c>
      <c r="X71" s="23">
        <f t="shared" si="34"/>
        <v>0.00499448073686687</v>
      </c>
      <c r="Y71" s="23">
        <f t="shared" si="35"/>
        <v>0.00451347739479059</v>
      </c>
      <c r="Z71">
        <f>SUMIF('库存（子SKU）'!$C:$C,$A71,'库存（子SKU）'!AB:AB)</f>
        <v>152.33</v>
      </c>
      <c r="AA71">
        <f>SUMIF('库存（子SKU）'!$C:$C,$A71,'库存（子SKU）'!AC:AC)</f>
        <v>152.51</v>
      </c>
      <c r="AB71">
        <f>SUMIF('库存（子SKU）'!$C:$C,$A71,'库存（子SKU）'!AD:AD)</f>
        <v>76.02</v>
      </c>
      <c r="AC71">
        <f>SUMIF('库存（子SKU）'!$C:$C,$A71,'库存（子SKU）'!AE:AE)</f>
        <v>70.86</v>
      </c>
      <c r="AD71" s="23">
        <f t="shared" si="20"/>
        <v>1.69274363818202</v>
      </c>
      <c r="AE71" s="23" t="str">
        <f t="shared" si="21"/>
        <v>无销量广告费为152.51</v>
      </c>
      <c r="AF71" s="23">
        <f t="shared" si="22"/>
        <v>0.844760528947661</v>
      </c>
      <c r="AG71" s="23" t="str">
        <f t="shared" si="23"/>
        <v>无销量广告费为70.86</v>
      </c>
      <c r="AH71">
        <f>SUMIF('库存（子SKU）'!$C:$C,$A71,'库存（子SKU）'!AJ:AJ)</f>
        <v>73</v>
      </c>
      <c r="AI71">
        <f>SUMIF('库存（子SKU）'!$C:$C,$A71,'库存（子SKU）'!AK:AK)</f>
        <v>74</v>
      </c>
      <c r="AJ71">
        <f>SUMIF('库存（子SKU）'!$C:$C,$A71,'库存（子SKU）'!AL:AL)</f>
        <v>265</v>
      </c>
      <c r="AK71">
        <f>SUMIF('库存（子SKU）'!$C:$C,$A71,'库存（子SKU）'!AM:AM)</f>
        <v>173</v>
      </c>
      <c r="AL71" s="23">
        <f t="shared" si="24"/>
        <v>0.0136986301369863</v>
      </c>
      <c r="AM71" s="23">
        <f t="shared" si="25"/>
        <v>0</v>
      </c>
      <c r="AN71" s="23">
        <f t="shared" si="26"/>
        <v>0.00377358490566038</v>
      </c>
      <c r="AO71" s="23">
        <f t="shared" si="27"/>
        <v>0</v>
      </c>
      <c r="AP71" s="7">
        <f t="shared" si="28"/>
        <v>0.142857142857143</v>
      </c>
      <c r="AQ71" s="7">
        <f t="shared" si="29"/>
        <v>8.57142857142857</v>
      </c>
      <c r="AR71" s="7">
        <f t="shared" si="30"/>
        <v>-1.57142857142857</v>
      </c>
      <c r="AS71">
        <f t="shared" si="31"/>
        <v>49</v>
      </c>
      <c r="AT71" s="2">
        <f>IFERROR(时间!$B$4+AS71,"上周无销量")</f>
        <v>43374</v>
      </c>
    </row>
    <row r="72" spans="1:46">
      <c r="A72" t="s">
        <v>372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1</v>
      </c>
      <c r="F72" s="6">
        <v>89.99</v>
      </c>
      <c r="G72">
        <f>SUMIF('库存（子SKU）'!$C:$C,$A72,'库存（子SKU）'!I:I)</f>
        <v>20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20</v>
      </c>
      <c r="L72">
        <f>SUMIF('库存（子SKU）'!$C:$C,$A72,'库存（子SKU）'!N:N)</f>
        <v>0</v>
      </c>
      <c r="M72">
        <f>SUMIF('库存（子SKU）'!$C:$C,$A72,'库存（子SKU）'!O:O)</f>
        <v>14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>
        <f t="shared" si="23"/>
        <v>0</v>
      </c>
      <c r="AH72">
        <f>SUMIF('库存（子SKU）'!$C:$C,$A72,'库存（子SKU）'!AJ:AJ)</f>
        <v>46</v>
      </c>
      <c r="AI72">
        <f>SUMIF('库存（子SKU）'!$C:$C,$A72,'库存（子SKU）'!AK:AK)</f>
        <v>27</v>
      </c>
      <c r="AJ72">
        <f>SUMIF('库存（子SKU）'!$C:$C,$A72,'库存（子SKU）'!AL:AL)</f>
        <v>39</v>
      </c>
      <c r="AK72">
        <f>SUMIF('库存（子SKU）'!$C:$C,$A72,'库存（子SKU）'!AM:AM)</f>
        <v>47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0.0212765957446809</v>
      </c>
      <c r="AP72" s="7">
        <f t="shared" si="28"/>
        <v>0</v>
      </c>
      <c r="AQ72" s="7">
        <f t="shared" si="29"/>
        <v>0</v>
      </c>
      <c r="AR72" s="7">
        <f t="shared" si="30"/>
        <v>20</v>
      </c>
      <c r="AS72" t="str">
        <f t="shared" si="31"/>
        <v>库存为20</v>
      </c>
      <c r="AT72" s="2" t="str">
        <f>IFERROR(时间!$B$4+AS72,"上周无销量")</f>
        <v>上周无销量</v>
      </c>
    </row>
    <row r="73" spans="1:46">
      <c r="A73" t="s">
        <v>375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1</v>
      </c>
      <c r="F73" s="6">
        <v>69.99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20189</v>
      </c>
      <c r="O73">
        <f>SUMIF('库存（子SKU）'!$C:$C,$A73,'库存（子SKU）'!Q:Q)</f>
        <v>20189</v>
      </c>
      <c r="P73">
        <f>SUMIF('库存（子SKU）'!$C:$C,$A73,'库存（子SKU）'!R:R)</f>
        <v>0</v>
      </c>
      <c r="Q73">
        <f>SUMIF('库存（子SKU）'!$C:$C,$A73,'库存（子SKU）'!S:S)</f>
        <v>1134</v>
      </c>
      <c r="R73">
        <f>SUMIF('库存（子SKU）'!$C:$C,$A73,'库存（子SKU）'!T:T)</f>
        <v>264</v>
      </c>
      <c r="S73">
        <f>SUMIF('库存（子SKU）'!$C:$C,$A73,'库存（子SKU）'!U:U)</f>
        <v>264</v>
      </c>
      <c r="T73">
        <f>SUMIF('库存（子SKU）'!$C:$C,$A73,'库存（子SKU）'!V:V)</f>
        <v>0</v>
      </c>
      <c r="U73">
        <f>SUMIF('库存（子SKU）'!$C:$C,$A73,'库存（子SKU）'!W:W)</f>
        <v>15</v>
      </c>
      <c r="V73" s="23">
        <f t="shared" si="32"/>
        <v>0.0130764277576898</v>
      </c>
      <c r="W73" s="23">
        <f t="shared" si="33"/>
        <v>0.0130764277576898</v>
      </c>
      <c r="X73" s="23" t="str">
        <f t="shared" si="34"/>
        <v/>
      </c>
      <c r="Y73" s="23">
        <f t="shared" si="35"/>
        <v>0.0132275132275132</v>
      </c>
      <c r="Z73">
        <f>SUMIF('库存（子SKU）'!$C:$C,$A73,'库存（子SKU）'!AB:AB)</f>
        <v>38.88</v>
      </c>
      <c r="AA73">
        <f>SUMIF('库存（子SKU）'!$C:$C,$A73,'库存（子SKU）'!AC:AC)</f>
        <v>38.88</v>
      </c>
      <c r="AB73">
        <f>SUMIF('库存（子SKU）'!$C:$C,$A73,'库存（子SKU）'!AD:AD)</f>
        <v>0</v>
      </c>
      <c r="AC73">
        <f>SUMIF('库存（子SKU）'!$C:$C,$A73,'库存（子SKU）'!AE:AE)</f>
        <v>2.45</v>
      </c>
      <c r="AD73" s="23" t="str">
        <f t="shared" si="20"/>
        <v>无销量广告费为38.88</v>
      </c>
      <c r="AE73" s="23" t="str">
        <f t="shared" si="21"/>
        <v>无销量广告费为38.88</v>
      </c>
      <c r="AF73" s="23" t="str">
        <f t="shared" si="22"/>
        <v/>
      </c>
      <c r="AG73" s="23">
        <f t="shared" si="23"/>
        <v>0.0350050007143878</v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12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>
        <f t="shared" si="27"/>
        <v>0.0833333333333333</v>
      </c>
      <c r="AP73" s="7">
        <f t="shared" si="28"/>
        <v>0</v>
      </c>
      <c r="AQ73" s="7">
        <f t="shared" si="29"/>
        <v>0</v>
      </c>
      <c r="AR73" s="7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382</v>
      </c>
      <c r="B74" s="5">
        <f>SUMIF('库存（子SKU）'!$C:$C,$A74,'库存（子SKU）'!D:D)</f>
        <v>2</v>
      </c>
      <c r="C74" s="5">
        <f>SUMIF('库存（子SKU）'!$C:$C,$A74,'库存（子SKU）'!E:E)</f>
        <v>1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>
        <v>59.99</v>
      </c>
      <c r="G74">
        <f>SUMIF('库存（子SKU）'!$C:$C,$A74,'库存（子SKU）'!I:I)</f>
        <v>1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</v>
      </c>
      <c r="L74">
        <f>SUMIF('库存（子SKU）'!$C:$C,$A74,'库存（子SKU）'!N:N)</f>
        <v>0</v>
      </c>
      <c r="M74">
        <f>SUMIF('库存（子SKU）'!$C:$C,$A74,'库存（子SKU）'!O:O)</f>
        <v>4</v>
      </c>
      <c r="N74">
        <f>SUMIF('库存（子SKU）'!$C:$C,$A74,'库存（子SKU）'!P:P)</f>
        <v>8521</v>
      </c>
      <c r="O74">
        <f>SUMIF('库存（子SKU）'!$C:$C,$A74,'库存（子SKU）'!Q:Q)</f>
        <v>8522</v>
      </c>
      <c r="P74">
        <f>SUMIF('库存（子SKU）'!$C:$C,$A74,'库存（子SKU）'!R:R)</f>
        <v>1655</v>
      </c>
      <c r="Q74">
        <f>SUMIF('库存（子SKU）'!$C:$C,$A74,'库存（子SKU）'!S:S)</f>
        <v>1639</v>
      </c>
      <c r="R74">
        <f>SUMIF('库存（子SKU）'!$C:$C,$A74,'库存（子SKU）'!T:T)</f>
        <v>101</v>
      </c>
      <c r="S74">
        <f>SUMIF('库存（子SKU）'!$C:$C,$A74,'库存（子SKU）'!U:U)</f>
        <v>101</v>
      </c>
      <c r="T74">
        <f>SUMIF('库存（子SKU）'!$C:$C,$A74,'库存（子SKU）'!V:V)</f>
        <v>27</v>
      </c>
      <c r="U74">
        <f>SUMIF('库存（子SKU）'!$C:$C,$A74,'库存（子SKU）'!W:W)</f>
        <v>15</v>
      </c>
      <c r="V74" s="23">
        <f t="shared" si="32"/>
        <v>0.0118530688886281</v>
      </c>
      <c r="W74" s="23">
        <f t="shared" si="33"/>
        <v>0.0118516780098568</v>
      </c>
      <c r="X74" s="23">
        <f t="shared" si="34"/>
        <v>0.0163141993957704</v>
      </c>
      <c r="Y74" s="23">
        <f t="shared" si="35"/>
        <v>0.00915192190359976</v>
      </c>
      <c r="Z74">
        <f>SUMIF('库存（子SKU）'!$C:$C,$A74,'库存（子SKU）'!AB:AB)</f>
        <v>19.01</v>
      </c>
      <c r="AA74">
        <f>SUMIF('库存（子SKU）'!$C:$C,$A74,'库存（子SKU）'!AC:AC)</f>
        <v>19.01</v>
      </c>
      <c r="AB74">
        <f>SUMIF('库存（子SKU）'!$C:$C,$A74,'库存（子SKU）'!AD:AD)</f>
        <v>6.06</v>
      </c>
      <c r="AC74">
        <f>SUMIF('库存（子SKU）'!$C:$C,$A74,'库存（子SKU）'!AE:AE)</f>
        <v>3.78</v>
      </c>
      <c r="AD74" s="23">
        <f t="shared" si="20"/>
        <v>0.158443073845641</v>
      </c>
      <c r="AE74" s="23">
        <f t="shared" si="21"/>
        <v>0.316886147691282</v>
      </c>
      <c r="AF74" s="23" t="str">
        <f t="shared" si="22"/>
        <v>无销量广告费为6.06</v>
      </c>
      <c r="AG74" s="23" t="str">
        <f t="shared" si="23"/>
        <v>无销量广告费为3.78</v>
      </c>
      <c r="AH74">
        <f>SUMIF('库存（子SKU）'!$C:$C,$A74,'库存（子SKU）'!AJ:AJ)</f>
        <v>92</v>
      </c>
      <c r="AI74">
        <f>SUMIF('库存（子SKU）'!$C:$C,$A74,'库存（子SKU）'!AK:AK)</f>
        <v>51</v>
      </c>
      <c r="AJ74">
        <f>SUMIF('库存（子SKU）'!$C:$C,$A74,'库存（子SKU）'!AL:AL)</f>
        <v>45</v>
      </c>
      <c r="AK74">
        <f>SUMIF('库存（子SKU）'!$C:$C,$A74,'库存（子SKU）'!AM:AM)</f>
        <v>19</v>
      </c>
      <c r="AL74" s="23">
        <f t="shared" si="24"/>
        <v>0.0217391304347826</v>
      </c>
      <c r="AM74" s="23">
        <f t="shared" si="25"/>
        <v>0.0196078431372549</v>
      </c>
      <c r="AN74" s="23">
        <f t="shared" si="26"/>
        <v>0</v>
      </c>
      <c r="AO74" s="23">
        <f t="shared" si="27"/>
        <v>0</v>
      </c>
      <c r="AP74" s="7">
        <f t="shared" si="28"/>
        <v>0.285714285714286</v>
      </c>
      <c r="AQ74" s="7">
        <f t="shared" si="29"/>
        <v>17.1428571428571</v>
      </c>
      <c r="AR74" s="7">
        <f t="shared" si="30"/>
        <v>-16.1428571428571</v>
      </c>
      <c r="AS74">
        <f t="shared" si="31"/>
        <v>3</v>
      </c>
      <c r="AT74" s="2">
        <f>IFERROR(时间!$B$4+AS74,"上周无销量")</f>
        <v>43328</v>
      </c>
    </row>
    <row r="75" spans="1:46">
      <c r="A75" t="s">
        <v>387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">
        <v>57</v>
      </c>
      <c r="G75">
        <f>SUMIF('库存（子SKU）'!$C:$C,$A75,'库存（子SKU）'!I:I)</f>
        <v>7</v>
      </c>
      <c r="H75">
        <f>SUMIF('库存（子SKU）'!$C:$C,$A75,'库存（子SKU）'!J:J)</f>
        <v>0</v>
      </c>
      <c r="I75">
        <f>SUMIF('库存（子SKU）'!$C:$C,$A75,'库存（子SKU）'!K:K)</f>
        <v>10</v>
      </c>
      <c r="J75">
        <f>SUMIF('库存（子SKU）'!$C:$C,$A75,'库存（子SKU）'!L:L)</f>
        <v>0</v>
      </c>
      <c r="K75">
        <f t="shared" si="19"/>
        <v>17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15876</v>
      </c>
      <c r="O75">
        <f>SUMIF('库存（子SKU）'!$C:$C,$A75,'库存（子SKU）'!Q:Q)</f>
        <v>15876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99</v>
      </c>
      <c r="S75">
        <f>SUMIF('库存（子SKU）'!$C:$C,$A75,'库存（子SKU）'!U:U)</f>
        <v>99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>
        <f t="shared" si="32"/>
        <v>0.00623582766439909</v>
      </c>
      <c r="W75" s="23">
        <f t="shared" si="33"/>
        <v>0.00623582766439909</v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13.3</v>
      </c>
      <c r="AA75">
        <f>SUMIF('库存（子SKU）'!$C:$C,$A75,'库存（子SKU）'!AC:AC)</f>
        <v>13.3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>无销量广告费为13.3</v>
      </c>
      <c r="AE75" s="23" t="str">
        <f t="shared" si="21"/>
        <v>无销量广告费为13.3</v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23</v>
      </c>
      <c r="AI75">
        <f>SUMIF('库存（子SKU）'!$C:$C,$A75,'库存（子SKU）'!AK:AK)</f>
        <v>16</v>
      </c>
      <c r="AJ75">
        <f>SUMIF('库存（子SKU）'!$C:$C,$A75,'库存（子SKU）'!AL:AL)</f>
        <v>17</v>
      </c>
      <c r="AK75">
        <f>SUMIF('库存（子SKU）'!$C:$C,$A75,'库存（子SKU）'!AM:AM)</f>
        <v>12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17</v>
      </c>
      <c r="AS75" t="str">
        <f t="shared" si="31"/>
        <v>库存为17</v>
      </c>
      <c r="AT75" s="2" t="str">
        <f>IFERROR(时间!$B$4+AS75,"上周无销量")</f>
        <v>上周无销量</v>
      </c>
    </row>
    <row r="76" spans="1:46">
      <c r="A76" t="s">
        <v>391</v>
      </c>
      <c r="B76" s="5">
        <f>SUMIF('库存（子SKU）'!$C:$C,$A76,'库存（子SKU）'!D:D)</f>
        <v>0</v>
      </c>
      <c r="C76" s="5">
        <f>SUMIF('库存（子SKU）'!$C:$C,$A76,'库存（子SKU）'!E:E)</f>
        <v>2</v>
      </c>
      <c r="D76" s="5">
        <f>SUMIF('库存（子SKU）'!$C:$C,$A76,'库存（子SKU）'!F:F)</f>
        <v>2</v>
      </c>
      <c r="E76" s="5">
        <f>SUMIF('库存（子SKU）'!$C:$C,$A76,'库存（子SKU）'!G:G)</f>
        <v>0</v>
      </c>
      <c r="F76" s="6">
        <v>88.99</v>
      </c>
      <c r="G76">
        <f>SUMIF('库存（子SKU）'!$C:$C,$A76,'库存（子SKU）'!I:I)</f>
        <v>4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4</v>
      </c>
      <c r="L76">
        <f>SUMIF('库存（子SKU）'!$C:$C,$A76,'库存（子SKU）'!N:N)</f>
        <v>0</v>
      </c>
      <c r="M76">
        <f>SUMIF('库存（子SKU）'!$C:$C,$A76,'库存（子SKU）'!O:O)</f>
        <v>4</v>
      </c>
      <c r="N76">
        <f>SUMIF('库存（子SKU）'!$C:$C,$A76,'库存（子SKU）'!P:P)</f>
        <v>201368</v>
      </c>
      <c r="O76">
        <f>SUMIF('库存（子SKU）'!$C:$C,$A76,'库存（子SKU）'!Q:Q)</f>
        <v>202640</v>
      </c>
      <c r="P76">
        <f>SUMIF('库存（子SKU）'!$C:$C,$A76,'库存（子SKU）'!R:R)</f>
        <v>106985</v>
      </c>
      <c r="Q76">
        <f>SUMIF('库存（子SKU）'!$C:$C,$A76,'库存（子SKU）'!S:S)</f>
        <v>57558</v>
      </c>
      <c r="R76">
        <f>SUMIF('库存（子SKU）'!$C:$C,$A76,'库存（子SKU）'!T:T)</f>
        <v>1112</v>
      </c>
      <c r="S76">
        <f>SUMIF('库存（子SKU）'!$C:$C,$A76,'库存（子SKU）'!U:U)</f>
        <v>1117</v>
      </c>
      <c r="T76">
        <f>SUMIF('库存（子SKU）'!$C:$C,$A76,'库存（子SKU）'!V:V)</f>
        <v>561</v>
      </c>
      <c r="U76">
        <f>SUMIF('库存（子SKU）'!$C:$C,$A76,'库存（子SKU）'!W:W)</f>
        <v>347</v>
      </c>
      <c r="V76" s="23">
        <f t="shared" si="32"/>
        <v>0.00552222796074848</v>
      </c>
      <c r="W76" s="23">
        <f t="shared" si="33"/>
        <v>0.00551223845242795</v>
      </c>
      <c r="X76" s="23">
        <f t="shared" si="34"/>
        <v>0.0052437257559471</v>
      </c>
      <c r="Y76" s="23">
        <f t="shared" si="35"/>
        <v>0.00602870148372077</v>
      </c>
      <c r="Z76">
        <f>SUMIF('库存（子SKU）'!$C:$C,$A76,'库存（子SKU）'!AB:AB)</f>
        <v>339.63</v>
      </c>
      <c r="AA76">
        <f>SUMIF('库存（子SKU）'!$C:$C,$A76,'库存（子SKU）'!AC:AC)</f>
        <v>340.83</v>
      </c>
      <c r="AB76">
        <f>SUMIF('库存（子SKU）'!$C:$C,$A76,'库存（子SKU）'!AD:AD)</f>
        <v>163.69</v>
      </c>
      <c r="AC76">
        <f>SUMIF('库存（子SKU）'!$C:$C,$A76,'库存（子SKU）'!AE:AE)</f>
        <v>120.89</v>
      </c>
      <c r="AD76" s="23" t="str">
        <f t="shared" si="20"/>
        <v>无销量广告费为339.63</v>
      </c>
      <c r="AE76" s="23">
        <f t="shared" si="21"/>
        <v>1.91499044836498</v>
      </c>
      <c r="AF76" s="23">
        <f t="shared" si="22"/>
        <v>0.919710079784245</v>
      </c>
      <c r="AG76" s="23" t="str">
        <f t="shared" si="23"/>
        <v>无销量广告费为120.89</v>
      </c>
      <c r="AH76">
        <f>SUMIF('库存（子SKU）'!$C:$C,$A76,'库存（子SKU）'!AJ:AJ)</f>
        <v>280</v>
      </c>
      <c r="AI76">
        <f>SUMIF('库存（子SKU）'!$C:$C,$A76,'库存（子SKU）'!AK:AK)</f>
        <v>493</v>
      </c>
      <c r="AJ76">
        <f>SUMIF('库存（子SKU）'!$C:$C,$A76,'库存（子SKU）'!AL:AL)</f>
        <v>463</v>
      </c>
      <c r="AK76">
        <f>SUMIF('库存（子SKU）'!$C:$C,$A76,'库存（子SKU）'!AM:AM)</f>
        <v>248</v>
      </c>
      <c r="AL76" s="23">
        <f t="shared" si="24"/>
        <v>0</v>
      </c>
      <c r="AM76" s="23">
        <f t="shared" si="25"/>
        <v>0.00405679513184584</v>
      </c>
      <c r="AN76" s="23">
        <f t="shared" si="26"/>
        <v>0.00431965442764579</v>
      </c>
      <c r="AO76" s="23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4</v>
      </c>
      <c r="AS76" t="str">
        <f t="shared" si="31"/>
        <v>库存为4</v>
      </c>
      <c r="AT76" s="2" t="str">
        <f>IFERROR(时间!$B$4+AS76,"上周无销量")</f>
        <v>上周无销量</v>
      </c>
    </row>
    <row r="77" spans="1:46">
      <c r="A77" t="s">
        <v>396</v>
      </c>
      <c r="B77" s="5">
        <f>SUMIF('库存（子SKU）'!$C:$C,$A77,'库存（子SKU）'!D:D)</f>
        <v>4</v>
      </c>
      <c r="C77" s="5">
        <f>SUMIF('库存（子SKU）'!$C:$C,$A77,'库存（子SKU）'!E:E)</f>
        <v>3</v>
      </c>
      <c r="D77" s="5">
        <f>SUMIF('库存（子SKU）'!$C:$C,$A77,'库存（子SKU）'!F:F)</f>
        <v>8</v>
      </c>
      <c r="E77" s="5">
        <f>SUMIF('库存（子SKU）'!$C:$C,$A77,'库存（子SKU）'!G:G)</f>
        <v>3</v>
      </c>
      <c r="F77" s="6">
        <v>85.99</v>
      </c>
      <c r="G77">
        <f>SUMIF('库存（子SKU）'!$C:$C,$A77,'库存（子SKU）'!I:I)</f>
        <v>9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9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400509</v>
      </c>
      <c r="O77">
        <f>SUMIF('库存（子SKU）'!$C:$C,$A77,'库存（子SKU）'!Q:Q)</f>
        <v>401100</v>
      </c>
      <c r="P77">
        <f>SUMIF('库存（子SKU）'!$C:$C,$A77,'库存（子SKU）'!R:R)</f>
        <v>70227</v>
      </c>
      <c r="Q77">
        <f>SUMIF('库存（子SKU）'!$C:$C,$A77,'库存（子SKU）'!S:S)</f>
        <v>63391</v>
      </c>
      <c r="R77">
        <f>SUMIF('库存（子SKU）'!$C:$C,$A77,'库存（子SKU）'!T:T)</f>
        <v>1987</v>
      </c>
      <c r="S77">
        <f>SUMIF('库存（子SKU）'!$C:$C,$A77,'库存（子SKU）'!U:U)</f>
        <v>1991</v>
      </c>
      <c r="T77">
        <f>SUMIF('库存（子SKU）'!$C:$C,$A77,'库存（子SKU）'!V:V)</f>
        <v>478</v>
      </c>
      <c r="U77">
        <f>SUMIF('库存（子SKU）'!$C:$C,$A77,'库存（子SKU）'!W:W)</f>
        <v>362</v>
      </c>
      <c r="V77" s="23">
        <f t="shared" si="32"/>
        <v>0.00496118688968288</v>
      </c>
      <c r="W77" s="23">
        <f t="shared" si="33"/>
        <v>0.00496384941411119</v>
      </c>
      <c r="X77" s="23">
        <f t="shared" si="34"/>
        <v>0.00680649892491492</v>
      </c>
      <c r="Y77" s="23">
        <f t="shared" si="35"/>
        <v>0.00571058983136407</v>
      </c>
      <c r="Z77">
        <f>SUMIF('库存（子SKU）'!$C:$C,$A77,'库存（子SKU）'!AB:AB)</f>
        <v>309.41</v>
      </c>
      <c r="AA77">
        <f>SUMIF('库存（子SKU）'!$C:$C,$A77,'库存（子SKU）'!AC:AC)</f>
        <v>309.96</v>
      </c>
      <c r="AB77">
        <f>SUMIF('库存（子SKU）'!$C:$C,$A77,'库存（子SKU）'!AD:AD)</f>
        <v>60.6</v>
      </c>
      <c r="AC77">
        <f>SUMIF('库存（子SKU）'!$C:$C,$A77,'库存（子SKU）'!AE:AE)</f>
        <v>62.02</v>
      </c>
      <c r="AD77" s="23">
        <f t="shared" si="20"/>
        <v>0.899552273520177</v>
      </c>
      <c r="AE77" s="23">
        <f t="shared" si="21"/>
        <v>1.20153506221654</v>
      </c>
      <c r="AF77" s="23">
        <f t="shared" si="22"/>
        <v>0.0880916385626236</v>
      </c>
      <c r="AG77" s="23">
        <f t="shared" si="23"/>
        <v>0.240415552195992</v>
      </c>
      <c r="AH77">
        <f>SUMIF('库存（子SKU）'!$C:$C,$A77,'库存（子SKU）'!AJ:AJ)</f>
        <v>1105</v>
      </c>
      <c r="AI77">
        <f>SUMIF('库存（子SKU）'!$C:$C,$A77,'库存（子SKU）'!AK:AK)</f>
        <v>563</v>
      </c>
      <c r="AJ77">
        <f>SUMIF('库存（子SKU）'!$C:$C,$A77,'库存（子SKU）'!AL:AL)</f>
        <v>456</v>
      </c>
      <c r="AK77">
        <f>SUMIF('库存（子SKU）'!$C:$C,$A77,'库存（子SKU）'!AM:AM)</f>
        <v>340</v>
      </c>
      <c r="AL77" s="23">
        <f t="shared" si="24"/>
        <v>0.00361990950226244</v>
      </c>
      <c r="AM77" s="23">
        <f t="shared" si="25"/>
        <v>0.00532859680284192</v>
      </c>
      <c r="AN77" s="23">
        <f t="shared" si="26"/>
        <v>0.0175438596491228</v>
      </c>
      <c r="AO77" s="23">
        <f t="shared" si="27"/>
        <v>0.00882352941176471</v>
      </c>
      <c r="AP77" s="7">
        <f t="shared" si="28"/>
        <v>0.571428571428571</v>
      </c>
      <c r="AQ77" s="7">
        <f t="shared" si="29"/>
        <v>34.2857142857143</v>
      </c>
      <c r="AR77" s="7">
        <f t="shared" si="30"/>
        <v>-25.2857142857143</v>
      </c>
      <c r="AS77">
        <f t="shared" si="31"/>
        <v>15</v>
      </c>
      <c r="AT77" s="2">
        <f>IFERROR(时间!$B$4+AS77,"上周无销量")</f>
        <v>43340</v>
      </c>
    </row>
    <row r="78" spans="1:46">
      <c r="A78" t="s">
        <v>401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57</v>
      </c>
      <c r="G78">
        <f>SUMIF('库存（子SKU）'!$C:$C,$A78,'库存（子SKU）'!I:I)</f>
        <v>17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17</v>
      </c>
      <c r="L78">
        <f>SUMIF('库存（子SKU）'!$C:$C,$A78,'库存（子SKU）'!N:N)</f>
        <v>0</v>
      </c>
      <c r="M78">
        <f>SUMIF('库存（子SKU）'!$C:$C,$A78,'库存（子SKU）'!O:O)</f>
        <v>17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21</v>
      </c>
      <c r="AI78">
        <f>SUMIF('库存（子SKU）'!$C:$C,$A78,'库存（子SKU）'!AK:AK)</f>
        <v>12</v>
      </c>
      <c r="AJ78">
        <f>SUMIF('库存（子SKU）'!$C:$C,$A78,'库存（子SKU）'!AL:AL)</f>
        <v>17</v>
      </c>
      <c r="AK78">
        <f>SUMIF('库存（子SKU）'!$C:$C,$A78,'库存（子SKU）'!AM:AM)</f>
        <v>29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17</v>
      </c>
      <c r="AS78" t="str">
        <f t="shared" si="31"/>
        <v>库存为17</v>
      </c>
      <c r="AT78" s="2" t="str">
        <f>IFERROR(时间!$B$4+AS78,"上周无销量")</f>
        <v>上周无销量</v>
      </c>
    </row>
    <row r="79" spans="1:46">
      <c r="A79" t="s">
        <v>404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1</v>
      </c>
      <c r="E79" s="5">
        <f>SUMIF('库存（子SKU）'!$C:$C,$A79,'库存（子SKU）'!G:G)</f>
        <v>1</v>
      </c>
      <c r="F79" s="6">
        <v>99.99</v>
      </c>
      <c r="G79">
        <f>SUMIF('库存（子SKU）'!$C:$C,$A79,'库存（子SKU）'!I:I)</f>
        <v>9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9</v>
      </c>
      <c r="L79">
        <f>SUMIF('库存（子SKU）'!$C:$C,$A79,'库存（子SKU）'!N:N)</f>
        <v>2</v>
      </c>
      <c r="M79">
        <f>SUMIF('库存（子SKU）'!$C:$C,$A79,'库存（子SKU）'!O:O)</f>
        <v>0</v>
      </c>
      <c r="N79">
        <f>SUMIF('库存（子SKU）'!$C:$C,$A79,'库存（子SKU）'!P:P)</f>
        <v>81802</v>
      </c>
      <c r="O79">
        <f>SUMIF('库存（子SKU）'!$C:$C,$A79,'库存（子SKU）'!Q:Q)</f>
        <v>82026</v>
      </c>
      <c r="P79">
        <f>SUMIF('库存（子SKU）'!$C:$C,$A79,'库存（子SKU）'!R:R)</f>
        <v>16358</v>
      </c>
      <c r="Q79">
        <f>SUMIF('库存（子SKU）'!$C:$C,$A79,'库存（子SKU）'!S:S)</f>
        <v>30092</v>
      </c>
      <c r="R79">
        <f>SUMIF('库存（子SKU）'!$C:$C,$A79,'库存（子SKU）'!T:T)</f>
        <v>559</v>
      </c>
      <c r="S79">
        <f>SUMIF('库存（子SKU）'!$C:$C,$A79,'库存（子SKU）'!U:U)</f>
        <v>561</v>
      </c>
      <c r="T79">
        <f>SUMIF('库存（子SKU）'!$C:$C,$A79,'库存（子SKU）'!V:V)</f>
        <v>93</v>
      </c>
      <c r="U79">
        <f>SUMIF('库存（子SKU）'!$C:$C,$A79,'库存（子SKU）'!W:W)</f>
        <v>197</v>
      </c>
      <c r="V79" s="23">
        <f t="shared" si="32"/>
        <v>0.00683357375125303</v>
      </c>
      <c r="W79" s="23">
        <f t="shared" si="33"/>
        <v>0.00683929485772804</v>
      </c>
      <c r="X79" s="23">
        <f t="shared" si="34"/>
        <v>0.00568529160044015</v>
      </c>
      <c r="Y79" s="23">
        <f t="shared" si="35"/>
        <v>0.00654659045593513</v>
      </c>
      <c r="Z79">
        <f>SUMIF('库存（子SKU）'!$C:$C,$A79,'库存（子SKU）'!AB:AB)</f>
        <v>136.75</v>
      </c>
      <c r="AA79">
        <f>SUMIF('库存（子SKU）'!$C:$C,$A79,'库存（子SKU）'!AC:AC)</f>
        <v>137.63</v>
      </c>
      <c r="AB79">
        <f>SUMIF('库存（子SKU）'!$C:$C,$A79,'库存（子SKU）'!AD:AD)</f>
        <v>26.59</v>
      </c>
      <c r="AC79">
        <f>SUMIF('库存（子SKU）'!$C:$C,$A79,'库存（子SKU）'!AE:AE)</f>
        <v>61.48</v>
      </c>
      <c r="AD79" s="23" t="str">
        <f t="shared" si="20"/>
        <v>无销量广告费为136.75</v>
      </c>
      <c r="AE79" s="23" t="str">
        <f t="shared" si="21"/>
        <v>无销量广告费为137.63</v>
      </c>
      <c r="AF79" s="23">
        <f t="shared" si="22"/>
        <v>0.265926592659266</v>
      </c>
      <c r="AG79" s="23">
        <f t="shared" si="23"/>
        <v>0.614861486148615</v>
      </c>
      <c r="AH79">
        <f>SUMIF('库存（子SKU）'!$C:$C,$A79,'库存（子SKU）'!AJ:AJ)</f>
        <v>119</v>
      </c>
      <c r="AI79">
        <f>SUMIF('库存（子SKU）'!$C:$C,$A79,'库存（子SKU）'!AK:AK)</f>
        <v>205</v>
      </c>
      <c r="AJ79">
        <f>SUMIF('库存（子SKU）'!$C:$C,$A79,'库存（子SKU）'!AL:AL)</f>
        <v>115</v>
      </c>
      <c r="AK79">
        <f>SUMIF('库存（子SKU）'!$C:$C,$A79,'库存（子SKU）'!AM:AM)</f>
        <v>220</v>
      </c>
      <c r="AL79" s="23">
        <f t="shared" si="24"/>
        <v>0</v>
      </c>
      <c r="AM79" s="23">
        <f t="shared" si="25"/>
        <v>0</v>
      </c>
      <c r="AN79" s="23">
        <f t="shared" si="26"/>
        <v>0.00869565217391304</v>
      </c>
      <c r="AO79" s="23">
        <f t="shared" si="27"/>
        <v>0.00454545454545455</v>
      </c>
      <c r="AP79" s="7">
        <f t="shared" si="28"/>
        <v>0</v>
      </c>
      <c r="AQ79" s="7">
        <f t="shared" si="29"/>
        <v>0</v>
      </c>
      <c r="AR79" s="7">
        <f t="shared" si="30"/>
        <v>9</v>
      </c>
      <c r="AS79" t="str">
        <f t="shared" si="31"/>
        <v>库存为9</v>
      </c>
      <c r="AT79" s="2" t="str">
        <f>IFERROR(时间!$B$4+AS79,"上周无销量")</f>
        <v>上周无销量</v>
      </c>
    </row>
    <row r="80" spans="1:46">
      <c r="A80" t="s">
        <v>409</v>
      </c>
      <c r="B80" s="5">
        <f>SUMIF('库存（子SKU）'!$C:$C,$A80,'库存（子SKU）'!D:D)</f>
        <v>0</v>
      </c>
      <c r="C80" s="5">
        <f>SUMIF('库存（子SKU）'!$C:$C,$A80,'库存（子SKU）'!E:E)</f>
        <v>3</v>
      </c>
      <c r="D80" s="5">
        <f>SUMIF('库存（子SKU）'!$C:$C,$A80,'库存（子SKU）'!F:F)</f>
        <v>3</v>
      </c>
      <c r="E80" s="5">
        <f>SUMIF('库存（子SKU）'!$C:$C,$A80,'库存（子SKU）'!G:G)</f>
        <v>3</v>
      </c>
      <c r="F80" s="6">
        <v>88.5333333333333</v>
      </c>
      <c r="G80">
        <f>SUMIF('库存（子SKU）'!$C:$C,$A80,'库存（子SKU）'!I:I)</f>
        <v>70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2</v>
      </c>
      <c r="K80">
        <f t="shared" si="19"/>
        <v>72</v>
      </c>
      <c r="L80">
        <f>SUMIF('库存（子SKU）'!$C:$C,$A80,'库存（子SKU）'!N:N)</f>
        <v>0</v>
      </c>
      <c r="M80">
        <f>SUMIF('库存（子SKU）'!$C:$C,$A80,'库存（子SKU）'!O:O)</f>
        <v>9</v>
      </c>
      <c r="N80">
        <f>SUMIF('库存（子SKU）'!$C:$C,$A80,'库存（子SKU）'!P:P)</f>
        <v>56808</v>
      </c>
      <c r="O80">
        <f>SUMIF('库存（子SKU）'!$C:$C,$A80,'库存（子SKU）'!Q:Q)</f>
        <v>56921</v>
      </c>
      <c r="P80">
        <f>SUMIF('库存（子SKU）'!$C:$C,$A80,'库存（子SKU）'!R:R)</f>
        <v>36616</v>
      </c>
      <c r="Q80">
        <f>SUMIF('库存（子SKU）'!$C:$C,$A80,'库存（子SKU）'!S:S)</f>
        <v>16043</v>
      </c>
      <c r="R80">
        <f>SUMIF('库存（子SKU）'!$C:$C,$A80,'库存（子SKU）'!T:T)</f>
        <v>189</v>
      </c>
      <c r="S80">
        <f>SUMIF('库存（子SKU）'!$C:$C,$A80,'库存（子SKU）'!U:U)</f>
        <v>190</v>
      </c>
      <c r="T80">
        <f>SUMIF('库存（子SKU）'!$C:$C,$A80,'库存（子SKU）'!V:V)</f>
        <v>108</v>
      </c>
      <c r="U80">
        <f>SUMIF('库存（子SKU）'!$C:$C,$A80,'库存（子SKU）'!W:W)</f>
        <v>63</v>
      </c>
      <c r="V80" s="23">
        <f t="shared" si="32"/>
        <v>0.00332699619771863</v>
      </c>
      <c r="W80" s="23">
        <f t="shared" si="33"/>
        <v>0.00333795962825671</v>
      </c>
      <c r="X80" s="23">
        <f t="shared" si="34"/>
        <v>0.00294953025999563</v>
      </c>
      <c r="Y80" s="23">
        <f t="shared" si="35"/>
        <v>0.00392694633173347</v>
      </c>
      <c r="Z80">
        <f>SUMIF('库存（子SKU）'!$C:$C,$A80,'库存（子SKU）'!AB:AB)</f>
        <v>67.09</v>
      </c>
      <c r="AA80">
        <f>SUMIF('库存（子SKU）'!$C:$C,$A80,'库存（子SKU）'!AC:AC)</f>
        <v>67.45</v>
      </c>
      <c r="AB80">
        <f>SUMIF('库存（子SKU）'!$C:$C,$A80,'库存（子SKU）'!AD:AD)</f>
        <v>33.6</v>
      </c>
      <c r="AC80">
        <f>SUMIF('库存（子SKU）'!$C:$C,$A80,'库存（子SKU）'!AE:AE)</f>
        <v>27.4</v>
      </c>
      <c r="AD80" s="23" t="str">
        <f t="shared" si="20"/>
        <v>无销量广告费为67.09</v>
      </c>
      <c r="AE80" s="23">
        <f t="shared" si="21"/>
        <v>0.253953313253012</v>
      </c>
      <c r="AF80" s="23">
        <f t="shared" si="22"/>
        <v>0.126506024096386</v>
      </c>
      <c r="AG80" s="23">
        <f t="shared" si="23"/>
        <v>0.10316265060241</v>
      </c>
      <c r="AH80">
        <f>SUMIF('库存（子SKU）'!$C:$C,$A80,'库存（子SKU）'!AJ:AJ)</f>
        <v>192</v>
      </c>
      <c r="AI80">
        <f>SUMIF('库存（子SKU）'!$C:$C,$A80,'库存（子SKU）'!AK:AK)</f>
        <v>265</v>
      </c>
      <c r="AJ80">
        <f>SUMIF('库存（子SKU）'!$C:$C,$A80,'库存（子SKU）'!AL:AL)</f>
        <v>316</v>
      </c>
      <c r="AK80">
        <f>SUMIF('库存（子SKU）'!$C:$C,$A80,'库存（子SKU）'!AM:AM)</f>
        <v>318</v>
      </c>
      <c r="AL80" s="23">
        <f t="shared" si="24"/>
        <v>0</v>
      </c>
      <c r="AM80" s="23">
        <f t="shared" si="25"/>
        <v>0.0113207547169811</v>
      </c>
      <c r="AN80" s="23">
        <f t="shared" si="26"/>
        <v>0.00949367088607595</v>
      </c>
      <c r="AO80" s="23">
        <f t="shared" si="27"/>
        <v>0.00943396226415094</v>
      </c>
      <c r="AP80" s="7">
        <f t="shared" si="28"/>
        <v>0</v>
      </c>
      <c r="AQ80" s="7">
        <f t="shared" si="29"/>
        <v>0</v>
      </c>
      <c r="AR80" s="7">
        <f t="shared" si="30"/>
        <v>72</v>
      </c>
      <c r="AS80" t="str">
        <f t="shared" si="31"/>
        <v>库存为72</v>
      </c>
      <c r="AT80" s="2" t="str">
        <f>IFERROR(时间!$B$4+AS80,"上周无销量")</f>
        <v>上周无销量</v>
      </c>
    </row>
    <row r="81" spans="1:46">
      <c r="A81" t="s">
        <v>416</v>
      </c>
      <c r="B81" s="5">
        <f>SUMIF('库存（子SKU）'!$C:$C,$A81,'库存（子SKU）'!D:D)</f>
        <v>1</v>
      </c>
      <c r="C81" s="5">
        <f>SUMIF('库存（子SKU）'!$C:$C,$A81,'库存（子SKU）'!E:E)</f>
        <v>0</v>
      </c>
      <c r="D81" s="5">
        <f>SUMIF('库存（子SKU）'!$C:$C,$A81,'库存（子SKU）'!F:F)</f>
        <v>2</v>
      </c>
      <c r="E81" s="5">
        <f>SUMIF('库存（子SKU）'!$C:$C,$A81,'库存（子SKU）'!G:G)</f>
        <v>1</v>
      </c>
      <c r="F81" s="6">
        <v>99.99</v>
      </c>
      <c r="G81">
        <f>SUMIF('库存（子SKU）'!$C:$C,$A81,'库存（子SKU）'!I:I)</f>
        <v>6</v>
      </c>
      <c r="H81">
        <f>SUMIF('库存（子SKU）'!$C:$C,$A81,'库存（子SKU）'!J:J)</f>
        <v>5</v>
      </c>
      <c r="I81">
        <f>SUMIF('库存（子SKU）'!$C:$C,$A81,'库存（子SKU）'!K:K)</f>
        <v>1</v>
      </c>
      <c r="J81">
        <f>SUMIF('库存（子SKU）'!$C:$C,$A81,'库存（子SKU）'!L:L)</f>
        <v>0</v>
      </c>
      <c r="K81">
        <f t="shared" si="19"/>
        <v>12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21</v>
      </c>
      <c r="O81">
        <f>SUMIF('库存（子SKU）'!$C:$C,$A81,'库存（子SKU）'!Q:Q)</f>
        <v>21</v>
      </c>
      <c r="P81">
        <f>SUMIF('库存（子SKU）'!$C:$C,$A81,'库存（子SKU）'!R:R)</f>
        <v>4</v>
      </c>
      <c r="Q81">
        <f>SUMIF('库存（子SKU）'!$C:$C,$A81,'库存（子SKU）'!S:S)</f>
        <v>4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>
        <f t="shared" si="32"/>
        <v>0</v>
      </c>
      <c r="W81" s="23">
        <f t="shared" si="33"/>
        <v>0</v>
      </c>
      <c r="X81" s="23">
        <f t="shared" si="34"/>
        <v>0</v>
      </c>
      <c r="Y81" s="23">
        <f t="shared" si="35"/>
        <v>0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>
        <f t="shared" si="20"/>
        <v>0</v>
      </c>
      <c r="AE81" s="23" t="str">
        <f t="shared" si="21"/>
        <v/>
      </c>
      <c r="AF81" s="23">
        <f t="shared" si="22"/>
        <v>0</v>
      </c>
      <c r="AG81" s="23">
        <f t="shared" si="23"/>
        <v>0</v>
      </c>
      <c r="AH81">
        <f>SUMIF('库存（子SKU）'!$C:$C,$A81,'库存（子SKU）'!AJ:AJ)</f>
        <v>53</v>
      </c>
      <c r="AI81">
        <f>SUMIF('库存（子SKU）'!$C:$C,$A81,'库存（子SKU）'!AK:AK)</f>
        <v>27</v>
      </c>
      <c r="AJ81">
        <f>SUMIF('库存（子SKU）'!$C:$C,$A81,'库存（子SKU）'!AL:AL)</f>
        <v>63</v>
      </c>
      <c r="AK81">
        <f>SUMIF('库存（子SKU）'!$C:$C,$A81,'库存（子SKU）'!AM:AM)</f>
        <v>50</v>
      </c>
      <c r="AL81" s="23">
        <f t="shared" si="24"/>
        <v>0.0188679245283019</v>
      </c>
      <c r="AM81" s="23">
        <f t="shared" si="25"/>
        <v>0</v>
      </c>
      <c r="AN81" s="23">
        <f t="shared" si="26"/>
        <v>0.0317460317460317</v>
      </c>
      <c r="AO81" s="23">
        <f t="shared" si="27"/>
        <v>0.02</v>
      </c>
      <c r="AP81" s="7">
        <f t="shared" si="28"/>
        <v>0.142857142857143</v>
      </c>
      <c r="AQ81" s="7">
        <f t="shared" si="29"/>
        <v>8.57142857142857</v>
      </c>
      <c r="AR81" s="7">
        <f t="shared" si="30"/>
        <v>3.42857142857143</v>
      </c>
      <c r="AS81">
        <f t="shared" si="31"/>
        <v>84</v>
      </c>
      <c r="AT81" s="2">
        <f>IFERROR(时间!$B$4+AS81,"上周无销量")</f>
        <v>43409</v>
      </c>
    </row>
    <row r="82" spans="1:46">
      <c r="A82" t="s">
        <v>421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 t="s">
        <v>57</v>
      </c>
      <c r="G82">
        <f>SUMIF('库存（子SKU）'!$C:$C,$A82,'库存（子SKU）'!I:I)</f>
        <v>10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1</v>
      </c>
      <c r="K82">
        <f t="shared" si="19"/>
        <v>11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4</v>
      </c>
      <c r="AI82">
        <f>SUMIF('库存（子SKU）'!$C:$C,$A82,'库存（子SKU）'!AK:AK)</f>
        <v>0</v>
      </c>
      <c r="AJ82">
        <f>SUMIF('库存（子SKU）'!$C:$C,$A82,'库存（子SKU）'!AL:AL)</f>
        <v>1</v>
      </c>
      <c r="AK82">
        <f>SUMIF('库存（子SKU）'!$C:$C,$A82,'库存（子SKU）'!AM:AM)</f>
        <v>2</v>
      </c>
      <c r="AL82" s="23">
        <f t="shared" si="24"/>
        <v>0</v>
      </c>
      <c r="AM82" s="23" t="str">
        <f t="shared" si="25"/>
        <v/>
      </c>
      <c r="AN82" s="23">
        <f t="shared" si="26"/>
        <v>0</v>
      </c>
      <c r="AO82" s="23">
        <f t="shared" si="27"/>
        <v>0</v>
      </c>
      <c r="AP82" s="7">
        <f t="shared" si="28"/>
        <v>0</v>
      </c>
      <c r="AQ82" s="7">
        <f t="shared" si="29"/>
        <v>0</v>
      </c>
      <c r="AR82" s="7">
        <f t="shared" si="30"/>
        <v>11</v>
      </c>
      <c r="AS82" t="str">
        <f t="shared" si="31"/>
        <v>库存为11</v>
      </c>
      <c r="AT82" s="2" t="str">
        <f>IFERROR(时间!$B$4+AS82,"上周无销量")</f>
        <v>上周无销量</v>
      </c>
    </row>
    <row r="83" spans="1:46">
      <c r="A83" t="s">
        <v>424</v>
      </c>
      <c r="B83" s="5">
        <f>SUMIF('库存（子SKU）'!$C:$C,$A83,'库存（子SKU）'!D:D)</f>
        <v>0</v>
      </c>
      <c r="C83" s="5">
        <f>SUMIF('库存（子SKU）'!$C:$C,$A83,'库存（子SKU）'!E:E)</f>
        <v>2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>
        <v>79.99</v>
      </c>
      <c r="G83">
        <f>SUMIF('库存（子SKU）'!$C:$C,$A83,'库存（子SKU）'!I:I)</f>
        <v>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9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80588</v>
      </c>
      <c r="O83">
        <f>SUMIF('库存（子SKU）'!$C:$C,$A83,'库存（子SKU）'!Q:Q)</f>
        <v>80640</v>
      </c>
      <c r="P83">
        <f>SUMIF('库存（子SKU）'!$C:$C,$A83,'库存（子SKU）'!R:R)</f>
        <v>14188</v>
      </c>
      <c r="Q83">
        <f>SUMIF('库存（子SKU）'!$C:$C,$A83,'库存（子SKU）'!S:S)</f>
        <v>22429</v>
      </c>
      <c r="R83">
        <f>SUMIF('库存（子SKU）'!$C:$C,$A83,'库存（子SKU）'!T:T)</f>
        <v>612</v>
      </c>
      <c r="S83">
        <f>SUMIF('库存（子SKU）'!$C:$C,$A83,'库存（子SKU）'!U:U)</f>
        <v>613</v>
      </c>
      <c r="T83">
        <f>SUMIF('库存（子SKU）'!$C:$C,$A83,'库存（子SKU）'!V:V)</f>
        <v>130</v>
      </c>
      <c r="U83">
        <f>SUMIF('库存（子SKU）'!$C:$C,$A83,'库存（子SKU）'!W:W)</f>
        <v>106</v>
      </c>
      <c r="V83" s="23">
        <f t="shared" si="32"/>
        <v>0.00759418275673798</v>
      </c>
      <c r="W83" s="23">
        <f t="shared" si="33"/>
        <v>0.00760168650793651</v>
      </c>
      <c r="X83" s="23">
        <f t="shared" si="34"/>
        <v>0.00916267268113899</v>
      </c>
      <c r="Y83" s="23">
        <f t="shared" si="35"/>
        <v>0.00472602434348388</v>
      </c>
      <c r="Z83">
        <f>SUMIF('库存（子SKU）'!$C:$C,$A83,'库存（子SKU）'!AB:AB)</f>
        <v>137.12</v>
      </c>
      <c r="AA83">
        <f>SUMIF('库存（子SKU）'!$C:$C,$A83,'库存（子SKU）'!AC:AC)</f>
        <v>137.41</v>
      </c>
      <c r="AB83">
        <f>SUMIF('库存（子SKU）'!$C:$C,$A83,'库存（子SKU）'!AD:AD)</f>
        <v>35.22</v>
      </c>
      <c r="AC83">
        <f>SUMIF('库存（子SKU）'!$C:$C,$A83,'库存（子SKU）'!AE:AE)</f>
        <v>37.65</v>
      </c>
      <c r="AD83" s="23" t="str">
        <f t="shared" si="20"/>
        <v>无销量广告费为137.12</v>
      </c>
      <c r="AE83" s="23">
        <f t="shared" si="21"/>
        <v>0.858919864983123</v>
      </c>
      <c r="AF83" s="23" t="str">
        <f t="shared" si="22"/>
        <v>无销量广告费为35.22</v>
      </c>
      <c r="AG83" s="23" t="str">
        <f t="shared" si="23"/>
        <v>无销量广告费为37.65</v>
      </c>
      <c r="AH83">
        <f>SUMIF('库存（子SKU）'!$C:$C,$A83,'库存（子SKU）'!AJ:AJ)</f>
        <v>55</v>
      </c>
      <c r="AI83">
        <f>SUMIF('库存（子SKU）'!$C:$C,$A83,'库存（子SKU）'!AK:AK)</f>
        <v>84</v>
      </c>
      <c r="AJ83">
        <f>SUMIF('库存（子SKU）'!$C:$C,$A83,'库存（子SKU）'!AL:AL)</f>
        <v>162</v>
      </c>
      <c r="AK83">
        <f>SUMIF('库存（子SKU）'!$C:$C,$A83,'库存（子SKU）'!AM:AM)</f>
        <v>116</v>
      </c>
      <c r="AL83" s="23">
        <f t="shared" si="24"/>
        <v>0</v>
      </c>
      <c r="AM83" s="23">
        <f t="shared" si="25"/>
        <v>0.0238095238095238</v>
      </c>
      <c r="AN83" s="23">
        <f t="shared" si="26"/>
        <v>0</v>
      </c>
      <c r="AO83" s="23">
        <f t="shared" si="27"/>
        <v>0</v>
      </c>
      <c r="AP83" s="7">
        <f t="shared" si="28"/>
        <v>0</v>
      </c>
      <c r="AQ83" s="7">
        <f t="shared" si="29"/>
        <v>0</v>
      </c>
      <c r="AR83" s="7">
        <f t="shared" si="30"/>
        <v>9</v>
      </c>
      <c r="AS83" t="str">
        <f t="shared" si="31"/>
        <v>库存为9</v>
      </c>
      <c r="AT83" s="2" t="str">
        <f>IFERROR(时间!$B$4+AS83,"上周无销量")</f>
        <v>上周无销量</v>
      </c>
    </row>
    <row r="84" spans="1:46">
      <c r="A84" t="s">
        <v>430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57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433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57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440</v>
      </c>
      <c r="B86" s="5">
        <f>SUMIF('库存（子SKU）'!$C:$C,$A86,'库存（子SKU）'!D:D)</f>
        <v>0</v>
      </c>
      <c r="C86" s="5">
        <f>SUMIF('库存（子SKU）'!$C:$C,$A86,'库存（子SKU）'!E:E)</f>
        <v>3</v>
      </c>
      <c r="D86" s="5">
        <f>SUMIF('库存（子SKU）'!$C:$C,$A86,'库存（子SKU）'!F:F)</f>
        <v>3</v>
      </c>
      <c r="E86" s="5">
        <f>SUMIF('库存（子SKU）'!$C:$C,$A86,'库存（子SKU）'!G:G)</f>
        <v>2</v>
      </c>
      <c r="F86" s="6">
        <v>99.99</v>
      </c>
      <c r="G86">
        <f>SUMIF('库存（子SKU）'!$C:$C,$A86,'库存（子SKU）'!I:I)</f>
        <v>0</v>
      </c>
      <c r="H86">
        <f>SUMIF('库存（子SKU）'!$C:$C,$A86,'库存（子SKU）'!J:J)</f>
        <v>5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5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248690</v>
      </c>
      <c r="O86">
        <f>SUMIF('库存（子SKU）'!$C:$C,$A86,'库存（子SKU）'!Q:Q)</f>
        <v>249727</v>
      </c>
      <c r="P86">
        <f>SUMIF('库存（子SKU）'!$C:$C,$A86,'库存（子SKU）'!R:R)</f>
        <v>116505</v>
      </c>
      <c r="Q86">
        <f>SUMIF('库存（子SKU）'!$C:$C,$A86,'库存（子SKU）'!S:S)</f>
        <v>71601</v>
      </c>
      <c r="R86">
        <f>SUMIF('库存（子SKU）'!$C:$C,$A86,'库存（子SKU）'!T:T)</f>
        <v>1820</v>
      </c>
      <c r="S86">
        <f>SUMIF('库存（子SKU）'!$C:$C,$A86,'库存（子SKU）'!U:U)</f>
        <v>1827</v>
      </c>
      <c r="T86">
        <f>SUMIF('库存（子SKU）'!$C:$C,$A86,'库存（子SKU）'!V:V)</f>
        <v>890</v>
      </c>
      <c r="U86">
        <f>SUMIF('库存（子SKU）'!$C:$C,$A86,'库存（子SKU）'!W:W)</f>
        <v>555</v>
      </c>
      <c r="V86" s="23">
        <f t="shared" si="32"/>
        <v>0.00731834814427601</v>
      </c>
      <c r="W86" s="23">
        <f t="shared" si="33"/>
        <v>0.00731598906005358</v>
      </c>
      <c r="X86" s="23">
        <f t="shared" si="34"/>
        <v>0.00763915711772027</v>
      </c>
      <c r="Y86" s="23">
        <f t="shared" si="35"/>
        <v>0.00775128838982696</v>
      </c>
      <c r="Z86">
        <f>SUMIF('库存（子SKU）'!$C:$C,$A86,'库存（子SKU）'!AB:AB)</f>
        <v>256.75</v>
      </c>
      <c r="AA86">
        <f>SUMIF('库存（子SKU）'!$C:$C,$A86,'库存（子SKU）'!AC:AC)</f>
        <v>257.98</v>
      </c>
      <c r="AB86">
        <f>SUMIF('库存（子SKU）'!$C:$C,$A86,'库存（子SKU）'!AD:AD)</f>
        <v>109.81</v>
      </c>
      <c r="AC86">
        <f>SUMIF('库存（子SKU）'!$C:$C,$A86,'库存（子SKU）'!AE:AE)</f>
        <v>95.31</v>
      </c>
      <c r="AD86" s="23" t="str">
        <f t="shared" si="20"/>
        <v>无销量广告费为256.75</v>
      </c>
      <c r="AE86" s="23">
        <f t="shared" si="21"/>
        <v>0.86001933526686</v>
      </c>
      <c r="AF86" s="23">
        <f t="shared" si="22"/>
        <v>0.366069940327366</v>
      </c>
      <c r="AG86" s="23">
        <f t="shared" si="23"/>
        <v>0.476597659765977</v>
      </c>
      <c r="AH86">
        <f>SUMIF('库存（子SKU）'!$C:$C,$A86,'库存（子SKU）'!AJ:AJ)</f>
        <v>0</v>
      </c>
      <c r="AI86">
        <f>SUMIF('库存（子SKU）'!$C:$C,$A86,'库存（子SKU）'!AK:AK)</f>
        <v>289</v>
      </c>
      <c r="AJ86">
        <f>SUMIF('库存（子SKU）'!$C:$C,$A86,'库存（子SKU）'!AL:AL)</f>
        <v>1002</v>
      </c>
      <c r="AK86">
        <f>SUMIF('库存（子SKU）'!$C:$C,$A86,'库存（子SKU）'!AM:AM)</f>
        <v>614</v>
      </c>
      <c r="AL86" s="23" t="str">
        <f t="shared" si="24"/>
        <v/>
      </c>
      <c r="AM86" s="23">
        <f t="shared" si="25"/>
        <v>0.0103806228373702</v>
      </c>
      <c r="AN86" s="23">
        <f t="shared" si="26"/>
        <v>0.0029940119760479</v>
      </c>
      <c r="AO86" s="23">
        <f t="shared" si="27"/>
        <v>0.00325732899022801</v>
      </c>
      <c r="AP86" s="7">
        <f t="shared" si="28"/>
        <v>0</v>
      </c>
      <c r="AQ86" s="7">
        <f t="shared" si="29"/>
        <v>0</v>
      </c>
      <c r="AR86" s="7">
        <f t="shared" si="30"/>
        <v>5</v>
      </c>
      <c r="AS86" t="str">
        <f t="shared" si="31"/>
        <v>库存为5</v>
      </c>
      <c r="AT86" s="2" t="str">
        <f>IFERROR(时间!$B$4+AS86,"上周无销量")</f>
        <v>上周无销量</v>
      </c>
    </row>
    <row r="87" spans="1:46">
      <c r="A87" t="s">
        <v>444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3</v>
      </c>
      <c r="E87" s="5">
        <f>SUMIF('库存（子SKU）'!$C:$C,$A87,'库存（子SKU）'!G:G)</f>
        <v>2</v>
      </c>
      <c r="F87" s="6">
        <v>92.99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1</v>
      </c>
      <c r="K87">
        <f t="shared" si="19"/>
        <v>6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103442</v>
      </c>
      <c r="O87">
        <f>SUMIF('库存（子SKU）'!$C:$C,$A87,'库存（子SKU）'!Q:Q)</f>
        <v>103442</v>
      </c>
      <c r="P87">
        <f>SUMIF('库存（子SKU）'!$C:$C,$A87,'库存（子SKU）'!R:R)</f>
        <v>14051</v>
      </c>
      <c r="Q87">
        <f>SUMIF('库存（子SKU）'!$C:$C,$A87,'库存（子SKU）'!S:S)</f>
        <v>34144</v>
      </c>
      <c r="R87">
        <f>SUMIF('库存（子SKU）'!$C:$C,$A87,'库存（子SKU）'!T:T)</f>
        <v>574</v>
      </c>
      <c r="S87">
        <f>SUMIF('库存（子SKU）'!$C:$C,$A87,'库存（子SKU）'!U:U)</f>
        <v>574</v>
      </c>
      <c r="T87">
        <f>SUMIF('库存（子SKU）'!$C:$C,$A87,'库存（子SKU）'!V:V)</f>
        <v>127</v>
      </c>
      <c r="U87">
        <f>SUMIF('库存（子SKU）'!$C:$C,$A87,'库存（子SKU）'!W:W)</f>
        <v>198</v>
      </c>
      <c r="V87" s="23">
        <f t="shared" si="32"/>
        <v>0.00554900330620058</v>
      </c>
      <c r="W87" s="23">
        <f t="shared" si="33"/>
        <v>0.00554900330620058</v>
      </c>
      <c r="X87" s="23">
        <f t="shared" si="34"/>
        <v>0.00903850259767988</v>
      </c>
      <c r="Y87" s="23">
        <f t="shared" si="35"/>
        <v>0.00579896907216495</v>
      </c>
      <c r="Z87">
        <f>SUMIF('库存（子SKU）'!$C:$C,$A87,'库存（子SKU）'!AB:AB)</f>
        <v>89.8</v>
      </c>
      <c r="AA87">
        <f>SUMIF('库存（子SKU）'!$C:$C,$A87,'库存（子SKU）'!AC:AC)</f>
        <v>89.8</v>
      </c>
      <c r="AB87">
        <f>SUMIF('库存（子SKU）'!$C:$C,$A87,'库存（子SKU）'!AD:AD)</f>
        <v>15.55</v>
      </c>
      <c r="AC87">
        <f>SUMIF('库存（子SKU）'!$C:$C,$A87,'库存（子SKU）'!AE:AE)</f>
        <v>36.24</v>
      </c>
      <c r="AD87" s="23" t="str">
        <f t="shared" si="20"/>
        <v>无销量广告费为89.8</v>
      </c>
      <c r="AE87" s="23" t="str">
        <f t="shared" si="21"/>
        <v>无销量广告费为89.8</v>
      </c>
      <c r="AF87" s="23">
        <f t="shared" si="22"/>
        <v>0.0557407606552676</v>
      </c>
      <c r="AG87" s="23">
        <f t="shared" si="23"/>
        <v>0.194859662329283</v>
      </c>
      <c r="AH87">
        <f>SUMIF('库存（子SKU）'!$C:$C,$A87,'库存（子SKU）'!AJ:AJ)</f>
        <v>216</v>
      </c>
      <c r="AI87">
        <f>SUMIF('库存（子SKU）'!$C:$C,$A87,'库存（子SKU）'!AK:AK)</f>
        <v>14</v>
      </c>
      <c r="AJ87">
        <f>SUMIF('库存（子SKU）'!$C:$C,$A87,'库存（子SKU）'!AL:AL)</f>
        <v>163</v>
      </c>
      <c r="AK87">
        <f>SUMIF('库存（子SKU）'!$C:$C,$A87,'库存（子SKU）'!AM:AM)</f>
        <v>171</v>
      </c>
      <c r="AL87" s="23">
        <f t="shared" si="24"/>
        <v>0</v>
      </c>
      <c r="AM87" s="23">
        <f t="shared" si="25"/>
        <v>0</v>
      </c>
      <c r="AN87" s="23">
        <f t="shared" si="26"/>
        <v>0.0184049079754601</v>
      </c>
      <c r="AO87" s="23">
        <f t="shared" si="27"/>
        <v>0.0116959064327485</v>
      </c>
      <c r="AP87" s="7">
        <f t="shared" si="28"/>
        <v>0</v>
      </c>
      <c r="AQ87" s="7">
        <f t="shared" si="29"/>
        <v>0</v>
      </c>
      <c r="AR87" s="7">
        <f t="shared" si="30"/>
        <v>6</v>
      </c>
      <c r="AS87" t="str">
        <f t="shared" si="31"/>
        <v>库存为6</v>
      </c>
      <c r="AT87" s="2" t="str">
        <f>IFERROR(时间!$B$4+AS87,"上周无销量")</f>
        <v>上周无销量</v>
      </c>
    </row>
    <row r="88" spans="1:46">
      <c r="A88" t="s">
        <v>448</v>
      </c>
      <c r="B88" s="5">
        <f>SUMIF('库存（子SKU）'!$C:$C,$A88,'库存（子SKU）'!D:D)</f>
        <v>2</v>
      </c>
      <c r="C88" s="5">
        <f>SUMIF('库存（子SKU）'!$C:$C,$A88,'库存（子SKU）'!E:E)</f>
        <v>5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>
        <v>99.99</v>
      </c>
      <c r="G88">
        <f>SUMIF('库存（子SKU）'!$C:$C,$A88,'库存（子SKU）'!I:I)</f>
        <v>8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8</v>
      </c>
      <c r="L88">
        <f>SUMIF('库存（子SKU）'!$C:$C,$A88,'库存（子SKU）'!N:N)</f>
        <v>1</v>
      </c>
      <c r="M88">
        <f>SUMIF('库存（子SKU）'!$C:$C,$A88,'库存（子SKU）'!O:O)</f>
        <v>0</v>
      </c>
      <c r="N88">
        <f>SUMIF('库存（子SKU）'!$C:$C,$A88,'库存（子SKU）'!P:P)</f>
        <v>239580</v>
      </c>
      <c r="O88">
        <f>SUMIF('库存（子SKU）'!$C:$C,$A88,'库存（子SKU）'!Q:Q)</f>
        <v>240542</v>
      </c>
      <c r="P88">
        <f>SUMIF('库存（子SKU）'!$C:$C,$A88,'库存（子SKU）'!R:R)</f>
        <v>59345</v>
      </c>
      <c r="Q88">
        <f>SUMIF('库存（子SKU）'!$C:$C,$A88,'库存（子SKU）'!S:S)</f>
        <v>0</v>
      </c>
      <c r="R88">
        <f>SUMIF('库存（子SKU）'!$C:$C,$A88,'库存（子SKU）'!T:T)</f>
        <v>1285</v>
      </c>
      <c r="S88">
        <f>SUMIF('库存（子SKU）'!$C:$C,$A88,'库存（子SKU）'!U:U)</f>
        <v>1286</v>
      </c>
      <c r="T88">
        <f>SUMIF('库存（子SKU）'!$C:$C,$A88,'库存（子SKU）'!V:V)</f>
        <v>336</v>
      </c>
      <c r="U88">
        <f>SUMIF('库存（子SKU）'!$C:$C,$A88,'库存（子SKU）'!W:W)</f>
        <v>0</v>
      </c>
      <c r="V88" s="23">
        <f t="shared" si="32"/>
        <v>0.00536355288421404</v>
      </c>
      <c r="W88" s="23">
        <f t="shared" si="33"/>
        <v>0.00534625969685128</v>
      </c>
      <c r="X88" s="23">
        <f t="shared" si="34"/>
        <v>0.00566180807144663</v>
      </c>
      <c r="Y88" s="23" t="str">
        <f t="shared" si="35"/>
        <v/>
      </c>
      <c r="Z88">
        <f>SUMIF('库存（子SKU）'!$C:$C,$A88,'库存（子SKU）'!AB:AB)</f>
        <v>174.23</v>
      </c>
      <c r="AA88">
        <f>SUMIF('库存（子SKU）'!$C:$C,$A88,'库存（子SKU）'!AC:AC)</f>
        <v>174.42</v>
      </c>
      <c r="AB88">
        <f>SUMIF('库存（子SKU）'!$C:$C,$A88,'库存（子SKU）'!AD:AD)</f>
        <v>42.95</v>
      </c>
      <c r="AC88">
        <f>SUMIF('库存（子SKU）'!$C:$C,$A88,'库存（子SKU）'!AE:AE)</f>
        <v>0</v>
      </c>
      <c r="AD88" s="23">
        <f t="shared" si="20"/>
        <v>0.871237123712371</v>
      </c>
      <c r="AE88" s="23">
        <f t="shared" si="21"/>
        <v>0.348874887488749</v>
      </c>
      <c r="AF88" s="23" t="str">
        <f t="shared" si="22"/>
        <v>无销量广告费为42.95</v>
      </c>
      <c r="AG88" s="23" t="str">
        <f t="shared" si="23"/>
        <v/>
      </c>
      <c r="AH88">
        <f>SUMIF('库存（子SKU）'!$C:$C,$A88,'库存（子SKU）'!AJ:AJ)</f>
        <v>373</v>
      </c>
      <c r="AI88">
        <f>SUMIF('库存（子SKU）'!$C:$C,$A88,'库存（子SKU）'!AK:AK)</f>
        <v>569</v>
      </c>
      <c r="AJ88">
        <f>SUMIF('库存（子SKU）'!$C:$C,$A88,'库存（子SKU）'!AL:AL)</f>
        <v>350</v>
      </c>
      <c r="AK88">
        <f>SUMIF('库存（子SKU）'!$C:$C,$A88,'库存（子SKU）'!AM:AM)</f>
        <v>0</v>
      </c>
      <c r="AL88" s="23">
        <f t="shared" si="24"/>
        <v>0.00536193029490617</v>
      </c>
      <c r="AM88" s="23">
        <f t="shared" si="25"/>
        <v>0.00878734622144113</v>
      </c>
      <c r="AN88" s="23">
        <f t="shared" si="26"/>
        <v>0</v>
      </c>
      <c r="AO88" s="23" t="str">
        <f t="shared" si="27"/>
        <v/>
      </c>
      <c r="AP88" s="7">
        <f t="shared" si="28"/>
        <v>0.285714285714286</v>
      </c>
      <c r="AQ88" s="7">
        <f t="shared" si="29"/>
        <v>17.1428571428571</v>
      </c>
      <c r="AR88" s="7">
        <f t="shared" si="30"/>
        <v>-9.14285714285714</v>
      </c>
      <c r="AS88">
        <f t="shared" si="31"/>
        <v>28</v>
      </c>
      <c r="AT88" s="2">
        <f>IFERROR(时间!$B$4+AS88,"上周无销量")</f>
        <v>43353</v>
      </c>
    </row>
    <row r="89" spans="1:46">
      <c r="A89" t="s">
        <v>452</v>
      </c>
      <c r="B89" s="5">
        <f>SUMIF('库存（子SKU）'!$C:$C,$A89,'库存（子SKU）'!D:D)</f>
        <v>1</v>
      </c>
      <c r="C89" s="5">
        <f>SUMIF('库存（子SKU）'!$C:$C,$A89,'库存（子SKU）'!E:E)</f>
        <v>2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>
        <v>89.99</v>
      </c>
      <c r="G89">
        <f>SUMIF('库存（子SKU）'!$C:$C,$A89,'库存（子SKU）'!I:I)</f>
        <v>2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5</v>
      </c>
      <c r="K89">
        <f t="shared" si="19"/>
        <v>7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154991</v>
      </c>
      <c r="O89">
        <f>SUMIF('库存（子SKU）'!$C:$C,$A89,'库存（子SKU）'!Q:Q)</f>
        <v>155121</v>
      </c>
      <c r="P89">
        <f>SUMIF('库存（子SKU）'!$C:$C,$A89,'库存（子SKU）'!R:R)</f>
        <v>16961</v>
      </c>
      <c r="Q89">
        <f>SUMIF('库存（子SKU）'!$C:$C,$A89,'库存（子SKU）'!S:S)</f>
        <v>23298</v>
      </c>
      <c r="R89">
        <f>SUMIF('库存（子SKU）'!$C:$C,$A89,'库存（子SKU）'!T:T)</f>
        <v>685</v>
      </c>
      <c r="S89">
        <f>SUMIF('库存（子SKU）'!$C:$C,$A89,'库存（子SKU）'!U:U)</f>
        <v>685</v>
      </c>
      <c r="T89">
        <f>SUMIF('库存（子SKU）'!$C:$C,$A89,'库存（子SKU）'!V:V)</f>
        <v>108</v>
      </c>
      <c r="U89">
        <f>SUMIF('库存（子SKU）'!$C:$C,$A89,'库存（子SKU）'!W:W)</f>
        <v>131</v>
      </c>
      <c r="V89" s="23">
        <f t="shared" si="32"/>
        <v>0.00441961146131066</v>
      </c>
      <c r="W89" s="23">
        <f t="shared" si="33"/>
        <v>0.00441590758182322</v>
      </c>
      <c r="X89" s="23">
        <f t="shared" si="34"/>
        <v>0.00636754908319085</v>
      </c>
      <c r="Y89" s="23">
        <f t="shared" si="35"/>
        <v>0.00562280024036398</v>
      </c>
      <c r="Z89">
        <f>SUMIF('库存（子SKU）'!$C:$C,$A89,'库存（子SKU）'!AB:AB)</f>
        <v>110.37</v>
      </c>
      <c r="AA89">
        <f>SUMIF('库存（子SKU）'!$C:$C,$A89,'库存（子SKU）'!AC:AC)</f>
        <v>110.37</v>
      </c>
      <c r="AB89">
        <f>SUMIF('库存（子SKU）'!$C:$C,$A89,'库存（子SKU）'!AD:AD)</f>
        <v>14.18</v>
      </c>
      <c r="AC89">
        <f>SUMIF('库存（子SKU）'!$C:$C,$A89,'库存（子SKU）'!AE:AE)</f>
        <v>25.23</v>
      </c>
      <c r="AD89" s="23">
        <f t="shared" si="20"/>
        <v>1.22646960773419</v>
      </c>
      <c r="AE89" s="23">
        <f t="shared" si="21"/>
        <v>0.613234803867096</v>
      </c>
      <c r="AF89" s="23" t="str">
        <f t="shared" si="22"/>
        <v>无销量广告费为14.18</v>
      </c>
      <c r="AG89" s="23" t="str">
        <f t="shared" si="23"/>
        <v>无销量广告费为25.23</v>
      </c>
      <c r="AH89">
        <f>SUMIF('库存（子SKU）'!$C:$C,$A89,'库存（子SKU）'!AJ:AJ)</f>
        <v>244</v>
      </c>
      <c r="AI89">
        <f>SUMIF('库存（子SKU）'!$C:$C,$A89,'库存（子SKU）'!AK:AK)</f>
        <v>204</v>
      </c>
      <c r="AJ89">
        <f>SUMIF('库存（子SKU）'!$C:$C,$A89,'库存（子SKU）'!AL:AL)</f>
        <v>158</v>
      </c>
      <c r="AK89">
        <f>SUMIF('库存（子SKU）'!$C:$C,$A89,'库存（子SKU）'!AM:AM)</f>
        <v>182</v>
      </c>
      <c r="AL89" s="23">
        <f t="shared" si="24"/>
        <v>0.00409836065573771</v>
      </c>
      <c r="AM89" s="23">
        <f t="shared" si="25"/>
        <v>0.00980392156862745</v>
      </c>
      <c r="AN89" s="23">
        <f t="shared" si="26"/>
        <v>0</v>
      </c>
      <c r="AO89" s="23">
        <f t="shared" si="27"/>
        <v>0</v>
      </c>
      <c r="AP89" s="7">
        <f t="shared" si="28"/>
        <v>0.142857142857143</v>
      </c>
      <c r="AQ89" s="7">
        <f t="shared" si="29"/>
        <v>8.57142857142857</v>
      </c>
      <c r="AR89" s="7">
        <f t="shared" si="30"/>
        <v>-1.57142857142857</v>
      </c>
      <c r="AS89">
        <f t="shared" si="31"/>
        <v>49</v>
      </c>
      <c r="AT89" s="2">
        <f>IFERROR(时间!$B$4+AS89,"上周无销量")</f>
        <v>43374</v>
      </c>
    </row>
    <row r="90" spans="1:46">
      <c r="A90" t="s">
        <v>457</v>
      </c>
      <c r="B90" s="5">
        <f>SUMIF('库存（子SKU）'!$C:$C,$A90,'库存（子SKU）'!D:D)</f>
        <v>3</v>
      </c>
      <c r="C90" s="5">
        <f>SUMIF('库存（子SKU）'!$C:$C,$A90,'库存（子SKU）'!E:E)</f>
        <v>0</v>
      </c>
      <c r="D90" s="5">
        <f>SUMIF('库存（子SKU）'!$C:$C,$A90,'库存（子SKU）'!F:F)</f>
        <v>2</v>
      </c>
      <c r="E90" s="5">
        <f>SUMIF('库存（子SKU）'!$C:$C,$A90,'库存（子SKU）'!G:G)</f>
        <v>1</v>
      </c>
      <c r="F90" s="6">
        <v>108.99</v>
      </c>
      <c r="G90">
        <f>SUMIF('库存（子SKU）'!$C:$C,$A90,'库存（子SKU）'!I:I)</f>
        <v>2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2</v>
      </c>
      <c r="L90">
        <f>SUMIF('库存（子SKU）'!$C:$C,$A90,'库存（子SKU）'!N:N)</f>
        <v>1</v>
      </c>
      <c r="M90">
        <f>SUMIF('库存（子SKU）'!$C:$C,$A90,'库存（子SKU）'!O:O)</f>
        <v>0</v>
      </c>
      <c r="N90">
        <f>SUMIF('库存（子SKU）'!$C:$C,$A90,'库存（子SKU）'!P:P)</f>
        <v>8129</v>
      </c>
      <c r="O90">
        <f>SUMIF('库存（子SKU）'!$C:$C,$A90,'库存（子SKU）'!Q:Q)</f>
        <v>8180</v>
      </c>
      <c r="P90">
        <f>SUMIF('库存（子SKU）'!$C:$C,$A90,'库存（子SKU）'!R:R)</f>
        <v>1690</v>
      </c>
      <c r="Q90">
        <f>SUMIF('库存（子SKU）'!$C:$C,$A90,'库存（子SKU）'!S:S)</f>
        <v>2371</v>
      </c>
      <c r="R90">
        <f>SUMIF('库存（子SKU）'!$C:$C,$A90,'库存（子SKU）'!T:T)</f>
        <v>115</v>
      </c>
      <c r="S90">
        <f>SUMIF('库存（子SKU）'!$C:$C,$A90,'库存（子SKU）'!U:U)</f>
        <v>117</v>
      </c>
      <c r="T90">
        <f>SUMIF('库存（子SKU）'!$C:$C,$A90,'库存（子SKU）'!V:V)</f>
        <v>24</v>
      </c>
      <c r="U90">
        <f>SUMIF('库存（子SKU）'!$C:$C,$A90,'库存（子SKU）'!W:W)</f>
        <v>41</v>
      </c>
      <c r="V90" s="23">
        <f t="shared" si="32"/>
        <v>0.0141468815352442</v>
      </c>
      <c r="W90" s="23">
        <f t="shared" si="33"/>
        <v>0.0143031784841076</v>
      </c>
      <c r="X90" s="23">
        <f t="shared" si="34"/>
        <v>0.0142011834319527</v>
      </c>
      <c r="Y90" s="23">
        <f t="shared" si="35"/>
        <v>0.0172922817376634</v>
      </c>
      <c r="Z90">
        <f>SUMIF('库存（子SKU）'!$C:$C,$A90,'库存（子SKU）'!AB:AB)</f>
        <v>25</v>
      </c>
      <c r="AA90">
        <f>SUMIF('库存（子SKU）'!$C:$C,$A90,'库存（子SKU）'!AC:AC)</f>
        <v>25.22</v>
      </c>
      <c r="AB90">
        <f>SUMIF('库存（子SKU）'!$C:$C,$A90,'库存（子SKU）'!AD:AD)</f>
        <v>3.81</v>
      </c>
      <c r="AC90">
        <f>SUMIF('库存（子SKU）'!$C:$C,$A90,'库存（子SKU）'!AE:AE)</f>
        <v>9.21</v>
      </c>
      <c r="AD90" s="23">
        <f t="shared" si="20"/>
        <v>0.0764596140318684</v>
      </c>
      <c r="AE90" s="23" t="str">
        <f t="shared" si="21"/>
        <v>无销量广告费为25.22</v>
      </c>
      <c r="AF90" s="23">
        <f t="shared" si="22"/>
        <v>0.0174786677676851</v>
      </c>
      <c r="AG90" s="23">
        <f t="shared" si="23"/>
        <v>0.0845031654280209</v>
      </c>
      <c r="AH90">
        <f>SUMIF('库存（子SKU）'!$C:$C,$A90,'库存（子SKU）'!AJ:AJ)</f>
        <v>147</v>
      </c>
      <c r="AI90">
        <f>SUMIF('库存（子SKU）'!$C:$C,$A90,'库存（子SKU）'!AK:AK)</f>
        <v>90</v>
      </c>
      <c r="AJ90">
        <f>SUMIF('库存（子SKU）'!$C:$C,$A90,'库存（子SKU）'!AL:AL)</f>
        <v>44</v>
      </c>
      <c r="AK90">
        <f>SUMIF('库存（子SKU）'!$C:$C,$A90,'库存（子SKU）'!AM:AM)</f>
        <v>37</v>
      </c>
      <c r="AL90" s="23">
        <f t="shared" si="24"/>
        <v>0.0204081632653061</v>
      </c>
      <c r="AM90" s="23">
        <f t="shared" si="25"/>
        <v>0</v>
      </c>
      <c r="AN90" s="23">
        <f t="shared" si="26"/>
        <v>0.0454545454545455</v>
      </c>
      <c r="AO90" s="23">
        <f t="shared" si="27"/>
        <v>0.027027027027027</v>
      </c>
      <c r="AP90" s="7">
        <f t="shared" si="28"/>
        <v>0.428571428571429</v>
      </c>
      <c r="AQ90" s="7">
        <f t="shared" si="29"/>
        <v>25.7142857142857</v>
      </c>
      <c r="AR90" s="7">
        <f t="shared" si="30"/>
        <v>-23.7142857142857</v>
      </c>
      <c r="AS90">
        <f t="shared" si="31"/>
        <v>4</v>
      </c>
      <c r="AT90" s="2">
        <f>IFERROR(时间!$B$4+AS90,"上周无销量")</f>
        <v>43329</v>
      </c>
    </row>
    <row r="91" spans="1:46">
      <c r="A91" t="s">
        <v>461</v>
      </c>
      <c r="B91" s="5">
        <f>SUMIF('库存（子SKU）'!$C:$C,$A91,'库存（子SKU）'!D:D)</f>
        <v>0</v>
      </c>
      <c r="C91" s="5">
        <f>SUMIF('库存（子SKU）'!$C:$C,$A91,'库存（子SKU）'!E:E)</f>
        <v>1</v>
      </c>
      <c r="D91" s="5">
        <f>SUMIF('库存（子SKU）'!$C:$C,$A91,'库存（子SKU）'!F:F)</f>
        <v>0</v>
      </c>
      <c r="E91" s="5">
        <f>SUMIF('库存（子SKU）'!$C:$C,$A91,'库存（子SKU）'!G:G)</f>
        <v>2</v>
      </c>
      <c r="F91" s="6">
        <v>55.99</v>
      </c>
      <c r="G91">
        <f>SUMIF('库存（子SKU）'!$C:$C,$A91,'库存（子SKU）'!I:I)</f>
        <v>41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41</v>
      </c>
      <c r="L91">
        <f>SUMIF('库存（子SKU）'!$C:$C,$A91,'库存（子SKU）'!N:N)</f>
        <v>0</v>
      </c>
      <c r="M91">
        <f>SUMIF('库存（子SKU）'!$C:$C,$A91,'库存（子SKU）'!O:O)</f>
        <v>10</v>
      </c>
      <c r="N91">
        <f>SUMIF('库存（子SKU）'!$C:$C,$A91,'库存（子SKU）'!P:P)</f>
        <v>3088</v>
      </c>
      <c r="O91">
        <f>SUMIF('库存（子SKU）'!$C:$C,$A91,'库存（子SKU）'!Q:Q)</f>
        <v>3110</v>
      </c>
      <c r="P91">
        <f>SUMIF('库存（子SKU）'!$C:$C,$A91,'库存（子SKU）'!R:R)</f>
        <v>1106</v>
      </c>
      <c r="Q91">
        <f>SUMIF('库存（子SKU）'!$C:$C,$A91,'库存（子SKU）'!S:S)</f>
        <v>706</v>
      </c>
      <c r="R91">
        <f>SUMIF('库存（子SKU）'!$C:$C,$A91,'库存（子SKU）'!T:T)</f>
        <v>57</v>
      </c>
      <c r="S91">
        <f>SUMIF('库存（子SKU）'!$C:$C,$A91,'库存（子SKU）'!U:U)</f>
        <v>57</v>
      </c>
      <c r="T91">
        <f>SUMIF('库存（子SKU）'!$C:$C,$A91,'库存（子SKU）'!V:V)</f>
        <v>22</v>
      </c>
      <c r="U91">
        <f>SUMIF('库存（子SKU）'!$C:$C,$A91,'库存（子SKU）'!W:W)</f>
        <v>14</v>
      </c>
      <c r="V91" s="23">
        <f t="shared" si="32"/>
        <v>0.0184585492227979</v>
      </c>
      <c r="W91" s="23">
        <f t="shared" si="33"/>
        <v>0.0183279742765273</v>
      </c>
      <c r="X91" s="23">
        <f t="shared" si="34"/>
        <v>0.0198915009041591</v>
      </c>
      <c r="Y91" s="23">
        <f t="shared" si="35"/>
        <v>0.0198300283286119</v>
      </c>
      <c r="Z91">
        <f>SUMIF('库存（子SKU）'!$C:$C,$A91,'库存（子SKU）'!AB:AB)</f>
        <v>18.49</v>
      </c>
      <c r="AA91">
        <f>SUMIF('库存（子SKU）'!$C:$C,$A91,'库存（子SKU）'!AC:AC)</f>
        <v>18.49</v>
      </c>
      <c r="AB91">
        <f>SUMIF('库存（子SKU）'!$C:$C,$A91,'库存（子SKU）'!AD:AD)</f>
        <v>6.07</v>
      </c>
      <c r="AC91">
        <f>SUMIF('库存（子SKU）'!$C:$C,$A91,'库存（子SKU）'!AE:AE)</f>
        <v>5.36</v>
      </c>
      <c r="AD91" s="23" t="str">
        <f t="shared" si="20"/>
        <v>无销量广告费为18.49</v>
      </c>
      <c r="AE91" s="23">
        <f t="shared" si="21"/>
        <v>0.330237542418289</v>
      </c>
      <c r="AF91" s="23" t="str">
        <f t="shared" si="22"/>
        <v>无销量广告费为6.07</v>
      </c>
      <c r="AG91" s="23">
        <f t="shared" si="23"/>
        <v>0.0478656903018396</v>
      </c>
      <c r="AH91">
        <f>SUMIF('库存（子SKU）'!$C:$C,$A91,'库存（子SKU）'!AJ:AJ)</f>
        <v>185</v>
      </c>
      <c r="AI91">
        <f>SUMIF('库存（子SKU）'!$C:$C,$A91,'库存（子SKU）'!AK:AK)</f>
        <v>131</v>
      </c>
      <c r="AJ91">
        <f>SUMIF('库存（子SKU）'!$C:$C,$A91,'库存（子SKU）'!AL:AL)</f>
        <v>136</v>
      </c>
      <c r="AK91">
        <f>SUMIF('库存（子SKU）'!$C:$C,$A91,'库存（子SKU）'!AM:AM)</f>
        <v>132</v>
      </c>
      <c r="AL91" s="23">
        <f t="shared" si="24"/>
        <v>0</v>
      </c>
      <c r="AM91" s="23">
        <f t="shared" si="25"/>
        <v>0.00763358778625954</v>
      </c>
      <c r="AN91" s="23">
        <f t="shared" si="26"/>
        <v>0</v>
      </c>
      <c r="AO91" s="23">
        <f t="shared" si="27"/>
        <v>0.0151515151515152</v>
      </c>
      <c r="AP91" s="7">
        <f t="shared" si="28"/>
        <v>0</v>
      </c>
      <c r="AQ91" s="7">
        <f t="shared" si="29"/>
        <v>0</v>
      </c>
      <c r="AR91" s="7">
        <f t="shared" si="30"/>
        <v>41</v>
      </c>
      <c r="AS91" t="str">
        <f t="shared" si="31"/>
        <v>库存为41</v>
      </c>
      <c r="AT91" s="2" t="str">
        <f>IFERROR(时间!$B$4+AS91,"上周无销量")</f>
        <v>上周无销量</v>
      </c>
    </row>
    <row r="92" spans="1:46">
      <c r="A92" t="s">
        <v>473</v>
      </c>
      <c r="B92" s="5">
        <f>SUMIF('库存（子SKU）'!$C:$C,$A92,'库存（子SKU）'!D:D)</f>
        <v>0</v>
      </c>
      <c r="C92" s="5">
        <f>SUMIF('库存（子SKU）'!$C:$C,$A92,'库存（子SKU）'!E:E)</f>
        <v>1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>
        <v>99.99</v>
      </c>
      <c r="G92">
        <f>SUMIF('库存（子SKU）'!$C:$C,$A92,'库存（子SKU）'!I:I)</f>
        <v>2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2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8207</v>
      </c>
      <c r="O92">
        <f>SUMIF('库存（子SKU）'!$C:$C,$A92,'库存（子SKU）'!Q:Q)</f>
        <v>8246</v>
      </c>
      <c r="P92">
        <f>SUMIF('库存（子SKU）'!$C:$C,$A92,'库存（子SKU）'!R:R)</f>
        <v>2461</v>
      </c>
      <c r="Q92">
        <f>SUMIF('库存（子SKU）'!$C:$C,$A92,'库存（子SKU）'!S:S)</f>
        <v>648</v>
      </c>
      <c r="R92">
        <f>SUMIF('库存（子SKU）'!$C:$C,$A92,'库存（子SKU）'!T:T)</f>
        <v>49</v>
      </c>
      <c r="S92">
        <f>SUMIF('库存（子SKU）'!$C:$C,$A92,'库存（子SKU）'!U:U)</f>
        <v>49</v>
      </c>
      <c r="T92">
        <f>SUMIF('库存（子SKU）'!$C:$C,$A92,'库存（子SKU）'!V:V)</f>
        <v>9</v>
      </c>
      <c r="U92">
        <f>SUMIF('库存（子SKU）'!$C:$C,$A92,'库存（子SKU）'!W:W)</f>
        <v>9</v>
      </c>
      <c r="V92" s="23">
        <f t="shared" si="32"/>
        <v>0.00597051297672718</v>
      </c>
      <c r="W92" s="23">
        <f t="shared" si="33"/>
        <v>0.00594227504244482</v>
      </c>
      <c r="X92" s="23">
        <f t="shared" si="34"/>
        <v>0.00365704997968306</v>
      </c>
      <c r="Y92" s="23">
        <f t="shared" si="35"/>
        <v>0.0138888888888889</v>
      </c>
      <c r="Z92">
        <f>SUMIF('库存（子SKU）'!$C:$C,$A92,'库存（子SKU）'!AB:AB)</f>
        <v>14.84</v>
      </c>
      <c r="AA92">
        <f>SUMIF('库存（子SKU）'!$C:$C,$A92,'库存（子SKU）'!AC:AC)</f>
        <v>14.84</v>
      </c>
      <c r="AB92">
        <f>SUMIF('库存（子SKU）'!$C:$C,$A92,'库存（子SKU）'!AD:AD)</f>
        <v>2.63</v>
      </c>
      <c r="AC92">
        <f>SUMIF('库存（子SKU）'!$C:$C,$A92,'库存（子SKU）'!AE:AE)</f>
        <v>2.61</v>
      </c>
      <c r="AD92" s="23" t="str">
        <f t="shared" si="20"/>
        <v>无销量广告费为14.84</v>
      </c>
      <c r="AE92" s="23">
        <f t="shared" si="21"/>
        <v>0.148414841484148</v>
      </c>
      <c r="AF92" s="23" t="str">
        <f t="shared" si="22"/>
        <v>无销量广告费为2.63</v>
      </c>
      <c r="AG92" s="23" t="str">
        <f t="shared" si="23"/>
        <v>无销量广告费为2.61</v>
      </c>
      <c r="AH92">
        <f>SUMIF('库存（子SKU）'!$C:$C,$A92,'库存（子SKU）'!AJ:AJ)</f>
        <v>40</v>
      </c>
      <c r="AI92">
        <f>SUMIF('库存（子SKU）'!$C:$C,$A92,'库存（子SKU）'!AK:AK)</f>
        <v>46</v>
      </c>
      <c r="AJ92">
        <f>SUMIF('库存（子SKU）'!$C:$C,$A92,'库存（子SKU）'!AL:AL)</f>
        <v>18</v>
      </c>
      <c r="AK92">
        <f>SUMIF('库存（子SKU）'!$C:$C,$A92,'库存（子SKU）'!AM:AM)</f>
        <v>8</v>
      </c>
      <c r="AL92" s="23">
        <f t="shared" si="24"/>
        <v>0</v>
      </c>
      <c r="AM92" s="23">
        <f t="shared" si="25"/>
        <v>0.0217391304347826</v>
      </c>
      <c r="AN92" s="23">
        <f t="shared" si="26"/>
        <v>0</v>
      </c>
      <c r="AO92" s="23">
        <f t="shared" si="27"/>
        <v>0</v>
      </c>
      <c r="AP92" s="7">
        <f t="shared" si="28"/>
        <v>0</v>
      </c>
      <c r="AQ92" s="7">
        <f t="shared" si="29"/>
        <v>0</v>
      </c>
      <c r="AR92" s="7">
        <f t="shared" si="30"/>
        <v>2</v>
      </c>
      <c r="AS92" t="str">
        <f t="shared" si="31"/>
        <v>库存为2</v>
      </c>
      <c r="AT92" s="2" t="str">
        <f>IFERROR(时间!$B$4+AS92,"上周无销量")</f>
        <v>上周无销量</v>
      </c>
    </row>
    <row r="93" spans="1:46">
      <c r="A93" t="s">
        <v>479</v>
      </c>
      <c r="B93" s="5">
        <f>SUMIF('库存（子SKU）'!$C:$C,$A93,'库存（子SKU）'!D:D)</f>
        <v>1</v>
      </c>
      <c r="C93" s="5">
        <f>SUMIF('库存（子SKU）'!$C:$C,$A93,'库存（子SKU）'!E:E)</f>
        <v>0</v>
      </c>
      <c r="D93" s="5">
        <f>SUMIF('库存（子SKU）'!$C:$C,$A93,'库存（子SKU）'!F:F)</f>
        <v>1</v>
      </c>
      <c r="E93" s="5">
        <f>SUMIF('库存（子SKU）'!$C:$C,$A93,'库存（子SKU）'!G:G)</f>
        <v>5</v>
      </c>
      <c r="F93" s="6">
        <v>108.99</v>
      </c>
      <c r="G93">
        <f>SUMIF('库存（子SKU）'!$C:$C,$A93,'库存（子SKU）'!I:I)</f>
        <v>13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13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68946</v>
      </c>
      <c r="O93">
        <f>SUMIF('库存（子SKU）'!$C:$C,$A93,'库存（子SKU）'!Q:Q)</f>
        <v>69070</v>
      </c>
      <c r="P93">
        <f>SUMIF('库存（子SKU）'!$C:$C,$A93,'库存（子SKU）'!R:R)</f>
        <v>5342</v>
      </c>
      <c r="Q93">
        <f>SUMIF('库存（子SKU）'!$C:$C,$A93,'库存（子SKU）'!S:S)</f>
        <v>13169</v>
      </c>
      <c r="R93">
        <f>SUMIF('库存（子SKU）'!$C:$C,$A93,'库存（子SKU）'!T:T)</f>
        <v>262</v>
      </c>
      <c r="S93">
        <f>SUMIF('库存（子SKU）'!$C:$C,$A93,'库存（子SKU）'!U:U)</f>
        <v>262</v>
      </c>
      <c r="T93">
        <f>SUMIF('库存（子SKU）'!$C:$C,$A93,'库存（子SKU）'!V:V)</f>
        <v>29</v>
      </c>
      <c r="U93">
        <f>SUMIF('库存（子SKU）'!$C:$C,$A93,'库存（子SKU）'!W:W)</f>
        <v>56</v>
      </c>
      <c r="V93" s="23">
        <f t="shared" si="32"/>
        <v>0.00380007542134424</v>
      </c>
      <c r="W93" s="23">
        <f t="shared" si="33"/>
        <v>0.00379325322136963</v>
      </c>
      <c r="X93" s="23">
        <f t="shared" si="34"/>
        <v>0.00542867839760389</v>
      </c>
      <c r="Y93" s="23">
        <f t="shared" si="35"/>
        <v>0.00425241096514542</v>
      </c>
      <c r="Z93">
        <f>SUMIF('库存（子SKU）'!$C:$C,$A93,'库存（子SKU）'!AB:AB)</f>
        <v>60.22</v>
      </c>
      <c r="AA93">
        <f>SUMIF('库存（子SKU）'!$C:$C,$A93,'库存（子SKU）'!AC:AC)</f>
        <v>60.22</v>
      </c>
      <c r="AB93">
        <f>SUMIF('库存（子SKU）'!$C:$C,$A93,'库存（子SKU）'!AD:AD)</f>
        <v>10.4</v>
      </c>
      <c r="AC93">
        <f>SUMIF('库存（子SKU）'!$C:$C,$A93,'库存（子SKU）'!AE:AE)</f>
        <v>20.4</v>
      </c>
      <c r="AD93" s="23">
        <f t="shared" si="20"/>
        <v>0.552527754839894</v>
      </c>
      <c r="AE93" s="23" t="str">
        <f t="shared" si="21"/>
        <v>无销量广告费为60.22</v>
      </c>
      <c r="AF93" s="23">
        <f t="shared" si="22"/>
        <v>0.0954215983117717</v>
      </c>
      <c r="AG93" s="23">
        <f t="shared" si="23"/>
        <v>0.0374346270300028</v>
      </c>
      <c r="AH93">
        <f>SUMIF('库存（子SKU）'!$C:$C,$A93,'库存（子SKU）'!AJ:AJ)</f>
        <v>174</v>
      </c>
      <c r="AI93">
        <f>SUMIF('库存（子SKU）'!$C:$C,$A93,'库存（子SKU）'!AK:AK)</f>
        <v>124</v>
      </c>
      <c r="AJ93">
        <f>SUMIF('库存（子SKU）'!$C:$C,$A93,'库存（子SKU）'!AL:AL)</f>
        <v>44</v>
      </c>
      <c r="AK93">
        <f>SUMIF('库存（子SKU）'!$C:$C,$A93,'库存（子SKU）'!AM:AM)</f>
        <v>149</v>
      </c>
      <c r="AL93" s="23">
        <f t="shared" si="24"/>
        <v>0.00574712643678161</v>
      </c>
      <c r="AM93" s="23">
        <f t="shared" si="25"/>
        <v>0</v>
      </c>
      <c r="AN93" s="23">
        <f t="shared" si="26"/>
        <v>0.0227272727272727</v>
      </c>
      <c r="AO93" s="23">
        <f t="shared" si="27"/>
        <v>0.0335570469798658</v>
      </c>
      <c r="AP93" s="7">
        <f t="shared" si="28"/>
        <v>0.142857142857143</v>
      </c>
      <c r="AQ93" s="7">
        <f t="shared" si="29"/>
        <v>8.57142857142857</v>
      </c>
      <c r="AR93" s="7">
        <f t="shared" si="30"/>
        <v>4.42857142857143</v>
      </c>
      <c r="AS93">
        <f t="shared" si="31"/>
        <v>91</v>
      </c>
      <c r="AT93" s="2">
        <f>IFERROR(时间!$B$4+AS93,"上周无销量")</f>
        <v>43416</v>
      </c>
    </row>
    <row r="94" spans="1:46">
      <c r="A94" t="s">
        <v>483</v>
      </c>
      <c r="B94" s="5">
        <f>SUMIF('库存（子SKU）'!$C:$C,$A94,'库存（子SKU）'!D:D)</f>
        <v>2</v>
      </c>
      <c r="C94" s="5">
        <f>SUMIF('库存（子SKU）'!$C:$C,$A94,'库存（子SKU）'!E:E)</f>
        <v>2</v>
      </c>
      <c r="D94" s="5">
        <f>SUMIF('库存（子SKU）'!$C:$C,$A94,'库存（子SKU）'!F:F)</f>
        <v>2</v>
      </c>
      <c r="E94" s="5">
        <f>SUMIF('库存（子SKU）'!$C:$C,$A94,'库存（子SKU）'!G:G)</f>
        <v>4</v>
      </c>
      <c r="F94" s="6">
        <v>108.99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69100</v>
      </c>
      <c r="O94">
        <f>SUMIF('库存（子SKU）'!$C:$C,$A94,'库存（子SKU）'!Q:Q)</f>
        <v>69142</v>
      </c>
      <c r="P94">
        <f>SUMIF('库存（子SKU）'!$C:$C,$A94,'库存（子SKU）'!R:R)</f>
        <v>21696</v>
      </c>
      <c r="Q94">
        <f>SUMIF('库存（子SKU）'!$C:$C,$A94,'库存（子SKU）'!S:S)</f>
        <v>19763</v>
      </c>
      <c r="R94">
        <f>SUMIF('库存（子SKU）'!$C:$C,$A94,'库存（子SKU）'!T:T)</f>
        <v>281</v>
      </c>
      <c r="S94">
        <f>SUMIF('库存（子SKU）'!$C:$C,$A94,'库存（子SKU）'!U:U)</f>
        <v>281</v>
      </c>
      <c r="T94">
        <f>SUMIF('库存（子SKU）'!$C:$C,$A94,'库存（子SKU）'!V:V)</f>
        <v>91</v>
      </c>
      <c r="U94">
        <f>SUMIF('库存（子SKU）'!$C:$C,$A94,'库存（子SKU）'!W:W)</f>
        <v>82</v>
      </c>
      <c r="V94" s="23">
        <f t="shared" si="32"/>
        <v>0.00406657018813314</v>
      </c>
      <c r="W94" s="23">
        <f t="shared" si="33"/>
        <v>0.00406409996818142</v>
      </c>
      <c r="X94" s="23">
        <f t="shared" si="34"/>
        <v>0.0041943215339233</v>
      </c>
      <c r="Y94" s="23">
        <f t="shared" si="35"/>
        <v>0.00414916763649244</v>
      </c>
      <c r="Z94">
        <f>SUMIF('库存（子SKU）'!$C:$C,$A94,'库存（子SKU）'!AB:AB)</f>
        <v>83.43</v>
      </c>
      <c r="AA94">
        <f>SUMIF('库存（子SKU）'!$C:$C,$A94,'库存（子SKU）'!AC:AC)</f>
        <v>83.43</v>
      </c>
      <c r="AB94">
        <f>SUMIF('库存（子SKU）'!$C:$C,$A94,'库存（子SKU）'!AD:AD)</f>
        <v>30.26</v>
      </c>
      <c r="AC94">
        <f>SUMIF('库存（子SKU）'!$C:$C,$A94,'库存（子SKU）'!AE:AE)</f>
        <v>34.94</v>
      </c>
      <c r="AD94" s="23">
        <f t="shared" si="20"/>
        <v>0.382741535920727</v>
      </c>
      <c r="AE94" s="23">
        <f t="shared" si="21"/>
        <v>0.382741535920727</v>
      </c>
      <c r="AF94" s="23">
        <f t="shared" si="22"/>
        <v>0.13882007523626</v>
      </c>
      <c r="AG94" s="23">
        <f t="shared" si="23"/>
        <v>0.0801449674282044</v>
      </c>
      <c r="AH94">
        <f>SUMIF('库存（子SKU）'!$C:$C,$A94,'库存（子SKU）'!AJ:AJ)</f>
        <v>100</v>
      </c>
      <c r="AI94">
        <f>SUMIF('库存（子SKU）'!$C:$C,$A94,'库存（子SKU）'!AK:AK)</f>
        <v>79</v>
      </c>
      <c r="AJ94">
        <f>SUMIF('库存（子SKU）'!$C:$C,$A94,'库存（子SKU）'!AL:AL)</f>
        <v>141</v>
      </c>
      <c r="AK94">
        <f>SUMIF('库存（子SKU）'!$C:$C,$A94,'库存（子SKU）'!AM:AM)</f>
        <v>132</v>
      </c>
      <c r="AL94" s="23">
        <f t="shared" si="24"/>
        <v>0.02</v>
      </c>
      <c r="AM94" s="23">
        <f t="shared" si="25"/>
        <v>0.0253164556962025</v>
      </c>
      <c r="AN94" s="23">
        <f t="shared" si="26"/>
        <v>0.0141843971631206</v>
      </c>
      <c r="AO94" s="23">
        <f t="shared" si="27"/>
        <v>0.0303030303030303</v>
      </c>
      <c r="AP94" s="7">
        <f t="shared" si="28"/>
        <v>0.285714285714286</v>
      </c>
      <c r="AQ94" s="7">
        <f t="shared" si="29"/>
        <v>17.1428571428571</v>
      </c>
      <c r="AR94" s="7">
        <f t="shared" si="30"/>
        <v>-17.1428571428571</v>
      </c>
      <c r="AS94">
        <f t="shared" si="31"/>
        <v>0</v>
      </c>
      <c r="AT94" s="2">
        <f>IFERROR(时间!$B$4+AS94,"上周无销量")</f>
        <v>43325</v>
      </c>
    </row>
    <row r="95" spans="1:46">
      <c r="A95" t="s">
        <v>486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57</v>
      </c>
      <c r="G95">
        <f>SUMIF('库存（子SKU）'!$C:$C,$A95,'库存（子SKU）'!I:I)</f>
        <v>1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2</v>
      </c>
      <c r="K95">
        <f t="shared" si="19"/>
        <v>3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3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>
        <f t="shared" si="24"/>
        <v>0</v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3</v>
      </c>
      <c r="AS95" t="str">
        <f t="shared" si="31"/>
        <v>库存为3</v>
      </c>
      <c r="AT95" s="2" t="str">
        <f>IFERROR(时间!$B$4+AS95,"上周无销量")</f>
        <v>上周无销量</v>
      </c>
    </row>
    <row r="96" spans="1:46">
      <c r="A96" t="s">
        <v>489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57</v>
      </c>
      <c r="G96">
        <f>SUMIF('库存（子SKU）'!$C:$C,$A96,'库存（子SKU）'!I:I)</f>
        <v>0</v>
      </c>
      <c r="H96">
        <f>SUMIF('库存（子SKU）'!$C:$C,$A96,'库存（子SKU）'!J:J)</f>
        <v>3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3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3</v>
      </c>
      <c r="AS96" t="str">
        <f t="shared" si="31"/>
        <v>库存为3</v>
      </c>
      <c r="AT96" s="2" t="str">
        <f>IFERROR(时间!$B$4+AS96,"上周无销量")</f>
        <v>上周无销量</v>
      </c>
    </row>
    <row r="97" spans="1:46">
      <c r="A97" t="s">
        <v>492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57</v>
      </c>
      <c r="G97">
        <f>SUMIF('库存（子SKU）'!$C:$C,$A97,'库存（子SKU）'!I:I)</f>
        <v>3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3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173</v>
      </c>
      <c r="O97">
        <f>SUMIF('库存（子SKU）'!$C:$C,$A97,'库存（子SKU）'!Q:Q)</f>
        <v>187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2</v>
      </c>
      <c r="S97">
        <f>SUMIF('库存（子SKU）'!$C:$C,$A97,'库存（子SKU）'!U:U)</f>
        <v>2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>
        <f t="shared" si="32"/>
        <v>0.0115606936416185</v>
      </c>
      <c r="W97" s="23">
        <f t="shared" si="33"/>
        <v>0.0106951871657754</v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0.64</v>
      </c>
      <c r="AA97">
        <f>SUMIF('库存（子SKU）'!$C:$C,$A97,'库存（子SKU）'!AC:AC)</f>
        <v>0.64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>无销量广告费为0.64</v>
      </c>
      <c r="AE97" s="23" t="str">
        <f t="shared" si="21"/>
        <v>无销量广告费为0.64</v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24</v>
      </c>
      <c r="AI97">
        <f>SUMIF('库存（子SKU）'!$C:$C,$A97,'库存（子SKU）'!AK:AK)</f>
        <v>6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>
        <f t="shared" si="24"/>
        <v>0</v>
      </c>
      <c r="AM97" s="23">
        <f t="shared" si="25"/>
        <v>0</v>
      </c>
      <c r="AN97" s="23" t="str">
        <f t="shared" si="26"/>
        <v/>
      </c>
      <c r="AO97" s="23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3</v>
      </c>
      <c r="AS97" t="str">
        <f t="shared" si="31"/>
        <v>库存为3</v>
      </c>
      <c r="AT97" s="2" t="str">
        <f>IFERROR(时间!$B$4+AS97,"上周无销量")</f>
        <v>上周无销量</v>
      </c>
    </row>
    <row r="98" spans="1:46">
      <c r="A98" t="s">
        <v>496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57</v>
      </c>
      <c r="G98">
        <f>SUMIF('库存（子SKU）'!$C:$C,$A98,'库存（子SKU）'!I:I)</f>
        <v>3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3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262</v>
      </c>
      <c r="O98">
        <f>SUMIF('库存（子SKU）'!$C:$C,$A98,'库存（子SKU）'!Q:Q)</f>
        <v>269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5</v>
      </c>
      <c r="S98">
        <f>SUMIF('库存（子SKU）'!$C:$C,$A98,'库存（子SKU）'!U:U)</f>
        <v>5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>
        <f t="shared" si="32"/>
        <v>0.0190839694656489</v>
      </c>
      <c r="W98" s="23">
        <f t="shared" si="33"/>
        <v>0.0185873605947955</v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2.06</v>
      </c>
      <c r="AA98">
        <f>SUMIF('库存（子SKU）'!$C:$C,$A98,'库存（子SKU）'!AC:AC)</f>
        <v>2.06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>无销量广告费为2.06</v>
      </c>
      <c r="AE98" s="23" t="str">
        <f t="shared" si="21"/>
        <v>无销量广告费为2.06</v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178</v>
      </c>
      <c r="AI98">
        <f>SUMIF('库存（子SKU）'!$C:$C,$A98,'库存（子SKU）'!AK:AK)</f>
        <v>46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>
        <f t="shared" si="24"/>
        <v>0</v>
      </c>
      <c r="AM98" s="23">
        <f t="shared" si="25"/>
        <v>0</v>
      </c>
      <c r="AN98" s="23" t="str">
        <f t="shared" si="26"/>
        <v/>
      </c>
      <c r="AO98" s="23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3</v>
      </c>
      <c r="AS98" t="str">
        <f t="shared" si="31"/>
        <v>库存为3</v>
      </c>
      <c r="AT98" s="2" t="str">
        <f>IFERROR(时间!$B$4+AS98,"上周无销量")</f>
        <v>上周无销量</v>
      </c>
    </row>
    <row r="99" spans="1:46">
      <c r="A99" t="s">
        <v>500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57</v>
      </c>
      <c r="G99">
        <f>SUMIF('库存（子SKU）'!$C:$C,$A99,'库存（子SKU）'!I:I)</f>
        <v>3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3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193</v>
      </c>
      <c r="O99">
        <f>SUMIF('库存（子SKU）'!$C:$C,$A99,'库存（子SKU）'!Q:Q)</f>
        <v>204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1</v>
      </c>
      <c r="S99">
        <f>SUMIF('库存（子SKU）'!$C:$C,$A99,'库存（子SKU）'!U:U)</f>
        <v>1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>
        <f t="shared" si="32"/>
        <v>0.00518134715025907</v>
      </c>
      <c r="W99" s="23">
        <f t="shared" si="33"/>
        <v>0.00490196078431373</v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0.74</v>
      </c>
      <c r="AA99">
        <f>SUMIF('库存（子SKU）'!$C:$C,$A99,'库存（子SKU）'!AC:AC)</f>
        <v>0.74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>无销量广告费为0.74</v>
      </c>
      <c r="AE99" s="23" t="str">
        <f t="shared" si="21"/>
        <v>无销量广告费为0.74</v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20</v>
      </c>
      <c r="AI99">
        <f>SUMIF('库存（子SKU）'!$C:$C,$A99,'库存（子SKU）'!AK:AK)</f>
        <v>9</v>
      </c>
      <c r="AJ99">
        <f>SUMIF('库存（子SKU）'!$C:$C,$A99,'库存（子SKU）'!AL:AL)</f>
        <v>1</v>
      </c>
      <c r="AK99">
        <f>SUMIF('库存（子SKU）'!$C:$C,$A99,'库存（子SKU）'!AM:AM)</f>
        <v>0</v>
      </c>
      <c r="AL99" s="23">
        <f t="shared" si="24"/>
        <v>0</v>
      </c>
      <c r="AM99" s="23">
        <f t="shared" si="25"/>
        <v>0</v>
      </c>
      <c r="AN99" s="23">
        <f t="shared" si="26"/>
        <v>0</v>
      </c>
      <c r="AO99" s="23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3</v>
      </c>
      <c r="AS99" t="str">
        <f t="shared" si="31"/>
        <v>库存为3</v>
      </c>
      <c r="AT99" s="2" t="str">
        <f>IFERROR(时间!$B$4+AS99,"上周无销量")</f>
        <v>上周无销量</v>
      </c>
    </row>
    <row r="100" spans="1:46">
      <c r="A100" t="s">
        <v>504</v>
      </c>
      <c r="B100" s="5">
        <f>SUMIF('库存（子SKU）'!$C:$C,$A100,'库存（子SKU）'!D:D)</f>
        <v>4</v>
      </c>
      <c r="C100" s="5">
        <f>SUMIF('库存（子SKU）'!$C:$C,$A100,'库存（子SKU）'!E:E)</f>
        <v>3</v>
      </c>
      <c r="D100" s="5">
        <f>SUMIF('库存（子SKU）'!$C:$C,$A100,'库存（子SKU）'!F:F)</f>
        <v>1</v>
      </c>
      <c r="E100" s="5">
        <f>SUMIF('库存（子SKU）'!$C:$C,$A100,'库存（子SKU）'!G:G)</f>
        <v>6</v>
      </c>
      <c r="F100" s="6">
        <v>89.99</v>
      </c>
      <c r="G100">
        <f>SUMIF('库存（子SKU）'!$C:$C,$A100,'库存（子SKU）'!I:I)</f>
        <v>24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24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>
        <f t="shared" si="20"/>
        <v>0</v>
      </c>
      <c r="AE100" s="23">
        <f t="shared" si="21"/>
        <v>0</v>
      </c>
      <c r="AF100" s="23">
        <f t="shared" si="22"/>
        <v>0</v>
      </c>
      <c r="AG100" s="23">
        <f t="shared" si="23"/>
        <v>0</v>
      </c>
      <c r="AH100">
        <f>SUMIF('库存（子SKU）'!$C:$C,$A100,'库存（子SKU）'!AJ:AJ)</f>
        <v>174</v>
      </c>
      <c r="AI100">
        <f>SUMIF('库存（子SKU）'!$C:$C,$A100,'库存（子SKU）'!AK:AK)</f>
        <v>96</v>
      </c>
      <c r="AJ100">
        <f>SUMIF('库存（子SKU）'!$C:$C,$A100,'库存（子SKU）'!AL:AL)</f>
        <v>124</v>
      </c>
      <c r="AK100">
        <f>SUMIF('库存（子SKU）'!$C:$C,$A100,'库存（子SKU）'!AM:AM)</f>
        <v>119</v>
      </c>
      <c r="AL100" s="23">
        <f t="shared" si="24"/>
        <v>0.0229885057471264</v>
      </c>
      <c r="AM100" s="23">
        <f t="shared" si="25"/>
        <v>0.03125</v>
      </c>
      <c r="AN100" s="23">
        <f t="shared" si="26"/>
        <v>0.00806451612903226</v>
      </c>
      <c r="AO100" s="23">
        <f t="shared" si="27"/>
        <v>0.0504201680672269</v>
      </c>
      <c r="AP100" s="7">
        <f t="shared" si="28"/>
        <v>0.571428571428571</v>
      </c>
      <c r="AQ100" s="7">
        <f t="shared" si="29"/>
        <v>34.2857142857143</v>
      </c>
      <c r="AR100" s="7">
        <f t="shared" si="30"/>
        <v>-10.2857142857143</v>
      </c>
      <c r="AS100">
        <f t="shared" si="31"/>
        <v>42</v>
      </c>
      <c r="AT100" s="2">
        <f>IFERROR(时间!$B$4+AS100,"上周无销量")</f>
        <v>43367</v>
      </c>
    </row>
    <row r="101" spans="1:46">
      <c r="A101" t="s">
        <v>507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">
        <v>57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7">
        <f t="shared" si="28"/>
        <v>0</v>
      </c>
      <c r="AQ101" s="7">
        <f t="shared" si="29"/>
        <v>0</v>
      </c>
      <c r="AR101" s="7">
        <f t="shared" si="30"/>
        <v>0</v>
      </c>
      <c r="AS101" t="str">
        <f t="shared" si="31"/>
        <v>库存为0</v>
      </c>
      <c r="AT101" s="2" t="str">
        <f>IFERROR(时间!$B$4+AS101,"上周无销量")</f>
        <v>上周无销量</v>
      </c>
    </row>
    <row r="102" spans="1:46">
      <c r="A102" t="s">
        <v>510</v>
      </c>
      <c r="B102" s="5">
        <f>SUMIF('库存（子SKU）'!$C:$C,$A102,'库存（子SKU）'!D:D)</f>
        <v>1</v>
      </c>
      <c r="C102" s="5">
        <f>SUMIF('库存（子SKU）'!$C:$C,$A102,'库存（子SKU）'!E:E)</f>
        <v>1</v>
      </c>
      <c r="D102" s="5">
        <f>SUMIF('库存（子SKU）'!$C:$C,$A102,'库存（子SKU）'!F:F)</f>
        <v>4</v>
      </c>
      <c r="E102" s="5">
        <f>SUMIF('库存（子SKU）'!$C:$C,$A102,'库存（子SKU）'!G:G)</f>
        <v>1</v>
      </c>
      <c r="F102" s="6">
        <v>99.7042857142857</v>
      </c>
      <c r="G102">
        <f>SUMIF('库存（子SKU）'!$C:$C,$A102,'库存（子SKU）'!I:I)</f>
        <v>19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19</v>
      </c>
      <c r="L102">
        <f>SUMIF('库存（子SKU）'!$C:$C,$A102,'库存（子SKU）'!N:N)</f>
        <v>0</v>
      </c>
      <c r="M102">
        <f>SUMIF('库存（子SKU）'!$C:$C,$A102,'库存（子SKU）'!O:O)</f>
        <v>13</v>
      </c>
      <c r="N102">
        <f>SUMIF('库存（子SKU）'!$C:$C,$A102,'库存（子SKU）'!P:P)</f>
        <v>97258</v>
      </c>
      <c r="O102">
        <f>SUMIF('库存（子SKU）'!$C:$C,$A102,'库存（子SKU）'!Q:Q)</f>
        <v>97458</v>
      </c>
      <c r="P102">
        <f>SUMIF('库存（子SKU）'!$C:$C,$A102,'库存（子SKU）'!R:R)</f>
        <v>49337</v>
      </c>
      <c r="Q102">
        <f>SUMIF('库存（子SKU）'!$C:$C,$A102,'库存（子SKU）'!S:S)</f>
        <v>38691</v>
      </c>
      <c r="R102">
        <f>SUMIF('库存（子SKU）'!$C:$C,$A102,'库存（子SKU）'!T:T)</f>
        <v>390</v>
      </c>
      <c r="S102">
        <f>SUMIF('库存（子SKU）'!$C:$C,$A102,'库存（子SKU）'!U:U)</f>
        <v>392</v>
      </c>
      <c r="T102">
        <f>SUMIF('库存（子SKU）'!$C:$C,$A102,'库存（子SKU）'!V:V)</f>
        <v>236</v>
      </c>
      <c r="U102">
        <f>SUMIF('库存（子SKU）'!$C:$C,$A102,'库存（子SKU）'!W:W)</f>
        <v>130</v>
      </c>
      <c r="V102" s="23">
        <f t="shared" si="32"/>
        <v>0.00400995290875815</v>
      </c>
      <c r="W102" s="23">
        <f t="shared" si="33"/>
        <v>0.00402224548010425</v>
      </c>
      <c r="X102" s="23">
        <f t="shared" si="34"/>
        <v>0.0047834282587105</v>
      </c>
      <c r="Y102" s="23">
        <f t="shared" si="35"/>
        <v>0.00335995451138508</v>
      </c>
      <c r="Z102">
        <f>SUMIF('库存（子SKU）'!$C:$C,$A102,'库存（子SKU）'!AB:AB)</f>
        <v>129.66</v>
      </c>
      <c r="AA102">
        <f>SUMIF('库存（子SKU）'!$C:$C,$A102,'库存（子SKU）'!AC:AC)</f>
        <v>130.55</v>
      </c>
      <c r="AB102">
        <f>SUMIF('库存（子SKU）'!$C:$C,$A102,'库存（子SKU）'!AD:AD)</f>
        <v>73.82</v>
      </c>
      <c r="AC102">
        <f>SUMIF('库存（子SKU）'!$C:$C,$A102,'库存（子SKU）'!AE:AE)</f>
        <v>48.43</v>
      </c>
      <c r="AD102" s="23">
        <f t="shared" si="20"/>
        <v>1.30044560342728</v>
      </c>
      <c r="AE102" s="23">
        <f t="shared" si="21"/>
        <v>1.30937200005731</v>
      </c>
      <c r="AF102" s="23">
        <f t="shared" si="22"/>
        <v>0.185097359334031</v>
      </c>
      <c r="AG102" s="23">
        <f t="shared" si="23"/>
        <v>0.485736391901767</v>
      </c>
      <c r="AH102">
        <f>SUMIF('库存（子SKU）'!$C:$C,$A102,'库存（子SKU）'!AJ:AJ)</f>
        <v>240</v>
      </c>
      <c r="AI102">
        <f>SUMIF('库存（子SKU）'!$C:$C,$A102,'库存（子SKU）'!AK:AK)</f>
        <v>319</v>
      </c>
      <c r="AJ102">
        <f>SUMIF('库存（子SKU）'!$C:$C,$A102,'库存（子SKU）'!AL:AL)</f>
        <v>430</v>
      </c>
      <c r="AK102">
        <f>SUMIF('库存（子SKU）'!$C:$C,$A102,'库存（子SKU）'!AM:AM)</f>
        <v>403</v>
      </c>
      <c r="AL102" s="23">
        <f t="shared" si="24"/>
        <v>0.00416666666666667</v>
      </c>
      <c r="AM102" s="23">
        <f t="shared" si="25"/>
        <v>0.00313479623824451</v>
      </c>
      <c r="AN102" s="23">
        <f t="shared" si="26"/>
        <v>0.00930232558139535</v>
      </c>
      <c r="AO102" s="23">
        <f t="shared" si="27"/>
        <v>0.00248138957816377</v>
      </c>
      <c r="AP102" s="7">
        <f t="shared" si="28"/>
        <v>0.142857142857143</v>
      </c>
      <c r="AQ102" s="7">
        <f t="shared" si="29"/>
        <v>8.57142857142857</v>
      </c>
      <c r="AR102" s="7">
        <f t="shared" si="30"/>
        <v>10.4285714285714</v>
      </c>
      <c r="AS102">
        <f t="shared" si="31"/>
        <v>133</v>
      </c>
      <c r="AT102" s="2">
        <f>IFERROR(时间!$B$4+AS102,"上周无销量")</f>
        <v>43458</v>
      </c>
    </row>
    <row r="103" spans="1:46">
      <c r="A103" t="s">
        <v>515</v>
      </c>
      <c r="B103" s="5">
        <f>SUMIF('库存（子SKU）'!$C:$C,$A103,'库存（子SKU）'!D:D)</f>
        <v>7</v>
      </c>
      <c r="C103" s="5">
        <f>SUMIF('库存（子SKU）'!$C:$C,$A103,'库存（子SKU）'!E:E)</f>
        <v>3</v>
      </c>
      <c r="D103" s="5">
        <f>SUMIF('库存（子SKU）'!$C:$C,$A103,'库存（子SKU）'!F:F)</f>
        <v>3</v>
      </c>
      <c r="E103" s="5">
        <f>SUMIF('库存（子SKU）'!$C:$C,$A103,'库存（子SKU）'!G:G)</f>
        <v>1</v>
      </c>
      <c r="F103" s="6">
        <v>30.6328571428571</v>
      </c>
      <c r="G103">
        <f>SUMIF('库存（子SKU）'!$C:$C,$A103,'库存（子SKU）'!I:I)</f>
        <v>15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15</v>
      </c>
      <c r="L103">
        <f>SUMIF('库存（子SKU）'!$C:$C,$A103,'库存（子SKU）'!N:N)</f>
        <v>0</v>
      </c>
      <c r="M103">
        <f>SUMIF('库存（子SKU）'!$C:$C,$A103,'库存（子SKU）'!O:O)</f>
        <v>9</v>
      </c>
      <c r="N103">
        <f>SUMIF('库存（子SKU）'!$C:$C,$A103,'库存（子SKU）'!P:P)</f>
        <v>5079</v>
      </c>
      <c r="O103">
        <f>SUMIF('库存（子SKU）'!$C:$C,$A103,'库存（子SKU）'!Q:Q)</f>
        <v>5169</v>
      </c>
      <c r="P103">
        <f>SUMIF('库存（子SKU）'!$C:$C,$A103,'库存（子SKU）'!R:R)</f>
        <v>3035</v>
      </c>
      <c r="Q103">
        <f>SUMIF('库存（子SKU）'!$C:$C,$A103,'库存（子SKU）'!S:S)</f>
        <v>1383</v>
      </c>
      <c r="R103">
        <f>SUMIF('库存（子SKU）'!$C:$C,$A103,'库存（子SKU）'!T:T)</f>
        <v>105</v>
      </c>
      <c r="S103">
        <f>SUMIF('库存（子SKU）'!$C:$C,$A103,'库存（子SKU）'!U:U)</f>
        <v>106</v>
      </c>
      <c r="T103">
        <f>SUMIF('库存（子SKU）'!$C:$C,$A103,'库存（子SKU）'!V:V)</f>
        <v>57</v>
      </c>
      <c r="U103">
        <f>SUMIF('库存（子SKU）'!$C:$C,$A103,'库存（子SKU）'!W:W)</f>
        <v>35</v>
      </c>
      <c r="V103" s="23">
        <f t="shared" si="32"/>
        <v>0.0206733608978145</v>
      </c>
      <c r="W103" s="23">
        <f t="shared" si="33"/>
        <v>0.020506867866125</v>
      </c>
      <c r="X103" s="23">
        <f t="shared" si="34"/>
        <v>0.0187808896210873</v>
      </c>
      <c r="Y103" s="23">
        <f t="shared" si="35"/>
        <v>0.0253073029645698</v>
      </c>
      <c r="Z103">
        <f>SUMIF('库存（子SKU）'!$C:$C,$A103,'库存（子SKU）'!AB:AB)</f>
        <v>19.84</v>
      </c>
      <c r="AA103">
        <f>SUMIF('库存（子SKU）'!$C:$C,$A103,'库存（子SKU）'!AC:AC)</f>
        <v>20.03</v>
      </c>
      <c r="AB103">
        <f>SUMIF('库存（子SKU）'!$C:$C,$A103,'库存（子SKU）'!AD:AD)</f>
        <v>9.38</v>
      </c>
      <c r="AC103">
        <f>SUMIF('库存（子SKU）'!$C:$C,$A103,'库存（子SKU）'!AE:AE)</f>
        <v>7.43</v>
      </c>
      <c r="AD103" s="23">
        <f t="shared" si="20"/>
        <v>0.0925243669262698</v>
      </c>
      <c r="AE103" s="23">
        <f t="shared" si="21"/>
        <v>0.217957686269024</v>
      </c>
      <c r="AF103" s="23">
        <f t="shared" si="22"/>
        <v>0.102069051283247</v>
      </c>
      <c r="AG103" s="23">
        <f t="shared" si="23"/>
        <v>0.242550016322343</v>
      </c>
      <c r="AH103">
        <f>SUMIF('库存（子SKU）'!$C:$C,$A103,'库存（子SKU）'!AJ:AJ)</f>
        <v>496</v>
      </c>
      <c r="AI103">
        <f>SUMIF('库存（子SKU）'!$C:$C,$A103,'库存（子SKU）'!AK:AK)</f>
        <v>475</v>
      </c>
      <c r="AJ103">
        <f>SUMIF('库存（子SKU）'!$C:$C,$A103,'库存（子SKU）'!AL:AL)</f>
        <v>439</v>
      </c>
      <c r="AK103">
        <f>SUMIF('库存（子SKU）'!$C:$C,$A103,'库存（子SKU）'!AM:AM)</f>
        <v>248</v>
      </c>
      <c r="AL103" s="23">
        <f t="shared" si="24"/>
        <v>0.0141129032258065</v>
      </c>
      <c r="AM103" s="23">
        <f t="shared" si="25"/>
        <v>0.00631578947368421</v>
      </c>
      <c r="AN103" s="23">
        <f t="shared" si="26"/>
        <v>0.00683371298405467</v>
      </c>
      <c r="AO103" s="23">
        <f t="shared" si="27"/>
        <v>0.00403225806451613</v>
      </c>
      <c r="AP103" s="7">
        <f t="shared" si="28"/>
        <v>1</v>
      </c>
      <c r="AQ103" s="7">
        <f t="shared" si="29"/>
        <v>60</v>
      </c>
      <c r="AR103" s="7">
        <f t="shared" si="30"/>
        <v>-45</v>
      </c>
      <c r="AS103">
        <f t="shared" si="31"/>
        <v>15</v>
      </c>
      <c r="AT103" s="2">
        <f>IFERROR(时间!$B$4+AS103,"上周无销量")</f>
        <v>43340</v>
      </c>
    </row>
    <row r="104" spans="1:46">
      <c r="A104" t="s">
        <v>521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57</v>
      </c>
      <c r="G104">
        <f>SUMIF('库存（子SKU）'!$C:$C,$A104,'库存（子SKU）'!I:I)</f>
        <v>10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10</v>
      </c>
      <c r="L104">
        <f>SUMIF('库存（子SKU）'!$C:$C,$A104,'库存（子SKU）'!N:N)</f>
        <v>0</v>
      </c>
      <c r="M104">
        <f>SUMIF('库存（子SKU）'!$C:$C,$A104,'库存（子SKU）'!O:O)</f>
        <v>6</v>
      </c>
      <c r="N104">
        <f>SUMIF('库存（子SKU）'!$C:$C,$A104,'库存（子SKU）'!P:P)</f>
        <v>26870</v>
      </c>
      <c r="O104">
        <f>SUMIF('库存（子SKU）'!$C:$C,$A104,'库存（子SKU）'!Q:Q)</f>
        <v>26887</v>
      </c>
      <c r="P104">
        <f>SUMIF('库存（子SKU）'!$C:$C,$A104,'库存（子SKU）'!R:R)</f>
        <v>2132</v>
      </c>
      <c r="Q104">
        <f>SUMIF('库存（子SKU）'!$C:$C,$A104,'库存（子SKU）'!S:S)</f>
        <v>3853</v>
      </c>
      <c r="R104">
        <f>SUMIF('库存（子SKU）'!$C:$C,$A104,'库存（子SKU）'!T:T)</f>
        <v>164</v>
      </c>
      <c r="S104">
        <f>SUMIF('库存（子SKU）'!$C:$C,$A104,'库存（子SKU）'!U:U)</f>
        <v>164</v>
      </c>
      <c r="T104">
        <f>SUMIF('库存（子SKU）'!$C:$C,$A104,'库存（子SKU）'!V:V)</f>
        <v>25</v>
      </c>
      <c r="U104">
        <f>SUMIF('库存（子SKU）'!$C:$C,$A104,'库存（子SKU）'!W:W)</f>
        <v>25</v>
      </c>
      <c r="V104" s="23">
        <f t="shared" si="32"/>
        <v>0.00610346110904354</v>
      </c>
      <c r="W104" s="23">
        <f t="shared" si="33"/>
        <v>0.00609960203815971</v>
      </c>
      <c r="X104" s="23">
        <f t="shared" si="34"/>
        <v>0.0117260787992495</v>
      </c>
      <c r="Y104" s="23">
        <f t="shared" si="35"/>
        <v>0.00648845055800675</v>
      </c>
      <c r="Z104">
        <f>SUMIF('库存（子SKU）'!$C:$C,$A104,'库存（子SKU）'!AB:AB)</f>
        <v>29.1</v>
      </c>
      <c r="AA104">
        <f>SUMIF('库存（子SKU）'!$C:$C,$A104,'库存（子SKU）'!AC:AC)</f>
        <v>29.1</v>
      </c>
      <c r="AB104">
        <f>SUMIF('库存（子SKU）'!$C:$C,$A104,'库存（子SKU）'!AD:AD)</f>
        <v>3.44</v>
      </c>
      <c r="AC104">
        <f>SUMIF('库存（子SKU）'!$C:$C,$A104,'库存（子SKU）'!AE:AE)</f>
        <v>5.99</v>
      </c>
      <c r="AD104" s="23" t="str">
        <f t="shared" si="20"/>
        <v>无销量广告费为29.1</v>
      </c>
      <c r="AE104" s="23" t="str">
        <f t="shared" si="21"/>
        <v>无销量广告费为29.1</v>
      </c>
      <c r="AF104" s="23" t="str">
        <f t="shared" si="22"/>
        <v>无销量广告费为3.44</v>
      </c>
      <c r="AG104" s="23" t="str">
        <f t="shared" si="23"/>
        <v>无销量广告费为5.99</v>
      </c>
      <c r="AH104">
        <f>SUMIF('库存（子SKU）'!$C:$C,$A104,'库存（子SKU）'!AJ:AJ)</f>
        <v>39</v>
      </c>
      <c r="AI104">
        <f>SUMIF('库存（子SKU）'!$C:$C,$A104,'库存（子SKU）'!AK:AK)</f>
        <v>53</v>
      </c>
      <c r="AJ104">
        <f>SUMIF('库存（子SKU）'!$C:$C,$A104,'库存（子SKU）'!AL:AL)</f>
        <v>85</v>
      </c>
      <c r="AK104">
        <f>SUMIF('库存（子SKU）'!$C:$C,$A104,'库存（子SKU）'!AM:AM)</f>
        <v>136</v>
      </c>
      <c r="AL104" s="23">
        <f t="shared" si="24"/>
        <v>0</v>
      </c>
      <c r="AM104" s="23">
        <f t="shared" si="25"/>
        <v>0</v>
      </c>
      <c r="AN104" s="23">
        <f t="shared" si="26"/>
        <v>0</v>
      </c>
      <c r="AO104" s="23">
        <f t="shared" si="27"/>
        <v>0</v>
      </c>
      <c r="AP104" s="7">
        <f t="shared" si="28"/>
        <v>0</v>
      </c>
      <c r="AQ104" s="7">
        <f t="shared" si="29"/>
        <v>0</v>
      </c>
      <c r="AR104" s="7">
        <f t="shared" si="30"/>
        <v>10</v>
      </c>
      <c r="AS104" t="str">
        <f t="shared" si="31"/>
        <v>库存为10</v>
      </c>
      <c r="AT104" s="2" t="str">
        <f>IFERROR(时间!$B$4+AS104,"上周无销量")</f>
        <v>上周无销量</v>
      </c>
    </row>
    <row r="105" spans="1:46">
      <c r="A105" t="s">
        <v>527</v>
      </c>
      <c r="B105" s="5">
        <f>SUMIF('库存（子SKU）'!$C:$C,$A105,'库存（子SKU）'!D:D)</f>
        <v>1</v>
      </c>
      <c r="C105" s="5">
        <f>SUMIF('库存（子SKU）'!$C:$C,$A105,'库存（子SKU）'!E:E)</f>
        <v>3</v>
      </c>
      <c r="D105" s="5">
        <f>SUMIF('库存（子SKU）'!$C:$C,$A105,'库存（子SKU）'!F:F)</f>
        <v>2</v>
      </c>
      <c r="E105" s="5">
        <f>SUMIF('库存（子SKU）'!$C:$C,$A105,'库存（子SKU）'!G:G)</f>
        <v>2</v>
      </c>
      <c r="F105" s="6">
        <v>27.74</v>
      </c>
      <c r="G105">
        <f>SUMIF('库存（子SKU）'!$C:$C,$A105,'库存（子SKU）'!I:I)</f>
        <v>29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29</v>
      </c>
      <c r="L105">
        <f>SUMIF('库存（子SKU）'!$C:$C,$A105,'库存（子SKU）'!N:N)</f>
        <v>0</v>
      </c>
      <c r="M105">
        <f>SUMIF('库存（子SKU）'!$C:$C,$A105,'库存（子SKU）'!O:O)</f>
        <v>29</v>
      </c>
      <c r="N105">
        <f>SUMIF('库存（子SKU）'!$C:$C,$A105,'库存（子SKU）'!P:P)</f>
        <v>16294</v>
      </c>
      <c r="O105">
        <f>SUMIF('库存（子SKU）'!$C:$C,$A105,'库存（子SKU）'!Q:Q)</f>
        <v>16294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84</v>
      </c>
      <c r="S105">
        <f>SUMIF('库存（子SKU）'!$C:$C,$A105,'库存（子SKU）'!U:U)</f>
        <v>84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>
        <f t="shared" si="32"/>
        <v>0.00515527187921934</v>
      </c>
      <c r="W105" s="23">
        <f t="shared" si="33"/>
        <v>0.00515527187921934</v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15.06</v>
      </c>
      <c r="AA105">
        <f>SUMIF('库存（子SKU）'!$C:$C,$A105,'库存（子SKU）'!AC:AC)</f>
        <v>15.06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0.542898341744773</v>
      </c>
      <c r="AE105" s="23">
        <f t="shared" si="21"/>
        <v>0.180966113914924</v>
      </c>
      <c r="AF105" s="23">
        <f t="shared" si="22"/>
        <v>0</v>
      </c>
      <c r="AG105" s="23">
        <f t="shared" si="23"/>
        <v>0</v>
      </c>
      <c r="AH105">
        <f>SUMIF('库存（子SKU）'!$C:$C,$A105,'库存（子SKU）'!AJ:AJ)</f>
        <v>114</v>
      </c>
      <c r="AI105">
        <f>SUMIF('库存（子SKU）'!$C:$C,$A105,'库存（子SKU）'!AK:AK)</f>
        <v>168</v>
      </c>
      <c r="AJ105">
        <f>SUMIF('库存（子SKU）'!$C:$C,$A105,'库存（子SKU）'!AL:AL)</f>
        <v>181</v>
      </c>
      <c r="AK105">
        <f>SUMIF('库存（子SKU）'!$C:$C,$A105,'库存（子SKU）'!AM:AM)</f>
        <v>171</v>
      </c>
      <c r="AL105" s="23">
        <f t="shared" si="24"/>
        <v>0.0087719298245614</v>
      </c>
      <c r="AM105" s="23">
        <f t="shared" si="25"/>
        <v>0.0178571428571429</v>
      </c>
      <c r="AN105" s="23">
        <f t="shared" si="26"/>
        <v>0.0110497237569061</v>
      </c>
      <c r="AO105" s="23">
        <f t="shared" si="27"/>
        <v>0.0116959064327485</v>
      </c>
      <c r="AP105" s="7">
        <f t="shared" si="28"/>
        <v>0.142857142857143</v>
      </c>
      <c r="AQ105" s="7">
        <f t="shared" si="29"/>
        <v>8.57142857142857</v>
      </c>
      <c r="AR105" s="7">
        <f t="shared" si="30"/>
        <v>20.4285714285714</v>
      </c>
      <c r="AS105">
        <f t="shared" si="31"/>
        <v>203</v>
      </c>
      <c r="AT105" s="2">
        <f>IFERROR(时间!$B$4+AS105,"上周无销量")</f>
        <v>43528</v>
      </c>
    </row>
    <row r="106" spans="1:46">
      <c r="A106" t="s">
        <v>532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57</v>
      </c>
      <c r="G106">
        <f>SUMIF('库存（子SKU）'!$C:$C,$A106,'库存（子SKU）'!I:I)</f>
        <v>25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25</v>
      </c>
      <c r="L106">
        <f>SUMIF('库存（子SKU）'!$C:$C,$A106,'库存（子SKU）'!N:N)</f>
        <v>0</v>
      </c>
      <c r="M106">
        <f>SUMIF('库存（子SKU）'!$C:$C,$A106,'库存（子SKU）'!O:O)</f>
        <v>25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49</v>
      </c>
      <c r="AI106">
        <f>SUMIF('库存（子SKU）'!$C:$C,$A106,'库存（子SKU）'!AK:AK)</f>
        <v>42</v>
      </c>
      <c r="AJ106">
        <f>SUMIF('库存（子SKU）'!$C:$C,$A106,'库存（子SKU）'!AL:AL)</f>
        <v>57</v>
      </c>
      <c r="AK106">
        <f>SUMIF('库存（子SKU）'!$C:$C,$A106,'库存（子SKU）'!AM:AM)</f>
        <v>117</v>
      </c>
      <c r="AL106" s="23">
        <f t="shared" si="24"/>
        <v>0</v>
      </c>
      <c r="AM106" s="23">
        <f t="shared" si="25"/>
        <v>0</v>
      </c>
      <c r="AN106" s="23">
        <f t="shared" si="26"/>
        <v>0</v>
      </c>
      <c r="AO106" s="23">
        <f t="shared" si="27"/>
        <v>0</v>
      </c>
      <c r="AP106" s="7">
        <f t="shared" si="28"/>
        <v>0</v>
      </c>
      <c r="AQ106" s="7">
        <f t="shared" si="29"/>
        <v>0</v>
      </c>
      <c r="AR106" s="7">
        <f t="shared" si="30"/>
        <v>25</v>
      </c>
      <c r="AS106" t="str">
        <f t="shared" si="31"/>
        <v>库存为25</v>
      </c>
      <c r="AT106" s="2" t="str">
        <f>IFERROR(时间!$B$4+AS106,"上周无销量")</f>
        <v>上周无销量</v>
      </c>
    </row>
    <row r="107" spans="1:46">
      <c r="A107" t="s">
        <v>537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1</v>
      </c>
      <c r="E107" s="5">
        <f>SUMIF('库存（子SKU）'!$C:$C,$A107,'库存（子SKU）'!G:G)</f>
        <v>1</v>
      </c>
      <c r="F107" s="6">
        <v>89.6</v>
      </c>
      <c r="G107">
        <f>SUMIF('库存（子SKU）'!$C:$C,$A107,'库存（子SKU）'!I:I)</f>
        <v>4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4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8505</v>
      </c>
      <c r="O107">
        <f>SUMIF('库存（子SKU）'!$C:$C,$A107,'库存（子SKU）'!Q:Q)</f>
        <v>8505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97</v>
      </c>
      <c r="S107">
        <f>SUMIF('库存（子SKU）'!$C:$C,$A107,'库存（子SKU）'!U:U)</f>
        <v>97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>
        <f t="shared" si="32"/>
        <v>0.0114050558495003</v>
      </c>
      <c r="W107" s="23">
        <f t="shared" si="33"/>
        <v>0.0114050558495003</v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12.73</v>
      </c>
      <c r="AA107">
        <f>SUMIF('库存（子SKU）'!$C:$C,$A107,'库存（子SKU）'!AC:AC)</f>
        <v>12.73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>无销量广告费为12.73</v>
      </c>
      <c r="AE107" s="23" t="str">
        <f t="shared" si="21"/>
        <v>无销量广告费为12.73</v>
      </c>
      <c r="AF107" s="23">
        <f t="shared" si="22"/>
        <v>0</v>
      </c>
      <c r="AG107" s="23">
        <f t="shared" si="23"/>
        <v>0</v>
      </c>
      <c r="AH107">
        <f>SUMIF('库存（子SKU）'!$C:$C,$A107,'库存（子SKU）'!AJ:AJ)</f>
        <v>25</v>
      </c>
      <c r="AI107">
        <f>SUMIF('库存（子SKU）'!$C:$C,$A107,'库存（子SKU）'!AK:AK)</f>
        <v>11</v>
      </c>
      <c r="AJ107">
        <f>SUMIF('库存（子SKU）'!$C:$C,$A107,'库存（子SKU）'!AL:AL)</f>
        <v>26</v>
      </c>
      <c r="AK107">
        <f>SUMIF('库存（子SKU）'!$C:$C,$A107,'库存（子SKU）'!AM:AM)</f>
        <v>44</v>
      </c>
      <c r="AL107" s="23">
        <f t="shared" si="24"/>
        <v>0</v>
      </c>
      <c r="AM107" s="23">
        <f t="shared" si="25"/>
        <v>0</v>
      </c>
      <c r="AN107" s="23">
        <f t="shared" si="26"/>
        <v>0.0384615384615385</v>
      </c>
      <c r="AO107" s="23">
        <f t="shared" si="27"/>
        <v>0.0227272727272727</v>
      </c>
      <c r="AP107" s="7">
        <f t="shared" si="28"/>
        <v>0</v>
      </c>
      <c r="AQ107" s="7">
        <f t="shared" si="29"/>
        <v>0</v>
      </c>
      <c r="AR107" s="7">
        <f t="shared" si="30"/>
        <v>4</v>
      </c>
      <c r="AS107" t="str">
        <f t="shared" si="31"/>
        <v>库存为4</v>
      </c>
      <c r="AT107" s="2" t="str">
        <f>IFERROR(时间!$B$4+AS107,"上周无销量")</f>
        <v>上周无销量</v>
      </c>
    </row>
    <row r="108" spans="1:46">
      <c r="A108" t="s">
        <v>541</v>
      </c>
      <c r="B108" s="5">
        <f>SUMIF('库存（子SKU）'!$C:$C,$A108,'库存（子SKU）'!D:D)</f>
        <v>15</v>
      </c>
      <c r="C108" s="5">
        <f>SUMIF('库存（子SKU）'!$C:$C,$A108,'库存（子SKU）'!E:E)</f>
        <v>13</v>
      </c>
      <c r="D108" s="5">
        <f>SUMIF('库存（子SKU）'!$C:$C,$A108,'库存（子SKU）'!F:F)</f>
        <v>13</v>
      </c>
      <c r="E108" s="5">
        <f>SUMIF('库存（子SKU）'!$C:$C,$A108,'库存（子SKU）'!G:G)</f>
        <v>32</v>
      </c>
      <c r="F108" s="6">
        <v>98.3598630136985</v>
      </c>
      <c r="G108">
        <f>SUMIF('库存（子SKU）'!$C:$C,$A108,'库存（子SKU）'!I:I)</f>
        <v>152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1</v>
      </c>
      <c r="K108">
        <f t="shared" si="19"/>
        <v>153</v>
      </c>
      <c r="L108">
        <f>SUMIF('库存（子SKU）'!$C:$C,$A108,'库存（子SKU）'!N:N)</f>
        <v>4</v>
      </c>
      <c r="M108">
        <f>SUMIF('库存（子SKU）'!$C:$C,$A108,'库存（子SKU）'!O:O)</f>
        <v>0</v>
      </c>
      <c r="N108">
        <f>SUMIF('库存（子SKU）'!$C:$C,$A108,'库存（子SKU）'!P:P)</f>
        <v>278529</v>
      </c>
      <c r="O108">
        <f>SUMIF('库存（子SKU）'!$C:$C,$A108,'库存（子SKU）'!Q:Q)</f>
        <v>279023</v>
      </c>
      <c r="P108">
        <f>SUMIF('库存（子SKU）'!$C:$C,$A108,'库存（子SKU）'!R:R)</f>
        <v>18295</v>
      </c>
      <c r="Q108">
        <f>SUMIF('库存（子SKU）'!$C:$C,$A108,'库存（子SKU）'!S:S)</f>
        <v>64399</v>
      </c>
      <c r="R108">
        <f>SUMIF('库存（子SKU）'!$C:$C,$A108,'库存（子SKU）'!T:T)</f>
        <v>1430</v>
      </c>
      <c r="S108">
        <f>SUMIF('库存（子SKU）'!$C:$C,$A108,'库存（子SKU）'!U:U)</f>
        <v>1431</v>
      </c>
      <c r="T108">
        <f>SUMIF('库存（子SKU）'!$C:$C,$A108,'库存（子SKU）'!V:V)</f>
        <v>82</v>
      </c>
      <c r="U108">
        <f>SUMIF('库存（子SKU）'!$C:$C,$A108,'库存（子SKU）'!W:W)</f>
        <v>276</v>
      </c>
      <c r="V108" s="23">
        <f t="shared" si="32"/>
        <v>0.0051341152985865</v>
      </c>
      <c r="W108" s="23">
        <f t="shared" si="33"/>
        <v>0.00512860946947026</v>
      </c>
      <c r="X108" s="23">
        <f t="shared" si="34"/>
        <v>0.00448209893413501</v>
      </c>
      <c r="Y108" s="23">
        <f t="shared" si="35"/>
        <v>0.00428578083510614</v>
      </c>
      <c r="Z108">
        <f>SUMIF('库存（子SKU）'!$C:$C,$A108,'库存（子SKU）'!AB:AB)</f>
        <v>281.81</v>
      </c>
      <c r="AA108">
        <f>SUMIF('库存（子SKU）'!$C:$C,$A108,'库存（子SKU）'!AC:AC)</f>
        <v>282.1</v>
      </c>
      <c r="AB108">
        <f>SUMIF('库存（子SKU）'!$C:$C,$A108,'库存（子SKU）'!AD:AD)</f>
        <v>20.17</v>
      </c>
      <c r="AC108">
        <f>SUMIF('库存（子SKU）'!$C:$C,$A108,'库存（子SKU）'!AE:AE)</f>
        <v>91.89</v>
      </c>
      <c r="AD108" s="23">
        <f t="shared" si="20"/>
        <v>0.191006094942577</v>
      </c>
      <c r="AE108" s="23">
        <f t="shared" si="21"/>
        <v>0.220618444710297</v>
      </c>
      <c r="AF108" s="23">
        <f t="shared" si="22"/>
        <v>0.0157741014881485</v>
      </c>
      <c r="AG108" s="23">
        <f t="shared" si="23"/>
        <v>0.0291944540386365</v>
      </c>
      <c r="AH108">
        <f>SUMIF('库存（子SKU）'!$C:$C,$A108,'库存（子SKU）'!AJ:AJ)</f>
        <v>1332</v>
      </c>
      <c r="AI108">
        <f>SUMIF('库存（子SKU）'!$C:$C,$A108,'库存（子SKU）'!AK:AK)</f>
        <v>1292</v>
      </c>
      <c r="AJ108">
        <f>SUMIF('库存（子SKU）'!$C:$C,$A108,'库存（子SKU）'!AL:AL)</f>
        <v>1354</v>
      </c>
      <c r="AK108">
        <f>SUMIF('库存（子SKU）'!$C:$C,$A108,'库存（子SKU）'!AM:AM)</f>
        <v>1882</v>
      </c>
      <c r="AL108" s="23">
        <f t="shared" si="24"/>
        <v>0.0112612612612613</v>
      </c>
      <c r="AM108" s="23">
        <f t="shared" si="25"/>
        <v>0.010061919504644</v>
      </c>
      <c r="AN108" s="23">
        <f t="shared" si="26"/>
        <v>0.00960118168389956</v>
      </c>
      <c r="AO108" s="23">
        <f t="shared" si="27"/>
        <v>0.0170031880977683</v>
      </c>
      <c r="AP108" s="7">
        <f t="shared" si="28"/>
        <v>2.14285714285714</v>
      </c>
      <c r="AQ108" s="7">
        <f t="shared" si="29"/>
        <v>128.571428571429</v>
      </c>
      <c r="AR108" s="7">
        <f t="shared" si="30"/>
        <v>24.4285714285714</v>
      </c>
      <c r="AS108">
        <f t="shared" si="31"/>
        <v>71</v>
      </c>
      <c r="AT108" s="2">
        <f>IFERROR(时间!$B$4+AS108,"上周无销量")</f>
        <v>43396</v>
      </c>
    </row>
    <row r="109" spans="1:46">
      <c r="A109" t="s">
        <v>544</v>
      </c>
      <c r="B109" s="5">
        <f>SUMIF('库存（子SKU）'!$C:$C,$A109,'库存（子SKU）'!D:D)</f>
        <v>11</v>
      </c>
      <c r="C109" s="5">
        <f>SUMIF('库存（子SKU）'!$C:$C,$A109,'库存（子SKU）'!E:E)</f>
        <v>15</v>
      </c>
      <c r="D109" s="5">
        <f>SUMIF('库存（子SKU）'!$C:$C,$A109,'库存（子SKU）'!F:F)</f>
        <v>7</v>
      </c>
      <c r="E109" s="5">
        <f>SUMIF('库存（子SKU）'!$C:$C,$A109,'库存（子SKU）'!G:G)</f>
        <v>6</v>
      </c>
      <c r="F109" s="6">
        <v>89.99</v>
      </c>
      <c r="G109">
        <f>SUMIF('库存（子SKU）'!$C:$C,$A109,'库存（子SKU）'!I:I)</f>
        <v>26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1</v>
      </c>
      <c r="K109">
        <f t="shared" si="19"/>
        <v>27</v>
      </c>
      <c r="L109">
        <f>SUMIF('库存（子SKU）'!$C:$C,$A109,'库存（子SKU）'!N:N)</f>
        <v>5</v>
      </c>
      <c r="M109">
        <f>SUMIF('库存（子SKU）'!$C:$C,$A109,'库存（子SKU）'!O:O)</f>
        <v>0</v>
      </c>
      <c r="N109">
        <f>SUMIF('库存（子SKU）'!$C:$C,$A109,'库存（子SKU）'!P:P)</f>
        <v>242920</v>
      </c>
      <c r="O109">
        <f>SUMIF('库存（子SKU）'!$C:$C,$A109,'库存（子SKU）'!Q:Q)</f>
        <v>243750</v>
      </c>
      <c r="P109">
        <f>SUMIF('库存（子SKU）'!$C:$C,$A109,'库存（子SKU）'!R:R)</f>
        <v>59230</v>
      </c>
      <c r="Q109">
        <f>SUMIF('库存（子SKU）'!$C:$C,$A109,'库存（子SKU）'!S:S)</f>
        <v>86265</v>
      </c>
      <c r="R109">
        <f>SUMIF('库存（子SKU）'!$C:$C,$A109,'库存（子SKU）'!T:T)</f>
        <v>1731</v>
      </c>
      <c r="S109">
        <f>SUMIF('库存（子SKU）'!$C:$C,$A109,'库存（子SKU）'!U:U)</f>
        <v>1734</v>
      </c>
      <c r="T109">
        <f>SUMIF('库存（子SKU）'!$C:$C,$A109,'库存（子SKU）'!V:V)</f>
        <v>360</v>
      </c>
      <c r="U109">
        <f>SUMIF('库存（子SKU）'!$C:$C,$A109,'库存（子SKU）'!W:W)</f>
        <v>420</v>
      </c>
      <c r="V109" s="23">
        <f t="shared" si="32"/>
        <v>0.00712580273341018</v>
      </c>
      <c r="W109" s="23">
        <f t="shared" si="33"/>
        <v>0.00711384615384615</v>
      </c>
      <c r="X109" s="23">
        <f t="shared" si="34"/>
        <v>0.00607800101300017</v>
      </c>
      <c r="Y109" s="23">
        <f t="shared" si="35"/>
        <v>0.00486871848374196</v>
      </c>
      <c r="Z109">
        <f>SUMIF('库存（子SKU）'!$C:$C,$A109,'库存（子SKU）'!AB:AB)</f>
        <v>364.92</v>
      </c>
      <c r="AA109">
        <f>SUMIF('库存（子SKU）'!$C:$C,$A109,'库存（子SKU）'!AC:AC)</f>
        <v>365.48</v>
      </c>
      <c r="AB109">
        <f>SUMIF('库存（子SKU）'!$C:$C,$A109,'库存（子SKU）'!AD:AD)</f>
        <v>85.39</v>
      </c>
      <c r="AC109">
        <f>SUMIF('库存（子SKU）'!$C:$C,$A109,'库存（子SKU）'!AE:AE)</f>
        <v>121.96</v>
      </c>
      <c r="AD109" s="23">
        <f t="shared" si="20"/>
        <v>0.368647021386215</v>
      </c>
      <c r="AE109" s="23">
        <f t="shared" si="21"/>
        <v>0.270756009927029</v>
      </c>
      <c r="AF109" s="23">
        <f t="shared" si="22"/>
        <v>0.135554744177925</v>
      </c>
      <c r="AG109" s="23">
        <f t="shared" si="23"/>
        <v>0.225876949290662</v>
      </c>
      <c r="AH109">
        <f>SUMIF('库存（子SKU）'!$C:$C,$A109,'库存（子SKU）'!AJ:AJ)</f>
        <v>813</v>
      </c>
      <c r="AI109">
        <f>SUMIF('库存（子SKU）'!$C:$C,$A109,'库存（子SKU）'!AK:AK)</f>
        <v>798</v>
      </c>
      <c r="AJ109">
        <f>SUMIF('库存（子SKU）'!$C:$C,$A109,'库存（子SKU）'!AL:AL)</f>
        <v>672</v>
      </c>
      <c r="AK109">
        <f>SUMIF('库存（子SKU）'!$C:$C,$A109,'库存（子SKU）'!AM:AM)</f>
        <v>768</v>
      </c>
      <c r="AL109" s="23">
        <f t="shared" si="24"/>
        <v>0.013530135301353</v>
      </c>
      <c r="AM109" s="23">
        <f t="shared" si="25"/>
        <v>0.018796992481203</v>
      </c>
      <c r="AN109" s="23">
        <f t="shared" si="26"/>
        <v>0.0104166666666667</v>
      </c>
      <c r="AO109" s="23">
        <f t="shared" si="27"/>
        <v>0.0078125</v>
      </c>
      <c r="AP109" s="7">
        <f t="shared" si="28"/>
        <v>1.57142857142857</v>
      </c>
      <c r="AQ109" s="7">
        <f t="shared" si="29"/>
        <v>94.2857142857143</v>
      </c>
      <c r="AR109" s="7">
        <f t="shared" si="30"/>
        <v>-67.2857142857143</v>
      </c>
      <c r="AS109">
        <f t="shared" si="31"/>
        <v>17</v>
      </c>
      <c r="AT109" s="2">
        <f>IFERROR(时间!$B$4+AS109,"上周无销量")</f>
        <v>43342</v>
      </c>
    </row>
    <row r="110" spans="1:46">
      <c r="A110" t="s">
        <v>547</v>
      </c>
      <c r="B110" s="5">
        <f>SUMIF('库存（子SKU）'!$C:$C,$A110,'库存（子SKU）'!D:D)</f>
        <v>4</v>
      </c>
      <c r="C110" s="5">
        <f>SUMIF('库存（子SKU）'!$C:$C,$A110,'库存（子SKU）'!E:E)</f>
        <v>3</v>
      </c>
      <c r="D110" s="5">
        <f>SUMIF('库存（子SKU）'!$C:$C,$A110,'库存（子SKU）'!F:F)</f>
        <v>6</v>
      </c>
      <c r="E110" s="5">
        <f>SUMIF('库存（子SKU）'!$C:$C,$A110,'库存（子SKU）'!G:G)</f>
        <v>16</v>
      </c>
      <c r="F110" s="6">
        <v>89.99</v>
      </c>
      <c r="G110">
        <f>SUMIF('库存（子SKU）'!$C:$C,$A110,'库存（子SKU）'!I:I)</f>
        <v>63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63</v>
      </c>
      <c r="L110">
        <f>SUMIF('库存（子SKU）'!$C:$C,$A110,'库存（子SKU）'!N:N)</f>
        <v>4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>
        <f t="shared" si="20"/>
        <v>0</v>
      </c>
      <c r="AE110" s="23">
        <f t="shared" si="21"/>
        <v>0</v>
      </c>
      <c r="AF110" s="23">
        <f t="shared" si="22"/>
        <v>0</v>
      </c>
      <c r="AG110" s="23">
        <f t="shared" si="23"/>
        <v>0</v>
      </c>
      <c r="AH110">
        <f>SUMIF('库存（子SKU）'!$C:$C,$A110,'库存（子SKU）'!AJ:AJ)</f>
        <v>642</v>
      </c>
      <c r="AI110">
        <f>SUMIF('库存（子SKU）'!$C:$C,$A110,'库存（子SKU）'!AK:AK)</f>
        <v>343</v>
      </c>
      <c r="AJ110">
        <f>SUMIF('库存（子SKU）'!$C:$C,$A110,'库存（子SKU）'!AL:AL)</f>
        <v>357</v>
      </c>
      <c r="AK110">
        <f>SUMIF('库存（子SKU）'!$C:$C,$A110,'库存（子SKU）'!AM:AM)</f>
        <v>1130</v>
      </c>
      <c r="AL110" s="23">
        <f t="shared" si="24"/>
        <v>0.00623052959501558</v>
      </c>
      <c r="AM110" s="23">
        <f t="shared" si="25"/>
        <v>0.0087463556851312</v>
      </c>
      <c r="AN110" s="23">
        <f t="shared" si="26"/>
        <v>0.0168067226890756</v>
      </c>
      <c r="AO110" s="23">
        <f t="shared" si="27"/>
        <v>0.0141592920353982</v>
      </c>
      <c r="AP110" s="7">
        <f t="shared" si="28"/>
        <v>0.571428571428571</v>
      </c>
      <c r="AQ110" s="7">
        <f t="shared" si="29"/>
        <v>34.2857142857143</v>
      </c>
      <c r="AR110" s="7">
        <f t="shared" si="30"/>
        <v>28.7142857142857</v>
      </c>
      <c r="AS110">
        <f t="shared" si="31"/>
        <v>110</v>
      </c>
      <c r="AT110" s="2">
        <f>IFERROR(时间!$B$4+AS110,"上周无销量")</f>
        <v>43435</v>
      </c>
    </row>
    <row r="111" spans="1:46">
      <c r="A111" t="s">
        <v>550</v>
      </c>
      <c r="B111" s="5">
        <f>SUMIF('库存（子SKU）'!$C:$C,$A111,'库存（子SKU）'!D:D)</f>
        <v>3</v>
      </c>
      <c r="C111" s="5">
        <f>SUMIF('库存（子SKU）'!$C:$C,$A111,'库存（子SKU）'!E:E)</f>
        <v>2</v>
      </c>
      <c r="D111" s="5">
        <f>SUMIF('库存（子SKU）'!$C:$C,$A111,'库存（子SKU）'!F:F)</f>
        <v>4</v>
      </c>
      <c r="E111" s="5">
        <f>SUMIF('库存（子SKU）'!$C:$C,$A111,'库存（子SKU）'!G:G)</f>
        <v>5</v>
      </c>
      <c r="F111" s="6">
        <v>89.6</v>
      </c>
      <c r="G111">
        <f>SUMIF('库存（子SKU）'!$C:$C,$A111,'库存（子SKU）'!I:I)</f>
        <v>56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56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162405</v>
      </c>
      <c r="O111">
        <f>SUMIF('库存（子SKU）'!$C:$C,$A111,'库存（子SKU）'!Q:Q)</f>
        <v>164186</v>
      </c>
      <c r="P111">
        <f>SUMIF('库存（子SKU）'!$C:$C,$A111,'库存（子SKU）'!R:R)</f>
        <v>70566</v>
      </c>
      <c r="Q111">
        <f>SUMIF('库存（子SKU）'!$C:$C,$A111,'库存（子SKU）'!S:S)</f>
        <v>78030</v>
      </c>
      <c r="R111">
        <f>SUMIF('库存（子SKU）'!$C:$C,$A111,'库存（子SKU）'!T:T)</f>
        <v>760</v>
      </c>
      <c r="S111">
        <f>SUMIF('库存（子SKU）'!$C:$C,$A111,'库存（子SKU）'!U:U)</f>
        <v>761</v>
      </c>
      <c r="T111">
        <f>SUMIF('库存（子SKU）'!$C:$C,$A111,'库存（子SKU）'!V:V)</f>
        <v>315</v>
      </c>
      <c r="U111">
        <f>SUMIF('库存（子SKU）'!$C:$C,$A111,'库存（子SKU）'!W:W)</f>
        <v>365</v>
      </c>
      <c r="V111" s="23">
        <f t="shared" si="32"/>
        <v>0.00467965887749761</v>
      </c>
      <c r="W111" s="23">
        <f t="shared" si="33"/>
        <v>0.00463498714872157</v>
      </c>
      <c r="X111" s="23">
        <f t="shared" si="34"/>
        <v>0.00446390613043109</v>
      </c>
      <c r="Y111" s="23">
        <f t="shared" si="35"/>
        <v>0.00467768806869153</v>
      </c>
      <c r="Z111">
        <f>SUMIF('库存（子SKU）'!$C:$C,$A111,'库存（子SKU）'!AB:AB)</f>
        <v>191.5</v>
      </c>
      <c r="AA111">
        <f>SUMIF('库存（子SKU）'!$C:$C,$A111,'库存（子SKU）'!AC:AC)</f>
        <v>191.66</v>
      </c>
      <c r="AB111">
        <f>SUMIF('库存（子SKU）'!$C:$C,$A111,'库存（子SKU）'!AD:AD)</f>
        <v>79.33</v>
      </c>
      <c r="AC111">
        <f>SUMIF('库存（子SKU）'!$C:$C,$A111,'库存（子SKU）'!AE:AE)</f>
        <v>95.14</v>
      </c>
      <c r="AD111" s="23">
        <f t="shared" si="20"/>
        <v>0.712425595238095</v>
      </c>
      <c r="AE111" s="23">
        <f t="shared" si="21"/>
        <v>1.06953125</v>
      </c>
      <c r="AF111" s="23">
        <f t="shared" si="22"/>
        <v>0.221344866071429</v>
      </c>
      <c r="AG111" s="23">
        <f t="shared" si="23"/>
        <v>0.212366071428571</v>
      </c>
      <c r="AH111">
        <f>SUMIF('库存（子SKU）'!$C:$C,$A111,'库存（子SKU）'!AJ:AJ)</f>
        <v>223</v>
      </c>
      <c r="AI111">
        <f>SUMIF('库存（子SKU）'!$C:$C,$A111,'库存（子SKU）'!AK:AK)</f>
        <v>252</v>
      </c>
      <c r="AJ111">
        <f>SUMIF('库存（子SKU）'!$C:$C,$A111,'库存（子SKU）'!AL:AL)</f>
        <v>331</v>
      </c>
      <c r="AK111">
        <f>SUMIF('库存（子SKU）'!$C:$C,$A111,'库存（子SKU）'!AM:AM)</f>
        <v>394</v>
      </c>
      <c r="AL111" s="23">
        <f t="shared" si="24"/>
        <v>0.0134529147982063</v>
      </c>
      <c r="AM111" s="23">
        <f t="shared" si="25"/>
        <v>0.00793650793650794</v>
      </c>
      <c r="AN111" s="23">
        <f t="shared" si="26"/>
        <v>0.0120845921450151</v>
      </c>
      <c r="AO111" s="23">
        <f t="shared" si="27"/>
        <v>0.0126903553299492</v>
      </c>
      <c r="AP111" s="7">
        <f t="shared" si="28"/>
        <v>0.428571428571429</v>
      </c>
      <c r="AQ111" s="7">
        <f t="shared" si="29"/>
        <v>25.7142857142857</v>
      </c>
      <c r="AR111" s="7">
        <f t="shared" si="30"/>
        <v>30.2857142857143</v>
      </c>
      <c r="AS111">
        <f t="shared" si="31"/>
        <v>130</v>
      </c>
      <c r="AT111" s="2">
        <f>IFERROR(时间!$B$4+AS111,"上周无销量")</f>
        <v>43455</v>
      </c>
    </row>
    <row r="112" spans="1:46">
      <c r="A112" t="s">
        <v>553</v>
      </c>
      <c r="B112" s="5">
        <f>SUMIF('库存（子SKU）'!$C:$C,$A112,'库存（子SKU）'!D:D)</f>
        <v>10</v>
      </c>
      <c r="C112" s="5">
        <f>SUMIF('库存（子SKU）'!$C:$C,$A112,'库存（子SKU）'!E:E)</f>
        <v>7</v>
      </c>
      <c r="D112" s="5">
        <f>SUMIF('库存（子SKU）'!$C:$C,$A112,'库存（子SKU）'!F:F)</f>
        <v>3</v>
      </c>
      <c r="E112" s="5">
        <f>SUMIF('库存（子SKU）'!$C:$C,$A112,'库存（子SKU）'!G:G)</f>
        <v>8</v>
      </c>
      <c r="F112" s="6">
        <v>89.99</v>
      </c>
      <c r="G112">
        <f>SUMIF('库存（子SKU）'!$C:$C,$A112,'库存（子SKU）'!I:I)</f>
        <v>73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4</v>
      </c>
      <c r="K112">
        <f t="shared" si="19"/>
        <v>77</v>
      </c>
      <c r="L112">
        <f>SUMIF('库存（子SKU）'!$C:$C,$A112,'库存（子SKU）'!N:N)</f>
        <v>4</v>
      </c>
      <c r="M112">
        <f>SUMIF('库存（子SKU）'!$C:$C,$A112,'库存（子SKU）'!O:O)</f>
        <v>0</v>
      </c>
      <c r="N112">
        <f>SUMIF('库存（子SKU）'!$C:$C,$A112,'库存（子SKU）'!P:P)</f>
        <v>50890</v>
      </c>
      <c r="O112">
        <f>SUMIF('库存（子SKU）'!$C:$C,$A112,'库存（子SKU）'!Q:Q)</f>
        <v>50890</v>
      </c>
      <c r="P112">
        <f>SUMIF('库存（子SKU）'!$C:$C,$A112,'库存（子SKU）'!R:R)</f>
        <v>0</v>
      </c>
      <c r="Q112">
        <f>SUMIF('库存（子SKU）'!$C:$C,$A112,'库存（子SKU）'!S:S)</f>
        <v>13950</v>
      </c>
      <c r="R112">
        <f>SUMIF('库存（子SKU）'!$C:$C,$A112,'库存（子SKU）'!T:T)</f>
        <v>279</v>
      </c>
      <c r="S112">
        <f>SUMIF('库存（子SKU）'!$C:$C,$A112,'库存（子SKU）'!U:U)</f>
        <v>279</v>
      </c>
      <c r="T112">
        <f>SUMIF('库存（子SKU）'!$C:$C,$A112,'库存（子SKU）'!V:V)</f>
        <v>0</v>
      </c>
      <c r="U112">
        <f>SUMIF('库存（子SKU）'!$C:$C,$A112,'库存（子SKU）'!W:W)</f>
        <v>42</v>
      </c>
      <c r="V112" s="23">
        <f t="shared" si="32"/>
        <v>0.00548241304775005</v>
      </c>
      <c r="W112" s="23">
        <f t="shared" si="33"/>
        <v>0.00548241304775005</v>
      </c>
      <c r="X112" s="23" t="str">
        <f t="shared" si="34"/>
        <v/>
      </c>
      <c r="Y112" s="23">
        <f t="shared" si="35"/>
        <v>0.00301075268817204</v>
      </c>
      <c r="Z112">
        <f>SUMIF('库存（子SKU）'!$C:$C,$A112,'库存（子SKU）'!AB:AB)</f>
        <v>69.5</v>
      </c>
      <c r="AA112">
        <f>SUMIF('库存（子SKU）'!$C:$C,$A112,'库存（子SKU）'!AC:AC)</f>
        <v>69.5</v>
      </c>
      <c r="AB112">
        <f>SUMIF('库存（子SKU）'!$C:$C,$A112,'库存（子SKU）'!AD:AD)</f>
        <v>0</v>
      </c>
      <c r="AC112">
        <f>SUMIF('库存（子SKU）'!$C:$C,$A112,'库存（子SKU）'!AE:AE)</f>
        <v>35.07</v>
      </c>
      <c r="AD112" s="23">
        <f t="shared" si="20"/>
        <v>0.0772308034226025</v>
      </c>
      <c r="AE112" s="23">
        <f t="shared" si="21"/>
        <v>0.110329719175146</v>
      </c>
      <c r="AF112" s="23">
        <f t="shared" si="22"/>
        <v>0</v>
      </c>
      <c r="AG112" s="23">
        <f t="shared" si="23"/>
        <v>0.0487137459717746</v>
      </c>
      <c r="AH112">
        <f>SUMIF('库存（子SKU）'!$C:$C,$A112,'库存（子SKU）'!AJ:AJ)</f>
        <v>381</v>
      </c>
      <c r="AI112">
        <f>SUMIF('库存（子SKU）'!$C:$C,$A112,'库存（子SKU）'!AK:AK)</f>
        <v>429</v>
      </c>
      <c r="AJ112">
        <f>SUMIF('库存（子SKU）'!$C:$C,$A112,'库存（子SKU）'!AL:AL)</f>
        <v>356</v>
      </c>
      <c r="AK112">
        <f>SUMIF('库存（子SKU）'!$C:$C,$A112,'库存（子SKU）'!AM:AM)</f>
        <v>452</v>
      </c>
      <c r="AL112" s="23">
        <f t="shared" si="24"/>
        <v>0.026246719160105</v>
      </c>
      <c r="AM112" s="23">
        <f t="shared" si="25"/>
        <v>0.0163170163170163</v>
      </c>
      <c r="AN112" s="23">
        <f t="shared" si="26"/>
        <v>0.00842696629213483</v>
      </c>
      <c r="AO112" s="23">
        <f t="shared" si="27"/>
        <v>0.0176991150442478</v>
      </c>
      <c r="AP112" s="7">
        <f t="shared" si="28"/>
        <v>1.42857142857143</v>
      </c>
      <c r="AQ112" s="7">
        <f t="shared" si="29"/>
        <v>85.7142857142857</v>
      </c>
      <c r="AR112" s="7">
        <f t="shared" si="30"/>
        <v>-8.71428571428572</v>
      </c>
      <c r="AS112">
        <f t="shared" si="31"/>
        <v>53</v>
      </c>
      <c r="AT112" s="2">
        <f>IFERROR(时间!$B$4+AS112,"上周无销量")</f>
        <v>43378</v>
      </c>
    </row>
    <row r="113" spans="1:46">
      <c r="A113" t="s">
        <v>556</v>
      </c>
      <c r="B113" s="5">
        <f>SUMIF('库存（子SKU）'!$C:$C,$A113,'库存（子SKU）'!D:D)</f>
        <v>0</v>
      </c>
      <c r="C113" s="5">
        <f>SUMIF('库存（子SKU）'!$C:$C,$A113,'库存（子SKU）'!E:E)</f>
        <v>2</v>
      </c>
      <c r="D113" s="5">
        <f>SUMIF('库存（子SKU）'!$C:$C,$A113,'库存（子SKU）'!F:F)</f>
        <v>2</v>
      </c>
      <c r="E113" s="5">
        <f>SUMIF('库存（子SKU）'!$C:$C,$A113,'库存（子SKU）'!G:G)</f>
        <v>4</v>
      </c>
      <c r="F113" s="6">
        <v>89.99</v>
      </c>
      <c r="G113">
        <f>SUMIF('库存（子SKU）'!$C:$C,$A113,'库存（子SKU）'!I:I)</f>
        <v>69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69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23482</v>
      </c>
      <c r="O113">
        <f>SUMIF('库存（子SKU）'!$C:$C,$A113,'库存（子SKU）'!Q:Q)</f>
        <v>23482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119</v>
      </c>
      <c r="S113">
        <f>SUMIF('库存（子SKU）'!$C:$C,$A113,'库存（子SKU）'!U:U)</f>
        <v>119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>
        <f t="shared" si="32"/>
        <v>0.00506771143854868</v>
      </c>
      <c r="W113" s="23">
        <f t="shared" si="33"/>
        <v>0.00506771143854868</v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16.6</v>
      </c>
      <c r="AA113">
        <f>SUMIF('库存（子SKU）'!$C:$C,$A113,'库存（子SKU）'!AC:AC)</f>
        <v>16.6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>无销量广告费为16.6</v>
      </c>
      <c r="AE113" s="23">
        <f t="shared" si="21"/>
        <v>0.092232470274475</v>
      </c>
      <c r="AF113" s="23">
        <f t="shared" si="22"/>
        <v>0</v>
      </c>
      <c r="AG113" s="23">
        <f t="shared" si="23"/>
        <v>0</v>
      </c>
      <c r="AH113">
        <f>SUMIF('库存（子SKU）'!$C:$C,$A113,'库存（子SKU）'!AJ:AJ)</f>
        <v>57</v>
      </c>
      <c r="AI113">
        <f>SUMIF('库存（子SKU）'!$C:$C,$A113,'库存（子SKU）'!AK:AK)</f>
        <v>62</v>
      </c>
      <c r="AJ113">
        <f>SUMIF('库存（子SKU）'!$C:$C,$A113,'库存（子SKU）'!AL:AL)</f>
        <v>67</v>
      </c>
      <c r="AK113">
        <f>SUMIF('库存（子SKU）'!$C:$C,$A113,'库存（子SKU）'!AM:AM)</f>
        <v>242</v>
      </c>
      <c r="AL113" s="23">
        <f t="shared" si="24"/>
        <v>0</v>
      </c>
      <c r="AM113" s="23">
        <f t="shared" si="25"/>
        <v>0.032258064516129</v>
      </c>
      <c r="AN113" s="23">
        <f t="shared" si="26"/>
        <v>0.0298507462686567</v>
      </c>
      <c r="AO113" s="23">
        <f t="shared" si="27"/>
        <v>0.0165289256198347</v>
      </c>
      <c r="AP113" s="7">
        <f t="shared" si="28"/>
        <v>0</v>
      </c>
      <c r="AQ113" s="7">
        <f t="shared" si="29"/>
        <v>0</v>
      </c>
      <c r="AR113" s="7">
        <f t="shared" si="30"/>
        <v>69</v>
      </c>
      <c r="AS113" t="str">
        <f t="shared" si="31"/>
        <v>库存为69</v>
      </c>
      <c r="AT113" s="2" t="str">
        <f>IFERROR(时间!$B$4+AS113,"上周无销量")</f>
        <v>上周无销量</v>
      </c>
    </row>
    <row r="114" spans="1:46">
      <c r="A114" t="s">
        <v>560</v>
      </c>
      <c r="B114" s="5">
        <f>SUMIF('库存（子SKU）'!$C:$C,$A114,'库存（子SKU）'!D:D)</f>
        <v>0</v>
      </c>
      <c r="C114" s="5">
        <f>SUMIF('库存（子SKU）'!$C:$C,$A114,'库存（子SKU）'!E:E)</f>
        <v>1</v>
      </c>
      <c r="D114" s="5">
        <f>SUMIF('库存（子SKU）'!$C:$C,$A114,'库存（子SKU）'!F:F)</f>
        <v>0</v>
      </c>
      <c r="E114" s="5">
        <f>SUMIF('库存（子SKU）'!$C:$C,$A114,'库存（子SKU）'!G:G)</f>
        <v>1</v>
      </c>
      <c r="F114" s="6">
        <v>79.6</v>
      </c>
      <c r="G114">
        <f>SUMIF('库存（子SKU）'!$C:$C,$A114,'库存（子SKU）'!I:I)</f>
        <v>5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5</v>
      </c>
      <c r="L114">
        <f>SUMIF('库存（子SKU）'!$C:$C,$A114,'库存（子SKU）'!N:N)</f>
        <v>0</v>
      </c>
      <c r="M114">
        <f>SUMIF('库存（子SKU）'!$C:$C,$A114,'库存（子SKU）'!O:O)</f>
        <v>5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>
        <f t="shared" si="21"/>
        <v>0</v>
      </c>
      <c r="AF114" s="23" t="str">
        <f t="shared" si="22"/>
        <v/>
      </c>
      <c r="AG114" s="23">
        <f t="shared" si="23"/>
        <v>0</v>
      </c>
      <c r="AH114">
        <f>SUMIF('库存（子SKU）'!$C:$C,$A114,'库存（子SKU）'!AJ:AJ)</f>
        <v>65</v>
      </c>
      <c r="AI114">
        <f>SUMIF('库存（子SKU）'!$C:$C,$A114,'库存（子SKU）'!AK:AK)</f>
        <v>16</v>
      </c>
      <c r="AJ114">
        <f>SUMIF('库存（子SKU）'!$C:$C,$A114,'库存（子SKU）'!AL:AL)</f>
        <v>11</v>
      </c>
      <c r="AK114">
        <f>SUMIF('库存（子SKU）'!$C:$C,$A114,'库存（子SKU）'!AM:AM)</f>
        <v>6</v>
      </c>
      <c r="AL114" s="23">
        <f t="shared" si="24"/>
        <v>0</v>
      </c>
      <c r="AM114" s="23">
        <f t="shared" si="25"/>
        <v>0.0625</v>
      </c>
      <c r="AN114" s="23">
        <f t="shared" si="26"/>
        <v>0</v>
      </c>
      <c r="AO114" s="23">
        <f t="shared" si="27"/>
        <v>0.166666666666667</v>
      </c>
      <c r="AP114" s="7">
        <f t="shared" si="28"/>
        <v>0</v>
      </c>
      <c r="AQ114" s="7">
        <f t="shared" si="29"/>
        <v>0</v>
      </c>
      <c r="AR114" s="7">
        <f t="shared" si="30"/>
        <v>5</v>
      </c>
      <c r="AS114" t="str">
        <f t="shared" si="31"/>
        <v>库存为5</v>
      </c>
      <c r="AT114" s="2" t="str">
        <f>IFERROR(时间!$B$4+AS114,"上周无销量")</f>
        <v>上周无销量</v>
      </c>
    </row>
    <row r="115" spans="1:46">
      <c r="A115" t="s">
        <v>563</v>
      </c>
      <c r="B115" s="5">
        <f>SUMIF('库存（子SKU）'!$C:$C,$A115,'库存（子SKU）'!D:D)</f>
        <v>2</v>
      </c>
      <c r="C115" s="5">
        <f>SUMIF('库存（子SKU）'!$C:$C,$A115,'库存（子SKU）'!E:E)</f>
        <v>1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>
        <v>79.99</v>
      </c>
      <c r="G115">
        <f>SUMIF('库存（子SKU）'!$C:$C,$A115,'库存（子SKU）'!I:I)</f>
        <v>13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13</v>
      </c>
      <c r="L115">
        <f>SUMIF('库存（子SKU）'!$C:$C,$A115,'库存（子SKU）'!N:N)</f>
        <v>0</v>
      </c>
      <c r="M115">
        <f>SUMIF('库存（子SKU）'!$C:$C,$A115,'库存（子SKU）'!O:O)</f>
        <v>14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>
        <f t="shared" si="20"/>
        <v>0</v>
      </c>
      <c r="AE115" s="23">
        <f t="shared" si="21"/>
        <v>0</v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60</v>
      </c>
      <c r="AI115">
        <f>SUMIF('库存（子SKU）'!$C:$C,$A115,'库存（子SKU）'!AK:AK)</f>
        <v>24</v>
      </c>
      <c r="AJ115">
        <f>SUMIF('库存（子SKU）'!$C:$C,$A115,'库存（子SKU）'!AL:AL)</f>
        <v>23</v>
      </c>
      <c r="AK115">
        <f>SUMIF('库存（子SKU）'!$C:$C,$A115,'库存（子SKU）'!AM:AM)</f>
        <v>28</v>
      </c>
      <c r="AL115" s="23">
        <f t="shared" si="24"/>
        <v>0.0333333333333333</v>
      </c>
      <c r="AM115" s="23">
        <f t="shared" si="25"/>
        <v>0.0416666666666667</v>
      </c>
      <c r="AN115" s="23">
        <f t="shared" si="26"/>
        <v>0</v>
      </c>
      <c r="AO115" s="23">
        <f t="shared" si="27"/>
        <v>0</v>
      </c>
      <c r="AP115" s="7">
        <f t="shared" si="28"/>
        <v>0.285714285714286</v>
      </c>
      <c r="AQ115" s="7">
        <f t="shared" si="29"/>
        <v>17.1428571428571</v>
      </c>
      <c r="AR115" s="7">
        <f t="shared" si="30"/>
        <v>-4.14285714285714</v>
      </c>
      <c r="AS115">
        <f t="shared" si="31"/>
        <v>45</v>
      </c>
      <c r="AT115" s="2">
        <f>IFERROR(时间!$B$4+AS115,"上周无销量")</f>
        <v>43370</v>
      </c>
    </row>
    <row r="116" spans="1:46">
      <c r="A116" t="s">
        <v>566</v>
      </c>
      <c r="B116" s="5">
        <f>SUMIF('库存（子SKU）'!$C:$C,$A116,'库存（子SKU）'!D:D)</f>
        <v>0</v>
      </c>
      <c r="C116" s="5">
        <f>SUMIF('库存（子SKU）'!$C:$C,$A116,'库存（子SKU）'!E:E)</f>
        <v>1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>
        <v>89.99</v>
      </c>
      <c r="G116">
        <f>SUMIF('库存（子SKU）'!$C:$C,$A116,'库存（子SKU）'!I:I)</f>
        <v>62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1</v>
      </c>
      <c r="K116">
        <f t="shared" si="19"/>
        <v>63</v>
      </c>
      <c r="L116">
        <f>SUMIF('库存（子SKU）'!$C:$C,$A116,'库存（子SKU）'!N:N)</f>
        <v>1</v>
      </c>
      <c r="M116">
        <f>SUMIF('库存（子SKU）'!$C:$C,$A116,'库存（子SKU）'!O:O)</f>
        <v>62</v>
      </c>
      <c r="N116">
        <f>SUMIF('库存（子SKU）'!$C:$C,$A116,'库存（子SKU）'!P:P)</f>
        <v>24872</v>
      </c>
      <c r="O116">
        <f>SUMIF('库存（子SKU）'!$C:$C,$A116,'库存（子SKU）'!Q:Q)</f>
        <v>24914</v>
      </c>
      <c r="P116">
        <f>SUMIF('库存（子SKU）'!$C:$C,$A116,'库存（子SKU）'!R:R)</f>
        <v>8790</v>
      </c>
      <c r="Q116">
        <f>SUMIF('库存（子SKU）'!$C:$C,$A116,'库存（子SKU）'!S:S)</f>
        <v>2356</v>
      </c>
      <c r="R116">
        <f>SUMIF('库存（子SKU）'!$C:$C,$A116,'库存（子SKU）'!T:T)</f>
        <v>230</v>
      </c>
      <c r="S116">
        <f>SUMIF('库存（子SKU）'!$C:$C,$A116,'库存（子SKU）'!U:U)</f>
        <v>230</v>
      </c>
      <c r="T116">
        <f>SUMIF('库存（子SKU）'!$C:$C,$A116,'库存（子SKU）'!V:V)</f>
        <v>51</v>
      </c>
      <c r="U116">
        <f>SUMIF('库存（子SKU）'!$C:$C,$A116,'库存（子SKU）'!W:W)</f>
        <v>22</v>
      </c>
      <c r="V116" s="23">
        <f t="shared" si="32"/>
        <v>0.00924734641363783</v>
      </c>
      <c r="W116" s="23">
        <f t="shared" si="33"/>
        <v>0.00923175724492253</v>
      </c>
      <c r="X116" s="23">
        <f t="shared" si="34"/>
        <v>0.00580204778156997</v>
      </c>
      <c r="Y116" s="23">
        <f t="shared" si="35"/>
        <v>0.00933786078098472</v>
      </c>
      <c r="Z116">
        <f>SUMIF('库存（子SKU）'!$C:$C,$A116,'库存（子SKU）'!AB:AB)</f>
        <v>46.44</v>
      </c>
      <c r="AA116">
        <f>SUMIF('库存（子SKU）'!$C:$C,$A116,'库存（子SKU）'!AC:AC)</f>
        <v>46.44</v>
      </c>
      <c r="AB116">
        <f>SUMIF('库存（子SKU）'!$C:$C,$A116,'库存（子SKU）'!AD:AD)</f>
        <v>14.19</v>
      </c>
      <c r="AC116">
        <f>SUMIF('库存（子SKU）'!$C:$C,$A116,'库存（子SKU）'!AE:AE)</f>
        <v>6.89</v>
      </c>
      <c r="AD116" s="23" t="str">
        <f t="shared" si="20"/>
        <v>无销量广告费为46.44</v>
      </c>
      <c r="AE116" s="23">
        <f t="shared" si="21"/>
        <v>0.516057339704412</v>
      </c>
      <c r="AF116" s="23" t="str">
        <f t="shared" si="22"/>
        <v>无销量广告费为14.19</v>
      </c>
      <c r="AG116" s="23" t="str">
        <f t="shared" si="23"/>
        <v>无销量广告费为6.89</v>
      </c>
      <c r="AH116">
        <f>SUMIF('库存（子SKU）'!$C:$C,$A116,'库存（子SKU）'!AJ:AJ)</f>
        <v>45</v>
      </c>
      <c r="AI116">
        <f>SUMIF('库存（子SKU）'!$C:$C,$A116,'库存（子SKU）'!AK:AK)</f>
        <v>83</v>
      </c>
      <c r="AJ116">
        <f>SUMIF('库存（子SKU）'!$C:$C,$A116,'库存（子SKU）'!AL:AL)</f>
        <v>95</v>
      </c>
      <c r="AK116">
        <f>SUMIF('库存（子SKU）'!$C:$C,$A116,'库存（子SKU）'!AM:AM)</f>
        <v>41</v>
      </c>
      <c r="AL116" s="23">
        <f t="shared" si="24"/>
        <v>0</v>
      </c>
      <c r="AM116" s="23">
        <f t="shared" si="25"/>
        <v>0.0120481927710843</v>
      </c>
      <c r="AN116" s="23">
        <f t="shared" si="26"/>
        <v>0</v>
      </c>
      <c r="AO116" s="23">
        <f t="shared" si="27"/>
        <v>0</v>
      </c>
      <c r="AP116" s="7">
        <f t="shared" si="28"/>
        <v>0</v>
      </c>
      <c r="AQ116" s="7">
        <f t="shared" si="29"/>
        <v>0</v>
      </c>
      <c r="AR116" s="7">
        <f t="shared" si="30"/>
        <v>63</v>
      </c>
      <c r="AS116" t="str">
        <f t="shared" si="31"/>
        <v>库存为63</v>
      </c>
      <c r="AT116" s="2" t="str">
        <f>IFERROR(时间!$B$4+AS116,"上周无销量")</f>
        <v>上周无销量</v>
      </c>
    </row>
    <row r="117" spans="1:46">
      <c r="A117" t="s">
        <v>582</v>
      </c>
      <c r="B117" s="5">
        <f>SUMIF('库存（子SKU）'!$C:$C,$A117,'库存（子SKU）'!D:D)</f>
        <v>3</v>
      </c>
      <c r="C117" s="5">
        <f>SUMIF('库存（子SKU）'!$C:$C,$A117,'库存（子SKU）'!E:E)</f>
        <v>3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>
        <v>99.99</v>
      </c>
      <c r="G117">
        <f>SUMIF('库存（子SKU）'!$C:$C,$A117,'库存（子SKU）'!I:I)</f>
        <v>8</v>
      </c>
      <c r="H117">
        <f>SUMIF('库存（子SKU）'!$C:$C,$A117,'库存（子SKU）'!J:J)</f>
        <v>6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14</v>
      </c>
      <c r="L117">
        <f>SUMIF('库存（子SKU）'!$C:$C,$A117,'库存（子SKU）'!N:N)</f>
        <v>0</v>
      </c>
      <c r="M117">
        <f>SUMIF('库存（子SKU）'!$C:$C,$A117,'库存（子SKU）'!O:O)</f>
        <v>4</v>
      </c>
      <c r="N117">
        <f>SUMIF('库存（子SKU）'!$C:$C,$A117,'库存（子SKU）'!P:P)</f>
        <v>14</v>
      </c>
      <c r="O117">
        <f>SUMIF('库存（子SKU）'!$C:$C,$A117,'库存（子SKU）'!Q:Q)</f>
        <v>14</v>
      </c>
      <c r="P117">
        <f>SUMIF('库存（子SKU）'!$C:$C,$A117,'库存（子SKU）'!R:R)</f>
        <v>1</v>
      </c>
      <c r="Q117">
        <f>SUMIF('库存（子SKU）'!$C:$C,$A117,'库存（子SKU）'!S:S)</f>
        <v>2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>
        <f t="shared" si="32"/>
        <v>0</v>
      </c>
      <c r="W117" s="23">
        <f t="shared" si="33"/>
        <v>0</v>
      </c>
      <c r="X117" s="23">
        <f t="shared" si="34"/>
        <v>0</v>
      </c>
      <c r="Y117" s="23">
        <f t="shared" si="35"/>
        <v>0</v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>
        <f t="shared" si="20"/>
        <v>0</v>
      </c>
      <c r="AE117" s="23">
        <f t="shared" si="21"/>
        <v>0</v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202</v>
      </c>
      <c r="AI117">
        <f>SUMIF('库存（子SKU）'!$C:$C,$A117,'库存（子SKU）'!AK:AK)</f>
        <v>144</v>
      </c>
      <c r="AJ117">
        <f>SUMIF('库存（子SKU）'!$C:$C,$A117,'库存（子SKU）'!AL:AL)</f>
        <v>113</v>
      </c>
      <c r="AK117">
        <f>SUMIF('库存（子SKU）'!$C:$C,$A117,'库存（子SKU）'!AM:AM)</f>
        <v>99</v>
      </c>
      <c r="AL117" s="23">
        <f t="shared" si="24"/>
        <v>0.0148514851485149</v>
      </c>
      <c r="AM117" s="23">
        <f t="shared" si="25"/>
        <v>0.0208333333333333</v>
      </c>
      <c r="AN117" s="23">
        <f t="shared" si="26"/>
        <v>0</v>
      </c>
      <c r="AO117" s="23">
        <f t="shared" si="27"/>
        <v>0</v>
      </c>
      <c r="AP117" s="7">
        <f t="shared" si="28"/>
        <v>0.428571428571429</v>
      </c>
      <c r="AQ117" s="7">
        <f t="shared" si="29"/>
        <v>25.7142857142857</v>
      </c>
      <c r="AR117" s="7">
        <f t="shared" si="30"/>
        <v>-11.7142857142857</v>
      </c>
      <c r="AS117">
        <f t="shared" si="31"/>
        <v>32</v>
      </c>
      <c r="AT117" s="2">
        <f>IFERROR(时间!$B$4+AS117,"上周无销量")</f>
        <v>43357</v>
      </c>
    </row>
    <row r="118" spans="1:46">
      <c r="A118" t="s">
        <v>585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57</v>
      </c>
      <c r="G118">
        <f>SUMIF('库存（子SKU）'!$C:$C,$A118,'库存（子SKU）'!I:I)</f>
        <v>16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16</v>
      </c>
      <c r="L118">
        <f>SUMIF('库存（子SKU）'!$C:$C,$A118,'库存（子SKU）'!N:N)</f>
        <v>0</v>
      </c>
      <c r="M118">
        <f>SUMIF('库存（子SKU）'!$C:$C,$A118,'库存（子SKU）'!O:O)</f>
        <v>16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7</v>
      </c>
      <c r="AI118">
        <f>SUMIF('库存（子SKU）'!$C:$C,$A118,'库存（子SKU）'!AK:AK)</f>
        <v>8</v>
      </c>
      <c r="AJ118">
        <f>SUMIF('库存（子SKU）'!$C:$C,$A118,'库存（子SKU）'!AL:AL)</f>
        <v>6</v>
      </c>
      <c r="AK118">
        <f>SUMIF('库存（子SKU）'!$C:$C,$A118,'库存（子SKU）'!AM:AM)</f>
        <v>5</v>
      </c>
      <c r="AL118" s="23">
        <f t="shared" si="24"/>
        <v>0</v>
      </c>
      <c r="AM118" s="23">
        <f t="shared" si="25"/>
        <v>0</v>
      </c>
      <c r="AN118" s="23">
        <f t="shared" si="26"/>
        <v>0</v>
      </c>
      <c r="AO118" s="23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16</v>
      </c>
      <c r="AS118" t="str">
        <f t="shared" si="31"/>
        <v>库存为16</v>
      </c>
      <c r="AT118" s="2" t="str">
        <f>IFERROR(时间!$B$4+AS118,"上周无销量")</f>
        <v>上周无销量</v>
      </c>
    </row>
    <row r="119" spans="1:46">
      <c r="A119" t="s">
        <v>588</v>
      </c>
      <c r="B119" s="5">
        <f>SUMIF('库存（子SKU）'!$C:$C,$A119,'库存（子SKU）'!D:D)</f>
        <v>2</v>
      </c>
      <c r="C119" s="5">
        <f>SUMIF('库存（子SKU）'!$C:$C,$A119,'库存（子SKU）'!E:E)</f>
        <v>3</v>
      </c>
      <c r="D119" s="5">
        <f>SUMIF('库存（子SKU）'!$C:$C,$A119,'库存（子SKU）'!F:F)</f>
        <v>2</v>
      </c>
      <c r="E119" s="5">
        <f>SUMIF('库存（子SKU）'!$C:$C,$A119,'库存（子SKU）'!G:G)</f>
        <v>28</v>
      </c>
      <c r="F119" s="6">
        <v>34.7614285714286</v>
      </c>
      <c r="G119">
        <f>SUMIF('库存（子SKU）'!$C:$C,$A119,'库存（子SKU）'!I:I)</f>
        <v>88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88</v>
      </c>
      <c r="L119">
        <f>SUMIF('库存（子SKU）'!$C:$C,$A119,'库存（子SKU）'!N:N)</f>
        <v>1</v>
      </c>
      <c r="M119">
        <f>SUMIF('库存（子SKU）'!$C:$C,$A119,'库存（子SKU）'!O:O)</f>
        <v>22</v>
      </c>
      <c r="N119">
        <f>SUMIF('库存（子SKU）'!$C:$C,$A119,'库存（子SKU）'!P:P)</f>
        <v>57765</v>
      </c>
      <c r="O119">
        <f>SUMIF('库存（子SKU）'!$C:$C,$A119,'库存（子SKU）'!Q:Q)</f>
        <v>57765</v>
      </c>
      <c r="P119">
        <f>SUMIF('库存（子SKU）'!$C:$C,$A119,'库存（子SKU）'!R:R)</f>
        <v>0</v>
      </c>
      <c r="Q119">
        <f>SUMIF('库存（子SKU）'!$C:$C,$A119,'库存（子SKU）'!S:S)</f>
        <v>35767</v>
      </c>
      <c r="R119">
        <f>SUMIF('库存（子SKU）'!$C:$C,$A119,'库存（子SKU）'!T:T)</f>
        <v>282</v>
      </c>
      <c r="S119">
        <f>SUMIF('库存（子SKU）'!$C:$C,$A119,'库存（子SKU）'!U:U)</f>
        <v>282</v>
      </c>
      <c r="T119">
        <f>SUMIF('库存（子SKU）'!$C:$C,$A119,'库存（子SKU）'!V:V)</f>
        <v>0</v>
      </c>
      <c r="U119">
        <f>SUMIF('库存（子SKU）'!$C:$C,$A119,'库存（子SKU）'!W:W)</f>
        <v>166</v>
      </c>
      <c r="V119" s="23">
        <f t="shared" si="32"/>
        <v>0.00488184887042327</v>
      </c>
      <c r="W119" s="23">
        <f t="shared" si="33"/>
        <v>0.00488184887042327</v>
      </c>
      <c r="X119" s="23" t="str">
        <f t="shared" si="34"/>
        <v/>
      </c>
      <c r="Y119" s="23">
        <f t="shared" si="35"/>
        <v>0.00464114966309727</v>
      </c>
      <c r="Z119">
        <f>SUMIF('库存（子SKU）'!$C:$C,$A119,'库存（子SKU）'!AB:AB)</f>
        <v>57.64</v>
      </c>
      <c r="AA119">
        <f>SUMIF('库存（子SKU）'!$C:$C,$A119,'库存（子SKU）'!AC:AC)</f>
        <v>57.64</v>
      </c>
      <c r="AB119">
        <f>SUMIF('库存（子SKU）'!$C:$C,$A119,'库存（子SKU）'!AD:AD)</f>
        <v>0</v>
      </c>
      <c r="AC119">
        <f>SUMIF('库存（子SKU）'!$C:$C,$A119,'库存（子SKU）'!AE:AE)</f>
        <v>37.12</v>
      </c>
      <c r="AD119" s="23">
        <f t="shared" si="20"/>
        <v>0.829079850408909</v>
      </c>
      <c r="AE119" s="23">
        <f t="shared" si="21"/>
        <v>0.552719900272606</v>
      </c>
      <c r="AF119" s="23">
        <f t="shared" si="22"/>
        <v>0</v>
      </c>
      <c r="AG119" s="23">
        <f t="shared" si="23"/>
        <v>0.0381375087329963</v>
      </c>
      <c r="AH119">
        <f>SUMIF('库存（子SKU）'!$C:$C,$A119,'库存（子SKU）'!AJ:AJ)</f>
        <v>200</v>
      </c>
      <c r="AI119">
        <f>SUMIF('库存（子SKU）'!$C:$C,$A119,'库存（子SKU）'!AK:AK)</f>
        <v>236</v>
      </c>
      <c r="AJ119">
        <f>SUMIF('库存（子SKU）'!$C:$C,$A119,'库存（子SKU）'!AL:AL)</f>
        <v>379</v>
      </c>
      <c r="AK119">
        <f>SUMIF('库存（子SKU）'!$C:$C,$A119,'库存（子SKU）'!AM:AM)</f>
        <v>842</v>
      </c>
      <c r="AL119" s="23">
        <f t="shared" si="24"/>
        <v>0.01</v>
      </c>
      <c r="AM119" s="23">
        <f t="shared" si="25"/>
        <v>0.0127118644067797</v>
      </c>
      <c r="AN119" s="23">
        <f t="shared" si="26"/>
        <v>0.00527704485488127</v>
      </c>
      <c r="AO119" s="23">
        <f t="shared" si="27"/>
        <v>0.0332541567695962</v>
      </c>
      <c r="AP119" s="7">
        <f t="shared" si="28"/>
        <v>0.285714285714286</v>
      </c>
      <c r="AQ119" s="7">
        <f t="shared" si="29"/>
        <v>17.1428571428571</v>
      </c>
      <c r="AR119" s="7">
        <f t="shared" si="30"/>
        <v>70.8571428571429</v>
      </c>
      <c r="AS119">
        <f t="shared" si="31"/>
        <v>308</v>
      </c>
      <c r="AT119" s="2">
        <f>IFERROR(时间!$B$4+AS119,"上周无销量")</f>
        <v>43633</v>
      </c>
    </row>
    <row r="120" spans="1:46">
      <c r="A120" t="s">
        <v>595</v>
      </c>
      <c r="B120" s="5">
        <f>SUMIF('库存（子SKU）'!$C:$C,$A120,'库存（子SKU）'!D:D)</f>
        <v>5</v>
      </c>
      <c r="C120" s="5">
        <f>SUMIF('库存（子SKU）'!$C:$C,$A120,'库存（子SKU）'!E:E)</f>
        <v>1</v>
      </c>
      <c r="D120" s="5">
        <f>SUMIF('库存（子SKU）'!$C:$C,$A120,'库存（子SKU）'!F:F)</f>
        <v>0</v>
      </c>
      <c r="E120" s="5">
        <f>SUMIF('库存（子SKU）'!$C:$C,$A120,'库存（子SKU）'!G:G)</f>
        <v>4</v>
      </c>
      <c r="F120" s="6">
        <v>89.99</v>
      </c>
      <c r="G120">
        <f>SUMIF('库存（子SKU）'!$C:$C,$A120,'库存（子SKU）'!I:I)</f>
        <v>55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55</v>
      </c>
      <c r="L120">
        <f>SUMIF('库存（子SKU）'!$C:$C,$A120,'库存（子SKU）'!N:N)</f>
        <v>0</v>
      </c>
      <c r="M120">
        <f>SUMIF('库存（子SKU）'!$C:$C,$A120,'库存（子SKU）'!O:O)</f>
        <v>1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>
        <f t="shared" si="20"/>
        <v>0</v>
      </c>
      <c r="AE120" s="23">
        <f t="shared" si="21"/>
        <v>0</v>
      </c>
      <c r="AF120" s="23" t="str">
        <f t="shared" si="22"/>
        <v/>
      </c>
      <c r="AG120" s="23">
        <f t="shared" si="23"/>
        <v>0</v>
      </c>
      <c r="AH120">
        <f>SUMIF('库存（子SKU）'!$C:$C,$A120,'库存（子SKU）'!AJ:AJ)</f>
        <v>141</v>
      </c>
      <c r="AI120">
        <f>SUMIF('库存（子SKU）'!$C:$C,$A120,'库存（子SKU）'!AK:AK)</f>
        <v>64</v>
      </c>
      <c r="AJ120">
        <f>SUMIF('库存（子SKU）'!$C:$C,$A120,'库存（子SKU）'!AL:AL)</f>
        <v>132</v>
      </c>
      <c r="AK120">
        <f>SUMIF('库存（子SKU）'!$C:$C,$A120,'库存（子SKU）'!AM:AM)</f>
        <v>211</v>
      </c>
      <c r="AL120" s="23">
        <f t="shared" si="24"/>
        <v>0.0354609929078014</v>
      </c>
      <c r="AM120" s="23">
        <f t="shared" si="25"/>
        <v>0.015625</v>
      </c>
      <c r="AN120" s="23">
        <f t="shared" si="26"/>
        <v>0</v>
      </c>
      <c r="AO120" s="23">
        <f t="shared" si="27"/>
        <v>0.018957345971564</v>
      </c>
      <c r="AP120" s="7">
        <f t="shared" si="28"/>
        <v>0.714285714285714</v>
      </c>
      <c r="AQ120" s="7">
        <f t="shared" si="29"/>
        <v>42.8571428571429</v>
      </c>
      <c r="AR120" s="7">
        <f t="shared" si="30"/>
        <v>12.1428571428571</v>
      </c>
      <c r="AS120">
        <f t="shared" si="31"/>
        <v>77</v>
      </c>
      <c r="AT120" s="2">
        <f>IFERROR(时间!$B$4+AS120,"上周无销量")</f>
        <v>43402</v>
      </c>
    </row>
    <row r="121" spans="1:46">
      <c r="A121" t="s">
        <v>598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">
        <v>57</v>
      </c>
      <c r="G121">
        <f>SUMIF('库存（子SKU）'!$C:$C,$A121,'库存（子SKU）'!I:I)</f>
        <v>11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11</v>
      </c>
      <c r="L121">
        <f>SUMIF('库存（子SKU）'!$C:$C,$A121,'库存（子SKU）'!N:N)</f>
        <v>0</v>
      </c>
      <c r="M121">
        <f>SUMIF('库存（子SKU）'!$C:$C,$A121,'库存（子SKU）'!O:O)</f>
        <v>11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22</v>
      </c>
      <c r="AI121">
        <f>SUMIF('库存（子SKU）'!$C:$C,$A121,'库存（子SKU）'!AK:AK)</f>
        <v>16</v>
      </c>
      <c r="AJ121">
        <f>SUMIF('库存（子SKU）'!$C:$C,$A121,'库存（子SKU）'!AL:AL)</f>
        <v>8</v>
      </c>
      <c r="AK121">
        <f>SUMIF('库存（子SKU）'!$C:$C,$A121,'库存（子SKU）'!AM:AM)</f>
        <v>12</v>
      </c>
      <c r="AL121" s="23">
        <f t="shared" si="24"/>
        <v>0</v>
      </c>
      <c r="AM121" s="23">
        <f t="shared" si="25"/>
        <v>0</v>
      </c>
      <c r="AN121" s="23">
        <f t="shared" si="26"/>
        <v>0</v>
      </c>
      <c r="AO121" s="23">
        <f t="shared" si="27"/>
        <v>0</v>
      </c>
      <c r="AP121" s="7">
        <f t="shared" si="28"/>
        <v>0</v>
      </c>
      <c r="AQ121" s="7">
        <f t="shared" si="29"/>
        <v>0</v>
      </c>
      <c r="AR121" s="7">
        <f t="shared" si="30"/>
        <v>11</v>
      </c>
      <c r="AS121" t="str">
        <f t="shared" si="31"/>
        <v>库存为11</v>
      </c>
      <c r="AT121" s="2" t="str">
        <f>IFERROR(时间!$B$4+AS121,"上周无销量")</f>
        <v>上周无销量</v>
      </c>
    </row>
    <row r="122" spans="1:46">
      <c r="A122" t="s">
        <v>601</v>
      </c>
      <c r="B122" s="5">
        <f>SUMIF('库存（子SKU）'!$C:$C,$A122,'库存（子SKU）'!D:D)</f>
        <v>1</v>
      </c>
      <c r="C122" s="5">
        <f>SUMIF('库存（子SKU）'!$C:$C,$A122,'库存（子SKU）'!E:E)</f>
        <v>3</v>
      </c>
      <c r="D122" s="5">
        <f>SUMIF('库存（子SKU）'!$C:$C,$A122,'库存（子SKU）'!F:F)</f>
        <v>1</v>
      </c>
      <c r="E122" s="5">
        <f>SUMIF('库存（子SKU）'!$C:$C,$A122,'库存（子SKU）'!G:G)</f>
        <v>0</v>
      </c>
      <c r="F122" s="6">
        <v>99.6</v>
      </c>
      <c r="G122">
        <f>SUMIF('库存（子SKU）'!$C:$C,$A122,'库存（子SKU）'!I:I)</f>
        <v>31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31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18953</v>
      </c>
      <c r="O122">
        <f>SUMIF('库存（子SKU）'!$C:$C,$A122,'库存（子SKU）'!Q:Q)</f>
        <v>18953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131</v>
      </c>
      <c r="S122">
        <f>SUMIF('库存（子SKU）'!$C:$C,$A122,'库存（子SKU）'!U:U)</f>
        <v>131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>
        <f t="shared" si="32"/>
        <v>0.00691183453806785</v>
      </c>
      <c r="W122" s="23">
        <f t="shared" si="33"/>
        <v>0.00691183453806785</v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19.11</v>
      </c>
      <c r="AA122">
        <f>SUMIF('库存（子SKU）'!$C:$C,$A122,'库存（子SKU）'!AC:AC)</f>
        <v>19.11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>
        <f t="shared" si="20"/>
        <v>0.191867469879518</v>
      </c>
      <c r="AE122" s="23">
        <f t="shared" si="21"/>
        <v>0.0639558232931727</v>
      </c>
      <c r="AF122" s="23">
        <f t="shared" si="22"/>
        <v>0</v>
      </c>
      <c r="AG122" s="23" t="str">
        <f t="shared" si="23"/>
        <v/>
      </c>
      <c r="AH122">
        <f>SUMIF('库存（子SKU）'!$C:$C,$A122,'库存（子SKU）'!AJ:AJ)</f>
        <v>60</v>
      </c>
      <c r="AI122">
        <f>SUMIF('库存（子SKU）'!$C:$C,$A122,'库存（子SKU）'!AK:AK)</f>
        <v>44</v>
      </c>
      <c r="AJ122">
        <f>SUMIF('库存（子SKU）'!$C:$C,$A122,'库存（子SKU）'!AL:AL)</f>
        <v>52</v>
      </c>
      <c r="AK122">
        <f>SUMIF('库存（子SKU）'!$C:$C,$A122,'库存（子SKU）'!AM:AM)</f>
        <v>51</v>
      </c>
      <c r="AL122" s="23">
        <f t="shared" si="24"/>
        <v>0.0166666666666667</v>
      </c>
      <c r="AM122" s="23">
        <f t="shared" si="25"/>
        <v>0.0681818181818182</v>
      </c>
      <c r="AN122" s="23">
        <f t="shared" si="26"/>
        <v>0.0192307692307692</v>
      </c>
      <c r="AO122" s="23">
        <f t="shared" si="27"/>
        <v>0</v>
      </c>
      <c r="AP122" s="7">
        <f t="shared" si="28"/>
        <v>0.142857142857143</v>
      </c>
      <c r="AQ122" s="7">
        <f t="shared" si="29"/>
        <v>8.57142857142857</v>
      </c>
      <c r="AR122" s="7">
        <f t="shared" si="30"/>
        <v>22.4285714285714</v>
      </c>
      <c r="AS122">
        <f t="shared" si="31"/>
        <v>217</v>
      </c>
      <c r="AT122" s="2">
        <f>IFERROR(时间!$B$4+AS122,"上周无销量")</f>
        <v>43542</v>
      </c>
    </row>
    <row r="123" spans="1:46">
      <c r="A123" t="s">
        <v>604</v>
      </c>
      <c r="B123" s="5">
        <f>SUMIF('库存（子SKU）'!$C:$C,$A123,'库存（子SKU）'!D:D)</f>
        <v>9</v>
      </c>
      <c r="C123" s="5">
        <f>SUMIF('库存（子SKU）'!$C:$C,$A123,'库存（子SKU）'!E:E)</f>
        <v>8</v>
      </c>
      <c r="D123" s="5">
        <f>SUMIF('库存（子SKU）'!$C:$C,$A123,'库存（子SKU）'!F:F)</f>
        <v>18</v>
      </c>
      <c r="E123" s="5">
        <f>SUMIF('库存（子SKU）'!$C:$C,$A123,'库存（子SKU）'!G:G)</f>
        <v>17</v>
      </c>
      <c r="F123" s="6">
        <v>17.5861538461538</v>
      </c>
      <c r="G123">
        <f>SUMIF('库存（子SKU）'!$C:$C,$A123,'库存（子SKU）'!I:I)</f>
        <v>23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23</v>
      </c>
      <c r="L123">
        <f>SUMIF('库存（子SKU）'!$C:$C,$A123,'库存（子SKU）'!N:N)</f>
        <v>0</v>
      </c>
      <c r="M123">
        <f>SUMIF('库存（子SKU）'!$C:$C,$A123,'库存（子SKU）'!O:O)</f>
        <v>26</v>
      </c>
      <c r="N123">
        <f>SUMIF('库存（子SKU）'!$C:$C,$A123,'库存（子SKU）'!P:P)</f>
        <v>97302</v>
      </c>
      <c r="O123">
        <f>SUMIF('库存（子SKU）'!$C:$C,$A123,'库存（子SKU）'!Q:Q)</f>
        <v>97350</v>
      </c>
      <c r="P123">
        <f>SUMIF('库存（子SKU）'!$C:$C,$A123,'库存（子SKU）'!R:R)</f>
        <v>40611</v>
      </c>
      <c r="Q123">
        <f>SUMIF('库存（子SKU）'!$C:$C,$A123,'库存（子SKU）'!S:S)</f>
        <v>57249</v>
      </c>
      <c r="R123">
        <f>SUMIF('库存（子SKU）'!$C:$C,$A123,'库存（子SKU）'!T:T)</f>
        <v>394</v>
      </c>
      <c r="S123">
        <f>SUMIF('库存（子SKU）'!$C:$C,$A123,'库存（子SKU）'!U:U)</f>
        <v>394</v>
      </c>
      <c r="T123">
        <f>SUMIF('库存（子SKU）'!$C:$C,$A123,'库存（子SKU）'!V:V)</f>
        <v>134</v>
      </c>
      <c r="U123">
        <f>SUMIF('库存（子SKU）'!$C:$C,$A123,'库存（子SKU）'!W:W)</f>
        <v>247</v>
      </c>
      <c r="V123" s="23">
        <f t="shared" si="32"/>
        <v>0.00404924873075579</v>
      </c>
      <c r="W123" s="23">
        <f t="shared" si="33"/>
        <v>0.0040472521828454</v>
      </c>
      <c r="X123" s="23">
        <f t="shared" si="34"/>
        <v>0.00329959863091281</v>
      </c>
      <c r="Y123" s="23">
        <f t="shared" si="35"/>
        <v>0.00431448584254747</v>
      </c>
      <c r="Z123">
        <f>SUMIF('库存（子SKU）'!$C:$C,$A123,'库存（子SKU）'!AB:AB)</f>
        <v>118.57</v>
      </c>
      <c r="AA123">
        <f>SUMIF('库存（子SKU）'!$C:$C,$A123,'库存（子SKU）'!AC:AC)</f>
        <v>118.57</v>
      </c>
      <c r="AB123">
        <f>SUMIF('库存（子SKU）'!$C:$C,$A123,'库存（子SKU）'!AD:AD)</f>
        <v>39.05</v>
      </c>
      <c r="AC123">
        <f>SUMIF('库存（子SKU）'!$C:$C,$A123,'库存（子SKU）'!AE:AE)</f>
        <v>77.98</v>
      </c>
      <c r="AD123" s="23">
        <f t="shared" si="20"/>
        <v>0.74913733609386</v>
      </c>
      <c r="AE123" s="23">
        <f t="shared" si="21"/>
        <v>0.842779503105592</v>
      </c>
      <c r="AF123" s="23">
        <f t="shared" si="22"/>
        <v>0.12336093857833</v>
      </c>
      <c r="AG123" s="23">
        <f t="shared" si="23"/>
        <v>0.260833543460251</v>
      </c>
      <c r="AH123">
        <f>SUMIF('库存（子SKU）'!$C:$C,$A123,'库存（子SKU）'!AJ:AJ)</f>
        <v>136</v>
      </c>
      <c r="AI123">
        <f>SUMIF('库存（子SKU）'!$C:$C,$A123,'库存（子SKU）'!AK:AK)</f>
        <v>117</v>
      </c>
      <c r="AJ123">
        <f>SUMIF('库存（子SKU）'!$C:$C,$A123,'库存（子SKU）'!AL:AL)</f>
        <v>161</v>
      </c>
      <c r="AK123">
        <f>SUMIF('库存（子SKU）'!$C:$C,$A123,'库存（子SKU）'!AM:AM)</f>
        <v>234</v>
      </c>
      <c r="AL123" s="23">
        <f t="shared" si="24"/>
        <v>0.0661764705882353</v>
      </c>
      <c r="AM123" s="23">
        <f t="shared" si="25"/>
        <v>0.0683760683760684</v>
      </c>
      <c r="AN123" s="23">
        <f t="shared" si="26"/>
        <v>0.111801242236025</v>
      </c>
      <c r="AO123" s="23">
        <f t="shared" si="27"/>
        <v>0.0726495726495727</v>
      </c>
      <c r="AP123" s="7">
        <f t="shared" si="28"/>
        <v>1.28571428571429</v>
      </c>
      <c r="AQ123" s="7">
        <f t="shared" si="29"/>
        <v>77.1428571428572</v>
      </c>
      <c r="AR123" s="7">
        <f t="shared" si="30"/>
        <v>-54.1428571428572</v>
      </c>
      <c r="AS123">
        <f t="shared" si="31"/>
        <v>17</v>
      </c>
      <c r="AT123" s="2">
        <f>IFERROR(时间!$B$4+AS123,"上周无销量")</f>
        <v>43342</v>
      </c>
    </row>
    <row r="124" spans="1:46">
      <c r="A124" t="s">
        <v>616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6" t="s">
        <v>57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181</v>
      </c>
      <c r="AI124">
        <f>SUMIF('库存（子SKU）'!$C:$C,$A124,'库存（子SKU）'!AK:AK)</f>
        <v>188</v>
      </c>
      <c r="AJ124">
        <f>SUMIF('库存（子SKU）'!$C:$C,$A124,'库存（子SKU）'!AL:AL)</f>
        <v>208</v>
      </c>
      <c r="AK124">
        <f>SUMIF('库存（子SKU）'!$C:$C,$A124,'库存（子SKU）'!AM:AM)</f>
        <v>183</v>
      </c>
      <c r="AL124" s="23">
        <f t="shared" si="24"/>
        <v>0</v>
      </c>
      <c r="AM124" s="23">
        <f t="shared" si="25"/>
        <v>0</v>
      </c>
      <c r="AN124" s="23">
        <f t="shared" si="26"/>
        <v>0</v>
      </c>
      <c r="AO124" s="23">
        <f t="shared" si="27"/>
        <v>0</v>
      </c>
      <c r="AP124" s="7">
        <f t="shared" si="28"/>
        <v>0</v>
      </c>
      <c r="AQ124" s="7">
        <f t="shared" si="29"/>
        <v>0</v>
      </c>
      <c r="AR124" s="7">
        <f t="shared" si="30"/>
        <v>0</v>
      </c>
      <c r="AS124" t="str">
        <f t="shared" si="31"/>
        <v>库存为0</v>
      </c>
      <c r="AT124" s="2" t="str">
        <f>IFERROR(时间!$B$4+AS124,"上周无销量")</f>
        <v>上周无销量</v>
      </c>
    </row>
    <row r="125" spans="1:46">
      <c r="A125" t="s">
        <v>619</v>
      </c>
      <c r="B125" s="5">
        <f>SUMIF('库存（子SKU）'!$C:$C,$A125,'库存（子SKU）'!D:D)</f>
        <v>0</v>
      </c>
      <c r="C125" s="5">
        <f>SUMIF('库存（子SKU）'!$C:$C,$A125,'库存（子SKU）'!E:E)</f>
        <v>2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>
        <v>23.99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>
        <f t="shared" si="21"/>
        <v>0</v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6</v>
      </c>
      <c r="AJ125">
        <f>SUMIF('库存（子SKU）'!$C:$C,$A125,'库存（子SKU）'!AL:AL)</f>
        <v>7</v>
      </c>
      <c r="AK125">
        <f>SUMIF('库存（子SKU）'!$C:$C,$A125,'库存（子SKU）'!AM:AM)</f>
        <v>8</v>
      </c>
      <c r="AL125" s="23" t="str">
        <f t="shared" si="24"/>
        <v/>
      </c>
      <c r="AM125" s="23">
        <f t="shared" si="25"/>
        <v>0.333333333333333</v>
      </c>
      <c r="AN125" s="23">
        <f t="shared" si="26"/>
        <v>0</v>
      </c>
      <c r="AO125" s="23">
        <f t="shared" si="27"/>
        <v>0</v>
      </c>
      <c r="AP125" s="7">
        <f t="shared" si="28"/>
        <v>0</v>
      </c>
      <c r="AQ125" s="7">
        <f t="shared" si="29"/>
        <v>0</v>
      </c>
      <c r="AR125" s="7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620</v>
      </c>
      <c r="B126" s="5">
        <f>SUMIF('库存（子SKU）'!$C:$C,$A126,'库存（子SKU）'!D:D)</f>
        <v>1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2</v>
      </c>
      <c r="F126" s="6">
        <v>16.99</v>
      </c>
      <c r="G126">
        <f>SUMIF('库存（子SKU）'!$C:$C,$A126,'库存（子SKU）'!I:I)</f>
        <v>11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11</v>
      </c>
      <c r="L126">
        <f>SUMIF('库存（子SKU）'!$C:$C,$A126,'库存（子SKU）'!N:N)</f>
        <v>0</v>
      </c>
      <c r="M126">
        <f>SUMIF('库存（子SKU）'!$C:$C,$A126,'库存（子SKU）'!O:O)</f>
        <v>11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>
        <f t="shared" si="20"/>
        <v>0</v>
      </c>
      <c r="AE126" s="23" t="str">
        <f t="shared" si="21"/>
        <v/>
      </c>
      <c r="AF126" s="23" t="str">
        <f t="shared" si="22"/>
        <v/>
      </c>
      <c r="AG126" s="23">
        <f t="shared" si="23"/>
        <v>0</v>
      </c>
      <c r="AH126">
        <f>SUMIF('库存（子SKU）'!$C:$C,$A126,'库存（子SKU）'!AJ:AJ)</f>
        <v>8</v>
      </c>
      <c r="AI126">
        <f>SUMIF('库存（子SKU）'!$C:$C,$A126,'库存（子SKU）'!AK:AK)</f>
        <v>12</v>
      </c>
      <c r="AJ126">
        <f>SUMIF('库存（子SKU）'!$C:$C,$A126,'库存（子SKU）'!AL:AL)</f>
        <v>5</v>
      </c>
      <c r="AK126">
        <f>SUMIF('库存（子SKU）'!$C:$C,$A126,'库存（子SKU）'!AM:AM)</f>
        <v>5</v>
      </c>
      <c r="AL126" s="23">
        <f t="shared" si="24"/>
        <v>0.125</v>
      </c>
      <c r="AM126" s="23">
        <f t="shared" si="25"/>
        <v>0</v>
      </c>
      <c r="AN126" s="23">
        <f t="shared" si="26"/>
        <v>0</v>
      </c>
      <c r="AO126" s="23">
        <f t="shared" si="27"/>
        <v>0.4</v>
      </c>
      <c r="AP126" s="7">
        <f t="shared" si="28"/>
        <v>0.142857142857143</v>
      </c>
      <c r="AQ126" s="7">
        <f t="shared" si="29"/>
        <v>8.57142857142857</v>
      </c>
      <c r="AR126" s="7">
        <f t="shared" si="30"/>
        <v>2.42857142857143</v>
      </c>
      <c r="AS126">
        <f t="shared" si="31"/>
        <v>77</v>
      </c>
      <c r="AT126" s="2">
        <f>IFERROR(时间!$B$4+AS126,"上周无销量")</f>
        <v>43402</v>
      </c>
    </row>
    <row r="127" spans="1:46">
      <c r="A127" t="s">
        <v>624</v>
      </c>
      <c r="B127" s="5">
        <f>SUMIF('库存（子SKU）'!$C:$C,$A127,'库存（子SKU）'!D:D)</f>
        <v>0</v>
      </c>
      <c r="C127" s="5">
        <f>SUMIF('库存（子SKU）'!$C:$C,$A127,'库存（子SKU）'!E:E)</f>
        <v>3</v>
      </c>
      <c r="D127" s="5">
        <f>SUMIF('库存（子SKU）'!$C:$C,$A127,'库存（子SKU）'!F:F)</f>
        <v>4</v>
      </c>
      <c r="E127" s="5">
        <f>SUMIF('库存（子SKU）'!$C:$C,$A127,'库存（子SKU）'!G:G)</f>
        <v>5</v>
      </c>
      <c r="F127" s="6">
        <v>16.4925</v>
      </c>
      <c r="G127">
        <f>SUMIF('库存（子SKU）'!$C:$C,$A127,'库存（子SKU）'!I:I)</f>
        <v>17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17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>
        <f t="shared" si="21"/>
        <v>0</v>
      </c>
      <c r="AF127" s="23">
        <f t="shared" si="22"/>
        <v>0</v>
      </c>
      <c r="AG127" s="23">
        <f t="shared" si="23"/>
        <v>0</v>
      </c>
      <c r="AH127">
        <f>SUMIF('库存（子SKU）'!$C:$C,$A127,'库存（子SKU）'!AJ:AJ)</f>
        <v>26</v>
      </c>
      <c r="AI127">
        <f>SUMIF('库存（子SKU）'!$C:$C,$A127,'库存（子SKU）'!AK:AK)</f>
        <v>44</v>
      </c>
      <c r="AJ127">
        <f>SUMIF('库存（子SKU）'!$C:$C,$A127,'库存（子SKU）'!AL:AL)</f>
        <v>35</v>
      </c>
      <c r="AK127">
        <f>SUMIF('库存（子SKU）'!$C:$C,$A127,'库存（子SKU）'!AM:AM)</f>
        <v>44</v>
      </c>
      <c r="AL127" s="23">
        <f t="shared" si="24"/>
        <v>0</v>
      </c>
      <c r="AM127" s="23">
        <f t="shared" si="25"/>
        <v>0.0681818181818182</v>
      </c>
      <c r="AN127" s="23">
        <f t="shared" si="26"/>
        <v>0.114285714285714</v>
      </c>
      <c r="AO127" s="23">
        <f t="shared" si="27"/>
        <v>0.113636363636364</v>
      </c>
      <c r="AP127" s="7">
        <f t="shared" si="28"/>
        <v>0</v>
      </c>
      <c r="AQ127" s="7">
        <f t="shared" si="29"/>
        <v>0</v>
      </c>
      <c r="AR127" s="7">
        <f t="shared" si="30"/>
        <v>17</v>
      </c>
      <c r="AS127" t="str">
        <f t="shared" si="31"/>
        <v>库存为17</v>
      </c>
      <c r="AT127" s="2" t="str">
        <f>IFERROR(时间!$B$4+AS127,"上周无销量")</f>
        <v>上周无销量</v>
      </c>
    </row>
    <row r="128" spans="1:46">
      <c r="A128" t="s">
        <v>626</v>
      </c>
      <c r="B128" s="5">
        <f>SUMIF('库存（子SKU）'!$C:$C,$A128,'库存（子SKU）'!D:D)</f>
        <v>6</v>
      </c>
      <c r="C128" s="5">
        <f>SUMIF('库存（子SKU）'!$C:$C,$A128,'库存（子SKU）'!E:E)</f>
        <v>2</v>
      </c>
      <c r="D128" s="5">
        <f>SUMIF('库存（子SKU）'!$C:$C,$A128,'库存（子SKU）'!F:F)</f>
        <v>2</v>
      </c>
      <c r="E128" s="5">
        <f>SUMIF('库存（子SKU）'!$C:$C,$A128,'库存（子SKU）'!G:G)</f>
        <v>1</v>
      </c>
      <c r="F128" s="6">
        <v>21.99</v>
      </c>
      <c r="G128">
        <f>SUMIF('库存（子SKU）'!$C:$C,$A128,'库存（子SKU）'!I:I)</f>
        <v>29</v>
      </c>
      <c r="H128">
        <f>SUMIF('库存（子SKU）'!$C:$C,$A128,'库存（子SKU）'!J:J)</f>
        <v>10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39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>
        <f t="shared" si="20"/>
        <v>0</v>
      </c>
      <c r="AE128" s="23">
        <f t="shared" si="21"/>
        <v>0</v>
      </c>
      <c r="AF128" s="23">
        <f t="shared" si="22"/>
        <v>0</v>
      </c>
      <c r="AG128" s="23">
        <f t="shared" si="23"/>
        <v>0</v>
      </c>
      <c r="AH128">
        <f>SUMIF('库存（子SKU）'!$C:$C,$A128,'库存（子SKU）'!AJ:AJ)</f>
        <v>85</v>
      </c>
      <c r="AI128">
        <f>SUMIF('库存（子SKU）'!$C:$C,$A128,'库存（子SKU）'!AK:AK)</f>
        <v>60</v>
      </c>
      <c r="AJ128">
        <f>SUMIF('库存（子SKU）'!$C:$C,$A128,'库存（子SKU）'!AL:AL)</f>
        <v>88</v>
      </c>
      <c r="AK128">
        <f>SUMIF('库存（子SKU）'!$C:$C,$A128,'库存（子SKU）'!AM:AM)</f>
        <v>135</v>
      </c>
      <c r="AL128" s="23">
        <f t="shared" si="24"/>
        <v>0.0705882352941176</v>
      </c>
      <c r="AM128" s="23">
        <f t="shared" si="25"/>
        <v>0.0333333333333333</v>
      </c>
      <c r="AN128" s="23">
        <f t="shared" si="26"/>
        <v>0.0227272727272727</v>
      </c>
      <c r="AO128" s="23">
        <f t="shared" si="27"/>
        <v>0.00740740740740741</v>
      </c>
      <c r="AP128" s="7">
        <f t="shared" si="28"/>
        <v>0.857142857142857</v>
      </c>
      <c r="AQ128" s="7">
        <f t="shared" si="29"/>
        <v>51.4285714285714</v>
      </c>
      <c r="AR128" s="7">
        <f t="shared" si="30"/>
        <v>-12.4285714285714</v>
      </c>
      <c r="AS128">
        <f t="shared" si="31"/>
        <v>45</v>
      </c>
      <c r="AT128" s="2">
        <f>IFERROR(时间!$B$4+AS128,"上周无销量")</f>
        <v>43370</v>
      </c>
    </row>
    <row r="129" spans="1:46">
      <c r="A129" t="s">
        <v>630</v>
      </c>
      <c r="B129" s="5">
        <f>SUMIF('库存（子SKU）'!$C:$C,$A129,'库存（子SKU）'!D:D)</f>
        <v>7</v>
      </c>
      <c r="C129" s="5">
        <f>SUMIF('库存（子SKU）'!$C:$C,$A129,'库存（子SKU）'!E:E)</f>
        <v>9</v>
      </c>
      <c r="D129" s="5">
        <f>SUMIF('库存（子SKU）'!$C:$C,$A129,'库存（子SKU）'!F:F)</f>
        <v>6</v>
      </c>
      <c r="E129" s="5">
        <f>SUMIF('库存（子SKU）'!$C:$C,$A129,'库存（子SKU）'!G:G)</f>
        <v>6</v>
      </c>
      <c r="F129" s="6">
        <v>21.99</v>
      </c>
      <c r="G129">
        <f>SUMIF('库存（子SKU）'!$C:$C,$A129,'库存（子SKU）'!I:I)</f>
        <v>24</v>
      </c>
      <c r="H129">
        <f>SUMIF('库存（子SKU）'!$C:$C,$A129,'库存（子SKU）'!J:J)</f>
        <v>5</v>
      </c>
      <c r="I129">
        <f>SUMIF('库存（子SKU）'!$C:$C,$A129,'库存（子SKU）'!K:K)</f>
        <v>0</v>
      </c>
      <c r="J129">
        <f>SUMIF('库存（子SKU）'!$C:$C,$A129,'库存（子SKU）'!L:L)</f>
        <v>13</v>
      </c>
      <c r="K129">
        <f t="shared" si="19"/>
        <v>42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>
        <f t="shared" si="20"/>
        <v>0</v>
      </c>
      <c r="AE129" s="23">
        <f t="shared" si="21"/>
        <v>0</v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181</v>
      </c>
      <c r="AI129">
        <f>SUMIF('库存（子SKU）'!$C:$C,$A129,'库存（子SKU）'!AK:AK)</f>
        <v>188</v>
      </c>
      <c r="AJ129">
        <f>SUMIF('库存（子SKU）'!$C:$C,$A129,'库存（子SKU）'!AL:AL)</f>
        <v>208</v>
      </c>
      <c r="AK129">
        <f>SUMIF('库存（子SKU）'!$C:$C,$A129,'库存（子SKU）'!AM:AM)</f>
        <v>183</v>
      </c>
      <c r="AL129" s="23">
        <f t="shared" si="24"/>
        <v>0.0386740331491713</v>
      </c>
      <c r="AM129" s="23">
        <f t="shared" si="25"/>
        <v>0.0478723404255319</v>
      </c>
      <c r="AN129" s="23">
        <f t="shared" si="26"/>
        <v>0.0288461538461538</v>
      </c>
      <c r="AO129" s="23">
        <f t="shared" si="27"/>
        <v>0.0327868852459016</v>
      </c>
      <c r="AP129" s="7">
        <f t="shared" si="28"/>
        <v>1</v>
      </c>
      <c r="AQ129" s="7">
        <f t="shared" si="29"/>
        <v>60</v>
      </c>
      <c r="AR129" s="7">
        <f t="shared" si="30"/>
        <v>-18</v>
      </c>
      <c r="AS129">
        <f t="shared" si="31"/>
        <v>42</v>
      </c>
      <c r="AT129" s="2">
        <f>IFERROR(时间!$B$4+AS129,"上周无销量")</f>
        <v>43367</v>
      </c>
    </row>
    <row r="130" spans="1:46">
      <c r="A130" t="s">
        <v>633</v>
      </c>
      <c r="B130" s="5">
        <f>SUMIF('库存（子SKU）'!$C:$C,$A130,'库存（子SKU）'!D:D)</f>
        <v>0</v>
      </c>
      <c r="C130" s="5">
        <f>SUMIF('库存（子SKU）'!$C:$C,$A130,'库存（子SKU）'!E:E)</f>
        <v>1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>
        <v>21.99</v>
      </c>
      <c r="G130">
        <f>SUMIF('库存（子SKU）'!$C:$C,$A130,'库存（子SKU）'!I:I)</f>
        <v>2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2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>
        <f t="shared" si="21"/>
        <v>0</v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18</v>
      </c>
      <c r="AI130">
        <f>SUMIF('库存（子SKU）'!$C:$C,$A130,'库存（子SKU）'!AK:AK)</f>
        <v>3</v>
      </c>
      <c r="AJ130">
        <f>SUMIF('库存（子SKU）'!$C:$C,$A130,'库存（子SKU）'!AL:AL)</f>
        <v>3</v>
      </c>
      <c r="AK130">
        <f>SUMIF('库存（子SKU）'!$C:$C,$A130,'库存（子SKU）'!AM:AM)</f>
        <v>0</v>
      </c>
      <c r="AL130" s="23">
        <f t="shared" si="24"/>
        <v>0</v>
      </c>
      <c r="AM130" s="23">
        <f t="shared" si="25"/>
        <v>0.333333333333333</v>
      </c>
      <c r="AN130" s="23">
        <f t="shared" si="26"/>
        <v>0</v>
      </c>
      <c r="AO130" s="23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2</v>
      </c>
      <c r="AS130" t="str">
        <f t="shared" si="31"/>
        <v>库存为2</v>
      </c>
      <c r="AT130" s="2" t="str">
        <f>IFERROR(时间!$B$4+AS130,"上周无销量")</f>
        <v>上周无销量</v>
      </c>
    </row>
    <row r="131" spans="1:46">
      <c r="A131" t="s">
        <v>636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">
        <v>57</v>
      </c>
      <c r="G131">
        <f>SUMIF('库存（子SKU）'!$C:$C,$A131,'库存（子SKU）'!I:I)</f>
        <v>1</v>
      </c>
      <c r="H131">
        <f>SUMIF('库存（子SKU）'!$C:$C,$A131,'库存（子SKU）'!J:J)</f>
        <v>2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3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11</v>
      </c>
      <c r="AI131">
        <f>SUMIF('库存（子SKU）'!$C:$C,$A131,'库存（子SKU）'!AK:AK)</f>
        <v>5</v>
      </c>
      <c r="AJ131">
        <f>SUMIF('库存（子SKU）'!$C:$C,$A131,'库存（子SKU）'!AL:AL)</f>
        <v>3</v>
      </c>
      <c r="AK131">
        <f>SUMIF('库存（子SKU）'!$C:$C,$A131,'库存（子SKU）'!AM:AM)</f>
        <v>0</v>
      </c>
      <c r="AL131" s="23">
        <f t="shared" si="24"/>
        <v>0</v>
      </c>
      <c r="AM131" s="23">
        <f t="shared" si="25"/>
        <v>0</v>
      </c>
      <c r="AN131" s="23">
        <f t="shared" si="26"/>
        <v>0</v>
      </c>
      <c r="AO131" s="23" t="str">
        <f t="shared" si="27"/>
        <v/>
      </c>
      <c r="AP131" s="7">
        <f t="shared" si="28"/>
        <v>0</v>
      </c>
      <c r="AQ131" s="7">
        <f t="shared" si="29"/>
        <v>0</v>
      </c>
      <c r="AR131" s="7">
        <f t="shared" si="30"/>
        <v>3</v>
      </c>
      <c r="AS131" t="str">
        <f t="shared" si="31"/>
        <v>库存为3</v>
      </c>
      <c r="AT131" s="2" t="str">
        <f>IFERROR(时间!$B$4+AS131,"上周无销量")</f>
        <v>上周无销量</v>
      </c>
    </row>
    <row r="132" spans="1:46">
      <c r="A132" t="s">
        <v>639</v>
      </c>
      <c r="B132" s="5">
        <f>SUMIF('库存（子SKU）'!$C:$C,$A132,'库存（子SKU）'!D:D)</f>
        <v>2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6">
        <v>23.99</v>
      </c>
      <c r="G132">
        <f>SUMIF('库存（子SKU）'!$C:$C,$A132,'库存（子SKU）'!I:I)</f>
        <v>1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>
        <f t="shared" si="20"/>
        <v>0</v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26</v>
      </c>
      <c r="AI132">
        <f>SUMIF('库存（子SKU）'!$C:$C,$A132,'库存（子SKU）'!AK:AK)</f>
        <v>2</v>
      </c>
      <c r="AJ132">
        <f>SUMIF('库存（子SKU）'!$C:$C,$A132,'库存（子SKU）'!AL:AL)</f>
        <v>3</v>
      </c>
      <c r="AK132">
        <f>SUMIF('库存（子SKU）'!$C:$C,$A132,'库存（子SKU）'!AM:AM)</f>
        <v>0</v>
      </c>
      <c r="AL132" s="23">
        <f t="shared" si="24"/>
        <v>0.0769230769230769</v>
      </c>
      <c r="AM132" s="23">
        <f t="shared" si="25"/>
        <v>0</v>
      </c>
      <c r="AN132" s="23">
        <f t="shared" si="26"/>
        <v>0</v>
      </c>
      <c r="AO132" s="23" t="str">
        <f t="shared" si="27"/>
        <v/>
      </c>
      <c r="AP132" s="7">
        <f t="shared" si="28"/>
        <v>0.285714285714286</v>
      </c>
      <c r="AQ132" s="7">
        <f t="shared" si="29"/>
        <v>17.1428571428571</v>
      </c>
      <c r="AR132" s="7">
        <f t="shared" si="30"/>
        <v>-16.1428571428571</v>
      </c>
      <c r="AS132">
        <f t="shared" si="31"/>
        <v>3</v>
      </c>
      <c r="AT132" s="2">
        <f>IFERROR(时间!$B$4+AS132,"上周无销量")</f>
        <v>43328</v>
      </c>
    </row>
    <row r="133" spans="1:46">
      <c r="A133" t="s">
        <v>642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1</v>
      </c>
      <c r="F133" s="6">
        <v>21.99</v>
      </c>
      <c r="G133">
        <f>SUMIF('库存（子SKU）'!$C:$C,$A133,'库存（子SKU）'!I:I)</f>
        <v>11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38" si="36">SUM(G133:J133)</f>
        <v>11</v>
      </c>
      <c r="L133">
        <f>SUMIF('库存（子SKU）'!$C:$C,$A133,'库存（子SKU）'!N:N)</f>
        <v>0</v>
      </c>
      <c r="M133">
        <f>SUMIF('库存（子SKU）'!$C:$C,$A133,'库存（子SKU）'!O:O)</f>
        <v>11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38" si="37">IF(AND(Z133&gt;0,B133=0),"无销量广告费为"&amp;Z133,IFERROR(Z133/(B133*$F133),""))</f>
        <v/>
      </c>
      <c r="AE133" s="23" t="str">
        <f t="shared" ref="AE133:AE138" si="38">IF(AND(AA133&gt;0,C133=0),"无销量广告费为"&amp;AA133,IFERROR(AA133/(C133*$F133),""))</f>
        <v/>
      </c>
      <c r="AF133" s="23" t="str">
        <f t="shared" ref="AF133:AF138" si="39">IF(AND(AB133&gt;0,D133=0),"无销量广告费为"&amp;AB133,IFERROR(AB133/(D133*$F133),""))</f>
        <v/>
      </c>
      <c r="AG133" s="23">
        <f t="shared" ref="AG133:AG138" si="40">IF(AND(AC133&gt;0,E133=0),"无销量广告费为"&amp;AC133,IFERROR(AC133/(E133*$F133),""))</f>
        <v>0</v>
      </c>
      <c r="AH133">
        <f>SUMIF('库存（子SKU）'!$C:$C,$A133,'库存（子SKU）'!AJ:AJ)</f>
        <v>15</v>
      </c>
      <c r="AI133">
        <f>SUMIF('库存（子SKU）'!$C:$C,$A133,'库存（子SKU）'!AK:AK)</f>
        <v>16</v>
      </c>
      <c r="AJ133">
        <f>SUMIF('库存（子SKU）'!$C:$C,$A133,'库存（子SKU）'!AL:AL)</f>
        <v>14</v>
      </c>
      <c r="AK133">
        <f>SUMIF('库存（子SKU）'!$C:$C,$A133,'库存（子SKU）'!AM:AM)</f>
        <v>8</v>
      </c>
      <c r="AL133" s="23">
        <f t="shared" ref="AL133:AL138" si="41">IFERROR(B133/AH133,"")</f>
        <v>0</v>
      </c>
      <c r="AM133" s="23">
        <f t="shared" ref="AM133:AM138" si="42">IFERROR(C133/AI133,"")</f>
        <v>0</v>
      </c>
      <c r="AN133" s="23">
        <f t="shared" ref="AN133:AN138" si="43">IFERROR(D133/AJ133,"")</f>
        <v>0</v>
      </c>
      <c r="AO133" s="23">
        <f t="shared" ref="AO133:AO138" si="44">IFERROR(E133/AK133,"")</f>
        <v>0.125</v>
      </c>
      <c r="AP133" s="7">
        <f t="shared" ref="AP133:AP138" si="45">B133/7</f>
        <v>0</v>
      </c>
      <c r="AQ133" s="7">
        <f t="shared" ref="AQ133:AQ138" si="46">AP133*60</f>
        <v>0</v>
      </c>
      <c r="AR133" s="7">
        <f t="shared" ref="AR133:AR138" si="47">K133-AQ133</f>
        <v>11</v>
      </c>
      <c r="AS133" t="str">
        <f t="shared" ref="AS133:AS138" si="48">IF(AP133=0,"库存为"&amp;K133,INT(K133/AP133))</f>
        <v>库存为11</v>
      </c>
      <c r="AT133" s="2" t="str">
        <f>IFERROR(时间!$B$4+AS133,"上周无销量")</f>
        <v>上周无销量</v>
      </c>
    </row>
    <row r="134" spans="1:46">
      <c r="A134" t="s">
        <v>645</v>
      </c>
      <c r="B134" s="5">
        <f>SUMIF('库存（子SKU）'!$C:$C,$A134,'库存（子SKU）'!D:D)</f>
        <v>1</v>
      </c>
      <c r="C134" s="5">
        <f>SUMIF('库存（子SKU）'!$C:$C,$A134,'库存（子SKU）'!E:E)</f>
        <v>1</v>
      </c>
      <c r="D134" s="5">
        <f>SUMIF('库存（子SKU）'!$C:$C,$A134,'库存（子SKU）'!F:F)</f>
        <v>2</v>
      </c>
      <c r="E134" s="5">
        <f>SUMIF('库存（子SKU）'!$C:$C,$A134,'库存（子SKU）'!G:G)</f>
        <v>5</v>
      </c>
      <c r="F134" s="6">
        <v>21.99</v>
      </c>
      <c r="G134">
        <f>SUMIF('库存（子SKU）'!$C:$C,$A134,'库存（子SKU）'!I:I)</f>
        <v>5</v>
      </c>
      <c r="H134">
        <f>SUMIF('库存（子SKU）'!$C:$C,$A134,'库存（子SKU）'!J:J)</f>
        <v>8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13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38" si="49">IFERROR(R134/N134,"")</f>
        <v/>
      </c>
      <c r="W134" s="23" t="str">
        <f t="shared" ref="W134:W138" si="50">IFERROR(S134/O134,"")</f>
        <v/>
      </c>
      <c r="X134" s="23" t="str">
        <f t="shared" ref="X134:X138" si="51">IFERROR(T134/P134,"")</f>
        <v/>
      </c>
      <c r="Y134" s="23" t="str">
        <f t="shared" ref="Y134:Y138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>
        <f t="shared" si="37"/>
        <v>0</v>
      </c>
      <c r="AE134" s="23">
        <f t="shared" si="38"/>
        <v>0</v>
      </c>
      <c r="AF134" s="23">
        <f t="shared" si="39"/>
        <v>0</v>
      </c>
      <c r="AG134" s="23">
        <f t="shared" si="40"/>
        <v>0</v>
      </c>
      <c r="AH134">
        <f>SUMIF('库存（子SKU）'!$C:$C,$A134,'库存（子SKU）'!AJ:AJ)</f>
        <v>11</v>
      </c>
      <c r="AI134">
        <f>SUMIF('库存（子SKU）'!$C:$C,$A134,'库存（子SKU）'!AK:AK)</f>
        <v>11</v>
      </c>
      <c r="AJ134">
        <f>SUMIF('库存（子SKU）'!$C:$C,$A134,'库存（子SKU）'!AL:AL)</f>
        <v>18</v>
      </c>
      <c r="AK134">
        <f>SUMIF('库存（子SKU）'!$C:$C,$A134,'库存（子SKU）'!AM:AM)</f>
        <v>35</v>
      </c>
      <c r="AL134" s="23">
        <f t="shared" si="41"/>
        <v>0.0909090909090909</v>
      </c>
      <c r="AM134" s="23">
        <f t="shared" si="42"/>
        <v>0.0909090909090909</v>
      </c>
      <c r="AN134" s="23">
        <f t="shared" si="43"/>
        <v>0.111111111111111</v>
      </c>
      <c r="AO134" s="23">
        <f t="shared" si="44"/>
        <v>0.142857142857143</v>
      </c>
      <c r="AP134" s="7">
        <f t="shared" si="45"/>
        <v>0.142857142857143</v>
      </c>
      <c r="AQ134" s="7">
        <f t="shared" si="46"/>
        <v>8.57142857142857</v>
      </c>
      <c r="AR134" s="7">
        <f t="shared" si="47"/>
        <v>4.42857142857143</v>
      </c>
      <c r="AS134">
        <f t="shared" si="48"/>
        <v>91</v>
      </c>
      <c r="AT134" s="2">
        <f>IFERROR(时间!$B$4+AS134,"上周无销量")</f>
        <v>43416</v>
      </c>
    </row>
    <row r="135" spans="1:46">
      <c r="A135" t="s">
        <v>648</v>
      </c>
      <c r="B135" s="5">
        <f>SUMIF('库存（子SKU）'!$C:$C,$A135,'库存（子SKU）'!D:D)</f>
        <v>3</v>
      </c>
      <c r="C135" s="5">
        <f>SUMIF('库存（子SKU）'!$C:$C,$A135,'库存（子SKU）'!E:E)</f>
        <v>1</v>
      </c>
      <c r="D135" s="5">
        <f>SUMIF('库存（子SKU）'!$C:$C,$A135,'库存（子SKU）'!F:F)</f>
        <v>2</v>
      </c>
      <c r="E135" s="5">
        <f>SUMIF('库存（子SKU）'!$C:$C,$A135,'库存（子SKU）'!G:G)</f>
        <v>2</v>
      </c>
      <c r="F135" s="6">
        <v>21.99</v>
      </c>
      <c r="G135">
        <f>SUMIF('库存（子SKU）'!$C:$C,$A135,'库存（子SKU）'!I:I)</f>
        <v>5</v>
      </c>
      <c r="H135">
        <f>SUMIF('库存（子SKU）'!$C:$C,$A135,'库存（子SKU）'!J:J)</f>
        <v>5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10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>
        <f t="shared" si="37"/>
        <v>0</v>
      </c>
      <c r="AE135" s="23">
        <f t="shared" si="38"/>
        <v>0</v>
      </c>
      <c r="AF135" s="23">
        <f t="shared" si="39"/>
        <v>0</v>
      </c>
      <c r="AG135" s="23">
        <f t="shared" si="40"/>
        <v>0</v>
      </c>
      <c r="AH135">
        <f>SUMIF('库存（子SKU）'!$C:$C,$A135,'库存（子SKU）'!AJ:AJ)</f>
        <v>58</v>
      </c>
      <c r="AI135">
        <f>SUMIF('库存（子SKU）'!$C:$C,$A135,'库存（子SKU）'!AK:AK)</f>
        <v>31</v>
      </c>
      <c r="AJ135">
        <f>SUMIF('库存（子SKU）'!$C:$C,$A135,'库存（子SKU）'!AL:AL)</f>
        <v>37</v>
      </c>
      <c r="AK135">
        <f>SUMIF('库存（子SKU）'!$C:$C,$A135,'库存（子SKU）'!AM:AM)</f>
        <v>26</v>
      </c>
      <c r="AL135" s="23">
        <f t="shared" si="41"/>
        <v>0.0517241379310345</v>
      </c>
      <c r="AM135" s="23">
        <f t="shared" si="42"/>
        <v>0.032258064516129</v>
      </c>
      <c r="AN135" s="23">
        <f t="shared" si="43"/>
        <v>0.0540540540540541</v>
      </c>
      <c r="AO135" s="23">
        <f t="shared" si="44"/>
        <v>0.0769230769230769</v>
      </c>
      <c r="AP135" s="7">
        <f t="shared" si="45"/>
        <v>0.428571428571429</v>
      </c>
      <c r="AQ135" s="7">
        <f t="shared" si="46"/>
        <v>25.7142857142857</v>
      </c>
      <c r="AR135" s="7">
        <f t="shared" si="47"/>
        <v>-15.7142857142857</v>
      </c>
      <c r="AS135">
        <f t="shared" si="48"/>
        <v>23</v>
      </c>
      <c r="AT135" s="2">
        <f>IFERROR(时间!$B$4+AS135,"上周无销量")</f>
        <v>43348</v>
      </c>
    </row>
    <row r="136" spans="1:46">
      <c r="A136" t="s">
        <v>650</v>
      </c>
      <c r="B136" s="5">
        <f>SUMIF('库存（子SKU）'!$C:$C,$A136,'库存（子SKU）'!D:D)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 t="s">
        <v>57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223</v>
      </c>
      <c r="AI136">
        <f>SUMIF('库存（子SKU）'!$C:$C,$A136,'库存（子SKU）'!AK:AK)</f>
        <v>252</v>
      </c>
      <c r="AJ136">
        <f>SUMIF('库存（子SKU）'!$C:$C,$A136,'库存（子SKU）'!AL:AL)</f>
        <v>331</v>
      </c>
      <c r="AK136">
        <f>SUMIF('库存（子SKU）'!$C:$C,$A136,'库存（子SKU）'!AM:AM)</f>
        <v>394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>
        <f t="shared" si="44"/>
        <v>0</v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653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 t="s">
        <v>57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1788</v>
      </c>
      <c r="O137">
        <f>SUMIF('库存（子SKU）'!$C:$C,$A137,'库存（子SKU）'!Q:Q)</f>
        <v>1851</v>
      </c>
      <c r="P137">
        <f>SUMIF('库存（子SKU）'!$C:$C,$A137,'库存（子SKU）'!R:R)</f>
        <v>887</v>
      </c>
      <c r="Q137">
        <f>SUMIF('库存（子SKU）'!$C:$C,$A137,'库存（子SKU）'!S:S)</f>
        <v>0</v>
      </c>
      <c r="R137">
        <f>SUMIF('库存（子SKU）'!$C:$C,$A137,'库存（子SKU）'!T:T)</f>
        <v>9</v>
      </c>
      <c r="S137">
        <f>SUMIF('库存（子SKU）'!$C:$C,$A137,'库存（子SKU）'!U:U)</f>
        <v>9</v>
      </c>
      <c r="T137">
        <f>SUMIF('库存（子SKU）'!$C:$C,$A137,'库存（子SKU）'!V:V)</f>
        <v>6</v>
      </c>
      <c r="U137">
        <f>SUMIF('库存（子SKU）'!$C:$C,$A137,'库存（子SKU）'!W:W)</f>
        <v>0</v>
      </c>
      <c r="V137" s="23">
        <f t="shared" si="49"/>
        <v>0.00503355704697987</v>
      </c>
      <c r="W137" s="23">
        <f t="shared" si="50"/>
        <v>0.00486223662884927</v>
      </c>
      <c r="X137" s="23">
        <f t="shared" si="51"/>
        <v>0.00676437429537768</v>
      </c>
      <c r="Y137" s="23" t="str">
        <f t="shared" si="52"/>
        <v/>
      </c>
      <c r="Z137">
        <f>SUMIF('库存（子SKU）'!$C:$C,$A137,'库存（子SKU）'!AB:AB)</f>
        <v>3.12</v>
      </c>
      <c r="AA137">
        <f>SUMIF('库存（子SKU）'!$C:$C,$A137,'库存（子SKU）'!AC:AC)</f>
        <v>3.12</v>
      </c>
      <c r="AB137">
        <f>SUMIF('库存（子SKU）'!$C:$C,$A137,'库存（子SKU）'!AD:AD)</f>
        <v>2.11</v>
      </c>
      <c r="AC137">
        <f>SUMIF('库存（子SKU）'!$C:$C,$A137,'库存（子SKU）'!AE:AE)</f>
        <v>0</v>
      </c>
      <c r="AD137" s="23" t="str">
        <f t="shared" si="37"/>
        <v>无销量广告费为3.12</v>
      </c>
      <c r="AE137" s="23" t="str">
        <f t="shared" si="38"/>
        <v>无销量广告费为3.12</v>
      </c>
      <c r="AF137" s="23" t="str">
        <f t="shared" si="39"/>
        <v>无销量广告费为2.11</v>
      </c>
      <c r="AG137" s="23" t="str">
        <f t="shared" si="40"/>
        <v/>
      </c>
      <c r="AH137">
        <f>SUMIF('库存（子SKU）'!$C:$C,$A137,'库存（子SKU）'!AJ:AJ)</f>
        <v>2</v>
      </c>
      <c r="AI137">
        <f>SUMIF('库存（子SKU）'!$C:$C,$A137,'库存（子SKU）'!AK:AK)</f>
        <v>19</v>
      </c>
      <c r="AJ137">
        <f>SUMIF('库存（子SKU）'!$C:$C,$A137,'库存（子SKU）'!AL:AL)</f>
        <v>8</v>
      </c>
      <c r="AK137">
        <f>SUMIF('库存（子SKU）'!$C:$C,$A137,'库存（子SKU）'!AM:AM)</f>
        <v>0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 t="str">
        <f t="shared" si="44"/>
        <v/>
      </c>
      <c r="AP137" s="7">
        <f t="shared" si="45"/>
        <v>0</v>
      </c>
      <c r="AQ137" s="7">
        <f t="shared" si="46"/>
        <v>0</v>
      </c>
      <c r="AR137" s="7">
        <f t="shared" si="47"/>
        <v>0</v>
      </c>
      <c r="AS137" t="str">
        <f t="shared" si="48"/>
        <v>库存为0</v>
      </c>
      <c r="AT137" s="2" t="str">
        <f>IFERROR(时间!$B$4+AS137,"上周无销量")</f>
        <v>上周无销量</v>
      </c>
    </row>
    <row r="138" spans="1:46">
      <c r="A138" t="s">
        <v>658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6" t="s">
        <v>57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236</v>
      </c>
      <c r="O138">
        <f>SUMIF('库存（子SKU）'!$C:$C,$A138,'库存（子SKU）'!Q:Q)</f>
        <v>236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3</v>
      </c>
      <c r="S138">
        <f>SUMIF('库存（子SKU）'!$C:$C,$A138,'库存（子SKU）'!U:U)</f>
        <v>3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>
        <f t="shared" si="49"/>
        <v>0.0127118644067797</v>
      </c>
      <c r="W138" s="23">
        <f t="shared" si="50"/>
        <v>0.0127118644067797</v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0.6</v>
      </c>
      <c r="AA138">
        <f>SUMIF('库存（子SKU）'!$C:$C,$A138,'库存（子SKU）'!AC:AC)</f>
        <v>0.6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>无销量广告费为0.6</v>
      </c>
      <c r="AE138" s="23" t="str">
        <f t="shared" si="38"/>
        <v>无销量广告费为0.6</v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7">
        <f t="shared" si="45"/>
        <v>0</v>
      </c>
      <c r="AQ138" s="7">
        <f t="shared" si="46"/>
        <v>0</v>
      </c>
      <c r="AR138" s="7">
        <f t="shared" si="47"/>
        <v>0</v>
      </c>
      <c r="AS138" t="str">
        <f t="shared" si="48"/>
        <v>库存为0</v>
      </c>
      <c r="AT138" s="2" t="str">
        <f>IFERROR(时间!$B$4+AS138,"上周无销量")</f>
        <v>上周无销量</v>
      </c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288" operator="lessThan">
      <formula>20</formula>
    </cfRule>
    <cfRule type="cellIs" dxfId="1" priority="3287" operator="greaterThan">
      <formula>120</formula>
    </cfRule>
    <cfRule type="containsText" dxfId="3" priority="3286" operator="between" text="库存">
      <formula>NOT(ISERROR(SEARCH("库存",AS2)))</formula>
    </cfRule>
  </conditionalFormatting>
  <conditionalFormatting sqref="AS6">
    <cfRule type="cellIs" dxfId="0" priority="399" operator="lessThan">
      <formula>20</formula>
    </cfRule>
    <cfRule type="cellIs" dxfId="1" priority="266" operator="greaterThan">
      <formula>120</formula>
    </cfRule>
    <cfRule type="containsText" dxfId="3" priority="133" operator="between" text="库存">
      <formula>NOT(ISERROR(SEARCH("库存",AS6)))</formula>
    </cfRule>
  </conditionalFormatting>
  <conditionalFormatting sqref="AS7">
    <cfRule type="cellIs" dxfId="0" priority="398" operator="lessThan">
      <formula>20</formula>
    </cfRule>
    <cfRule type="cellIs" dxfId="1" priority="265" operator="greaterThan">
      <formula>120</formula>
    </cfRule>
    <cfRule type="containsText" dxfId="3" priority="132" operator="between" text="库存">
      <formula>NOT(ISERROR(SEARCH("库存",AS7)))</formula>
    </cfRule>
  </conditionalFormatting>
  <conditionalFormatting sqref="AS8">
    <cfRule type="cellIs" dxfId="0" priority="397" operator="lessThan">
      <formula>20</formula>
    </cfRule>
    <cfRule type="cellIs" dxfId="1" priority="264" operator="greaterThan">
      <formula>120</formula>
    </cfRule>
    <cfRule type="containsText" dxfId="3" priority="131" operator="between" text="库存">
      <formula>NOT(ISERROR(SEARCH("库存",AS8)))</formula>
    </cfRule>
  </conditionalFormatting>
  <conditionalFormatting sqref="AS9">
    <cfRule type="cellIs" dxfId="0" priority="396" operator="lessThan">
      <formula>20</formula>
    </cfRule>
    <cfRule type="cellIs" dxfId="1" priority="263" operator="greaterThan">
      <formula>120</formula>
    </cfRule>
    <cfRule type="containsText" dxfId="3" priority="130" operator="between" text="库存">
      <formula>NOT(ISERROR(SEARCH("库存",AS9)))</formula>
    </cfRule>
  </conditionalFormatting>
  <conditionalFormatting sqref="AS10">
    <cfRule type="cellIs" dxfId="0" priority="395" operator="lessThan">
      <formula>20</formula>
    </cfRule>
    <cfRule type="cellIs" dxfId="1" priority="262" operator="greaterThan">
      <formula>120</formula>
    </cfRule>
    <cfRule type="containsText" dxfId="3" priority="129" operator="between" text="库存">
      <formula>NOT(ISERROR(SEARCH("库存",AS10)))</formula>
    </cfRule>
  </conditionalFormatting>
  <conditionalFormatting sqref="AS11">
    <cfRule type="cellIs" dxfId="0" priority="394" operator="lessThan">
      <formula>20</formula>
    </cfRule>
    <cfRule type="cellIs" dxfId="1" priority="261" operator="greaterThan">
      <formula>120</formula>
    </cfRule>
    <cfRule type="containsText" dxfId="3" priority="128" operator="between" text="库存">
      <formula>NOT(ISERROR(SEARCH("库存",AS11)))</formula>
    </cfRule>
  </conditionalFormatting>
  <conditionalFormatting sqref="AS12">
    <cfRule type="cellIs" dxfId="0" priority="393" operator="lessThan">
      <formula>20</formula>
    </cfRule>
    <cfRule type="cellIs" dxfId="1" priority="260" operator="greaterThan">
      <formula>120</formula>
    </cfRule>
    <cfRule type="containsText" dxfId="3" priority="127" operator="between" text="库存">
      <formula>NOT(ISERROR(SEARCH("库存",AS12)))</formula>
    </cfRule>
  </conditionalFormatting>
  <conditionalFormatting sqref="AS13">
    <cfRule type="cellIs" dxfId="0" priority="392" operator="lessThan">
      <formula>20</formula>
    </cfRule>
    <cfRule type="cellIs" dxfId="1" priority="259" operator="greaterThan">
      <formula>120</formula>
    </cfRule>
    <cfRule type="containsText" dxfId="3" priority="126" operator="between" text="库存">
      <formula>NOT(ISERROR(SEARCH("库存",AS13)))</formula>
    </cfRule>
  </conditionalFormatting>
  <conditionalFormatting sqref="AS14">
    <cfRule type="cellIs" dxfId="0" priority="391" operator="lessThan">
      <formula>20</formula>
    </cfRule>
    <cfRule type="cellIs" dxfId="1" priority="258" operator="greaterThan">
      <formula>120</formula>
    </cfRule>
    <cfRule type="containsText" dxfId="3" priority="125" operator="between" text="库存">
      <formula>NOT(ISERROR(SEARCH("库存",AS14)))</formula>
    </cfRule>
  </conditionalFormatting>
  <conditionalFormatting sqref="AS15">
    <cfRule type="cellIs" dxfId="0" priority="390" operator="lessThan">
      <formula>20</formula>
    </cfRule>
    <cfRule type="cellIs" dxfId="1" priority="257" operator="greaterThan">
      <formula>120</formula>
    </cfRule>
    <cfRule type="containsText" dxfId="3" priority="124" operator="between" text="库存">
      <formula>NOT(ISERROR(SEARCH("库存",AS15)))</formula>
    </cfRule>
  </conditionalFormatting>
  <conditionalFormatting sqref="AS16">
    <cfRule type="cellIs" dxfId="0" priority="389" operator="lessThan">
      <formula>20</formula>
    </cfRule>
    <cfRule type="cellIs" dxfId="1" priority="256" operator="greaterThan">
      <formula>120</formula>
    </cfRule>
    <cfRule type="containsText" dxfId="3" priority="123" operator="between" text="库存">
      <formula>NOT(ISERROR(SEARCH("库存",AS16)))</formula>
    </cfRule>
  </conditionalFormatting>
  <conditionalFormatting sqref="AS17">
    <cfRule type="cellIs" dxfId="0" priority="388" operator="lessThan">
      <formula>20</formula>
    </cfRule>
    <cfRule type="cellIs" dxfId="1" priority="255" operator="greaterThan">
      <formula>120</formula>
    </cfRule>
    <cfRule type="containsText" dxfId="3" priority="122" operator="between" text="库存">
      <formula>NOT(ISERROR(SEARCH("库存",AS17)))</formula>
    </cfRule>
  </conditionalFormatting>
  <conditionalFormatting sqref="AS18">
    <cfRule type="cellIs" dxfId="0" priority="387" operator="lessThan">
      <formula>20</formula>
    </cfRule>
    <cfRule type="cellIs" dxfId="1" priority="254" operator="greaterThan">
      <formula>120</formula>
    </cfRule>
    <cfRule type="containsText" dxfId="3" priority="121" operator="between" text="库存">
      <formula>NOT(ISERROR(SEARCH("库存",AS18)))</formula>
    </cfRule>
  </conditionalFormatting>
  <conditionalFormatting sqref="AS19">
    <cfRule type="cellIs" dxfId="0" priority="386" operator="lessThan">
      <formula>20</formula>
    </cfRule>
    <cfRule type="cellIs" dxfId="1" priority="253" operator="greaterThan">
      <formula>120</formula>
    </cfRule>
    <cfRule type="containsText" dxfId="3" priority="120" operator="between" text="库存">
      <formula>NOT(ISERROR(SEARCH("库存",AS19)))</formula>
    </cfRule>
  </conditionalFormatting>
  <conditionalFormatting sqref="AS20">
    <cfRule type="cellIs" dxfId="0" priority="385" operator="lessThan">
      <formula>20</formula>
    </cfRule>
    <cfRule type="cellIs" dxfId="1" priority="252" operator="greaterThan">
      <formula>120</formula>
    </cfRule>
    <cfRule type="containsText" dxfId="3" priority="119" operator="between" text="库存">
      <formula>NOT(ISERROR(SEARCH("库存",AS20)))</formula>
    </cfRule>
  </conditionalFormatting>
  <conditionalFormatting sqref="AS21">
    <cfRule type="cellIs" dxfId="0" priority="384" operator="lessThan">
      <formula>20</formula>
    </cfRule>
    <cfRule type="cellIs" dxfId="1" priority="251" operator="greaterThan">
      <formula>120</formula>
    </cfRule>
    <cfRule type="containsText" dxfId="3" priority="118" operator="between" text="库存">
      <formula>NOT(ISERROR(SEARCH("库存",AS21)))</formula>
    </cfRule>
  </conditionalFormatting>
  <conditionalFormatting sqref="AS22">
    <cfRule type="cellIs" dxfId="0" priority="383" operator="lessThan">
      <formula>20</formula>
    </cfRule>
    <cfRule type="cellIs" dxfId="1" priority="250" operator="greaterThan">
      <formula>120</formula>
    </cfRule>
    <cfRule type="containsText" dxfId="3" priority="117" operator="between" text="库存">
      <formula>NOT(ISERROR(SEARCH("库存",AS22)))</formula>
    </cfRule>
  </conditionalFormatting>
  <conditionalFormatting sqref="AS23">
    <cfRule type="cellIs" dxfId="0" priority="382" operator="lessThan">
      <formula>20</formula>
    </cfRule>
    <cfRule type="cellIs" dxfId="1" priority="249" operator="greaterThan">
      <formula>120</formula>
    </cfRule>
    <cfRule type="containsText" dxfId="3" priority="116" operator="between" text="库存">
      <formula>NOT(ISERROR(SEARCH("库存",AS23)))</formula>
    </cfRule>
  </conditionalFormatting>
  <conditionalFormatting sqref="AS24">
    <cfRule type="cellIs" dxfId="0" priority="381" operator="lessThan">
      <formula>20</formula>
    </cfRule>
    <cfRule type="cellIs" dxfId="1" priority="248" operator="greaterThan">
      <formula>120</formula>
    </cfRule>
    <cfRule type="containsText" dxfId="3" priority="115" operator="between" text="库存">
      <formula>NOT(ISERROR(SEARCH("库存",AS24)))</formula>
    </cfRule>
  </conditionalFormatting>
  <conditionalFormatting sqref="AS25">
    <cfRule type="cellIs" dxfId="0" priority="380" operator="lessThan">
      <formula>20</formula>
    </cfRule>
    <cfRule type="cellIs" dxfId="1" priority="247" operator="greaterThan">
      <formula>120</formula>
    </cfRule>
    <cfRule type="containsText" dxfId="3" priority="114" operator="between" text="库存">
      <formula>NOT(ISERROR(SEARCH("库存",AS25)))</formula>
    </cfRule>
  </conditionalFormatting>
  <conditionalFormatting sqref="AS26">
    <cfRule type="cellIs" dxfId="0" priority="379" operator="lessThan">
      <formula>20</formula>
    </cfRule>
    <cfRule type="cellIs" dxfId="1" priority="246" operator="greaterThan">
      <formula>120</formula>
    </cfRule>
    <cfRule type="containsText" dxfId="3" priority="113" operator="between" text="库存">
      <formula>NOT(ISERROR(SEARCH("库存",AS26)))</formula>
    </cfRule>
  </conditionalFormatting>
  <conditionalFormatting sqref="AS27">
    <cfRule type="cellIs" dxfId="0" priority="378" operator="lessThan">
      <formula>20</formula>
    </cfRule>
    <cfRule type="cellIs" dxfId="1" priority="245" operator="greaterThan">
      <formula>120</formula>
    </cfRule>
    <cfRule type="containsText" dxfId="3" priority="112" operator="between" text="库存">
      <formula>NOT(ISERROR(SEARCH("库存",AS27)))</formula>
    </cfRule>
  </conditionalFormatting>
  <conditionalFormatting sqref="AS28">
    <cfRule type="cellIs" dxfId="0" priority="377" operator="lessThan">
      <formula>20</formula>
    </cfRule>
    <cfRule type="cellIs" dxfId="1" priority="244" operator="greaterThan">
      <formula>120</formula>
    </cfRule>
    <cfRule type="containsText" dxfId="3" priority="111" operator="between" text="库存">
      <formula>NOT(ISERROR(SEARCH("库存",AS28)))</formula>
    </cfRule>
  </conditionalFormatting>
  <conditionalFormatting sqref="AS29">
    <cfRule type="cellIs" dxfId="0" priority="376" operator="lessThan">
      <formula>20</formula>
    </cfRule>
    <cfRule type="cellIs" dxfId="1" priority="243" operator="greaterThan">
      <formula>120</formula>
    </cfRule>
    <cfRule type="containsText" dxfId="3" priority="110" operator="between" text="库存">
      <formula>NOT(ISERROR(SEARCH("库存",AS29)))</formula>
    </cfRule>
  </conditionalFormatting>
  <conditionalFormatting sqref="AS30">
    <cfRule type="cellIs" dxfId="0" priority="375" operator="lessThan">
      <formula>20</formula>
    </cfRule>
    <cfRule type="cellIs" dxfId="1" priority="242" operator="greaterThan">
      <formula>120</formula>
    </cfRule>
    <cfRule type="containsText" dxfId="3" priority="109" operator="between" text="库存">
      <formula>NOT(ISERROR(SEARCH("库存",AS30)))</formula>
    </cfRule>
  </conditionalFormatting>
  <conditionalFormatting sqref="AS31">
    <cfRule type="cellIs" dxfId="0" priority="374" operator="lessThan">
      <formula>20</formula>
    </cfRule>
    <cfRule type="cellIs" dxfId="1" priority="241" operator="greaterThan">
      <formula>120</formula>
    </cfRule>
    <cfRule type="containsText" dxfId="3" priority="108" operator="between" text="库存">
      <formula>NOT(ISERROR(SEARCH("库存",AS31)))</formula>
    </cfRule>
  </conditionalFormatting>
  <conditionalFormatting sqref="AS32">
    <cfRule type="cellIs" dxfId="0" priority="373" operator="lessThan">
      <formula>20</formula>
    </cfRule>
    <cfRule type="cellIs" dxfId="1" priority="240" operator="greaterThan">
      <formula>120</formula>
    </cfRule>
    <cfRule type="containsText" dxfId="3" priority="107" operator="between" text="库存">
      <formula>NOT(ISERROR(SEARCH("库存",AS32)))</formula>
    </cfRule>
  </conditionalFormatting>
  <conditionalFormatting sqref="AS33">
    <cfRule type="cellIs" dxfId="0" priority="372" operator="lessThan">
      <formula>20</formula>
    </cfRule>
    <cfRule type="cellIs" dxfId="1" priority="239" operator="greaterThan">
      <formula>120</formula>
    </cfRule>
    <cfRule type="containsText" dxfId="3" priority="106" operator="between" text="库存">
      <formula>NOT(ISERROR(SEARCH("库存",AS33)))</formula>
    </cfRule>
  </conditionalFormatting>
  <conditionalFormatting sqref="AS34">
    <cfRule type="cellIs" dxfId="0" priority="371" operator="lessThan">
      <formula>20</formula>
    </cfRule>
    <cfRule type="cellIs" dxfId="1" priority="238" operator="greaterThan">
      <formula>120</formula>
    </cfRule>
    <cfRule type="containsText" dxfId="3" priority="105" operator="between" text="库存">
      <formula>NOT(ISERROR(SEARCH("库存",AS34)))</formula>
    </cfRule>
  </conditionalFormatting>
  <conditionalFormatting sqref="AS35">
    <cfRule type="cellIs" dxfId="0" priority="370" operator="lessThan">
      <formula>20</formula>
    </cfRule>
    <cfRule type="cellIs" dxfId="1" priority="237" operator="greaterThan">
      <formula>120</formula>
    </cfRule>
    <cfRule type="containsText" dxfId="3" priority="104" operator="between" text="库存">
      <formula>NOT(ISERROR(SEARCH("库存",AS35)))</formula>
    </cfRule>
  </conditionalFormatting>
  <conditionalFormatting sqref="AS36">
    <cfRule type="cellIs" dxfId="0" priority="369" operator="lessThan">
      <formula>20</formula>
    </cfRule>
    <cfRule type="cellIs" dxfId="1" priority="236" operator="greaterThan">
      <formula>120</formula>
    </cfRule>
    <cfRule type="containsText" dxfId="3" priority="103" operator="between" text="库存">
      <formula>NOT(ISERROR(SEARCH("库存",AS36)))</formula>
    </cfRule>
  </conditionalFormatting>
  <conditionalFormatting sqref="AS37">
    <cfRule type="cellIs" dxfId="0" priority="368" operator="lessThan">
      <formula>20</formula>
    </cfRule>
    <cfRule type="cellIs" dxfId="1" priority="235" operator="greaterThan">
      <formula>120</formula>
    </cfRule>
    <cfRule type="containsText" dxfId="3" priority="102" operator="between" text="库存">
      <formula>NOT(ISERROR(SEARCH("库存",AS37)))</formula>
    </cfRule>
  </conditionalFormatting>
  <conditionalFormatting sqref="AS38">
    <cfRule type="cellIs" dxfId="0" priority="367" operator="lessThan">
      <formula>20</formula>
    </cfRule>
    <cfRule type="cellIs" dxfId="1" priority="234" operator="greaterThan">
      <formula>120</formula>
    </cfRule>
    <cfRule type="containsText" dxfId="3" priority="101" operator="between" text="库存">
      <formula>NOT(ISERROR(SEARCH("库存",AS38)))</formula>
    </cfRule>
  </conditionalFormatting>
  <conditionalFormatting sqref="AS39">
    <cfRule type="cellIs" dxfId="0" priority="366" operator="lessThan">
      <formula>20</formula>
    </cfRule>
    <cfRule type="cellIs" dxfId="1" priority="233" operator="greaterThan">
      <formula>120</formula>
    </cfRule>
    <cfRule type="containsText" dxfId="3" priority="100" operator="between" text="库存">
      <formula>NOT(ISERROR(SEARCH("库存",AS39)))</formula>
    </cfRule>
  </conditionalFormatting>
  <conditionalFormatting sqref="AS40">
    <cfRule type="cellIs" dxfId="0" priority="365" operator="lessThan">
      <formula>20</formula>
    </cfRule>
    <cfRule type="cellIs" dxfId="1" priority="232" operator="greaterThan">
      <formula>120</formula>
    </cfRule>
    <cfRule type="containsText" dxfId="3" priority="99" operator="between" text="库存">
      <formula>NOT(ISERROR(SEARCH("库存",AS40)))</formula>
    </cfRule>
  </conditionalFormatting>
  <conditionalFormatting sqref="AS41">
    <cfRule type="cellIs" dxfId="0" priority="364" operator="lessThan">
      <formula>20</formula>
    </cfRule>
    <cfRule type="cellIs" dxfId="1" priority="231" operator="greaterThan">
      <formula>120</formula>
    </cfRule>
    <cfRule type="containsText" dxfId="3" priority="98" operator="between" text="库存">
      <formula>NOT(ISERROR(SEARCH("库存",AS41)))</formula>
    </cfRule>
  </conditionalFormatting>
  <conditionalFormatting sqref="AS42">
    <cfRule type="cellIs" dxfId="0" priority="363" operator="lessThan">
      <formula>20</formula>
    </cfRule>
    <cfRule type="cellIs" dxfId="1" priority="230" operator="greaterThan">
      <formula>120</formula>
    </cfRule>
    <cfRule type="containsText" dxfId="3" priority="97" operator="between" text="库存">
      <formula>NOT(ISERROR(SEARCH("库存",AS42)))</formula>
    </cfRule>
  </conditionalFormatting>
  <conditionalFormatting sqref="AS43">
    <cfRule type="cellIs" dxfId="0" priority="362" operator="lessThan">
      <formula>20</formula>
    </cfRule>
    <cfRule type="cellIs" dxfId="1" priority="229" operator="greaterThan">
      <formula>120</formula>
    </cfRule>
    <cfRule type="containsText" dxfId="3" priority="96" operator="between" text="库存">
      <formula>NOT(ISERROR(SEARCH("库存",AS43)))</formula>
    </cfRule>
  </conditionalFormatting>
  <conditionalFormatting sqref="AS44">
    <cfRule type="cellIs" dxfId="0" priority="361" operator="lessThan">
      <formula>20</formula>
    </cfRule>
    <cfRule type="cellIs" dxfId="1" priority="228" operator="greaterThan">
      <formula>120</formula>
    </cfRule>
    <cfRule type="containsText" dxfId="3" priority="95" operator="between" text="库存">
      <formula>NOT(ISERROR(SEARCH("库存",AS44)))</formula>
    </cfRule>
  </conditionalFormatting>
  <conditionalFormatting sqref="AS45">
    <cfRule type="cellIs" dxfId="0" priority="360" operator="lessThan">
      <formula>20</formula>
    </cfRule>
    <cfRule type="cellIs" dxfId="1" priority="227" operator="greaterThan">
      <formula>120</formula>
    </cfRule>
    <cfRule type="containsText" dxfId="3" priority="94" operator="between" text="库存">
      <formula>NOT(ISERROR(SEARCH("库存",AS45)))</formula>
    </cfRule>
  </conditionalFormatting>
  <conditionalFormatting sqref="AS46">
    <cfRule type="cellIs" dxfId="0" priority="359" operator="lessThan">
      <formula>20</formula>
    </cfRule>
    <cfRule type="cellIs" dxfId="1" priority="226" operator="greaterThan">
      <formula>120</formula>
    </cfRule>
    <cfRule type="containsText" dxfId="3" priority="93" operator="between" text="库存">
      <formula>NOT(ISERROR(SEARCH("库存",AS46)))</formula>
    </cfRule>
  </conditionalFormatting>
  <conditionalFormatting sqref="AS47">
    <cfRule type="cellIs" dxfId="0" priority="358" operator="lessThan">
      <formula>20</formula>
    </cfRule>
    <cfRule type="cellIs" dxfId="1" priority="225" operator="greaterThan">
      <formula>120</formula>
    </cfRule>
    <cfRule type="containsText" dxfId="3" priority="92" operator="between" text="库存">
      <formula>NOT(ISERROR(SEARCH("库存",AS47)))</formula>
    </cfRule>
  </conditionalFormatting>
  <conditionalFormatting sqref="AS48">
    <cfRule type="cellIs" dxfId="0" priority="357" operator="lessThan">
      <formula>20</formula>
    </cfRule>
    <cfRule type="cellIs" dxfId="1" priority="224" operator="greaterThan">
      <formula>120</formula>
    </cfRule>
    <cfRule type="containsText" dxfId="3" priority="91" operator="between" text="库存">
      <formula>NOT(ISERROR(SEARCH("库存",AS48)))</formula>
    </cfRule>
  </conditionalFormatting>
  <conditionalFormatting sqref="AS49">
    <cfRule type="cellIs" dxfId="0" priority="356" operator="lessThan">
      <formula>20</formula>
    </cfRule>
    <cfRule type="cellIs" dxfId="1" priority="223" operator="greaterThan">
      <formula>120</formula>
    </cfRule>
    <cfRule type="containsText" dxfId="3" priority="90" operator="between" text="库存">
      <formula>NOT(ISERROR(SEARCH("库存",AS49)))</formula>
    </cfRule>
  </conditionalFormatting>
  <conditionalFormatting sqref="AS50">
    <cfRule type="cellIs" dxfId="0" priority="355" operator="lessThan">
      <formula>20</formula>
    </cfRule>
    <cfRule type="cellIs" dxfId="1" priority="222" operator="greaterThan">
      <formula>120</formula>
    </cfRule>
    <cfRule type="containsText" dxfId="3" priority="89" operator="between" text="库存">
      <formula>NOT(ISERROR(SEARCH("库存",AS50)))</formula>
    </cfRule>
  </conditionalFormatting>
  <conditionalFormatting sqref="AS51">
    <cfRule type="cellIs" dxfId="0" priority="354" operator="lessThan">
      <formula>20</formula>
    </cfRule>
    <cfRule type="cellIs" dxfId="1" priority="221" operator="greaterThan">
      <formula>120</formula>
    </cfRule>
    <cfRule type="containsText" dxfId="3" priority="88" operator="between" text="库存">
      <formula>NOT(ISERROR(SEARCH("库存",AS51)))</formula>
    </cfRule>
  </conditionalFormatting>
  <conditionalFormatting sqref="AS52">
    <cfRule type="cellIs" dxfId="0" priority="353" operator="lessThan">
      <formula>20</formula>
    </cfRule>
    <cfRule type="cellIs" dxfId="1" priority="220" operator="greaterThan">
      <formula>120</formula>
    </cfRule>
    <cfRule type="containsText" dxfId="3" priority="87" operator="between" text="库存">
      <formula>NOT(ISERROR(SEARCH("库存",AS52)))</formula>
    </cfRule>
  </conditionalFormatting>
  <conditionalFormatting sqref="AS53">
    <cfRule type="cellIs" dxfId="0" priority="352" operator="lessThan">
      <formula>20</formula>
    </cfRule>
    <cfRule type="cellIs" dxfId="1" priority="219" operator="greaterThan">
      <formula>120</formula>
    </cfRule>
    <cfRule type="containsText" dxfId="3" priority="86" operator="between" text="库存">
      <formula>NOT(ISERROR(SEARCH("库存",AS53)))</formula>
    </cfRule>
  </conditionalFormatting>
  <conditionalFormatting sqref="AS54">
    <cfRule type="cellIs" dxfId="0" priority="351" operator="lessThan">
      <formula>20</formula>
    </cfRule>
    <cfRule type="cellIs" dxfId="1" priority="218" operator="greaterThan">
      <formula>120</formula>
    </cfRule>
    <cfRule type="containsText" dxfId="3" priority="85" operator="between" text="库存">
      <formula>NOT(ISERROR(SEARCH("库存",AS54)))</formula>
    </cfRule>
  </conditionalFormatting>
  <conditionalFormatting sqref="AS55">
    <cfRule type="cellIs" dxfId="0" priority="350" operator="lessThan">
      <formula>20</formula>
    </cfRule>
    <cfRule type="cellIs" dxfId="1" priority="217" operator="greaterThan">
      <formula>120</formula>
    </cfRule>
    <cfRule type="containsText" dxfId="3" priority="84" operator="between" text="库存">
      <formula>NOT(ISERROR(SEARCH("库存",AS55)))</formula>
    </cfRule>
  </conditionalFormatting>
  <conditionalFormatting sqref="AS56">
    <cfRule type="cellIs" dxfId="0" priority="349" operator="lessThan">
      <formula>20</formula>
    </cfRule>
    <cfRule type="cellIs" dxfId="1" priority="216" operator="greaterThan">
      <formula>120</formula>
    </cfRule>
    <cfRule type="containsText" dxfId="3" priority="83" operator="between" text="库存">
      <formula>NOT(ISERROR(SEARCH("库存",AS56)))</formula>
    </cfRule>
  </conditionalFormatting>
  <conditionalFormatting sqref="AS57">
    <cfRule type="cellIs" dxfId="0" priority="348" operator="lessThan">
      <formula>20</formula>
    </cfRule>
    <cfRule type="cellIs" dxfId="1" priority="215" operator="greaterThan">
      <formula>120</formula>
    </cfRule>
    <cfRule type="containsText" dxfId="3" priority="82" operator="between" text="库存">
      <formula>NOT(ISERROR(SEARCH("库存",AS57)))</formula>
    </cfRule>
  </conditionalFormatting>
  <conditionalFormatting sqref="AS58">
    <cfRule type="cellIs" dxfId="0" priority="347" operator="lessThan">
      <formula>20</formula>
    </cfRule>
    <cfRule type="cellIs" dxfId="1" priority="214" operator="greaterThan">
      <formula>120</formula>
    </cfRule>
    <cfRule type="containsText" dxfId="3" priority="81" operator="between" text="库存">
      <formula>NOT(ISERROR(SEARCH("库存",AS58)))</formula>
    </cfRule>
  </conditionalFormatting>
  <conditionalFormatting sqref="AS59">
    <cfRule type="cellIs" dxfId="0" priority="346" operator="lessThan">
      <formula>20</formula>
    </cfRule>
    <cfRule type="cellIs" dxfId="1" priority="213" operator="greaterThan">
      <formula>120</formula>
    </cfRule>
    <cfRule type="containsText" dxfId="3" priority="80" operator="between" text="库存">
      <formula>NOT(ISERROR(SEARCH("库存",AS59)))</formula>
    </cfRule>
  </conditionalFormatting>
  <conditionalFormatting sqref="AS60">
    <cfRule type="cellIs" dxfId="0" priority="345" operator="lessThan">
      <formula>20</formula>
    </cfRule>
    <cfRule type="cellIs" dxfId="1" priority="212" operator="greaterThan">
      <formula>120</formula>
    </cfRule>
    <cfRule type="containsText" dxfId="3" priority="79" operator="between" text="库存">
      <formula>NOT(ISERROR(SEARCH("库存",AS60)))</formula>
    </cfRule>
  </conditionalFormatting>
  <conditionalFormatting sqref="AS61">
    <cfRule type="cellIs" dxfId="0" priority="344" operator="lessThan">
      <formula>20</formula>
    </cfRule>
    <cfRule type="cellIs" dxfId="1" priority="211" operator="greaterThan">
      <formula>120</formula>
    </cfRule>
    <cfRule type="containsText" dxfId="3" priority="78" operator="between" text="库存">
      <formula>NOT(ISERROR(SEARCH("库存",AS61)))</formula>
    </cfRule>
  </conditionalFormatting>
  <conditionalFormatting sqref="AS62">
    <cfRule type="cellIs" dxfId="0" priority="343" operator="lessThan">
      <formula>20</formula>
    </cfRule>
    <cfRule type="cellIs" dxfId="1" priority="210" operator="greaterThan">
      <formula>120</formula>
    </cfRule>
    <cfRule type="containsText" dxfId="3" priority="77" operator="between" text="库存">
      <formula>NOT(ISERROR(SEARCH("库存",AS62)))</formula>
    </cfRule>
  </conditionalFormatting>
  <conditionalFormatting sqref="AS63">
    <cfRule type="cellIs" dxfId="0" priority="342" operator="lessThan">
      <formula>20</formula>
    </cfRule>
    <cfRule type="cellIs" dxfId="1" priority="209" operator="greaterThan">
      <formula>120</formula>
    </cfRule>
    <cfRule type="containsText" dxfId="3" priority="76" operator="between" text="库存">
      <formula>NOT(ISERROR(SEARCH("库存",AS63)))</formula>
    </cfRule>
  </conditionalFormatting>
  <conditionalFormatting sqref="AS64">
    <cfRule type="cellIs" dxfId="0" priority="341" operator="lessThan">
      <formula>20</formula>
    </cfRule>
    <cfRule type="cellIs" dxfId="1" priority="208" operator="greaterThan">
      <formula>120</formula>
    </cfRule>
    <cfRule type="containsText" dxfId="3" priority="75" operator="between" text="库存">
      <formula>NOT(ISERROR(SEARCH("库存",AS64)))</formula>
    </cfRule>
  </conditionalFormatting>
  <conditionalFormatting sqref="AS65">
    <cfRule type="cellIs" dxfId="0" priority="340" operator="lessThan">
      <formula>20</formula>
    </cfRule>
    <cfRule type="cellIs" dxfId="1" priority="207" operator="greaterThan">
      <formula>120</formula>
    </cfRule>
    <cfRule type="containsText" dxfId="3" priority="74" operator="between" text="库存">
      <formula>NOT(ISERROR(SEARCH("库存",AS65)))</formula>
    </cfRule>
  </conditionalFormatting>
  <conditionalFormatting sqref="AS66">
    <cfRule type="cellIs" dxfId="0" priority="339" operator="lessThan">
      <formula>20</formula>
    </cfRule>
    <cfRule type="cellIs" dxfId="1" priority="206" operator="greaterThan">
      <formula>120</formula>
    </cfRule>
    <cfRule type="containsText" dxfId="3" priority="73" operator="between" text="库存">
      <formula>NOT(ISERROR(SEARCH("库存",AS66)))</formula>
    </cfRule>
  </conditionalFormatting>
  <conditionalFormatting sqref="AS67">
    <cfRule type="cellIs" dxfId="0" priority="338" operator="lessThan">
      <formula>20</formula>
    </cfRule>
    <cfRule type="cellIs" dxfId="1" priority="205" operator="greaterThan">
      <formula>120</formula>
    </cfRule>
    <cfRule type="containsText" dxfId="3" priority="72" operator="between" text="库存">
      <formula>NOT(ISERROR(SEARCH("库存",AS67)))</formula>
    </cfRule>
  </conditionalFormatting>
  <conditionalFormatting sqref="AS68">
    <cfRule type="cellIs" dxfId="0" priority="337" operator="lessThan">
      <formula>20</formula>
    </cfRule>
    <cfRule type="cellIs" dxfId="1" priority="204" operator="greaterThan">
      <formula>120</formula>
    </cfRule>
    <cfRule type="containsText" dxfId="3" priority="71" operator="between" text="库存">
      <formula>NOT(ISERROR(SEARCH("库存",AS68)))</formula>
    </cfRule>
  </conditionalFormatting>
  <conditionalFormatting sqref="AS69">
    <cfRule type="cellIs" dxfId="0" priority="336" operator="lessThan">
      <formula>20</formula>
    </cfRule>
    <cfRule type="cellIs" dxfId="1" priority="203" operator="greaterThan">
      <formula>120</formula>
    </cfRule>
    <cfRule type="containsText" dxfId="3" priority="70" operator="between" text="库存">
      <formula>NOT(ISERROR(SEARCH("库存",AS69)))</formula>
    </cfRule>
  </conditionalFormatting>
  <conditionalFormatting sqref="AS70">
    <cfRule type="cellIs" dxfId="0" priority="335" operator="lessThan">
      <formula>20</formula>
    </cfRule>
    <cfRule type="cellIs" dxfId="1" priority="202" operator="greaterThan">
      <formula>120</formula>
    </cfRule>
    <cfRule type="containsText" dxfId="3" priority="69" operator="between" text="库存">
      <formula>NOT(ISERROR(SEARCH("库存",AS70)))</formula>
    </cfRule>
  </conditionalFormatting>
  <conditionalFormatting sqref="AS71">
    <cfRule type="cellIs" dxfId="0" priority="334" operator="lessThan">
      <formula>20</formula>
    </cfRule>
    <cfRule type="cellIs" dxfId="1" priority="201" operator="greaterThan">
      <formula>120</formula>
    </cfRule>
    <cfRule type="containsText" dxfId="3" priority="68" operator="between" text="库存">
      <formula>NOT(ISERROR(SEARCH("库存",AS71)))</formula>
    </cfRule>
  </conditionalFormatting>
  <conditionalFormatting sqref="AS72">
    <cfRule type="cellIs" dxfId="0" priority="333" operator="lessThan">
      <formula>20</formula>
    </cfRule>
    <cfRule type="cellIs" dxfId="1" priority="200" operator="greaterThan">
      <formula>120</formula>
    </cfRule>
    <cfRule type="containsText" dxfId="3" priority="67" operator="between" text="库存">
      <formula>NOT(ISERROR(SEARCH("库存",AS72)))</formula>
    </cfRule>
  </conditionalFormatting>
  <conditionalFormatting sqref="AS73">
    <cfRule type="cellIs" dxfId="0" priority="332" operator="lessThan">
      <formula>20</formula>
    </cfRule>
    <cfRule type="cellIs" dxfId="1" priority="199" operator="greaterThan">
      <formula>120</formula>
    </cfRule>
    <cfRule type="containsText" dxfId="3" priority="66" operator="between" text="库存">
      <formula>NOT(ISERROR(SEARCH("库存",AS73)))</formula>
    </cfRule>
  </conditionalFormatting>
  <conditionalFormatting sqref="AS74">
    <cfRule type="cellIs" dxfId="0" priority="331" operator="lessThan">
      <formula>20</formula>
    </cfRule>
    <cfRule type="cellIs" dxfId="1" priority="198" operator="greaterThan">
      <formula>120</formula>
    </cfRule>
    <cfRule type="containsText" dxfId="3" priority="65" operator="between" text="库存">
      <formula>NOT(ISERROR(SEARCH("库存",AS74)))</formula>
    </cfRule>
  </conditionalFormatting>
  <conditionalFormatting sqref="AS75">
    <cfRule type="cellIs" dxfId="0" priority="330" operator="lessThan">
      <formula>20</formula>
    </cfRule>
    <cfRule type="cellIs" dxfId="1" priority="197" operator="greaterThan">
      <formula>120</formula>
    </cfRule>
    <cfRule type="containsText" dxfId="3" priority="64" operator="between" text="库存">
      <formula>NOT(ISERROR(SEARCH("库存",AS75)))</formula>
    </cfRule>
  </conditionalFormatting>
  <conditionalFormatting sqref="AS76">
    <cfRule type="cellIs" dxfId="0" priority="329" operator="lessThan">
      <formula>20</formula>
    </cfRule>
    <cfRule type="cellIs" dxfId="1" priority="196" operator="greaterThan">
      <formula>120</formula>
    </cfRule>
    <cfRule type="containsText" dxfId="3" priority="63" operator="between" text="库存">
      <formula>NOT(ISERROR(SEARCH("库存",AS76)))</formula>
    </cfRule>
  </conditionalFormatting>
  <conditionalFormatting sqref="AS77">
    <cfRule type="cellIs" dxfId="0" priority="328" operator="lessThan">
      <formula>20</formula>
    </cfRule>
    <cfRule type="cellIs" dxfId="1" priority="195" operator="greaterThan">
      <formula>120</formula>
    </cfRule>
    <cfRule type="containsText" dxfId="3" priority="62" operator="between" text="库存">
      <formula>NOT(ISERROR(SEARCH("库存",AS77)))</formula>
    </cfRule>
  </conditionalFormatting>
  <conditionalFormatting sqref="AS78">
    <cfRule type="cellIs" dxfId="0" priority="327" operator="lessThan">
      <formula>20</formula>
    </cfRule>
    <cfRule type="cellIs" dxfId="1" priority="194" operator="greaterThan">
      <formula>120</formula>
    </cfRule>
    <cfRule type="containsText" dxfId="3" priority="61" operator="between" text="库存">
      <formula>NOT(ISERROR(SEARCH("库存",AS78)))</formula>
    </cfRule>
  </conditionalFormatting>
  <conditionalFormatting sqref="AS79">
    <cfRule type="cellIs" dxfId="0" priority="326" operator="lessThan">
      <formula>20</formula>
    </cfRule>
    <cfRule type="cellIs" dxfId="1" priority="193" operator="greaterThan">
      <formula>120</formula>
    </cfRule>
    <cfRule type="containsText" dxfId="3" priority="60" operator="between" text="库存">
      <formula>NOT(ISERROR(SEARCH("库存",AS79)))</formula>
    </cfRule>
  </conditionalFormatting>
  <conditionalFormatting sqref="AS80">
    <cfRule type="cellIs" dxfId="0" priority="325" operator="lessThan">
      <formula>20</formula>
    </cfRule>
    <cfRule type="cellIs" dxfId="1" priority="192" operator="greaterThan">
      <formula>120</formula>
    </cfRule>
    <cfRule type="containsText" dxfId="3" priority="59" operator="between" text="库存">
      <formula>NOT(ISERROR(SEARCH("库存",AS80)))</formula>
    </cfRule>
  </conditionalFormatting>
  <conditionalFormatting sqref="AS81">
    <cfRule type="cellIs" dxfId="0" priority="324" operator="lessThan">
      <formula>20</formula>
    </cfRule>
    <cfRule type="cellIs" dxfId="1" priority="191" operator="greaterThan">
      <formula>120</formula>
    </cfRule>
    <cfRule type="containsText" dxfId="3" priority="58" operator="between" text="库存">
      <formula>NOT(ISERROR(SEARCH("库存",AS81)))</formula>
    </cfRule>
  </conditionalFormatting>
  <conditionalFormatting sqref="AS82">
    <cfRule type="cellIs" dxfId="0" priority="323" operator="lessThan">
      <formula>20</formula>
    </cfRule>
    <cfRule type="cellIs" dxfId="1" priority="190" operator="greaterThan">
      <formula>120</formula>
    </cfRule>
    <cfRule type="containsText" dxfId="3" priority="57" operator="between" text="库存">
      <formula>NOT(ISERROR(SEARCH("库存",AS82)))</formula>
    </cfRule>
  </conditionalFormatting>
  <conditionalFormatting sqref="AS83">
    <cfRule type="cellIs" dxfId="0" priority="322" operator="lessThan">
      <formula>20</formula>
    </cfRule>
    <cfRule type="cellIs" dxfId="1" priority="189" operator="greaterThan">
      <formula>120</formula>
    </cfRule>
    <cfRule type="containsText" dxfId="3" priority="56" operator="between" text="库存">
      <formula>NOT(ISERROR(SEARCH("库存",AS83)))</formula>
    </cfRule>
  </conditionalFormatting>
  <conditionalFormatting sqref="AS84">
    <cfRule type="cellIs" dxfId="0" priority="321" operator="lessThan">
      <formula>20</formula>
    </cfRule>
    <cfRule type="cellIs" dxfId="1" priority="188" operator="greaterThan">
      <formula>120</formula>
    </cfRule>
    <cfRule type="containsText" dxfId="3" priority="55" operator="between" text="库存">
      <formula>NOT(ISERROR(SEARCH("库存",AS84)))</formula>
    </cfRule>
  </conditionalFormatting>
  <conditionalFormatting sqref="AS85">
    <cfRule type="cellIs" dxfId="0" priority="320" operator="lessThan">
      <formula>20</formula>
    </cfRule>
    <cfRule type="cellIs" dxfId="1" priority="187" operator="greaterThan">
      <formula>120</formula>
    </cfRule>
    <cfRule type="containsText" dxfId="3" priority="54" operator="between" text="库存">
      <formula>NOT(ISERROR(SEARCH("库存",AS85)))</formula>
    </cfRule>
  </conditionalFormatting>
  <conditionalFormatting sqref="AS86">
    <cfRule type="cellIs" dxfId="0" priority="319" operator="lessThan">
      <formula>20</formula>
    </cfRule>
    <cfRule type="cellIs" dxfId="1" priority="186" operator="greaterThan">
      <formula>120</formula>
    </cfRule>
    <cfRule type="containsText" dxfId="3" priority="53" operator="between" text="库存">
      <formula>NOT(ISERROR(SEARCH("库存",AS86)))</formula>
    </cfRule>
  </conditionalFormatting>
  <conditionalFormatting sqref="AS87">
    <cfRule type="cellIs" dxfId="0" priority="318" operator="lessThan">
      <formula>20</formula>
    </cfRule>
    <cfRule type="cellIs" dxfId="1" priority="185" operator="greaterThan">
      <formula>120</formula>
    </cfRule>
    <cfRule type="containsText" dxfId="3" priority="52" operator="between" text="库存">
      <formula>NOT(ISERROR(SEARCH("库存",AS87)))</formula>
    </cfRule>
  </conditionalFormatting>
  <conditionalFormatting sqref="AS88">
    <cfRule type="cellIs" dxfId="0" priority="317" operator="lessThan">
      <formula>20</formula>
    </cfRule>
    <cfRule type="cellIs" dxfId="1" priority="184" operator="greaterThan">
      <formula>120</formula>
    </cfRule>
    <cfRule type="containsText" dxfId="3" priority="51" operator="between" text="库存">
      <formula>NOT(ISERROR(SEARCH("库存",AS88)))</formula>
    </cfRule>
  </conditionalFormatting>
  <conditionalFormatting sqref="AS89">
    <cfRule type="cellIs" dxfId="0" priority="316" operator="lessThan">
      <formula>20</formula>
    </cfRule>
    <cfRule type="cellIs" dxfId="1" priority="183" operator="greaterThan">
      <formula>120</formula>
    </cfRule>
    <cfRule type="containsText" dxfId="3" priority="50" operator="between" text="库存">
      <formula>NOT(ISERROR(SEARCH("库存",AS89)))</formula>
    </cfRule>
  </conditionalFormatting>
  <conditionalFormatting sqref="AS90">
    <cfRule type="cellIs" dxfId="0" priority="315" operator="lessThan">
      <formula>20</formula>
    </cfRule>
    <cfRule type="cellIs" dxfId="1" priority="182" operator="greaterThan">
      <formula>120</formula>
    </cfRule>
    <cfRule type="containsText" dxfId="3" priority="49" operator="between" text="库存">
      <formula>NOT(ISERROR(SEARCH("库存",AS90)))</formula>
    </cfRule>
  </conditionalFormatting>
  <conditionalFormatting sqref="AS91">
    <cfRule type="cellIs" dxfId="0" priority="314" operator="lessThan">
      <formula>20</formula>
    </cfRule>
    <cfRule type="cellIs" dxfId="1" priority="181" operator="greaterThan">
      <formula>120</formula>
    </cfRule>
    <cfRule type="containsText" dxfId="3" priority="48" operator="between" text="库存">
      <formula>NOT(ISERROR(SEARCH("库存",AS91)))</formula>
    </cfRule>
  </conditionalFormatting>
  <conditionalFormatting sqref="AS92">
    <cfRule type="cellIs" dxfId="0" priority="313" operator="lessThan">
      <formula>20</formula>
    </cfRule>
    <cfRule type="cellIs" dxfId="1" priority="180" operator="greaterThan">
      <formula>120</formula>
    </cfRule>
    <cfRule type="containsText" dxfId="3" priority="47" operator="between" text="库存">
      <formula>NOT(ISERROR(SEARCH("库存",AS92)))</formula>
    </cfRule>
  </conditionalFormatting>
  <conditionalFormatting sqref="AS93">
    <cfRule type="cellIs" dxfId="0" priority="312" operator="lessThan">
      <formula>20</formula>
    </cfRule>
    <cfRule type="cellIs" dxfId="1" priority="179" operator="greaterThan">
      <formula>120</formula>
    </cfRule>
    <cfRule type="containsText" dxfId="3" priority="46" operator="between" text="库存">
      <formula>NOT(ISERROR(SEARCH("库存",AS93)))</formula>
    </cfRule>
  </conditionalFormatting>
  <conditionalFormatting sqref="AS94">
    <cfRule type="cellIs" dxfId="0" priority="311" operator="lessThan">
      <formula>20</formula>
    </cfRule>
    <cfRule type="cellIs" dxfId="1" priority="178" operator="greaterThan">
      <formula>120</formula>
    </cfRule>
    <cfRule type="containsText" dxfId="3" priority="45" operator="between" text="库存">
      <formula>NOT(ISERROR(SEARCH("库存",AS94)))</formula>
    </cfRule>
  </conditionalFormatting>
  <conditionalFormatting sqref="AS95">
    <cfRule type="cellIs" dxfId="0" priority="310" operator="lessThan">
      <formula>20</formula>
    </cfRule>
    <cfRule type="cellIs" dxfId="1" priority="177" operator="greaterThan">
      <formula>120</formula>
    </cfRule>
    <cfRule type="containsText" dxfId="3" priority="44" operator="between" text="库存">
      <formula>NOT(ISERROR(SEARCH("库存",AS95)))</formula>
    </cfRule>
  </conditionalFormatting>
  <conditionalFormatting sqref="AS96">
    <cfRule type="cellIs" dxfId="0" priority="309" operator="lessThan">
      <formula>20</formula>
    </cfRule>
    <cfRule type="cellIs" dxfId="1" priority="176" operator="greaterThan">
      <formula>120</formula>
    </cfRule>
    <cfRule type="containsText" dxfId="3" priority="43" operator="between" text="库存">
      <formula>NOT(ISERROR(SEARCH("库存",AS96)))</formula>
    </cfRule>
  </conditionalFormatting>
  <conditionalFormatting sqref="AS97">
    <cfRule type="cellIs" dxfId="0" priority="308" operator="lessThan">
      <formula>20</formula>
    </cfRule>
    <cfRule type="cellIs" dxfId="1" priority="175" operator="greaterThan">
      <formula>120</formula>
    </cfRule>
    <cfRule type="containsText" dxfId="3" priority="42" operator="between" text="库存">
      <formula>NOT(ISERROR(SEARCH("库存",AS97)))</formula>
    </cfRule>
  </conditionalFormatting>
  <conditionalFormatting sqref="AS98">
    <cfRule type="cellIs" dxfId="0" priority="307" operator="lessThan">
      <formula>20</formula>
    </cfRule>
    <cfRule type="cellIs" dxfId="1" priority="174" operator="greaterThan">
      <formula>120</formula>
    </cfRule>
    <cfRule type="containsText" dxfId="3" priority="41" operator="between" text="库存">
      <formula>NOT(ISERROR(SEARCH("库存",AS98)))</formula>
    </cfRule>
  </conditionalFormatting>
  <conditionalFormatting sqref="AS99">
    <cfRule type="cellIs" dxfId="0" priority="306" operator="lessThan">
      <formula>20</formula>
    </cfRule>
    <cfRule type="cellIs" dxfId="1" priority="173" operator="greaterThan">
      <formula>120</formula>
    </cfRule>
    <cfRule type="containsText" dxfId="3" priority="40" operator="between" text="库存">
      <formula>NOT(ISERROR(SEARCH("库存",AS99)))</formula>
    </cfRule>
  </conditionalFormatting>
  <conditionalFormatting sqref="AS100">
    <cfRule type="cellIs" dxfId="0" priority="305" operator="lessThan">
      <formula>20</formula>
    </cfRule>
    <cfRule type="cellIs" dxfId="1" priority="172" operator="greaterThan">
      <formula>120</formula>
    </cfRule>
    <cfRule type="containsText" dxfId="3" priority="39" operator="between" text="库存">
      <formula>NOT(ISERROR(SEARCH("库存",AS100)))</formula>
    </cfRule>
  </conditionalFormatting>
  <conditionalFormatting sqref="AS101">
    <cfRule type="cellIs" dxfId="0" priority="304" operator="lessThan">
      <formula>20</formula>
    </cfRule>
    <cfRule type="cellIs" dxfId="1" priority="171" operator="greaterThan">
      <formula>120</formula>
    </cfRule>
    <cfRule type="containsText" dxfId="3" priority="38" operator="between" text="库存">
      <formula>NOT(ISERROR(SEARCH("库存",AS101)))</formula>
    </cfRule>
  </conditionalFormatting>
  <conditionalFormatting sqref="AS102">
    <cfRule type="cellIs" dxfId="0" priority="303" operator="lessThan">
      <formula>20</formula>
    </cfRule>
    <cfRule type="cellIs" dxfId="1" priority="170" operator="greaterThan">
      <formula>120</formula>
    </cfRule>
    <cfRule type="containsText" dxfId="3" priority="37" operator="between" text="库存">
      <formula>NOT(ISERROR(SEARCH("库存",AS102)))</formula>
    </cfRule>
  </conditionalFormatting>
  <conditionalFormatting sqref="AS103">
    <cfRule type="cellIs" dxfId="0" priority="302" operator="lessThan">
      <formula>20</formula>
    </cfRule>
    <cfRule type="cellIs" dxfId="1" priority="169" operator="greaterThan">
      <formula>120</formula>
    </cfRule>
    <cfRule type="containsText" dxfId="3" priority="36" operator="between" text="库存">
      <formula>NOT(ISERROR(SEARCH("库存",AS103)))</formula>
    </cfRule>
  </conditionalFormatting>
  <conditionalFormatting sqref="AS104">
    <cfRule type="cellIs" dxfId="0" priority="301" operator="lessThan">
      <formula>20</formula>
    </cfRule>
    <cfRule type="cellIs" dxfId="1" priority="168" operator="greaterThan">
      <formula>120</formula>
    </cfRule>
    <cfRule type="containsText" dxfId="3" priority="35" operator="between" text="库存">
      <formula>NOT(ISERROR(SEARCH("库存",AS104)))</formula>
    </cfRule>
  </conditionalFormatting>
  <conditionalFormatting sqref="AS105">
    <cfRule type="cellIs" dxfId="0" priority="300" operator="lessThan">
      <formula>20</formula>
    </cfRule>
    <cfRule type="cellIs" dxfId="1" priority="167" operator="greaterThan">
      <formula>120</formula>
    </cfRule>
    <cfRule type="containsText" dxfId="3" priority="34" operator="between" text="库存">
      <formula>NOT(ISERROR(SEARCH("库存",AS105)))</formula>
    </cfRule>
  </conditionalFormatting>
  <conditionalFormatting sqref="AS106">
    <cfRule type="cellIs" dxfId="0" priority="299" operator="lessThan">
      <formula>20</formula>
    </cfRule>
    <cfRule type="cellIs" dxfId="1" priority="166" operator="greaterThan">
      <formula>120</formula>
    </cfRule>
    <cfRule type="containsText" dxfId="3" priority="33" operator="between" text="库存">
      <formula>NOT(ISERROR(SEARCH("库存",AS106)))</formula>
    </cfRule>
  </conditionalFormatting>
  <conditionalFormatting sqref="AS107">
    <cfRule type="cellIs" dxfId="0" priority="298" operator="lessThan">
      <formula>20</formula>
    </cfRule>
    <cfRule type="cellIs" dxfId="1" priority="165" operator="greaterThan">
      <formula>120</formula>
    </cfRule>
    <cfRule type="containsText" dxfId="3" priority="32" operator="between" text="库存">
      <formula>NOT(ISERROR(SEARCH("库存",AS107)))</formula>
    </cfRule>
  </conditionalFormatting>
  <conditionalFormatting sqref="AS108">
    <cfRule type="cellIs" dxfId="0" priority="297" operator="lessThan">
      <formula>20</formula>
    </cfRule>
    <cfRule type="cellIs" dxfId="1" priority="164" operator="greaterThan">
      <formula>120</formula>
    </cfRule>
    <cfRule type="containsText" dxfId="3" priority="31" operator="between" text="库存">
      <formula>NOT(ISERROR(SEARCH("库存",AS108)))</formula>
    </cfRule>
  </conditionalFormatting>
  <conditionalFormatting sqref="AS109">
    <cfRule type="cellIs" dxfId="0" priority="296" operator="lessThan">
      <formula>20</formula>
    </cfRule>
    <cfRule type="cellIs" dxfId="1" priority="163" operator="greaterThan">
      <formula>120</formula>
    </cfRule>
    <cfRule type="containsText" dxfId="3" priority="30" operator="between" text="库存">
      <formula>NOT(ISERROR(SEARCH("库存",AS109)))</formula>
    </cfRule>
  </conditionalFormatting>
  <conditionalFormatting sqref="AS110">
    <cfRule type="cellIs" dxfId="0" priority="295" operator="lessThan">
      <formula>20</formula>
    </cfRule>
    <cfRule type="cellIs" dxfId="1" priority="162" operator="greaterThan">
      <formula>120</formula>
    </cfRule>
    <cfRule type="containsText" dxfId="3" priority="29" operator="between" text="库存">
      <formula>NOT(ISERROR(SEARCH("库存",AS110)))</formula>
    </cfRule>
  </conditionalFormatting>
  <conditionalFormatting sqref="AS111">
    <cfRule type="cellIs" dxfId="0" priority="294" operator="lessThan">
      <formula>20</formula>
    </cfRule>
    <cfRule type="cellIs" dxfId="1" priority="161" operator="greaterThan">
      <formula>120</formula>
    </cfRule>
    <cfRule type="containsText" dxfId="3" priority="28" operator="between" text="库存">
      <formula>NOT(ISERROR(SEARCH("库存",AS111)))</formula>
    </cfRule>
  </conditionalFormatting>
  <conditionalFormatting sqref="AS112">
    <cfRule type="cellIs" dxfId="0" priority="293" operator="lessThan">
      <formula>20</formula>
    </cfRule>
    <cfRule type="cellIs" dxfId="1" priority="160" operator="greaterThan">
      <formula>120</formula>
    </cfRule>
    <cfRule type="containsText" dxfId="3" priority="27" operator="between" text="库存">
      <formula>NOT(ISERROR(SEARCH("库存",AS112)))</formula>
    </cfRule>
  </conditionalFormatting>
  <conditionalFormatting sqref="AS113">
    <cfRule type="cellIs" dxfId="0" priority="292" operator="lessThan">
      <formula>20</formula>
    </cfRule>
    <cfRule type="cellIs" dxfId="1" priority="159" operator="greaterThan">
      <formula>120</formula>
    </cfRule>
    <cfRule type="containsText" dxfId="3" priority="26" operator="between" text="库存">
      <formula>NOT(ISERROR(SEARCH("库存",AS113)))</formula>
    </cfRule>
  </conditionalFormatting>
  <conditionalFormatting sqref="AS114">
    <cfRule type="cellIs" dxfId="0" priority="291" operator="lessThan">
      <formula>20</formula>
    </cfRule>
    <cfRule type="cellIs" dxfId="1" priority="158" operator="greaterThan">
      <formula>120</formula>
    </cfRule>
    <cfRule type="containsText" dxfId="3" priority="25" operator="between" text="库存">
      <formula>NOT(ISERROR(SEARCH("库存",AS114)))</formula>
    </cfRule>
  </conditionalFormatting>
  <conditionalFormatting sqref="AS115">
    <cfRule type="cellIs" dxfId="0" priority="290" operator="lessThan">
      <formula>20</formula>
    </cfRule>
    <cfRule type="cellIs" dxfId="1" priority="157" operator="greaterThan">
      <formula>120</formula>
    </cfRule>
    <cfRule type="containsText" dxfId="3" priority="24" operator="between" text="库存">
      <formula>NOT(ISERROR(SEARCH("库存",AS115)))</formula>
    </cfRule>
  </conditionalFormatting>
  <conditionalFormatting sqref="AS116">
    <cfRule type="cellIs" dxfId="0" priority="289" operator="lessThan">
      <formula>20</formula>
    </cfRule>
    <cfRule type="cellIs" dxfId="1" priority="156" operator="greaterThan">
      <formula>120</formula>
    </cfRule>
    <cfRule type="containsText" dxfId="3" priority="23" operator="between" text="库存">
      <formula>NOT(ISERROR(SEARCH("库存",AS116)))</formula>
    </cfRule>
  </conditionalFormatting>
  <conditionalFormatting sqref="AS117">
    <cfRule type="cellIs" dxfId="0" priority="288" operator="lessThan">
      <formula>20</formula>
    </cfRule>
    <cfRule type="cellIs" dxfId="1" priority="155" operator="greaterThan">
      <formula>120</formula>
    </cfRule>
    <cfRule type="containsText" dxfId="3" priority="22" operator="between" text="库存">
      <formula>NOT(ISERROR(SEARCH("库存",AS117)))</formula>
    </cfRule>
  </conditionalFormatting>
  <conditionalFormatting sqref="AS118">
    <cfRule type="cellIs" dxfId="0" priority="287" operator="lessThan">
      <formula>20</formula>
    </cfRule>
    <cfRule type="cellIs" dxfId="1" priority="154" operator="greaterThan">
      <formula>120</formula>
    </cfRule>
    <cfRule type="containsText" dxfId="3" priority="21" operator="between" text="库存">
      <formula>NOT(ISERROR(SEARCH("库存",AS118)))</formula>
    </cfRule>
  </conditionalFormatting>
  <conditionalFormatting sqref="AS119">
    <cfRule type="cellIs" dxfId="0" priority="286" operator="lessThan">
      <formula>20</formula>
    </cfRule>
    <cfRule type="cellIs" dxfId="1" priority="153" operator="greaterThan">
      <formula>120</formula>
    </cfRule>
    <cfRule type="containsText" dxfId="3" priority="20" operator="between" text="库存">
      <formula>NOT(ISERROR(SEARCH("库存",AS119)))</formula>
    </cfRule>
  </conditionalFormatting>
  <conditionalFormatting sqref="AS120">
    <cfRule type="cellIs" dxfId="0" priority="285" operator="lessThan">
      <formula>20</formula>
    </cfRule>
    <cfRule type="cellIs" dxfId="1" priority="152" operator="greaterThan">
      <formula>120</formula>
    </cfRule>
    <cfRule type="containsText" dxfId="3" priority="19" operator="between" text="库存">
      <formula>NOT(ISERROR(SEARCH("库存",AS120)))</formula>
    </cfRule>
  </conditionalFormatting>
  <conditionalFormatting sqref="AS121">
    <cfRule type="cellIs" dxfId="0" priority="284" operator="lessThan">
      <formula>20</formula>
    </cfRule>
    <cfRule type="cellIs" dxfId="1" priority="151" operator="greaterThan">
      <formula>120</formula>
    </cfRule>
    <cfRule type="containsText" dxfId="3" priority="18" operator="between" text="库存">
      <formula>NOT(ISERROR(SEARCH("库存",AS121)))</formula>
    </cfRule>
  </conditionalFormatting>
  <conditionalFormatting sqref="AS122">
    <cfRule type="cellIs" dxfId="0" priority="283" operator="lessThan">
      <formula>20</formula>
    </cfRule>
    <cfRule type="cellIs" dxfId="1" priority="150" operator="greaterThan">
      <formula>120</formula>
    </cfRule>
    <cfRule type="containsText" dxfId="3" priority="17" operator="between" text="库存">
      <formula>NOT(ISERROR(SEARCH("库存",AS122)))</formula>
    </cfRule>
  </conditionalFormatting>
  <conditionalFormatting sqref="AS123">
    <cfRule type="cellIs" dxfId="0" priority="282" operator="lessThan">
      <formula>20</formula>
    </cfRule>
    <cfRule type="cellIs" dxfId="1" priority="149" operator="greaterThan">
      <formula>120</formula>
    </cfRule>
    <cfRule type="containsText" dxfId="3" priority="16" operator="between" text="库存">
      <formula>NOT(ISERROR(SEARCH("库存",AS123)))</formula>
    </cfRule>
  </conditionalFormatting>
  <conditionalFormatting sqref="AS124">
    <cfRule type="cellIs" dxfId="0" priority="281" operator="lessThan">
      <formula>20</formula>
    </cfRule>
    <cfRule type="cellIs" dxfId="1" priority="148" operator="greaterThan">
      <formula>120</formula>
    </cfRule>
    <cfRule type="containsText" dxfId="3" priority="15" operator="between" text="库存">
      <formula>NOT(ISERROR(SEARCH("库存",AS124)))</formula>
    </cfRule>
  </conditionalFormatting>
  <conditionalFormatting sqref="AS125">
    <cfRule type="cellIs" dxfId="0" priority="280" operator="lessThan">
      <formula>20</formula>
    </cfRule>
    <cfRule type="cellIs" dxfId="1" priority="147" operator="greaterThan">
      <formula>120</formula>
    </cfRule>
    <cfRule type="containsText" dxfId="3" priority="14" operator="between" text="库存">
      <formula>NOT(ISERROR(SEARCH("库存",AS125)))</formula>
    </cfRule>
  </conditionalFormatting>
  <conditionalFormatting sqref="AS126">
    <cfRule type="cellIs" dxfId="0" priority="279" operator="lessThan">
      <formula>20</formula>
    </cfRule>
    <cfRule type="cellIs" dxfId="1" priority="146" operator="greaterThan">
      <formula>120</formula>
    </cfRule>
    <cfRule type="containsText" dxfId="3" priority="13" operator="between" text="库存">
      <formula>NOT(ISERROR(SEARCH("库存",AS126)))</formula>
    </cfRule>
  </conditionalFormatting>
  <conditionalFormatting sqref="AS127">
    <cfRule type="cellIs" dxfId="0" priority="278" operator="lessThan">
      <formula>20</formula>
    </cfRule>
    <cfRule type="cellIs" dxfId="1" priority="145" operator="greaterThan">
      <formula>120</formula>
    </cfRule>
    <cfRule type="containsText" dxfId="3" priority="12" operator="between" text="库存">
      <formula>NOT(ISERROR(SEARCH("库存",AS127)))</formula>
    </cfRule>
  </conditionalFormatting>
  <conditionalFormatting sqref="AS128">
    <cfRule type="cellIs" dxfId="0" priority="277" operator="lessThan">
      <formula>20</formula>
    </cfRule>
    <cfRule type="cellIs" dxfId="1" priority="144" operator="greaterThan">
      <formula>120</formula>
    </cfRule>
    <cfRule type="containsText" dxfId="3" priority="11" operator="between" text="库存">
      <formula>NOT(ISERROR(SEARCH("库存",AS128)))</formula>
    </cfRule>
  </conditionalFormatting>
  <conditionalFormatting sqref="AS129">
    <cfRule type="cellIs" dxfId="0" priority="276" operator="lessThan">
      <formula>20</formula>
    </cfRule>
    <cfRule type="cellIs" dxfId="1" priority="143" operator="greaterThan">
      <formula>120</formula>
    </cfRule>
    <cfRule type="containsText" dxfId="3" priority="10" operator="between" text="库存">
      <formula>NOT(ISERROR(SEARCH("库存",AS129)))</formula>
    </cfRule>
  </conditionalFormatting>
  <conditionalFormatting sqref="AS130">
    <cfRule type="cellIs" dxfId="0" priority="275" operator="lessThan">
      <formula>20</formula>
    </cfRule>
    <cfRule type="cellIs" dxfId="1" priority="142" operator="greaterThan">
      <formula>120</formula>
    </cfRule>
    <cfRule type="containsText" dxfId="3" priority="9" operator="between" text="库存">
      <formula>NOT(ISERROR(SEARCH("库存",AS130)))</formula>
    </cfRule>
  </conditionalFormatting>
  <conditionalFormatting sqref="AS131">
    <cfRule type="cellIs" dxfId="0" priority="274" operator="lessThan">
      <formula>20</formula>
    </cfRule>
    <cfRule type="cellIs" dxfId="1" priority="141" operator="greaterThan">
      <formula>120</formula>
    </cfRule>
    <cfRule type="containsText" dxfId="3" priority="8" operator="between" text="库存">
      <formula>NOT(ISERROR(SEARCH("库存",AS131)))</formula>
    </cfRule>
  </conditionalFormatting>
  <conditionalFormatting sqref="AS132">
    <cfRule type="cellIs" dxfId="0" priority="273" operator="lessThan">
      <formula>20</formula>
    </cfRule>
    <cfRule type="cellIs" dxfId="1" priority="140" operator="greaterThan">
      <formula>120</formula>
    </cfRule>
    <cfRule type="containsText" dxfId="3" priority="7" operator="between" text="库存">
      <formula>NOT(ISERROR(SEARCH("库存",AS132)))</formula>
    </cfRule>
  </conditionalFormatting>
  <conditionalFormatting sqref="AS133">
    <cfRule type="cellIs" dxfId="0" priority="272" operator="lessThan">
      <formula>20</formula>
    </cfRule>
    <cfRule type="cellIs" dxfId="1" priority="139" operator="greaterThan">
      <formula>120</formula>
    </cfRule>
    <cfRule type="containsText" dxfId="3" priority="6" operator="between" text="库存">
      <formula>NOT(ISERROR(SEARCH("库存",AS133)))</formula>
    </cfRule>
  </conditionalFormatting>
  <conditionalFormatting sqref="AS134">
    <cfRule type="cellIs" dxfId="0" priority="271" operator="lessThan">
      <formula>20</formula>
    </cfRule>
    <cfRule type="cellIs" dxfId="1" priority="138" operator="greaterThan">
      <formula>120</formula>
    </cfRule>
    <cfRule type="containsText" dxfId="3" priority="5" operator="between" text="库存">
      <formula>NOT(ISERROR(SEARCH("库存",AS134)))</formula>
    </cfRule>
  </conditionalFormatting>
  <conditionalFormatting sqref="AS135">
    <cfRule type="cellIs" dxfId="0" priority="270" operator="lessThan">
      <formula>20</formula>
    </cfRule>
    <cfRule type="cellIs" dxfId="1" priority="137" operator="greaterThan">
      <formula>120</formula>
    </cfRule>
    <cfRule type="containsText" dxfId="3" priority="4" operator="between" text="库存">
      <formula>NOT(ISERROR(SEARCH("库存",AS135)))</formula>
    </cfRule>
  </conditionalFormatting>
  <conditionalFormatting sqref="AS136">
    <cfRule type="cellIs" dxfId="0" priority="269" operator="lessThan">
      <formula>20</formula>
    </cfRule>
    <cfRule type="cellIs" dxfId="1" priority="136" operator="greaterThan">
      <formula>120</formula>
    </cfRule>
    <cfRule type="containsText" dxfId="3" priority="3" operator="between" text="库存">
      <formula>NOT(ISERROR(SEARCH("库存",AS136)))</formula>
    </cfRule>
  </conditionalFormatting>
  <conditionalFormatting sqref="AS137">
    <cfRule type="cellIs" dxfId="0" priority="268" operator="lessThan">
      <formula>20</formula>
    </cfRule>
    <cfRule type="cellIs" dxfId="1" priority="135" operator="greaterThan">
      <formula>120</formula>
    </cfRule>
    <cfRule type="containsText" dxfId="3" priority="2" operator="between" text="库存">
      <formula>NOT(ISERROR(SEARCH("库存",AS137)))</formula>
    </cfRule>
  </conditionalFormatting>
  <conditionalFormatting sqref="AS138">
    <cfRule type="cellIs" dxfId="0" priority="267" operator="lessThan">
      <formula>20</formula>
    </cfRule>
    <cfRule type="cellIs" dxfId="1" priority="134" operator="greaterThan">
      <formula>120</formula>
    </cfRule>
    <cfRule type="containsText" dxfId="3" priority="1" operator="between" text="库存">
      <formula>NOT(ISERROR(SEARCH("库存",AS138)))</formula>
    </cfRule>
  </conditionalFormatting>
  <conditionalFormatting sqref="AS139">
    <cfRule type="cellIs" dxfId="0" priority="3152" operator="lessThan">
      <formula>20</formula>
    </cfRule>
    <cfRule type="cellIs" dxfId="1" priority="2999" operator="greaterThan">
      <formula>120</formula>
    </cfRule>
    <cfRule type="containsText" dxfId="3" priority="2846" operator="between" text="库存">
      <formula>NOT(ISERROR(SEARCH("库存",AS139)))</formula>
    </cfRule>
  </conditionalFormatting>
  <conditionalFormatting sqref="AS140">
    <cfRule type="cellIs" dxfId="0" priority="3151" operator="lessThan">
      <formula>20</formula>
    </cfRule>
    <cfRule type="cellIs" dxfId="1" priority="2998" operator="greaterThan">
      <formula>120</formula>
    </cfRule>
    <cfRule type="containsText" dxfId="3" priority="2845" operator="between" text="库存">
      <formula>NOT(ISERROR(SEARCH("库存",AS140)))</formula>
    </cfRule>
  </conditionalFormatting>
  <conditionalFormatting sqref="AS141">
    <cfRule type="cellIs" dxfId="0" priority="3150" operator="lessThan">
      <formula>20</formula>
    </cfRule>
    <cfRule type="cellIs" dxfId="1" priority="2997" operator="greaterThan">
      <formula>120</formula>
    </cfRule>
    <cfRule type="containsText" dxfId="3" priority="2844" operator="between" text="库存">
      <formula>NOT(ISERROR(SEARCH("库存",AS141)))</formula>
    </cfRule>
  </conditionalFormatting>
  <conditionalFormatting sqref="AS142">
    <cfRule type="cellIs" dxfId="0" priority="3149" operator="lessThan">
      <formula>20</formula>
    </cfRule>
    <cfRule type="cellIs" dxfId="1" priority="2996" operator="greaterThan">
      <formula>120</formula>
    </cfRule>
    <cfRule type="containsText" dxfId="3" priority="2843" operator="between" text="库存">
      <formula>NOT(ISERROR(SEARCH("库存",AS142)))</formula>
    </cfRule>
  </conditionalFormatting>
  <conditionalFormatting sqref="AS143">
    <cfRule type="cellIs" dxfId="0" priority="3148" operator="lessThan">
      <formula>20</formula>
    </cfRule>
    <cfRule type="cellIs" dxfId="1" priority="2995" operator="greaterThan">
      <formula>120</formula>
    </cfRule>
    <cfRule type="containsText" dxfId="3" priority="2842" operator="between" text="库存">
      <formula>NOT(ISERROR(SEARCH("库存",AS143)))</formula>
    </cfRule>
  </conditionalFormatting>
  <conditionalFormatting sqref="AS144">
    <cfRule type="cellIs" dxfId="0" priority="3147" operator="lessThan">
      <formula>20</formula>
    </cfRule>
    <cfRule type="cellIs" dxfId="1" priority="2994" operator="greaterThan">
      <formula>120</formula>
    </cfRule>
    <cfRule type="containsText" dxfId="3" priority="2841" operator="between" text="库存">
      <formula>NOT(ISERROR(SEARCH("库存",AS144)))</formula>
    </cfRule>
  </conditionalFormatting>
  <conditionalFormatting sqref="AS145">
    <cfRule type="cellIs" dxfId="0" priority="3146" operator="lessThan">
      <formula>20</formula>
    </cfRule>
    <cfRule type="cellIs" dxfId="1" priority="2993" operator="greaterThan">
      <formula>120</formula>
    </cfRule>
    <cfRule type="containsText" dxfId="3" priority="2840" operator="between" text="库存">
      <formula>NOT(ISERROR(SEARCH("库存",AS145)))</formula>
    </cfRule>
  </conditionalFormatting>
  <conditionalFormatting sqref="AS146">
    <cfRule type="cellIs" dxfId="0" priority="3145" operator="lessThan">
      <formula>20</formula>
    </cfRule>
    <cfRule type="cellIs" dxfId="1" priority="2992" operator="greaterThan">
      <formula>120</formula>
    </cfRule>
    <cfRule type="containsText" dxfId="3" priority="2839" operator="between" text="库存">
      <formula>NOT(ISERROR(SEARCH("库存",AS146)))</formula>
    </cfRule>
  </conditionalFormatting>
  <conditionalFormatting sqref="AS147">
    <cfRule type="cellIs" dxfId="0" priority="3144" operator="lessThan">
      <formula>20</formula>
    </cfRule>
    <cfRule type="cellIs" dxfId="1" priority="2991" operator="greaterThan">
      <formula>120</formula>
    </cfRule>
    <cfRule type="containsText" dxfId="3" priority="2838" operator="between" text="库存">
      <formula>NOT(ISERROR(SEARCH("库存",AS147)))</formula>
    </cfRule>
  </conditionalFormatting>
  <conditionalFormatting sqref="AS148">
    <cfRule type="cellIs" dxfId="0" priority="3143" operator="lessThan">
      <formula>20</formula>
    </cfRule>
    <cfRule type="cellIs" dxfId="1" priority="2990" operator="greaterThan">
      <formula>120</formula>
    </cfRule>
    <cfRule type="containsText" dxfId="3" priority="2837" operator="between" text="库存">
      <formula>NOT(ISERROR(SEARCH("库存",AS148)))</formula>
    </cfRule>
  </conditionalFormatting>
  <conditionalFormatting sqref="AS149">
    <cfRule type="cellIs" dxfId="0" priority="3142" operator="lessThan">
      <formula>20</formula>
    </cfRule>
    <cfRule type="cellIs" dxfId="1" priority="2989" operator="greaterThan">
      <formula>120</formula>
    </cfRule>
    <cfRule type="containsText" dxfId="3" priority="2836" operator="between" text="库存">
      <formula>NOT(ISERROR(SEARCH("库存",AS149)))</formula>
    </cfRule>
  </conditionalFormatting>
  <conditionalFormatting sqref="AS150">
    <cfRule type="cellIs" dxfId="0" priority="3141" operator="lessThan">
      <formula>20</formula>
    </cfRule>
    <cfRule type="cellIs" dxfId="1" priority="2988" operator="greaterThan">
      <formula>120</formula>
    </cfRule>
    <cfRule type="containsText" dxfId="3" priority="2835" operator="between" text="库存">
      <formula>NOT(ISERROR(SEARCH("库存",AS150)))</formula>
    </cfRule>
  </conditionalFormatting>
  <conditionalFormatting sqref="AS151">
    <cfRule type="cellIs" dxfId="0" priority="3140" operator="lessThan">
      <formula>20</formula>
    </cfRule>
    <cfRule type="cellIs" dxfId="1" priority="2987" operator="greaterThan">
      <formula>120</formula>
    </cfRule>
    <cfRule type="containsText" dxfId="3" priority="2834" operator="between" text="库存">
      <formula>NOT(ISERROR(SEARCH("库存",AS151)))</formula>
    </cfRule>
  </conditionalFormatting>
  <conditionalFormatting sqref="AS152">
    <cfRule type="cellIs" dxfId="0" priority="3139" operator="lessThan">
      <formula>20</formula>
    </cfRule>
    <cfRule type="cellIs" dxfId="1" priority="2986" operator="greaterThan">
      <formula>120</formula>
    </cfRule>
    <cfRule type="containsText" dxfId="3" priority="2833" operator="between" text="库存">
      <formula>NOT(ISERROR(SEARCH("库存",AS152)))</formula>
    </cfRule>
  </conditionalFormatting>
  <conditionalFormatting sqref="AS153">
    <cfRule type="cellIs" dxfId="0" priority="3138" operator="lessThan">
      <formula>20</formula>
    </cfRule>
    <cfRule type="cellIs" dxfId="1" priority="2985" operator="greaterThan">
      <formula>120</formula>
    </cfRule>
    <cfRule type="containsText" dxfId="3" priority="2832" operator="between" text="库存">
      <formula>NOT(ISERROR(SEARCH("库存",AS153)))</formula>
    </cfRule>
  </conditionalFormatting>
  <conditionalFormatting sqref="AS154">
    <cfRule type="cellIs" dxfId="0" priority="3137" operator="lessThan">
      <formula>20</formula>
    </cfRule>
    <cfRule type="cellIs" dxfId="1" priority="2984" operator="greaterThan">
      <formula>120</formula>
    </cfRule>
    <cfRule type="containsText" dxfId="3" priority="2831" operator="between" text="库存">
      <formula>NOT(ISERROR(SEARCH("库存",AS154)))</formula>
    </cfRule>
  </conditionalFormatting>
  <conditionalFormatting sqref="AS155">
    <cfRule type="cellIs" dxfId="0" priority="3136" operator="lessThan">
      <formula>20</formula>
    </cfRule>
    <cfRule type="cellIs" dxfId="1" priority="2983" operator="greaterThan">
      <formula>120</formula>
    </cfRule>
    <cfRule type="containsText" dxfId="3" priority="2830" operator="between" text="库存">
      <formula>NOT(ISERROR(SEARCH("库存",AS155)))</formula>
    </cfRule>
  </conditionalFormatting>
  <conditionalFormatting sqref="AS156">
    <cfRule type="cellIs" dxfId="0" priority="3135" operator="lessThan">
      <formula>20</formula>
    </cfRule>
    <cfRule type="cellIs" dxfId="1" priority="2982" operator="greaterThan">
      <formula>120</formula>
    </cfRule>
    <cfRule type="containsText" dxfId="3" priority="2829" operator="between" text="库存">
      <formula>NOT(ISERROR(SEARCH("库存",AS156)))</formula>
    </cfRule>
  </conditionalFormatting>
  <conditionalFormatting sqref="AS157">
    <cfRule type="cellIs" dxfId="0" priority="3134" operator="lessThan">
      <formula>20</formula>
    </cfRule>
    <cfRule type="cellIs" dxfId="1" priority="2981" operator="greaterThan">
      <formula>120</formula>
    </cfRule>
    <cfRule type="containsText" dxfId="3" priority="2828" operator="between" text="库存">
      <formula>NOT(ISERROR(SEARCH("库存",AS157)))</formula>
    </cfRule>
  </conditionalFormatting>
  <conditionalFormatting sqref="AS158">
    <cfRule type="cellIs" dxfId="0" priority="3133" operator="lessThan">
      <formula>20</formula>
    </cfRule>
    <cfRule type="cellIs" dxfId="1" priority="2980" operator="greaterThan">
      <formula>120</formula>
    </cfRule>
    <cfRule type="containsText" dxfId="3" priority="2827" operator="between" text="库存">
      <formula>NOT(ISERROR(SEARCH("库存",AS158)))</formula>
    </cfRule>
  </conditionalFormatting>
  <conditionalFormatting sqref="AS1 AS3:AS5 AS159:AS1048576">
    <cfRule type="containsText" dxfId="3" priority="3289" operator="between" text="库存">
      <formula>NOT(ISERROR(SEARCH("库存",AS1)))</formula>
    </cfRule>
    <cfRule type="cellIs" dxfId="1" priority="3290" operator="greaterThan">
      <formula>120</formula>
    </cfRule>
    <cfRule type="cellIs" dxfId="0" priority="3291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669</v>
      </c>
      <c r="B1" s="1">
        <f>B12</f>
        <v>43297</v>
      </c>
    </row>
    <row r="2" spans="1:2">
      <c r="A2" t="s">
        <v>670</v>
      </c>
      <c r="B2" s="1">
        <v>43324</v>
      </c>
    </row>
    <row r="4" spans="1:2">
      <c r="A4" t="s">
        <v>671</v>
      </c>
      <c r="B4" s="2">
        <f>B2+1</f>
        <v>43325</v>
      </c>
    </row>
    <row r="5" spans="1:2">
      <c r="A5" t="s">
        <v>672</v>
      </c>
      <c r="B5" s="3">
        <f>B2</f>
        <v>43324</v>
      </c>
    </row>
    <row r="6" spans="1:2">
      <c r="A6" t="s">
        <v>673</v>
      </c>
      <c r="B6" s="2">
        <f>B5-6</f>
        <v>43318</v>
      </c>
    </row>
    <row r="7" spans="1:2">
      <c r="A7" t="s">
        <v>674</v>
      </c>
      <c r="B7" s="2">
        <f>B5-7</f>
        <v>43317</v>
      </c>
    </row>
    <row r="8" spans="1:2">
      <c r="A8" t="s">
        <v>675</v>
      </c>
      <c r="B8" s="2">
        <f>B5-13</f>
        <v>43311</v>
      </c>
    </row>
    <row r="9" spans="1:2">
      <c r="A9" t="s">
        <v>676</v>
      </c>
      <c r="B9" s="2">
        <f>B5-14</f>
        <v>43310</v>
      </c>
    </row>
    <row r="10" spans="1:2">
      <c r="A10" t="s">
        <v>677</v>
      </c>
      <c r="B10" s="2">
        <f>B5-20</f>
        <v>43304</v>
      </c>
    </row>
    <row r="11" spans="1:2">
      <c r="A11" t="s">
        <v>678</v>
      </c>
      <c r="B11" s="2">
        <f>B5-21</f>
        <v>43303</v>
      </c>
    </row>
    <row r="12" spans="1:2">
      <c r="A12" t="s">
        <v>679</v>
      </c>
      <c r="B12" s="2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2018-08-14T09:32:15Z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