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<sst xmlns="http://schemas.openxmlformats.org/spreadsheetml/2006/main" count="1816">
  <si>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</si>
  <si>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</si>
  <si>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</si>
  <si>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</si>
  <si>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</si>
  <si>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</si>
  <si>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</si>
  <si>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</si>
  <si>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</si>
  <si>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</si>
  <si>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</si>
  <si>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</si>
  <si>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</si>
  <si>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</si>
  <si>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</si>
  <si>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</si>
  <si>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</si>
  <si>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</si>
  <si>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</si>
  <si>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</si>
  <si>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</si>
  <si>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</si>
  <si>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</si>
  <si>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</si>
  <si>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</si>
  <si>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</si>
  <si>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</si>
  <si>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</si>
  <si>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</si>
  <si>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</si>
  <si>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</si>
  <si>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</si>
  <si>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</si>
  <si>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</si>
  <si>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</si>
  <si>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</si>
  <si>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</si>
  <si>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</si>
  <si>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</si>
  <si>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</si>
  <si>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</si>
  <si>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</si>
  <si>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</si>
  <si>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</si>
  <si>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</si>
  <si>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</si>
  <si>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</si>
  <si>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</si>
  <si>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</si>
  <si>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</si>
  <si>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</si>
  <si>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</si>
  <si>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B07BLQFM2G</t>
  </si>
  <si>
    <t>AQD-IUYL330</t>
  </si>
  <si>
    <t/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</si>
  <si>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</si>
  <si>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</si>
  <si>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</si>
  <si>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</si>
  <si>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</si>
  <si>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</si>
  <si>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</si>
  <si>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</si>
  <si>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</si>
  <si>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</si>
  <si>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</si>
  <si>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</si>
  <si>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</si>
  <si>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</si>
  <si>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</si>
  <si>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</si>
  <si>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</si>
  <si>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</si>
  <si>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</si>
  <si>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</si>
  <si>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</si>
  <si>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</si>
  <si>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</si>
  <si>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</si>
  <si>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</si>
  <si>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</si>
  <si>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</si>
  <si>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</si>
  <si>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</si>
  <si>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BBBD-1605A-BL</t>
  </si>
  <si>
    <t>B07D8S8R3B</t>
  </si>
  <si>
    <t>BBBD-1605A</t>
  </si>
  <si>
    <t>BBBD-1605A-RD</t>
  </si>
  <si>
    <t>B07C178M2R</t>
  </si>
  <si>
    <t>BBBD-BUSB1605A-BL</t>
  </si>
  <si>
    <t>B07C1KW5X1</t>
  </si>
  <si>
    <t>BBBD-BUSB1605</t>
  </si>
  <si>
    <t>BBBD-BUSB1605A-CF</t>
  </si>
  <si>
    <t>B07C1LYHW7</t>
  </si>
  <si>
    <t>BBBD-BUSB1605A-PK</t>
  </si>
  <si>
    <t>B07CBNM1H4</t>
  </si>
  <si>
    <t>BBBD-BUSB1605A-RD</t>
  </si>
  <si>
    <t>BBBD-BUSB1605B-BL</t>
  </si>
  <si>
    <t>B07C178LY1</t>
  </si>
  <si>
    <t>BBBD-BUSB1605B-PK</t>
  </si>
  <si>
    <t>B07C1KX15Z</t>
  </si>
  <si>
    <t>BBBD-BUSB1605B-RD</t>
  </si>
  <si>
    <t>B07CBPY63R</t>
  </si>
  <si>
    <t>BD-LUHM010</t>
  </si>
  <si>
    <t>B07DJ8MH2Q</t>
  </si>
  <si>
    <t>BD-PUHM101-B0-L</t>
  </si>
  <si>
    <t>B077P3W5CY</t>
  </si>
  <si>
    <t>BD-PUHM101</t>
  </si>
  <si>
    <t>BD-PUHM101-B0-M</t>
  </si>
  <si>
    <t>B077PGPW9C</t>
  </si>
  <si>
    <t>BD-PUHM101-B0-S</t>
  </si>
  <si>
    <t>B077P4NDQF</t>
  </si>
  <si>
    <t>BD-PUHM101-B0-XL</t>
  </si>
  <si>
    <t>B077PGPQKQ</t>
  </si>
  <si>
    <t>BD-PUHM101-G0-L</t>
  </si>
  <si>
    <t>B077PBYWZS</t>
  </si>
  <si>
    <t>BD-PUHM101-G0-M</t>
  </si>
  <si>
    <t>B077PC5BGR</t>
  </si>
  <si>
    <t>BD-PUHM101-G0-S</t>
  </si>
  <si>
    <t>B077P4BJ4R</t>
  </si>
  <si>
    <t>BD-PUHM101-G0-XL</t>
  </si>
  <si>
    <t>B077PGDGHH</t>
  </si>
  <si>
    <t>BD-PUHM101-K0-L</t>
  </si>
  <si>
    <t>B077PGJY38</t>
  </si>
  <si>
    <t>BD-PUHM101-K0-M</t>
  </si>
  <si>
    <t>B077P832FW</t>
  </si>
  <si>
    <t>BD-PUHM101-K0-S</t>
  </si>
  <si>
    <t>B07846LZTV</t>
  </si>
  <si>
    <t>BD-PUHM101-K0-XL</t>
  </si>
  <si>
    <t>B077P4DY6N</t>
  </si>
  <si>
    <t>BD-PUHM101-R0-L</t>
  </si>
  <si>
    <t>B077P98RR5</t>
  </si>
  <si>
    <t>BD-PUHM101-R0-M</t>
  </si>
  <si>
    <t>B077PBWY75</t>
  </si>
  <si>
    <t>BD-PUHM101-R0-S</t>
  </si>
  <si>
    <t>B077PC5F9V</t>
  </si>
  <si>
    <t>BD-PUHM101-R0-XL</t>
  </si>
  <si>
    <t>B07844VFWQ</t>
  </si>
  <si>
    <t>BD-PUHM201-B0-L</t>
  </si>
  <si>
    <t>B07G842QN1</t>
  </si>
  <si>
    <t>BD-PUHM201-B0-M</t>
  </si>
  <si>
    <t>B07G88D94R</t>
  </si>
  <si>
    <t>BD-PUHM201-B0-S</t>
  </si>
  <si>
    <t>B07G87YQRD</t>
  </si>
  <si>
    <t>BD-PUHM201-B0-XL</t>
  </si>
  <si>
    <t>B07G8CSMPR</t>
  </si>
  <si>
    <t>BD-PUHM201-G0-L</t>
  </si>
  <si>
    <t>B07G82SHTJ</t>
  </si>
  <si>
    <t>BD-PUHM201-G0-M</t>
  </si>
  <si>
    <t>B07G8BZMCG</t>
  </si>
  <si>
    <t>BD-PUHM201-G0-S</t>
  </si>
  <si>
    <t>B07G86KD95</t>
  </si>
  <si>
    <t>BD-PUHM201-G0-XL</t>
  </si>
  <si>
    <t>B07G87S5PJ</t>
  </si>
  <si>
    <t>BD-PUHM201-K0-L</t>
  </si>
  <si>
    <t>B07G85ZBV7</t>
  </si>
  <si>
    <t>BD-PUHM201-K0-M</t>
  </si>
  <si>
    <t>B07G8BCJ9V</t>
  </si>
  <si>
    <t>BD-PUHM201-K0-S</t>
  </si>
  <si>
    <t>B07G87M8VK</t>
  </si>
  <si>
    <t>BD-PUHM201-K0-XL</t>
  </si>
  <si>
    <t>B07G88YHSW</t>
  </si>
  <si>
    <t>BD-PUHM201-R0-L</t>
  </si>
  <si>
    <t>B07G86R9SY</t>
  </si>
  <si>
    <t>BD-PUHM201-R0-M</t>
  </si>
  <si>
    <t>B07G87WF37</t>
  </si>
  <si>
    <t>BD-PUHM201-R0-S</t>
  </si>
  <si>
    <t>B07G8825R5</t>
  </si>
  <si>
    <t>BD-PUHM201-R0-XL</t>
  </si>
  <si>
    <t>B07G88D94Y</t>
  </si>
  <si>
    <t>BX-PUHM000-G0-2XL</t>
  </si>
  <si>
    <t>B077GTSZMW</t>
  </si>
  <si>
    <t>BX-PUHM000</t>
  </si>
  <si>
    <t>BX-PUHM000-G0-3XL</t>
  </si>
  <si>
    <t>B077GSM1VR</t>
  </si>
  <si>
    <t>BX-PUHM000-G0-4XL</t>
  </si>
  <si>
    <t>B077GTC3DD</t>
  </si>
  <si>
    <t>BX-PUHM000-G0-5XL</t>
  </si>
  <si>
    <t>B077GVPYG5</t>
  </si>
  <si>
    <t>BX-PUHM000-G0-L</t>
  </si>
  <si>
    <t>B077GVL6JJ</t>
  </si>
  <si>
    <t>BX-PUHM000-G0-M</t>
  </si>
  <si>
    <t>B077GSWBSF</t>
  </si>
  <si>
    <t>BX-PUHM000-G0-S</t>
  </si>
  <si>
    <t>B077GTG3DN</t>
  </si>
  <si>
    <t>BX-PUHM000-G0-XL</t>
  </si>
  <si>
    <t>B077GV12XZ</t>
  </si>
  <si>
    <t>BX-PUHM000-OR-2XL</t>
  </si>
  <si>
    <t>B077GTTW6F</t>
  </si>
  <si>
    <t>BX-PUHM000-OR-3XL</t>
  </si>
  <si>
    <t>B077GVFQ2V</t>
  </si>
  <si>
    <t>BX-PUHM000-OR-4XL</t>
  </si>
  <si>
    <t>B077GTT4DB</t>
  </si>
  <si>
    <t>BX-PUHM000-OR-5XL</t>
  </si>
  <si>
    <t>B077GTB515</t>
  </si>
  <si>
    <t>BX-PUHM000-OR-L</t>
  </si>
  <si>
    <t>B077GSTK1N</t>
  </si>
  <si>
    <t>BX-PUHM000-OR-M</t>
  </si>
  <si>
    <t>B077GTHYN3</t>
  </si>
  <si>
    <t>BX-PUHM000-OR-S</t>
  </si>
  <si>
    <t>B077GTPRNJ</t>
  </si>
  <si>
    <t>BX-PUHM000-OR-XL</t>
  </si>
  <si>
    <t>B077GWG4J3</t>
  </si>
  <si>
    <t>BX-PUHM000-P0-2XL</t>
  </si>
  <si>
    <t>B077GTQ56H</t>
  </si>
  <si>
    <t>BX-PUHM000-P0-3XL</t>
  </si>
  <si>
    <t>B077GVTVC3</t>
  </si>
  <si>
    <t>BX-PUHM000-P0-4XL</t>
  </si>
  <si>
    <t>B077GTDGCX</t>
  </si>
  <si>
    <t>BX-PUHM000-P0-5XL</t>
  </si>
  <si>
    <t>B077GT9Y32</t>
  </si>
  <si>
    <t>BX-PUHM000-P0-L</t>
  </si>
  <si>
    <t>B077GV55BL</t>
  </si>
  <si>
    <t>BX-PUHM000-P0-M</t>
  </si>
  <si>
    <t>B077GTMLLQ</t>
  </si>
  <si>
    <t>BX-PUHM000-P0-S</t>
  </si>
  <si>
    <t>B077GVH6DL</t>
  </si>
  <si>
    <t>BX-PUHM000-P0-XL</t>
  </si>
  <si>
    <t>B077GV5S1X</t>
  </si>
  <si>
    <t>BX-PUHM000-PI-2XL</t>
  </si>
  <si>
    <t>B077GTR5GP</t>
  </si>
  <si>
    <t>BX-PUHM000-PI-3XL</t>
  </si>
  <si>
    <t>B077GVB9QZ</t>
  </si>
  <si>
    <t>BX-PUHM000-PI-4XL</t>
  </si>
  <si>
    <t>B077GVDKL1</t>
  </si>
  <si>
    <t>BX-PUHM000-PI-5XL</t>
  </si>
  <si>
    <t>B077GVKJ5G</t>
  </si>
  <si>
    <t>BX-PUHM000-PI-L</t>
  </si>
  <si>
    <t>B077GVHM6C</t>
  </si>
  <si>
    <t>BX-PUHM000-PI-M</t>
  </si>
  <si>
    <t>B077GSRQ2X</t>
  </si>
  <si>
    <t>BX-PUHM000-PI-S</t>
  </si>
  <si>
    <t>B077GVG5Y9</t>
  </si>
  <si>
    <t>BX-PUHM000-PI-XL</t>
  </si>
  <si>
    <t>B077GTSW3V</t>
  </si>
  <si>
    <t>BX-PUHM000-R0-2XL</t>
  </si>
  <si>
    <t>B077GT5NM7</t>
  </si>
  <si>
    <t>BX-PUHM000-R0-3XL</t>
  </si>
  <si>
    <t>B077GW6SRH</t>
  </si>
  <si>
    <t>BX-PUHM000-R0-4XL</t>
  </si>
  <si>
    <t>B077GTCV4D</t>
  </si>
  <si>
    <t>BX-PUHM000-R0-5XL</t>
  </si>
  <si>
    <t>B077GVRC8H</t>
  </si>
  <si>
    <t>BX-PUHM000-R0-L</t>
  </si>
  <si>
    <t>B077GSNNT7</t>
  </si>
  <si>
    <t>BX-PUHM000-R0-M</t>
  </si>
  <si>
    <t>B077GVTBNL</t>
  </si>
  <si>
    <t>BX-PUHM000-R0-S</t>
  </si>
  <si>
    <t>B077GVHXJF</t>
  </si>
  <si>
    <t>BX-PUHM000-R0-XL</t>
  </si>
  <si>
    <t>B077GWKKJ5</t>
  </si>
  <si>
    <t>BX-PUHM001-B0-L</t>
  </si>
  <si>
    <t>B077YZQ4GF</t>
  </si>
  <si>
    <t>BX-PUHM001</t>
  </si>
  <si>
    <t>BX-PUHM001-B0-M</t>
  </si>
  <si>
    <t>B077YZMM76</t>
  </si>
  <si>
    <t>BX-PUHM001-B0-S</t>
  </si>
  <si>
    <t>B077YTW39Y</t>
  </si>
  <si>
    <t>BX-PUHM001-B0-XL</t>
  </si>
  <si>
    <t>B077Z2SC65</t>
  </si>
  <si>
    <t>BX-PUHM001-B0-XS</t>
  </si>
  <si>
    <t>B077Z4BQV3</t>
  </si>
  <si>
    <t>BX-PUHM001-OR-L</t>
  </si>
  <si>
    <t>B077Z3273G</t>
  </si>
  <si>
    <t>BX-PUHM001-OR-M</t>
  </si>
  <si>
    <t>B077YTVL49</t>
  </si>
  <si>
    <t>BX-PUHM001-OR-S</t>
  </si>
  <si>
    <t>B077YZQ6PF</t>
  </si>
  <si>
    <t>BX-PUHM001-OR-XL</t>
  </si>
  <si>
    <t>B0785NGDM9</t>
  </si>
  <si>
    <t>BX-PUHM001-OR-XS</t>
  </si>
  <si>
    <t>B077YZQ53K</t>
  </si>
  <si>
    <t>BX-PUHM001-R0-L</t>
  </si>
  <si>
    <t>B077Z5XVCP</t>
  </si>
  <si>
    <t>BX-PUHM001-R0-M</t>
  </si>
  <si>
    <t>B077YZQDR4</t>
  </si>
  <si>
    <t>BX-PUHM001-R0-S</t>
  </si>
  <si>
    <t>B077Z32JMZ</t>
  </si>
  <si>
    <t>BX-PUHM001-R0-XL</t>
  </si>
  <si>
    <t>B077YZMR5R</t>
  </si>
  <si>
    <t>BX-PUHM001-R0-XS</t>
  </si>
  <si>
    <t>B077YZMH2D</t>
  </si>
  <si>
    <t>BX-PUHM200-G0-2XL</t>
  </si>
  <si>
    <t>B07G8B96XM</t>
  </si>
  <si>
    <t>BX-PUHM200-G0-3XL</t>
  </si>
  <si>
    <t>B07G8873P1</t>
  </si>
  <si>
    <t>BX-PUHM200-G0-4XL</t>
  </si>
  <si>
    <t>B07G7Z325K</t>
  </si>
  <si>
    <t>BX-PUHM200-G0-5XL</t>
  </si>
  <si>
    <t>B07G87BW2Q</t>
  </si>
  <si>
    <t>BX-PUHM200-G0-L</t>
  </si>
  <si>
    <t>B07G8FCDTB</t>
  </si>
  <si>
    <t>BX-PUHM200-G0-M</t>
  </si>
  <si>
    <t>B07G8B6VBK</t>
  </si>
  <si>
    <t>BX-PUHM200-G0-S</t>
  </si>
  <si>
    <t>B07G8BZMCQ</t>
  </si>
  <si>
    <t>BX-PUHM200-G0-XL</t>
  </si>
  <si>
    <t>B07G85D4HH</t>
  </si>
  <si>
    <t>BX-PUHM200-OR-2XL</t>
  </si>
  <si>
    <t>B07G7XP35T</t>
  </si>
  <si>
    <t>BX-PUHM200-OR-3XL</t>
  </si>
  <si>
    <t>B07G87F72Y</t>
  </si>
  <si>
    <t>BX-PUHM200-OR-4XL</t>
  </si>
  <si>
    <t>B07G86SWG2</t>
  </si>
  <si>
    <t>BX-PUHM200-OR-5XL</t>
  </si>
  <si>
    <t>B07G8B8WV9</t>
  </si>
  <si>
    <t>BX-PUHM200-OR-L</t>
  </si>
  <si>
    <t>B07G854SQK</t>
  </si>
  <si>
    <t>BX-PUHM200-OR-M</t>
  </si>
  <si>
    <t>B07G81CXYK</t>
  </si>
  <si>
    <t>BX-PUHM200-OR-S</t>
  </si>
  <si>
    <t>B07G87PK96</t>
  </si>
  <si>
    <t>BX-PUHM200-OR-XL</t>
  </si>
  <si>
    <t>B07G8979YQ</t>
  </si>
  <si>
    <t>BX-PUHM200-P0-2XL</t>
  </si>
  <si>
    <t>B07G84FG9M</t>
  </si>
  <si>
    <t>BX-PUHM200-P0-3XL</t>
  </si>
  <si>
    <t>B07G7XN4DC</t>
  </si>
  <si>
    <t>BX-PUHM200-P0-4XL</t>
  </si>
  <si>
    <t>B07G88FY9B</t>
  </si>
  <si>
    <t>BX-PUHM200-P0-5XL</t>
  </si>
  <si>
    <t>B07G87WF3V</t>
  </si>
  <si>
    <t>BX-PUHM200-P0-L</t>
  </si>
  <si>
    <t>B07G854LFX</t>
  </si>
  <si>
    <t>BX-PUHM200-P0-M</t>
  </si>
  <si>
    <t>B07G8FXJDG</t>
  </si>
  <si>
    <t>BX-PUHM200-P0-S</t>
  </si>
  <si>
    <t>B07G86XM5W</t>
  </si>
  <si>
    <t>BX-PUHM200-P0-XL</t>
  </si>
  <si>
    <t>B07G8BZMCX</t>
  </si>
  <si>
    <t>BX-PUHM200-PI-2XL</t>
  </si>
  <si>
    <t>B07G85ZBVC</t>
  </si>
  <si>
    <t>BX-PUHM200-PI-3XL</t>
  </si>
  <si>
    <t>B07G86P16C</t>
  </si>
  <si>
    <t>BX-PUHM200-PI-4XL</t>
  </si>
  <si>
    <t>B07G891KXC</t>
  </si>
  <si>
    <t>BX-PUHM200-PI-5XL</t>
  </si>
  <si>
    <t>B07G86QZNH</t>
  </si>
  <si>
    <t>BX-PUHM200-PI-L</t>
  </si>
  <si>
    <t>B07G83F1B3</t>
  </si>
  <si>
    <t>BX-PUHM200-PI-M</t>
  </si>
  <si>
    <t>B07G875QLK</t>
  </si>
  <si>
    <t>BX-PUHM200-PI-S</t>
  </si>
  <si>
    <t>B07G86CCQQ</t>
  </si>
  <si>
    <t>BX-PUHM200-PI-XL</t>
  </si>
  <si>
    <t>B07G84PNN3</t>
  </si>
  <si>
    <t>BX-PUHM200-R0-2XL</t>
  </si>
  <si>
    <t>B07G84GD1R</t>
  </si>
  <si>
    <t>BX-PUHM200-R0-3XL</t>
  </si>
  <si>
    <t>B07G84WNJP</t>
  </si>
  <si>
    <t>BX-PUHM200-R0-4XL</t>
  </si>
  <si>
    <t>B07G85877R</t>
  </si>
  <si>
    <t>BX-PUHM200-R0-5XL</t>
  </si>
  <si>
    <t>B07G82HZKM</t>
  </si>
  <si>
    <t>BX-PUHM200-R0-L</t>
  </si>
  <si>
    <t>B07G858XB6</t>
  </si>
  <si>
    <t>BX-PUHM200-R0-M</t>
  </si>
  <si>
    <t>B07G8BKBWW</t>
  </si>
  <si>
    <t>BX-PUHM200-R0-S</t>
  </si>
  <si>
    <t>B07G87TJM3</t>
  </si>
  <si>
    <t>BX-PUHM200-R0-XL</t>
  </si>
  <si>
    <t>B07G862XWH</t>
  </si>
  <si>
    <t>BX-PUHM201-B0-L</t>
  </si>
  <si>
    <t>B07G85JS27</t>
  </si>
  <si>
    <t>BX-PUHM201-B0-M</t>
  </si>
  <si>
    <t>B07G84D2D3</t>
  </si>
  <si>
    <t>BX-PUHM201-B0-S</t>
  </si>
  <si>
    <t>B07G857GKJ</t>
  </si>
  <si>
    <t>BX-PUHM201-B0-XL</t>
  </si>
  <si>
    <t>B07G7XG4M1</t>
  </si>
  <si>
    <t>BX-PUHM201-B0-XS</t>
  </si>
  <si>
    <t>B07G86V4F2</t>
  </si>
  <si>
    <t>BX-PUHM201-OR-L</t>
  </si>
  <si>
    <t>B07G81N1M8</t>
  </si>
  <si>
    <t>BX-PUHM201-OR-M</t>
  </si>
  <si>
    <t>B07G87NJP8</t>
  </si>
  <si>
    <t>BX-PUHM201-OR-S</t>
  </si>
  <si>
    <t>B07G8CQDZC</t>
  </si>
  <si>
    <t>BX-PUHM201-OR-XL</t>
  </si>
  <si>
    <t>B07G85JS2B</t>
  </si>
  <si>
    <t>BX-PUHM201-OR-XS</t>
  </si>
  <si>
    <t>B07G822LKV</t>
  </si>
  <si>
    <t>BX-PUHM201-R0-L</t>
  </si>
  <si>
    <t>B07G87YMZ6</t>
  </si>
  <si>
    <t>BX-PUHM201-R0-M</t>
  </si>
  <si>
    <t>B07G88LFW5</t>
  </si>
  <si>
    <t>BX-PUHM201-R0-S</t>
  </si>
  <si>
    <t>B07G84PLC1</t>
  </si>
  <si>
    <t>BX-PUHM201-R0-XL</t>
  </si>
  <si>
    <t>B07G875C6M</t>
  </si>
  <si>
    <t>BX-PUHM201-R0-XS</t>
  </si>
  <si>
    <t>B07G83463F</t>
  </si>
  <si>
    <t>CWB-PUHM021-CH-L</t>
  </si>
  <si>
    <t>B077B51CYY</t>
  </si>
  <si>
    <t>CWB-PUHM021</t>
  </si>
  <si>
    <t>CWB-PUHM021-CH-M</t>
  </si>
  <si>
    <t>B0779ZRTZ3</t>
  </si>
  <si>
    <t>CWB-PUHM021-CH-S</t>
  </si>
  <si>
    <t>B0779RQHWK</t>
  </si>
  <si>
    <t>CWB-PUHM021-CH-XL</t>
  </si>
  <si>
    <t>B0779Z2TS6</t>
  </si>
  <si>
    <t>CWB-PUHM021-MC-L</t>
  </si>
  <si>
    <t>B0779QX5JV</t>
  </si>
  <si>
    <t>CWB-PUHM021-MC-M</t>
  </si>
  <si>
    <t>B0779W8MFG</t>
  </si>
  <si>
    <t>CWB-PUHM021-MC-S</t>
  </si>
  <si>
    <t>B0779W68GS</t>
  </si>
  <si>
    <t>CWB-PUHM021-MC-XL</t>
  </si>
  <si>
    <t>B0779YRGR1</t>
  </si>
  <si>
    <t>CWB-PUHM021-TW-L</t>
  </si>
  <si>
    <t>B0779RFXY2</t>
  </si>
  <si>
    <t>CWB-PUHM021-TW-M</t>
  </si>
  <si>
    <t>B0779RT3RQ</t>
  </si>
  <si>
    <t>CWB-PUHM021-TW-S</t>
  </si>
  <si>
    <t>B0779V1KQL</t>
  </si>
  <si>
    <t>CWB-PUHM021-TW-XL</t>
  </si>
  <si>
    <t>B0779RQ56M</t>
  </si>
  <si>
    <t>CWB-PUHM221-CH-L</t>
  </si>
  <si>
    <t>B07GNBT7W2</t>
  </si>
  <si>
    <t>CWB-PUHM221-CH-M</t>
  </si>
  <si>
    <t>B07GN94B2V</t>
  </si>
  <si>
    <t>CWB-PUHM221-CH-S</t>
  </si>
  <si>
    <t>B07GNCQZPR</t>
  </si>
  <si>
    <t>CWB-PUHM221-CH-XL</t>
  </si>
  <si>
    <t>B07GND8TGZ</t>
  </si>
  <si>
    <t>CWB-PUHM221-MC-L</t>
  </si>
  <si>
    <t>B07GNCZNCD</t>
  </si>
  <si>
    <t>CWB-PUHM221-MC-M</t>
  </si>
  <si>
    <t>B07GN9ZJ6Q</t>
  </si>
  <si>
    <t>CWB-PUHM221-MC-S</t>
  </si>
  <si>
    <t>B07GNB6T6R</t>
  </si>
  <si>
    <t>CWB-PUHM221-MC-XL</t>
  </si>
  <si>
    <t>B07GNC7527</t>
  </si>
  <si>
    <t>CWB-PUHM221-TW-L</t>
  </si>
  <si>
    <t>B07GNC3JPZ</t>
  </si>
  <si>
    <t>CWB-PUHM221-TW-M</t>
  </si>
  <si>
    <t>B07GNFX49Y</t>
  </si>
  <si>
    <t>CWB-PUHM221-TW-S</t>
  </si>
  <si>
    <t>B07GNDX81H</t>
  </si>
  <si>
    <t>CWB-PUHM221-TW-XL</t>
  </si>
  <si>
    <t>B07GNDRXVH</t>
  </si>
  <si>
    <t>CWDZ-IULHY-BONE-KK-L</t>
  </si>
  <si>
    <t>B07G1S35ZF</t>
  </si>
  <si>
    <t>CWDZ-IULHY</t>
  </si>
  <si>
    <t>CWDZ-IULHY-BONE-KK-M</t>
  </si>
  <si>
    <t>B07G27MV9D</t>
  </si>
  <si>
    <t>CWDZ-IULHY-BONE-KK-XL</t>
  </si>
  <si>
    <t>B07G2KS83F</t>
  </si>
  <si>
    <t>CWDZ-IULHY-BONE-PK-L</t>
  </si>
  <si>
    <t>B07G27JYRX</t>
  </si>
  <si>
    <t>CWDZ-IULHY-BONE-PK-M</t>
  </si>
  <si>
    <t>B07G21KSQ5</t>
  </si>
  <si>
    <t>CWDZ-IULHY-BONE-PK-XL</t>
  </si>
  <si>
    <t>B07G27282Q</t>
  </si>
  <si>
    <t>CWDZ-IULHY-BONE-PP-L</t>
  </si>
  <si>
    <t>B07G2KZ8VS</t>
  </si>
  <si>
    <t>CWDZ-IULHY-BONE-PP-M</t>
  </si>
  <si>
    <t>B07G27ZC1P</t>
  </si>
  <si>
    <t>CWDZ-IULHY-BONE-PP-XL</t>
  </si>
  <si>
    <t>B07G246DPR</t>
  </si>
  <si>
    <t>CWDZ-IULHY-DOT-BL-L</t>
  </si>
  <si>
    <t>B07G2FJJGW</t>
  </si>
  <si>
    <t>CWDZ-IULHY-DOT-BL-M</t>
  </si>
  <si>
    <t>B07G27XM96</t>
  </si>
  <si>
    <t>CWDZ-IULHY-DOT-BL-XL</t>
  </si>
  <si>
    <t>B07G2RFGP3</t>
  </si>
  <si>
    <t>CWDZ-IULHY-DOT-NY-L</t>
  </si>
  <si>
    <t>B07G2C1ZFN</t>
  </si>
  <si>
    <t>CWDZ-IULHY-DOT-NY-M</t>
  </si>
  <si>
    <t>B07G2617G9</t>
  </si>
  <si>
    <t>CWDZ-IULHY-DOT-NY-XL</t>
  </si>
  <si>
    <t>B07G253HB8</t>
  </si>
  <si>
    <t>CWDZ-IULHY-DOT-PP-L</t>
  </si>
  <si>
    <t>B07G2Q2SWK</t>
  </si>
  <si>
    <t>CWDZ-IULHY-DOT-PP-M</t>
  </si>
  <si>
    <t>B07G1Y3QJH</t>
  </si>
  <si>
    <t>CWDZ-IULHY-DOT-PP-XL</t>
  </si>
  <si>
    <t>B07G2CPXY8</t>
  </si>
  <si>
    <t>CWDZ-IULHY-DOT2-CF-L</t>
  </si>
  <si>
    <t>B07G2PMSTY</t>
  </si>
  <si>
    <t>CWDZ-IULHY-DOT2-CF-M</t>
  </si>
  <si>
    <t>B07G28X137</t>
  </si>
  <si>
    <t>CWDZ-IULHY-DOT2-CF-XL</t>
  </si>
  <si>
    <t>B07G29NWFH</t>
  </si>
  <si>
    <t>CWDZ-IULHY-DOT2-PK-L</t>
  </si>
  <si>
    <t>B07G23JJCB</t>
  </si>
  <si>
    <t>CWDZ-IULHY-DOT2-PK-M</t>
  </si>
  <si>
    <t>B07G2QDRMD</t>
  </si>
  <si>
    <t>CWDZ-IULHY-DOT2-PK-XL</t>
  </si>
  <si>
    <t>B07G2158W8</t>
  </si>
  <si>
    <t>CWDZ-IULHY-DOT2-WT-L</t>
  </si>
  <si>
    <t>B07G25389V</t>
  </si>
  <si>
    <t>CWDZ-IULHY-DOT2-WT-M</t>
  </si>
  <si>
    <t>B07G28B2NQ</t>
  </si>
  <si>
    <t>CWDZ-IULHY-DOT2-WT-XL</t>
  </si>
  <si>
    <t>B07G2C1YFR</t>
  </si>
  <si>
    <t>CWDZ-IULHY-ELPH-BL-L</t>
  </si>
  <si>
    <t>B07G2QF8KJ</t>
  </si>
  <si>
    <t>CWDZ-IULHY-ELPH-BL-M</t>
  </si>
  <si>
    <t>B07G28293G</t>
  </si>
  <si>
    <t>CWDZ-IULHY-ELPH-BL-XL</t>
  </si>
  <si>
    <t>B07G2C8QGB</t>
  </si>
  <si>
    <t>CWDZ-IULHY-ELPH-PK-L</t>
  </si>
  <si>
    <t>B07G24QXHG</t>
  </si>
  <si>
    <t>CWDZ-IULHY-ELPH-PK-M</t>
  </si>
  <si>
    <t>B07G2DH78V</t>
  </si>
  <si>
    <t>CWDZ-IULHY-ELPH-PK-XL</t>
  </si>
  <si>
    <t>B07G28ZRTX</t>
  </si>
  <si>
    <t>CWDZ-IULHY-ELPH-YL-L</t>
  </si>
  <si>
    <t>B07G23JJBY</t>
  </si>
  <si>
    <t>CWDZ-IULHY-ELPH-YL-M</t>
  </si>
  <si>
    <t>B07G2L2S2X</t>
  </si>
  <si>
    <t>CWDZ-IULHY-ELPH-YL-XL</t>
  </si>
  <si>
    <t>B07G2DRFV8</t>
  </si>
  <si>
    <t>CWDZ-IULHY-PAW-CF-L</t>
  </si>
  <si>
    <t>B07G2BSWX6</t>
  </si>
  <si>
    <t>CWDZ-IULHY-PAW-CF-M</t>
  </si>
  <si>
    <t>B07G2SQ68F</t>
  </si>
  <si>
    <t>CWDZ-IULHY-PAW-CF-XL</t>
  </si>
  <si>
    <t>B07G28KW3T</t>
  </si>
  <si>
    <t>CWDZ-IULHY-PAW-PK-L</t>
  </si>
  <si>
    <t>B07G1ZNCBK</t>
  </si>
  <si>
    <t>CWDZ-IULHY-PAW-PK-M</t>
  </si>
  <si>
    <t>B07G22NZL4</t>
  </si>
  <si>
    <t>CWDZ-IULHY-PAW-PK-XL</t>
  </si>
  <si>
    <t>B07G299C4Y</t>
  </si>
  <si>
    <t>CWDZ-IULHY-PAW-WT-L</t>
  </si>
  <si>
    <t>B07G2C1YFY</t>
  </si>
  <si>
    <t>CWDZ-IULHY-PAW-WT-M</t>
  </si>
  <si>
    <t>B07G2PMSTW</t>
  </si>
  <si>
    <t>CWDZ-IULHY-PAW-WT-XL</t>
  </si>
  <si>
    <t>B07G24D566</t>
  </si>
  <si>
    <t>CWDZ-IULHY-STAR-BL-L</t>
  </si>
  <si>
    <t>B07G291CSF</t>
  </si>
  <si>
    <t>CWDZ-IULHY-STAR-BL-M</t>
  </si>
  <si>
    <t>B07G22QMDQ</t>
  </si>
  <si>
    <t>CWDZ-IULHY-STAR-BL-XL</t>
  </si>
  <si>
    <t>B07G1S5H6Q</t>
  </si>
  <si>
    <t>CWDZ-IULHY-STAR-KK-L</t>
  </si>
  <si>
    <t>B07G2QYD6R</t>
  </si>
  <si>
    <t>CWDZ-IULHY-STAR-KK-M</t>
  </si>
  <si>
    <t>B07G2BHBW5</t>
  </si>
  <si>
    <t>CWDZ-IULHY-STAR-KK-XL</t>
  </si>
  <si>
    <t>B07G25GC2D</t>
  </si>
  <si>
    <t>CWDZ-IULHY-STAR-PK-L</t>
  </si>
  <si>
    <t>B07G21XRNR</t>
  </si>
  <si>
    <t>CWDZ-IULHY-STAR-PK-M</t>
  </si>
  <si>
    <t>B07G26TM9G</t>
  </si>
  <si>
    <t>CWDZ-IULHY-STAR-PK-XL</t>
  </si>
  <si>
    <t>B07G23P9ZY</t>
  </si>
  <si>
    <t>DZ-IUYL200-BK</t>
  </si>
  <si>
    <t>B079JD7ZJ2</t>
  </si>
  <si>
    <t>DZ-IUYL200</t>
  </si>
  <si>
    <t>DZ-IUYL200-GR</t>
  </si>
  <si>
    <t>B079J99WVX</t>
  </si>
  <si>
    <t>DZ-IUYL210-BK</t>
  </si>
  <si>
    <t>B079JGMFTB</t>
  </si>
  <si>
    <t>DZ-IUYL210</t>
  </si>
  <si>
    <t>DZ-IUYL220-BK</t>
  </si>
  <si>
    <t>B079JNPCJ1</t>
  </si>
  <si>
    <t>DZ-IUYL220</t>
  </si>
  <si>
    <t>DZ-IUYL220-GR</t>
  </si>
  <si>
    <t>B079JLS34D</t>
  </si>
  <si>
    <t>GS-FREE001-K0-S</t>
  </si>
  <si>
    <t>B077TDYRN1</t>
  </si>
  <si>
    <t>GS-FREE201-K0-S</t>
  </si>
  <si>
    <t>B07GN9GYMZ</t>
  </si>
  <si>
    <t>GS-IUYL270</t>
  </si>
  <si>
    <t>B079MDCK5Y</t>
  </si>
  <si>
    <t>GS-IUYL280-1</t>
  </si>
  <si>
    <t>B079M2W31H</t>
  </si>
  <si>
    <t>GS-IUYL280</t>
  </si>
  <si>
    <t>GS-IUYL280-2</t>
  </si>
  <si>
    <t>B079M1Y4YS</t>
  </si>
  <si>
    <t>GS-IUYL280-3</t>
  </si>
  <si>
    <t>B079M4C6DT</t>
  </si>
  <si>
    <t>GS-PUHM019-B0-L</t>
  </si>
  <si>
    <t>B077PFD9LP</t>
  </si>
  <si>
    <t>GS-PUHM019</t>
  </si>
  <si>
    <t>GS-PUHM019-B0-M</t>
  </si>
  <si>
    <t>B07843RDHP</t>
  </si>
  <si>
    <t>GS-PUHM019-B0-S</t>
  </si>
  <si>
    <t>B077PD7WHY</t>
  </si>
  <si>
    <t>GS-PUHM019-B0-XL</t>
  </si>
  <si>
    <t>B077PFB21G</t>
  </si>
  <si>
    <t>GS-PUHM019-K0-L</t>
  </si>
  <si>
    <t>B077P7YNWM</t>
  </si>
  <si>
    <t>GS-PUHM019-K0-M</t>
  </si>
  <si>
    <t>B077PFB14D</t>
  </si>
  <si>
    <t>GS-PUHM019-K0-S</t>
  </si>
  <si>
    <t>B077P7CQF7</t>
  </si>
  <si>
    <t>GS-PUHM019-K0-XL</t>
  </si>
  <si>
    <t>B07845W65M</t>
  </si>
  <si>
    <t>GS-PUHM019-R0-L</t>
  </si>
  <si>
    <t>B077PFB34T</t>
  </si>
  <si>
    <t>GS-PUHM019-R0-M</t>
  </si>
  <si>
    <t>B077P822BJ</t>
  </si>
  <si>
    <t>GS-PUHM019-R0-S</t>
  </si>
  <si>
    <t>B077P3P1K6</t>
  </si>
  <si>
    <t>GS-PUHM019-R0-XL</t>
  </si>
  <si>
    <t>B07843R3WG</t>
  </si>
  <si>
    <t>GS-PUHM219-B0-L</t>
  </si>
  <si>
    <t>B07G85HMBP</t>
  </si>
  <si>
    <t>GS-PUHM219-B0-M</t>
  </si>
  <si>
    <t>B07G7YCYQ5</t>
  </si>
  <si>
    <t>GS-PUHM219-B0-S</t>
  </si>
  <si>
    <t>B07G82PXNW</t>
  </si>
  <si>
    <t>GS-PUHM219-B0-XL</t>
  </si>
  <si>
    <t>B07G88QBSK</t>
  </si>
  <si>
    <t>GS-PUHM219-K0-L</t>
  </si>
  <si>
    <t>B07G8954KX</t>
  </si>
  <si>
    <t>GS-PUHM219-K0-M</t>
  </si>
  <si>
    <t>B07G87YQRP</t>
  </si>
  <si>
    <t>GS-PUHM219-K0-S</t>
  </si>
  <si>
    <t>B07G87PSM5</t>
  </si>
  <si>
    <t>GS-PUHM219-K0-XL</t>
  </si>
  <si>
    <t>B07G85W7XP</t>
  </si>
  <si>
    <t>GS-PUHM219-R0-L</t>
  </si>
  <si>
    <t>B07G875JPS</t>
  </si>
  <si>
    <t>GS-PUHM219-R0-M</t>
  </si>
  <si>
    <t>B07G88B1XD</t>
  </si>
  <si>
    <t>GS-PUHM219-R0-S</t>
  </si>
  <si>
    <t>B07G7YJGNL</t>
  </si>
  <si>
    <t>GS-PUHM219-R0-XL</t>
  </si>
  <si>
    <t>B07G851RFK</t>
  </si>
  <si>
    <t>GW-IUHM-BONE-BK-L</t>
  </si>
  <si>
    <t>B07FM7ZNYH</t>
  </si>
  <si>
    <t>GW-IUHM</t>
  </si>
  <si>
    <t>GW-IUHM-BONE-BK-M</t>
  </si>
  <si>
    <t>B07FM5RG53</t>
  </si>
  <si>
    <t>GW-IUHM-BONE-BK-S</t>
  </si>
  <si>
    <t>B07FM9Z4WW</t>
  </si>
  <si>
    <t>GW-IUHM-BONE-BK-XL</t>
  </si>
  <si>
    <t>B07FM6X6DD</t>
  </si>
  <si>
    <t>GW-IUHM-BONE-CF-L</t>
  </si>
  <si>
    <t>B07FM6XD9K</t>
  </si>
  <si>
    <t>GW-IUHM-BONE-CF-M</t>
  </si>
  <si>
    <t>B07FMJZCZ9</t>
  </si>
  <si>
    <t>GW-IUHM-BONE-CF-S</t>
  </si>
  <si>
    <t>B07FM6XK1D</t>
  </si>
  <si>
    <t>GW-IUHM-BONE-CF-XL</t>
  </si>
  <si>
    <t>B07FMM4Q16</t>
  </si>
  <si>
    <t>GW-IUHM-BONE-GR-L</t>
  </si>
  <si>
    <t>B07FM5RQDQ</t>
  </si>
  <si>
    <t>GW-IUHM-BONE-GR-M</t>
  </si>
  <si>
    <t>B07FMLX98P</t>
  </si>
  <si>
    <t>GW-IUHM-BONE-GR-S</t>
  </si>
  <si>
    <t>B07FM6MGV9</t>
  </si>
  <si>
    <t>GW-IUHM-BONE-GR-XL</t>
  </si>
  <si>
    <t>B07FM6XTK8</t>
  </si>
  <si>
    <t>GW-IUHM-BONE-LB-L</t>
  </si>
  <si>
    <t>B07FM6LVGV</t>
  </si>
  <si>
    <t>GW-IUHM-BONE-LB-M</t>
  </si>
  <si>
    <t>B07FMJ7PGR</t>
  </si>
  <si>
    <t>GW-IUHM-BONE-LB-S</t>
  </si>
  <si>
    <t>B07FM5RNMG</t>
  </si>
  <si>
    <t>GW-IUHM-BONE-LB-XL</t>
  </si>
  <si>
    <t>B07FMBYQDN</t>
  </si>
  <si>
    <t>GW-IUHM-BONE-PK-L</t>
  </si>
  <si>
    <t>B07FM8ZD2W</t>
  </si>
  <si>
    <t>GW-IUHM-BONE-PK-M</t>
  </si>
  <si>
    <t>B07FM6X9XD</t>
  </si>
  <si>
    <t>GW-IUHM-BONE-PK-S</t>
  </si>
  <si>
    <t>B07FM6X922</t>
  </si>
  <si>
    <t>GW-IUHM-BONE-PK-XL</t>
  </si>
  <si>
    <t>B07FM7ZB3H</t>
  </si>
  <si>
    <t>GW-IUHM-PAW-CF-L</t>
  </si>
  <si>
    <t>B07FMF521W</t>
  </si>
  <si>
    <t>GW-IUHM-PAW-CF-M</t>
  </si>
  <si>
    <t>B07FM6XPBL</t>
  </si>
  <si>
    <t>GW-IUHM-PAW-CF-S</t>
  </si>
  <si>
    <t>B07FM6XH9K</t>
  </si>
  <si>
    <t>GW-IUHM-PAW-CF-XL</t>
  </si>
  <si>
    <t>B07FM5R5JH</t>
  </si>
  <si>
    <t>GW-IUHM-PAW-GN-L</t>
  </si>
  <si>
    <t>B07FM6WPSH</t>
  </si>
  <si>
    <t>GW-IUHM-PAW-GN-M</t>
  </si>
  <si>
    <t>B07FM5RP8F</t>
  </si>
  <si>
    <t>GW-IUHM-PAW-GN-S</t>
  </si>
  <si>
    <t>B07FM6Y6QN</t>
  </si>
  <si>
    <t>GW-IUHM-PAW-GN-XL</t>
  </si>
  <si>
    <t>B07FMBSW8Q</t>
  </si>
  <si>
    <t>GW-IUHM-PAW-LB-L</t>
  </si>
  <si>
    <t>B07FMBSRLC</t>
  </si>
  <si>
    <t>GW-IUHM-PAW-LB-M</t>
  </si>
  <si>
    <t>B07FM6WZNK</t>
  </si>
  <si>
    <t>GW-IUHM-PAW-LB-S</t>
  </si>
  <si>
    <t>B07FM1B31D</t>
  </si>
  <si>
    <t>GW-IUHM-PAW-LB-XL</t>
  </si>
  <si>
    <t>B07FM1PWXY</t>
  </si>
  <si>
    <t>GW-IUHM-PAW-OR-L</t>
  </si>
  <si>
    <t>B07FM1N386</t>
  </si>
  <si>
    <t>GW-IUHM-PAW-OR-M</t>
  </si>
  <si>
    <t>B07FM1N358</t>
  </si>
  <si>
    <t>GW-IUHM-PAW-OR-S</t>
  </si>
  <si>
    <t>B07FMJ852H</t>
  </si>
  <si>
    <t>GW-IUHM-PAW-OR-XL</t>
  </si>
  <si>
    <t>B07FMD84PY</t>
  </si>
  <si>
    <t>GW-IUHM-PAW-PK-L</t>
  </si>
  <si>
    <t>B07FM7Z6C9</t>
  </si>
  <si>
    <t>GW-IUHM-PAW-PK-M</t>
  </si>
  <si>
    <t>B07FMJ672F</t>
  </si>
  <si>
    <t>GW-IUHM-PAW-PK-S</t>
  </si>
  <si>
    <t>B07FMC5GL6</t>
  </si>
  <si>
    <t>GW-IUHM-PAW-PK-XL</t>
  </si>
  <si>
    <t>B07FM7ZXWX</t>
  </si>
  <si>
    <t>GW-LULHY-10</t>
  </si>
  <si>
    <t>B01M3R3CVA</t>
  </si>
  <si>
    <t>GW-LULHY</t>
  </si>
  <si>
    <t>GW-LULHY-4.5</t>
  </si>
  <si>
    <t>B078HNLGWS</t>
  </si>
  <si>
    <t>GW-LULHY-5.1</t>
  </si>
  <si>
    <t>B078H79DCY</t>
  </si>
  <si>
    <t>GW-LULHY-6.2</t>
  </si>
  <si>
    <t>B078HD4M37</t>
  </si>
  <si>
    <t>GW-LULHY-7.6</t>
  </si>
  <si>
    <t>B019V6RKPQ</t>
  </si>
  <si>
    <t>GW-LULHY-8.8</t>
  </si>
  <si>
    <t>B019V6P53K</t>
  </si>
  <si>
    <t>HZB-QJTZ-IUYL300310</t>
  </si>
  <si>
    <t>B07B9WYZG3</t>
  </si>
  <si>
    <t>KZ-LY021-BK-32</t>
  </si>
  <si>
    <t>B077Z3FG6P</t>
  </si>
  <si>
    <t>KZ-LY021</t>
  </si>
  <si>
    <t>KZ-LY021-BK-34</t>
  </si>
  <si>
    <t>B077YWH21S</t>
  </si>
  <si>
    <t>KZ-LY021-BK-36</t>
  </si>
  <si>
    <t>B077Z7RY9J</t>
  </si>
  <si>
    <t>KZ-LY021-BK-40</t>
  </si>
  <si>
    <t>B077Z1TXX5</t>
  </si>
  <si>
    <t>KZ-LY021-BL-32</t>
  </si>
  <si>
    <t>B077YWH5DT</t>
  </si>
  <si>
    <t>KZ-LY021-BL-34</t>
  </si>
  <si>
    <t>B0785Q5CB9</t>
  </si>
  <si>
    <t>KZ-LY021-BL-36</t>
  </si>
  <si>
    <t>B077Z629JV</t>
  </si>
  <si>
    <t>KZ-LY021-BL-38</t>
  </si>
  <si>
    <t>B077Z5M1T9</t>
  </si>
  <si>
    <t>KZ-LY021-BL-40</t>
  </si>
  <si>
    <t>B077Z1SBLC</t>
  </si>
  <si>
    <t>KZ-LY021-GY-32</t>
  </si>
  <si>
    <t>B0785PHFJC</t>
  </si>
  <si>
    <t>KZ-LY021-GY-34</t>
  </si>
  <si>
    <t>B077Z1SFPY</t>
  </si>
  <si>
    <t>KZ-LY021-GY-36</t>
  </si>
  <si>
    <t>B077YWGZ93</t>
  </si>
  <si>
    <t>KZ-LY021-GY-38</t>
  </si>
  <si>
    <t>B077Z1QNCD</t>
  </si>
  <si>
    <t>KZ-LY021-GY-40</t>
  </si>
  <si>
    <t>B077YWGW7H</t>
  </si>
  <si>
    <t>KZ-LY021-KK-32</t>
  </si>
  <si>
    <t>B0785PS8WV</t>
  </si>
  <si>
    <t>KZ-LY021-KK-34</t>
  </si>
  <si>
    <t>B0785SC1FB</t>
  </si>
  <si>
    <t>KZ-LY021-KK-38</t>
  </si>
  <si>
    <t>B077Z5LR3B</t>
  </si>
  <si>
    <t>KZ-LY021-KK-40</t>
  </si>
  <si>
    <t>B077YWGXBQ</t>
  </si>
  <si>
    <t>KZ-LY021-NY-32</t>
  </si>
  <si>
    <t>B077Z7RK81</t>
  </si>
  <si>
    <t>KZ-LY021-NY-34</t>
  </si>
  <si>
    <t>B077Z617BX</t>
  </si>
  <si>
    <t>KZ-LY021-NY-36</t>
  </si>
  <si>
    <t>B0785RM358</t>
  </si>
  <si>
    <t>KZ-LY021-NY-38</t>
  </si>
  <si>
    <t>B077Z1QPRQ</t>
  </si>
  <si>
    <t>KZ-LY021-NY-40</t>
  </si>
  <si>
    <t>B077Z3FG6V</t>
  </si>
  <si>
    <t>KZ-LY021-WR-32</t>
  </si>
  <si>
    <t>B077Z7R3DQ</t>
  </si>
  <si>
    <t>KZ-LY021-WR-34</t>
  </si>
  <si>
    <t>B0785PV9GH</t>
  </si>
  <si>
    <t>KZ-LY021-WR-36</t>
  </si>
  <si>
    <t>B0785P964M</t>
  </si>
  <si>
    <t>KZ-LY021-WR-38</t>
  </si>
  <si>
    <t>B077Z7QZZY</t>
  </si>
  <si>
    <t>KZ-LY021-WR-40</t>
  </si>
  <si>
    <t>B077YWGR1B</t>
  </si>
  <si>
    <t>LGQ-IUYL100-BL</t>
  </si>
  <si>
    <t>B0798PCSXB</t>
  </si>
  <si>
    <t>LGQ-IUYL100</t>
  </si>
  <si>
    <t>LGQ-IUYL100-GN</t>
  </si>
  <si>
    <t>B0798NZCMN</t>
  </si>
  <si>
    <t>LGQ-IUYL100-PK</t>
  </si>
  <si>
    <t>B0798PX336</t>
  </si>
  <si>
    <t>LGQ-IUYL100-RD</t>
  </si>
  <si>
    <t>B0798PY6XT</t>
  </si>
  <si>
    <t>LGQ-IUYL100-WT</t>
  </si>
  <si>
    <t>B0798P1DCX</t>
  </si>
  <si>
    <t>LGQ-IUYL100-YL</t>
  </si>
  <si>
    <t>B0798NZTJD</t>
  </si>
  <si>
    <t>LYQ-WF7125-BO-2X</t>
  </si>
  <si>
    <t>B077XTXJ7Q</t>
  </si>
  <si>
    <t>WF7125</t>
  </si>
  <si>
    <t>LYQ-WF7125-BO-L</t>
  </si>
  <si>
    <t>B077XX3FN9</t>
  </si>
  <si>
    <t>LYQ-WF7125-BO-M</t>
  </si>
  <si>
    <t>B077XX612Q</t>
  </si>
  <si>
    <t>LYQ-WF7125-BO-S</t>
  </si>
  <si>
    <t>B077XRHLYX</t>
  </si>
  <si>
    <t>LYQ-WF7125-BO-XL</t>
  </si>
  <si>
    <t>B077XQDLK8</t>
  </si>
  <si>
    <t>LYQ-WF7125-K0-2L</t>
  </si>
  <si>
    <t>B077XX5X7K</t>
  </si>
  <si>
    <t>LYQ-WF7125-KO-L</t>
  </si>
  <si>
    <t>B077XVSQHX</t>
  </si>
  <si>
    <t>LYQ-WF7125-KO-M</t>
  </si>
  <si>
    <t>B077XTZVP8</t>
  </si>
  <si>
    <t>LYQ-WF7125-KO-S</t>
  </si>
  <si>
    <t>B077XQBJQ8</t>
  </si>
  <si>
    <t>LYQ-WF7125-KO-XL</t>
  </si>
  <si>
    <t>B077XVV8MB</t>
  </si>
  <si>
    <t>LYQ-WF7125-NO-2L</t>
  </si>
  <si>
    <t>B0785HZPS2</t>
  </si>
  <si>
    <t>LYQ-WF7125-NO-L</t>
  </si>
  <si>
    <t>B077XRZBGV</t>
  </si>
  <si>
    <t>LYQ-WF7125-NO-S</t>
  </si>
  <si>
    <t>B0785L1H91</t>
  </si>
  <si>
    <t>LYQ-WF7125-NO-XL</t>
  </si>
  <si>
    <t>B077XV3LFS</t>
  </si>
  <si>
    <t>LYQ-WF7125-NO-XS</t>
  </si>
  <si>
    <t>B077XX5QDF</t>
  </si>
  <si>
    <t>LYQ-WF7125-PO-2L</t>
  </si>
  <si>
    <t>B077XVSW32</t>
  </si>
  <si>
    <t>LYQ-WF7125-PO-L</t>
  </si>
  <si>
    <t>B077XQBVHJ</t>
  </si>
  <si>
    <t>LYQ-WF7125-PO-M</t>
  </si>
  <si>
    <t>B077XTXHVH</t>
  </si>
  <si>
    <t>LYQ-WF7125-PO-S</t>
  </si>
  <si>
    <t>B0785K545N</t>
  </si>
  <si>
    <t>LYQ-WF7125-PO-XL</t>
  </si>
  <si>
    <t>B0785L1RRG</t>
  </si>
  <si>
    <t>LYQ-WF7125-PO-XS</t>
  </si>
  <si>
    <t>B0785JC4N5</t>
  </si>
  <si>
    <t>LYQ-WF7125-WO-2L</t>
  </si>
  <si>
    <t>B077XQDLK1</t>
  </si>
  <si>
    <t>LYQ-WF7125-WO-M</t>
  </si>
  <si>
    <t>B077XRYWSK</t>
  </si>
  <si>
    <t>LYQ-WF7125-WO-XL</t>
  </si>
  <si>
    <t>B077XTXG7X</t>
  </si>
  <si>
    <t>LYQ-WF7125-WO-XS</t>
  </si>
  <si>
    <t>B077XRZ4P9</t>
  </si>
  <si>
    <t>MJ-IUYL230-BL-L</t>
  </si>
  <si>
    <t>B079GNVPFC</t>
  </si>
  <si>
    <t>MJ-IUYL230</t>
  </si>
  <si>
    <t>MJ-IUYL230-BL-S</t>
  </si>
  <si>
    <t>B079GN5DSL</t>
  </si>
  <si>
    <t>MJ-IUYL230-CF-L</t>
  </si>
  <si>
    <t>B079GTFGYN</t>
  </si>
  <si>
    <t>MJ-IUYL230-CF-S</t>
  </si>
  <si>
    <t>B079GQWL9S</t>
  </si>
  <si>
    <t>MJ-IUYL230-PK-L</t>
  </si>
  <si>
    <t>B079GQ7X19</t>
  </si>
  <si>
    <t>MJ-IUYL230-PK-S</t>
  </si>
  <si>
    <t>B079GS1ZJR</t>
  </si>
  <si>
    <t>MMDC-IUHM100-BK</t>
  </si>
  <si>
    <t>B07FMJ852L</t>
  </si>
  <si>
    <t>MMDC-IUHM100</t>
  </si>
  <si>
    <t>MMDC-IUHM100-BL</t>
  </si>
  <si>
    <t>B07FM7ZQJJ</t>
  </si>
  <si>
    <t>MMDC-IUHM100-PK</t>
  </si>
  <si>
    <t>B07FMJW6W8</t>
  </si>
  <si>
    <t>MY-PUHM001-OR-10</t>
  </si>
  <si>
    <t>B077N24PG2</t>
  </si>
  <si>
    <t>MY-PUHM001</t>
  </si>
  <si>
    <t>MY-PUHM001-OR-12</t>
  </si>
  <si>
    <t>B077N3LV33</t>
  </si>
  <si>
    <t>MY-PUHM001-OR-14</t>
  </si>
  <si>
    <t>B077MXMG77</t>
  </si>
  <si>
    <t>MY-PUHM001-OR-16</t>
  </si>
  <si>
    <t>B07841ZNJ5</t>
  </si>
  <si>
    <t>MY-PUHM001-OR-20</t>
  </si>
  <si>
    <t>B077NBCRDS</t>
  </si>
  <si>
    <t>MY-PUHM001-OR-24</t>
  </si>
  <si>
    <t>B077N7P2RN</t>
  </si>
  <si>
    <t>MY-PUHM001-OR-28</t>
  </si>
  <si>
    <t>B077NBQKPK</t>
  </si>
  <si>
    <t>MY-PUHM001-OR-8</t>
  </si>
  <si>
    <t>B077N1QGPK</t>
  </si>
  <si>
    <t>MY-PUHM001-R0-10</t>
  </si>
  <si>
    <t>B077MTV31P</t>
  </si>
  <si>
    <t>MY-PUHM001-R0-12</t>
  </si>
  <si>
    <t>B077N58RS3</t>
  </si>
  <si>
    <t>MY-PUHM001-R0-14</t>
  </si>
  <si>
    <t>B077N3KY6X</t>
  </si>
  <si>
    <t>MY-PUHM001-R0-16</t>
  </si>
  <si>
    <t>B077MYVL7W</t>
  </si>
  <si>
    <t>MY-PUHM001-R0-20</t>
  </si>
  <si>
    <t>B077N9TKMC</t>
  </si>
  <si>
    <t>MY-PUHM001-R0-24</t>
  </si>
  <si>
    <t>B07842C2Q3</t>
  </si>
  <si>
    <t>MY-PUHM001-R0-28</t>
  </si>
  <si>
    <t>B077N47MTG</t>
  </si>
  <si>
    <t>MY-PUHM001-R0-8</t>
  </si>
  <si>
    <t>B077ND3YXB</t>
  </si>
  <si>
    <t>MY-PUHM001-ZL-10</t>
  </si>
  <si>
    <t>B077MWVFXR</t>
  </si>
  <si>
    <t>MY-PUHM001-ZL-12</t>
  </si>
  <si>
    <t>B077N4VS3G</t>
  </si>
  <si>
    <t>MY-PUHM001-ZL-14</t>
  </si>
  <si>
    <t>B077N3LV38</t>
  </si>
  <si>
    <t>MY-PUHM001-ZL-16</t>
  </si>
  <si>
    <t>B077N845BF</t>
  </si>
  <si>
    <t>MY-PUHM001-ZL-20</t>
  </si>
  <si>
    <t>B077MXBX5H</t>
  </si>
  <si>
    <t>MY-PUHM001-ZL-24</t>
  </si>
  <si>
    <t>B077N685Q4</t>
  </si>
  <si>
    <t>MY-PUHM001-ZL-28</t>
  </si>
  <si>
    <t>B077NBB2XS</t>
  </si>
  <si>
    <t>MY-PUHM001-ZL-8</t>
  </si>
  <si>
    <t>B077NB45R7</t>
  </si>
  <si>
    <t>MY-PUHM035-R0-L</t>
  </si>
  <si>
    <t>B077SPDT2V</t>
  </si>
  <si>
    <t>MY-PUHM035</t>
  </si>
  <si>
    <t>MY-PUHM035-R0-M</t>
  </si>
  <si>
    <t>B077SNBTYK</t>
  </si>
  <si>
    <t>MY-PUHM035-R0-S</t>
  </si>
  <si>
    <t>B077SSQ158</t>
  </si>
  <si>
    <t>MY-PUHM035-R0-XL</t>
  </si>
  <si>
    <t>B0784RRGDD</t>
  </si>
  <si>
    <t>MY-PUHM035-R0-XXL</t>
  </si>
  <si>
    <t>B077SDYYKL</t>
  </si>
  <si>
    <t>MY-PUHM036-B0-L</t>
  </si>
  <si>
    <t>B077SPDQMX</t>
  </si>
  <si>
    <t>MY-PUHM036</t>
  </si>
  <si>
    <t>MY-PUHM036-B0-M</t>
  </si>
  <si>
    <t>B0784T4MYY</t>
  </si>
  <si>
    <t>MY-PUHM036-B0-S</t>
  </si>
  <si>
    <t>B077SDZ32V</t>
  </si>
  <si>
    <t>MY-PUHM036-B0-XL</t>
  </si>
  <si>
    <t>B078C5JLZV</t>
  </si>
  <si>
    <t>MY-PUHM036-B0-XXL</t>
  </si>
  <si>
    <t>B077SSQFMX</t>
  </si>
  <si>
    <t>MY-PUHM201-OR-10</t>
  </si>
  <si>
    <t>B07G89FCVG</t>
  </si>
  <si>
    <t>MY-PUHM201-OR-12</t>
  </si>
  <si>
    <t>B07G84ST7Y</t>
  </si>
  <si>
    <t>MY-PUHM201-OR-14</t>
  </si>
  <si>
    <t>B07G7ZVY3H</t>
  </si>
  <si>
    <t>MY-PUHM201-OR-16</t>
  </si>
  <si>
    <t>B07G87P4YR</t>
  </si>
  <si>
    <t>MY-PUHM201-OR-20</t>
  </si>
  <si>
    <t>B07G89HYXM</t>
  </si>
  <si>
    <t>MY-PUHM201-OR-24</t>
  </si>
  <si>
    <t>B07G87H9P7</t>
  </si>
  <si>
    <t>MY-PUHM201-OR-28</t>
  </si>
  <si>
    <t>B07G873179</t>
  </si>
  <si>
    <t>MY-PUHM201-OR-8</t>
  </si>
  <si>
    <t>B07G85FS5N</t>
  </si>
  <si>
    <t>MY-PUHM201-R0-10</t>
  </si>
  <si>
    <t>B07G83DX23</t>
  </si>
  <si>
    <t>MY-PUHM201-R0-12</t>
  </si>
  <si>
    <t>B07G87CSG4</t>
  </si>
  <si>
    <t>MY-PUHM201-R0-14</t>
  </si>
  <si>
    <t>B07G87WF3H</t>
  </si>
  <si>
    <t>MY-PUHM201-R0-16</t>
  </si>
  <si>
    <t>B07G8DG4F3</t>
  </si>
  <si>
    <t>MY-PUHM201-R0-20</t>
  </si>
  <si>
    <t>B07G8B746Q</t>
  </si>
  <si>
    <t>MY-PUHM201-R0-24</t>
  </si>
  <si>
    <t>B07G84137T</t>
  </si>
  <si>
    <t>MY-PUHM201-R0-28</t>
  </si>
  <si>
    <t>B07G84B3YC</t>
  </si>
  <si>
    <t>MY-PUHM201-R0-8</t>
  </si>
  <si>
    <t>B07G83H92R</t>
  </si>
  <si>
    <t>MY-PUHM201-ZL-10</t>
  </si>
  <si>
    <t>B07G89R8FM</t>
  </si>
  <si>
    <t>MY-PUHM201-ZL-12</t>
  </si>
  <si>
    <t>B07G84QX78</t>
  </si>
  <si>
    <t>MY-PUHM201-ZL-14</t>
  </si>
  <si>
    <t>B07G89FFKV</t>
  </si>
  <si>
    <t>MY-PUHM201-ZL-16</t>
  </si>
  <si>
    <t>B07G87TN82</t>
  </si>
  <si>
    <t>MY-PUHM201-ZL-20</t>
  </si>
  <si>
    <t>B07G89RDC1</t>
  </si>
  <si>
    <t>MY-PUHM201-ZL-24</t>
  </si>
  <si>
    <t>B07G854DZ1</t>
  </si>
  <si>
    <t>MY-PUHM201-ZL-28</t>
  </si>
  <si>
    <t>B07G84CFGV</t>
  </si>
  <si>
    <t>MY-PUHM201-ZL-8</t>
  </si>
  <si>
    <t>B07G89R4WV</t>
  </si>
  <si>
    <t>MY-PUHM235-R0-L</t>
  </si>
  <si>
    <t>B07G88Y7QP</t>
  </si>
  <si>
    <t>MY-PUHM235-R0-M</t>
  </si>
  <si>
    <t>B07G86NNB8</t>
  </si>
  <si>
    <t>MY-PUHM235-R0-S</t>
  </si>
  <si>
    <t>B07G85J47D</t>
  </si>
  <si>
    <t>MY-PUHM235-R0-XL</t>
  </si>
  <si>
    <t>B07G86QZN1</t>
  </si>
  <si>
    <t>MY-PUHM235-R0-XXL</t>
  </si>
  <si>
    <t>B07G8326VV</t>
  </si>
  <si>
    <t>MY-PUHM236-B0-L</t>
  </si>
  <si>
    <t>B07G86LP7Q</t>
  </si>
  <si>
    <t>MY-PUHM236-B0-M</t>
  </si>
  <si>
    <t>B07G87RTCG</t>
  </si>
  <si>
    <t>MY-PUHM236-B0-S</t>
  </si>
  <si>
    <t>B07G85BP4Y</t>
  </si>
  <si>
    <t>MY-PUHM236-B0-XL</t>
  </si>
  <si>
    <t>B07G889YZH</t>
  </si>
  <si>
    <t>MY-PUHM236-B0-XXL</t>
  </si>
  <si>
    <t>B07G851HJ3</t>
  </si>
  <si>
    <t>MY-PUHM282-B0-L</t>
  </si>
  <si>
    <t>B07G8515M8</t>
  </si>
  <si>
    <t>MY-PUHM282-B0-M</t>
  </si>
  <si>
    <t>B07G875MW4</t>
  </si>
  <si>
    <t>MY-PUHM282-B0-S</t>
  </si>
  <si>
    <t>B07G8DJ8S1</t>
  </si>
  <si>
    <t>MY-PUHM282-B0-XL</t>
  </si>
  <si>
    <t>B07G86M4QB</t>
  </si>
  <si>
    <t>MY-PUHM282-B0-XS</t>
  </si>
  <si>
    <t>B07G85P988</t>
  </si>
  <si>
    <t>MY-PUHM282-R0-L</t>
  </si>
  <si>
    <t>B07G8973BS</t>
  </si>
  <si>
    <t>MY-PUHM282-R0-M</t>
  </si>
  <si>
    <t>B07G8H6NZM</t>
  </si>
  <si>
    <t>MY-PUHM282-R0-S</t>
  </si>
  <si>
    <t>B07G8973BR</t>
  </si>
  <si>
    <t>MY-PUHM282-R0-XL</t>
  </si>
  <si>
    <t>B07G86JM8Q</t>
  </si>
  <si>
    <t>MY-PUHM282-R0-XS</t>
  </si>
  <si>
    <t>B07G86JBHD</t>
  </si>
  <si>
    <t>MY-PUHM582-B0-L</t>
  </si>
  <si>
    <t>B07843N7TB</t>
  </si>
  <si>
    <t>MY-PUHM582</t>
  </si>
  <si>
    <t>MY-PUHM582-B0-M</t>
  </si>
  <si>
    <t>B077P3Q2LJ</t>
  </si>
  <si>
    <t>MY-PUHM582-B0-S</t>
  </si>
  <si>
    <t>B077P6GQ66</t>
  </si>
  <si>
    <t>MY-PUHM582-B0-XL</t>
  </si>
  <si>
    <t>B077P1HZH5</t>
  </si>
  <si>
    <t>MY-PUHM582-B0-XS</t>
  </si>
  <si>
    <t>B07843WRKL</t>
  </si>
  <si>
    <t>MY-PUHM582-R0-L</t>
  </si>
  <si>
    <t>B077P25L34</t>
  </si>
  <si>
    <t>MY-PUHM582-R0-M</t>
  </si>
  <si>
    <t>B07844WCH2</t>
  </si>
  <si>
    <t>MY-PUHM582-R0-S</t>
  </si>
  <si>
    <t>B077P76342</t>
  </si>
  <si>
    <t>MY-PUHM582-R0-XL</t>
  </si>
  <si>
    <t>B077P6GSLS</t>
  </si>
  <si>
    <t>MY-PUHM582-R0-XS</t>
  </si>
  <si>
    <t>B077P6DN7F</t>
  </si>
  <si>
    <t>Pajamas-sb001-GR-L</t>
  </si>
  <si>
    <t>B0747L9WY7</t>
  </si>
  <si>
    <t>Pajamas-sb001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</si>
  <si>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</si>
  <si>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</si>
  <si>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</si>
  <si>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</si>
  <si>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</si>
  <si>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</si>
  <si>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</si>
  <si>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</si>
  <si>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</si>
  <si>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</si>
  <si>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</si>
  <si>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</si>
  <si>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</si>
  <si>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</si>
  <si>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</si>
  <si>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</si>
  <si>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RY-PUHM216-B0-L</t>
  </si>
  <si>
    <t>B07G85PZTD</t>
  </si>
  <si>
    <t>RY-PUHM216-B0-M</t>
  </si>
  <si>
    <t>B07G84FB4Z</t>
  </si>
  <si>
    <t>RY-PUHM216-B0-S</t>
  </si>
  <si>
    <t>B07G8B421W</t>
  </si>
  <si>
    <t>RY-PUHM216-B0-XL</t>
  </si>
  <si>
    <t>B07G867JJ2</t>
  </si>
  <si>
    <t>RY-PUHM216-B0-XXL</t>
  </si>
  <si>
    <t>B07G8743FC</t>
  </si>
  <si>
    <t>RY-PUHM216-KQ-L</t>
  </si>
  <si>
    <t>B07G84QX71</t>
  </si>
  <si>
    <t>RY-PUHM216-KQ-M</t>
  </si>
  <si>
    <t>B07G86PG1L</t>
  </si>
  <si>
    <t>RY-PUHM216-KQ-S</t>
  </si>
  <si>
    <t>B07G85DLC2</t>
  </si>
  <si>
    <t>RY-PUHM216-KQ-XL</t>
  </si>
  <si>
    <t>B07G87PK91</t>
  </si>
  <si>
    <t>RY-PUHM216-KQ-XXL</t>
  </si>
  <si>
    <t>B07G87C7M7</t>
  </si>
  <si>
    <t>RY-PUHM216-PI-L</t>
  </si>
  <si>
    <t>B07G87YM2R</t>
  </si>
  <si>
    <t>RY-PUHM216-PI-M</t>
  </si>
  <si>
    <t>B07G8547JK</t>
  </si>
  <si>
    <t>RY-PUHM216-PI-S</t>
  </si>
  <si>
    <t>B07G85J47H</t>
  </si>
  <si>
    <t>RY-PUHM216-PI-XL</t>
  </si>
  <si>
    <t>B07G8H6NZH</t>
  </si>
  <si>
    <t>RY-PUHM216-PI-XXL</t>
  </si>
  <si>
    <t>B07G8D3T1V</t>
  </si>
  <si>
    <t>RY-PUHM716-B0-L</t>
  </si>
  <si>
    <t>B077MXLJYR</t>
  </si>
  <si>
    <t>RY-PUHM716</t>
  </si>
  <si>
    <t>RY-PUHM716-B0-M</t>
  </si>
  <si>
    <t>B077N5HSXR</t>
  </si>
  <si>
    <t>RY-PUHM716-B0-S</t>
  </si>
  <si>
    <t>B0784285GH</t>
  </si>
  <si>
    <t>RY-PUHM716-B0-XL</t>
  </si>
  <si>
    <t>B077N6RL2N</t>
  </si>
  <si>
    <t>RY-PUHM716-B0-XXL</t>
  </si>
  <si>
    <t>B077NNVQ58</t>
  </si>
  <si>
    <t>RY-PUHM716-KQ-L</t>
  </si>
  <si>
    <t>B077N91KX8</t>
  </si>
  <si>
    <t>RY-PUHM716-KQ-M</t>
  </si>
  <si>
    <t>B077N641W6</t>
  </si>
  <si>
    <t>RY-PUHM716-KQ-S</t>
  </si>
  <si>
    <t>B077N28DGY</t>
  </si>
  <si>
    <t>RY-PUHM716-KQ-XL</t>
  </si>
  <si>
    <t>B077MZVCLY</t>
  </si>
  <si>
    <t>RY-PUHM716-KQ-XXL</t>
  </si>
  <si>
    <t>B077N1HRR8</t>
  </si>
  <si>
    <t>RY-PUHM716-PI-L</t>
  </si>
  <si>
    <t>B077MWZHRH</t>
  </si>
  <si>
    <t>RY-PUHM716-PI-M</t>
  </si>
  <si>
    <t>B077N2B7N1</t>
  </si>
  <si>
    <t>RY-PUHM716-PI-S</t>
  </si>
  <si>
    <t>B077NGZSN7</t>
  </si>
  <si>
    <t>RY-PUHM716-PI-XL</t>
  </si>
  <si>
    <t>B077MXLJYL</t>
  </si>
  <si>
    <t>RY-PUHM716-PI-XXL</t>
  </si>
  <si>
    <t>B07842CPN5</t>
  </si>
  <si>
    <t>SCF-A01-007</t>
  </si>
  <si>
    <t>B075XH7C42</t>
  </si>
  <si>
    <t>SCF-A01</t>
  </si>
  <si>
    <t>SCF-A01-008</t>
  </si>
  <si>
    <t>B075XCHJXX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</si>
  <si>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</si>
  <si>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</si>
  <si>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</si>
  <si>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</si>
  <si>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</si>
  <si>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</si>
  <si>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</si>
  <si>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</si>
  <si>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</si>
  <si>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</si>
  <si>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</si>
  <si>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</si>
  <si>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</t>
  </si>
  <si>
    <t>SCF-B01-002</t>
  </si>
  <si>
    <t>B075XFH141</t>
  </si>
  <si>
    <t>SCF-B01-003</t>
  </si>
  <si>
    <t>B075XHVZNY</t>
  </si>
  <si>
    <t>SCF-B01-004</t>
  </si>
  <si>
    <t>B075XH1TBD</t>
  </si>
  <si>
    <t>SCF-B01-005</t>
  </si>
  <si>
    <t>B075XGCNH2</t>
  </si>
  <si>
    <t>SCF-B01-006</t>
  </si>
  <si>
    <t>B075XG5JVY</t>
  </si>
  <si>
    <t>SCF-B01-007</t>
  </si>
  <si>
    <t>B075XCJ63F</t>
  </si>
  <si>
    <t>SCF-B01-008</t>
  </si>
  <si>
    <t>B075XH35SF</t>
  </si>
  <si>
    <t>SCF-B01-009</t>
  </si>
  <si>
    <t>B075XF8TFV</t>
  </si>
  <si>
    <t>SCF-B01-011</t>
  </si>
  <si>
    <t>B075XDTMSM</t>
  </si>
  <si>
    <t>SCF-B01-012</t>
  </si>
  <si>
    <t>B075XHCCFQ</t>
  </si>
  <si>
    <t>SCF-B01-013</t>
  </si>
  <si>
    <t>B075XCS3QN</t>
  </si>
  <si>
    <t>SCF-B01-014</t>
  </si>
  <si>
    <t>B075X9JZX3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</si>
  <si>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</si>
  <si>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</si>
  <si>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</si>
  <si>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</si>
  <si>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</si>
  <si>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</si>
  <si>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</si>
  <si>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</si>
  <si>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</si>
  <si>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</si>
  <si>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SCF-B01-020</t>
  </si>
  <si>
    <t>B075XFQC8B</t>
  </si>
  <si>
    <t>SCF-B01-021</t>
  </si>
  <si>
    <t>B075XJBNCS</t>
  </si>
  <si>
    <t>SCF-B01-022</t>
  </si>
  <si>
    <t>B075XG6Z6C</t>
  </si>
  <si>
    <t>SCF-C01-003</t>
  </si>
  <si>
    <t>B075WQNT6B</t>
  </si>
  <si>
    <t>SCF-C01</t>
  </si>
  <si>
    <t>SCF-C01-005</t>
  </si>
  <si>
    <t>B075WR57PJ</t>
  </si>
  <si>
    <t>SCF-C01-007</t>
  </si>
  <si>
    <t>B075WSXH1N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</si>
  <si>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</si>
  <si>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</si>
  <si>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</si>
  <si>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</si>
  <si>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</si>
  <si>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</si>
  <si>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</si>
  <si>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</si>
  <si>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SCF-C01-012</t>
  </si>
  <si>
    <t>B075WQJ859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</si>
  <si>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</si>
  <si>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</si>
  <si>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</si>
  <si>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</si>
  <si>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</si>
  <si>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</si>
  <si>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</si>
  <si>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</si>
  <si>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</si>
  <si>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</si>
  <si>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</si>
  <si>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</si>
  <si>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</si>
  <si>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</si>
  <si>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</si>
  <si>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</si>
  <si>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</si>
  <si>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</si>
  <si>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</si>
  <si>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</si>
  <si>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</si>
  <si>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</si>
  <si>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</si>
  <si>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</si>
  <si>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</si>
  <si>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</si>
  <si>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</si>
  <si>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</si>
  <si>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</si>
  <si>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SCF-SJ006</t>
  </si>
  <si>
    <t>SCF-SJ008-GR-OS</t>
  </si>
  <si>
    <t>B073VHZTSH</t>
  </si>
  <si>
    <t>SCF-SJ008</t>
  </si>
  <si>
    <t>ST-K157-B0-32</t>
  </si>
  <si>
    <t>B073Q1437J</t>
  </si>
  <si>
    <t>ST-K157</t>
  </si>
  <si>
    <t>ST-K157-KQ-32</t>
  </si>
  <si>
    <t>B073PZDYM9</t>
  </si>
  <si>
    <t>ST-K559-KQ-44</t>
  </si>
  <si>
    <t>B073QH2KWY</t>
  </si>
  <si>
    <t>ST-K559</t>
  </si>
  <si>
    <t>ST-K559-OR-32</t>
  </si>
  <si>
    <t>B073QGK1FW</t>
  </si>
  <si>
    <t>ST005-BK-S</t>
  </si>
  <si>
    <t>B074P3WK1B</t>
  </si>
  <si>
    <t>ST005</t>
  </si>
  <si>
    <t>ST005-BL1-L</t>
  </si>
  <si>
    <t>B074NWD9JL</t>
  </si>
  <si>
    <t>ST005-BL2-S</t>
  </si>
  <si>
    <t>B074P5N47H</t>
  </si>
  <si>
    <t>ST005-GN-S</t>
  </si>
  <si>
    <t>B074NZHLJW</t>
  </si>
  <si>
    <t>ST005-RD-S</t>
  </si>
  <si>
    <t>B074P34K32</t>
  </si>
  <si>
    <t>ST005-RD1-S</t>
  </si>
  <si>
    <t>B074NWPZS3</t>
  </si>
  <si>
    <t>ST006-BK-XL</t>
  </si>
  <si>
    <t>B074NVHR58</t>
  </si>
  <si>
    <t>ST006</t>
  </si>
  <si>
    <t>ST006-BL-S</t>
  </si>
  <si>
    <t>B074P2B6M8</t>
  </si>
  <si>
    <t>ST006-BL2-S</t>
  </si>
  <si>
    <t>B074NVH8G2</t>
  </si>
  <si>
    <t>ST006-CF-M</t>
  </si>
  <si>
    <t>B074P1DYRF</t>
  </si>
  <si>
    <t>ST006-CF-S</t>
  </si>
  <si>
    <t>B074NQZMVQ</t>
  </si>
  <si>
    <t>ST006-GN-M</t>
  </si>
  <si>
    <t>B074NZX79C</t>
  </si>
  <si>
    <t>ST006-GN-S</t>
  </si>
  <si>
    <t>B074P1LKV2</t>
  </si>
  <si>
    <t>ST006-RD1-S</t>
  </si>
  <si>
    <t>B074P5J7Y8</t>
  </si>
  <si>
    <t>ST006-RD2-XL</t>
  </si>
  <si>
    <t>B074P6BFX9</t>
  </si>
  <si>
    <t>ST084-H15-S</t>
  </si>
  <si>
    <t>B06XPWLNQP</t>
  </si>
  <si>
    <t>ST084</t>
  </si>
  <si>
    <t>ST084-H15-XXL</t>
  </si>
  <si>
    <t>B06XPWWWTB</t>
  </si>
  <si>
    <t>ST085-LB916-M</t>
  </si>
  <si>
    <t>B06XYZHW8G</t>
  </si>
  <si>
    <t>ST085</t>
  </si>
  <si>
    <t>ST085-LB916-S</t>
  </si>
  <si>
    <t>B06XYZF3QP</t>
  </si>
  <si>
    <t>ST122-WR-S</t>
  </si>
  <si>
    <t>B06Y2SFW95</t>
  </si>
  <si>
    <t>ST122</t>
  </si>
  <si>
    <t>ST155-AG-30</t>
  </si>
  <si>
    <t>B071JY11V7</t>
  </si>
  <si>
    <t>ST155</t>
  </si>
  <si>
    <t>ST155-AG-32</t>
  </si>
  <si>
    <t>B071JXZVZV</t>
  </si>
  <si>
    <t>ST155-AG-38</t>
  </si>
  <si>
    <t>B0721B4X7S</t>
  </si>
  <si>
    <t>ST166-B28-4-L</t>
  </si>
  <si>
    <t>B072PQ55W6</t>
  </si>
  <si>
    <t>ST166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</si>
  <si>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</si>
  <si>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</si>
  <si>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</si>
  <si>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</si>
  <si>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</si>
  <si>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</si>
  <si>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</si>
  <si>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</si>
  <si>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</si>
  <si>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</si>
  <si>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</si>
  <si>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</si>
  <si>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</si>
  <si>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</si>
  <si>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ST167-BK-XXL</t>
  </si>
  <si>
    <t>B07173XFVT</t>
  </si>
  <si>
    <t>ST167</t>
  </si>
  <si>
    <t>ST167-K0-XXL</t>
  </si>
  <si>
    <t>ST170-LB-L</t>
  </si>
  <si>
    <t>B073PPTS8L</t>
  </si>
  <si>
    <t>ST170</t>
  </si>
  <si>
    <t>ST170-LB-M</t>
  </si>
  <si>
    <t>B073PQ752P</t>
  </si>
  <si>
    <t>ST170-LB-S</t>
  </si>
  <si>
    <t>B073PPS7FM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</si>
  <si>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</si>
  <si>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</si>
  <si>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</si>
  <si>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</si>
  <si>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</si>
  <si>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</si>
  <si>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</si>
  <si>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</si>
  <si>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ST170-LG-S</t>
  </si>
  <si>
    <t>B073PPSG6W</t>
  </si>
  <si>
    <t>ST170-LG-XXL</t>
  </si>
  <si>
    <t>B073PQFZ61</t>
  </si>
  <si>
    <t>ST170-PK-XXL</t>
  </si>
  <si>
    <t>B073PPMWTH</t>
  </si>
  <si>
    <t>ST170-SA-M</t>
  </si>
  <si>
    <t>B073PPT2TW</t>
  </si>
  <si>
    <t>ST170-SA-S</t>
  </si>
  <si>
    <t>B073PPY7H7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</si>
  <si>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</si>
  <si>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</si>
  <si>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</si>
  <si>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</si>
  <si>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</si>
  <si>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</si>
  <si>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</si>
  <si>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</si>
  <si>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ST170-ZL-L</t>
  </si>
  <si>
    <t>B073PQ7KG6</t>
  </si>
  <si>
    <t>ST170-ZL-M</t>
  </si>
  <si>
    <t>B073PPP5ZQ</t>
  </si>
  <si>
    <t>ST170-ZL-S</t>
  </si>
  <si>
    <t>B073PPTRXC</t>
  </si>
  <si>
    <t>ST170-ZL-XL</t>
  </si>
  <si>
    <t>B073PQRR85</t>
  </si>
  <si>
    <t>ST171-LB916-M</t>
  </si>
  <si>
    <t>B073PPWDT7</t>
  </si>
  <si>
    <t>ST171</t>
  </si>
  <si>
    <t>ST171-LB916-S</t>
  </si>
  <si>
    <t>B073PQ6BZ4</t>
  </si>
  <si>
    <t>ST171-LB916-XXL</t>
  </si>
  <si>
    <t>B073PPFLNM</t>
  </si>
  <si>
    <t>ST171-Sa911-L</t>
  </si>
  <si>
    <t>B073PQLFVZ</t>
  </si>
  <si>
    <t>ST171-Sa911-M</t>
  </si>
  <si>
    <t>B073PQD5PP</t>
  </si>
  <si>
    <t>ST171-Sa911-S</t>
  </si>
  <si>
    <t>B073PQXDQX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</si>
  <si>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</si>
  <si>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</si>
  <si>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</si>
  <si>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</si>
  <si>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</si>
  <si>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</si>
  <si>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</si>
  <si>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</si>
  <si>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ST172</t>
  </si>
  <si>
    <t>ST172-BK-M</t>
  </si>
  <si>
    <t>B074T24DYN</t>
  </si>
  <si>
    <t>ST172-BK-S</t>
  </si>
  <si>
    <t>B074SNMHQJ</t>
  </si>
  <si>
    <t>ST172-BK-XL</t>
  </si>
  <si>
    <t>B074SXT551</t>
  </si>
  <si>
    <t>ST172-BL-L</t>
  </si>
  <si>
    <t>B074SZ6CL6</t>
  </si>
  <si>
    <t>ST172-BL-M</t>
  </si>
  <si>
    <t>B074SZ4SDW</t>
  </si>
  <si>
    <t>ST172-BL-S</t>
  </si>
  <si>
    <t>B074SZCMCP</t>
  </si>
  <si>
    <t>ST172-BL-XL</t>
  </si>
  <si>
    <t>B074SNP44C</t>
  </si>
  <si>
    <t>ST172-BL-XXL</t>
  </si>
  <si>
    <t>B074SQ5PJS</t>
  </si>
  <si>
    <t>ST172-GR-L</t>
  </si>
  <si>
    <t>B074SLPFD9</t>
  </si>
  <si>
    <t>ST172-GR-M</t>
  </si>
  <si>
    <t>B074T17WTF</t>
  </si>
  <si>
    <t>ST172-GR-S</t>
  </si>
  <si>
    <t>B074SL7P58</t>
  </si>
  <si>
    <t>ST172-GR-XL</t>
  </si>
  <si>
    <t>B074SLTLS9</t>
  </si>
  <si>
    <t>ST172-GR-XXL</t>
  </si>
  <si>
    <t>B074SXQ5MY</t>
  </si>
  <si>
    <t>ST172-NY-L</t>
  </si>
  <si>
    <t>B074SQ1FJK</t>
  </si>
  <si>
    <t>ST172-NY-M</t>
  </si>
  <si>
    <t>B074SPWGPS</t>
  </si>
  <si>
    <t>ST172-NY-S</t>
  </si>
  <si>
    <t>B074SYY7Q7</t>
  </si>
  <si>
    <t>ST172-NY-XL</t>
  </si>
  <si>
    <t>B074SMS5NT</t>
  </si>
  <si>
    <t>ST172-NY-XXL</t>
  </si>
  <si>
    <t>B074SLZVWD</t>
  </si>
  <si>
    <t>ST172-PK-L</t>
  </si>
  <si>
    <t>B074SQ5R3F</t>
  </si>
  <si>
    <t>ST172-PK-M</t>
  </si>
  <si>
    <t>B074SZKQMT</t>
  </si>
  <si>
    <t>ST172-PK-S</t>
  </si>
  <si>
    <t>B074SZQ1LP</t>
  </si>
  <si>
    <t>ST172-PK-XL</t>
  </si>
  <si>
    <t>B074SXQT5Z</t>
  </si>
  <si>
    <t>ST172-PK-XXL</t>
  </si>
  <si>
    <t>B074SYXBT8</t>
  </si>
  <si>
    <t>ST172-PP-L</t>
  </si>
  <si>
    <t>B074T25JWG</t>
  </si>
  <si>
    <t>ST172-PP-M</t>
  </si>
  <si>
    <t>B074SMT9CV</t>
  </si>
  <si>
    <t>ST172-PP-S</t>
  </si>
  <si>
    <t>B074SN4V6M</t>
  </si>
  <si>
    <t>ST172-PP-XL</t>
  </si>
  <si>
    <t>B074SM144J</t>
  </si>
  <si>
    <t>ST172-WR-L</t>
  </si>
  <si>
    <t>B074SM3B1W</t>
  </si>
  <si>
    <t>ST172-WR-M</t>
  </si>
  <si>
    <t>B074SXT999</t>
  </si>
  <si>
    <t>ST172-WR-S</t>
  </si>
  <si>
    <t>B074SYX9RW</t>
  </si>
  <si>
    <t>ST172-WR-XL</t>
  </si>
  <si>
    <t>B074SY2NWC</t>
  </si>
  <si>
    <t>ST172-WR-XXL</t>
  </si>
  <si>
    <t>B074SQ5NX1</t>
  </si>
  <si>
    <t>ST172-WT1-L</t>
  </si>
  <si>
    <t>B074SWPTKB</t>
  </si>
  <si>
    <t>ST172-WT1-M</t>
  </si>
  <si>
    <t>B074SNMJJ9</t>
  </si>
  <si>
    <t>ST172-WT1-S</t>
  </si>
  <si>
    <t>B074SZCXH9</t>
  </si>
  <si>
    <t>ST172-WT1-XL</t>
  </si>
  <si>
    <t>B074SZJPSD</t>
  </si>
  <si>
    <t>ST172-WT1-XXL</t>
  </si>
  <si>
    <t>B074SKM7WZ</t>
  </si>
  <si>
    <t>ST172-WT2-L</t>
  </si>
  <si>
    <t>B074SWFPBG</t>
  </si>
  <si>
    <t>ST172-WT2-M</t>
  </si>
  <si>
    <t>B074SKGP6T</t>
  </si>
  <si>
    <t>ST172-WT2-S</t>
  </si>
  <si>
    <t>B074SNVWHH</t>
  </si>
  <si>
    <t>ST172-WT2-XL</t>
  </si>
  <si>
    <t>B074SL2P7T</t>
  </si>
  <si>
    <t>ST172-WT2-XXL</t>
  </si>
  <si>
    <t>B074SZQ5DF</t>
  </si>
  <si>
    <t>ST173-BK-S</t>
  </si>
  <si>
    <t>B074SM5RZS</t>
  </si>
  <si>
    <t>ST173</t>
  </si>
  <si>
    <t>ST173-BK-XL</t>
  </si>
  <si>
    <t>B074T17WT8</t>
  </si>
  <si>
    <t>ST173-BK-XXL</t>
  </si>
  <si>
    <t>B074SPJFZZ</t>
  </si>
  <si>
    <t>ST173-BL-L</t>
  </si>
  <si>
    <t>B074SWQY9F</t>
  </si>
  <si>
    <t>ST173-BL-M</t>
  </si>
  <si>
    <t>B074SXT27T</t>
  </si>
  <si>
    <t>ST173-BL-S</t>
  </si>
  <si>
    <t>B074SZJYJJ</t>
  </si>
  <si>
    <t>ST173-BL-XXL</t>
  </si>
  <si>
    <t>B074ST3T2H</t>
  </si>
  <si>
    <t>ST173-GR-L</t>
  </si>
  <si>
    <t>B074SL2W76</t>
  </si>
  <si>
    <t>ST173-GR-M</t>
  </si>
  <si>
    <t>B074SMCKFY</t>
  </si>
  <si>
    <t>ST173-GR-S</t>
  </si>
  <si>
    <t>B074SVYFJC</t>
  </si>
  <si>
    <t>ST173-GR-XL</t>
  </si>
  <si>
    <t>B074SMTJC1</t>
  </si>
  <si>
    <t>ST173-NY-L</t>
  </si>
  <si>
    <t>B074SLG3XL</t>
  </si>
  <si>
    <t>ST173-NY-M</t>
  </si>
  <si>
    <t>B074SN3YQP</t>
  </si>
  <si>
    <t>ST173-NY-S</t>
  </si>
  <si>
    <t>B074SNF6PC</t>
  </si>
  <si>
    <t>ST173-NY-XL</t>
  </si>
  <si>
    <t>B074SMGT88</t>
  </si>
  <si>
    <t>ST173-PK-L</t>
  </si>
  <si>
    <t>B074SLMBT9</t>
  </si>
  <si>
    <t>ST173-PK-M</t>
  </si>
  <si>
    <t>B074SKGH3S</t>
  </si>
  <si>
    <t>ST173-PK-S</t>
  </si>
  <si>
    <t>B074SL9T1Y</t>
  </si>
  <si>
    <t>ST173-PK-XL</t>
  </si>
  <si>
    <t>B074SZD1GM</t>
  </si>
  <si>
    <t>ST173-PK-XXL</t>
  </si>
  <si>
    <t>B074SVP22M</t>
  </si>
  <si>
    <t>ST173-PP-S</t>
  </si>
  <si>
    <t>B074SL9Y3C</t>
  </si>
  <si>
    <t>ST173-WR-L</t>
  </si>
  <si>
    <t>B074SPF7P1</t>
  </si>
  <si>
    <t>ST173-WR-M</t>
  </si>
  <si>
    <t>B074SN3YQT</t>
  </si>
  <si>
    <t>ST173-WR-S</t>
  </si>
  <si>
    <t>B074SK47ZJ</t>
  </si>
  <si>
    <t>ST173-WR-XL</t>
  </si>
  <si>
    <t>B074SZC8W1</t>
  </si>
  <si>
    <t>ST173-WR-XXL</t>
  </si>
  <si>
    <t>B074SWV9C3</t>
  </si>
  <si>
    <t>ST173-WT1-S</t>
  </si>
  <si>
    <t>B074SXT853</t>
  </si>
  <si>
    <t>ST173-WT2-S</t>
  </si>
  <si>
    <t>B074SZQ3FG</t>
  </si>
  <si>
    <t>SZ-IUYL002</t>
  </si>
  <si>
    <t>B079JF8TQM</t>
  </si>
  <si>
    <t>TZ-CAHM240-BEAR-L</t>
  </si>
  <si>
    <t>B07G2TKH72</t>
  </si>
  <si>
    <t>TZ-CAHM240</t>
  </si>
  <si>
    <t>TZ-CAHM240-BEAR-M</t>
  </si>
  <si>
    <t>B07G2HK4LR</t>
  </si>
  <si>
    <t>TZ-CAHM240-BEAR-S</t>
  </si>
  <si>
    <t>B07G2GK8ZK</t>
  </si>
  <si>
    <t>TZ-CAHM240-BONE-L</t>
  </si>
  <si>
    <t>B07G2J4CCP</t>
  </si>
  <si>
    <t>TZ-CAHM240-BONE-M</t>
  </si>
  <si>
    <t>B07G2HT2XT</t>
  </si>
  <si>
    <t>TZ-CAHM240-BONE-S</t>
  </si>
  <si>
    <t>B07G2C1J1X</t>
  </si>
  <si>
    <t>TZ-CAHM240-CHRISMAS-L</t>
  </si>
  <si>
    <t>B07G2GG3FG</t>
  </si>
  <si>
    <t>TZ-CAHM240-CHRISMAS-M</t>
  </si>
  <si>
    <t>B07G2JK88P</t>
  </si>
  <si>
    <t>TZ-CAHM240-CHRISMAS-S</t>
  </si>
  <si>
    <t>B07G2CDB9N</t>
  </si>
  <si>
    <t>TZ-CAHM240-DOT-L</t>
  </si>
  <si>
    <t>B07G2FZJ1T</t>
  </si>
  <si>
    <t>TZ-CAHM240-DOT-M</t>
  </si>
  <si>
    <t>B07G2DBC11</t>
  </si>
  <si>
    <t>TZ-CAHM240-DOT-S</t>
  </si>
  <si>
    <t>B07G2F95T9</t>
  </si>
  <si>
    <t>TZ-CAHM240-DOT2-L</t>
  </si>
  <si>
    <t>B07G2CQMRB</t>
  </si>
  <si>
    <t>TZ-CAHM240-DOT2-M</t>
  </si>
  <si>
    <t>B07G2G9KXB</t>
  </si>
  <si>
    <t>TZ-CAHM240-DOT2-S</t>
  </si>
  <si>
    <t>B07G2JKPHB</t>
  </si>
  <si>
    <t>TZ-CAHM240-ELPH-L</t>
  </si>
  <si>
    <t>B07G2BHFL7</t>
  </si>
  <si>
    <t>TZ-CAHM240-ELPH-M</t>
  </si>
  <si>
    <t>B07G2DMWYP</t>
  </si>
  <si>
    <t>TZ-CAHM240-ELPH-S</t>
  </si>
  <si>
    <t>B07G2CRRYT</t>
  </si>
  <si>
    <t>TZ-CAHM240-LOVE-L</t>
  </si>
  <si>
    <t>B07G2QCTTK</t>
  </si>
  <si>
    <t>TZ-CAHM240-LOVE-M</t>
  </si>
  <si>
    <t>B07G2C9V8N</t>
  </si>
  <si>
    <t>TZ-CAHM240-LOVE-S</t>
  </si>
  <si>
    <t>B07G2C7LXR</t>
  </si>
  <si>
    <t>TZ-CAHM240-PAW-L</t>
  </si>
  <si>
    <t>B07G2F3B36</t>
  </si>
  <si>
    <t>TZ-CAHM240-PAW-M</t>
  </si>
  <si>
    <t>B07G2QCW7J</t>
  </si>
  <si>
    <t>TZ-CAHM240-PAW-S</t>
  </si>
  <si>
    <t>B07G2J4CCG</t>
  </si>
  <si>
    <t>TZ-CAHM240-RABBIT-L</t>
  </si>
  <si>
    <t>B07G2J672C</t>
  </si>
  <si>
    <t>TZ-CAHM240-RABBIT-M</t>
  </si>
  <si>
    <t>B07G2H6MVD</t>
  </si>
  <si>
    <t>TZ-CAHM240-RABBIT-S</t>
  </si>
  <si>
    <t>B07G2D1R88</t>
  </si>
  <si>
    <t>TZ-CAHM240-STAR-L</t>
  </si>
  <si>
    <t>B07G2D9NZP</t>
  </si>
  <si>
    <t>TZ-CAHM240-STAR-M</t>
  </si>
  <si>
    <t>B07G2JF5SV</t>
  </si>
  <si>
    <t>TZ-CAHM240-STAR-S</t>
  </si>
  <si>
    <t>B07G2DFQH7</t>
  </si>
  <si>
    <t>TZ-CAHM240-STRAWBERRY-L</t>
  </si>
  <si>
    <t>B07G2CV2C7</t>
  </si>
  <si>
    <t>TZ-CAHM240-STRAWBERRY-M</t>
  </si>
  <si>
    <t>B07G2HNK7F</t>
  </si>
  <si>
    <t>TZ-CAHM240-STRAWBERRY-S</t>
  </si>
  <si>
    <t>B07G2HDHQR</t>
  </si>
  <si>
    <t>TZ-IUYL240-BEAR-L</t>
  </si>
  <si>
    <t>B07DFBHNBF</t>
  </si>
  <si>
    <t>TZ-IUYL240</t>
  </si>
  <si>
    <t>TZ-IUYL240-BEAR-M</t>
  </si>
  <si>
    <t>B07DFC3CFS</t>
  </si>
  <si>
    <t>TZ-IUYL240-BEAR-S</t>
  </si>
  <si>
    <t>B07DF6DDNM</t>
  </si>
  <si>
    <t>TZ-IUYL240-BONE-L</t>
  </si>
  <si>
    <t>B079HRST93</t>
  </si>
  <si>
    <t>TZ-IUYL240-BONE-M</t>
  </si>
  <si>
    <t>B079HPCGB9</t>
  </si>
  <si>
    <t>TZ-IUYL240-BONE-S</t>
  </si>
  <si>
    <t>B079HQW62H</t>
  </si>
  <si>
    <t>TZ-IUYL240-CHRISMAS-L</t>
  </si>
  <si>
    <t>B07FPF48R8</t>
  </si>
  <si>
    <t>TZ-IUYL240-CHRISMAS-M</t>
  </si>
  <si>
    <t>B07FPDR28G</t>
  </si>
  <si>
    <t>TZ-IUYL240-CHRISMAS-S</t>
  </si>
  <si>
    <t>B07FPGNFXV</t>
  </si>
  <si>
    <t>TZ-IUYL240-DOT-L</t>
  </si>
  <si>
    <t>B07C16NFVZ</t>
  </si>
  <si>
    <t>TZ-IUYL240-DOT-M</t>
  </si>
  <si>
    <t>B07CBPJCK5</t>
  </si>
  <si>
    <t>TZ-IUYL240-DOT-S</t>
  </si>
  <si>
    <t>B07CBPWQZT</t>
  </si>
  <si>
    <t>TZ-IUYL240-DOT2-L</t>
  </si>
  <si>
    <t>B07DFBKQ2D</t>
  </si>
  <si>
    <t>TZ-IUYL240-DOT2-M</t>
  </si>
  <si>
    <t>B07DF81JBH</t>
  </si>
  <si>
    <t>TZ-IUYL240-DOT2-S</t>
  </si>
  <si>
    <t>B07DF9YBBV</t>
  </si>
  <si>
    <t>TZ-IUYL240-ELPH-L</t>
  </si>
  <si>
    <t>B07BGW4LWX</t>
  </si>
  <si>
    <t>TZ-IUYL240-ELPH-M</t>
  </si>
  <si>
    <t>B07BGSSQLV</t>
  </si>
  <si>
    <t>TZ-IUYL240-ELPH-S</t>
  </si>
  <si>
    <t>B07BGWTSX6</t>
  </si>
  <si>
    <t>TZ-IUYL240-LOVE-L</t>
  </si>
  <si>
    <t>B07DL5W2R6</t>
  </si>
  <si>
    <t>TZ-IUYL240-LOVE-M</t>
  </si>
  <si>
    <t>B07DL53SBF</t>
  </si>
  <si>
    <t>TZ-IUYL240-LOVE-S</t>
  </si>
  <si>
    <t>B07DL5G8KV</t>
  </si>
  <si>
    <t>TZ-IUYL240-PAW-L</t>
  </si>
  <si>
    <t>B079HP2RFZ</t>
  </si>
  <si>
    <t>TZ-IUYL240-PAW-M</t>
  </si>
  <si>
    <t>B079HPLTVC</t>
  </si>
  <si>
    <t>TZ-IUYL240-PAW-S</t>
  </si>
  <si>
    <t>B079HQPJP2</t>
  </si>
  <si>
    <t>TZ-IUYL240-RABBIT-L</t>
  </si>
  <si>
    <t>B07DFBM9N3</t>
  </si>
  <si>
    <t>TZ-IUYL240-RABBIT-M</t>
  </si>
  <si>
    <t>B07DF6XZQC</t>
  </si>
  <si>
    <t>TZ-IUYL240-RABBIT-S</t>
  </si>
  <si>
    <t>B07DFCKR8T</t>
  </si>
  <si>
    <t>TZ-IUYL240-STAR-L</t>
  </si>
  <si>
    <t>B079HRYZ8F</t>
  </si>
  <si>
    <t>TZ-IUYL240-STAR-M</t>
  </si>
  <si>
    <t>B079HQGKS9</t>
  </si>
  <si>
    <t>TZ-IUYL240-STAR-S</t>
  </si>
  <si>
    <t>B079HS8H93</t>
  </si>
  <si>
    <t>TZ-IUYL240-STRAWBERRY-L</t>
  </si>
  <si>
    <t>B07C1P3Z1B</t>
  </si>
  <si>
    <t>TZ-IUYL240-STRAWBERRY-M</t>
  </si>
  <si>
    <t>B07CBR7LCS</t>
  </si>
  <si>
    <t>TZ-IUYL240-STRAWBERRY-S</t>
  </si>
  <si>
    <t>B07CBPP52D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</si>
  <si>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</si>
  <si>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</si>
  <si>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</si>
  <si>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</si>
  <si>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</si>
  <si>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</si>
  <si>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</si>
  <si>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</si>
  <si>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</si>
  <si>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</si>
  <si>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</si>
  <si>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</si>
  <si>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</si>
  <si>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</si>
  <si>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</si>
  <si>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</si>
  <si>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</si>
  <si>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</si>
  <si>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</si>
  <si>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B079G3D72G</t>
  </si>
  <si>
    <t>TZ-SY240</t>
  </si>
  <si>
    <t>TZ-SY240-ELPH-S</t>
  </si>
  <si>
    <t>B07BGYNNNN</t>
  </si>
  <si>
    <t>TZ-SY240-STRAWBERRY-S</t>
  </si>
  <si>
    <t>B07C8B4SK9</t>
  </si>
  <si>
    <t>XQ-IUYL260-BK-M</t>
  </si>
  <si>
    <t>B079GQ697Z</t>
  </si>
  <si>
    <t>XQ-IUYL260</t>
  </si>
  <si>
    <t>XQ-IUYL260-BK-S</t>
  </si>
  <si>
    <t>B079GPRVHY</t>
  </si>
  <si>
    <t>XQ-IUYL260-BL1-M</t>
  </si>
  <si>
    <t>B079GQ99MR</t>
  </si>
  <si>
    <t>XQ-IUYL260-BL1-S</t>
  </si>
  <si>
    <t>B079GQZMQ2</t>
  </si>
  <si>
    <t>XQ-IUYL260-BL2-M</t>
  </si>
  <si>
    <t>B079GR91JK</t>
  </si>
  <si>
    <t>XQ-IUYL260-BL2-S</t>
  </si>
  <si>
    <t>B079GLZ6K8</t>
  </si>
  <si>
    <t>XQ-IUYL260-GN-M</t>
  </si>
  <si>
    <t>B079GML28B</t>
  </si>
  <si>
    <t>XQ-IUYL260-GN-S</t>
  </si>
  <si>
    <t>B079GQ2C5K</t>
  </si>
  <si>
    <t>XQ-IUYL260-PK-M</t>
  </si>
  <si>
    <t>B079GRXYH8</t>
  </si>
  <si>
    <t>XQ-IUYL260-PK-S</t>
  </si>
  <si>
    <t>B079GMMWG2</t>
  </si>
  <si>
    <t>XQ-IUYL260-PP-M</t>
  </si>
  <si>
    <t>B079GQB66Z</t>
  </si>
  <si>
    <t>XQ-IUYL260-PP-S</t>
  </si>
  <si>
    <t>B079GNL7BD</t>
  </si>
  <si>
    <t>XQ-IUYL260-RD-M</t>
  </si>
  <si>
    <t>B079GS81P9</t>
  </si>
  <si>
    <t>XQ-IUYL260-RD-S</t>
  </si>
  <si>
    <t>B079GM3BXL</t>
  </si>
  <si>
    <t>XQ-IUYL260-YL-M</t>
  </si>
  <si>
    <t>B079GPD2NN</t>
  </si>
  <si>
    <t>XQ-IUYL260-YL-S</t>
  </si>
  <si>
    <t>B079GQYYYF</t>
  </si>
  <si>
    <t>XQ-IUYL320-BK-L</t>
  </si>
  <si>
    <t>B07C8GM23V</t>
  </si>
  <si>
    <t>XQ-IUYL320</t>
  </si>
  <si>
    <t>XQ-IUYL320-BK-M</t>
  </si>
  <si>
    <t>B07BLV8M7G</t>
  </si>
  <si>
    <t>XQ-IUYL320-BK-S</t>
  </si>
  <si>
    <t>B07BLZDS36</t>
  </si>
  <si>
    <t>XQ-IUYL320-BK-XL</t>
  </si>
  <si>
    <t>B07BLXSN84</t>
  </si>
  <si>
    <t>XQ-IUYL320-BL-L</t>
  </si>
  <si>
    <t>B07BLR3VDW</t>
  </si>
  <si>
    <t>XQ-IUYL320-BL-M</t>
  </si>
  <si>
    <t>B07BLTCKF4</t>
  </si>
  <si>
    <t>XQ-IUYL320-BL-S</t>
  </si>
  <si>
    <t>B07BLXLBHX</t>
  </si>
  <si>
    <t>XQ-IUYL320-BL-XL</t>
  </si>
  <si>
    <t>B07BLRNMV5</t>
  </si>
  <si>
    <t>XQ-IUYL320-CF-L</t>
  </si>
  <si>
    <t>B07BLT6QLH</t>
  </si>
  <si>
    <t>XQ-IUYL320-CF-M</t>
  </si>
  <si>
    <t>B07BLV5B1Y</t>
  </si>
  <si>
    <t>XQ-IUYL320-CF-S</t>
  </si>
  <si>
    <t>B07BLV93M6</t>
  </si>
  <si>
    <t>XQ-IUYL320-CF-XL</t>
  </si>
  <si>
    <t>B07BLRWWB9</t>
  </si>
  <si>
    <t>XQ-IUYL320-DB-L</t>
  </si>
  <si>
    <t>B07BLT8Z76</t>
  </si>
  <si>
    <t>XQ-IUYL320-DB-M</t>
  </si>
  <si>
    <t>B07BLS3RH4</t>
  </si>
  <si>
    <t>XQ-IUYL320-DB-S</t>
  </si>
  <si>
    <t>B07BLZ5PS4</t>
  </si>
  <si>
    <t>XQ-IUYL320-DB-XL</t>
  </si>
  <si>
    <t>B07BLRTLGM</t>
  </si>
  <si>
    <t>XQ-IUYL320-GN-L</t>
  </si>
  <si>
    <t>B07BLRDXJK</t>
  </si>
  <si>
    <t>XQ-IUYL320-GN-M</t>
  </si>
  <si>
    <t>B07C8GHD9F</t>
  </si>
  <si>
    <t>XQ-IUYL320-GN-S</t>
  </si>
  <si>
    <t>B07BLXYK2X</t>
  </si>
  <si>
    <t>XQ-IUYL320-GN-XL</t>
  </si>
  <si>
    <t>B07BLXHTK7</t>
  </si>
  <si>
    <t>XQ-IUYL320-PK-L</t>
  </si>
  <si>
    <t>B07BLV93M3</t>
  </si>
  <si>
    <t>XQ-IUYL320-PK-M</t>
  </si>
  <si>
    <t>B07BLT9556</t>
  </si>
  <si>
    <t>XQ-IUYL320-PK-S</t>
  </si>
  <si>
    <t>B07BLWPJFH</t>
  </si>
  <si>
    <t>XQ-IUYL320-PK-XL</t>
  </si>
  <si>
    <t>B07BLZ8QQW</t>
  </si>
  <si>
    <t>XQ-IUYL320-PP-L</t>
  </si>
  <si>
    <t>B07BLVMB53</t>
  </si>
  <si>
    <t>XQ-IUYL320-PP-M</t>
  </si>
  <si>
    <t>B07BLWQZKS</t>
  </si>
  <si>
    <t>XQ-IUYL320-PP-S</t>
  </si>
  <si>
    <t>B07BLSR168</t>
  </si>
  <si>
    <t>XQ-IUYL320-PP-XL</t>
  </si>
  <si>
    <t>B07BLRLRW6</t>
  </si>
  <si>
    <t>XQ-IUYL320-RD-L</t>
  </si>
  <si>
    <t>B07BLXBP85</t>
  </si>
  <si>
    <t>XQ-IUYL320-RD-M</t>
  </si>
  <si>
    <t>B07BLRWPX4</t>
  </si>
  <si>
    <t>XQ-IUYL320-RD-S</t>
  </si>
  <si>
    <t>B07BLYK979</t>
  </si>
  <si>
    <t>XQ-IUYL320-RD-XL</t>
  </si>
  <si>
    <t>B07BLX976V</t>
  </si>
  <si>
    <t>XQ-IUYL320-YL-L</t>
  </si>
  <si>
    <t>B07BLTGHH9</t>
  </si>
  <si>
    <t>XQ-IUYL320-YL-M</t>
  </si>
  <si>
    <t>B07BLSNYZP</t>
  </si>
  <si>
    <t>XQ-IUYL320-YL-S</t>
  </si>
  <si>
    <t>B07BLSLVNQ</t>
  </si>
  <si>
    <t>XQ-IUYL320-YL-XL</t>
  </si>
  <si>
    <t>B07BLVSWRJ</t>
  </si>
  <si>
    <t>ZB-PUHM-DTLS-140*200CM</t>
  </si>
  <si>
    <t>B07GGV1821</t>
  </si>
  <si>
    <t>ZB-PUHM-DTLS-140*220CM</t>
  </si>
  <si>
    <t>B07GHCLGQ3</t>
  </si>
  <si>
    <t>ZB-PUHM-XHW0-140*160CM</t>
  </si>
  <si>
    <t>B07GGRRDCK</t>
  </si>
  <si>
    <t>scarf-0001-Blue</t>
  </si>
  <si>
    <t>B073GY4FL6</t>
  </si>
  <si>
    <t>scarf-0001</t>
  </si>
  <si>
    <t>scarf-0001-Peony</t>
  </si>
  <si>
    <t>B073GX87XH</t>
  </si>
  <si>
    <t>scarf-001-blueheart</t>
  </si>
  <si>
    <t>B073GXT1YF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</si>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</sst>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4" fillId="1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5" borderId="7" applyNumberFormat="0" applyFont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5" fillId="17" borderId="4" applyNumberFormat="0" applyAlignment="0" applyProtection="0">
      <alignment vertical="center"/>
    </xf>
    <xf numFmtId="0" fontId="24" fillId="17" borderId="3" applyNumberFormat="0" applyAlignment="0" applyProtection="0">
      <alignment vertical="center"/>
    </xf>
    <xf numFmtId="0" fontId="20" fillId="24" borderId="6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2116</v>
          </cell>
          <cell r="C2">
            <v>18</v>
          </cell>
          <cell r="D2">
            <v>2803</v>
          </cell>
          <cell r="E2">
            <v>58</v>
          </cell>
          <cell r="F2">
            <v>2861</v>
          </cell>
          <cell r="G2">
            <v>823</v>
          </cell>
          <cell r="H2">
            <v>237</v>
          </cell>
          <cell r="I2">
            <v>50</v>
          </cell>
          <cell r="J2">
            <v>312</v>
          </cell>
          <cell r="K2">
            <v>57</v>
          </cell>
          <cell r="L2">
            <v>193</v>
          </cell>
          <cell r="M2">
            <v>7</v>
          </cell>
        </row>
        <row r="3">
          <cell r="A3" t="str">
            <v>GW-IUHM-BONE-PK-L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9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GW-IUHM-BONE-PK-XL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9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GW-IUHM-BONE-BK-XL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19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LGQ-IUYL100-PK</v>
          </cell>
          <cell r="B6">
            <v>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GW-IUHM-BONE-BK-S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30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GW-IUHM-BONE-LB-XL</v>
          </cell>
          <cell r="B8">
            <v>1</v>
          </cell>
          <cell r="C8">
            <v>0</v>
          </cell>
          <cell r="D8">
            <v>1</v>
          </cell>
          <cell r="E8">
            <v>2</v>
          </cell>
          <cell r="F8">
            <v>3</v>
          </cell>
          <cell r="G8">
            <v>7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GW-IUHM-BONE-CF-M</v>
          </cell>
          <cell r="B9">
            <v>1</v>
          </cell>
          <cell r="C9">
            <v>0</v>
          </cell>
          <cell r="D9">
            <v>31</v>
          </cell>
          <cell r="E9">
            <v>0</v>
          </cell>
          <cell r="F9">
            <v>31</v>
          </cell>
          <cell r="G9">
            <v>30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GW-IUHM-BONE-LB-M</v>
          </cell>
          <cell r="B10">
            <v>1</v>
          </cell>
          <cell r="C10">
            <v>0</v>
          </cell>
          <cell r="D10">
            <v>1</v>
          </cell>
          <cell r="E10">
            <v>1</v>
          </cell>
          <cell r="F10">
            <v>2</v>
          </cell>
          <cell r="G10">
            <v>8</v>
          </cell>
          <cell r="H10">
            <v>3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GW-IUHM-BONE-PK-S</v>
          </cell>
          <cell r="B11">
            <v>1</v>
          </cell>
          <cell r="C11">
            <v>0</v>
          </cell>
          <cell r="D11">
            <v>9</v>
          </cell>
          <cell r="E11">
            <v>0</v>
          </cell>
          <cell r="F11">
            <v>9</v>
          </cell>
          <cell r="G11">
            <v>10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LYQ-WF7125-KO-L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GW-IUHM-BONE-PK-M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9</v>
          </cell>
          <cell r="H13">
            <v>2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MMDC-IUHM100-BL</v>
          </cell>
          <cell r="B14">
            <v>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MJ-IUYL230-BL-S</v>
          </cell>
          <cell r="B15">
            <v>7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</v>
          </cell>
          <cell r="I15">
            <v>0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A16" t="str">
            <v>MMDC-IUHM100-BK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SCF-B01-003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0</v>
          </cell>
          <cell r="K17">
            <v>1</v>
          </cell>
          <cell r="L17">
            <v>1</v>
          </cell>
          <cell r="M17">
            <v>0</v>
          </cell>
        </row>
        <row r="18">
          <cell r="A18" t="str">
            <v>SCF-A01-009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0</v>
          </cell>
          <cell r="K18">
            <v>0</v>
          </cell>
          <cell r="L18">
            <v>4</v>
          </cell>
          <cell r="M18">
            <v>0</v>
          </cell>
        </row>
        <row r="19">
          <cell r="A19" t="str">
            <v>SCF-D01-009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2</v>
          </cell>
          <cell r="M19">
            <v>0</v>
          </cell>
        </row>
        <row r="20">
          <cell r="A20" t="str">
            <v>SCF-C01-010</v>
          </cell>
          <cell r="B20">
            <v>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4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0</v>
          </cell>
        </row>
        <row r="21">
          <cell r="A21" t="str">
            <v>ST-K559-KQ-44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ST171-Sa911-S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ST172-GR-M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6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ST172-WT1-XL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ST172-NY-S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ST172-PK-XL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18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ST172-NY-XXL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4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ST172-NY-XL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16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ST172-WT1-S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8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ST172-GR-L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6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ST172-BL-S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ST172-NY-M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6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ST172-PP-S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ST172-WT2-XXL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ST172-PK-M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ST172-GR-XL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ST172-PP-XL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ST172-GR-XXL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ST172-WT1-M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ST172-WT2-S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ST172-WR-L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6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TZ-IUYL240-BEAR-S</v>
          </cell>
          <cell r="B42">
            <v>14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24</v>
          </cell>
          <cell r="H42">
            <v>2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TZ-IUYL240-BEAR-M</v>
          </cell>
          <cell r="B43">
            <v>11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TZ-IUYL240-RABBIT-S</v>
          </cell>
          <cell r="B44">
            <v>55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43</v>
          </cell>
          <cell r="H44">
            <v>2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TZ-IUYL240-LOVE-S</v>
          </cell>
          <cell r="B45">
            <v>11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2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TZ-IUYL240-DOT2-M</v>
          </cell>
          <cell r="B46">
            <v>13</v>
          </cell>
          <cell r="C46">
            <v>0</v>
          </cell>
          <cell r="D46">
            <v>80</v>
          </cell>
          <cell r="E46">
            <v>0</v>
          </cell>
          <cell r="F46">
            <v>80</v>
          </cell>
          <cell r="G46">
            <v>9</v>
          </cell>
          <cell r="H46">
            <v>3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TZ-IUYL240-DOT2-S</v>
          </cell>
          <cell r="B47">
            <v>38</v>
          </cell>
          <cell r="C47">
            <v>0</v>
          </cell>
          <cell r="D47">
            <v>160</v>
          </cell>
          <cell r="E47">
            <v>0</v>
          </cell>
          <cell r="F47">
            <v>160</v>
          </cell>
          <cell r="G47">
            <v>0</v>
          </cell>
          <cell r="H47">
            <v>2</v>
          </cell>
          <cell r="I47">
            <v>1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TZ-IUYL240-RABBIT-M</v>
          </cell>
          <cell r="B48">
            <v>16</v>
          </cell>
          <cell r="C48">
            <v>0</v>
          </cell>
          <cell r="D48">
            <v>10</v>
          </cell>
          <cell r="E48">
            <v>0</v>
          </cell>
          <cell r="F48">
            <v>10</v>
          </cell>
          <cell r="G48">
            <v>1</v>
          </cell>
          <cell r="H48">
            <v>3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TZ-IUYL240-BEAR-L</v>
          </cell>
          <cell r="B49">
            <v>18</v>
          </cell>
          <cell r="C49">
            <v>1</v>
          </cell>
          <cell r="D49">
            <v>5</v>
          </cell>
          <cell r="E49">
            <v>0</v>
          </cell>
          <cell r="F49">
            <v>5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TZ-IUYL240-DOT2-L</v>
          </cell>
          <cell r="B50">
            <v>3</v>
          </cell>
          <cell r="C50">
            <v>0</v>
          </cell>
          <cell r="D50">
            <v>14</v>
          </cell>
          <cell r="E50">
            <v>0</v>
          </cell>
          <cell r="F50">
            <v>14</v>
          </cell>
          <cell r="G50">
            <v>11</v>
          </cell>
          <cell r="H50">
            <v>2</v>
          </cell>
          <cell r="I50">
            <v>2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TZ-IUYL240-LOVE-L</v>
          </cell>
          <cell r="B51">
            <v>11</v>
          </cell>
          <cell r="C51">
            <v>0</v>
          </cell>
          <cell r="D51">
            <v>10</v>
          </cell>
          <cell r="E51">
            <v>0</v>
          </cell>
          <cell r="F51">
            <v>10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TZ-IUYL240LHY-ELPH-M</v>
          </cell>
          <cell r="B52">
            <v>77</v>
          </cell>
          <cell r="C52">
            <v>1</v>
          </cell>
          <cell r="D52">
            <v>75</v>
          </cell>
          <cell r="E52">
            <v>2</v>
          </cell>
          <cell r="F52">
            <v>77</v>
          </cell>
          <cell r="G52">
            <v>36</v>
          </cell>
          <cell r="H52">
            <v>0</v>
          </cell>
          <cell r="I52">
            <v>4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TZ-IUYL240LHY-PAW-S</v>
          </cell>
          <cell r="B53">
            <v>47</v>
          </cell>
          <cell r="C53">
            <v>1</v>
          </cell>
          <cell r="D53">
            <v>129</v>
          </cell>
          <cell r="E53">
            <v>2</v>
          </cell>
          <cell r="F53">
            <v>131</v>
          </cell>
          <cell r="G53">
            <v>98</v>
          </cell>
          <cell r="H53">
            <v>6</v>
          </cell>
          <cell r="I53">
            <v>5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TZ-IUYL240-STRAWBERRY-M</v>
          </cell>
          <cell r="B54">
            <v>11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XQ-IUYL260-PP-S</v>
          </cell>
          <cell r="B55">
            <v>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4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XQ-IUYL260-RD-M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TZ-IUYL240LHY-ELPH-S</v>
          </cell>
          <cell r="B57">
            <v>97</v>
          </cell>
          <cell r="C57">
            <v>0</v>
          </cell>
          <cell r="D57">
            <v>67</v>
          </cell>
          <cell r="E57">
            <v>0</v>
          </cell>
          <cell r="F57">
            <v>67</v>
          </cell>
          <cell r="G57">
            <v>121</v>
          </cell>
          <cell r="H57">
            <v>10</v>
          </cell>
          <cell r="I57">
            <v>6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XQ-IUYL260-GN-M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3</v>
          </cell>
          <cell r="H58">
            <v>0</v>
          </cell>
          <cell r="I58">
            <v>0</v>
          </cell>
          <cell r="J58">
            <v>10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XQ-IUYL260-GN-S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3</v>
          </cell>
          <cell r="H59">
            <v>0</v>
          </cell>
          <cell r="I59">
            <v>0</v>
          </cell>
          <cell r="J59">
            <v>9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TZ-IUYL240LHY-DOT-S</v>
          </cell>
          <cell r="B60">
            <v>129</v>
          </cell>
          <cell r="C60">
            <v>1</v>
          </cell>
          <cell r="D60">
            <v>85</v>
          </cell>
          <cell r="E60">
            <v>0</v>
          </cell>
          <cell r="F60">
            <v>85</v>
          </cell>
          <cell r="G60">
            <v>5</v>
          </cell>
          <cell r="H60">
            <v>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TZ-IUYL240LHY-PAW-M</v>
          </cell>
          <cell r="B61">
            <v>79</v>
          </cell>
          <cell r="C61">
            <v>0</v>
          </cell>
          <cell r="D61">
            <v>190</v>
          </cell>
          <cell r="E61">
            <v>0</v>
          </cell>
          <cell r="F61">
            <v>190</v>
          </cell>
          <cell r="G61">
            <v>58</v>
          </cell>
          <cell r="H61">
            <v>6</v>
          </cell>
          <cell r="I61">
            <v>3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XQ-IUYL260-YL-S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1</v>
          </cell>
          <cell r="J62">
            <v>3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TZ-IUYL240LHY-BONE-L</v>
          </cell>
          <cell r="B63">
            <v>11</v>
          </cell>
          <cell r="C63">
            <v>0</v>
          </cell>
          <cell r="D63">
            <v>35</v>
          </cell>
          <cell r="E63">
            <v>2</v>
          </cell>
          <cell r="F63">
            <v>37</v>
          </cell>
          <cell r="G63">
            <v>3</v>
          </cell>
          <cell r="H63">
            <v>0</v>
          </cell>
          <cell r="I63">
            <v>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TZ-IUYL240LHY-ELPH-L</v>
          </cell>
          <cell r="B64">
            <v>17</v>
          </cell>
          <cell r="C64">
            <v>0</v>
          </cell>
          <cell r="D64">
            <v>60</v>
          </cell>
          <cell r="E64">
            <v>20</v>
          </cell>
          <cell r="F64">
            <v>80</v>
          </cell>
          <cell r="G64">
            <v>2</v>
          </cell>
          <cell r="H64">
            <v>1</v>
          </cell>
          <cell r="I64">
            <v>4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TZ-IUYL240-STRAWBERRY-L</v>
          </cell>
          <cell r="B65">
            <v>10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TZ-IUYL240LHY-STRAWBERRY-M</v>
          </cell>
          <cell r="B66">
            <v>79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TZ-IUYL240LHY-DOT-M</v>
          </cell>
          <cell r="B67">
            <v>43</v>
          </cell>
          <cell r="C67">
            <v>2</v>
          </cell>
          <cell r="D67">
            <v>60</v>
          </cell>
          <cell r="E67">
            <v>0</v>
          </cell>
          <cell r="F67">
            <v>60</v>
          </cell>
          <cell r="G67">
            <v>21</v>
          </cell>
          <cell r="H67">
            <v>2</v>
          </cell>
          <cell r="I67">
            <v>3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XQ-IUYL260-BK-S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2</v>
          </cell>
          <cell r="H68">
            <v>0</v>
          </cell>
          <cell r="I68">
            <v>0</v>
          </cell>
          <cell r="J68">
            <v>5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TZ-IUYL240LHY-DOT-L</v>
          </cell>
          <cell r="B69">
            <v>33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40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TZ-IUYL240LHY-PAW-L</v>
          </cell>
          <cell r="B70">
            <v>19</v>
          </cell>
          <cell r="C70">
            <v>1</v>
          </cell>
          <cell r="D70">
            <v>50</v>
          </cell>
          <cell r="E70">
            <v>1</v>
          </cell>
          <cell r="F70">
            <v>51</v>
          </cell>
          <cell r="G70">
            <v>25</v>
          </cell>
          <cell r="H70">
            <v>12</v>
          </cell>
          <cell r="I70">
            <v>6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TZ-IUYL240LHY-BONE-S</v>
          </cell>
          <cell r="B71">
            <v>94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159</v>
          </cell>
          <cell r="H71">
            <v>12</v>
          </cell>
          <cell r="I71">
            <v>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TZ-IUYL240LHY-STAR-S</v>
          </cell>
          <cell r="B72">
            <v>44</v>
          </cell>
          <cell r="C72">
            <v>0</v>
          </cell>
          <cell r="D72">
            <v>0</v>
          </cell>
          <cell r="E72">
            <v>8</v>
          </cell>
          <cell r="F72">
            <v>8</v>
          </cell>
          <cell r="G72">
            <v>1</v>
          </cell>
          <cell r="H72">
            <v>1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TZ-IUYL240LHY-BONE-M</v>
          </cell>
          <cell r="B73">
            <v>42</v>
          </cell>
          <cell r="C73">
            <v>1</v>
          </cell>
          <cell r="D73">
            <v>63</v>
          </cell>
          <cell r="E73">
            <v>0</v>
          </cell>
          <cell r="F73">
            <v>63</v>
          </cell>
          <cell r="G73">
            <v>21</v>
          </cell>
          <cell r="H73">
            <v>3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KZ-LY021-BL-34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3</v>
          </cell>
          <cell r="L74">
            <v>0</v>
          </cell>
          <cell r="M74">
            <v>0</v>
          </cell>
        </row>
        <row r="75">
          <cell r="A75" t="str">
            <v>XQ-IUYL320-RD-M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KZ-LY021-WR-34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3</v>
          </cell>
          <cell r="L76">
            <v>0</v>
          </cell>
          <cell r="M76">
            <v>0</v>
          </cell>
        </row>
        <row r="77">
          <cell r="A77" t="str">
            <v>SCF-A01-010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6</v>
          </cell>
          <cell r="M77">
            <v>0</v>
          </cell>
        </row>
        <row r="78">
          <cell r="A78" t="str">
            <v>XQ-IUYL320-RD-L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XQ-IUYL320-DB-L</v>
          </cell>
          <cell r="B79">
            <v>4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4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SCF-C01-011</v>
          </cell>
          <cell r="B80">
            <v>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7</v>
          </cell>
          <cell r="M80">
            <v>0</v>
          </cell>
        </row>
        <row r="81">
          <cell r="A81" t="str">
            <v>KZ-LY021-BL-32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3</v>
          </cell>
          <cell r="L81">
            <v>0</v>
          </cell>
          <cell r="M81">
            <v>0</v>
          </cell>
        </row>
        <row r="82">
          <cell r="A82" t="str">
            <v>XQ-IUYL320-CF-M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4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SCF-B01-015</v>
          </cell>
          <cell r="B83">
            <v>6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6</v>
          </cell>
          <cell r="M83">
            <v>0</v>
          </cell>
        </row>
        <row r="84">
          <cell r="A84" t="str">
            <v>SCF-A01-013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</v>
          </cell>
          <cell r="K84">
            <v>0</v>
          </cell>
          <cell r="L84">
            <v>6</v>
          </cell>
          <cell r="M84">
            <v>0</v>
          </cell>
        </row>
        <row r="85">
          <cell r="A85" t="str">
            <v>BBBD-1605A-RD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TZ-IUYL240-STAR-M</v>
          </cell>
          <cell r="B86">
            <v>7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7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XQ-IUYL260-BL2-S</v>
          </cell>
          <cell r="B87">
            <v>11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11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ST173-PK-XXL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XQ-IUYL320-BL-XL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LGQ-IUYL100-BL</v>
          </cell>
          <cell r="B90">
            <v>14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KZ-LY021-WR-38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AQD-IUYL330-DB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XQ-IUYL320-RD-S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4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SCF-C01-018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1</v>
          </cell>
          <cell r="K94">
            <v>0</v>
          </cell>
          <cell r="L94">
            <v>3</v>
          </cell>
          <cell r="M94">
            <v>0</v>
          </cell>
        </row>
        <row r="95">
          <cell r="A95" t="str">
            <v>LGQ-IUYL100-RD</v>
          </cell>
          <cell r="B95">
            <v>9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KZ-LY021-WR-36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3</v>
          </cell>
          <cell r="L96">
            <v>0</v>
          </cell>
          <cell r="M96">
            <v>0</v>
          </cell>
        </row>
        <row r="97">
          <cell r="A97" t="str">
            <v>XQ-IUYL320-PP-L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4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XQ-IUYL320-BK-L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4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GW-LULHY-8.8</v>
          </cell>
          <cell r="B99">
            <v>22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SCF-B01-021</v>
          </cell>
          <cell r="B100">
            <v>6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6</v>
          </cell>
          <cell r="M100">
            <v>0</v>
          </cell>
        </row>
        <row r="101">
          <cell r="A101" t="str">
            <v>XQ-IUYL320-BK-S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4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SCF-D01-006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5</v>
          </cell>
          <cell r="M102">
            <v>0</v>
          </cell>
        </row>
        <row r="103">
          <cell r="A103" t="str">
            <v>SCF-C01-003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</v>
          </cell>
          <cell r="L103">
            <v>3</v>
          </cell>
          <cell r="M103">
            <v>0</v>
          </cell>
        </row>
        <row r="104">
          <cell r="A104" t="str">
            <v>SCF-C01-007</v>
          </cell>
          <cell r="B104">
            <v>4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4</v>
          </cell>
          <cell r="M104">
            <v>0</v>
          </cell>
        </row>
        <row r="105">
          <cell r="A105" t="str">
            <v>ST006-BL2-S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XQ-IUYL320-YL-M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4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XQ-IUYL320-YL-L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4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KZ-LY021-BK-34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3</v>
          </cell>
          <cell r="L108">
            <v>0</v>
          </cell>
          <cell r="M108">
            <v>0</v>
          </cell>
        </row>
        <row r="109">
          <cell r="A109" t="str">
            <v>XQ-IUYL320-PK-L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TZ-IUYL240-LOVE-M</v>
          </cell>
          <cell r="B110">
            <v>23</v>
          </cell>
          <cell r="C110">
            <v>0</v>
          </cell>
          <cell r="D110">
            <v>5</v>
          </cell>
          <cell r="E110">
            <v>0</v>
          </cell>
          <cell r="F110">
            <v>5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SCF-B01-002</v>
          </cell>
          <cell r="B111">
            <v>6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6</v>
          </cell>
          <cell r="M111">
            <v>0</v>
          </cell>
        </row>
        <row r="112">
          <cell r="A112" t="str">
            <v>BD-LUHM010</v>
          </cell>
          <cell r="B112">
            <v>19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XQ-IUYL320-CF-L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SCF-B01-022</v>
          </cell>
          <cell r="B114">
            <v>7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7</v>
          </cell>
          <cell r="M114">
            <v>0</v>
          </cell>
        </row>
        <row r="115">
          <cell r="A115" t="str">
            <v>GW-LULHY-5.1</v>
          </cell>
          <cell r="B115">
            <v>9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KZ-LY021-KK-38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A117" t="str">
            <v>SCF-B01-007</v>
          </cell>
          <cell r="B117">
            <v>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6</v>
          </cell>
          <cell r="M117">
            <v>0</v>
          </cell>
        </row>
        <row r="118">
          <cell r="A118" t="str">
            <v>SCF-B01-006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1</v>
          </cell>
          <cell r="M118">
            <v>0</v>
          </cell>
        </row>
        <row r="119">
          <cell r="A119" t="str">
            <v>KZ-LY021-NY-34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AQD-IUYL330-RD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4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SCF-C01-009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4</v>
          </cell>
          <cell r="M121">
            <v>0</v>
          </cell>
        </row>
        <row r="122">
          <cell r="A122" t="str">
            <v>XQ-IUYL320-GN-L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ST173-PK-XL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KZ-LY021-BL-40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</v>
          </cell>
          <cell r="L124">
            <v>0</v>
          </cell>
          <cell r="M124">
            <v>0</v>
          </cell>
        </row>
        <row r="125">
          <cell r="A125" t="str">
            <v>scarf-0001-Peony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6</v>
          </cell>
          <cell r="M125">
            <v>0</v>
          </cell>
        </row>
        <row r="126">
          <cell r="A126" t="str">
            <v>XQ-IUYL260-BL1-M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GW-LULHY-4.5</v>
          </cell>
          <cell r="B127">
            <v>8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AQD-IUYL340-YL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4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AQD-IUYL340-OR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AQD-IUYL330-PK</v>
          </cell>
          <cell r="B130">
            <v>3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3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AQD-IUYL330-PP</v>
          </cell>
          <cell r="B131">
            <v>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SCF-B01-019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7</v>
          </cell>
          <cell r="M132">
            <v>0</v>
          </cell>
        </row>
        <row r="133">
          <cell r="A133" t="str">
            <v>XQ-IUYL320-PP-S</v>
          </cell>
          <cell r="B133">
            <v>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4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XQ-IUYL320-RD-XL</v>
          </cell>
          <cell r="B134">
            <v>4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KZ-LY021-WR-32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</v>
          </cell>
          <cell r="L135">
            <v>0</v>
          </cell>
          <cell r="M135">
            <v>0</v>
          </cell>
        </row>
        <row r="136">
          <cell r="A136" t="str">
            <v>ST172-PP-M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4</v>
          </cell>
          <cell r="M136">
            <v>0</v>
          </cell>
        </row>
        <row r="137">
          <cell r="A137" t="str">
            <v>SCF-A01-012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3</v>
          </cell>
          <cell r="M137">
            <v>0</v>
          </cell>
        </row>
        <row r="138">
          <cell r="A138" t="str">
            <v>ST172-WT2-XL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BBBD-BUSB1605B-RD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KZ-LY021-WR-40</v>
          </cell>
          <cell r="B140">
            <v>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2</v>
          </cell>
          <cell r="L140">
            <v>0</v>
          </cell>
          <cell r="M140">
            <v>0</v>
          </cell>
        </row>
        <row r="141">
          <cell r="A141" t="str">
            <v>KZ-LY021-NY-36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SCF-B01-012</v>
          </cell>
          <cell r="B142">
            <v>6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1</v>
          </cell>
          <cell r="K142">
            <v>0</v>
          </cell>
          <cell r="L142">
            <v>4</v>
          </cell>
          <cell r="M142">
            <v>0</v>
          </cell>
        </row>
        <row r="143">
          <cell r="A143" t="str">
            <v>TZ-IUYL240-STAR-L</v>
          </cell>
          <cell r="B143">
            <v>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5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SCF-C01-013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4</v>
          </cell>
          <cell r="M144">
            <v>0</v>
          </cell>
        </row>
        <row r="145">
          <cell r="A145" t="str">
            <v>XQ-IUYL320-DB-XL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KZ-LY021-BK-36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</v>
          </cell>
          <cell r="L146">
            <v>0</v>
          </cell>
          <cell r="M146">
            <v>0</v>
          </cell>
        </row>
        <row r="147">
          <cell r="A147" t="str">
            <v>TZ-IUYL240LHY-STRAWBERRY-L</v>
          </cell>
          <cell r="B147">
            <v>77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ST155-AG-32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XQ-IUYL320-BK-M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AQD-IUYL330-GR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3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SCF-B01-001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5</v>
          </cell>
          <cell r="M151">
            <v>0</v>
          </cell>
        </row>
        <row r="152">
          <cell r="A152" t="str">
            <v>KZ-LY021-BK-40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A153" t="str">
            <v>AQD-IUYL330-BK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XQ-IUYL320-BK-XL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4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TZ-IUYL240LHY-STRAWBERRY-S</v>
          </cell>
          <cell r="B155">
            <v>136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XQ-IUYL320-GN-M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4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AQD-IUYL340-LP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3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TZ-IUYL240LHY-STAR-L</v>
          </cell>
          <cell r="B158">
            <v>43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MJ-IUYL230-PK-S</v>
          </cell>
          <cell r="B159">
            <v>11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1</v>
          </cell>
          <cell r="L159">
            <v>0</v>
          </cell>
          <cell r="M159">
            <v>0</v>
          </cell>
        </row>
        <row r="160">
          <cell r="A160" t="str">
            <v>SCF-B01-016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4</v>
          </cell>
          <cell r="M160">
            <v>0</v>
          </cell>
        </row>
        <row r="161">
          <cell r="A161" t="str">
            <v>LGQ-IUYL100-GN</v>
          </cell>
          <cell r="B161">
            <v>8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8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GW-LULHY-7.6</v>
          </cell>
          <cell r="B162">
            <v>24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GW-LULHY-6.2</v>
          </cell>
          <cell r="B163">
            <v>6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DZ-IUYL200-GR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4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SCF-C01-014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  <cell r="L165">
            <v>2</v>
          </cell>
          <cell r="M165">
            <v>0</v>
          </cell>
        </row>
        <row r="166">
          <cell r="A166" t="str">
            <v>KZ-LY021-KK-40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AQD-IUYL340-PK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3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SCF-B01-004</v>
          </cell>
          <cell r="B168">
            <v>9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9</v>
          </cell>
          <cell r="M168">
            <v>0</v>
          </cell>
        </row>
        <row r="169">
          <cell r="A169" t="str">
            <v>KZ-LY021-GY-36</v>
          </cell>
          <cell r="B169">
            <v>3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3</v>
          </cell>
          <cell r="L169">
            <v>0</v>
          </cell>
          <cell r="M169">
            <v>0</v>
          </cell>
        </row>
        <row r="170">
          <cell r="A170" t="str">
            <v>SCF-B01-008</v>
          </cell>
          <cell r="B170">
            <v>3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5</v>
          </cell>
          <cell r="M170">
            <v>0</v>
          </cell>
        </row>
        <row r="171">
          <cell r="A171" t="str">
            <v>SCF-C01-008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4</v>
          </cell>
          <cell r="M171">
            <v>0</v>
          </cell>
        </row>
        <row r="172">
          <cell r="A172" t="str">
            <v>ST173-PK-L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KZ-LY021-GY-32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2</v>
          </cell>
          <cell r="L173">
            <v>0</v>
          </cell>
          <cell r="M173">
            <v>0</v>
          </cell>
        </row>
        <row r="174">
          <cell r="A174" t="str">
            <v>SCF-B01-014</v>
          </cell>
          <cell r="B174">
            <v>6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6</v>
          </cell>
          <cell r="M174">
            <v>0</v>
          </cell>
        </row>
        <row r="175">
          <cell r="A175" t="str">
            <v>XQ-IUYL320-YL-S</v>
          </cell>
          <cell r="B175">
            <v>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4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GS-IUYL270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2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KZ-LY021-GY-34</v>
          </cell>
          <cell r="B177">
            <v>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3</v>
          </cell>
          <cell r="L177">
            <v>0</v>
          </cell>
          <cell r="M177">
            <v>0</v>
          </cell>
        </row>
        <row r="178">
          <cell r="A178" t="str">
            <v>AQD-IUYL330-LB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XQ-IUYL320-BL-L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4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AQD-IUYL330-CF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4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GS-IUYL280-1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3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DZ-IUYL200-BK</v>
          </cell>
          <cell r="B182">
            <v>8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8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XQ-IUYL320-CF-XL</v>
          </cell>
          <cell r="B183">
            <v>4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4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LYQ-WF7125-PO-M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XQ-IUYL320-PK-XL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LYQ-WF7125-PO-XS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KZ-LY021-GY-38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2</v>
          </cell>
          <cell r="L187">
            <v>0</v>
          </cell>
          <cell r="M187">
            <v>0</v>
          </cell>
        </row>
        <row r="188">
          <cell r="A188" t="str">
            <v>SCF-D01-004</v>
          </cell>
          <cell r="B188">
            <v>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2</v>
          </cell>
          <cell r="M188">
            <v>0</v>
          </cell>
        </row>
        <row r="189">
          <cell r="A189" t="str">
            <v>KZ-LY021-BK-32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2</v>
          </cell>
          <cell r="L189">
            <v>0</v>
          </cell>
          <cell r="M189">
            <v>0</v>
          </cell>
        </row>
        <row r="190">
          <cell r="A190" t="str">
            <v>MJ-IUYL230-CF-S</v>
          </cell>
          <cell r="B190">
            <v>10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XQ-IUYL320-BL-S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XQ-IUYL320-GN-XL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GS-IUYL280-3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3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SCF-C01-012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1</v>
          </cell>
          <cell r="L194">
            <v>3</v>
          </cell>
          <cell r="M194">
            <v>0</v>
          </cell>
        </row>
        <row r="195">
          <cell r="A195" t="str">
            <v>SCF-B01-011</v>
          </cell>
          <cell r="B195">
            <v>5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4</v>
          </cell>
          <cell r="M195">
            <v>0</v>
          </cell>
        </row>
        <row r="196">
          <cell r="A196" t="str">
            <v>KZ-LY021-GY-40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3</v>
          </cell>
          <cell r="L196">
            <v>0</v>
          </cell>
          <cell r="M196">
            <v>0</v>
          </cell>
        </row>
        <row r="197">
          <cell r="A197" t="str">
            <v>SCF-D01-007</v>
          </cell>
          <cell r="B197">
            <v>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2</v>
          </cell>
          <cell r="M197">
            <v>0</v>
          </cell>
        </row>
        <row r="198">
          <cell r="A198" t="str">
            <v>AQD-IUYL330-OR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XQ-IUYL320-BL-M</v>
          </cell>
          <cell r="B199">
            <v>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4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XQ-IUYL320-DB-M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4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XQ-IUYL320-PK-S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3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XQ-IUYL320-DB-S</v>
          </cell>
          <cell r="B202">
            <v>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4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SCF-B01-017</v>
          </cell>
          <cell r="B203">
            <v>7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7</v>
          </cell>
          <cell r="M203">
            <v>0</v>
          </cell>
        </row>
        <row r="204">
          <cell r="A204" t="str">
            <v>XQ-IUYL260-BL1-S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7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AQD-IUYL340-DP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XQ-IUYL320-PK-M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2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TZ-IUYL240-RABBIT-L</v>
          </cell>
          <cell r="B207">
            <v>10</v>
          </cell>
          <cell r="C207">
            <v>0</v>
          </cell>
          <cell r="D207">
            <v>12</v>
          </cell>
          <cell r="E207">
            <v>0</v>
          </cell>
          <cell r="F207">
            <v>12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SCF-C01-005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1</v>
          </cell>
          <cell r="M208">
            <v>0</v>
          </cell>
        </row>
        <row r="209">
          <cell r="A209" t="str">
            <v>XQ-IUYL320-GN-S</v>
          </cell>
          <cell r="B209">
            <v>4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4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SCF-B01-013</v>
          </cell>
          <cell r="B210">
            <v>6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6</v>
          </cell>
          <cell r="M210">
            <v>0</v>
          </cell>
        </row>
        <row r="211">
          <cell r="A211" t="str">
            <v>LGQ-IUYL100-WT</v>
          </cell>
          <cell r="B211">
            <v>7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6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XQ-IUYL260-PP-M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3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XQ-IUYL260-BL2-M</v>
          </cell>
          <cell r="B213">
            <v>12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12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SCF-B01-020</v>
          </cell>
          <cell r="B214">
            <v>6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6</v>
          </cell>
          <cell r="M214">
            <v>0</v>
          </cell>
        </row>
        <row r="215">
          <cell r="A215" t="str">
            <v>XQ-IUYL320-PP-XL</v>
          </cell>
          <cell r="B215">
            <v>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3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XQ-IUYL320-YL-XL</v>
          </cell>
          <cell r="B216">
            <v>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3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SCF-C01-016</v>
          </cell>
          <cell r="B217">
            <v>7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7</v>
          </cell>
          <cell r="M217">
            <v>0</v>
          </cell>
        </row>
        <row r="218">
          <cell r="A218" t="str">
            <v>KZ-LY021-BL-38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1</v>
          </cell>
          <cell r="L218">
            <v>0</v>
          </cell>
          <cell r="M218">
            <v>0</v>
          </cell>
        </row>
        <row r="219">
          <cell r="A219" t="str">
            <v>SZ-IUYL002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3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LGQ-IUYL100-YL</v>
          </cell>
          <cell r="B220">
            <v>21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19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GS-IUYL280-2</v>
          </cell>
          <cell r="B221">
            <v>3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3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TZ-IUYL240LHY-STAR-M</v>
          </cell>
          <cell r="B222">
            <v>63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XQ-IUYL320-PP-M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XQ-IUYL320-CF-S</v>
          </cell>
          <cell r="B224">
            <v>4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4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GW-LULHY-10</v>
          </cell>
          <cell r="B225">
            <v>23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ST173-WT1-S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scarf-001-blueheart</v>
          </cell>
          <cell r="B227">
            <v>7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7</v>
          </cell>
        </row>
        <row r="228">
          <cell r="A228" t="str">
            <v>SCF-B01-009</v>
          </cell>
          <cell r="B228">
            <v>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3</v>
          </cell>
          <cell r="M228">
            <v>0</v>
          </cell>
        </row>
        <row r="229">
          <cell r="A229" t="str">
            <v>SCF-B01-018</v>
          </cell>
          <cell r="B229">
            <v>6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6</v>
          </cell>
          <cell r="M229">
            <v>0</v>
          </cell>
        </row>
        <row r="230">
          <cell r="A230" t="str">
            <v>AQD-IUYL330-YL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BBBD-1605A-BL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BBBD-BUSB1605A-BL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BBBD-BUSB1605A-CF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BBBD-BUSB1605A-PK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BBBD-BUSB1605A-RD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BBBD-BUSB1605B-BL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BBBD-BUSB1605B-PK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BD-PUHM101-B0-L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BD-PUHM101-B0-M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BD-PUHM101-B0-S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BD-PUHM101-B0-XL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BD-PUHM101-G0-L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BD-PUHM101-G0-M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BD-PUHM101-G0-S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BD-PUHM101-G0-XL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BD-PUHM101-K0-L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BD-PUHM101-K0-M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BD-PUHM101-K0-S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BD-PUHM101-K0-XL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BD-PUHM101-R0-L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BD-PUHM101-R0-M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BD-PUHM101-R0-S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BD-PUHM101-R0-XL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BD-PUHM201-B0-L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BD-PUHM201-B0-M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BD-PUHM201-B0-S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BD-PUHM201-B0-XL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BD-PUHM201-G0-L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BD-PUHM201-G0-M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BD-PUHM201-G0-S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BD-PUHM201-G0-XL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BD-PUHM201-K0-L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BD-PUHM201-K0-M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BD-PUHM201-K0-S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BD-PUHM201-K0-XL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BD-PUHM201-R0-L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BD-PUHM201-R0-M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BD-PUHM201-R0-S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BD-PUHM201-R0-XL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BX-PUHM000-G0-2XL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BX-PUHM000-G0-3XL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BX-PUHM000-G0-4XL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BX-PUHM000-G0-5XL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BX-PUHM000-G0-L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BX-PUHM000-G0-M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BX-PUHM000-G0-S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BX-PUHM000-G0-XL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BX-PUHM000-OR-2XL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BX-PUHM000-OR-3XL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BX-PUHM000-OR-4XL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BX-PUHM000-OR-5XL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BX-PUHM000-OR-L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BX-PUHM000-OR-M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BX-PUHM000-OR-S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BX-PUHM000-OR-XL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BX-PUHM000-P0-2XL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BX-PUHM000-P0-3XL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BX-PUHM000-P0-4XL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BX-PUHM000-P0-5XL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BX-PUHM000-P0-L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BX-PUHM000-P0-M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BX-PUHM000-P0-S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BX-PUHM000-P0-XL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BX-PUHM000-PI-2XL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BX-PUHM000-PI-3XL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BX-PUHM000-PI-4XL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BX-PUHM000-PI-5XL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BX-PUHM000-PI-L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BX-PUHM000-PI-M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BX-PUHM000-PI-S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BX-PUHM000-PI-XL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BX-PUHM000-R0-2XL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BX-PUHM000-R0-3XL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BX-PUHM000-R0-4XL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BX-PUHM000-R0-5XL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BX-PUHM000-R0-L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BX-PUHM000-R0-M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BX-PUHM000-R0-S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BX-PUHM000-R0-XL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BX-PUHM001-B0-L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BX-PUHM001-B0-M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BX-PUHM001-B0-S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BX-PUHM001-B0-XL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BX-PUHM001-B0-XS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BX-PUHM001-OR-L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BX-PUHM001-OR-M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BX-PUHM001-OR-S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BX-PUHM001-OR-XL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BX-PUHM001-OR-XS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BX-PUHM001-R0-L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BX-PUHM001-R0-M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BX-PUHM001-R0-S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BX-PUHM001-R0-XL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BX-PUHM001-R0-XS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BX-PUHM200-G0-2XL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BX-PUHM200-G0-3XL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BX-PUHM200-G0-4XL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BX-PUHM200-G0-5XL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BX-PUHM200-G0-L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BX-PUHM200-G0-M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BX-PUHM200-G0-S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BX-PUHM200-G0-XL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BX-PUHM200-OR-2XL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BX-PUHM200-OR-3XL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BX-PUHM200-OR-4XL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BX-PUHM200-OR-5XL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BX-PUHM200-OR-L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BX-PUHM200-OR-M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BX-PUHM200-OR-S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BX-PUHM200-OR-XL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BX-PUHM200-P0-2XL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BX-PUHM200-P0-3XL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BX-PUHM200-P0-4XL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BX-PUHM200-P0-5XL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BX-PUHM200-P0-L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BX-PUHM200-P0-M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BX-PUHM200-P0-S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BX-PUHM200-P0-XL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BX-PUHM200-PI-2XL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BX-PUHM200-PI-3XL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BX-PUHM200-PI-4XL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BX-PUHM200-PI-5XL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BX-PUHM200-PI-L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BX-PUHM200-PI-M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BX-PUHM200-PI-S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BX-PUHM200-PI-XL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BX-PUHM200-R0-2XL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BX-PUHM200-R0-3XL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BX-PUHM200-R0-4XL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BX-PUHM200-R0-5XL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BX-PUHM200-R0-L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BX-PUHM200-R0-M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BX-PUHM200-R0-S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BX-PUHM200-R0-XL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BX-PUHM201-B0-L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BX-PUHM201-B0-M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BX-PUHM201-B0-S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BX-PUHM201-B0-XL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BX-PUHM201-B0-XS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BX-PUHM201-OR-L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BX-PUHM201-OR-M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BX-PUHM201-OR-S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BX-PUHM201-OR-XL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BX-PUHM201-OR-XS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BX-PUHM201-R0-L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BX-PUHM201-R0-M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BX-PUHM201-R0-S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BX-PUHM201-R0-XL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BX-PUHM201-R0-XS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CWB-PUHM021-CH-L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CWB-PUHM021-CH-M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CWB-PUHM021-CH-S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CWB-PUHM021-CH-XL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CWB-PUHM021-MC-L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CWB-PUHM021-MC-M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CWB-PUHM021-MC-S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CWB-PUHM021-MC-XL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CWB-PUHM021-TW-L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CWB-PUHM021-TW-M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CWB-PUHM021-TW-S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CWB-PUHM021-TW-XL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CWB-PUHM221-CH-L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CWB-PUHM221-CH-M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CWB-PUHM221-CH-S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CWB-PUHM221-CH-XL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CWB-PUHM221-MC-L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CWB-PUHM221-MC-M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CWB-PUHM221-MC-S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CWB-PUHM221-MC-XL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CWB-PUHM221-TW-L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CWB-PUHM221-TW-M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CWB-PUHM221-TW-S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CWB-PUHM221-TW-XL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CWDZ-IULHY-BONE-KK-L</v>
          </cell>
          <cell r="B404">
            <v>0</v>
          </cell>
          <cell r="C404">
            <v>0</v>
          </cell>
          <cell r="D404">
            <v>20</v>
          </cell>
          <cell r="E404">
            <v>0</v>
          </cell>
          <cell r="F404">
            <v>20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CWDZ-IULHY-BONE-KK-M</v>
          </cell>
          <cell r="B405">
            <v>0</v>
          </cell>
          <cell r="C405">
            <v>0</v>
          </cell>
          <cell r="D405">
            <v>20</v>
          </cell>
          <cell r="E405">
            <v>0</v>
          </cell>
          <cell r="F405">
            <v>20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CWDZ-IULHY-BONE-KK-XL</v>
          </cell>
          <cell r="B406">
            <v>0</v>
          </cell>
          <cell r="C406">
            <v>0</v>
          </cell>
          <cell r="D406">
            <v>19</v>
          </cell>
          <cell r="E406">
            <v>0</v>
          </cell>
          <cell r="F406">
            <v>19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CWDZ-IULHY-BONE-PK-L</v>
          </cell>
          <cell r="B407">
            <v>0</v>
          </cell>
          <cell r="C407">
            <v>0</v>
          </cell>
          <cell r="D407">
            <v>20</v>
          </cell>
          <cell r="E407">
            <v>0</v>
          </cell>
          <cell r="F407">
            <v>20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CWDZ-IULHY-BONE-PK-M</v>
          </cell>
          <cell r="B408">
            <v>0</v>
          </cell>
          <cell r="C408">
            <v>0</v>
          </cell>
          <cell r="D408">
            <v>20</v>
          </cell>
          <cell r="E408">
            <v>0</v>
          </cell>
          <cell r="F408">
            <v>20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CWDZ-IULHY-BONE-PK-XL</v>
          </cell>
          <cell r="B409">
            <v>0</v>
          </cell>
          <cell r="C409">
            <v>0</v>
          </cell>
          <cell r="D409">
            <v>19</v>
          </cell>
          <cell r="E409">
            <v>0</v>
          </cell>
          <cell r="F409">
            <v>19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CWDZ-IULHY-BONE-PP-L</v>
          </cell>
          <cell r="B410">
            <v>0</v>
          </cell>
          <cell r="C410">
            <v>0</v>
          </cell>
          <cell r="D410">
            <v>20</v>
          </cell>
          <cell r="E410">
            <v>0</v>
          </cell>
          <cell r="F410">
            <v>20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CWDZ-IULHY-BONE-PP-M</v>
          </cell>
          <cell r="B411">
            <v>0</v>
          </cell>
          <cell r="C411">
            <v>0</v>
          </cell>
          <cell r="D411">
            <v>20</v>
          </cell>
          <cell r="E411">
            <v>0</v>
          </cell>
          <cell r="F411">
            <v>20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CWDZ-IULHY-BONE-PP-XL</v>
          </cell>
          <cell r="B412">
            <v>0</v>
          </cell>
          <cell r="C412">
            <v>0</v>
          </cell>
          <cell r="D412">
            <v>19</v>
          </cell>
          <cell r="E412">
            <v>0</v>
          </cell>
          <cell r="F412">
            <v>19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CWDZ-IULHY-DOT-BL-L</v>
          </cell>
          <cell r="B413">
            <v>0</v>
          </cell>
          <cell r="C413">
            <v>0</v>
          </cell>
          <cell r="D413">
            <v>20</v>
          </cell>
          <cell r="E413">
            <v>0</v>
          </cell>
          <cell r="F413">
            <v>20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CWDZ-IULHY-DOT-BL-M</v>
          </cell>
          <cell r="B414">
            <v>0</v>
          </cell>
          <cell r="C414">
            <v>0</v>
          </cell>
          <cell r="D414">
            <v>20</v>
          </cell>
          <cell r="E414">
            <v>0</v>
          </cell>
          <cell r="F414">
            <v>20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CWDZ-IULHY-DOT-BL-XL</v>
          </cell>
          <cell r="B415">
            <v>0</v>
          </cell>
          <cell r="C415">
            <v>0</v>
          </cell>
          <cell r="D415">
            <v>19</v>
          </cell>
          <cell r="E415">
            <v>0</v>
          </cell>
          <cell r="F415">
            <v>19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CWDZ-IULHY-DOT-NY-L</v>
          </cell>
          <cell r="B416">
            <v>0</v>
          </cell>
          <cell r="C416">
            <v>0</v>
          </cell>
          <cell r="D416">
            <v>20</v>
          </cell>
          <cell r="E416">
            <v>0</v>
          </cell>
          <cell r="F416">
            <v>20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CWDZ-IULHY-DOT-NY-M</v>
          </cell>
          <cell r="B417">
            <v>0</v>
          </cell>
          <cell r="C417">
            <v>0</v>
          </cell>
          <cell r="D417">
            <v>20</v>
          </cell>
          <cell r="E417">
            <v>0</v>
          </cell>
          <cell r="F417">
            <v>20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CWDZ-IULHY-DOT-NY-XL</v>
          </cell>
          <cell r="B418">
            <v>0</v>
          </cell>
          <cell r="C418">
            <v>0</v>
          </cell>
          <cell r="D418">
            <v>19</v>
          </cell>
          <cell r="E418">
            <v>0</v>
          </cell>
          <cell r="F418">
            <v>19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CWDZ-IULHY-DOT-PP-L</v>
          </cell>
          <cell r="B419">
            <v>0</v>
          </cell>
          <cell r="C419">
            <v>0</v>
          </cell>
          <cell r="D419">
            <v>20</v>
          </cell>
          <cell r="E419">
            <v>0</v>
          </cell>
          <cell r="F419">
            <v>20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CWDZ-IULHY-DOT-PP-M</v>
          </cell>
          <cell r="B420">
            <v>0</v>
          </cell>
          <cell r="C420">
            <v>0</v>
          </cell>
          <cell r="D420">
            <v>20</v>
          </cell>
          <cell r="E420">
            <v>0</v>
          </cell>
          <cell r="F420">
            <v>20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CWDZ-IULHY-DOT-PP-XL</v>
          </cell>
          <cell r="B421">
            <v>0</v>
          </cell>
          <cell r="C421">
            <v>0</v>
          </cell>
          <cell r="D421">
            <v>19</v>
          </cell>
          <cell r="E421">
            <v>0</v>
          </cell>
          <cell r="F421">
            <v>19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CWDZ-IULHY-DOT2-CF-L</v>
          </cell>
          <cell r="B422">
            <v>0</v>
          </cell>
          <cell r="C422">
            <v>0</v>
          </cell>
          <cell r="D422">
            <v>20</v>
          </cell>
          <cell r="E422">
            <v>0</v>
          </cell>
          <cell r="F422">
            <v>20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CWDZ-IULHY-DOT2-CF-M</v>
          </cell>
          <cell r="B423">
            <v>0</v>
          </cell>
          <cell r="C423">
            <v>0</v>
          </cell>
          <cell r="D423">
            <v>20</v>
          </cell>
          <cell r="E423">
            <v>0</v>
          </cell>
          <cell r="F423">
            <v>20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CWDZ-IULHY-DOT2-CF-XL</v>
          </cell>
          <cell r="B424">
            <v>0</v>
          </cell>
          <cell r="C424">
            <v>0</v>
          </cell>
          <cell r="D424">
            <v>19</v>
          </cell>
          <cell r="E424">
            <v>0</v>
          </cell>
          <cell r="F424">
            <v>19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CWDZ-IULHY-DOT2-PK-L</v>
          </cell>
          <cell r="B425">
            <v>0</v>
          </cell>
          <cell r="C425">
            <v>0</v>
          </cell>
          <cell r="D425">
            <v>20</v>
          </cell>
          <cell r="E425">
            <v>0</v>
          </cell>
          <cell r="F425">
            <v>20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CWDZ-IULHY-DOT2-PK-M</v>
          </cell>
          <cell r="B426">
            <v>0</v>
          </cell>
          <cell r="C426">
            <v>0</v>
          </cell>
          <cell r="D426">
            <v>20</v>
          </cell>
          <cell r="E426">
            <v>0</v>
          </cell>
          <cell r="F426">
            <v>20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CWDZ-IULHY-DOT2-PK-XL</v>
          </cell>
          <cell r="B427">
            <v>0</v>
          </cell>
          <cell r="C427">
            <v>0</v>
          </cell>
          <cell r="D427">
            <v>19</v>
          </cell>
          <cell r="E427">
            <v>0</v>
          </cell>
          <cell r="F427">
            <v>19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CWDZ-IULHY-DOT2-WT-L</v>
          </cell>
          <cell r="B428">
            <v>0</v>
          </cell>
          <cell r="C428">
            <v>0</v>
          </cell>
          <cell r="D428">
            <v>20</v>
          </cell>
          <cell r="E428">
            <v>0</v>
          </cell>
          <cell r="F428">
            <v>20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CWDZ-IULHY-DOT2-WT-M</v>
          </cell>
          <cell r="B429">
            <v>0</v>
          </cell>
          <cell r="C429">
            <v>0</v>
          </cell>
          <cell r="D429">
            <v>19</v>
          </cell>
          <cell r="E429">
            <v>0</v>
          </cell>
          <cell r="F429">
            <v>19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CWDZ-IULHY-DOT2-WT-XL</v>
          </cell>
          <cell r="B430">
            <v>0</v>
          </cell>
          <cell r="C430">
            <v>0</v>
          </cell>
          <cell r="D430">
            <v>19</v>
          </cell>
          <cell r="E430">
            <v>0</v>
          </cell>
          <cell r="F430">
            <v>19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CWDZ-IULHY-ELPH-BL-L</v>
          </cell>
          <cell r="B431">
            <v>0</v>
          </cell>
          <cell r="C431">
            <v>0</v>
          </cell>
          <cell r="D431">
            <v>20</v>
          </cell>
          <cell r="E431">
            <v>0</v>
          </cell>
          <cell r="F431">
            <v>20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CWDZ-IULHY-ELPH-BL-M</v>
          </cell>
          <cell r="B432">
            <v>0</v>
          </cell>
          <cell r="C432">
            <v>0</v>
          </cell>
          <cell r="D432">
            <v>20</v>
          </cell>
          <cell r="E432">
            <v>0</v>
          </cell>
          <cell r="F432">
            <v>20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CWDZ-IULHY-ELPH-BL-XL</v>
          </cell>
          <cell r="B433">
            <v>0</v>
          </cell>
          <cell r="C433">
            <v>0</v>
          </cell>
          <cell r="D433">
            <v>19</v>
          </cell>
          <cell r="E433">
            <v>0</v>
          </cell>
          <cell r="F433">
            <v>19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CWDZ-IULHY-ELPH-PK-L</v>
          </cell>
          <cell r="B434">
            <v>0</v>
          </cell>
          <cell r="C434">
            <v>0</v>
          </cell>
          <cell r="D434">
            <v>20</v>
          </cell>
          <cell r="E434">
            <v>0</v>
          </cell>
          <cell r="F434">
            <v>20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CWDZ-IULHY-ELPH-PK-M</v>
          </cell>
          <cell r="B435">
            <v>0</v>
          </cell>
          <cell r="C435">
            <v>0</v>
          </cell>
          <cell r="D435">
            <v>20</v>
          </cell>
          <cell r="E435">
            <v>0</v>
          </cell>
          <cell r="F435">
            <v>20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CWDZ-IULHY-ELPH-PK-XL</v>
          </cell>
          <cell r="B436">
            <v>0</v>
          </cell>
          <cell r="C436">
            <v>0</v>
          </cell>
          <cell r="D436">
            <v>19</v>
          </cell>
          <cell r="E436">
            <v>0</v>
          </cell>
          <cell r="F436">
            <v>19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CWDZ-IULHY-ELPH-YL-L</v>
          </cell>
          <cell r="B437">
            <v>0</v>
          </cell>
          <cell r="C437">
            <v>0</v>
          </cell>
          <cell r="D437">
            <v>20</v>
          </cell>
          <cell r="E437">
            <v>0</v>
          </cell>
          <cell r="F437">
            <v>20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CWDZ-IULHY-ELPH-YL-M</v>
          </cell>
          <cell r="B438">
            <v>0</v>
          </cell>
          <cell r="C438">
            <v>0</v>
          </cell>
          <cell r="D438">
            <v>20</v>
          </cell>
          <cell r="E438">
            <v>0</v>
          </cell>
          <cell r="F438">
            <v>20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CWDZ-IULHY-ELPH-YL-XL</v>
          </cell>
          <cell r="B439">
            <v>0</v>
          </cell>
          <cell r="C439">
            <v>0</v>
          </cell>
          <cell r="D439">
            <v>19</v>
          </cell>
          <cell r="E439">
            <v>0</v>
          </cell>
          <cell r="F439">
            <v>19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CWDZ-IULHY-PAW-CF-L</v>
          </cell>
          <cell r="B440">
            <v>0</v>
          </cell>
          <cell r="C440">
            <v>0</v>
          </cell>
          <cell r="D440">
            <v>20</v>
          </cell>
          <cell r="E440">
            <v>0</v>
          </cell>
          <cell r="F440">
            <v>20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CWDZ-IULHY-PAW-CF-M</v>
          </cell>
          <cell r="B441">
            <v>0</v>
          </cell>
          <cell r="C441">
            <v>0</v>
          </cell>
          <cell r="D441">
            <v>20</v>
          </cell>
          <cell r="E441">
            <v>0</v>
          </cell>
          <cell r="F441">
            <v>20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CWDZ-IULHY-PAW-CF-XL</v>
          </cell>
          <cell r="B442">
            <v>0</v>
          </cell>
          <cell r="C442">
            <v>0</v>
          </cell>
          <cell r="D442">
            <v>19</v>
          </cell>
          <cell r="E442">
            <v>0</v>
          </cell>
          <cell r="F442">
            <v>19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CWDZ-IULHY-PAW-PK-L</v>
          </cell>
          <cell r="B443">
            <v>0</v>
          </cell>
          <cell r="C443">
            <v>0</v>
          </cell>
          <cell r="D443">
            <v>20</v>
          </cell>
          <cell r="E443">
            <v>0</v>
          </cell>
          <cell r="F443">
            <v>20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CWDZ-IULHY-PAW-PK-M</v>
          </cell>
          <cell r="B444">
            <v>0</v>
          </cell>
          <cell r="C444">
            <v>0</v>
          </cell>
          <cell r="D444">
            <v>20</v>
          </cell>
          <cell r="E444">
            <v>0</v>
          </cell>
          <cell r="F444">
            <v>20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CWDZ-IULHY-PAW-PK-XL</v>
          </cell>
          <cell r="B445">
            <v>0</v>
          </cell>
          <cell r="C445">
            <v>0</v>
          </cell>
          <cell r="D445">
            <v>19</v>
          </cell>
          <cell r="E445">
            <v>0</v>
          </cell>
          <cell r="F445">
            <v>19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CWDZ-IULHY-PAW-WT-L</v>
          </cell>
          <cell r="B446">
            <v>0</v>
          </cell>
          <cell r="C446">
            <v>0</v>
          </cell>
          <cell r="D446">
            <v>20</v>
          </cell>
          <cell r="E446">
            <v>0</v>
          </cell>
          <cell r="F446">
            <v>20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CWDZ-IULHY-PAW-WT-M</v>
          </cell>
          <cell r="B447">
            <v>0</v>
          </cell>
          <cell r="C447">
            <v>0</v>
          </cell>
          <cell r="D447">
            <v>21</v>
          </cell>
          <cell r="E447">
            <v>0</v>
          </cell>
          <cell r="F447">
            <v>21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CWDZ-IULHY-PAW-WT-XL</v>
          </cell>
          <cell r="B448">
            <v>0</v>
          </cell>
          <cell r="C448">
            <v>0</v>
          </cell>
          <cell r="D448">
            <v>19</v>
          </cell>
          <cell r="E448">
            <v>0</v>
          </cell>
          <cell r="F448">
            <v>19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CWDZ-IULHY-STAR-BL-L</v>
          </cell>
          <cell r="B449">
            <v>0</v>
          </cell>
          <cell r="C449">
            <v>0</v>
          </cell>
          <cell r="D449">
            <v>20</v>
          </cell>
          <cell r="E449">
            <v>0</v>
          </cell>
          <cell r="F449">
            <v>20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CWDZ-IULHY-STAR-BL-M</v>
          </cell>
          <cell r="B450">
            <v>0</v>
          </cell>
          <cell r="C450">
            <v>0</v>
          </cell>
          <cell r="D450">
            <v>21</v>
          </cell>
          <cell r="E450">
            <v>0</v>
          </cell>
          <cell r="F450">
            <v>21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CWDZ-IULHY-STAR-BL-XL</v>
          </cell>
          <cell r="B451">
            <v>0</v>
          </cell>
          <cell r="C451">
            <v>0</v>
          </cell>
          <cell r="D451">
            <v>19</v>
          </cell>
          <cell r="E451">
            <v>0</v>
          </cell>
          <cell r="F451">
            <v>19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CWDZ-IULHY-STAR-KK-L</v>
          </cell>
          <cell r="B452">
            <v>0</v>
          </cell>
          <cell r="C452">
            <v>0</v>
          </cell>
          <cell r="D452">
            <v>18</v>
          </cell>
          <cell r="E452">
            <v>0</v>
          </cell>
          <cell r="F452">
            <v>18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CWDZ-IULHY-STAR-KK-M</v>
          </cell>
          <cell r="B453">
            <v>0</v>
          </cell>
          <cell r="C453">
            <v>0</v>
          </cell>
          <cell r="D453">
            <v>20</v>
          </cell>
          <cell r="E453">
            <v>0</v>
          </cell>
          <cell r="F453">
            <v>20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CWDZ-IULHY-STAR-KK-XL</v>
          </cell>
          <cell r="B454">
            <v>0</v>
          </cell>
          <cell r="C454">
            <v>0</v>
          </cell>
          <cell r="D454">
            <v>19</v>
          </cell>
          <cell r="E454">
            <v>0</v>
          </cell>
          <cell r="F454">
            <v>19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CWDZ-IULHY-STAR-PK-L</v>
          </cell>
          <cell r="B455">
            <v>0</v>
          </cell>
          <cell r="C455">
            <v>0</v>
          </cell>
          <cell r="D455">
            <v>20</v>
          </cell>
          <cell r="E455">
            <v>0</v>
          </cell>
          <cell r="F455">
            <v>20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CWDZ-IULHY-STAR-PK-M</v>
          </cell>
          <cell r="B456">
            <v>0</v>
          </cell>
          <cell r="C456">
            <v>0</v>
          </cell>
          <cell r="D456">
            <v>20</v>
          </cell>
          <cell r="E456">
            <v>0</v>
          </cell>
          <cell r="F456">
            <v>20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CWDZ-IULHY-STAR-PK-XL</v>
          </cell>
          <cell r="B457">
            <v>0</v>
          </cell>
          <cell r="C457">
            <v>0</v>
          </cell>
          <cell r="D457">
            <v>19</v>
          </cell>
          <cell r="E457">
            <v>0</v>
          </cell>
          <cell r="F457">
            <v>19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DZ-IUYL210-BK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DZ-IUYL220-BK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DZ-IUYL220-GR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GS-FREE001-K0-S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GS-FREE201-K0-S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GS-PUHM019-B0-L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GS-PUHM019-B0-M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GS-PUHM019-B0-S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GS-PUHM019-B0-XL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GS-PUHM019-K0-L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GS-PUHM019-K0-M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GS-PUHM019-K0-S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GS-PUHM019-K0-XL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GS-PUHM019-R0-L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GS-PUHM019-R0-M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GS-PUHM019-R0-S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GS-PUHM019-R0-XL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GS-PUHM219-B0-L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GS-PUHM219-B0-M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GS-PUHM219-B0-S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GS-PUHM219-B0-XL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GS-PUHM219-K0-L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GS-PUHM219-K0-M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GS-PUHM219-K0-S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GS-PUHM219-K0-XL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GS-PUHM219-R0-L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GS-PUHM219-R0-M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GS-PUHM219-R0-S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GS-PUHM219-R0-XL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GW-IUHM-BONE-BK-L</v>
          </cell>
          <cell r="B487">
            <v>0</v>
          </cell>
          <cell r="C487">
            <v>0</v>
          </cell>
          <cell r="D487">
            <v>30</v>
          </cell>
          <cell r="E487">
            <v>0</v>
          </cell>
          <cell r="F487">
            <v>30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GW-IUHM-BONE-BK-M</v>
          </cell>
          <cell r="B488">
            <v>0</v>
          </cell>
          <cell r="C488">
            <v>0</v>
          </cell>
          <cell r="D488">
            <v>30</v>
          </cell>
          <cell r="E488">
            <v>0</v>
          </cell>
          <cell r="F488">
            <v>30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GW-IUHM-BONE-CF-L</v>
          </cell>
          <cell r="B489">
            <v>0</v>
          </cell>
          <cell r="C489">
            <v>0</v>
          </cell>
          <cell r="D489">
            <v>30</v>
          </cell>
          <cell r="E489">
            <v>0</v>
          </cell>
          <cell r="F489">
            <v>30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GW-IUHM-BONE-CF-S</v>
          </cell>
          <cell r="B490">
            <v>0</v>
          </cell>
          <cell r="C490">
            <v>0</v>
          </cell>
          <cell r="D490">
            <v>30</v>
          </cell>
          <cell r="E490">
            <v>0</v>
          </cell>
          <cell r="F490">
            <v>30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GW-IUHM-BONE-CF-XL</v>
          </cell>
          <cell r="B491">
            <v>0</v>
          </cell>
          <cell r="C491">
            <v>0</v>
          </cell>
          <cell r="D491">
            <v>19</v>
          </cell>
          <cell r="E491">
            <v>0</v>
          </cell>
          <cell r="F491">
            <v>19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GW-IUHM-BONE-GR-L</v>
          </cell>
          <cell r="B492">
            <v>0</v>
          </cell>
          <cell r="C492">
            <v>0</v>
          </cell>
          <cell r="D492">
            <v>30</v>
          </cell>
          <cell r="E492">
            <v>0</v>
          </cell>
          <cell r="F492">
            <v>30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GW-IUHM-BONE-GR-M</v>
          </cell>
          <cell r="B493">
            <v>0</v>
          </cell>
          <cell r="C493">
            <v>0</v>
          </cell>
          <cell r="D493">
            <v>30</v>
          </cell>
          <cell r="E493">
            <v>0</v>
          </cell>
          <cell r="F493">
            <v>30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GW-IUHM-BONE-GR-S</v>
          </cell>
          <cell r="B494">
            <v>0</v>
          </cell>
          <cell r="C494">
            <v>0</v>
          </cell>
          <cell r="D494">
            <v>30</v>
          </cell>
          <cell r="E494">
            <v>0</v>
          </cell>
          <cell r="F494">
            <v>30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GW-IUHM-BONE-GR-XL</v>
          </cell>
          <cell r="B495">
            <v>0</v>
          </cell>
          <cell r="C495">
            <v>0</v>
          </cell>
          <cell r="D495">
            <v>20</v>
          </cell>
          <cell r="E495">
            <v>0</v>
          </cell>
          <cell r="F495">
            <v>20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GW-IUHM-BONE-LB-L</v>
          </cell>
          <cell r="B496">
            <v>0</v>
          </cell>
          <cell r="C496">
            <v>0</v>
          </cell>
          <cell r="D496">
            <v>11</v>
          </cell>
          <cell r="E496">
            <v>0</v>
          </cell>
          <cell r="F496">
            <v>11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GW-IUHM-BONE-LB-S</v>
          </cell>
          <cell r="B497">
            <v>0</v>
          </cell>
          <cell r="C497">
            <v>0</v>
          </cell>
          <cell r="D497">
            <v>20</v>
          </cell>
          <cell r="E497">
            <v>0</v>
          </cell>
          <cell r="F497">
            <v>20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GW-IUHM-PAW-CF-L</v>
          </cell>
          <cell r="B498">
            <v>0</v>
          </cell>
          <cell r="C498">
            <v>0</v>
          </cell>
          <cell r="D498">
            <v>30</v>
          </cell>
          <cell r="E498">
            <v>0</v>
          </cell>
          <cell r="F498">
            <v>30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GW-IUHM-PAW-CF-M</v>
          </cell>
          <cell r="B499">
            <v>0</v>
          </cell>
          <cell r="C499">
            <v>0</v>
          </cell>
          <cell r="D499">
            <v>30</v>
          </cell>
          <cell r="E499">
            <v>0</v>
          </cell>
          <cell r="F499">
            <v>30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GW-IUHM-PAW-CF-S</v>
          </cell>
          <cell r="B500">
            <v>0</v>
          </cell>
          <cell r="C500">
            <v>0</v>
          </cell>
          <cell r="D500">
            <v>30</v>
          </cell>
          <cell r="E500">
            <v>0</v>
          </cell>
          <cell r="F500">
            <v>30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GW-IUHM-PAW-CF-XL</v>
          </cell>
          <cell r="B501">
            <v>0</v>
          </cell>
          <cell r="C501">
            <v>0</v>
          </cell>
          <cell r="D501">
            <v>20</v>
          </cell>
          <cell r="E501">
            <v>0</v>
          </cell>
          <cell r="F501">
            <v>20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GW-IUHM-PAW-GN-L</v>
          </cell>
          <cell r="B502">
            <v>0</v>
          </cell>
          <cell r="C502">
            <v>0</v>
          </cell>
          <cell r="D502">
            <v>10</v>
          </cell>
          <cell r="E502">
            <v>0</v>
          </cell>
          <cell r="F502">
            <v>10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GW-IUHM-PAW-GN-M</v>
          </cell>
          <cell r="B503">
            <v>0</v>
          </cell>
          <cell r="C503">
            <v>0</v>
          </cell>
          <cell r="D503">
            <v>11</v>
          </cell>
          <cell r="E503">
            <v>0</v>
          </cell>
          <cell r="F503">
            <v>11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GW-IUHM-PAW-GN-S</v>
          </cell>
          <cell r="B504">
            <v>0</v>
          </cell>
          <cell r="C504">
            <v>0</v>
          </cell>
          <cell r="D504">
            <v>19</v>
          </cell>
          <cell r="E504">
            <v>0</v>
          </cell>
          <cell r="F504">
            <v>19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GW-IUHM-PAW-GN-XL</v>
          </cell>
          <cell r="B505">
            <v>0</v>
          </cell>
          <cell r="C505">
            <v>0</v>
          </cell>
          <cell r="D505">
            <v>10</v>
          </cell>
          <cell r="E505">
            <v>0</v>
          </cell>
          <cell r="F505">
            <v>10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GW-IUHM-PAW-LB-L</v>
          </cell>
          <cell r="B506">
            <v>0</v>
          </cell>
          <cell r="C506">
            <v>0</v>
          </cell>
          <cell r="D506">
            <v>10</v>
          </cell>
          <cell r="E506">
            <v>0</v>
          </cell>
          <cell r="F506">
            <v>10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GW-IUHM-PAW-LB-M</v>
          </cell>
          <cell r="B507">
            <v>0</v>
          </cell>
          <cell r="C507">
            <v>0</v>
          </cell>
          <cell r="D507">
            <v>10</v>
          </cell>
          <cell r="E507">
            <v>0</v>
          </cell>
          <cell r="F507">
            <v>10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GW-IUHM-PAW-LB-S</v>
          </cell>
          <cell r="B508">
            <v>0</v>
          </cell>
          <cell r="C508">
            <v>0</v>
          </cell>
          <cell r="D508">
            <v>20</v>
          </cell>
          <cell r="E508">
            <v>0</v>
          </cell>
          <cell r="F508">
            <v>20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GW-IUHM-PAW-LB-XL</v>
          </cell>
          <cell r="B509">
            <v>0</v>
          </cell>
          <cell r="C509">
            <v>0</v>
          </cell>
          <cell r="D509">
            <v>10</v>
          </cell>
          <cell r="E509">
            <v>0</v>
          </cell>
          <cell r="F509">
            <v>10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GW-IUHM-PAW-OR-L</v>
          </cell>
          <cell r="B510">
            <v>0</v>
          </cell>
          <cell r="C510">
            <v>0</v>
          </cell>
          <cell r="D510">
            <v>10</v>
          </cell>
          <cell r="E510">
            <v>0</v>
          </cell>
          <cell r="F510">
            <v>10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GW-IUHM-PAW-OR-M</v>
          </cell>
          <cell r="B511">
            <v>0</v>
          </cell>
          <cell r="C511">
            <v>0</v>
          </cell>
          <cell r="D511">
            <v>10</v>
          </cell>
          <cell r="E511">
            <v>0</v>
          </cell>
          <cell r="F511">
            <v>10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GW-IUHM-PAW-OR-S</v>
          </cell>
          <cell r="B512">
            <v>0</v>
          </cell>
          <cell r="C512">
            <v>0</v>
          </cell>
          <cell r="D512">
            <v>20</v>
          </cell>
          <cell r="E512">
            <v>0</v>
          </cell>
          <cell r="F512">
            <v>20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GW-IUHM-PAW-OR-XL</v>
          </cell>
          <cell r="B513">
            <v>0</v>
          </cell>
          <cell r="C513">
            <v>0</v>
          </cell>
          <cell r="D513">
            <v>10</v>
          </cell>
          <cell r="E513">
            <v>0</v>
          </cell>
          <cell r="F513">
            <v>10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GW-IUHM-PAW-PK-L</v>
          </cell>
          <cell r="B514">
            <v>0</v>
          </cell>
          <cell r="C514">
            <v>0</v>
          </cell>
          <cell r="D514">
            <v>10</v>
          </cell>
          <cell r="E514">
            <v>0</v>
          </cell>
          <cell r="F514">
            <v>10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GW-IUHM-PAW-PK-M</v>
          </cell>
          <cell r="B515">
            <v>0</v>
          </cell>
          <cell r="C515">
            <v>0</v>
          </cell>
          <cell r="D515">
            <v>10</v>
          </cell>
          <cell r="E515">
            <v>0</v>
          </cell>
          <cell r="F515">
            <v>10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GW-IUHM-PAW-PK-S</v>
          </cell>
          <cell r="B516">
            <v>0</v>
          </cell>
          <cell r="C516">
            <v>0</v>
          </cell>
          <cell r="D516">
            <v>20</v>
          </cell>
          <cell r="E516">
            <v>0</v>
          </cell>
          <cell r="F516">
            <v>20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GW-IUHM-PAW-PK-XL</v>
          </cell>
          <cell r="B517">
            <v>0</v>
          </cell>
          <cell r="C517">
            <v>0</v>
          </cell>
          <cell r="D517">
            <v>10</v>
          </cell>
          <cell r="E517">
            <v>0</v>
          </cell>
          <cell r="F517">
            <v>10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HZB-QJTZ-IUYL300310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KZ-LY021-BL-36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KZ-LY021-KK-32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KZ-LY021-KK-34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KZ-LY021-NY-32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KZ-LY021-NY-38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KZ-LY021-NY-40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LYQ-WF7125-BO-2X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LYQ-WF7125-BO-L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LYQ-WF7125-BO-M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LYQ-WF7125-BO-S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LYQ-WF7125-BO-XL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LYQ-WF7125-K0-2L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LYQ-WF7125-KO-M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LYQ-WF7125-KO-S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LYQ-WF7125-KO-XL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LYQ-WF7125-NO-2L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LYQ-WF7125-NO-L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LYQ-WF7125-NO-S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LYQ-WF7125-NO-XL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LYQ-WF7125-NO-XS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LYQ-WF7125-PO-2L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LYQ-WF7125-PO-L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LYQ-WF7125-PO-S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LYQ-WF7125-PO-XL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LYQ-WF7125-WO-2L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LYQ-WF7125-WO-M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LYQ-WF7125-WO-XL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LYQ-WF7125-WO-XS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MJ-IUYL230-BL-L</v>
          </cell>
          <cell r="B547">
            <v>0</v>
          </cell>
          <cell r="C547">
            <v>0</v>
          </cell>
          <cell r="D547">
            <v>0</v>
          </cell>
          <cell r="E547">
            <v>10</v>
          </cell>
          <cell r="F547">
            <v>10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MJ-IUYL230-CF-L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MJ-IUYL230-PK-L</v>
          </cell>
          <cell r="B549">
            <v>0</v>
          </cell>
          <cell r="C549">
            <v>0</v>
          </cell>
          <cell r="D549">
            <v>0</v>
          </cell>
          <cell r="E549">
            <v>10</v>
          </cell>
          <cell r="F549">
            <v>10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MMDC-IUHM100-PK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MY-PUHM001-OR-10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MY-PUHM001-OR-12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MY-PUHM001-OR-14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MY-PUHM001-OR-16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MY-PUHM001-OR-20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MY-PUHM001-OR-24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MY-PUHM001-OR-28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MY-PUHM001-OR-8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MY-PUHM001-R0-10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MY-PUHM001-R0-12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MY-PUHM001-R0-14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MY-PUHM001-R0-16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MY-PUHM001-R0-20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MY-PUHM001-R0-24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MY-PUHM001-R0-28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MY-PUHM001-R0-8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MY-PUHM001-ZL-10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MY-PUHM001-ZL-12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MY-PUHM001-ZL-14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MY-PUHM001-ZL-16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MY-PUHM001-ZL-20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MY-PUHM001-ZL-24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MY-PUHM001-ZL-28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MY-PUHM001-ZL-8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MY-PUHM035-R0-L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MY-PUHM035-R0-M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MY-PUHM035-R0-S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MY-PUHM035-R0-XL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MY-PUHM035-R0-XXL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MY-PUHM036-B0-L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MY-PUHM036-B0-M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MY-PUHM036-B0-S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MY-PUHM036-B0-XL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MY-PUHM036-B0-XXL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MY-PUHM201-OR-10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MY-PUHM201-OR-12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MY-PUHM201-OR-14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MY-PUHM201-OR-16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MY-PUHM201-OR-20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MY-PUHM201-OR-24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MY-PUHM201-OR-28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MY-PUHM201-OR-8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MY-PUHM201-R0-10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MY-PUHM201-R0-12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MY-PUHM201-R0-14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MY-PUHM201-R0-16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MY-PUHM201-R0-20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MY-PUHM201-R0-24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MY-PUHM201-R0-28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MY-PUHM201-R0-8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MY-PUHM201-ZL-10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MY-PUHM201-ZL-12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MY-PUHM201-ZL-14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MY-PUHM201-ZL-16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MY-PUHM201-ZL-20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MY-PUHM201-ZL-24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MY-PUHM201-ZL-28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MY-PUHM201-ZL-8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MY-PUHM235-R0-L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MY-PUHM235-R0-M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MY-PUHM235-R0-S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MY-PUHM235-R0-XL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MY-PUHM235-R0-XXL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MY-PUHM236-B0-L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MY-PUHM236-B0-M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MY-PUHM236-B0-S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MY-PUHM236-B0-XL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MY-PUHM236-B0-XXL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MY-PUHM282-B0-L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MY-PUHM282-B0-M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MY-PUHM282-B0-S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MY-PUHM282-B0-XL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MY-PUHM282-B0-XS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MY-PUHM282-R0-L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MY-PUHM282-R0-M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MY-PUHM282-R0-S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MY-PUHM282-R0-XL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MY-PUHM282-R0-XS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MY-PUHM582-B0-L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MY-PUHM582-B0-M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MY-PUHM582-B0-S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MY-PUHM582-B0-XL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MY-PUHM582-B0-XS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MY-PUHM582-R0-L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MY-PUHM582-R0-M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MY-PUHM582-R0-S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MY-PUHM582-R0-XL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MY-PUHM582-R0-XS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Pajamas-sb001-GR-L</v>
          </cell>
          <cell r="B639">
            <v>0</v>
          </cell>
          <cell r="C639">
            <v>2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Pajamas-sb001-GR-M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Pajamas-sb001-GR-XL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Pajamas-sb001-KK-L</v>
          </cell>
          <cell r="B642">
            <v>0</v>
          </cell>
          <cell r="C642">
            <v>1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Pajamas-sb001-KK-M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Pajamas-sb001-KK-XL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Pajamas-sb001-NY-M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Pajamas-sb001-WT-M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Pajamas-sb001-WT-XL</v>
          </cell>
          <cell r="B647">
            <v>0</v>
          </cell>
          <cell r="C647">
            <v>2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RY-PUHM216-B0-L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RY-PUHM216-B0-M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RY-PUHM216-B0-S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RY-PUHM216-B0-XL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RY-PUHM216-B0-XXL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RY-PUHM216-KQ-L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RY-PUHM216-KQ-M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RY-PUHM216-KQ-S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RY-PUHM216-KQ-XL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RY-PUHM216-KQ-XXL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RY-PUHM216-PI-L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RY-PUHM216-PI-M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RY-PUHM216-PI-S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RY-PUHM216-PI-XL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RY-PUHM216-PI-XXL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RY-PUHM716-B0-L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RY-PUHM716-B0-M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RY-PUHM716-B0-S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RY-PUHM716-B0-XL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RY-PUHM716-B0-XXL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RY-PUHM716-KQ-L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RY-PUHM716-KQ-M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RY-PUHM716-KQ-S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RY-PUHM716-KQ-XL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RY-PUHM716-KQ-XXL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RY-PUHM716-PI-L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RY-PUHM716-PI-M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RY-PUHM716-PI-S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RY-PUHM716-PI-XL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RY-PUHM716-PI-XXL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SCF-A01-007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SCF-A01-008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SCF-A01-011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SCF-B01-005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SCF-C01-017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SCF-C01-019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SCF-D01-012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SCF-D01-015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SCF-D01-017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SCF-SJ006-Puzzle-OS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SCF-SJ008-GR-OS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ST-K157-B0-32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ST-K157-KQ-32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ST-K559-OR-32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ST005-BK-S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ST005-BL1-L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ST005-BL2-S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ST005-GN-S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ST005-RD-S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ST005-RD1-S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ST006-BK-XL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ST006-BL-S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ST006-CF-M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ST006-CF-S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ST006-GN-M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ST006-GN-S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ST006-RD1-S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ST006-RD2-XL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ST084-H15-S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ST084-H15-XXL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ST085-LB916-M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ST085-LB916-S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ST122-WR-S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ST155-AG-30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ST155-AG-38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ST166-B28-4-L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ST166-B28-4-S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ST166-B28-4-XXL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ST166-K33-1-S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ST166-K33-1-XL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ST166-K33-1-XXL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ST166-K33-4-M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ST166-K33-4-S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ST167-BK-XXL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ST167-K0-XXL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ST170-LB-L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ST170-LB-M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ST170-LB-S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ST170-LB-XL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ST170-LB-XXL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ST170-LG-L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ST170-LG-M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ST170-LG-S</v>
          </cell>
          <cell r="B730">
            <v>1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ST170-LG-XXL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ST170-PK-XXL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ST170-SA-M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ST170-SA-S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ST170-SA-XXL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ST170-WR-L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ST170-WR-S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ST170-WR-XL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ST170-ZL-L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ST170-ZL-M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ST170-ZL-S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ST170-ZL-XL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ST171-LB916-M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ST171-LB916-S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ST171-LB916-XXL</v>
          </cell>
          <cell r="B745">
            <v>0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ST171-Sa911-L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ST171-Sa911-M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ST171-Sa911-XL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ST171-W902-M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ST171-W902-XL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ST172-BK-L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ST172-BK-M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ST172-BK-S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ST172-BK-XL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ST172-BL-L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ST172-BL-M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ST172-BL-XL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ST172-BL-XXL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ST172-GR-S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ST172-NY-L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ST172-PK-L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ST172-PK-S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ST172-PK-XXL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ST172-PP-L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ST172-WR-M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ST172-WR-S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ST172-WR-XL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ST172-WR-XXL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ST172-WT1-L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ST172-WT1-XXL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ST172-WT2-L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ST172-WT2-M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ST173-BK-S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ST173-BK-XL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ST173-BK-XXL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ST173-BL-L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ST173-BL-M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ST173-BL-S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ST173-BL-XXL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ST173-GR-L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ST173-GR-M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ST173-GR-S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ST173-GR-XL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ST173-NY-L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ST173-NY-M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ST173-NY-S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ST173-NY-XL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ST173-PK-M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ST173-PK-S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ST173-PP-S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ST173-WR-L</v>
          </cell>
          <cell r="B791">
            <v>1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ST173-WR-M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ST173-WR-S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ST173-WR-XL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ST173-WR-XXL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ST173-WT2-S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TZ-CAHM240-BEAR-L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TZ-CAHM240-BEAR-M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TZ-CAHM240-BEAR-S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TZ-CAHM240-BONE-L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TZ-CAHM240-BONE-M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TZ-CAHM240-BONE-S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TZ-CAHM240-CHRISMAS-L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TZ-CAHM240-CHRISMAS-M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TZ-CAHM240-CHRISMAS-S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TZ-CAHM240-DOT-L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TZ-CAHM240-DOT-M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TZ-CAHM240-DOT-S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TZ-CAHM240-DOT2-L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TZ-CAHM240-DOT2-M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TZ-CAHM240-DOT2-S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TZ-CAHM240-ELPH-L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TZ-CAHM240-ELPH-M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TZ-CAHM240-ELPH-S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TZ-CAHM240-LOVE-L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TZ-CAHM240-LOVE-M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TZ-CAHM240-LOVE-S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TZ-CAHM240-PAW-L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TZ-CAHM240-PAW-M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TZ-CAHM240-PAW-S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TZ-CAHM240-RABBIT-L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TZ-CAHM240-RABBIT-M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TZ-CAHM240-RABBIT-S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TZ-CAHM240-STAR-L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TZ-CAHM240-STAR-M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TZ-CAHM240-STAR-S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TZ-CAHM240-STRAWBERRY-L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TZ-CAHM240-STRAWBERRY-M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TZ-CAHM240-STRAWBERRY-S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TZ-IUYL240-BONE-L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TZ-IUYL240-BONE-M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TZ-IUYL240-BONE-S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TZ-IUYL240-CHRISMAS-L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TZ-IUYL240-CHRISMAS-M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TZ-IUYL240-CHRISMAS-S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TZ-IUYL240-DOT-L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TZ-IUYL240-DOT-M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TZ-IUYL240-DOT-S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TZ-IUYL240-ELPH-L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TZ-IUYL240-ELPH-M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TZ-IUYL240-ELPH-S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TZ-IUYL240-PAW-L</v>
          </cell>
          <cell r="B842">
            <v>0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TZ-IUYL240-PAW-M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TZ-IUYL240-PAW-S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TZ-IUYL240-STAR-S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TZ-IUYL240-STRAWBERRY-S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TZ-SY240-BONE-S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TZ-SY240-ELPH-S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TZ-SY240-STRAWBERRY-S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XQ-IUYL260-BK-M</v>
          </cell>
          <cell r="B850">
            <v>0</v>
          </cell>
          <cell r="C850">
            <v>1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XQ-IUYL260-PK-M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XQ-IUYL260-PK-S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XQ-IUYL260-RD-S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XQ-IUYL260-YL-M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ZB-PUHM-DTLS-140*200CM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ZB-PUHM-DTLS-140*220CM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ZB-PUHM-XHW0-140*160CM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scarf-0001-Blue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532</v>
          </cell>
          <cell r="D2">
            <v>524</v>
          </cell>
          <cell r="E2">
            <v>559</v>
          </cell>
          <cell r="F2">
            <v>363</v>
          </cell>
        </row>
        <row r="3">
          <cell r="A3" t="str">
            <v>TZ-IUYL240-LOVE-M</v>
          </cell>
          <cell r="B3" t="str">
            <v>TZ-IUYL240</v>
          </cell>
          <cell r="C3">
            <v>3</v>
          </cell>
          <cell r="D3">
            <v>6</v>
          </cell>
          <cell r="E3">
            <v>1</v>
          </cell>
          <cell r="F3">
            <v>3</v>
          </cell>
        </row>
        <row r="4">
          <cell r="A4" t="str">
            <v>TZ-IUYL240LHY-PAW-M</v>
          </cell>
          <cell r="B4" t="str">
            <v>TZ-IUYL240</v>
          </cell>
          <cell r="C4">
            <v>41</v>
          </cell>
          <cell r="D4">
            <v>38</v>
          </cell>
          <cell r="E4">
            <v>36</v>
          </cell>
          <cell r="F4">
            <v>36</v>
          </cell>
        </row>
        <row r="5">
          <cell r="A5" t="str">
            <v>TZ-IUYL240-BEAR-M</v>
          </cell>
          <cell r="B5" t="str">
            <v>TZ-IUYL240</v>
          </cell>
          <cell r="C5">
            <v>10</v>
          </cell>
          <cell r="D5">
            <v>19</v>
          </cell>
          <cell r="E5">
            <v>8</v>
          </cell>
          <cell r="F5">
            <v>9</v>
          </cell>
        </row>
        <row r="6">
          <cell r="A6" t="str">
            <v>TZ-IUYL240LHY-ELPH-M</v>
          </cell>
          <cell r="B6" t="str">
            <v>TZ-IUYL240</v>
          </cell>
          <cell r="C6">
            <v>35</v>
          </cell>
          <cell r="D6">
            <v>18</v>
          </cell>
          <cell r="E6">
            <v>32</v>
          </cell>
          <cell r="F6">
            <v>23</v>
          </cell>
        </row>
        <row r="7">
          <cell r="A7" t="str">
            <v>TZ-IUYL240LHY-ELPH-S</v>
          </cell>
          <cell r="B7" t="str">
            <v>TZ-IUYL240</v>
          </cell>
          <cell r="C7">
            <v>53</v>
          </cell>
          <cell r="D7">
            <v>66</v>
          </cell>
          <cell r="E7">
            <v>45</v>
          </cell>
          <cell r="F7">
            <v>34</v>
          </cell>
        </row>
        <row r="8">
          <cell r="A8" t="str">
            <v>ST172-WR-L</v>
          </cell>
          <cell r="B8" t="str">
            <v>ST172</v>
          </cell>
          <cell r="C8">
            <v>0</v>
          </cell>
          <cell r="D8">
            <v>0</v>
          </cell>
          <cell r="E8">
            <v>0</v>
          </cell>
          <cell r="F8">
            <v>2</v>
          </cell>
        </row>
        <row r="9">
          <cell r="A9" t="str">
            <v>TZ-IUYL240LHY-PAW-S</v>
          </cell>
          <cell r="B9" t="str">
            <v>TZ-IUYL240</v>
          </cell>
          <cell r="C9">
            <v>56</v>
          </cell>
          <cell r="D9">
            <v>56</v>
          </cell>
          <cell r="E9">
            <v>48</v>
          </cell>
          <cell r="F9">
            <v>28</v>
          </cell>
        </row>
        <row r="10">
          <cell r="A10" t="str">
            <v>TZ-IUYL240-DOT2-S</v>
          </cell>
          <cell r="B10" t="str">
            <v>TZ-IUYL240</v>
          </cell>
          <cell r="C10">
            <v>29</v>
          </cell>
          <cell r="D10">
            <v>17</v>
          </cell>
          <cell r="E10">
            <v>27</v>
          </cell>
          <cell r="F10">
            <v>13</v>
          </cell>
        </row>
        <row r="11">
          <cell r="A11" t="str">
            <v>TZ-IUYL240LHY-STRAWBERRY-S</v>
          </cell>
          <cell r="B11" t="str">
            <v>TZ-IUYL240</v>
          </cell>
          <cell r="C11">
            <v>8</v>
          </cell>
          <cell r="D11">
            <v>6</v>
          </cell>
          <cell r="E11">
            <v>7</v>
          </cell>
          <cell r="F11">
            <v>4</v>
          </cell>
        </row>
        <row r="12">
          <cell r="A12" t="str">
            <v>MJ-IUYL230-PK-S</v>
          </cell>
          <cell r="B12" t="str">
            <v>MJ-IUYL230</v>
          </cell>
          <cell r="C12">
            <v>0</v>
          </cell>
          <cell r="D12">
            <v>0</v>
          </cell>
          <cell r="E12">
            <v>1</v>
          </cell>
          <cell r="F12">
            <v>1</v>
          </cell>
        </row>
        <row r="13">
          <cell r="A13" t="str">
            <v>TZ-IUYL240LHY-PAW-L</v>
          </cell>
          <cell r="B13" t="str">
            <v>TZ-IUYL240</v>
          </cell>
          <cell r="C13">
            <v>31</v>
          </cell>
          <cell r="D13">
            <v>32</v>
          </cell>
          <cell r="E13">
            <v>34</v>
          </cell>
          <cell r="F13">
            <v>15</v>
          </cell>
        </row>
        <row r="14">
          <cell r="A14" t="str">
            <v>TZ-IUYL240-LOVE-L</v>
          </cell>
          <cell r="B14" t="str">
            <v>TZ-IUYL240</v>
          </cell>
          <cell r="C14">
            <v>3</v>
          </cell>
          <cell r="D14">
            <v>3</v>
          </cell>
          <cell r="E14">
            <v>3</v>
          </cell>
          <cell r="F14">
            <v>3</v>
          </cell>
        </row>
        <row r="15">
          <cell r="A15" t="str">
            <v>ST173-WR-S</v>
          </cell>
          <cell r="B15" t="str">
            <v>ST173</v>
          </cell>
          <cell r="C15">
            <v>0</v>
          </cell>
          <cell r="D15">
            <v>0</v>
          </cell>
          <cell r="E15">
            <v>0</v>
          </cell>
          <cell r="F15">
            <v>2</v>
          </cell>
        </row>
        <row r="16">
          <cell r="A16" t="str">
            <v>ST173-WT1-S</v>
          </cell>
          <cell r="B16" t="str">
            <v>ST173</v>
          </cell>
          <cell r="C16">
            <v>0</v>
          </cell>
          <cell r="D16">
            <v>0</v>
          </cell>
          <cell r="E16">
            <v>4</v>
          </cell>
          <cell r="F16">
            <v>3</v>
          </cell>
        </row>
        <row r="17">
          <cell r="A17" t="str">
            <v>ST173-BK-S</v>
          </cell>
          <cell r="B17" t="str">
            <v>ST173</v>
          </cell>
          <cell r="C17">
            <v>0</v>
          </cell>
          <cell r="D17">
            <v>0</v>
          </cell>
          <cell r="E17">
            <v>0</v>
          </cell>
          <cell r="F17">
            <v>2</v>
          </cell>
        </row>
        <row r="18">
          <cell r="A18" t="str">
            <v>TZ-IUYL240-STAR-M</v>
          </cell>
          <cell r="B18" t="str">
            <v>TZ-IUYL240</v>
          </cell>
          <cell r="C18">
            <v>1</v>
          </cell>
          <cell r="D18">
            <v>1</v>
          </cell>
          <cell r="E18">
            <v>1</v>
          </cell>
          <cell r="F18">
            <v>2</v>
          </cell>
        </row>
        <row r="19">
          <cell r="A19" t="str">
            <v>TZ-IUYL240LHY-BONE-M</v>
          </cell>
          <cell r="B19" t="str">
            <v>TZ-IUYL240</v>
          </cell>
          <cell r="C19">
            <v>22</v>
          </cell>
          <cell r="D19">
            <v>2</v>
          </cell>
          <cell r="E19">
            <v>22</v>
          </cell>
          <cell r="F19">
            <v>28</v>
          </cell>
        </row>
        <row r="20">
          <cell r="A20" t="str">
            <v>TZ-IUYL240LHY-DOT-S</v>
          </cell>
          <cell r="B20" t="str">
            <v>TZ-IUYL240</v>
          </cell>
          <cell r="C20">
            <v>20</v>
          </cell>
          <cell r="D20">
            <v>23</v>
          </cell>
          <cell r="E20">
            <v>31</v>
          </cell>
          <cell r="F20">
            <v>13</v>
          </cell>
        </row>
        <row r="21">
          <cell r="A21" t="str">
            <v>TZ-IUYL240-DOT2-M</v>
          </cell>
          <cell r="B21" t="str">
            <v>TZ-IUYL240</v>
          </cell>
          <cell r="C21">
            <v>11</v>
          </cell>
          <cell r="D21">
            <v>16</v>
          </cell>
          <cell r="E21">
            <v>15</v>
          </cell>
          <cell r="F21">
            <v>13</v>
          </cell>
        </row>
        <row r="22">
          <cell r="A22" t="str">
            <v>TZ-IUYL240-RABBIT-S</v>
          </cell>
          <cell r="B22" t="str">
            <v>TZ-IUYL240</v>
          </cell>
          <cell r="C22">
            <v>10</v>
          </cell>
          <cell r="D22">
            <v>7</v>
          </cell>
          <cell r="E22">
            <v>9</v>
          </cell>
          <cell r="F22">
            <v>3</v>
          </cell>
        </row>
        <row r="23">
          <cell r="A23" t="str">
            <v>TZ-IUYL240LHY-BONE-L</v>
          </cell>
          <cell r="B23" t="str">
            <v>TZ-IUYL240</v>
          </cell>
          <cell r="C23">
            <v>14</v>
          </cell>
          <cell r="D23">
            <v>12</v>
          </cell>
          <cell r="E23">
            <v>12</v>
          </cell>
          <cell r="F23">
            <v>12</v>
          </cell>
        </row>
        <row r="24">
          <cell r="A24" t="str">
            <v>TZ-IUYL240-LOVE-S</v>
          </cell>
          <cell r="B24" t="str">
            <v>TZ-IUYL240</v>
          </cell>
          <cell r="C24">
            <v>8</v>
          </cell>
          <cell r="D24">
            <v>12</v>
          </cell>
          <cell r="E24">
            <v>7</v>
          </cell>
          <cell r="F24">
            <v>4</v>
          </cell>
        </row>
        <row r="25">
          <cell r="A25" t="str">
            <v>TZ-IUYL240LHY-BONE-S</v>
          </cell>
          <cell r="B25" t="str">
            <v>TZ-IUYL240</v>
          </cell>
          <cell r="C25">
            <v>7</v>
          </cell>
          <cell r="D25">
            <v>40</v>
          </cell>
          <cell r="E25">
            <v>40</v>
          </cell>
          <cell r="F25">
            <v>21</v>
          </cell>
        </row>
        <row r="26">
          <cell r="A26" t="str">
            <v>TZ-IUYL240-BEAR-S</v>
          </cell>
          <cell r="B26" t="str">
            <v>TZ-IUYL240</v>
          </cell>
          <cell r="C26">
            <v>27</v>
          </cell>
          <cell r="D26">
            <v>22</v>
          </cell>
          <cell r="E26">
            <v>29</v>
          </cell>
          <cell r="F26">
            <v>17</v>
          </cell>
        </row>
        <row r="27">
          <cell r="A27" t="str">
            <v>ST173-PK-XL</v>
          </cell>
          <cell r="B27" t="str">
            <v>ST173</v>
          </cell>
          <cell r="C27">
            <v>0</v>
          </cell>
          <cell r="D27">
            <v>0</v>
          </cell>
          <cell r="E27">
            <v>2</v>
          </cell>
          <cell r="F27">
            <v>2</v>
          </cell>
        </row>
        <row r="28">
          <cell r="A28" t="str">
            <v>LGQ-IUYL100-RD</v>
          </cell>
          <cell r="B28" t="str">
            <v>LGQ-IUYL100</v>
          </cell>
          <cell r="C28">
            <v>2</v>
          </cell>
          <cell r="D28">
            <v>4</v>
          </cell>
          <cell r="E28">
            <v>1</v>
          </cell>
          <cell r="F28">
            <v>1</v>
          </cell>
        </row>
        <row r="29">
          <cell r="A29" t="str">
            <v>ST173-NY-S</v>
          </cell>
          <cell r="B29" t="str">
            <v>ST173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TZ-IUYL240LHY-STAR-S</v>
          </cell>
          <cell r="B30" t="str">
            <v>TZ-IUYL240</v>
          </cell>
          <cell r="C30">
            <v>5</v>
          </cell>
          <cell r="D30">
            <v>4</v>
          </cell>
          <cell r="E30">
            <v>2</v>
          </cell>
          <cell r="F30">
            <v>3</v>
          </cell>
        </row>
        <row r="31">
          <cell r="A31" t="str">
            <v>TZ-IUYL240-DOT2-L</v>
          </cell>
          <cell r="B31" t="str">
            <v>TZ-IUYL240</v>
          </cell>
          <cell r="C31">
            <v>10</v>
          </cell>
          <cell r="D31">
            <v>7</v>
          </cell>
          <cell r="E31">
            <v>6</v>
          </cell>
          <cell r="F31">
            <v>3</v>
          </cell>
        </row>
        <row r="32">
          <cell r="A32" t="str">
            <v>XQ-IUYL260-RD-S</v>
          </cell>
          <cell r="B32" t="str">
            <v>XQ-IUYL260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</row>
        <row r="33">
          <cell r="A33" t="str">
            <v>TZ-IUYL240LHY-ELPH-L</v>
          </cell>
          <cell r="B33" t="str">
            <v>TZ-IUYL240</v>
          </cell>
          <cell r="C33">
            <v>14</v>
          </cell>
          <cell r="D33">
            <v>11</v>
          </cell>
          <cell r="E33">
            <v>17</v>
          </cell>
          <cell r="F33">
            <v>8</v>
          </cell>
        </row>
        <row r="34">
          <cell r="A34" t="str">
            <v>KZ-LY021-KK-40</v>
          </cell>
          <cell r="B34" t="str">
            <v>KZ-LY021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KZ-LY021-NY-40</v>
          </cell>
          <cell r="B35" t="str">
            <v>KZ-LY021</v>
          </cell>
          <cell r="C35">
            <v>0</v>
          </cell>
          <cell r="D35">
            <v>2</v>
          </cell>
          <cell r="E35">
            <v>0</v>
          </cell>
          <cell r="F35">
            <v>1</v>
          </cell>
        </row>
        <row r="36">
          <cell r="A36" t="str">
            <v>SCF-D01-017</v>
          </cell>
          <cell r="B36" t="str">
            <v>SCF-D01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</row>
        <row r="37">
          <cell r="A37" t="str">
            <v>GW-LULHY-5.1</v>
          </cell>
          <cell r="B37" t="str">
            <v>GW-LULHY</v>
          </cell>
          <cell r="C37">
            <v>1</v>
          </cell>
          <cell r="D37">
            <v>1</v>
          </cell>
          <cell r="E37">
            <v>0</v>
          </cell>
          <cell r="F37">
            <v>2</v>
          </cell>
        </row>
        <row r="38">
          <cell r="A38" t="str">
            <v>TZ-IUYL240-STRAWBERRY-M</v>
          </cell>
          <cell r="B38" t="str">
            <v>TZ-IUYL240</v>
          </cell>
          <cell r="C38">
            <v>5</v>
          </cell>
          <cell r="D38">
            <v>4</v>
          </cell>
          <cell r="E38">
            <v>5</v>
          </cell>
          <cell r="F38">
            <v>1</v>
          </cell>
        </row>
        <row r="39">
          <cell r="A39" t="str">
            <v>TZ-IUYL240-BEAR-L</v>
          </cell>
          <cell r="B39" t="str">
            <v>TZ-IUYL240</v>
          </cell>
          <cell r="C39">
            <v>7</v>
          </cell>
          <cell r="D39">
            <v>6</v>
          </cell>
          <cell r="E39">
            <v>6</v>
          </cell>
          <cell r="F39">
            <v>3</v>
          </cell>
        </row>
        <row r="40">
          <cell r="A40" t="str">
            <v>ST171-LB916-XXL</v>
          </cell>
          <cell r="B40" t="str">
            <v>ST171</v>
          </cell>
          <cell r="C40">
            <v>0</v>
          </cell>
          <cell r="D40">
            <v>0</v>
          </cell>
          <cell r="E40">
            <v>0</v>
          </cell>
          <cell r="F40">
            <v>3</v>
          </cell>
        </row>
        <row r="41">
          <cell r="A41" t="str">
            <v>ST172-GR-XL</v>
          </cell>
          <cell r="B41" t="str">
            <v>ST172</v>
          </cell>
          <cell r="C41">
            <v>0</v>
          </cell>
          <cell r="D41">
            <v>1</v>
          </cell>
          <cell r="E41">
            <v>0</v>
          </cell>
          <cell r="F41">
            <v>1</v>
          </cell>
        </row>
        <row r="42">
          <cell r="A42" t="str">
            <v>MJ-IUYL230-BL-L</v>
          </cell>
          <cell r="B42" t="str">
            <v>MJ-IUYL230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</row>
        <row r="43">
          <cell r="A43" t="str">
            <v>TZ-IUYL240LHY-STAR-L</v>
          </cell>
          <cell r="B43" t="str">
            <v>TZ-IUYL240</v>
          </cell>
          <cell r="C43">
            <v>5</v>
          </cell>
          <cell r="D43">
            <v>0</v>
          </cell>
          <cell r="E43">
            <v>1</v>
          </cell>
          <cell r="F43">
            <v>1</v>
          </cell>
        </row>
        <row r="44">
          <cell r="A44" t="str">
            <v>TZ-IUYL240LHY-DOT-M</v>
          </cell>
          <cell r="B44" t="str">
            <v>TZ-IUYL240</v>
          </cell>
          <cell r="C44">
            <v>15</v>
          </cell>
          <cell r="D44">
            <v>15</v>
          </cell>
          <cell r="E44">
            <v>8</v>
          </cell>
          <cell r="F44">
            <v>9</v>
          </cell>
        </row>
        <row r="45">
          <cell r="A45" t="str">
            <v>TZ-IUYL240LHY-STAR-M</v>
          </cell>
          <cell r="B45" t="str">
            <v>TZ-IUYL240</v>
          </cell>
          <cell r="C45">
            <v>2</v>
          </cell>
          <cell r="D45">
            <v>3</v>
          </cell>
          <cell r="E45">
            <v>2</v>
          </cell>
          <cell r="F45">
            <v>1</v>
          </cell>
        </row>
        <row r="46">
          <cell r="A46" t="str">
            <v>HZB-QJTZ-IUYL300310</v>
          </cell>
          <cell r="B46" t="str">
            <v>HZB-QJTZ-IUYL300310</v>
          </cell>
          <cell r="C46">
            <v>0</v>
          </cell>
          <cell r="D46">
            <v>0</v>
          </cell>
          <cell r="E46">
            <v>3</v>
          </cell>
          <cell r="F46">
            <v>2</v>
          </cell>
        </row>
        <row r="47">
          <cell r="A47" t="str">
            <v>TZ-IUYL240-STAR-L</v>
          </cell>
          <cell r="B47" t="str">
            <v>TZ-IUYL240</v>
          </cell>
          <cell r="C47">
            <v>3</v>
          </cell>
          <cell r="D47">
            <v>0</v>
          </cell>
          <cell r="E47">
            <v>2</v>
          </cell>
          <cell r="F47">
            <v>3</v>
          </cell>
        </row>
        <row r="48">
          <cell r="A48" t="str">
            <v>LGQ-IUYL100-WT</v>
          </cell>
          <cell r="B48" t="str">
            <v>LGQ-IUYL100</v>
          </cell>
          <cell r="C48">
            <v>0</v>
          </cell>
          <cell r="D48">
            <v>1</v>
          </cell>
          <cell r="E48">
            <v>3</v>
          </cell>
          <cell r="F48">
            <v>1</v>
          </cell>
        </row>
        <row r="49">
          <cell r="A49" t="str">
            <v>XQ-IUYL260-BK-M</v>
          </cell>
          <cell r="B49" t="str">
            <v>XQ-IUYL260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</row>
        <row r="50">
          <cell r="A50" t="str">
            <v>MJ-IUYL230-BL-S</v>
          </cell>
          <cell r="B50" t="str">
            <v>MJ-IUYL230</v>
          </cell>
          <cell r="C50">
            <v>0</v>
          </cell>
          <cell r="D50">
            <v>1</v>
          </cell>
          <cell r="E50">
            <v>0</v>
          </cell>
          <cell r="F50">
            <v>1</v>
          </cell>
        </row>
        <row r="51">
          <cell r="A51" t="str">
            <v>KZ-LY021-NY-38</v>
          </cell>
          <cell r="B51" t="str">
            <v>KZ-LY021</v>
          </cell>
          <cell r="C51">
            <v>0</v>
          </cell>
          <cell r="D51">
            <v>1</v>
          </cell>
          <cell r="E51">
            <v>0</v>
          </cell>
          <cell r="F51">
            <v>2</v>
          </cell>
        </row>
        <row r="52">
          <cell r="A52" t="str">
            <v>TZ-IUYL240-RABBIT-L</v>
          </cell>
          <cell r="B52" t="str">
            <v>TZ-IUYL240</v>
          </cell>
          <cell r="C52">
            <v>5</v>
          </cell>
          <cell r="D52">
            <v>4</v>
          </cell>
          <cell r="E52">
            <v>3</v>
          </cell>
          <cell r="F52">
            <v>3</v>
          </cell>
        </row>
        <row r="53">
          <cell r="A53" t="str">
            <v>ST173-PK-S</v>
          </cell>
          <cell r="B53" t="str">
            <v>ST173</v>
          </cell>
          <cell r="C53">
            <v>0</v>
          </cell>
          <cell r="D53">
            <v>0</v>
          </cell>
          <cell r="E53">
            <v>4</v>
          </cell>
          <cell r="F53">
            <v>1</v>
          </cell>
        </row>
        <row r="54">
          <cell r="A54" t="str">
            <v>MMDC-IUHM100-BK</v>
          </cell>
          <cell r="B54" t="str">
            <v>MMDC-IUHM100</v>
          </cell>
          <cell r="C54">
            <v>7</v>
          </cell>
          <cell r="D54">
            <v>0</v>
          </cell>
          <cell r="E54">
            <v>3</v>
          </cell>
          <cell r="F54">
            <v>1</v>
          </cell>
        </row>
        <row r="55">
          <cell r="A55" t="str">
            <v>TZ-IUYL240LHY-STRAWBERRY-M</v>
          </cell>
          <cell r="B55" t="str">
            <v>TZ-IUYL240</v>
          </cell>
          <cell r="C55">
            <v>1</v>
          </cell>
          <cell r="D55">
            <v>2</v>
          </cell>
          <cell r="E55">
            <v>0</v>
          </cell>
          <cell r="F55">
            <v>2</v>
          </cell>
        </row>
        <row r="56">
          <cell r="A56" t="str">
            <v>TZ-IUYL240LHY-DOT-L</v>
          </cell>
          <cell r="B56" t="str">
            <v>TZ-IUYL240</v>
          </cell>
          <cell r="C56">
            <v>4</v>
          </cell>
          <cell r="D56">
            <v>10</v>
          </cell>
          <cell r="E56">
            <v>4</v>
          </cell>
          <cell r="F56">
            <v>2</v>
          </cell>
        </row>
        <row r="57">
          <cell r="A57" t="str">
            <v>MJ-IUYL230-CF-L</v>
          </cell>
          <cell r="B57" t="str">
            <v>MJ-IUYL230</v>
          </cell>
          <cell r="C57">
            <v>0</v>
          </cell>
          <cell r="D57">
            <v>2</v>
          </cell>
          <cell r="E57">
            <v>11</v>
          </cell>
          <cell r="F57">
            <v>1</v>
          </cell>
        </row>
        <row r="58">
          <cell r="A58" t="str">
            <v>ST006-BL-S</v>
          </cell>
          <cell r="B58" t="str">
            <v>ST006</v>
          </cell>
          <cell r="C58">
            <v>0</v>
          </cell>
          <cell r="D58">
            <v>0</v>
          </cell>
          <cell r="E58">
            <v>1</v>
          </cell>
          <cell r="F58">
            <v>1</v>
          </cell>
        </row>
        <row r="59">
          <cell r="A59" t="str">
            <v>ST170-LG-S</v>
          </cell>
          <cell r="B59" t="str">
            <v>ST170</v>
          </cell>
          <cell r="C59">
            <v>0</v>
          </cell>
          <cell r="D59">
            <v>1</v>
          </cell>
          <cell r="E59">
            <v>0</v>
          </cell>
          <cell r="F59">
            <v>0</v>
          </cell>
        </row>
        <row r="60">
          <cell r="A60" t="str">
            <v>TZ-IUYL240-RABBIT-M</v>
          </cell>
          <cell r="B60" t="str">
            <v>TZ-IUYL240</v>
          </cell>
          <cell r="C60">
            <v>3</v>
          </cell>
          <cell r="D60">
            <v>2</v>
          </cell>
          <cell r="E60">
            <v>3</v>
          </cell>
          <cell r="F60">
            <v>1</v>
          </cell>
        </row>
        <row r="61">
          <cell r="A61" t="str">
            <v>LYQ-WF7125-PO-XS</v>
          </cell>
          <cell r="B61" t="str">
            <v>WF7125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KZ-LY021-NY-32</v>
          </cell>
          <cell r="B62" t="str">
            <v>KZ-LY021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</row>
        <row r="63">
          <cell r="A63" t="str">
            <v>ST006-CF-S</v>
          </cell>
          <cell r="B63" t="str">
            <v>ST006</v>
          </cell>
          <cell r="C63">
            <v>0</v>
          </cell>
          <cell r="D63">
            <v>0</v>
          </cell>
          <cell r="E63">
            <v>1</v>
          </cell>
          <cell r="F63">
            <v>1</v>
          </cell>
        </row>
        <row r="64">
          <cell r="A64" t="str">
            <v>AQD-IUYL330-GR</v>
          </cell>
          <cell r="B64" t="str">
            <v>AQD-IUYL330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LGQ-IUYL100-PK</v>
          </cell>
          <cell r="B65" t="str">
            <v>LGQ-IUYL100</v>
          </cell>
          <cell r="C65">
            <v>1</v>
          </cell>
          <cell r="D65">
            <v>0</v>
          </cell>
          <cell r="E65">
            <v>3</v>
          </cell>
          <cell r="F65">
            <v>1</v>
          </cell>
        </row>
        <row r="66">
          <cell r="A66" t="str">
            <v>ST173-BL-M</v>
          </cell>
          <cell r="B66" t="str">
            <v>ST173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</row>
        <row r="67">
          <cell r="A67" t="str">
            <v>ST173-PK-XXL</v>
          </cell>
          <cell r="B67" t="str">
            <v>ST173</v>
          </cell>
          <cell r="C67">
            <v>0</v>
          </cell>
          <cell r="D67">
            <v>0</v>
          </cell>
          <cell r="E67">
            <v>2</v>
          </cell>
          <cell r="F67">
            <v>0</v>
          </cell>
        </row>
        <row r="68">
          <cell r="A68" t="str">
            <v>ST173-PK-L</v>
          </cell>
          <cell r="B68" t="str">
            <v>ST173</v>
          </cell>
          <cell r="C68">
            <v>1</v>
          </cell>
          <cell r="D68">
            <v>1</v>
          </cell>
          <cell r="E68">
            <v>2</v>
          </cell>
          <cell r="F68">
            <v>0</v>
          </cell>
        </row>
        <row r="69">
          <cell r="A69" t="str">
            <v>ST172-WT2-M</v>
          </cell>
          <cell r="B69" t="str">
            <v>ST172</v>
          </cell>
          <cell r="C69">
            <v>0</v>
          </cell>
          <cell r="D69">
            <v>0</v>
          </cell>
          <cell r="E69">
            <v>3</v>
          </cell>
          <cell r="F69">
            <v>0</v>
          </cell>
        </row>
        <row r="70">
          <cell r="A70" t="str">
            <v>LYQ-WF7125-NO-2L</v>
          </cell>
          <cell r="B70" t="str">
            <v>WF7125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</row>
        <row r="71">
          <cell r="A71" t="str">
            <v>LYQ-WF7125-PO-2L</v>
          </cell>
          <cell r="B71" t="str">
            <v>WF7125</v>
          </cell>
          <cell r="C71">
            <v>0</v>
          </cell>
          <cell r="D71">
            <v>0</v>
          </cell>
          <cell r="E71">
            <v>1</v>
          </cell>
          <cell r="F71">
            <v>0</v>
          </cell>
        </row>
        <row r="72">
          <cell r="A72" t="str">
            <v>MMDC-IUHM100-BL</v>
          </cell>
          <cell r="B72" t="str">
            <v>MMDC-IUHM100</v>
          </cell>
          <cell r="C72">
            <v>0</v>
          </cell>
          <cell r="D72">
            <v>0</v>
          </cell>
          <cell r="E72">
            <v>2</v>
          </cell>
          <cell r="F72">
            <v>0</v>
          </cell>
        </row>
        <row r="73">
          <cell r="A73" t="str">
            <v>GW-LULHY-6.2</v>
          </cell>
          <cell r="B73" t="str">
            <v>GW-LULHY</v>
          </cell>
          <cell r="C73">
            <v>0</v>
          </cell>
          <cell r="D73">
            <v>3</v>
          </cell>
          <cell r="E73">
            <v>1</v>
          </cell>
          <cell r="F73">
            <v>0</v>
          </cell>
        </row>
        <row r="74">
          <cell r="A74" t="str">
            <v>ST173-GR-S</v>
          </cell>
          <cell r="B74" t="str">
            <v>ST173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</row>
        <row r="75">
          <cell r="A75" t="str">
            <v>ST172-BL-S</v>
          </cell>
          <cell r="B75" t="str">
            <v>ST172</v>
          </cell>
          <cell r="C75">
            <v>0</v>
          </cell>
          <cell r="D75">
            <v>0</v>
          </cell>
          <cell r="E75">
            <v>3</v>
          </cell>
          <cell r="F75">
            <v>0</v>
          </cell>
        </row>
        <row r="76">
          <cell r="A76" t="str">
            <v>ST172-BL-XXL</v>
          </cell>
          <cell r="B76" t="str">
            <v>ST172</v>
          </cell>
          <cell r="C76">
            <v>0</v>
          </cell>
          <cell r="D76">
            <v>0</v>
          </cell>
          <cell r="E76">
            <v>1</v>
          </cell>
          <cell r="F76">
            <v>0</v>
          </cell>
        </row>
        <row r="77">
          <cell r="A77" t="str">
            <v>ST172-BL-L</v>
          </cell>
          <cell r="B77" t="str">
            <v>ST172</v>
          </cell>
          <cell r="C77">
            <v>0</v>
          </cell>
          <cell r="D77">
            <v>0</v>
          </cell>
          <cell r="E77">
            <v>2</v>
          </cell>
          <cell r="F77">
            <v>0</v>
          </cell>
        </row>
        <row r="78">
          <cell r="A78" t="str">
            <v>KZ-LY021-KK-34</v>
          </cell>
          <cell r="B78" t="str">
            <v>KZ-LY021</v>
          </cell>
          <cell r="C78">
            <v>0</v>
          </cell>
          <cell r="D78">
            <v>2</v>
          </cell>
          <cell r="E78">
            <v>1</v>
          </cell>
          <cell r="F78">
            <v>0</v>
          </cell>
        </row>
        <row r="79">
          <cell r="A79" t="str">
            <v>ST173-BL-XXL</v>
          </cell>
          <cell r="B79" t="str">
            <v>ST173</v>
          </cell>
          <cell r="C79">
            <v>0</v>
          </cell>
          <cell r="D79">
            <v>0</v>
          </cell>
          <cell r="E79">
            <v>1</v>
          </cell>
          <cell r="F79">
            <v>0</v>
          </cell>
        </row>
        <row r="80">
          <cell r="A80" t="str">
            <v>XQ-IUYL260-PK-M</v>
          </cell>
          <cell r="B80" t="str">
            <v>XQ-IUYL260</v>
          </cell>
          <cell r="C80">
            <v>1</v>
          </cell>
          <cell r="D80">
            <v>0</v>
          </cell>
          <cell r="E80">
            <v>2</v>
          </cell>
          <cell r="F80">
            <v>0</v>
          </cell>
        </row>
        <row r="81">
          <cell r="A81" t="str">
            <v>ST173-WR-M</v>
          </cell>
          <cell r="B81" t="str">
            <v>ST173</v>
          </cell>
          <cell r="C81">
            <v>0</v>
          </cell>
          <cell r="D81">
            <v>2</v>
          </cell>
          <cell r="E81">
            <v>2</v>
          </cell>
          <cell r="F81">
            <v>0</v>
          </cell>
        </row>
        <row r="82">
          <cell r="A82" t="str">
            <v>ST173-WR-L</v>
          </cell>
          <cell r="B82" t="str">
            <v>ST173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</row>
        <row r="83">
          <cell r="A83" t="str">
            <v>KZ-LY021-NY-34</v>
          </cell>
          <cell r="B83" t="str">
            <v>KZ-LY021</v>
          </cell>
          <cell r="C83">
            <v>0</v>
          </cell>
          <cell r="D83">
            <v>0</v>
          </cell>
          <cell r="E83">
            <v>2</v>
          </cell>
          <cell r="F83">
            <v>0</v>
          </cell>
        </row>
        <row r="84">
          <cell r="A84" t="str">
            <v>ST173-BL-S</v>
          </cell>
          <cell r="B84" t="str">
            <v>ST173</v>
          </cell>
          <cell r="C84">
            <v>0</v>
          </cell>
          <cell r="D84">
            <v>0</v>
          </cell>
          <cell r="E84">
            <v>2</v>
          </cell>
          <cell r="F84">
            <v>0</v>
          </cell>
        </row>
        <row r="85">
          <cell r="A85" t="str">
            <v>ST006-GN-S</v>
          </cell>
          <cell r="B85" t="str">
            <v>ST006</v>
          </cell>
          <cell r="C85">
            <v>0</v>
          </cell>
          <cell r="D85">
            <v>0</v>
          </cell>
          <cell r="E85">
            <v>1</v>
          </cell>
          <cell r="F85">
            <v>0</v>
          </cell>
        </row>
        <row r="86">
          <cell r="A86" t="str">
            <v>LYQ-WF7125-BO-L</v>
          </cell>
          <cell r="B86" t="str">
            <v>WF7125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</row>
        <row r="87">
          <cell r="A87" t="str">
            <v>LYQ-WF7125-NO-XL</v>
          </cell>
          <cell r="B87" t="str">
            <v>WF7125</v>
          </cell>
          <cell r="C87">
            <v>0</v>
          </cell>
          <cell r="D87">
            <v>0</v>
          </cell>
          <cell r="E87">
            <v>1</v>
          </cell>
          <cell r="F87">
            <v>0</v>
          </cell>
        </row>
        <row r="88">
          <cell r="A88" t="str">
            <v>MMDC-IUHM100-PK</v>
          </cell>
          <cell r="B88" t="str">
            <v>MMDC-IUHM100</v>
          </cell>
          <cell r="C88">
            <v>1</v>
          </cell>
          <cell r="D88">
            <v>2</v>
          </cell>
          <cell r="E88">
            <v>2</v>
          </cell>
          <cell r="F88">
            <v>0</v>
          </cell>
        </row>
        <row r="89">
          <cell r="A89" t="str">
            <v>XQ-IUYL260-BK-S</v>
          </cell>
          <cell r="B89" t="str">
            <v>XQ-IUYL260</v>
          </cell>
          <cell r="C89">
            <v>1</v>
          </cell>
          <cell r="D89">
            <v>2</v>
          </cell>
          <cell r="E89">
            <v>1</v>
          </cell>
          <cell r="F89">
            <v>0</v>
          </cell>
        </row>
        <row r="90">
          <cell r="A90" t="str">
            <v>ST172-PP-XL</v>
          </cell>
          <cell r="B90" t="str">
            <v>ST172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</row>
        <row r="91">
          <cell r="A91" t="str">
            <v>TZ-IUYL240-DOT-M</v>
          </cell>
          <cell r="B91" t="str">
            <v>TZ-IUYL240</v>
          </cell>
          <cell r="C91">
            <v>0</v>
          </cell>
          <cell r="D91">
            <v>0</v>
          </cell>
          <cell r="E91">
            <v>2</v>
          </cell>
          <cell r="F91">
            <v>0</v>
          </cell>
        </row>
        <row r="92">
          <cell r="A92" t="str">
            <v>LYQ-WF7125-WO-XS</v>
          </cell>
          <cell r="B92" t="str">
            <v>WF7125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</row>
        <row r="93">
          <cell r="A93" t="str">
            <v>TZ-IUYL240-STRAWBERRY-L</v>
          </cell>
          <cell r="B93" t="str">
            <v>TZ-IUYL240</v>
          </cell>
          <cell r="C93">
            <v>6</v>
          </cell>
          <cell r="D93">
            <v>1</v>
          </cell>
          <cell r="E93">
            <v>3</v>
          </cell>
          <cell r="F93">
            <v>0</v>
          </cell>
        </row>
        <row r="94">
          <cell r="A94" t="str">
            <v>TZ-IUYL240-STAR-S</v>
          </cell>
          <cell r="B94" t="str">
            <v>TZ-IUYL240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</row>
        <row r="95">
          <cell r="A95" t="str">
            <v>XQ-IUYL260-GN-S</v>
          </cell>
          <cell r="B95" t="str">
            <v>XQ-IUYL260</v>
          </cell>
          <cell r="C95">
            <v>0</v>
          </cell>
          <cell r="D95">
            <v>0</v>
          </cell>
          <cell r="E95">
            <v>1</v>
          </cell>
          <cell r="F95">
            <v>0</v>
          </cell>
        </row>
        <row r="96">
          <cell r="A96" t="str">
            <v>XQ-IUYL260-YL-M</v>
          </cell>
          <cell r="B96" t="str">
            <v>XQ-IUYL260</v>
          </cell>
          <cell r="C96">
            <v>0</v>
          </cell>
          <cell r="D96">
            <v>0</v>
          </cell>
          <cell r="E96">
            <v>3</v>
          </cell>
          <cell r="F96">
            <v>0</v>
          </cell>
        </row>
        <row r="97">
          <cell r="A97" t="str">
            <v>ST172-WR-S</v>
          </cell>
          <cell r="B97" t="str">
            <v>ST172</v>
          </cell>
          <cell r="C97">
            <v>0</v>
          </cell>
          <cell r="D97">
            <v>1</v>
          </cell>
          <cell r="E97">
            <v>1</v>
          </cell>
          <cell r="F97">
            <v>0</v>
          </cell>
        </row>
        <row r="98">
          <cell r="A98" t="str">
            <v>ST172-GR-S</v>
          </cell>
          <cell r="B98" t="str">
            <v>ST172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</row>
        <row r="99">
          <cell r="A99" t="str">
            <v>MJ-IUYL230-CF-S</v>
          </cell>
          <cell r="B99" t="str">
            <v>MJ-IUYL230</v>
          </cell>
          <cell r="C99">
            <v>0</v>
          </cell>
          <cell r="D99">
            <v>1</v>
          </cell>
          <cell r="E99">
            <v>1</v>
          </cell>
          <cell r="F99">
            <v>0</v>
          </cell>
        </row>
        <row r="100">
          <cell r="A100" t="str">
            <v>GW-LULHY-4.5</v>
          </cell>
          <cell r="B100" t="str">
            <v>GW-LULHY</v>
          </cell>
          <cell r="C100">
            <v>2</v>
          </cell>
          <cell r="D100">
            <v>0</v>
          </cell>
          <cell r="E100">
            <v>3</v>
          </cell>
          <cell r="F100">
            <v>0</v>
          </cell>
        </row>
        <row r="101">
          <cell r="A101" t="str">
            <v>XQ-IUYL260-BL1-S</v>
          </cell>
          <cell r="B101" t="str">
            <v>XQ-IUYL260</v>
          </cell>
          <cell r="C101">
            <v>1</v>
          </cell>
          <cell r="D101">
            <v>1</v>
          </cell>
          <cell r="E101">
            <v>1</v>
          </cell>
          <cell r="F101">
            <v>0</v>
          </cell>
        </row>
        <row r="102">
          <cell r="A102" t="str">
            <v>LYQ-WF7125-KO-M</v>
          </cell>
          <cell r="B102" t="str">
            <v>WF7125</v>
          </cell>
          <cell r="C102">
            <v>0</v>
          </cell>
          <cell r="D102">
            <v>1</v>
          </cell>
          <cell r="E102">
            <v>0</v>
          </cell>
          <cell r="F102">
            <v>0</v>
          </cell>
        </row>
        <row r="103">
          <cell r="A103" t="str">
            <v>XQ-IUYL260-PK-S</v>
          </cell>
          <cell r="B103" t="str">
            <v>XQ-IUYL260</v>
          </cell>
          <cell r="C103">
            <v>1</v>
          </cell>
          <cell r="D103">
            <v>1</v>
          </cell>
          <cell r="E103">
            <v>0</v>
          </cell>
          <cell r="F103">
            <v>0</v>
          </cell>
        </row>
        <row r="104">
          <cell r="A104" t="str">
            <v>ST166-K33-4-S</v>
          </cell>
          <cell r="B104" t="str">
            <v>ST166</v>
          </cell>
          <cell r="C104">
            <v>1</v>
          </cell>
          <cell r="D104">
            <v>1</v>
          </cell>
          <cell r="E104">
            <v>0</v>
          </cell>
          <cell r="F104">
            <v>0</v>
          </cell>
        </row>
        <row r="105">
          <cell r="A105" t="str">
            <v>BBBD-1605A-BL</v>
          </cell>
          <cell r="B105" t="str">
            <v>BBBD-1605A</v>
          </cell>
          <cell r="C105">
            <v>0</v>
          </cell>
          <cell r="D105">
            <v>3</v>
          </cell>
          <cell r="E105">
            <v>0</v>
          </cell>
          <cell r="F105">
            <v>0</v>
          </cell>
        </row>
        <row r="106">
          <cell r="A106" t="str">
            <v>ST171-LB916-S</v>
          </cell>
          <cell r="B106" t="str">
            <v>ST171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</row>
        <row r="107">
          <cell r="A107" t="str">
            <v>LGQ-IUYL100-BL</v>
          </cell>
          <cell r="B107" t="str">
            <v>LGQ-IUYL100</v>
          </cell>
          <cell r="C107">
            <v>1</v>
          </cell>
          <cell r="D107">
            <v>2</v>
          </cell>
          <cell r="E107">
            <v>0</v>
          </cell>
          <cell r="F107">
            <v>0</v>
          </cell>
        </row>
        <row r="108">
          <cell r="A108" t="str">
            <v>SZ-IUYL002</v>
          </cell>
          <cell r="B108" t="str">
            <v>SZ-IUYL002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</row>
        <row r="109">
          <cell r="A109" t="str">
            <v>LYQ-WF7125-NO-S</v>
          </cell>
          <cell r="B109" t="str">
            <v>WF7125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</row>
        <row r="110">
          <cell r="A110" t="str">
            <v>MJ-IUYL230-PK-L</v>
          </cell>
          <cell r="B110" t="str">
            <v>MJ-IUYL230</v>
          </cell>
          <cell r="C110">
            <v>1</v>
          </cell>
          <cell r="D110">
            <v>2</v>
          </cell>
          <cell r="E110">
            <v>0</v>
          </cell>
          <cell r="F110">
            <v>0</v>
          </cell>
        </row>
        <row r="111">
          <cell r="A111" t="str">
            <v>LYQ-WF7125-PO-S</v>
          </cell>
          <cell r="B111" t="str">
            <v>WF7125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</row>
        <row r="112">
          <cell r="A112" t="str">
            <v>TZ-IUYL240LHY-STRAWBERRY-L</v>
          </cell>
          <cell r="B112" t="str">
            <v>TZ-IUYL240</v>
          </cell>
          <cell r="C112">
            <v>1</v>
          </cell>
          <cell r="D112">
            <v>2</v>
          </cell>
          <cell r="E112">
            <v>0</v>
          </cell>
          <cell r="F112">
            <v>0</v>
          </cell>
        </row>
        <row r="113">
          <cell r="A113" t="str">
            <v>XQ-IUYL260-RD-M</v>
          </cell>
          <cell r="B113" t="str">
            <v>XQ-IUYL260</v>
          </cell>
          <cell r="C113">
            <v>2</v>
          </cell>
          <cell r="D113">
            <v>1</v>
          </cell>
          <cell r="E113">
            <v>0</v>
          </cell>
          <cell r="F113">
            <v>0</v>
          </cell>
        </row>
        <row r="114">
          <cell r="A114" t="str">
            <v>XQ-IUYL260-PP-S</v>
          </cell>
          <cell r="B114" t="str">
            <v>XQ-IUYL260</v>
          </cell>
          <cell r="C114">
            <v>0</v>
          </cell>
          <cell r="D114">
            <v>1</v>
          </cell>
          <cell r="E114">
            <v>0</v>
          </cell>
          <cell r="F114">
            <v>0</v>
          </cell>
        </row>
        <row r="115">
          <cell r="A115" t="str">
            <v>XQ-IUYL260-BL2-S</v>
          </cell>
          <cell r="B115" t="str">
            <v>XQ-IUYL260</v>
          </cell>
          <cell r="C115">
            <v>0</v>
          </cell>
          <cell r="D115">
            <v>1</v>
          </cell>
          <cell r="E115">
            <v>0</v>
          </cell>
          <cell r="F115">
            <v>0</v>
          </cell>
        </row>
        <row r="116">
          <cell r="A116" t="str">
            <v>XQ-IUYL260-BL1-M</v>
          </cell>
          <cell r="B116" t="str">
            <v>XQ-IUYL260</v>
          </cell>
          <cell r="C116">
            <v>0</v>
          </cell>
          <cell r="D116">
            <v>1</v>
          </cell>
          <cell r="E116">
            <v>0</v>
          </cell>
          <cell r="F116">
            <v>0</v>
          </cell>
        </row>
        <row r="117">
          <cell r="A117" t="str">
            <v>ST172-WT1-XL</v>
          </cell>
          <cell r="B117" t="str">
            <v>ST172</v>
          </cell>
          <cell r="C117">
            <v>0</v>
          </cell>
          <cell r="D117">
            <v>1</v>
          </cell>
          <cell r="E117">
            <v>0</v>
          </cell>
          <cell r="F117">
            <v>0</v>
          </cell>
        </row>
        <row r="118">
          <cell r="A118" t="str">
            <v>ST172-BL-XL</v>
          </cell>
          <cell r="B118" t="str">
            <v>ST172</v>
          </cell>
          <cell r="C118">
            <v>0</v>
          </cell>
          <cell r="D118">
            <v>1</v>
          </cell>
          <cell r="E118">
            <v>0</v>
          </cell>
          <cell r="F118">
            <v>0</v>
          </cell>
        </row>
        <row r="119">
          <cell r="A119" t="str">
            <v>TZ-IUYL240-BONE-S</v>
          </cell>
          <cell r="B119" t="str">
            <v>TZ-IUYL240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</row>
        <row r="120">
          <cell r="A120" t="str">
            <v>SCF-B01-016</v>
          </cell>
          <cell r="B120" t="str">
            <v>SCF-B01</v>
          </cell>
          <cell r="C120">
            <v>0</v>
          </cell>
          <cell r="D120">
            <v>1</v>
          </cell>
          <cell r="E120">
            <v>0</v>
          </cell>
          <cell r="F120">
            <v>0</v>
          </cell>
        </row>
        <row r="121">
          <cell r="A121" t="str">
            <v>AQD-IUYL330-YL</v>
          </cell>
          <cell r="B121" t="str">
            <v>AQD-IUYL330</v>
          </cell>
          <cell r="C121">
            <v>1</v>
          </cell>
          <cell r="D121">
            <v>1</v>
          </cell>
          <cell r="E121">
            <v>0</v>
          </cell>
          <cell r="F121">
            <v>0</v>
          </cell>
        </row>
        <row r="122">
          <cell r="A122" t="str">
            <v>SCF-B01-005</v>
          </cell>
          <cell r="B122" t="str">
            <v>SCF-B01</v>
          </cell>
          <cell r="C122">
            <v>1</v>
          </cell>
          <cell r="D122">
            <v>2</v>
          </cell>
          <cell r="E122">
            <v>0</v>
          </cell>
          <cell r="F122">
            <v>0</v>
          </cell>
        </row>
        <row r="123">
          <cell r="A123" t="str">
            <v>KZ-LY021-BK-32</v>
          </cell>
          <cell r="B123" t="str">
            <v>KZ-LY021</v>
          </cell>
          <cell r="C123">
            <v>1</v>
          </cell>
          <cell r="D123">
            <v>1</v>
          </cell>
          <cell r="E123">
            <v>0</v>
          </cell>
          <cell r="F123">
            <v>0</v>
          </cell>
        </row>
        <row r="124">
          <cell r="A124" t="str">
            <v>SCF-B01-018</v>
          </cell>
          <cell r="B124" t="str">
            <v>SCF-B01</v>
          </cell>
          <cell r="C124">
            <v>0</v>
          </cell>
          <cell r="D124">
            <v>1</v>
          </cell>
          <cell r="E124">
            <v>0</v>
          </cell>
          <cell r="F124">
            <v>0</v>
          </cell>
        </row>
        <row r="125">
          <cell r="A125" t="str">
            <v>SCF-B01-003</v>
          </cell>
          <cell r="B125" t="str">
            <v>SCF-B01</v>
          </cell>
          <cell r="C125">
            <v>0</v>
          </cell>
          <cell r="D125">
            <v>1</v>
          </cell>
          <cell r="E125">
            <v>0</v>
          </cell>
          <cell r="F125">
            <v>0</v>
          </cell>
        </row>
        <row r="126">
          <cell r="A126" t="str">
            <v>SCF-D01-009</v>
          </cell>
          <cell r="B126" t="str">
            <v>SCF-D01</v>
          </cell>
          <cell r="C126">
            <v>2</v>
          </cell>
          <cell r="D126">
            <v>1</v>
          </cell>
          <cell r="E126">
            <v>0</v>
          </cell>
          <cell r="F126">
            <v>0</v>
          </cell>
        </row>
        <row r="127">
          <cell r="A127" t="str">
            <v>ST-K559-KQ-44</v>
          </cell>
          <cell r="B127" t="str">
            <v>ST-K559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LYQ-WF7125-WO-2L</v>
          </cell>
          <cell r="B128" t="str">
            <v>WF7125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LYQ-WF7125-PO-XL</v>
          </cell>
          <cell r="B129" t="str">
            <v>WF7125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LYQ-WF7125-PO-L</v>
          </cell>
          <cell r="B130" t="str">
            <v>WF7125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LYQ-WF7125-NO-XS</v>
          </cell>
          <cell r="B131" t="str">
            <v>WF7125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</row>
        <row r="132">
          <cell r="A132" t="str">
            <v>LYQ-WF7125-NO-L</v>
          </cell>
          <cell r="B132" t="str">
            <v>WF7125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LYQ-WF7125-KO-XL</v>
          </cell>
          <cell r="B133" t="str">
            <v>WF7125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</row>
        <row r="134">
          <cell r="A134" t="str">
            <v>LYQ-WF7125-KO-S</v>
          </cell>
          <cell r="B134" t="str">
            <v>WF7125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</row>
        <row r="135">
          <cell r="A135" t="str">
            <v>LYQ-WF7125-KO-L</v>
          </cell>
          <cell r="B135" t="str">
            <v>WF7125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LYQ-WF7125-K0-2L</v>
          </cell>
          <cell r="B136" t="str">
            <v>WF7125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LYQ-WF7125-BO-XL</v>
          </cell>
          <cell r="B137" t="str">
            <v>WF7125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LYQ-WF7125-BO-S</v>
          </cell>
          <cell r="B138" t="str">
            <v>WF7125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</row>
        <row r="139">
          <cell r="A139" t="str">
            <v>LYQ-WF7125-BO-2X</v>
          </cell>
          <cell r="B139" t="str">
            <v>WF7125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</row>
        <row r="140">
          <cell r="A140" t="str">
            <v>ST155-AG-30</v>
          </cell>
          <cell r="B140" t="str">
            <v>ST155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</row>
        <row r="141">
          <cell r="A141" t="str">
            <v>ST005-BK-S</v>
          </cell>
          <cell r="B141" t="str">
            <v>ST005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ST005-BL2-S</v>
          </cell>
          <cell r="B142" t="str">
            <v>ST005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ST171-Sa911-S</v>
          </cell>
          <cell r="B143" t="str">
            <v>ST171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ST172-BK-M</v>
          </cell>
          <cell r="B144" t="str">
            <v>ST172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ST172-BK-S</v>
          </cell>
          <cell r="B145" t="str">
            <v>ST172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ST172-BL-M</v>
          </cell>
          <cell r="B146" t="str">
            <v>ST172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ST172-GR-L</v>
          </cell>
          <cell r="B147" t="str">
            <v>ST172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</row>
        <row r="148">
          <cell r="A148" t="str">
            <v>ST172-GR-M</v>
          </cell>
          <cell r="B148" t="str">
            <v>ST172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</row>
        <row r="149">
          <cell r="A149" t="str">
            <v>ST172-GR-XXL</v>
          </cell>
          <cell r="B149" t="str">
            <v>ST172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</row>
        <row r="150">
          <cell r="A150" t="str">
            <v>ST172-NY-L</v>
          </cell>
          <cell r="B150" t="str">
            <v>ST172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</row>
        <row r="151">
          <cell r="A151" t="str">
            <v>ST172-NY-M</v>
          </cell>
          <cell r="B151" t="str">
            <v>ST172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</row>
        <row r="152">
          <cell r="A152" t="str">
            <v>ST172-NY-S</v>
          </cell>
          <cell r="B152" t="str">
            <v>ST172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</row>
        <row r="153">
          <cell r="A153" t="str">
            <v>ST172-NY-XL</v>
          </cell>
          <cell r="B153" t="str">
            <v>ST172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</row>
        <row r="154">
          <cell r="A154" t="str">
            <v>ST172-NY-XXL</v>
          </cell>
          <cell r="B154" t="str">
            <v>ST172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</row>
        <row r="155">
          <cell r="A155" t="str">
            <v>ST172-PK-L</v>
          </cell>
          <cell r="B155" t="str">
            <v>ST172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</row>
        <row r="156">
          <cell r="A156" t="str">
            <v>ST172-PK-M</v>
          </cell>
          <cell r="B156" t="str">
            <v>ST172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</row>
        <row r="157">
          <cell r="A157" t="str">
            <v>ST172-PK-S</v>
          </cell>
          <cell r="B157" t="str">
            <v>ST172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</row>
        <row r="158">
          <cell r="A158" t="str">
            <v>ST172-PK-XL</v>
          </cell>
          <cell r="B158" t="str">
            <v>ST172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</row>
        <row r="159">
          <cell r="A159" t="str">
            <v>ST172-PK-XXL</v>
          </cell>
          <cell r="B159" t="str">
            <v>ST172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 t="str">
            <v>ST172-PP-L</v>
          </cell>
          <cell r="B160" t="str">
            <v>ST172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</row>
        <row r="161">
          <cell r="A161" t="str">
            <v>ST172-PP-S</v>
          </cell>
          <cell r="B161" t="str">
            <v>ST172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</row>
        <row r="162">
          <cell r="A162" t="str">
            <v>ST172-WR-M</v>
          </cell>
          <cell r="B162" t="str">
            <v>ST172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</row>
        <row r="163">
          <cell r="A163" t="str">
            <v>ST172-WR-XL</v>
          </cell>
          <cell r="B163" t="str">
            <v>ST172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</row>
        <row r="164">
          <cell r="A164" t="str">
            <v>ST172-WR-XXL</v>
          </cell>
          <cell r="B164" t="str">
            <v>ST172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</row>
        <row r="165">
          <cell r="A165" t="str">
            <v>ST172-WT1-L</v>
          </cell>
          <cell r="B165" t="str">
            <v>ST172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</row>
        <row r="166">
          <cell r="A166" t="str">
            <v>ST172-WT1-M</v>
          </cell>
          <cell r="B166" t="str">
            <v>ST172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</row>
        <row r="167">
          <cell r="A167" t="str">
            <v>ST172-WT1-S</v>
          </cell>
          <cell r="B167" t="str">
            <v>ST172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</row>
        <row r="168">
          <cell r="A168" t="str">
            <v>ST172-WT1-XXL</v>
          </cell>
          <cell r="B168" t="str">
            <v>ST172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</row>
        <row r="169">
          <cell r="A169" t="str">
            <v>ST172-WT2-L</v>
          </cell>
          <cell r="B169" t="str">
            <v>ST172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</row>
        <row r="170">
          <cell r="A170" t="str">
            <v>ST172-WT2-S</v>
          </cell>
          <cell r="B170" t="str">
            <v>ST172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</row>
        <row r="171">
          <cell r="A171" t="str">
            <v>SCF-A01-012</v>
          </cell>
          <cell r="B171" t="str">
            <v>SCF-A01</v>
          </cell>
          <cell r="C171">
            <v>2</v>
          </cell>
          <cell r="D171">
            <v>0</v>
          </cell>
          <cell r="E171">
            <v>0</v>
          </cell>
          <cell r="F171">
            <v>0</v>
          </cell>
        </row>
        <row r="172">
          <cell r="A172" t="str">
            <v>SCF-C01-017</v>
          </cell>
          <cell r="B172" t="str">
            <v>SCF-C01</v>
          </cell>
          <cell r="C172">
            <v>1</v>
          </cell>
          <cell r="D172">
            <v>0</v>
          </cell>
          <cell r="E172">
            <v>0</v>
          </cell>
          <cell r="F172">
            <v>0</v>
          </cell>
        </row>
        <row r="173">
          <cell r="A173" t="str">
            <v>SCF-C01-019</v>
          </cell>
          <cell r="B173" t="str">
            <v>SCF-C01</v>
          </cell>
          <cell r="C173">
            <v>1</v>
          </cell>
          <cell r="D173">
            <v>0</v>
          </cell>
          <cell r="E173">
            <v>0</v>
          </cell>
          <cell r="F173">
            <v>0</v>
          </cell>
        </row>
        <row r="174">
          <cell r="A174" t="str">
            <v>SCF-A01-011</v>
          </cell>
          <cell r="B174" t="str">
            <v>SCF-A01</v>
          </cell>
          <cell r="C174">
            <v>2</v>
          </cell>
          <cell r="D174">
            <v>0</v>
          </cell>
          <cell r="E174">
            <v>0</v>
          </cell>
          <cell r="F174">
            <v>0</v>
          </cell>
        </row>
        <row r="175">
          <cell r="A175" t="str">
            <v>scarf-0001-Peony</v>
          </cell>
          <cell r="B175" t="str">
            <v>scarf-0001</v>
          </cell>
          <cell r="C175">
            <v>5</v>
          </cell>
          <cell r="D175">
            <v>0</v>
          </cell>
          <cell r="E175">
            <v>0</v>
          </cell>
          <cell r="F175">
            <v>0</v>
          </cell>
        </row>
        <row r="176">
          <cell r="A176" t="str">
            <v>SCF-B01-004</v>
          </cell>
          <cell r="B176" t="str">
            <v>SCF-B01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</row>
        <row r="177">
          <cell r="A177" t="str">
            <v>SCF-B01-001</v>
          </cell>
          <cell r="B177" t="str">
            <v>SCF-B01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</row>
        <row r="178">
          <cell r="A178" t="str">
            <v>SCF-B01-008</v>
          </cell>
          <cell r="B178" t="str">
            <v>SCF-B01</v>
          </cell>
          <cell r="C178">
            <v>3</v>
          </cell>
          <cell r="D178">
            <v>0</v>
          </cell>
          <cell r="E178">
            <v>0</v>
          </cell>
          <cell r="F178">
            <v>0</v>
          </cell>
        </row>
        <row r="179">
          <cell r="A179" t="str">
            <v>KZ-LY021-BK-34</v>
          </cell>
          <cell r="B179" t="str">
            <v>KZ-LY021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</row>
        <row r="180">
          <cell r="A180" t="str">
            <v>KZ-LY021-WR-40</v>
          </cell>
          <cell r="B180" t="str">
            <v>KZ-LY021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</row>
        <row r="181">
          <cell r="A181" t="str">
            <v>ST173-BL-L</v>
          </cell>
          <cell r="B181" t="str">
            <v>ST173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</row>
        <row r="182">
          <cell r="A182" t="str">
            <v>ST006-BL2-S</v>
          </cell>
          <cell r="B182" t="str">
            <v>ST006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</row>
        <row r="183">
          <cell r="A183" t="str">
            <v>SCF-C01-005</v>
          </cell>
          <cell r="B183" t="str">
            <v>SCF-C01</v>
          </cell>
          <cell r="C183">
            <v>1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LYQ-WF7125-PO-M</v>
          </cell>
          <cell r="B184" t="str">
            <v>WF7125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SCF-C01-011</v>
          </cell>
          <cell r="B185" t="str">
            <v>SCF-C01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SCF-B01-021</v>
          </cell>
          <cell r="B186" t="str">
            <v>SCF-B01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TZ-CAHM240-DOT2-S</v>
          </cell>
          <cell r="B187" t="str">
            <v>TZ-CAHM240</v>
          </cell>
          <cell r="C187">
            <v>1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XQ-IUYL260-YL-S</v>
          </cell>
          <cell r="B188" t="str">
            <v>XQ-IUYL260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SCF-C01-009</v>
          </cell>
          <cell r="B189" t="str">
            <v>SCF-C01</v>
          </cell>
          <cell r="C189">
            <v>2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SCF-A01-009</v>
          </cell>
          <cell r="B190" t="str">
            <v>SCF-A01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SCF-A01-013</v>
          </cell>
          <cell r="B191" t="str">
            <v>SCF-A01</v>
          </cell>
          <cell r="C191">
            <v>2</v>
          </cell>
          <cell r="D191">
            <v>0</v>
          </cell>
          <cell r="E191">
            <v>0</v>
          </cell>
          <cell r="F191">
            <v>0</v>
          </cell>
        </row>
        <row r="2021">
          <cell r="A2021" t="str">
            <v>SCF-C01-010</v>
          </cell>
        </row>
        <row r="2686">
          <cell r="A2686" t="str">
            <v>LGQ-IUYL100-WT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17.6701383285302</v>
          </cell>
        </row>
        <row r="3">
          <cell r="A3" t="str">
            <v>ST172</v>
          </cell>
          <cell r="B3">
            <v>14.6642105263158</v>
          </cell>
        </row>
        <row r="4">
          <cell r="A4" t="str">
            <v>MJ-IUYL230</v>
          </cell>
          <cell r="B4">
            <v>11.9920833333333</v>
          </cell>
        </row>
        <row r="5">
          <cell r="A5" t="str">
            <v>ST173</v>
          </cell>
          <cell r="B5">
            <v>10.0641025641026</v>
          </cell>
        </row>
        <row r="6">
          <cell r="A6" t="str">
            <v>LGQ-IUYL100</v>
          </cell>
          <cell r="B6">
            <v>18.6657142857143</v>
          </cell>
        </row>
        <row r="7">
          <cell r="A7" t="str">
            <v>XQ-IUYL260</v>
          </cell>
          <cell r="B7">
            <v>9.99</v>
          </cell>
        </row>
        <row r="8">
          <cell r="A8" t="str">
            <v>KZ-LY021</v>
          </cell>
          <cell r="B8">
            <v>12</v>
          </cell>
        </row>
        <row r="9">
          <cell r="A9" t="str">
            <v>SCF-D01</v>
          </cell>
          <cell r="B9">
            <v>10</v>
          </cell>
        </row>
        <row r="10">
          <cell r="A10" t="str">
            <v>GW-LULHY</v>
          </cell>
          <cell r="B10">
            <v>10.53</v>
          </cell>
        </row>
        <row r="11">
          <cell r="A11" t="str">
            <v>ST171</v>
          </cell>
          <cell r="B11">
            <v>11.48</v>
          </cell>
        </row>
        <row r="12">
          <cell r="A12" t="str">
            <v>HZB-QJTZ-IUYL300310</v>
          </cell>
          <cell r="B12">
            <v>28.99</v>
          </cell>
        </row>
        <row r="13">
          <cell r="A13" t="str">
            <v>MMDC-IUHM100</v>
          </cell>
          <cell r="B13">
            <v>10.99</v>
          </cell>
        </row>
        <row r="14">
          <cell r="A14" t="str">
            <v>ST006</v>
          </cell>
          <cell r="B14">
            <v>13.8166666666667</v>
          </cell>
        </row>
        <row r="15">
          <cell r="A15" t="str">
            <v>ST170</v>
          </cell>
          <cell r="B15">
            <v>18.98</v>
          </cell>
        </row>
        <row r="16">
          <cell r="A16" t="str">
            <v>WF7125</v>
          </cell>
          <cell r="B16">
            <v>11.8</v>
          </cell>
        </row>
        <row r="17">
          <cell r="A17" t="str">
            <v>AQD-IUYL330</v>
          </cell>
          <cell r="B17">
            <v>9.83</v>
          </cell>
        </row>
        <row r="18">
          <cell r="A18" t="str">
            <v>ST166</v>
          </cell>
          <cell r="B18">
            <v>12.5</v>
          </cell>
        </row>
        <row r="19">
          <cell r="A19" t="str">
            <v>BBBD-1605A</v>
          </cell>
          <cell r="B19">
            <v>28.99</v>
          </cell>
        </row>
        <row r="20">
          <cell r="A20" t="str">
            <v>SZ-IUYL002</v>
          </cell>
          <cell r="B20">
            <v>10.99</v>
          </cell>
        </row>
        <row r="21">
          <cell r="A21" t="str">
            <v>SCF-B01</v>
          </cell>
          <cell r="B21">
            <v>10</v>
          </cell>
        </row>
        <row r="22">
          <cell r="A22" t="str">
            <v>ST-K559</v>
          </cell>
          <cell r="B22" t="e">
            <v>#DIV/0!</v>
          </cell>
        </row>
        <row r="23">
          <cell r="A23" t="str">
            <v>ST155</v>
          </cell>
          <cell r="B23" t="e">
            <v>#DIV/0!</v>
          </cell>
        </row>
        <row r="24">
          <cell r="A24" t="str">
            <v>ST005</v>
          </cell>
          <cell r="B24" t="e">
            <v>#DIV/0!</v>
          </cell>
        </row>
        <row r="25">
          <cell r="A25" t="str">
            <v>SCF-A01</v>
          </cell>
          <cell r="B25">
            <v>7</v>
          </cell>
        </row>
        <row r="26">
          <cell r="A26" t="str">
            <v>SCF-C01</v>
          </cell>
          <cell r="B26">
            <v>7</v>
          </cell>
        </row>
        <row r="27">
          <cell r="A27" t="str">
            <v>scarf-0001</v>
          </cell>
          <cell r="B27">
            <v>7</v>
          </cell>
        </row>
        <row r="28">
          <cell r="A28" t="str">
            <v>TZ-CAHM240</v>
          </cell>
          <cell r="B28">
            <v>18.99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1589.33</v>
          </cell>
        </row>
        <row r="3">
          <cell r="G3">
            <v>1588.35</v>
          </cell>
        </row>
        <row r="3">
          <cell r="J3">
            <v>1777.24</v>
          </cell>
        </row>
        <row r="3">
          <cell r="M3">
            <v>837.08</v>
          </cell>
        </row>
        <row r="4">
          <cell r="A4" t="str">
            <v>ST173-PK-XXL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1120</v>
          </cell>
          <cell r="I4">
            <v>25</v>
          </cell>
          <cell r="J4">
            <v>16.09</v>
          </cell>
          <cell r="K4">
            <v>2566</v>
          </cell>
          <cell r="L4">
            <v>36</v>
          </cell>
          <cell r="M4">
            <v>27.89</v>
          </cell>
        </row>
        <row r="5">
          <cell r="A5" t="str">
            <v>MJ-IUYL230-BL-S</v>
          </cell>
          <cell r="B5">
            <v>7558</v>
          </cell>
          <cell r="C5">
            <v>36</v>
          </cell>
          <cell r="D5">
            <v>31.81</v>
          </cell>
          <cell r="E5">
            <v>5695</v>
          </cell>
          <cell r="F5">
            <v>31</v>
          </cell>
          <cell r="G5">
            <v>26.43</v>
          </cell>
          <cell r="H5">
            <v>1147</v>
          </cell>
          <cell r="I5">
            <v>10</v>
          </cell>
          <cell r="J5">
            <v>7.83</v>
          </cell>
          <cell r="K5">
            <v>2029</v>
          </cell>
          <cell r="L5">
            <v>20</v>
          </cell>
          <cell r="M5">
            <v>24.07</v>
          </cell>
        </row>
        <row r="6">
          <cell r="A6" t="str">
            <v>MJ-IUYL230-CF-S</v>
          </cell>
          <cell r="B6">
            <v>829</v>
          </cell>
          <cell r="C6">
            <v>4</v>
          </cell>
          <cell r="D6">
            <v>2.06</v>
          </cell>
          <cell r="E6">
            <v>1409</v>
          </cell>
          <cell r="F6">
            <v>10</v>
          </cell>
          <cell r="G6">
            <v>10.72</v>
          </cell>
          <cell r="H6">
            <v>3009</v>
          </cell>
          <cell r="I6">
            <v>13</v>
          </cell>
          <cell r="J6">
            <v>15.2</v>
          </cell>
          <cell r="K6">
            <v>2271</v>
          </cell>
          <cell r="L6">
            <v>12</v>
          </cell>
          <cell r="M6">
            <v>15.12</v>
          </cell>
        </row>
        <row r="7">
          <cell r="A7" t="str">
            <v>MJ-IUYL230-PK-S</v>
          </cell>
          <cell r="B7">
            <v>0</v>
          </cell>
          <cell r="C7">
            <v>0</v>
          </cell>
          <cell r="D7">
            <v>0</v>
          </cell>
          <cell r="E7">
            <v>27</v>
          </cell>
          <cell r="F7">
            <v>2</v>
          </cell>
          <cell r="G7">
            <v>2.81</v>
          </cell>
          <cell r="H7">
            <v>41</v>
          </cell>
          <cell r="I7">
            <v>0</v>
          </cell>
          <cell r="J7">
            <v>0</v>
          </cell>
          <cell r="K7">
            <v>1934</v>
          </cell>
          <cell r="L7">
            <v>5</v>
          </cell>
          <cell r="M7">
            <v>7.17</v>
          </cell>
        </row>
        <row r="8">
          <cell r="A8" t="str">
            <v>SCF-B01-004</v>
          </cell>
          <cell r="B8">
            <v>155</v>
          </cell>
          <cell r="C8">
            <v>0</v>
          </cell>
          <cell r="D8">
            <v>0</v>
          </cell>
          <cell r="E8">
            <v>960</v>
          </cell>
          <cell r="F8">
            <v>3</v>
          </cell>
          <cell r="G8">
            <v>0.89</v>
          </cell>
          <cell r="H8">
            <v>1849</v>
          </cell>
          <cell r="I8">
            <v>2</v>
          </cell>
          <cell r="J8">
            <v>0.92</v>
          </cell>
          <cell r="K8">
            <v>488</v>
          </cell>
          <cell r="L8">
            <v>3</v>
          </cell>
          <cell r="M8">
            <v>0.64</v>
          </cell>
        </row>
        <row r="9">
          <cell r="A9" t="str">
            <v>TZ-IUYL240-STAR-M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21</v>
          </cell>
          <cell r="I9">
            <v>0</v>
          </cell>
          <cell r="J9">
            <v>0</v>
          </cell>
          <cell r="K9">
            <v>13</v>
          </cell>
          <cell r="L9">
            <v>0</v>
          </cell>
          <cell r="M9">
            <v>0</v>
          </cell>
        </row>
        <row r="10">
          <cell r="A10" t="str">
            <v>ST172-BL-L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257</v>
          </cell>
          <cell r="I10">
            <v>0</v>
          </cell>
          <cell r="J10">
            <v>0</v>
          </cell>
          <cell r="K10">
            <v>749</v>
          </cell>
          <cell r="L10">
            <v>2</v>
          </cell>
          <cell r="M10">
            <v>0.31</v>
          </cell>
        </row>
        <row r="11">
          <cell r="A11" t="str">
            <v>ST172-WR-L</v>
          </cell>
          <cell r="B11">
            <v>0</v>
          </cell>
          <cell r="C11">
            <v>0</v>
          </cell>
          <cell r="D11">
            <v>0</v>
          </cell>
          <cell r="E11">
            <v>21929</v>
          </cell>
          <cell r="F11">
            <v>14</v>
          </cell>
          <cell r="G11">
            <v>6.48</v>
          </cell>
          <cell r="H11">
            <v>80366</v>
          </cell>
          <cell r="I11">
            <v>78</v>
          </cell>
          <cell r="J11">
            <v>32.91</v>
          </cell>
          <cell r="K11">
            <v>5069</v>
          </cell>
          <cell r="L11">
            <v>13</v>
          </cell>
          <cell r="M11">
            <v>3.18</v>
          </cell>
        </row>
        <row r="12">
          <cell r="A12" t="str">
            <v>ST172-WT2-M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338</v>
          </cell>
          <cell r="I12">
            <v>0</v>
          </cell>
          <cell r="J12">
            <v>0</v>
          </cell>
          <cell r="K12">
            <v>459</v>
          </cell>
          <cell r="L12">
            <v>1</v>
          </cell>
          <cell r="M12">
            <v>0.21</v>
          </cell>
        </row>
        <row r="13">
          <cell r="A13" t="str">
            <v>AQD-IUYL330-RD</v>
          </cell>
          <cell r="B13">
            <v>198</v>
          </cell>
          <cell r="C13">
            <v>1</v>
          </cell>
          <cell r="D13">
            <v>0.32</v>
          </cell>
          <cell r="E13">
            <v>236</v>
          </cell>
          <cell r="F13">
            <v>0</v>
          </cell>
          <cell r="G13">
            <v>0</v>
          </cell>
          <cell r="H13">
            <v>278</v>
          </cell>
          <cell r="I13">
            <v>0</v>
          </cell>
          <cell r="J13">
            <v>0</v>
          </cell>
          <cell r="K13">
            <v>216</v>
          </cell>
          <cell r="L13">
            <v>0</v>
          </cell>
          <cell r="M13">
            <v>0</v>
          </cell>
        </row>
        <row r="14">
          <cell r="A14" t="str">
            <v>AQD-IUYL330-YL</v>
          </cell>
          <cell r="B14">
            <v>44</v>
          </cell>
          <cell r="C14">
            <v>0</v>
          </cell>
          <cell r="D14">
            <v>0</v>
          </cell>
          <cell r="E14">
            <v>287</v>
          </cell>
          <cell r="F14">
            <v>1</v>
          </cell>
          <cell r="G14">
            <v>0.35</v>
          </cell>
          <cell r="H14">
            <v>366</v>
          </cell>
          <cell r="I14">
            <v>1</v>
          </cell>
          <cell r="J14">
            <v>0.39</v>
          </cell>
          <cell r="K14">
            <v>271</v>
          </cell>
          <cell r="L14">
            <v>3</v>
          </cell>
          <cell r="M14">
            <v>0.58</v>
          </cell>
        </row>
        <row r="15">
          <cell r="A15" t="str">
            <v>TZ-IUYL240-STRAWBERRY-M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53</v>
          </cell>
          <cell r="I15">
            <v>0</v>
          </cell>
          <cell r="J15">
            <v>0</v>
          </cell>
          <cell r="K15">
            <v>23</v>
          </cell>
          <cell r="L15">
            <v>0</v>
          </cell>
          <cell r="M15">
            <v>0</v>
          </cell>
        </row>
        <row r="16">
          <cell r="A16" t="str">
            <v>SCF-B01-020</v>
          </cell>
          <cell r="B16">
            <v>117</v>
          </cell>
          <cell r="C16">
            <v>1</v>
          </cell>
          <cell r="D16">
            <v>0.06</v>
          </cell>
          <cell r="E16">
            <v>582</v>
          </cell>
          <cell r="F16">
            <v>0</v>
          </cell>
          <cell r="G16">
            <v>0</v>
          </cell>
          <cell r="H16">
            <v>381</v>
          </cell>
          <cell r="I16">
            <v>0</v>
          </cell>
          <cell r="J16">
            <v>0</v>
          </cell>
          <cell r="K16">
            <v>356</v>
          </cell>
          <cell r="L16">
            <v>3</v>
          </cell>
          <cell r="M16">
            <v>1.14</v>
          </cell>
        </row>
        <row r="17">
          <cell r="A17" t="str">
            <v>SCF-C01-012</v>
          </cell>
          <cell r="B17">
            <v>320</v>
          </cell>
          <cell r="C17">
            <v>0</v>
          </cell>
          <cell r="D17">
            <v>0</v>
          </cell>
          <cell r="E17">
            <v>2160</v>
          </cell>
          <cell r="F17">
            <v>9</v>
          </cell>
          <cell r="G17">
            <v>3.31</v>
          </cell>
          <cell r="H17">
            <v>1627</v>
          </cell>
          <cell r="I17">
            <v>5</v>
          </cell>
          <cell r="J17">
            <v>0.87</v>
          </cell>
          <cell r="K17">
            <v>1388</v>
          </cell>
          <cell r="L17">
            <v>7</v>
          </cell>
          <cell r="M17">
            <v>2.33</v>
          </cell>
        </row>
        <row r="18">
          <cell r="A18" t="str">
            <v>SCF-B01-011</v>
          </cell>
          <cell r="B18">
            <v>50</v>
          </cell>
          <cell r="C18">
            <v>0</v>
          </cell>
          <cell r="D18">
            <v>0</v>
          </cell>
          <cell r="E18">
            <v>305</v>
          </cell>
          <cell r="F18">
            <v>2</v>
          </cell>
          <cell r="G18">
            <v>0.71</v>
          </cell>
          <cell r="H18">
            <v>688</v>
          </cell>
          <cell r="I18">
            <v>3</v>
          </cell>
          <cell r="J18">
            <v>0.83</v>
          </cell>
          <cell r="K18">
            <v>552</v>
          </cell>
          <cell r="L18">
            <v>1</v>
          </cell>
          <cell r="M18">
            <v>0.24</v>
          </cell>
        </row>
        <row r="19">
          <cell r="A19" t="str">
            <v>LGQ-IUYL100-RD</v>
          </cell>
          <cell r="B19">
            <v>18610</v>
          </cell>
          <cell r="C19">
            <v>52</v>
          </cell>
          <cell r="D19">
            <v>41.22</v>
          </cell>
          <cell r="E19">
            <v>14378</v>
          </cell>
          <cell r="F19">
            <v>41</v>
          </cell>
          <cell r="G19">
            <v>29.67</v>
          </cell>
          <cell r="H19">
            <v>9791</v>
          </cell>
          <cell r="I19">
            <v>30</v>
          </cell>
          <cell r="J19">
            <v>21.47</v>
          </cell>
          <cell r="K19">
            <v>6067</v>
          </cell>
          <cell r="L19">
            <v>19</v>
          </cell>
          <cell r="M19">
            <v>13.83</v>
          </cell>
        </row>
        <row r="20">
          <cell r="A20" t="str">
            <v>TZ-IUYL240LHY-PAW-S</v>
          </cell>
          <cell r="B20">
            <v>5493</v>
          </cell>
          <cell r="C20">
            <v>80</v>
          </cell>
          <cell r="D20">
            <v>46.66</v>
          </cell>
          <cell r="E20">
            <v>10760</v>
          </cell>
          <cell r="F20">
            <v>128</v>
          </cell>
          <cell r="G20">
            <v>88.45</v>
          </cell>
          <cell r="H20">
            <v>25605</v>
          </cell>
          <cell r="I20">
            <v>186</v>
          </cell>
          <cell r="J20">
            <v>152.95</v>
          </cell>
          <cell r="K20">
            <v>4078</v>
          </cell>
          <cell r="L20">
            <v>33</v>
          </cell>
          <cell r="M20">
            <v>26.4</v>
          </cell>
        </row>
        <row r="21">
          <cell r="A21" t="str">
            <v>TZ-IUYL240-DOT2-S</v>
          </cell>
          <cell r="B21">
            <v>29867</v>
          </cell>
          <cell r="C21">
            <v>237</v>
          </cell>
          <cell r="D21">
            <v>185.5</v>
          </cell>
          <cell r="E21">
            <v>32349</v>
          </cell>
          <cell r="F21">
            <v>303</v>
          </cell>
          <cell r="G21">
            <v>238.13</v>
          </cell>
          <cell r="H21">
            <v>43678</v>
          </cell>
          <cell r="I21">
            <v>346</v>
          </cell>
          <cell r="J21">
            <v>268.12</v>
          </cell>
          <cell r="K21">
            <v>8106</v>
          </cell>
          <cell r="L21">
            <v>58</v>
          </cell>
          <cell r="M21">
            <v>45.19</v>
          </cell>
        </row>
        <row r="22">
          <cell r="A22" t="str">
            <v>TZ-IUYL240-RABBIT-S</v>
          </cell>
          <cell r="B22">
            <v>2385</v>
          </cell>
          <cell r="C22">
            <v>23</v>
          </cell>
          <cell r="D22">
            <v>12.76</v>
          </cell>
          <cell r="E22">
            <v>0</v>
          </cell>
          <cell r="F22">
            <v>0</v>
          </cell>
          <cell r="G22">
            <v>0</v>
          </cell>
          <cell r="H22">
            <v>3243</v>
          </cell>
          <cell r="I22">
            <v>24</v>
          </cell>
          <cell r="J22">
            <v>15.29</v>
          </cell>
          <cell r="K22">
            <v>979</v>
          </cell>
          <cell r="L22">
            <v>4</v>
          </cell>
          <cell r="M22">
            <v>2.64</v>
          </cell>
        </row>
        <row r="23">
          <cell r="A23" t="str">
            <v>TZ-IUYL240-BEAR-S</v>
          </cell>
          <cell r="B23">
            <v>6835</v>
          </cell>
          <cell r="C23">
            <v>75</v>
          </cell>
          <cell r="D23">
            <v>56.32</v>
          </cell>
          <cell r="E23">
            <v>5486</v>
          </cell>
          <cell r="F23">
            <v>64</v>
          </cell>
          <cell r="G23">
            <v>52.18</v>
          </cell>
          <cell r="H23">
            <v>3173</v>
          </cell>
          <cell r="I23">
            <v>68</v>
          </cell>
          <cell r="J23">
            <v>43.09</v>
          </cell>
          <cell r="K23">
            <v>1007</v>
          </cell>
          <cell r="L23">
            <v>14</v>
          </cell>
          <cell r="M23">
            <v>10.08</v>
          </cell>
        </row>
        <row r="24">
          <cell r="A24" t="str">
            <v>TZ-IUYL240LHY-ELPH-S</v>
          </cell>
          <cell r="B24">
            <v>172363</v>
          </cell>
          <cell r="C24">
            <v>1148</v>
          </cell>
          <cell r="D24">
            <v>998.07</v>
          </cell>
          <cell r="E24">
            <v>177592</v>
          </cell>
          <cell r="F24">
            <v>1180</v>
          </cell>
          <cell r="G24">
            <v>983.86</v>
          </cell>
          <cell r="H24">
            <v>194803</v>
          </cell>
          <cell r="I24">
            <v>1289</v>
          </cell>
          <cell r="J24">
            <v>1088.88</v>
          </cell>
          <cell r="K24">
            <v>124968</v>
          </cell>
          <cell r="L24">
            <v>710</v>
          </cell>
          <cell r="M24">
            <v>519.73</v>
          </cell>
        </row>
        <row r="25">
          <cell r="A25" t="str">
            <v>BBBD-1605A-BL</v>
          </cell>
          <cell r="B25">
            <v>0</v>
          </cell>
          <cell r="C25">
            <v>0</v>
          </cell>
          <cell r="D25">
            <v>0</v>
          </cell>
          <cell r="E25">
            <v>12225</v>
          </cell>
          <cell r="F25">
            <v>44</v>
          </cell>
          <cell r="G25">
            <v>13.86</v>
          </cell>
          <cell r="H25">
            <v>25304</v>
          </cell>
          <cell r="I25">
            <v>45</v>
          </cell>
          <cell r="J25">
            <v>14.99</v>
          </cell>
          <cell r="K25">
            <v>114557</v>
          </cell>
          <cell r="L25">
            <v>95</v>
          </cell>
          <cell r="M25">
            <v>31.96</v>
          </cell>
        </row>
        <row r="26">
          <cell r="A26" t="str">
            <v>TZ-IUYL240LHY-DOT-S</v>
          </cell>
          <cell r="B26">
            <v>4899</v>
          </cell>
          <cell r="C26">
            <v>51</v>
          </cell>
          <cell r="D26">
            <v>36.72</v>
          </cell>
          <cell r="E26">
            <v>2275</v>
          </cell>
          <cell r="F26">
            <v>28</v>
          </cell>
          <cell r="G26">
            <v>16.05</v>
          </cell>
          <cell r="H26">
            <v>4230</v>
          </cell>
          <cell r="I26">
            <v>32</v>
          </cell>
          <cell r="J26">
            <v>18.02</v>
          </cell>
          <cell r="K26">
            <v>1801</v>
          </cell>
          <cell r="L26">
            <v>5</v>
          </cell>
          <cell r="M26">
            <v>2.35</v>
          </cell>
        </row>
        <row r="27">
          <cell r="A27" t="str">
            <v>scarf-0001-Peony</v>
          </cell>
          <cell r="B27">
            <v>101</v>
          </cell>
          <cell r="C27">
            <v>1</v>
          </cell>
          <cell r="D27">
            <v>0.52</v>
          </cell>
          <cell r="E27">
            <v>184</v>
          </cell>
          <cell r="F27">
            <v>0</v>
          </cell>
          <cell r="G27">
            <v>0</v>
          </cell>
          <cell r="H27">
            <v>252</v>
          </cell>
          <cell r="I27">
            <v>3</v>
          </cell>
          <cell r="J27">
            <v>1.24</v>
          </cell>
          <cell r="K27">
            <v>151</v>
          </cell>
          <cell r="L27">
            <v>2</v>
          </cell>
          <cell r="M27">
            <v>0.37</v>
          </cell>
        </row>
        <row r="28">
          <cell r="A28" t="str">
            <v>BD-LUHM010</v>
          </cell>
          <cell r="B28">
            <v>367</v>
          </cell>
          <cell r="C28">
            <v>0</v>
          </cell>
          <cell r="D28">
            <v>0</v>
          </cell>
          <cell r="E28">
            <v>522</v>
          </cell>
          <cell r="F28">
            <v>4</v>
          </cell>
          <cell r="G28">
            <v>1.24</v>
          </cell>
          <cell r="H28">
            <v>789</v>
          </cell>
          <cell r="I28">
            <v>2</v>
          </cell>
          <cell r="J28">
            <v>0.6</v>
          </cell>
          <cell r="K28">
            <v>1453</v>
          </cell>
          <cell r="L28">
            <v>4</v>
          </cell>
          <cell r="M28">
            <v>1.2</v>
          </cell>
        </row>
        <row r="29">
          <cell r="A29" t="str">
            <v>HZB-QJTZ-IUYL300310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526</v>
          </cell>
          <cell r="I29">
            <v>2</v>
          </cell>
          <cell r="J29">
            <v>1.37</v>
          </cell>
          <cell r="K29">
            <v>1409</v>
          </cell>
          <cell r="L29">
            <v>5</v>
          </cell>
          <cell r="M29">
            <v>4.67</v>
          </cell>
        </row>
        <row r="30">
          <cell r="A30" t="str">
            <v>GW-LULHY-4.5</v>
          </cell>
          <cell r="B30">
            <v>3241</v>
          </cell>
          <cell r="C30">
            <v>12</v>
          </cell>
          <cell r="D30">
            <v>10.89</v>
          </cell>
          <cell r="E30">
            <v>10878</v>
          </cell>
          <cell r="F30">
            <v>34</v>
          </cell>
          <cell r="G30">
            <v>32.5</v>
          </cell>
          <cell r="H30">
            <v>3189</v>
          </cell>
          <cell r="I30">
            <v>35</v>
          </cell>
          <cell r="J30">
            <v>30.82</v>
          </cell>
          <cell r="K30">
            <v>1697</v>
          </cell>
          <cell r="L30">
            <v>15</v>
          </cell>
          <cell r="M30">
            <v>11.43</v>
          </cell>
        </row>
        <row r="31">
          <cell r="A31" t="str">
            <v>XQ-IUYL320-PK-XL</v>
          </cell>
          <cell r="B31">
            <v>186</v>
          </cell>
          <cell r="C31">
            <v>0</v>
          </cell>
          <cell r="D31">
            <v>0</v>
          </cell>
          <cell r="E31">
            <v>274</v>
          </cell>
          <cell r="F31">
            <v>0</v>
          </cell>
          <cell r="G31">
            <v>0</v>
          </cell>
          <cell r="H31">
            <v>285</v>
          </cell>
          <cell r="I31">
            <v>0</v>
          </cell>
          <cell r="J31">
            <v>0</v>
          </cell>
          <cell r="K31">
            <v>59</v>
          </cell>
          <cell r="L31">
            <v>0</v>
          </cell>
          <cell r="M31">
            <v>0</v>
          </cell>
        </row>
        <row r="32">
          <cell r="A32" t="str">
            <v>XQ-IUYL260-GN-M</v>
          </cell>
          <cell r="B32">
            <v>6340</v>
          </cell>
          <cell r="C32">
            <v>21</v>
          </cell>
          <cell r="D32">
            <v>11.01</v>
          </cell>
          <cell r="E32">
            <v>5069</v>
          </cell>
          <cell r="F32">
            <v>23</v>
          </cell>
          <cell r="G32">
            <v>14.56</v>
          </cell>
          <cell r="H32">
            <v>2808</v>
          </cell>
          <cell r="I32">
            <v>8</v>
          </cell>
          <cell r="J32">
            <v>3.61</v>
          </cell>
          <cell r="K32">
            <v>2246</v>
          </cell>
          <cell r="L32">
            <v>11</v>
          </cell>
          <cell r="M32">
            <v>5.84</v>
          </cell>
        </row>
        <row r="33">
          <cell r="A33" t="str">
            <v>MMDC-IUHM100-BK</v>
          </cell>
          <cell r="B33">
            <v>16700</v>
          </cell>
          <cell r="C33">
            <v>117</v>
          </cell>
          <cell r="D33">
            <v>90.37</v>
          </cell>
          <cell r="E33">
            <v>0</v>
          </cell>
          <cell r="F33">
            <v>0</v>
          </cell>
          <cell r="G33">
            <v>0</v>
          </cell>
          <cell r="H33">
            <v>2101</v>
          </cell>
          <cell r="I33">
            <v>25</v>
          </cell>
          <cell r="J33">
            <v>21.07</v>
          </cell>
          <cell r="K33">
            <v>3911</v>
          </cell>
          <cell r="L33">
            <v>37</v>
          </cell>
          <cell r="M33">
            <v>34.35</v>
          </cell>
        </row>
        <row r="34">
          <cell r="A34" t="str">
            <v>MMDC-IUHM100-PK</v>
          </cell>
          <cell r="B34">
            <v>14</v>
          </cell>
          <cell r="C34">
            <v>0</v>
          </cell>
          <cell r="D34">
            <v>0</v>
          </cell>
          <cell r="E34">
            <v>100</v>
          </cell>
          <cell r="F34">
            <v>0</v>
          </cell>
          <cell r="G34">
            <v>0</v>
          </cell>
          <cell r="H34">
            <v>128</v>
          </cell>
          <cell r="I34">
            <v>4</v>
          </cell>
          <cell r="J34">
            <v>1.07</v>
          </cell>
          <cell r="K34">
            <v>2320</v>
          </cell>
          <cell r="L34">
            <v>6</v>
          </cell>
          <cell r="M34">
            <v>6.66</v>
          </cell>
        </row>
        <row r="35">
          <cell r="A35" t="str">
            <v>MMDC-IUHM100-BL</v>
          </cell>
          <cell r="B35">
            <v>188</v>
          </cell>
          <cell r="C35">
            <v>0</v>
          </cell>
          <cell r="D35">
            <v>0</v>
          </cell>
          <cell r="E35">
            <v>283</v>
          </cell>
          <cell r="F35">
            <v>2</v>
          </cell>
          <cell r="G35">
            <v>1.51</v>
          </cell>
          <cell r="H35">
            <v>112</v>
          </cell>
          <cell r="I35">
            <v>3</v>
          </cell>
          <cell r="J35">
            <v>2.14</v>
          </cell>
          <cell r="K35">
            <v>1868</v>
          </cell>
          <cell r="L35">
            <v>12</v>
          </cell>
          <cell r="M35">
            <v>12.39</v>
          </cell>
        </row>
        <row r="36">
          <cell r="A36" t="str">
            <v>TZ-IUYL240LHY-STRAWBERRY-S</v>
          </cell>
          <cell r="B36">
            <v>4181</v>
          </cell>
          <cell r="C36">
            <v>35</v>
          </cell>
          <cell r="D36">
            <v>23.23</v>
          </cell>
          <cell r="E36">
            <v>1731</v>
          </cell>
          <cell r="F36">
            <v>18</v>
          </cell>
          <cell r="G36">
            <v>14.01</v>
          </cell>
          <cell r="H36">
            <v>2139</v>
          </cell>
          <cell r="I36">
            <v>22</v>
          </cell>
          <cell r="J36">
            <v>15.85</v>
          </cell>
          <cell r="K36">
            <v>4900</v>
          </cell>
          <cell r="L36">
            <v>23</v>
          </cell>
          <cell r="M36">
            <v>22.42</v>
          </cell>
        </row>
        <row r="37">
          <cell r="A37" t="str">
            <v>TZ-IUYL240LHY-BONE-S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49</v>
          </cell>
          <cell r="I37">
            <v>1</v>
          </cell>
          <cell r="J37">
            <v>0.69</v>
          </cell>
          <cell r="K37">
            <v>678</v>
          </cell>
          <cell r="L37">
            <v>3</v>
          </cell>
          <cell r="M37">
            <v>2.29</v>
          </cell>
        </row>
        <row r="38">
          <cell r="A38" t="str">
            <v>LGQ-IUYL100-BL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77</v>
          </cell>
          <cell r="I38">
            <v>0</v>
          </cell>
          <cell r="J38">
            <v>0</v>
          </cell>
          <cell r="K38">
            <v>137</v>
          </cell>
          <cell r="L38">
            <v>1</v>
          </cell>
          <cell r="M38">
            <v>0.4</v>
          </cell>
        </row>
        <row r="39">
          <cell r="A39" t="str">
            <v>TZ-IUYL240LHY-PAW-M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82</v>
          </cell>
          <cell r="I39">
            <v>2</v>
          </cell>
          <cell r="J39">
            <v>0.93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AQD-IUYL330-BK</v>
          </cell>
          <cell r="B40">
            <v>222</v>
          </cell>
          <cell r="C40">
            <v>0</v>
          </cell>
          <cell r="D40">
            <v>0</v>
          </cell>
          <cell r="E40">
            <v>85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AQD-IUYL330-PP</v>
          </cell>
          <cell r="B41">
            <v>485</v>
          </cell>
          <cell r="C41">
            <v>0</v>
          </cell>
          <cell r="D41">
            <v>0</v>
          </cell>
          <cell r="E41">
            <v>124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SCF-B01-005</v>
          </cell>
          <cell r="B42">
            <v>298</v>
          </cell>
          <cell r="C42">
            <v>1</v>
          </cell>
          <cell r="D42">
            <v>0.6</v>
          </cell>
          <cell r="E42">
            <v>2246</v>
          </cell>
          <cell r="F42">
            <v>18</v>
          </cell>
          <cell r="G42">
            <v>11.76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SCF-B01-006</v>
          </cell>
          <cell r="B43">
            <v>4890</v>
          </cell>
          <cell r="C43">
            <v>19</v>
          </cell>
          <cell r="D43">
            <v>12.75</v>
          </cell>
          <cell r="E43">
            <v>6755</v>
          </cell>
          <cell r="F43">
            <v>22</v>
          </cell>
          <cell r="G43">
            <v>13.82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SCF-C01-011</v>
          </cell>
          <cell r="B44">
            <v>3433</v>
          </cell>
          <cell r="C44">
            <v>7</v>
          </cell>
          <cell r="D44">
            <v>5.54</v>
          </cell>
          <cell r="E44">
            <v>6659</v>
          </cell>
          <cell r="F44">
            <v>10</v>
          </cell>
          <cell r="G44">
            <v>5.8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SCF-D01-006</v>
          </cell>
          <cell r="B45">
            <v>3344</v>
          </cell>
          <cell r="C45">
            <v>11</v>
          </cell>
          <cell r="D45">
            <v>8.62</v>
          </cell>
          <cell r="E45">
            <v>3526</v>
          </cell>
          <cell r="F45">
            <v>11</v>
          </cell>
          <cell r="G45">
            <v>5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SCF-D01-007</v>
          </cell>
          <cell r="B46">
            <v>4978</v>
          </cell>
          <cell r="C46">
            <v>15</v>
          </cell>
          <cell r="D46">
            <v>11.91</v>
          </cell>
          <cell r="E46">
            <v>12343</v>
          </cell>
          <cell r="F46">
            <v>26</v>
          </cell>
          <cell r="G46">
            <v>14.25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TZ-IUYL240-LOVE-S</v>
          </cell>
          <cell r="B47">
            <v>711</v>
          </cell>
          <cell r="C47">
            <v>4</v>
          </cell>
          <cell r="D47">
            <v>2.39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B07BGWTSX6</v>
          </cell>
          <cell r="B2">
            <v>1519</v>
          </cell>
          <cell r="C2">
            <v>1158</v>
          </cell>
          <cell r="D2">
            <v>648</v>
          </cell>
          <cell r="E2">
            <v>607</v>
          </cell>
        </row>
        <row r="3">
          <cell r="A3" t="str">
            <v>B07DF9YBBV</v>
          </cell>
          <cell r="B3">
            <v>377</v>
          </cell>
          <cell r="C3">
            <v>303</v>
          </cell>
          <cell r="D3">
            <v>212</v>
          </cell>
          <cell r="E3">
            <v>100</v>
          </cell>
        </row>
        <row r="4">
          <cell r="A4" t="str">
            <v>B019V6P53K</v>
          </cell>
          <cell r="B4">
            <v>16</v>
          </cell>
          <cell r="C4">
            <v>19</v>
          </cell>
          <cell r="D4">
            <v>9</v>
          </cell>
          <cell r="E4">
            <v>17</v>
          </cell>
        </row>
        <row r="5">
          <cell r="A5" t="str">
            <v>B019V6RKPQ</v>
          </cell>
          <cell r="B5">
            <v>13</v>
          </cell>
          <cell r="C5">
            <v>5</v>
          </cell>
          <cell r="D5">
            <v>10</v>
          </cell>
          <cell r="E5">
            <v>12</v>
          </cell>
        </row>
        <row r="6">
          <cell r="A6" t="str">
            <v>B01M3R3CVA</v>
          </cell>
          <cell r="B6">
            <v>13</v>
          </cell>
          <cell r="C6">
            <v>15</v>
          </cell>
          <cell r="D6">
            <v>23</v>
          </cell>
          <cell r="E6">
            <v>15</v>
          </cell>
        </row>
        <row r="7">
          <cell r="A7" t="str">
            <v>B07173Q2FN</v>
          </cell>
          <cell r="B7">
            <v>5</v>
          </cell>
          <cell r="C7">
            <v>15</v>
          </cell>
          <cell r="D7">
            <v>7</v>
          </cell>
          <cell r="E7">
            <v>11</v>
          </cell>
        </row>
        <row r="8">
          <cell r="A8" t="str">
            <v>B071JXZVZV</v>
          </cell>
          <cell r="B8">
            <v>6</v>
          </cell>
          <cell r="C8">
            <v>5</v>
          </cell>
          <cell r="D8">
            <v>3</v>
          </cell>
          <cell r="E8">
            <v>3</v>
          </cell>
        </row>
        <row r="9">
          <cell r="A9" t="str">
            <v>B071JY11V7</v>
          </cell>
          <cell r="B9">
            <v>1</v>
          </cell>
          <cell r="C9">
            <v>5</v>
          </cell>
          <cell r="D9">
            <v>10</v>
          </cell>
          <cell r="E9">
            <v>1</v>
          </cell>
        </row>
        <row r="10">
          <cell r="A10" t="str">
            <v>B071WW2SX5</v>
          </cell>
          <cell r="B10">
            <v>2</v>
          </cell>
          <cell r="C10">
            <v>5</v>
          </cell>
          <cell r="D10">
            <v>4</v>
          </cell>
          <cell r="E10">
            <v>2</v>
          </cell>
        </row>
        <row r="11">
          <cell r="A11" t="str">
            <v>B073GX87XH</v>
          </cell>
          <cell r="B11">
            <v>27</v>
          </cell>
          <cell r="C11">
            <v>10</v>
          </cell>
          <cell r="D11">
            <v>12</v>
          </cell>
          <cell r="E11">
            <v>3</v>
          </cell>
        </row>
        <row r="12">
          <cell r="A12" t="str">
            <v>B073GXT1YF</v>
          </cell>
          <cell r="B12">
            <v>12</v>
          </cell>
          <cell r="C12">
            <v>13</v>
          </cell>
          <cell r="D12">
            <v>5</v>
          </cell>
          <cell r="E12">
            <v>2</v>
          </cell>
        </row>
        <row r="13">
          <cell r="A13" t="str">
            <v>B073PPFLNM</v>
          </cell>
          <cell r="B13">
            <v>0</v>
          </cell>
          <cell r="C13">
            <v>0</v>
          </cell>
          <cell r="D13">
            <v>0</v>
          </cell>
          <cell r="E13">
            <v>22</v>
          </cell>
        </row>
        <row r="14">
          <cell r="A14" t="str">
            <v>B073PQ6BZ4</v>
          </cell>
          <cell r="B14">
            <v>0</v>
          </cell>
          <cell r="C14">
            <v>1</v>
          </cell>
          <cell r="D14">
            <v>13</v>
          </cell>
          <cell r="E14">
            <v>4</v>
          </cell>
        </row>
        <row r="15">
          <cell r="A15" t="str">
            <v>B073PQXDQX</v>
          </cell>
          <cell r="B15">
            <v>2</v>
          </cell>
          <cell r="C15">
            <v>19</v>
          </cell>
          <cell r="D15">
            <v>8</v>
          </cell>
          <cell r="E15">
            <v>8</v>
          </cell>
        </row>
        <row r="16">
          <cell r="A16" t="str">
            <v>B073QH2KWY</v>
          </cell>
          <cell r="B16">
            <v>0</v>
          </cell>
          <cell r="C16">
            <v>11</v>
          </cell>
          <cell r="D16">
            <v>7</v>
          </cell>
          <cell r="E16">
            <v>5</v>
          </cell>
        </row>
        <row r="17">
          <cell r="A17" t="str">
            <v>B073ZYMTGH</v>
          </cell>
          <cell r="B17">
            <v>42</v>
          </cell>
          <cell r="C17">
            <v>12</v>
          </cell>
          <cell r="D17">
            <v>6</v>
          </cell>
          <cell r="E17">
            <v>9</v>
          </cell>
        </row>
        <row r="18">
          <cell r="A18" t="str">
            <v>B074NQZMVQ</v>
          </cell>
          <cell r="B18">
            <v>8</v>
          </cell>
          <cell r="C18">
            <v>19</v>
          </cell>
          <cell r="D18">
            <v>16</v>
          </cell>
          <cell r="E18">
            <v>4</v>
          </cell>
        </row>
        <row r="19">
          <cell r="A19" t="str">
            <v>B074NVH8G2</v>
          </cell>
          <cell r="B19">
            <v>8</v>
          </cell>
          <cell r="C19">
            <v>8</v>
          </cell>
          <cell r="D19">
            <v>8</v>
          </cell>
          <cell r="E19">
            <v>9</v>
          </cell>
        </row>
        <row r="20">
          <cell r="A20" t="str">
            <v>B074P1LKV2</v>
          </cell>
          <cell r="B20">
            <v>0</v>
          </cell>
          <cell r="C20">
            <v>11</v>
          </cell>
          <cell r="D20">
            <v>17</v>
          </cell>
          <cell r="E20">
            <v>6</v>
          </cell>
        </row>
        <row r="21">
          <cell r="A21" t="str">
            <v>B074P2B6M8</v>
          </cell>
          <cell r="B21">
            <v>5</v>
          </cell>
          <cell r="C21">
            <v>19</v>
          </cell>
          <cell r="D21">
            <v>7</v>
          </cell>
          <cell r="E21">
            <v>7</v>
          </cell>
        </row>
        <row r="22">
          <cell r="A22" t="str">
            <v>B074P3WK1B</v>
          </cell>
          <cell r="B22">
            <v>6</v>
          </cell>
          <cell r="C22">
            <v>34</v>
          </cell>
          <cell r="D22">
            <v>19</v>
          </cell>
          <cell r="E22">
            <v>16</v>
          </cell>
        </row>
        <row r="23">
          <cell r="A23" t="str">
            <v>B074P5N47H</v>
          </cell>
          <cell r="B23">
            <v>2</v>
          </cell>
          <cell r="C23">
            <v>12</v>
          </cell>
          <cell r="D23">
            <v>7</v>
          </cell>
          <cell r="E23">
            <v>11</v>
          </cell>
        </row>
        <row r="24">
          <cell r="A24" t="str">
            <v>B074SK47ZJ</v>
          </cell>
          <cell r="B24">
            <v>1</v>
          </cell>
          <cell r="C24">
            <v>10</v>
          </cell>
          <cell r="D24">
            <v>16</v>
          </cell>
          <cell r="E24">
            <v>5</v>
          </cell>
        </row>
        <row r="25">
          <cell r="A25" t="str">
            <v>B074SKGP6T</v>
          </cell>
          <cell r="B25">
            <v>0</v>
          </cell>
          <cell r="C25">
            <v>0</v>
          </cell>
          <cell r="D25">
            <v>1</v>
          </cell>
          <cell r="E25">
            <v>4</v>
          </cell>
        </row>
        <row r="26">
          <cell r="A26" t="str">
            <v>B074SKM7WZ</v>
          </cell>
          <cell r="B26">
            <v>1</v>
          </cell>
          <cell r="C26">
            <v>5</v>
          </cell>
          <cell r="D26">
            <v>2</v>
          </cell>
          <cell r="E26">
            <v>1</v>
          </cell>
        </row>
        <row r="27">
          <cell r="A27" t="str">
            <v>B074SL2P7T</v>
          </cell>
          <cell r="B27">
            <v>26</v>
          </cell>
          <cell r="C27">
            <v>3</v>
          </cell>
          <cell r="D27">
            <v>4</v>
          </cell>
          <cell r="E27">
            <v>3</v>
          </cell>
        </row>
        <row r="28">
          <cell r="A28" t="str">
            <v>B074SL7P58</v>
          </cell>
          <cell r="B28">
            <v>1</v>
          </cell>
          <cell r="C28">
            <v>3</v>
          </cell>
          <cell r="D28">
            <v>3</v>
          </cell>
          <cell r="E28">
            <v>1</v>
          </cell>
        </row>
        <row r="29">
          <cell r="A29" t="str">
            <v>B074SL9T1Y</v>
          </cell>
          <cell r="B29">
            <v>0</v>
          </cell>
          <cell r="C29">
            <v>0</v>
          </cell>
          <cell r="D29">
            <v>12</v>
          </cell>
          <cell r="E29">
            <v>10</v>
          </cell>
        </row>
        <row r="30">
          <cell r="A30" t="str">
            <v>B074SLMBT9</v>
          </cell>
          <cell r="B30">
            <v>8</v>
          </cell>
          <cell r="C30">
            <v>1</v>
          </cell>
          <cell r="D30">
            <v>12</v>
          </cell>
          <cell r="E30">
            <v>12</v>
          </cell>
        </row>
        <row r="31">
          <cell r="A31" t="str">
            <v>B074SLPFD9</v>
          </cell>
          <cell r="B31">
            <v>0</v>
          </cell>
          <cell r="C31">
            <v>3</v>
          </cell>
          <cell r="D31">
            <v>3</v>
          </cell>
          <cell r="E31">
            <v>4</v>
          </cell>
        </row>
        <row r="32">
          <cell r="A32" t="str">
            <v>B074SLTLS9</v>
          </cell>
          <cell r="B32">
            <v>0</v>
          </cell>
          <cell r="C32">
            <v>4</v>
          </cell>
          <cell r="D32">
            <v>8</v>
          </cell>
          <cell r="E32">
            <v>3</v>
          </cell>
        </row>
        <row r="33">
          <cell r="A33" t="str">
            <v>B074SLZVWD</v>
          </cell>
          <cell r="B33">
            <v>0</v>
          </cell>
          <cell r="C33">
            <v>4</v>
          </cell>
          <cell r="D33">
            <v>5</v>
          </cell>
          <cell r="E33">
            <v>4</v>
          </cell>
        </row>
        <row r="34">
          <cell r="A34" t="str">
            <v>B074SM144J</v>
          </cell>
          <cell r="B34">
            <v>0</v>
          </cell>
          <cell r="C34">
            <v>3</v>
          </cell>
          <cell r="D34">
            <v>6</v>
          </cell>
          <cell r="E34">
            <v>3</v>
          </cell>
        </row>
        <row r="35">
          <cell r="A35" t="str">
            <v>B074SM3B1W</v>
          </cell>
          <cell r="B35">
            <v>0</v>
          </cell>
          <cell r="C35">
            <v>9</v>
          </cell>
          <cell r="D35">
            <v>48</v>
          </cell>
          <cell r="E35">
            <v>6</v>
          </cell>
        </row>
        <row r="36">
          <cell r="A36" t="str">
            <v>B074SM5RZS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</row>
        <row r="37">
          <cell r="A37" t="str">
            <v>B074SMS5NT</v>
          </cell>
          <cell r="B37">
            <v>0</v>
          </cell>
          <cell r="C37">
            <v>2</v>
          </cell>
          <cell r="D37">
            <v>6</v>
          </cell>
          <cell r="E37">
            <v>1</v>
          </cell>
        </row>
        <row r="38">
          <cell r="A38" t="str">
            <v>B074SMT9CV</v>
          </cell>
          <cell r="B38">
            <v>5</v>
          </cell>
          <cell r="C38">
            <v>6</v>
          </cell>
          <cell r="D38">
            <v>4</v>
          </cell>
          <cell r="E38">
            <v>3</v>
          </cell>
        </row>
        <row r="39">
          <cell r="A39" t="str">
            <v>B074SN3YQT</v>
          </cell>
          <cell r="B39">
            <v>0</v>
          </cell>
          <cell r="C39">
            <v>4</v>
          </cell>
          <cell r="D39">
            <v>9</v>
          </cell>
          <cell r="E39">
            <v>4</v>
          </cell>
        </row>
        <row r="40">
          <cell r="A40" t="str">
            <v>B074SNF6PC</v>
          </cell>
          <cell r="B40">
            <v>2</v>
          </cell>
          <cell r="C40">
            <v>5</v>
          </cell>
          <cell r="D40">
            <v>6</v>
          </cell>
          <cell r="E40">
            <v>4</v>
          </cell>
        </row>
        <row r="41">
          <cell r="A41" t="str">
            <v>B074SNVWHH</v>
          </cell>
          <cell r="B41">
            <v>0</v>
          </cell>
          <cell r="C41">
            <v>1</v>
          </cell>
          <cell r="D41">
            <v>5</v>
          </cell>
          <cell r="E41">
            <v>1</v>
          </cell>
        </row>
        <row r="42">
          <cell r="A42" t="str">
            <v>B074SPF7P1</v>
          </cell>
          <cell r="B42">
            <v>2</v>
          </cell>
          <cell r="C42">
            <v>3</v>
          </cell>
          <cell r="D42">
            <v>6</v>
          </cell>
          <cell r="E42">
            <v>8</v>
          </cell>
        </row>
        <row r="43">
          <cell r="A43" t="str">
            <v>B074SPWGPS</v>
          </cell>
          <cell r="B43">
            <v>0</v>
          </cell>
          <cell r="C43">
            <v>2</v>
          </cell>
          <cell r="D43">
            <v>2</v>
          </cell>
          <cell r="E43">
            <v>4</v>
          </cell>
        </row>
        <row r="44">
          <cell r="A44" t="str">
            <v>B074SQ1FJK</v>
          </cell>
          <cell r="B44">
            <v>0</v>
          </cell>
          <cell r="C44">
            <v>3</v>
          </cell>
          <cell r="D44">
            <v>8</v>
          </cell>
          <cell r="E44">
            <v>3</v>
          </cell>
        </row>
        <row r="45">
          <cell r="A45" t="str">
            <v>B074SQ5NX1</v>
          </cell>
          <cell r="B45">
            <v>0</v>
          </cell>
          <cell r="C45">
            <v>2</v>
          </cell>
          <cell r="D45">
            <v>4</v>
          </cell>
          <cell r="E45">
            <v>4</v>
          </cell>
        </row>
        <row r="46">
          <cell r="A46" t="str">
            <v>B074SQ5PJS</v>
          </cell>
          <cell r="B46">
            <v>0</v>
          </cell>
          <cell r="C46">
            <v>1</v>
          </cell>
          <cell r="D46">
            <v>4</v>
          </cell>
          <cell r="E46">
            <v>2</v>
          </cell>
        </row>
        <row r="47">
          <cell r="A47" t="str">
            <v>B074SQ5R3F</v>
          </cell>
          <cell r="B47">
            <v>0</v>
          </cell>
          <cell r="C47">
            <v>1</v>
          </cell>
          <cell r="D47">
            <v>6</v>
          </cell>
          <cell r="E47">
            <v>4</v>
          </cell>
        </row>
        <row r="48">
          <cell r="A48" t="str">
            <v>B074SVP22M</v>
          </cell>
          <cell r="B48">
            <v>1</v>
          </cell>
          <cell r="C48">
            <v>0</v>
          </cell>
          <cell r="D48">
            <v>22</v>
          </cell>
          <cell r="E48">
            <v>25</v>
          </cell>
        </row>
        <row r="49">
          <cell r="A49" t="str">
            <v>B074SVYFJC</v>
          </cell>
          <cell r="B49">
            <v>3</v>
          </cell>
          <cell r="C49">
            <v>6</v>
          </cell>
          <cell r="D49">
            <v>8</v>
          </cell>
          <cell r="E49">
            <v>6</v>
          </cell>
        </row>
        <row r="50">
          <cell r="A50" t="str">
            <v>B074SWFPBG</v>
          </cell>
          <cell r="B50">
            <v>0</v>
          </cell>
          <cell r="C50">
            <v>2</v>
          </cell>
          <cell r="D50">
            <v>2</v>
          </cell>
          <cell r="E50">
            <v>2</v>
          </cell>
        </row>
        <row r="51">
          <cell r="A51" t="str">
            <v>B074SXT27T</v>
          </cell>
          <cell r="B51">
            <v>0</v>
          </cell>
          <cell r="C51">
            <v>0</v>
          </cell>
          <cell r="D51">
            <v>0</v>
          </cell>
          <cell r="E51">
            <v>6</v>
          </cell>
        </row>
        <row r="52">
          <cell r="A52" t="str">
            <v>B074SXT853</v>
          </cell>
          <cell r="B52">
            <v>7</v>
          </cell>
          <cell r="C52">
            <v>1</v>
          </cell>
          <cell r="D52">
            <v>1</v>
          </cell>
          <cell r="E52">
            <v>1</v>
          </cell>
        </row>
        <row r="53">
          <cell r="A53" t="str">
            <v>B074SXT999</v>
          </cell>
          <cell r="B53">
            <v>1</v>
          </cell>
          <cell r="C53">
            <v>5</v>
          </cell>
          <cell r="D53">
            <v>3</v>
          </cell>
          <cell r="E53">
            <v>1</v>
          </cell>
        </row>
        <row r="54">
          <cell r="A54" t="str">
            <v>B074SY2NWC</v>
          </cell>
          <cell r="B54">
            <v>1</v>
          </cell>
          <cell r="C54">
            <v>5</v>
          </cell>
          <cell r="D54">
            <v>3</v>
          </cell>
          <cell r="E54">
            <v>2</v>
          </cell>
        </row>
        <row r="55">
          <cell r="A55" t="str">
            <v>B074SYX9RW</v>
          </cell>
          <cell r="B55">
            <v>1</v>
          </cell>
          <cell r="C55">
            <v>4</v>
          </cell>
          <cell r="D55">
            <v>5</v>
          </cell>
          <cell r="E55">
            <v>1</v>
          </cell>
        </row>
        <row r="56">
          <cell r="A56" t="str">
            <v>B074SYY7Q7</v>
          </cell>
          <cell r="B56">
            <v>1</v>
          </cell>
          <cell r="C56">
            <v>2</v>
          </cell>
          <cell r="D56">
            <v>3</v>
          </cell>
          <cell r="E56">
            <v>1</v>
          </cell>
        </row>
        <row r="57">
          <cell r="A57" t="str">
            <v>B074SZ4SDW</v>
          </cell>
          <cell r="B57">
            <v>1</v>
          </cell>
          <cell r="C57">
            <v>2</v>
          </cell>
          <cell r="D57">
            <v>3</v>
          </cell>
          <cell r="E57">
            <v>2</v>
          </cell>
        </row>
        <row r="58">
          <cell r="A58" t="str">
            <v>B074SZ6CL6</v>
          </cell>
          <cell r="B58">
            <v>1</v>
          </cell>
          <cell r="C58">
            <v>0</v>
          </cell>
          <cell r="D58">
            <v>4</v>
          </cell>
          <cell r="E58">
            <v>2</v>
          </cell>
        </row>
        <row r="59">
          <cell r="A59" t="str">
            <v>B074SZCMCP</v>
          </cell>
          <cell r="B59">
            <v>0</v>
          </cell>
          <cell r="C59">
            <v>3</v>
          </cell>
          <cell r="D59">
            <v>2</v>
          </cell>
          <cell r="E59">
            <v>1</v>
          </cell>
        </row>
        <row r="60">
          <cell r="A60" t="str">
            <v>B074SZCXH9</v>
          </cell>
          <cell r="B60">
            <v>0</v>
          </cell>
          <cell r="C60">
            <v>7</v>
          </cell>
          <cell r="D60">
            <v>2</v>
          </cell>
          <cell r="E60">
            <v>13</v>
          </cell>
        </row>
        <row r="61">
          <cell r="A61" t="str">
            <v>B074SZD1GM</v>
          </cell>
          <cell r="B61">
            <v>8</v>
          </cell>
          <cell r="C61">
            <v>8</v>
          </cell>
          <cell r="D61">
            <v>4</v>
          </cell>
          <cell r="E61">
            <v>7</v>
          </cell>
        </row>
        <row r="62">
          <cell r="A62" t="str">
            <v>B074SZJPSD</v>
          </cell>
          <cell r="B62">
            <v>0</v>
          </cell>
          <cell r="C62">
            <v>2</v>
          </cell>
          <cell r="D62">
            <v>1</v>
          </cell>
          <cell r="E62">
            <v>2</v>
          </cell>
        </row>
        <row r="63">
          <cell r="A63" t="str">
            <v>B074SZJYJJ</v>
          </cell>
          <cell r="B63">
            <v>0</v>
          </cell>
          <cell r="C63">
            <v>3</v>
          </cell>
          <cell r="D63">
            <v>5</v>
          </cell>
          <cell r="E63">
            <v>4</v>
          </cell>
        </row>
        <row r="64">
          <cell r="A64" t="str">
            <v>B074SZKQMT</v>
          </cell>
          <cell r="B64">
            <v>0</v>
          </cell>
          <cell r="C64">
            <v>1</v>
          </cell>
          <cell r="D64">
            <v>0</v>
          </cell>
          <cell r="E64">
            <v>1</v>
          </cell>
        </row>
        <row r="65">
          <cell r="A65" t="str">
            <v>B074SZQ5DF</v>
          </cell>
          <cell r="B65">
            <v>2</v>
          </cell>
          <cell r="C65">
            <v>3</v>
          </cell>
          <cell r="D65">
            <v>0</v>
          </cell>
          <cell r="E65">
            <v>2</v>
          </cell>
        </row>
        <row r="66">
          <cell r="A66" t="str">
            <v>B074T17WTF</v>
          </cell>
          <cell r="B66">
            <v>0</v>
          </cell>
          <cell r="C66">
            <v>3</v>
          </cell>
          <cell r="D66">
            <v>1</v>
          </cell>
          <cell r="E66">
            <v>3</v>
          </cell>
        </row>
        <row r="67">
          <cell r="A67" t="str">
            <v>B074T24DYN</v>
          </cell>
          <cell r="B67">
            <v>0</v>
          </cell>
          <cell r="C67">
            <v>2</v>
          </cell>
          <cell r="D67">
            <v>0</v>
          </cell>
          <cell r="E67">
            <v>1</v>
          </cell>
        </row>
        <row r="68">
          <cell r="A68" t="str">
            <v>B074T25JWG</v>
          </cell>
          <cell r="B68">
            <v>1</v>
          </cell>
          <cell r="C68">
            <v>2</v>
          </cell>
          <cell r="D68">
            <v>1</v>
          </cell>
          <cell r="E68">
            <v>2</v>
          </cell>
        </row>
        <row r="69">
          <cell r="A69" t="str">
            <v>B074T74SF7</v>
          </cell>
          <cell r="B69">
            <v>17</v>
          </cell>
          <cell r="C69">
            <v>18</v>
          </cell>
          <cell r="D69">
            <v>6</v>
          </cell>
          <cell r="E69">
            <v>4</v>
          </cell>
        </row>
        <row r="70">
          <cell r="A70" t="str">
            <v>B075WNZJSF</v>
          </cell>
          <cell r="B70">
            <v>7</v>
          </cell>
          <cell r="C70">
            <v>3</v>
          </cell>
          <cell r="D70">
            <v>3</v>
          </cell>
          <cell r="E70">
            <v>2</v>
          </cell>
        </row>
        <row r="71">
          <cell r="A71" t="str">
            <v>B075WPHHKW</v>
          </cell>
          <cell r="B71">
            <v>20</v>
          </cell>
          <cell r="C71">
            <v>32</v>
          </cell>
          <cell r="D71">
            <v>3</v>
          </cell>
          <cell r="E71">
            <v>2</v>
          </cell>
        </row>
        <row r="72">
          <cell r="A72" t="str">
            <v>B075WPX32B</v>
          </cell>
          <cell r="B72">
            <v>19</v>
          </cell>
          <cell r="C72">
            <v>16</v>
          </cell>
          <cell r="D72">
            <v>4</v>
          </cell>
          <cell r="E72">
            <v>3</v>
          </cell>
        </row>
        <row r="73">
          <cell r="A73" t="str">
            <v>B075WQJ859</v>
          </cell>
          <cell r="B73">
            <v>8</v>
          </cell>
          <cell r="C73">
            <v>14</v>
          </cell>
          <cell r="D73">
            <v>6</v>
          </cell>
          <cell r="E73">
            <v>6</v>
          </cell>
        </row>
        <row r="74">
          <cell r="A74" t="str">
            <v>B075WR57PJ</v>
          </cell>
          <cell r="B74">
            <v>12</v>
          </cell>
          <cell r="C74">
            <v>6</v>
          </cell>
          <cell r="D74">
            <v>7</v>
          </cell>
          <cell r="E74">
            <v>2</v>
          </cell>
        </row>
        <row r="75">
          <cell r="A75" t="str">
            <v>B075WRD5KM</v>
          </cell>
          <cell r="B75">
            <v>9</v>
          </cell>
          <cell r="C75">
            <v>5</v>
          </cell>
          <cell r="D75">
            <v>5</v>
          </cell>
          <cell r="E75">
            <v>1</v>
          </cell>
        </row>
        <row r="76">
          <cell r="A76" t="str">
            <v>B075WRWK44</v>
          </cell>
          <cell r="B76">
            <v>14</v>
          </cell>
          <cell r="C76">
            <v>16</v>
          </cell>
          <cell r="D76">
            <v>6</v>
          </cell>
          <cell r="E76">
            <v>3</v>
          </cell>
        </row>
        <row r="77">
          <cell r="A77" t="str">
            <v>B075WSD44L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</row>
        <row r="78">
          <cell r="A78" t="str">
            <v>B075WSSK1M</v>
          </cell>
          <cell r="B78">
            <v>10</v>
          </cell>
          <cell r="C78">
            <v>16</v>
          </cell>
          <cell r="D78">
            <v>5</v>
          </cell>
          <cell r="E78">
            <v>1</v>
          </cell>
        </row>
        <row r="79">
          <cell r="A79" t="str">
            <v>B075WSXH1N</v>
          </cell>
          <cell r="B79">
            <v>6</v>
          </cell>
          <cell r="C79">
            <v>4</v>
          </cell>
          <cell r="D79">
            <v>5</v>
          </cell>
          <cell r="E79">
            <v>3</v>
          </cell>
        </row>
        <row r="80">
          <cell r="A80" t="str">
            <v>B075WSZF3P</v>
          </cell>
          <cell r="B80">
            <v>7</v>
          </cell>
          <cell r="C80">
            <v>4</v>
          </cell>
          <cell r="D80">
            <v>5</v>
          </cell>
          <cell r="E80">
            <v>2</v>
          </cell>
        </row>
        <row r="81">
          <cell r="A81" t="str">
            <v>B075WT1YRZ</v>
          </cell>
          <cell r="B81">
            <v>15</v>
          </cell>
          <cell r="C81">
            <v>3</v>
          </cell>
          <cell r="D81">
            <v>5</v>
          </cell>
          <cell r="E81">
            <v>3</v>
          </cell>
        </row>
        <row r="82">
          <cell r="A82" t="str">
            <v>B075WT8RQN</v>
          </cell>
          <cell r="B82">
            <v>12</v>
          </cell>
          <cell r="C82">
            <v>6</v>
          </cell>
          <cell r="D82">
            <v>4</v>
          </cell>
          <cell r="E82">
            <v>1</v>
          </cell>
        </row>
        <row r="83">
          <cell r="A83" t="str">
            <v>B075WT9XBG</v>
          </cell>
          <cell r="B83">
            <v>13</v>
          </cell>
          <cell r="C83">
            <v>5</v>
          </cell>
          <cell r="D83">
            <v>1</v>
          </cell>
          <cell r="E83">
            <v>2</v>
          </cell>
        </row>
        <row r="84">
          <cell r="A84" t="str">
            <v>B075WTH7BJ</v>
          </cell>
          <cell r="B84">
            <v>8</v>
          </cell>
          <cell r="C84">
            <v>3</v>
          </cell>
          <cell r="D84">
            <v>3</v>
          </cell>
          <cell r="E84">
            <v>4</v>
          </cell>
        </row>
        <row r="85">
          <cell r="A85" t="str">
            <v>B075WTKCN3</v>
          </cell>
          <cell r="B85">
            <v>5</v>
          </cell>
          <cell r="C85">
            <v>8</v>
          </cell>
          <cell r="D85">
            <v>2</v>
          </cell>
          <cell r="E85">
            <v>3</v>
          </cell>
        </row>
        <row r="86">
          <cell r="A86" t="str">
            <v>B075X946ZN</v>
          </cell>
          <cell r="B86">
            <v>6</v>
          </cell>
          <cell r="C86">
            <v>0</v>
          </cell>
          <cell r="D86">
            <v>1</v>
          </cell>
          <cell r="E86">
            <v>3</v>
          </cell>
        </row>
        <row r="87">
          <cell r="A87" t="str">
            <v>B075X9JZX3</v>
          </cell>
          <cell r="B87">
            <v>11</v>
          </cell>
          <cell r="C87">
            <v>7</v>
          </cell>
          <cell r="D87">
            <v>1</v>
          </cell>
          <cell r="E87">
            <v>2</v>
          </cell>
        </row>
        <row r="88">
          <cell r="A88" t="str">
            <v>B075XBDWFK</v>
          </cell>
          <cell r="B88">
            <v>4</v>
          </cell>
          <cell r="C88">
            <v>2</v>
          </cell>
          <cell r="D88">
            <v>1</v>
          </cell>
          <cell r="E88">
            <v>4</v>
          </cell>
        </row>
        <row r="89">
          <cell r="A89" t="str">
            <v>B075XC664H</v>
          </cell>
          <cell r="B89">
            <v>9</v>
          </cell>
          <cell r="C89">
            <v>9</v>
          </cell>
          <cell r="D89">
            <v>1</v>
          </cell>
          <cell r="E89">
            <v>2</v>
          </cell>
        </row>
        <row r="90">
          <cell r="A90" t="str">
            <v>B075XCBHHN</v>
          </cell>
          <cell r="B90">
            <v>33</v>
          </cell>
          <cell r="C90">
            <v>27</v>
          </cell>
          <cell r="D90">
            <v>34</v>
          </cell>
          <cell r="E90">
            <v>21</v>
          </cell>
        </row>
        <row r="91">
          <cell r="A91" t="str">
            <v>B075XCJ63F</v>
          </cell>
          <cell r="B91">
            <v>9</v>
          </cell>
          <cell r="C91">
            <v>6</v>
          </cell>
          <cell r="D91">
            <v>2</v>
          </cell>
          <cell r="E91">
            <v>3</v>
          </cell>
        </row>
        <row r="92">
          <cell r="A92" t="str">
            <v>B075XCS3QN</v>
          </cell>
          <cell r="B92">
            <v>9</v>
          </cell>
          <cell r="C92">
            <v>10</v>
          </cell>
          <cell r="D92">
            <v>4</v>
          </cell>
          <cell r="E92">
            <v>2</v>
          </cell>
        </row>
        <row r="93">
          <cell r="A93" t="str">
            <v>B075XD8MYM</v>
          </cell>
          <cell r="B93">
            <v>10</v>
          </cell>
          <cell r="C93">
            <v>15</v>
          </cell>
          <cell r="D93">
            <v>5</v>
          </cell>
          <cell r="E93">
            <v>3</v>
          </cell>
        </row>
        <row r="94">
          <cell r="A94" t="str">
            <v>B075XDTMSM</v>
          </cell>
          <cell r="B94">
            <v>17</v>
          </cell>
          <cell r="C94">
            <v>24</v>
          </cell>
          <cell r="D94">
            <v>3</v>
          </cell>
          <cell r="E94">
            <v>2</v>
          </cell>
        </row>
        <row r="95">
          <cell r="A95" t="str">
            <v>B075XDV8DB</v>
          </cell>
          <cell r="B95">
            <v>10</v>
          </cell>
          <cell r="C95">
            <v>13</v>
          </cell>
          <cell r="D95">
            <v>2</v>
          </cell>
          <cell r="E95">
            <v>2</v>
          </cell>
        </row>
        <row r="96">
          <cell r="A96" t="str">
            <v>B075XF6KDQ</v>
          </cell>
          <cell r="B96">
            <v>9</v>
          </cell>
          <cell r="C96">
            <v>12</v>
          </cell>
          <cell r="D96">
            <v>3</v>
          </cell>
          <cell r="E96">
            <v>2</v>
          </cell>
        </row>
        <row r="97">
          <cell r="A97" t="str">
            <v>B075XF75YS</v>
          </cell>
          <cell r="B97">
            <v>8</v>
          </cell>
          <cell r="C97">
            <v>10</v>
          </cell>
          <cell r="D97">
            <v>3</v>
          </cell>
          <cell r="E97">
            <v>4</v>
          </cell>
        </row>
        <row r="98">
          <cell r="A98" t="str">
            <v>B075XF8TFV</v>
          </cell>
          <cell r="B98">
            <v>8</v>
          </cell>
          <cell r="C98">
            <v>11</v>
          </cell>
          <cell r="D98">
            <v>4</v>
          </cell>
          <cell r="E98">
            <v>4</v>
          </cell>
        </row>
        <row r="99">
          <cell r="A99" t="str">
            <v>B075XFH141</v>
          </cell>
          <cell r="B99">
            <v>7</v>
          </cell>
          <cell r="C99">
            <v>10</v>
          </cell>
          <cell r="D99">
            <v>2</v>
          </cell>
          <cell r="E99">
            <v>5</v>
          </cell>
        </row>
        <row r="100">
          <cell r="A100" t="str">
            <v>B075XFQC8B</v>
          </cell>
          <cell r="B100">
            <v>14</v>
          </cell>
          <cell r="C100">
            <v>13</v>
          </cell>
          <cell r="D100">
            <v>1</v>
          </cell>
          <cell r="E100">
            <v>2</v>
          </cell>
        </row>
        <row r="101">
          <cell r="A101" t="str">
            <v>B075XFT9C9</v>
          </cell>
          <cell r="B101">
            <v>10</v>
          </cell>
          <cell r="C101">
            <v>7</v>
          </cell>
          <cell r="D101">
            <v>0</v>
          </cell>
          <cell r="E101">
            <v>2</v>
          </cell>
        </row>
        <row r="102">
          <cell r="A102" t="str">
            <v>B075XG5JVY</v>
          </cell>
          <cell r="B102">
            <v>28</v>
          </cell>
          <cell r="C102">
            <v>33</v>
          </cell>
          <cell r="D102">
            <v>3</v>
          </cell>
          <cell r="E102">
            <v>1</v>
          </cell>
        </row>
        <row r="103">
          <cell r="A103" t="str">
            <v>B075XG6Z6C</v>
          </cell>
          <cell r="B103">
            <v>5</v>
          </cell>
          <cell r="C103">
            <v>14</v>
          </cell>
          <cell r="D103">
            <v>2</v>
          </cell>
          <cell r="E103">
            <v>2</v>
          </cell>
        </row>
        <row r="104">
          <cell r="A104" t="str">
            <v>B075XGCNH2</v>
          </cell>
          <cell r="B104">
            <v>4</v>
          </cell>
          <cell r="C104">
            <v>23</v>
          </cell>
          <cell r="D104">
            <v>5</v>
          </cell>
          <cell r="E104">
            <v>1</v>
          </cell>
        </row>
        <row r="105">
          <cell r="A105" t="str">
            <v>B075XH273G</v>
          </cell>
          <cell r="B105">
            <v>7</v>
          </cell>
          <cell r="C105">
            <v>3</v>
          </cell>
          <cell r="D105">
            <v>1</v>
          </cell>
          <cell r="E105">
            <v>1</v>
          </cell>
        </row>
        <row r="106">
          <cell r="A106" t="str">
            <v>B075XH35SF</v>
          </cell>
          <cell r="B106">
            <v>28</v>
          </cell>
          <cell r="C106">
            <v>10</v>
          </cell>
          <cell r="D106">
            <v>3</v>
          </cell>
          <cell r="E106">
            <v>1</v>
          </cell>
        </row>
        <row r="107">
          <cell r="A107" t="str">
            <v>B075XHCCFQ</v>
          </cell>
          <cell r="B107">
            <v>9</v>
          </cell>
          <cell r="C107">
            <v>10</v>
          </cell>
          <cell r="D107">
            <v>1</v>
          </cell>
          <cell r="E107">
            <v>3</v>
          </cell>
        </row>
        <row r="108">
          <cell r="A108" t="str">
            <v>B075XHVZNY</v>
          </cell>
          <cell r="B108">
            <v>15</v>
          </cell>
          <cell r="C108">
            <v>10</v>
          </cell>
          <cell r="D108">
            <v>3</v>
          </cell>
          <cell r="E108">
            <v>4</v>
          </cell>
        </row>
        <row r="109">
          <cell r="A109" t="str">
            <v>B075XJBNCS</v>
          </cell>
          <cell r="B109">
            <v>16</v>
          </cell>
          <cell r="C109">
            <v>14</v>
          </cell>
          <cell r="D109">
            <v>2</v>
          </cell>
          <cell r="E109">
            <v>1</v>
          </cell>
        </row>
        <row r="110">
          <cell r="A110" t="str">
            <v>B075XJLDVB</v>
          </cell>
          <cell r="B110">
            <v>8</v>
          </cell>
          <cell r="C110">
            <v>9</v>
          </cell>
          <cell r="D110">
            <v>2</v>
          </cell>
          <cell r="E110">
            <v>2</v>
          </cell>
        </row>
        <row r="111">
          <cell r="A111" t="str">
            <v>B077XQBJQ8</v>
          </cell>
          <cell r="B111">
            <v>2</v>
          </cell>
          <cell r="C111">
            <v>2</v>
          </cell>
          <cell r="D111">
            <v>4</v>
          </cell>
          <cell r="E111">
            <v>2</v>
          </cell>
        </row>
        <row r="112">
          <cell r="A112" t="str">
            <v>B077XQBVHJ</v>
          </cell>
          <cell r="B112">
            <v>0</v>
          </cell>
          <cell r="C112">
            <v>3</v>
          </cell>
          <cell r="D112">
            <v>1</v>
          </cell>
          <cell r="E112">
            <v>1</v>
          </cell>
        </row>
        <row r="113">
          <cell r="A113" t="str">
            <v>B077XQDLK1</v>
          </cell>
          <cell r="B113">
            <v>0</v>
          </cell>
          <cell r="C113">
            <v>2</v>
          </cell>
          <cell r="D113">
            <v>1</v>
          </cell>
          <cell r="E113">
            <v>2</v>
          </cell>
        </row>
        <row r="114">
          <cell r="A114" t="str">
            <v>B077XQDLK8</v>
          </cell>
          <cell r="B114">
            <v>0</v>
          </cell>
          <cell r="C114">
            <v>3</v>
          </cell>
          <cell r="D114">
            <v>0</v>
          </cell>
          <cell r="E114">
            <v>1</v>
          </cell>
        </row>
        <row r="115">
          <cell r="A115" t="str">
            <v>B077XRHLYX</v>
          </cell>
          <cell r="B115">
            <v>6</v>
          </cell>
          <cell r="C115">
            <v>3</v>
          </cell>
          <cell r="D115">
            <v>4</v>
          </cell>
          <cell r="E115">
            <v>4</v>
          </cell>
        </row>
        <row r="116">
          <cell r="A116" t="str">
            <v>B077XRZBGV</v>
          </cell>
          <cell r="B116">
            <v>1</v>
          </cell>
          <cell r="C116">
            <v>5</v>
          </cell>
          <cell r="D116">
            <v>2</v>
          </cell>
          <cell r="E116">
            <v>5</v>
          </cell>
        </row>
        <row r="117">
          <cell r="A117" t="str">
            <v>B077XTXHVH</v>
          </cell>
          <cell r="B117">
            <v>7</v>
          </cell>
          <cell r="C117">
            <v>4</v>
          </cell>
          <cell r="D117">
            <v>2</v>
          </cell>
          <cell r="E117">
            <v>3</v>
          </cell>
        </row>
        <row r="118">
          <cell r="A118" t="str">
            <v>B077XTXJ7Q</v>
          </cell>
          <cell r="B118">
            <v>1</v>
          </cell>
          <cell r="C118">
            <v>2</v>
          </cell>
          <cell r="D118">
            <v>0</v>
          </cell>
          <cell r="E118">
            <v>2</v>
          </cell>
        </row>
        <row r="119">
          <cell r="A119" t="str">
            <v>B077XTZVP8</v>
          </cell>
          <cell r="B119">
            <v>3</v>
          </cell>
          <cell r="C119">
            <v>5</v>
          </cell>
          <cell r="D119">
            <v>0</v>
          </cell>
          <cell r="E119">
            <v>2</v>
          </cell>
        </row>
        <row r="120">
          <cell r="A120" t="str">
            <v>B077XV3LFS</v>
          </cell>
          <cell r="B120">
            <v>4</v>
          </cell>
          <cell r="C120">
            <v>2</v>
          </cell>
          <cell r="D120">
            <v>0</v>
          </cell>
          <cell r="E120">
            <v>2</v>
          </cell>
        </row>
        <row r="121">
          <cell r="A121" t="str">
            <v>B077XVD9Y3</v>
          </cell>
          <cell r="B121">
            <v>11</v>
          </cell>
          <cell r="C121">
            <v>24</v>
          </cell>
          <cell r="D121">
            <v>11</v>
          </cell>
          <cell r="E121">
            <v>6</v>
          </cell>
        </row>
        <row r="122">
          <cell r="A122" t="str">
            <v>B077XVSQHX</v>
          </cell>
          <cell r="B122">
            <v>2</v>
          </cell>
          <cell r="C122">
            <v>4</v>
          </cell>
          <cell r="D122">
            <v>0</v>
          </cell>
          <cell r="E122">
            <v>3</v>
          </cell>
        </row>
        <row r="123">
          <cell r="A123" t="str">
            <v>B077XVSW32</v>
          </cell>
          <cell r="B123">
            <v>1</v>
          </cell>
          <cell r="C123">
            <v>4</v>
          </cell>
          <cell r="D123">
            <v>1</v>
          </cell>
          <cell r="E123">
            <v>2</v>
          </cell>
        </row>
        <row r="124">
          <cell r="A124" t="str">
            <v>B077XVV8MB</v>
          </cell>
          <cell r="B124">
            <v>1</v>
          </cell>
          <cell r="C124">
            <v>2</v>
          </cell>
          <cell r="D124">
            <v>1</v>
          </cell>
          <cell r="E124">
            <v>1</v>
          </cell>
        </row>
        <row r="125">
          <cell r="A125" t="str">
            <v>B077XX3FN9</v>
          </cell>
          <cell r="B125">
            <v>1</v>
          </cell>
          <cell r="C125">
            <v>2</v>
          </cell>
          <cell r="D125">
            <v>1</v>
          </cell>
          <cell r="E125">
            <v>4</v>
          </cell>
        </row>
        <row r="126">
          <cell r="A126" t="str">
            <v>B077XX5QDF</v>
          </cell>
          <cell r="B126">
            <v>1</v>
          </cell>
          <cell r="C126">
            <v>2</v>
          </cell>
          <cell r="D126">
            <v>2</v>
          </cell>
          <cell r="E126">
            <v>4</v>
          </cell>
        </row>
        <row r="127">
          <cell r="A127" t="str">
            <v>B077XX5X7K</v>
          </cell>
          <cell r="B127">
            <v>0</v>
          </cell>
          <cell r="C127">
            <v>1</v>
          </cell>
          <cell r="D127">
            <v>1</v>
          </cell>
          <cell r="E127">
            <v>2</v>
          </cell>
        </row>
        <row r="128">
          <cell r="A128" t="str">
            <v>B077YWGR1B</v>
          </cell>
          <cell r="B128">
            <v>4</v>
          </cell>
          <cell r="C128">
            <v>5</v>
          </cell>
          <cell r="D128">
            <v>1</v>
          </cell>
          <cell r="E128">
            <v>2</v>
          </cell>
        </row>
        <row r="129">
          <cell r="A129" t="str">
            <v>B077YWGW7H</v>
          </cell>
          <cell r="B129">
            <v>0</v>
          </cell>
          <cell r="C129">
            <v>2</v>
          </cell>
          <cell r="D129">
            <v>1</v>
          </cell>
          <cell r="E129">
            <v>3</v>
          </cell>
        </row>
        <row r="130">
          <cell r="A130" t="str">
            <v>B077YWGXBQ</v>
          </cell>
          <cell r="B130">
            <v>1</v>
          </cell>
          <cell r="C130">
            <v>3</v>
          </cell>
          <cell r="D130">
            <v>1</v>
          </cell>
          <cell r="E130">
            <v>4</v>
          </cell>
        </row>
        <row r="131">
          <cell r="A131" t="str">
            <v>B077YWGZ93</v>
          </cell>
          <cell r="B131">
            <v>2</v>
          </cell>
          <cell r="C131">
            <v>1</v>
          </cell>
          <cell r="D131">
            <v>1</v>
          </cell>
          <cell r="E131">
            <v>3</v>
          </cell>
        </row>
        <row r="132">
          <cell r="A132" t="str">
            <v>B077YWH21S</v>
          </cell>
          <cell r="B132">
            <v>3</v>
          </cell>
          <cell r="C132">
            <v>2</v>
          </cell>
          <cell r="D132">
            <v>1</v>
          </cell>
          <cell r="E132">
            <v>3</v>
          </cell>
        </row>
        <row r="133">
          <cell r="A133" t="str">
            <v>B077YWH5DT</v>
          </cell>
          <cell r="B133">
            <v>4</v>
          </cell>
          <cell r="C133">
            <v>1</v>
          </cell>
          <cell r="D133">
            <v>1</v>
          </cell>
          <cell r="E133">
            <v>3</v>
          </cell>
        </row>
        <row r="134">
          <cell r="A134" t="str">
            <v>B077Z1QNCD</v>
          </cell>
          <cell r="B134">
            <v>1</v>
          </cell>
          <cell r="C134">
            <v>1</v>
          </cell>
          <cell r="D134">
            <v>1</v>
          </cell>
          <cell r="E134">
            <v>3</v>
          </cell>
        </row>
        <row r="135">
          <cell r="A135" t="str">
            <v>B077Z1QPRQ</v>
          </cell>
          <cell r="B135">
            <v>0</v>
          </cell>
          <cell r="C135">
            <v>0</v>
          </cell>
          <cell r="D135">
            <v>1</v>
          </cell>
          <cell r="E135">
            <v>6</v>
          </cell>
        </row>
        <row r="136">
          <cell r="A136" t="str">
            <v>B077Z1SFPY</v>
          </cell>
          <cell r="B136">
            <v>0</v>
          </cell>
          <cell r="C136">
            <v>2</v>
          </cell>
          <cell r="D136">
            <v>1</v>
          </cell>
          <cell r="E136">
            <v>1</v>
          </cell>
        </row>
        <row r="137">
          <cell r="A137" t="str">
            <v>B077Z1TXX5</v>
          </cell>
          <cell r="B137">
            <v>0</v>
          </cell>
          <cell r="C137">
            <v>1</v>
          </cell>
          <cell r="D137">
            <v>0</v>
          </cell>
          <cell r="E137">
            <v>1</v>
          </cell>
        </row>
        <row r="138">
          <cell r="A138" t="str">
            <v>B077Z3FG6P</v>
          </cell>
          <cell r="B138">
            <v>3</v>
          </cell>
          <cell r="C138">
            <v>4</v>
          </cell>
          <cell r="D138">
            <v>1</v>
          </cell>
          <cell r="E138">
            <v>1</v>
          </cell>
        </row>
        <row r="139">
          <cell r="A139" t="str">
            <v>B077Z3FG6V</v>
          </cell>
          <cell r="B139">
            <v>0</v>
          </cell>
          <cell r="C139">
            <v>0</v>
          </cell>
          <cell r="D139">
            <v>1</v>
          </cell>
          <cell r="E139">
            <v>2</v>
          </cell>
        </row>
        <row r="140">
          <cell r="A140" t="str">
            <v>B077Z5LR3B</v>
          </cell>
          <cell r="B140">
            <v>5</v>
          </cell>
          <cell r="C140">
            <v>9</v>
          </cell>
          <cell r="D140">
            <v>1</v>
          </cell>
          <cell r="E140">
            <v>3</v>
          </cell>
        </row>
        <row r="141">
          <cell r="A141" t="str">
            <v>B077Z617BX</v>
          </cell>
          <cell r="B141">
            <v>3</v>
          </cell>
          <cell r="C141">
            <v>8</v>
          </cell>
          <cell r="D141">
            <v>1</v>
          </cell>
          <cell r="E141">
            <v>1</v>
          </cell>
        </row>
        <row r="142">
          <cell r="A142" t="str">
            <v>B077Z7QZZY</v>
          </cell>
          <cell r="B142">
            <v>1</v>
          </cell>
          <cell r="C142">
            <v>3</v>
          </cell>
          <cell r="D142">
            <v>1</v>
          </cell>
          <cell r="E142">
            <v>1</v>
          </cell>
        </row>
        <row r="143">
          <cell r="A143" t="str">
            <v>B077Z7R3DQ</v>
          </cell>
          <cell r="B143">
            <v>1</v>
          </cell>
          <cell r="C143">
            <v>4</v>
          </cell>
          <cell r="D143">
            <v>1</v>
          </cell>
          <cell r="E143">
            <v>1</v>
          </cell>
        </row>
        <row r="144">
          <cell r="A144" t="str">
            <v>B077Z7RK81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</row>
        <row r="145">
          <cell r="A145" t="str">
            <v>B0785HZPS2</v>
          </cell>
          <cell r="B145">
            <v>0</v>
          </cell>
          <cell r="C145">
            <v>2</v>
          </cell>
          <cell r="D145">
            <v>2</v>
          </cell>
          <cell r="E145">
            <v>1</v>
          </cell>
        </row>
        <row r="146">
          <cell r="A146" t="str">
            <v>B0785JC4N5</v>
          </cell>
          <cell r="B146">
            <v>15</v>
          </cell>
          <cell r="C146">
            <v>3</v>
          </cell>
          <cell r="D146">
            <v>3</v>
          </cell>
          <cell r="E146">
            <v>2</v>
          </cell>
        </row>
        <row r="147">
          <cell r="A147" t="str">
            <v>B0785K545N</v>
          </cell>
          <cell r="B147">
            <v>2</v>
          </cell>
          <cell r="C147">
            <v>6</v>
          </cell>
          <cell r="D147">
            <v>2</v>
          </cell>
          <cell r="E147">
            <v>2</v>
          </cell>
        </row>
        <row r="148">
          <cell r="A148" t="str">
            <v>B0785L1H91</v>
          </cell>
          <cell r="B148">
            <v>1</v>
          </cell>
          <cell r="C148">
            <v>7</v>
          </cell>
          <cell r="D148">
            <v>2</v>
          </cell>
          <cell r="E148">
            <v>1</v>
          </cell>
        </row>
        <row r="149">
          <cell r="A149" t="str">
            <v>B0785Q5CB9</v>
          </cell>
          <cell r="B149">
            <v>5</v>
          </cell>
          <cell r="C149">
            <v>6</v>
          </cell>
          <cell r="D149">
            <v>1</v>
          </cell>
          <cell r="E149">
            <v>2</v>
          </cell>
        </row>
        <row r="150">
          <cell r="A150" t="str">
            <v>B0785RM358</v>
          </cell>
          <cell r="B150">
            <v>6</v>
          </cell>
          <cell r="C150">
            <v>4</v>
          </cell>
          <cell r="D150">
            <v>3</v>
          </cell>
          <cell r="E150">
            <v>5</v>
          </cell>
        </row>
        <row r="151">
          <cell r="A151" t="str">
            <v>B0785S9XKS</v>
          </cell>
          <cell r="B151">
            <v>26</v>
          </cell>
          <cell r="C151">
            <v>31</v>
          </cell>
          <cell r="D151">
            <v>11</v>
          </cell>
          <cell r="E151">
            <v>8</v>
          </cell>
        </row>
        <row r="152">
          <cell r="A152" t="str">
            <v>B0785SC1FB</v>
          </cell>
          <cell r="B152">
            <v>0</v>
          </cell>
          <cell r="C152">
            <v>0</v>
          </cell>
          <cell r="D152">
            <v>6</v>
          </cell>
          <cell r="E152">
            <v>4</v>
          </cell>
        </row>
        <row r="153">
          <cell r="A153" t="str">
            <v>B078H79DCY</v>
          </cell>
          <cell r="B153">
            <v>16</v>
          </cell>
          <cell r="C153">
            <v>6</v>
          </cell>
          <cell r="D153">
            <v>9</v>
          </cell>
          <cell r="E153">
            <v>10</v>
          </cell>
        </row>
        <row r="154">
          <cell r="A154" t="str">
            <v>B078HD4M37</v>
          </cell>
          <cell r="B154">
            <v>8</v>
          </cell>
          <cell r="C154">
            <v>24</v>
          </cell>
          <cell r="D154">
            <v>9</v>
          </cell>
          <cell r="E154">
            <v>10</v>
          </cell>
        </row>
        <row r="155">
          <cell r="A155" t="str">
            <v>B078HNLGWS</v>
          </cell>
          <cell r="B155">
            <v>18</v>
          </cell>
          <cell r="C155">
            <v>23</v>
          </cell>
          <cell r="D155">
            <v>14</v>
          </cell>
          <cell r="E155">
            <v>23</v>
          </cell>
        </row>
        <row r="156">
          <cell r="A156" t="str">
            <v>B0798NZCMN</v>
          </cell>
          <cell r="B156">
            <v>9</v>
          </cell>
          <cell r="C156">
            <v>4</v>
          </cell>
          <cell r="D156">
            <v>3</v>
          </cell>
          <cell r="E156">
            <v>4</v>
          </cell>
        </row>
        <row r="157">
          <cell r="A157" t="str">
            <v>B0798NZTJD</v>
          </cell>
          <cell r="B157">
            <v>7</v>
          </cell>
          <cell r="C157">
            <v>6</v>
          </cell>
          <cell r="D157">
            <v>2</v>
          </cell>
          <cell r="E157">
            <v>1</v>
          </cell>
        </row>
        <row r="158">
          <cell r="A158" t="str">
            <v>B0798P1DCX</v>
          </cell>
          <cell r="B158">
            <v>14</v>
          </cell>
          <cell r="C158">
            <v>11</v>
          </cell>
          <cell r="D158">
            <v>6</v>
          </cell>
          <cell r="E158">
            <v>2</v>
          </cell>
        </row>
        <row r="159">
          <cell r="A159" t="str">
            <v>B0798PCSXB</v>
          </cell>
          <cell r="B159">
            <v>11</v>
          </cell>
          <cell r="C159">
            <v>14</v>
          </cell>
          <cell r="D159">
            <v>13</v>
          </cell>
          <cell r="E159">
            <v>6</v>
          </cell>
        </row>
        <row r="160">
          <cell r="A160" t="str">
            <v>B0798PX336</v>
          </cell>
          <cell r="B160">
            <v>9</v>
          </cell>
          <cell r="C160">
            <v>10</v>
          </cell>
          <cell r="D160">
            <v>12</v>
          </cell>
          <cell r="E160">
            <v>2</v>
          </cell>
        </row>
        <row r="161">
          <cell r="A161" t="str">
            <v>B0798PY6XT</v>
          </cell>
          <cell r="B161">
            <v>56</v>
          </cell>
          <cell r="C161">
            <v>40</v>
          </cell>
          <cell r="D161">
            <v>21</v>
          </cell>
          <cell r="E161">
            <v>13</v>
          </cell>
        </row>
        <row r="162">
          <cell r="A162" t="str">
            <v>B079GLZ6K8</v>
          </cell>
          <cell r="B162">
            <v>5</v>
          </cell>
          <cell r="C162">
            <v>4</v>
          </cell>
          <cell r="D162">
            <v>2</v>
          </cell>
          <cell r="E162">
            <v>1</v>
          </cell>
        </row>
        <row r="163">
          <cell r="A163" t="str">
            <v>B079GM3BXL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</row>
        <row r="164">
          <cell r="A164" t="str">
            <v>B079GML28B</v>
          </cell>
          <cell r="B164">
            <v>20</v>
          </cell>
          <cell r="C164">
            <v>26</v>
          </cell>
          <cell r="D164">
            <v>7</v>
          </cell>
          <cell r="E164">
            <v>7</v>
          </cell>
        </row>
        <row r="165">
          <cell r="A165" t="str">
            <v>B079GMMWG2</v>
          </cell>
          <cell r="B165">
            <v>0</v>
          </cell>
          <cell r="C165">
            <v>7</v>
          </cell>
          <cell r="D165">
            <v>10</v>
          </cell>
          <cell r="E165">
            <v>4</v>
          </cell>
        </row>
        <row r="166">
          <cell r="A166" t="str">
            <v>B079GN5DSL</v>
          </cell>
          <cell r="B166">
            <v>68</v>
          </cell>
          <cell r="C166">
            <v>49</v>
          </cell>
          <cell r="D166">
            <v>20</v>
          </cell>
          <cell r="E166">
            <v>26</v>
          </cell>
        </row>
        <row r="167">
          <cell r="A167" t="str">
            <v>B079GNL7BD</v>
          </cell>
          <cell r="B167">
            <v>8</v>
          </cell>
          <cell r="C167">
            <v>4</v>
          </cell>
          <cell r="D167">
            <v>9</v>
          </cell>
          <cell r="E167">
            <v>1</v>
          </cell>
        </row>
        <row r="168">
          <cell r="A168" t="str">
            <v>B079GNVPFC</v>
          </cell>
          <cell r="B168">
            <v>0</v>
          </cell>
          <cell r="C168">
            <v>0</v>
          </cell>
          <cell r="D168">
            <v>0</v>
          </cell>
          <cell r="E168">
            <v>2</v>
          </cell>
        </row>
        <row r="169">
          <cell r="A169" t="str">
            <v>B079GPD2NN</v>
          </cell>
          <cell r="B169">
            <v>0</v>
          </cell>
          <cell r="C169">
            <v>0</v>
          </cell>
          <cell r="D169">
            <v>2</v>
          </cell>
          <cell r="E169">
            <v>1</v>
          </cell>
        </row>
        <row r="170">
          <cell r="A170" t="str">
            <v>B079GPRVHY</v>
          </cell>
          <cell r="B170">
            <v>31</v>
          </cell>
          <cell r="C170">
            <v>19</v>
          </cell>
          <cell r="D170">
            <v>7</v>
          </cell>
          <cell r="E170">
            <v>4</v>
          </cell>
        </row>
        <row r="171">
          <cell r="A171" t="str">
            <v>B079GQ2C5K</v>
          </cell>
          <cell r="B171">
            <v>12</v>
          </cell>
          <cell r="C171">
            <v>7</v>
          </cell>
          <cell r="D171">
            <v>4</v>
          </cell>
          <cell r="E171">
            <v>3</v>
          </cell>
        </row>
        <row r="172">
          <cell r="A172" t="str">
            <v>B079GQ697Z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</row>
        <row r="173">
          <cell r="A173" t="str">
            <v>B079GQ7X19</v>
          </cell>
          <cell r="B173">
            <v>11</v>
          </cell>
          <cell r="C173">
            <v>21</v>
          </cell>
          <cell r="D173">
            <v>8</v>
          </cell>
          <cell r="E173">
            <v>6</v>
          </cell>
        </row>
        <row r="174">
          <cell r="A174" t="str">
            <v>B079GQ99MR</v>
          </cell>
          <cell r="B174">
            <v>11</v>
          </cell>
          <cell r="C174">
            <v>10</v>
          </cell>
          <cell r="D174">
            <v>8</v>
          </cell>
          <cell r="E174">
            <v>9</v>
          </cell>
        </row>
        <row r="175">
          <cell r="A175" t="str">
            <v>B079GQB66Z</v>
          </cell>
          <cell r="B175">
            <v>13</v>
          </cell>
          <cell r="C175">
            <v>8</v>
          </cell>
          <cell r="D175">
            <v>5</v>
          </cell>
          <cell r="E175">
            <v>6</v>
          </cell>
        </row>
        <row r="176">
          <cell r="A176" t="str">
            <v>B079GQWL9S</v>
          </cell>
          <cell r="B176">
            <v>12</v>
          </cell>
          <cell r="C176">
            <v>15</v>
          </cell>
          <cell r="D176">
            <v>14</v>
          </cell>
          <cell r="E176">
            <v>20</v>
          </cell>
        </row>
        <row r="177">
          <cell r="A177" t="str">
            <v>B079GQYYYF</v>
          </cell>
          <cell r="B177">
            <v>16</v>
          </cell>
          <cell r="C177">
            <v>14</v>
          </cell>
          <cell r="D177">
            <v>5</v>
          </cell>
          <cell r="E177">
            <v>2</v>
          </cell>
        </row>
        <row r="178">
          <cell r="A178" t="str">
            <v>B079GQZMQ2</v>
          </cell>
          <cell r="B178">
            <v>10</v>
          </cell>
          <cell r="C178">
            <v>13</v>
          </cell>
          <cell r="D178">
            <v>9</v>
          </cell>
          <cell r="E178">
            <v>3</v>
          </cell>
        </row>
        <row r="179">
          <cell r="A179" t="str">
            <v>B079GR91JK</v>
          </cell>
          <cell r="B179">
            <v>2</v>
          </cell>
          <cell r="C179">
            <v>9</v>
          </cell>
          <cell r="D179">
            <v>4</v>
          </cell>
          <cell r="E179">
            <v>2</v>
          </cell>
        </row>
        <row r="180">
          <cell r="A180" t="str">
            <v>B079GRXYH8</v>
          </cell>
          <cell r="B180">
            <v>8</v>
          </cell>
          <cell r="C180">
            <v>14</v>
          </cell>
          <cell r="D180">
            <v>8</v>
          </cell>
          <cell r="E180">
            <v>8</v>
          </cell>
        </row>
        <row r="181">
          <cell r="A181" t="str">
            <v>B079GS1ZJR</v>
          </cell>
          <cell r="B181">
            <v>16</v>
          </cell>
          <cell r="C181">
            <v>16</v>
          </cell>
          <cell r="D181">
            <v>8</v>
          </cell>
          <cell r="E181">
            <v>15</v>
          </cell>
        </row>
        <row r="182">
          <cell r="A182" t="str">
            <v>B079GS81P9</v>
          </cell>
          <cell r="B182">
            <v>17</v>
          </cell>
          <cell r="C182">
            <v>12</v>
          </cell>
          <cell r="D182">
            <v>3</v>
          </cell>
          <cell r="E182">
            <v>8</v>
          </cell>
        </row>
        <row r="183">
          <cell r="A183" t="str">
            <v>B079GTFGYN</v>
          </cell>
          <cell r="B183">
            <v>0</v>
          </cell>
          <cell r="C183">
            <v>12</v>
          </cell>
          <cell r="D183">
            <v>7</v>
          </cell>
          <cell r="E183">
            <v>9</v>
          </cell>
        </row>
        <row r="184">
          <cell r="A184" t="str">
            <v>B079HP2RFZ</v>
          </cell>
          <cell r="B184">
            <v>292</v>
          </cell>
          <cell r="C184">
            <v>235</v>
          </cell>
          <cell r="D184">
            <v>160</v>
          </cell>
          <cell r="E184">
            <v>105</v>
          </cell>
        </row>
        <row r="185">
          <cell r="A185" t="str">
            <v>B079HPCGB9</v>
          </cell>
          <cell r="B185">
            <v>204</v>
          </cell>
          <cell r="C185">
            <v>0</v>
          </cell>
          <cell r="D185">
            <v>110</v>
          </cell>
          <cell r="E185">
            <v>87</v>
          </cell>
        </row>
        <row r="186">
          <cell r="A186" t="str">
            <v>B079HPLTVC</v>
          </cell>
          <cell r="B186">
            <v>319</v>
          </cell>
          <cell r="C186">
            <v>324</v>
          </cell>
          <cell r="D186">
            <v>197</v>
          </cell>
          <cell r="E186">
            <v>150</v>
          </cell>
        </row>
        <row r="187">
          <cell r="A187" t="str">
            <v>B079HQGKS9</v>
          </cell>
          <cell r="B187">
            <v>79</v>
          </cell>
          <cell r="C187">
            <v>57</v>
          </cell>
          <cell r="D187">
            <v>33</v>
          </cell>
          <cell r="E187">
            <v>34</v>
          </cell>
        </row>
        <row r="188">
          <cell r="A188" t="str">
            <v>B079HQPJP2</v>
          </cell>
          <cell r="B188">
            <v>411</v>
          </cell>
          <cell r="C188">
            <v>404</v>
          </cell>
          <cell r="D188">
            <v>245</v>
          </cell>
          <cell r="E188">
            <v>175</v>
          </cell>
        </row>
        <row r="189">
          <cell r="A189" t="str">
            <v>B079HQW62H</v>
          </cell>
          <cell r="B189">
            <v>176</v>
          </cell>
          <cell r="C189">
            <v>283</v>
          </cell>
          <cell r="D189">
            <v>170</v>
          </cell>
          <cell r="E189">
            <v>175</v>
          </cell>
        </row>
        <row r="190">
          <cell r="A190" t="str">
            <v>B079HRST93</v>
          </cell>
          <cell r="B190">
            <v>140</v>
          </cell>
          <cell r="C190">
            <v>95</v>
          </cell>
          <cell r="D190">
            <v>85</v>
          </cell>
          <cell r="E190">
            <v>76</v>
          </cell>
        </row>
        <row r="191">
          <cell r="A191" t="str">
            <v>B079HRYZ8F</v>
          </cell>
          <cell r="B191">
            <v>95</v>
          </cell>
          <cell r="C191">
            <v>73</v>
          </cell>
          <cell r="D191">
            <v>31</v>
          </cell>
          <cell r="E191">
            <v>33</v>
          </cell>
        </row>
        <row r="192">
          <cell r="A192" t="str">
            <v>B079HS8H93</v>
          </cell>
          <cell r="B192">
            <v>137</v>
          </cell>
          <cell r="C192">
            <v>117</v>
          </cell>
          <cell r="D192">
            <v>54</v>
          </cell>
          <cell r="E192">
            <v>60</v>
          </cell>
        </row>
        <row r="193">
          <cell r="A193" t="str">
            <v>B079J99WVX</v>
          </cell>
          <cell r="B193">
            <v>2</v>
          </cell>
          <cell r="C193">
            <v>4</v>
          </cell>
          <cell r="D193">
            <v>7</v>
          </cell>
          <cell r="E193">
            <v>4</v>
          </cell>
        </row>
        <row r="194">
          <cell r="A194" t="str">
            <v>B079JD7ZJ2</v>
          </cell>
          <cell r="B194">
            <v>5</v>
          </cell>
          <cell r="C194">
            <v>5</v>
          </cell>
          <cell r="D194">
            <v>4</v>
          </cell>
          <cell r="E194">
            <v>6</v>
          </cell>
        </row>
        <row r="195">
          <cell r="A195" t="str">
            <v>B079JF8TQM</v>
          </cell>
          <cell r="B195">
            <v>37</v>
          </cell>
          <cell r="C195">
            <v>36</v>
          </cell>
          <cell r="D195">
            <v>14</v>
          </cell>
          <cell r="E195">
            <v>4</v>
          </cell>
        </row>
        <row r="196">
          <cell r="A196" t="str">
            <v>B079M1Y4YS</v>
          </cell>
          <cell r="B196">
            <v>2</v>
          </cell>
          <cell r="C196">
            <v>4</v>
          </cell>
          <cell r="D196">
            <v>2</v>
          </cell>
          <cell r="E196">
            <v>4</v>
          </cell>
        </row>
        <row r="197">
          <cell r="A197" t="str">
            <v>B079M2W31H</v>
          </cell>
          <cell r="B197">
            <v>1</v>
          </cell>
          <cell r="C197">
            <v>6</v>
          </cell>
          <cell r="D197">
            <v>2</v>
          </cell>
          <cell r="E197">
            <v>3</v>
          </cell>
        </row>
        <row r="198">
          <cell r="A198" t="str">
            <v>B079M4C6DT</v>
          </cell>
          <cell r="B198">
            <v>4</v>
          </cell>
          <cell r="C198">
            <v>5</v>
          </cell>
          <cell r="D198">
            <v>2</v>
          </cell>
          <cell r="E198">
            <v>3</v>
          </cell>
        </row>
        <row r="199">
          <cell r="A199" t="str">
            <v>B079MDCK5Y</v>
          </cell>
          <cell r="B199">
            <v>4</v>
          </cell>
          <cell r="C199">
            <v>5</v>
          </cell>
          <cell r="D199">
            <v>3</v>
          </cell>
          <cell r="E199">
            <v>3</v>
          </cell>
        </row>
        <row r="200">
          <cell r="A200" t="str">
            <v>B07B9WYZG3</v>
          </cell>
          <cell r="B200">
            <v>0</v>
          </cell>
          <cell r="C200">
            <v>0</v>
          </cell>
          <cell r="D200">
            <v>21</v>
          </cell>
          <cell r="E200">
            <v>33</v>
          </cell>
        </row>
        <row r="201">
          <cell r="A201" t="str">
            <v>B07BGSSQLV</v>
          </cell>
          <cell r="B201">
            <v>386</v>
          </cell>
          <cell r="C201">
            <v>323</v>
          </cell>
          <cell r="D201">
            <v>201</v>
          </cell>
          <cell r="E201">
            <v>186</v>
          </cell>
        </row>
        <row r="202">
          <cell r="A202" t="str">
            <v>B07BGW4LWX</v>
          </cell>
          <cell r="B202">
            <v>284</v>
          </cell>
          <cell r="C202">
            <v>219</v>
          </cell>
          <cell r="D202">
            <v>126</v>
          </cell>
          <cell r="E202">
            <v>122</v>
          </cell>
        </row>
        <row r="203">
          <cell r="A203" t="str">
            <v>B07BLQ5R6S</v>
          </cell>
          <cell r="B203">
            <v>4</v>
          </cell>
          <cell r="C203">
            <v>1</v>
          </cell>
          <cell r="D203">
            <v>1</v>
          </cell>
          <cell r="E203">
            <v>5</v>
          </cell>
        </row>
        <row r="204">
          <cell r="A204" t="str">
            <v>B07BLQJYGS</v>
          </cell>
          <cell r="B204">
            <v>6</v>
          </cell>
          <cell r="C204">
            <v>4</v>
          </cell>
          <cell r="D204">
            <v>2</v>
          </cell>
          <cell r="E204">
            <v>3</v>
          </cell>
        </row>
        <row r="205">
          <cell r="A205" t="str">
            <v>B07BLQJYGV</v>
          </cell>
          <cell r="B205">
            <v>3</v>
          </cell>
          <cell r="C205">
            <v>2</v>
          </cell>
          <cell r="D205">
            <v>1</v>
          </cell>
          <cell r="E205">
            <v>2</v>
          </cell>
        </row>
        <row r="206">
          <cell r="A206" t="str">
            <v>B07BLR3VDW</v>
          </cell>
          <cell r="B206">
            <v>5</v>
          </cell>
          <cell r="C206">
            <v>3</v>
          </cell>
          <cell r="D206">
            <v>1</v>
          </cell>
          <cell r="E206">
            <v>1</v>
          </cell>
        </row>
        <row r="207">
          <cell r="A207" t="str">
            <v>B07BLR41F3</v>
          </cell>
          <cell r="B207">
            <v>5</v>
          </cell>
          <cell r="C207">
            <v>1</v>
          </cell>
          <cell r="D207">
            <v>1</v>
          </cell>
          <cell r="E207">
            <v>4</v>
          </cell>
        </row>
        <row r="208">
          <cell r="A208" t="str">
            <v>B07BLRDXJK</v>
          </cell>
          <cell r="B208">
            <v>4</v>
          </cell>
          <cell r="C208">
            <v>2</v>
          </cell>
          <cell r="D208">
            <v>1</v>
          </cell>
          <cell r="E208">
            <v>1</v>
          </cell>
        </row>
        <row r="209">
          <cell r="A209" t="str">
            <v>B07BLRLRW6</v>
          </cell>
          <cell r="B209">
            <v>2</v>
          </cell>
          <cell r="C209">
            <v>0</v>
          </cell>
          <cell r="D209">
            <v>1</v>
          </cell>
          <cell r="E209">
            <v>1</v>
          </cell>
        </row>
        <row r="210">
          <cell r="A210" t="str">
            <v>B07BLRNMV5</v>
          </cell>
          <cell r="B210">
            <v>3</v>
          </cell>
          <cell r="C210">
            <v>1</v>
          </cell>
          <cell r="D210">
            <v>2</v>
          </cell>
          <cell r="E210">
            <v>1</v>
          </cell>
        </row>
        <row r="211">
          <cell r="A211" t="str">
            <v>B07BLRT4X9</v>
          </cell>
          <cell r="B211">
            <v>3</v>
          </cell>
          <cell r="C211">
            <v>1</v>
          </cell>
          <cell r="D211">
            <v>1</v>
          </cell>
          <cell r="E211">
            <v>1</v>
          </cell>
        </row>
        <row r="212">
          <cell r="A212" t="str">
            <v>B07BLRTLGM</v>
          </cell>
          <cell r="B212">
            <v>4</v>
          </cell>
          <cell r="C212">
            <v>1</v>
          </cell>
          <cell r="D212">
            <v>1</v>
          </cell>
          <cell r="E212">
            <v>2</v>
          </cell>
        </row>
        <row r="213">
          <cell r="A213" t="str">
            <v>B07BLRWPX4</v>
          </cell>
          <cell r="B213">
            <v>3</v>
          </cell>
          <cell r="C213">
            <v>1</v>
          </cell>
          <cell r="D213">
            <v>0</v>
          </cell>
          <cell r="E213">
            <v>1</v>
          </cell>
        </row>
        <row r="214">
          <cell r="A214" t="str">
            <v>B07BLS3RH4</v>
          </cell>
          <cell r="B214">
            <v>3</v>
          </cell>
          <cell r="C214">
            <v>0</v>
          </cell>
          <cell r="D214">
            <v>1</v>
          </cell>
          <cell r="E214">
            <v>2</v>
          </cell>
        </row>
        <row r="215">
          <cell r="A215" t="str">
            <v>B07BLSKPGN</v>
          </cell>
          <cell r="B215">
            <v>2</v>
          </cell>
          <cell r="C215">
            <v>1</v>
          </cell>
          <cell r="D215">
            <v>2</v>
          </cell>
          <cell r="E215">
            <v>3</v>
          </cell>
        </row>
        <row r="216">
          <cell r="A216" t="str">
            <v>B07BLSLVNQ</v>
          </cell>
          <cell r="B216">
            <v>3</v>
          </cell>
          <cell r="C216">
            <v>1</v>
          </cell>
          <cell r="D216">
            <v>2</v>
          </cell>
          <cell r="E216">
            <v>4</v>
          </cell>
        </row>
        <row r="217">
          <cell r="A217" t="str">
            <v>B07BLSNYZP</v>
          </cell>
          <cell r="B217">
            <v>1</v>
          </cell>
          <cell r="C217">
            <v>0</v>
          </cell>
          <cell r="D217">
            <v>2</v>
          </cell>
          <cell r="E217">
            <v>3</v>
          </cell>
        </row>
        <row r="218">
          <cell r="A218" t="str">
            <v>B07BLSQB24</v>
          </cell>
          <cell r="B218">
            <v>1</v>
          </cell>
          <cell r="C218">
            <v>1</v>
          </cell>
          <cell r="D218">
            <v>1</v>
          </cell>
          <cell r="E218">
            <v>5</v>
          </cell>
        </row>
        <row r="219">
          <cell r="A219" t="str">
            <v>B07BLSR168</v>
          </cell>
          <cell r="B219">
            <v>1</v>
          </cell>
          <cell r="C219">
            <v>2</v>
          </cell>
          <cell r="D219">
            <v>2</v>
          </cell>
          <cell r="E219">
            <v>3</v>
          </cell>
        </row>
        <row r="220">
          <cell r="A220" t="str">
            <v>B07BLT6QLH</v>
          </cell>
          <cell r="B220">
            <v>2</v>
          </cell>
          <cell r="C220">
            <v>1</v>
          </cell>
          <cell r="D220">
            <v>2</v>
          </cell>
          <cell r="E220">
            <v>2</v>
          </cell>
        </row>
        <row r="221">
          <cell r="A221" t="str">
            <v>B07BLT8K4B</v>
          </cell>
          <cell r="B221">
            <v>1</v>
          </cell>
          <cell r="C221">
            <v>1</v>
          </cell>
          <cell r="D221">
            <v>1</v>
          </cell>
          <cell r="E221">
            <v>3</v>
          </cell>
        </row>
        <row r="222">
          <cell r="A222" t="str">
            <v>B07BLT8Z76</v>
          </cell>
          <cell r="B222">
            <v>3</v>
          </cell>
          <cell r="C222">
            <v>0</v>
          </cell>
          <cell r="D222">
            <v>1</v>
          </cell>
          <cell r="E222">
            <v>3</v>
          </cell>
        </row>
        <row r="223">
          <cell r="A223" t="str">
            <v>B07BLT9556</v>
          </cell>
          <cell r="B223">
            <v>3</v>
          </cell>
          <cell r="C223">
            <v>0</v>
          </cell>
          <cell r="D223">
            <v>2</v>
          </cell>
          <cell r="E223">
            <v>2</v>
          </cell>
        </row>
        <row r="224">
          <cell r="A224" t="str">
            <v>B07BLTCKF4</v>
          </cell>
          <cell r="B224">
            <v>3</v>
          </cell>
          <cell r="C224">
            <v>0</v>
          </cell>
          <cell r="D224">
            <v>1</v>
          </cell>
          <cell r="E224">
            <v>2</v>
          </cell>
        </row>
        <row r="225">
          <cell r="A225" t="str">
            <v>B07BLTGHH9</v>
          </cell>
          <cell r="B225">
            <v>4</v>
          </cell>
          <cell r="C225">
            <v>1</v>
          </cell>
          <cell r="D225">
            <v>1</v>
          </cell>
          <cell r="E225">
            <v>3</v>
          </cell>
        </row>
        <row r="226">
          <cell r="A226" t="str">
            <v>B07BLV5B1Y</v>
          </cell>
          <cell r="B226">
            <v>3</v>
          </cell>
          <cell r="C226">
            <v>1</v>
          </cell>
          <cell r="D226">
            <v>3</v>
          </cell>
          <cell r="E226">
            <v>4</v>
          </cell>
        </row>
        <row r="227">
          <cell r="A227" t="str">
            <v>B07BLV8M7G</v>
          </cell>
          <cell r="B227">
            <v>3</v>
          </cell>
          <cell r="C227">
            <v>0</v>
          </cell>
          <cell r="D227">
            <v>1</v>
          </cell>
          <cell r="E227">
            <v>2</v>
          </cell>
        </row>
        <row r="228">
          <cell r="A228" t="str">
            <v>B07BLV93M6</v>
          </cell>
          <cell r="B228">
            <v>3</v>
          </cell>
          <cell r="C228">
            <v>1</v>
          </cell>
          <cell r="D228">
            <v>1</v>
          </cell>
          <cell r="E228">
            <v>1</v>
          </cell>
        </row>
        <row r="229">
          <cell r="A229" t="str">
            <v>B07BLVMB53</v>
          </cell>
          <cell r="B229">
            <v>4</v>
          </cell>
          <cell r="C229">
            <v>1</v>
          </cell>
          <cell r="D229">
            <v>3</v>
          </cell>
          <cell r="E229">
            <v>1</v>
          </cell>
        </row>
        <row r="230">
          <cell r="A230" t="str">
            <v>B07BLVSWRJ</v>
          </cell>
          <cell r="B230">
            <v>2</v>
          </cell>
          <cell r="C230">
            <v>1</v>
          </cell>
          <cell r="D230">
            <v>2</v>
          </cell>
          <cell r="E230">
            <v>1</v>
          </cell>
        </row>
        <row r="231">
          <cell r="A231" t="str">
            <v>B07BLWQZKS</v>
          </cell>
          <cell r="B231">
            <v>2</v>
          </cell>
          <cell r="C231">
            <v>1</v>
          </cell>
          <cell r="D231">
            <v>2</v>
          </cell>
          <cell r="E231">
            <v>2</v>
          </cell>
        </row>
        <row r="232">
          <cell r="A232" t="str">
            <v>B07BLX8JTR</v>
          </cell>
          <cell r="B232">
            <v>3</v>
          </cell>
          <cell r="C232">
            <v>3</v>
          </cell>
          <cell r="D232">
            <v>6</v>
          </cell>
          <cell r="E232">
            <v>1</v>
          </cell>
        </row>
        <row r="233">
          <cell r="A233" t="str">
            <v>B07BLX976V</v>
          </cell>
          <cell r="B233">
            <v>2</v>
          </cell>
          <cell r="C233">
            <v>1</v>
          </cell>
          <cell r="D233">
            <v>2</v>
          </cell>
          <cell r="E233">
            <v>3</v>
          </cell>
        </row>
        <row r="234">
          <cell r="A234" t="str">
            <v>B07BLXBP85</v>
          </cell>
          <cell r="B234">
            <v>4</v>
          </cell>
          <cell r="C234">
            <v>1</v>
          </cell>
          <cell r="D234">
            <v>2</v>
          </cell>
          <cell r="E234">
            <v>2</v>
          </cell>
        </row>
        <row r="235">
          <cell r="A235" t="str">
            <v>B07BLXGT2T</v>
          </cell>
          <cell r="B235">
            <v>1</v>
          </cell>
          <cell r="C235">
            <v>1</v>
          </cell>
          <cell r="D235">
            <v>2</v>
          </cell>
          <cell r="E235">
            <v>2</v>
          </cell>
        </row>
        <row r="236">
          <cell r="A236" t="str">
            <v>B07BLXHTK7</v>
          </cell>
          <cell r="B236">
            <v>2</v>
          </cell>
          <cell r="C236">
            <v>2</v>
          </cell>
          <cell r="D236">
            <v>1</v>
          </cell>
          <cell r="E236">
            <v>3</v>
          </cell>
        </row>
        <row r="237">
          <cell r="A237" t="str">
            <v>B07BLXLBHX</v>
          </cell>
          <cell r="B237">
            <v>3</v>
          </cell>
          <cell r="C237">
            <v>2</v>
          </cell>
          <cell r="D237">
            <v>1</v>
          </cell>
          <cell r="E237">
            <v>2</v>
          </cell>
        </row>
        <row r="238">
          <cell r="A238" t="str">
            <v>B07BLXSN84</v>
          </cell>
          <cell r="B238">
            <v>3</v>
          </cell>
          <cell r="C238">
            <v>1</v>
          </cell>
          <cell r="D238">
            <v>0</v>
          </cell>
          <cell r="E238">
            <v>4</v>
          </cell>
        </row>
        <row r="239">
          <cell r="A239" t="str">
            <v>B07BLXYK2X</v>
          </cell>
          <cell r="B239">
            <v>6</v>
          </cell>
          <cell r="C239">
            <v>6</v>
          </cell>
          <cell r="D239">
            <v>0</v>
          </cell>
          <cell r="E239">
            <v>2</v>
          </cell>
        </row>
        <row r="240">
          <cell r="A240" t="str">
            <v>B07BLYK979</v>
          </cell>
          <cell r="B240">
            <v>3</v>
          </cell>
          <cell r="C240">
            <v>1</v>
          </cell>
          <cell r="D240">
            <v>0</v>
          </cell>
          <cell r="E240">
            <v>2</v>
          </cell>
        </row>
        <row r="241">
          <cell r="A241" t="str">
            <v>B07BLZ5PS4</v>
          </cell>
          <cell r="B241">
            <v>3</v>
          </cell>
          <cell r="C241">
            <v>2</v>
          </cell>
          <cell r="D241">
            <v>0</v>
          </cell>
          <cell r="E241">
            <v>2</v>
          </cell>
        </row>
        <row r="242">
          <cell r="A242" t="str">
            <v>B07BLZ8QQW</v>
          </cell>
          <cell r="B242">
            <v>3</v>
          </cell>
          <cell r="C242">
            <v>3</v>
          </cell>
          <cell r="D242">
            <v>0</v>
          </cell>
          <cell r="E242">
            <v>2</v>
          </cell>
        </row>
        <row r="243">
          <cell r="A243" t="str">
            <v>B07BLZDS36</v>
          </cell>
          <cell r="B243">
            <v>3</v>
          </cell>
          <cell r="C243">
            <v>3</v>
          </cell>
          <cell r="D243">
            <v>0</v>
          </cell>
          <cell r="E243">
            <v>3</v>
          </cell>
        </row>
        <row r="244">
          <cell r="A244" t="str">
            <v>B07C16NFVZ</v>
          </cell>
          <cell r="B244">
            <v>97</v>
          </cell>
          <cell r="C244">
            <v>77</v>
          </cell>
          <cell r="D244">
            <v>53</v>
          </cell>
          <cell r="E244">
            <v>48</v>
          </cell>
        </row>
        <row r="245">
          <cell r="A245" t="str">
            <v>B07C1P3Z1B</v>
          </cell>
          <cell r="B245">
            <v>72</v>
          </cell>
          <cell r="C245">
            <v>62</v>
          </cell>
          <cell r="D245">
            <v>28</v>
          </cell>
          <cell r="E245">
            <v>25</v>
          </cell>
        </row>
        <row r="246">
          <cell r="A246" t="str">
            <v>B07C5SXQ14</v>
          </cell>
          <cell r="B246">
            <v>0</v>
          </cell>
          <cell r="C246">
            <v>81</v>
          </cell>
          <cell r="D246">
            <v>468</v>
          </cell>
          <cell r="E246">
            <v>559</v>
          </cell>
        </row>
        <row r="247">
          <cell r="A247" t="str">
            <v>B07C6X3XM7</v>
          </cell>
          <cell r="B247">
            <v>57</v>
          </cell>
          <cell r="C247">
            <v>232</v>
          </cell>
          <cell r="D247">
            <v>106</v>
          </cell>
          <cell r="E247">
            <v>34</v>
          </cell>
        </row>
        <row r="248">
          <cell r="A248" t="str">
            <v>B07C75PL9W</v>
          </cell>
          <cell r="B248">
            <v>45</v>
          </cell>
          <cell r="C248">
            <v>236</v>
          </cell>
          <cell r="D248">
            <v>164</v>
          </cell>
          <cell r="E248">
            <v>132</v>
          </cell>
        </row>
        <row r="249">
          <cell r="A249" t="str">
            <v>B07C8GHD9F</v>
          </cell>
          <cell r="B249">
            <v>3</v>
          </cell>
          <cell r="C249">
            <v>3</v>
          </cell>
          <cell r="D249">
            <v>0</v>
          </cell>
          <cell r="E249">
            <v>3</v>
          </cell>
        </row>
        <row r="250">
          <cell r="A250" t="str">
            <v>B07C8GM14Z</v>
          </cell>
          <cell r="B250">
            <v>4</v>
          </cell>
          <cell r="C250">
            <v>2</v>
          </cell>
          <cell r="D250">
            <v>1</v>
          </cell>
          <cell r="E250">
            <v>4</v>
          </cell>
        </row>
        <row r="251">
          <cell r="A251" t="str">
            <v>B07C8GM23V</v>
          </cell>
          <cell r="B251">
            <v>2</v>
          </cell>
          <cell r="C251">
            <v>3</v>
          </cell>
          <cell r="D251">
            <v>0</v>
          </cell>
          <cell r="E251">
            <v>3</v>
          </cell>
        </row>
        <row r="252">
          <cell r="A252" t="str">
            <v>B07C8R5S2P</v>
          </cell>
          <cell r="B252">
            <v>2</v>
          </cell>
          <cell r="C252">
            <v>3</v>
          </cell>
          <cell r="D252">
            <v>1</v>
          </cell>
          <cell r="E252">
            <v>2</v>
          </cell>
        </row>
        <row r="253">
          <cell r="A253" t="str">
            <v>B07CBPJCK5</v>
          </cell>
          <cell r="B253">
            <v>106</v>
          </cell>
          <cell r="C253">
            <v>112</v>
          </cell>
          <cell r="D253">
            <v>78</v>
          </cell>
          <cell r="E253">
            <v>57</v>
          </cell>
        </row>
        <row r="254">
          <cell r="A254" t="str">
            <v>B07CBPP52D</v>
          </cell>
          <cell r="B254">
            <v>159</v>
          </cell>
          <cell r="C254">
            <v>148</v>
          </cell>
          <cell r="D254">
            <v>65</v>
          </cell>
          <cell r="E254">
            <v>68</v>
          </cell>
        </row>
        <row r="255">
          <cell r="A255" t="str">
            <v>B07CBPWQZT</v>
          </cell>
          <cell r="B255">
            <v>302</v>
          </cell>
          <cell r="C255">
            <v>265</v>
          </cell>
          <cell r="D255">
            <v>179</v>
          </cell>
          <cell r="E255">
            <v>144</v>
          </cell>
        </row>
        <row r="256">
          <cell r="A256" t="str">
            <v>B07CBPY63R</v>
          </cell>
          <cell r="B256">
            <v>6</v>
          </cell>
          <cell r="C256">
            <v>10</v>
          </cell>
          <cell r="D256">
            <v>6</v>
          </cell>
          <cell r="E256">
            <v>5</v>
          </cell>
        </row>
        <row r="257">
          <cell r="A257" t="str">
            <v>B07CBR7LCS</v>
          </cell>
          <cell r="B257">
            <v>96</v>
          </cell>
          <cell r="C257">
            <v>66</v>
          </cell>
          <cell r="D257">
            <v>35</v>
          </cell>
          <cell r="E257">
            <v>34</v>
          </cell>
        </row>
        <row r="258">
          <cell r="A258" t="str">
            <v>B07CGJVWW6</v>
          </cell>
          <cell r="B258">
            <v>0</v>
          </cell>
          <cell r="C258">
            <v>28</v>
          </cell>
          <cell r="D258">
            <v>8</v>
          </cell>
          <cell r="E258">
            <v>19</v>
          </cell>
        </row>
        <row r="259">
          <cell r="A259" t="str">
            <v>B07CNVG6NZ</v>
          </cell>
          <cell r="B259">
            <v>70</v>
          </cell>
          <cell r="C259">
            <v>254</v>
          </cell>
          <cell r="D259">
            <v>113</v>
          </cell>
          <cell r="E259">
            <v>87</v>
          </cell>
        </row>
        <row r="260">
          <cell r="A260" t="str">
            <v>B07CQJNLWX</v>
          </cell>
          <cell r="B260">
            <v>79</v>
          </cell>
          <cell r="C260">
            <v>98</v>
          </cell>
          <cell r="D260">
            <v>54</v>
          </cell>
          <cell r="E260">
            <v>36</v>
          </cell>
        </row>
        <row r="261">
          <cell r="A261" t="str">
            <v>B07CRZGRK6</v>
          </cell>
          <cell r="B261">
            <v>43</v>
          </cell>
          <cell r="C261">
            <v>42</v>
          </cell>
          <cell r="D261">
            <v>45</v>
          </cell>
          <cell r="E261">
            <v>29</v>
          </cell>
        </row>
        <row r="262">
          <cell r="A262" t="str">
            <v>B07D8S8R3B</v>
          </cell>
          <cell r="B262">
            <v>0</v>
          </cell>
          <cell r="C262">
            <v>50</v>
          </cell>
          <cell r="D262">
            <v>50</v>
          </cell>
          <cell r="E262">
            <v>60</v>
          </cell>
        </row>
        <row r="263">
          <cell r="A263" t="str">
            <v>B07DF6DDNM</v>
          </cell>
          <cell r="B263">
            <v>281</v>
          </cell>
          <cell r="C263">
            <v>277</v>
          </cell>
          <cell r="D263">
            <v>140</v>
          </cell>
          <cell r="E263">
            <v>117</v>
          </cell>
        </row>
        <row r="264">
          <cell r="A264" t="str">
            <v>B07DF6XZQC</v>
          </cell>
          <cell r="B264">
            <v>61</v>
          </cell>
          <cell r="C264">
            <v>46</v>
          </cell>
          <cell r="D264">
            <v>26</v>
          </cell>
          <cell r="E264">
            <v>24</v>
          </cell>
        </row>
        <row r="265">
          <cell r="A265" t="str">
            <v>B07DF81JBH</v>
          </cell>
          <cell r="B265">
            <v>83</v>
          </cell>
          <cell r="C265">
            <v>117</v>
          </cell>
          <cell r="D265">
            <v>68</v>
          </cell>
          <cell r="E265">
            <v>41</v>
          </cell>
        </row>
        <row r="266">
          <cell r="A266" t="str">
            <v>B07DFBHNBF</v>
          </cell>
          <cell r="B266">
            <v>135</v>
          </cell>
          <cell r="C266">
            <v>89</v>
          </cell>
          <cell r="D266">
            <v>40</v>
          </cell>
          <cell r="E266">
            <v>36</v>
          </cell>
        </row>
        <row r="267">
          <cell r="A267" t="str">
            <v>B07DFBKQ2D</v>
          </cell>
          <cell r="B267">
            <v>174</v>
          </cell>
          <cell r="C267">
            <v>108</v>
          </cell>
          <cell r="D267">
            <v>75</v>
          </cell>
          <cell r="E267">
            <v>39</v>
          </cell>
        </row>
        <row r="268">
          <cell r="A268" t="str">
            <v>B07DFBM9N3</v>
          </cell>
          <cell r="B268">
            <v>103</v>
          </cell>
          <cell r="C268">
            <v>59</v>
          </cell>
          <cell r="D268">
            <v>39</v>
          </cell>
          <cell r="E268">
            <v>36</v>
          </cell>
        </row>
        <row r="269">
          <cell r="A269" t="str">
            <v>B07DFC3CFS</v>
          </cell>
          <cell r="B269">
            <v>121</v>
          </cell>
          <cell r="C269">
            <v>120</v>
          </cell>
          <cell r="D269">
            <v>50</v>
          </cell>
          <cell r="E269">
            <v>46</v>
          </cell>
        </row>
        <row r="270">
          <cell r="A270" t="str">
            <v>B07DFCKR8T</v>
          </cell>
          <cell r="B270">
            <v>189</v>
          </cell>
          <cell r="C270">
            <v>163</v>
          </cell>
          <cell r="D270">
            <v>83</v>
          </cell>
          <cell r="E270">
            <v>81</v>
          </cell>
        </row>
        <row r="271">
          <cell r="A271" t="str">
            <v>B07DJ8MH2Q</v>
          </cell>
          <cell r="B271">
            <v>17</v>
          </cell>
          <cell r="C271">
            <v>15</v>
          </cell>
          <cell r="D271">
            <v>7</v>
          </cell>
          <cell r="E271">
            <v>8</v>
          </cell>
        </row>
        <row r="272">
          <cell r="A272" t="str">
            <v>B07DL53SBF</v>
          </cell>
          <cell r="B272">
            <v>71</v>
          </cell>
          <cell r="C272">
            <v>66</v>
          </cell>
          <cell r="D272">
            <v>39</v>
          </cell>
          <cell r="E272">
            <v>26</v>
          </cell>
        </row>
        <row r="273">
          <cell r="A273" t="str">
            <v>B07DL5G8KV</v>
          </cell>
          <cell r="B273">
            <v>216</v>
          </cell>
          <cell r="C273">
            <v>167</v>
          </cell>
          <cell r="D273">
            <v>77</v>
          </cell>
          <cell r="E273">
            <v>71</v>
          </cell>
        </row>
        <row r="274">
          <cell r="A274" t="str">
            <v>B07DL5W2R6</v>
          </cell>
          <cell r="B274">
            <v>97</v>
          </cell>
          <cell r="C274">
            <v>56</v>
          </cell>
          <cell r="D274">
            <v>34</v>
          </cell>
          <cell r="E274">
            <v>33</v>
          </cell>
        </row>
        <row r="275">
          <cell r="A275" t="str">
            <v>B07FM7ZQJJ</v>
          </cell>
          <cell r="B275">
            <v>18</v>
          </cell>
          <cell r="C275">
            <v>16</v>
          </cell>
          <cell r="D275">
            <v>12</v>
          </cell>
          <cell r="E275">
            <v>9</v>
          </cell>
        </row>
        <row r="276">
          <cell r="A276" t="str">
            <v>B07FMJ852L</v>
          </cell>
          <cell r="B276">
            <v>110</v>
          </cell>
          <cell r="C276">
            <v>0</v>
          </cell>
          <cell r="D276">
            <v>24</v>
          </cell>
          <cell r="E276">
            <v>25</v>
          </cell>
        </row>
        <row r="277">
          <cell r="A277" t="str">
            <v>B07FMJW6W8</v>
          </cell>
          <cell r="B277">
            <v>12</v>
          </cell>
          <cell r="C277">
            <v>20</v>
          </cell>
          <cell r="D277">
            <v>12</v>
          </cell>
          <cell r="E277">
            <v>7</v>
          </cell>
        </row>
        <row r="278">
          <cell r="A278" t="str">
            <v>B074SN4V6M</v>
          </cell>
          <cell r="B278">
            <v>0</v>
          </cell>
          <cell r="C278">
            <v>2</v>
          </cell>
          <cell r="D278">
            <v>3</v>
          </cell>
          <cell r="E278">
            <v>0</v>
          </cell>
        </row>
        <row r="279">
          <cell r="A279" t="str">
            <v>B074SNMHQJ</v>
          </cell>
          <cell r="B279">
            <v>0</v>
          </cell>
          <cell r="C279">
            <v>6</v>
          </cell>
          <cell r="D279">
            <v>7</v>
          </cell>
          <cell r="E279">
            <v>0</v>
          </cell>
        </row>
        <row r="280">
          <cell r="A280" t="str">
            <v>B074SNMJJ9</v>
          </cell>
          <cell r="B280">
            <v>0</v>
          </cell>
          <cell r="C280">
            <v>1</v>
          </cell>
          <cell r="D280">
            <v>4</v>
          </cell>
          <cell r="E280">
            <v>0</v>
          </cell>
        </row>
        <row r="281">
          <cell r="A281" t="str">
            <v>B074SNP44C</v>
          </cell>
          <cell r="B281">
            <v>1</v>
          </cell>
          <cell r="C281">
            <v>3</v>
          </cell>
          <cell r="D281">
            <v>4</v>
          </cell>
          <cell r="E281">
            <v>0</v>
          </cell>
        </row>
        <row r="282">
          <cell r="A282" t="str">
            <v>B074ST3T2H</v>
          </cell>
          <cell r="B282">
            <v>0</v>
          </cell>
          <cell r="C282">
            <v>0</v>
          </cell>
          <cell r="D282">
            <v>3</v>
          </cell>
          <cell r="E282">
            <v>0</v>
          </cell>
        </row>
        <row r="283">
          <cell r="A283" t="str">
            <v>B074SWPTKB</v>
          </cell>
          <cell r="B283">
            <v>1</v>
          </cell>
          <cell r="C283">
            <v>3</v>
          </cell>
          <cell r="D283">
            <v>2</v>
          </cell>
          <cell r="E283">
            <v>0</v>
          </cell>
        </row>
        <row r="284">
          <cell r="A284" t="str">
            <v>B074SXQ5MY</v>
          </cell>
          <cell r="B284">
            <v>1</v>
          </cell>
          <cell r="C284">
            <v>4</v>
          </cell>
          <cell r="D284">
            <v>2</v>
          </cell>
          <cell r="E284">
            <v>0</v>
          </cell>
        </row>
        <row r="285">
          <cell r="A285" t="str">
            <v>B074SXQT5Z</v>
          </cell>
          <cell r="B285">
            <v>1</v>
          </cell>
          <cell r="C285">
            <v>3</v>
          </cell>
          <cell r="D285">
            <v>2</v>
          </cell>
          <cell r="E285">
            <v>0</v>
          </cell>
        </row>
        <row r="286">
          <cell r="A286" t="str">
            <v>B074SYXBT8</v>
          </cell>
          <cell r="B286">
            <v>1</v>
          </cell>
          <cell r="C286">
            <v>4</v>
          </cell>
          <cell r="D286">
            <v>3</v>
          </cell>
          <cell r="E286">
            <v>0</v>
          </cell>
        </row>
        <row r="287">
          <cell r="A287" t="str">
            <v>B075WQNT6B</v>
          </cell>
          <cell r="B287">
            <v>15</v>
          </cell>
          <cell r="C287">
            <v>10</v>
          </cell>
          <cell r="D287">
            <v>4</v>
          </cell>
          <cell r="E287">
            <v>0</v>
          </cell>
        </row>
        <row r="288">
          <cell r="A288" t="str">
            <v>B075WQQC8L</v>
          </cell>
          <cell r="B288">
            <v>13</v>
          </cell>
          <cell r="C288">
            <v>6</v>
          </cell>
          <cell r="D288">
            <v>3</v>
          </cell>
          <cell r="E288">
            <v>0</v>
          </cell>
        </row>
        <row r="289">
          <cell r="A289" t="str">
            <v>B075WT1YR6</v>
          </cell>
          <cell r="B289">
            <v>9</v>
          </cell>
          <cell r="C289">
            <v>7</v>
          </cell>
          <cell r="D289">
            <v>4</v>
          </cell>
          <cell r="E289">
            <v>0</v>
          </cell>
        </row>
        <row r="290">
          <cell r="A290" t="str">
            <v>B075XH1TBD</v>
          </cell>
          <cell r="B290">
            <v>6</v>
          </cell>
          <cell r="C290">
            <v>15</v>
          </cell>
          <cell r="D290">
            <v>5</v>
          </cell>
          <cell r="E290">
            <v>0</v>
          </cell>
        </row>
        <row r="291">
          <cell r="A291" t="str">
            <v>B077XRZ4P9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</row>
        <row r="292">
          <cell r="A292" t="str">
            <v>B077Z1SBLC</v>
          </cell>
          <cell r="B292">
            <v>0</v>
          </cell>
          <cell r="C292">
            <v>2</v>
          </cell>
          <cell r="D292">
            <v>1</v>
          </cell>
          <cell r="E292">
            <v>0</v>
          </cell>
        </row>
        <row r="293">
          <cell r="A293" t="str">
            <v>B077Z7RY9J</v>
          </cell>
          <cell r="B293">
            <v>4</v>
          </cell>
          <cell r="C293">
            <v>2</v>
          </cell>
          <cell r="D293">
            <v>1</v>
          </cell>
          <cell r="E293">
            <v>0</v>
          </cell>
        </row>
        <row r="294">
          <cell r="A294" t="str">
            <v>B0785L1RRG</v>
          </cell>
          <cell r="B294">
            <v>1</v>
          </cell>
          <cell r="C294">
            <v>3</v>
          </cell>
          <cell r="D294">
            <v>2</v>
          </cell>
          <cell r="E294">
            <v>0</v>
          </cell>
        </row>
        <row r="295">
          <cell r="A295" t="str">
            <v>B0785P964M</v>
          </cell>
          <cell r="B295">
            <v>3</v>
          </cell>
          <cell r="C295">
            <v>3</v>
          </cell>
          <cell r="D295">
            <v>2</v>
          </cell>
          <cell r="E295">
            <v>0</v>
          </cell>
        </row>
        <row r="296">
          <cell r="A296" t="str">
            <v>B0785PV9GH</v>
          </cell>
          <cell r="B296">
            <v>3</v>
          </cell>
          <cell r="C296">
            <v>3</v>
          </cell>
          <cell r="D296">
            <v>1</v>
          </cell>
          <cell r="E296">
            <v>0</v>
          </cell>
        </row>
        <row r="297">
          <cell r="A297" t="str">
            <v>B07BLRYV4K</v>
          </cell>
          <cell r="B297">
            <v>3</v>
          </cell>
          <cell r="C297">
            <v>2</v>
          </cell>
          <cell r="D297">
            <v>1</v>
          </cell>
          <cell r="E297">
            <v>0</v>
          </cell>
        </row>
        <row r="298">
          <cell r="A298" t="str">
            <v>B07BLV93M3</v>
          </cell>
          <cell r="B298">
            <v>8</v>
          </cell>
          <cell r="C298">
            <v>1</v>
          </cell>
          <cell r="D298">
            <v>4</v>
          </cell>
          <cell r="E298">
            <v>0</v>
          </cell>
        </row>
        <row r="299">
          <cell r="A299" t="str">
            <v>B07BLWPJFH</v>
          </cell>
          <cell r="B299">
            <v>2</v>
          </cell>
          <cell r="C299">
            <v>1</v>
          </cell>
          <cell r="D299">
            <v>2</v>
          </cell>
          <cell r="E299">
            <v>0</v>
          </cell>
        </row>
        <row r="300">
          <cell r="A300" t="str">
            <v>B073PPSG6W</v>
          </cell>
          <cell r="B300">
            <v>0</v>
          </cell>
          <cell r="C300">
            <v>3</v>
          </cell>
          <cell r="D300">
            <v>0</v>
          </cell>
          <cell r="E300">
            <v>0</v>
          </cell>
        </row>
        <row r="301">
          <cell r="A301" t="str">
            <v>B074SZQ1LP</v>
          </cell>
          <cell r="B301">
            <v>0</v>
          </cell>
          <cell r="C301">
            <v>1</v>
          </cell>
          <cell r="D301">
            <v>0</v>
          </cell>
          <cell r="E301">
            <v>0</v>
          </cell>
        </row>
        <row r="302">
          <cell r="A302" t="str">
            <v>B077Z5M1T9</v>
          </cell>
          <cell r="B302">
            <v>0</v>
          </cell>
          <cell r="C302">
            <v>4</v>
          </cell>
          <cell r="D302">
            <v>0</v>
          </cell>
          <cell r="E302">
            <v>0</v>
          </cell>
        </row>
        <row r="303">
          <cell r="A303" t="str">
            <v>B0785PHFJC</v>
          </cell>
          <cell r="B303">
            <v>3</v>
          </cell>
          <cell r="C303">
            <v>3</v>
          </cell>
          <cell r="D303">
            <v>0</v>
          </cell>
          <cell r="E303">
            <v>0</v>
          </cell>
        </row>
        <row r="304">
          <cell r="A304" t="str">
            <v>B07BLRWWB9</v>
          </cell>
          <cell r="B304">
            <v>3</v>
          </cell>
          <cell r="C304">
            <v>1</v>
          </cell>
          <cell r="D304">
            <v>0</v>
          </cell>
          <cell r="E304">
            <v>0</v>
          </cell>
        </row>
        <row r="305">
          <cell r="A305" t="str">
            <v>B07BM3PGBP</v>
          </cell>
          <cell r="B305">
            <v>3</v>
          </cell>
          <cell r="C305">
            <v>1</v>
          </cell>
          <cell r="D305">
            <v>0</v>
          </cell>
          <cell r="E305">
            <v>0</v>
          </cell>
        </row>
        <row r="306">
          <cell r="A306" t="str">
            <v>B074SWQY9F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861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43304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2018/8/13-2018/8/19</v>
      </c>
      <c r="E3" s="14" t="str">
        <f>TEXT(时间!$B$8,"yyyy/M/d")&amp;"-"&amp;TEXT(时间!$B$7,"yyyy/M/d")</f>
        <v>2018/8/6-2018/8/12</v>
      </c>
      <c r="F3" s="14" t="str">
        <f>TEXT(时间!$B$10,"yyyy/M/d")&amp;"-"&amp;TEXT(时间!$B$9,"yyyy/M/d")</f>
        <v>2018/7/30-2018/8/5</v>
      </c>
      <c r="G3" s="14" t="str">
        <f>TEXT(时间!$B$12,"yyyy/M/d")&amp;"-"&amp;TEXT(时间!$B$11,"yyyy/M/d")</f>
        <v>2018/7/23-2018/7/29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43325</v>
      </c>
      <c r="AG4" s="21">
        <f>时间!$B$7</f>
        <v>43324</v>
      </c>
      <c r="AH4" s="21">
        <f>时间!$B$8</f>
        <v>43318</v>
      </c>
      <c r="AI4" s="21">
        <f>时间!$B$9</f>
        <v>43317</v>
      </c>
      <c r="AJ4" s="21">
        <f>时间!$B$6</f>
        <v>43325</v>
      </c>
      <c r="AK4" s="21">
        <f>时间!$B$7</f>
        <v>43324</v>
      </c>
      <c r="AL4" s="21">
        <f>时间!$B$8</f>
        <v>43318</v>
      </c>
      <c r="AM4" s="21">
        <f>时间!$B$9</f>
        <v>43317</v>
      </c>
      <c r="AN4" s="21">
        <f>时间!$B$6</f>
        <v>43325</v>
      </c>
      <c r="AO4" s="21">
        <f>时间!$B$7</f>
        <v>43324</v>
      </c>
      <c r="AP4" s="21">
        <f>时间!$B$8</f>
        <v>43318</v>
      </c>
      <c r="AQ4" s="21">
        <f>时间!$B$9</f>
        <v>43317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532</v>
      </c>
      <c r="E5" s="4">
        <f>SUM(E6:E19999)</f>
        <v>524</v>
      </c>
      <c r="F5" s="4">
        <f>SUM(F6:F19999)</f>
        <v>559</v>
      </c>
      <c r="G5" s="4">
        <f>SUM(G6:G19999)</f>
        <v>363</v>
      </c>
      <c r="I5" s="4">
        <f t="shared" ref="I5:O5" si="3">SUM(I6:I29999)</f>
        <v>2116</v>
      </c>
      <c r="J5" s="4">
        <f t="shared" si="3"/>
        <v>2803</v>
      </c>
      <c r="K5" s="4">
        <f t="shared" si="3"/>
        <v>58</v>
      </c>
      <c r="L5" s="4">
        <f t="shared" si="3"/>
        <v>823</v>
      </c>
      <c r="M5" s="4">
        <f t="shared" si="3"/>
        <v>5800</v>
      </c>
      <c r="N5" s="4">
        <f t="shared" si="3"/>
        <v>18</v>
      </c>
      <c r="O5" s="4">
        <f t="shared" si="3"/>
        <v>569</v>
      </c>
      <c r="AB5" s="4">
        <f>SUM(AB6:AB2099)</f>
        <v>1589.33</v>
      </c>
      <c r="AC5" s="4">
        <f>SUM(AC6:AC2099)</f>
        <v>1588.35</v>
      </c>
      <c r="AD5" s="4">
        <f>SUM(AD6:AD2099)</f>
        <v>1777.24</v>
      </c>
      <c r="AE5" s="4">
        <f>SUM(AE6:AE2099)</f>
        <v>837.08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5</v>
      </c>
      <c r="J6" s="33">
        <v>0</v>
      </c>
      <c r="K6" s="33">
        <v>0</v>
      </c>
      <c r="L6" s="33">
        <v>0</v>
      </c>
      <c r="M6">
        <v>5</v>
      </c>
      <c r="N6">
        <v>0</v>
      </c>
      <c r="O6">
        <v>0</v>
      </c>
      <c r="P6">
        <v>222</v>
      </c>
      <c r="Q6">
        <v>85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s="23">
        <v>0</v>
      </c>
      <c r="Y6" s="23">
        <v>0</v>
      </c>
      <c r="Z6" s="23" t="s">
        <v>54</v>
      </c>
      <c r="AA6" s="23" t="s">
        <v>54</v>
      </c>
      <c r="AB6">
        <v>0</v>
      </c>
      <c r="AC6">
        <v>0</v>
      </c>
      <c r="AD6">
        <v>0</v>
      </c>
      <c r="AE6">
        <v>0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0</v>
      </c>
      <c r="AM6">
        <v>0</v>
      </c>
      <c r="AN6" s="23" t="s">
        <v>54</v>
      </c>
      <c r="AO6" s="23" t="s">
        <v>54</v>
      </c>
      <c r="AP6" s="23" t="s">
        <v>54</v>
      </c>
      <c r="AQ6" s="23" t="s">
        <v>54</v>
      </c>
      <c r="AR6" s="35">
        <v>0</v>
      </c>
      <c r="AS6" s="35">
        <v>0</v>
      </c>
      <c r="AT6" s="35">
        <v>5</v>
      </c>
      <c r="AU6" s="31" t="str">
        <f t="shared" si="2"/>
        <v>库存为5</v>
      </c>
      <c r="AV6" s="36" t="str">
        <f>IFERROR($A$2+AU6,"上周无销量")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4</v>
      </c>
      <c r="J7" s="33">
        <v>0</v>
      </c>
      <c r="K7" s="33">
        <v>0</v>
      </c>
      <c r="L7" s="33">
        <v>0</v>
      </c>
      <c r="M7">
        <v>4</v>
      </c>
      <c r="N7">
        <v>0</v>
      </c>
      <c r="O7">
        <v>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1</v>
      </c>
      <c r="AL7">
        <v>1</v>
      </c>
      <c r="AM7">
        <v>5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4</v>
      </c>
      <c r="AU7" s="31" t="str">
        <f t="shared" si="2"/>
        <v>库存为4</v>
      </c>
      <c r="AV7" s="36" t="str">
        <f>IFERROR($A$2+AU7,"上周无销量")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2</v>
      </c>
      <c r="J8" s="33">
        <v>0</v>
      </c>
      <c r="K8" s="33">
        <v>0</v>
      </c>
      <c r="L8" s="33">
        <v>0</v>
      </c>
      <c r="M8">
        <v>2</v>
      </c>
      <c r="N8">
        <v>0</v>
      </c>
      <c r="O8">
        <v>2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5</v>
      </c>
      <c r="AK8">
        <v>1</v>
      </c>
      <c r="AL8">
        <v>1</v>
      </c>
      <c r="AM8">
        <v>4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2</v>
      </c>
      <c r="AU8" s="31" t="str">
        <f t="shared" si="2"/>
        <v>库存为2</v>
      </c>
      <c r="AV8" s="36" t="str">
        <f>IFERROR($A$2+AU8,"上周无销量")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1">
        <v>0</v>
      </c>
      <c r="E9" s="31">
        <v>0</v>
      </c>
      <c r="F9" s="31">
        <v>0</v>
      </c>
      <c r="G9" s="31">
        <v>1</v>
      </c>
      <c r="H9" s="32">
        <v>10</v>
      </c>
      <c r="I9">
        <v>3</v>
      </c>
      <c r="J9" s="33">
        <v>0</v>
      </c>
      <c r="K9" s="33">
        <v>0</v>
      </c>
      <c r="L9" s="33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</v>
      </c>
      <c r="AK9">
        <v>3</v>
      </c>
      <c r="AL9">
        <v>6</v>
      </c>
      <c r="AM9">
        <v>1</v>
      </c>
      <c r="AN9" s="23">
        <v>0</v>
      </c>
      <c r="AO9" s="23">
        <v>0</v>
      </c>
      <c r="AP9" s="23">
        <v>0</v>
      </c>
      <c r="AQ9" s="23">
        <v>1</v>
      </c>
      <c r="AR9" s="35">
        <v>0</v>
      </c>
      <c r="AS9" s="35">
        <v>0</v>
      </c>
      <c r="AT9" s="35">
        <v>3</v>
      </c>
      <c r="AU9" s="31" t="str">
        <f t="shared" si="2"/>
        <v>库存为3</v>
      </c>
      <c r="AV9" s="36" t="str">
        <f>IFERROR($A$2+AU9,"上周无销量")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2</v>
      </c>
      <c r="J10" s="33">
        <v>0</v>
      </c>
      <c r="K10" s="33">
        <v>0</v>
      </c>
      <c r="L10" s="33">
        <v>0</v>
      </c>
      <c r="M10">
        <v>2</v>
      </c>
      <c r="N10">
        <v>0</v>
      </c>
      <c r="O10">
        <v>2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3</v>
      </c>
      <c r="AK10">
        <v>2</v>
      </c>
      <c r="AL10">
        <v>1</v>
      </c>
      <c r="AM10">
        <v>2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2</v>
      </c>
      <c r="AU10" s="31" t="str">
        <f t="shared" si="2"/>
        <v>库存为2</v>
      </c>
      <c r="AV10" s="36" t="str">
        <f>IFERROR($A$2+AU10,"上周无销量")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4</v>
      </c>
      <c r="J11" s="33">
        <v>0</v>
      </c>
      <c r="K11" s="33">
        <v>0</v>
      </c>
      <c r="L11" s="33">
        <v>0</v>
      </c>
      <c r="M11">
        <v>4</v>
      </c>
      <c r="N11">
        <v>0</v>
      </c>
      <c r="O11">
        <v>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3</v>
      </c>
      <c r="AK11">
        <v>1</v>
      </c>
      <c r="AL11">
        <v>1</v>
      </c>
      <c r="AM11">
        <v>1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4</v>
      </c>
      <c r="AU11" s="31" t="str">
        <f t="shared" si="2"/>
        <v>库存为4</v>
      </c>
      <c r="AV11" s="36" t="str">
        <f>IFERROR($A$2+AU11,"上周无销量")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3</v>
      </c>
      <c r="J12" s="33">
        <v>0</v>
      </c>
      <c r="K12" s="33">
        <v>0</v>
      </c>
      <c r="L12" s="33">
        <v>0</v>
      </c>
      <c r="M12">
        <v>3</v>
      </c>
      <c r="N12">
        <v>0</v>
      </c>
      <c r="O12">
        <v>3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1</v>
      </c>
      <c r="AM12">
        <v>3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3</v>
      </c>
      <c r="AU12" s="31" t="str">
        <f t="shared" si="2"/>
        <v>库存为3</v>
      </c>
      <c r="AV12" s="36" t="str">
        <f>IFERROR($A$2+AU12,"上周无销量")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5</v>
      </c>
      <c r="J13" s="33">
        <v>0</v>
      </c>
      <c r="K13" s="33">
        <v>0</v>
      </c>
      <c r="L13" s="33">
        <v>0</v>
      </c>
      <c r="M13">
        <v>5</v>
      </c>
      <c r="N13">
        <v>0</v>
      </c>
      <c r="O13">
        <v>0</v>
      </c>
      <c r="P13">
        <v>485</v>
      </c>
      <c r="Q13">
        <v>124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s="23">
        <v>0</v>
      </c>
      <c r="Y13" s="23">
        <v>0</v>
      </c>
      <c r="Z13" s="23" t="s">
        <v>54</v>
      </c>
      <c r="AA13" s="23" t="s">
        <v>54</v>
      </c>
      <c r="AB13">
        <v>0</v>
      </c>
      <c r="AC13">
        <v>0</v>
      </c>
      <c r="AD13">
        <v>0</v>
      </c>
      <c r="AE13">
        <v>0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3</v>
      </c>
      <c r="AK13">
        <v>1</v>
      </c>
      <c r="AL13">
        <v>0</v>
      </c>
      <c r="AM13">
        <v>0</v>
      </c>
      <c r="AN13" s="23">
        <v>0</v>
      </c>
      <c r="AO13" s="23">
        <v>0</v>
      </c>
      <c r="AP13" s="23" t="s">
        <v>54</v>
      </c>
      <c r="AQ13" s="23" t="s">
        <v>54</v>
      </c>
      <c r="AR13" s="35">
        <v>0</v>
      </c>
      <c r="AS13" s="35">
        <v>0</v>
      </c>
      <c r="AT13" s="35">
        <v>5</v>
      </c>
      <c r="AU13" s="31" t="str">
        <f t="shared" si="2"/>
        <v>库存为5</v>
      </c>
      <c r="AV13" s="36" t="str">
        <f>IFERROR($A$2+AU13,"上周无销量")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4</v>
      </c>
      <c r="J14" s="33">
        <v>0</v>
      </c>
      <c r="K14" s="33">
        <v>0</v>
      </c>
      <c r="L14" s="33">
        <v>0</v>
      </c>
      <c r="M14">
        <v>4</v>
      </c>
      <c r="N14">
        <v>0</v>
      </c>
      <c r="O14">
        <v>4</v>
      </c>
      <c r="P14">
        <v>198</v>
      </c>
      <c r="Q14">
        <v>236</v>
      </c>
      <c r="R14">
        <v>278</v>
      </c>
      <c r="S14">
        <v>216</v>
      </c>
      <c r="T14">
        <v>1</v>
      </c>
      <c r="U14">
        <v>0</v>
      </c>
      <c r="V14">
        <v>0</v>
      </c>
      <c r="W14">
        <v>0</v>
      </c>
      <c r="X14" s="23">
        <v>0.00505050505050505</v>
      </c>
      <c r="Y14" s="23">
        <v>0</v>
      </c>
      <c r="Z14" s="23">
        <v>0</v>
      </c>
      <c r="AA14" s="23">
        <v>0</v>
      </c>
      <c r="AB14">
        <v>0.32</v>
      </c>
      <c r="AC14">
        <v>0</v>
      </c>
      <c r="AD14">
        <v>0</v>
      </c>
      <c r="AE14">
        <v>0</v>
      </c>
      <c r="AF14" s="23">
        <v>0</v>
      </c>
      <c r="AG14" s="23" t="s">
        <v>54</v>
      </c>
      <c r="AH14" s="23" t="s">
        <v>54</v>
      </c>
      <c r="AI14" s="23" t="s">
        <v>54</v>
      </c>
      <c r="AJ14">
        <v>4</v>
      </c>
      <c r="AK14">
        <v>2</v>
      </c>
      <c r="AL14">
        <v>1</v>
      </c>
      <c r="AM14">
        <v>4</v>
      </c>
      <c r="AN14" s="23">
        <v>0</v>
      </c>
      <c r="AO14" s="23">
        <v>0</v>
      </c>
      <c r="AP14" s="23">
        <v>0</v>
      </c>
      <c r="AQ14" s="23">
        <v>0</v>
      </c>
      <c r="AR14" s="35">
        <v>0</v>
      </c>
      <c r="AS14" s="35">
        <v>0</v>
      </c>
      <c r="AT14" s="35">
        <v>4</v>
      </c>
      <c r="AU14" s="31" t="str">
        <f t="shared" si="2"/>
        <v>库存为4</v>
      </c>
      <c r="AV14" s="36" t="str">
        <f>IFERROR($A$2+AU14,"上周无销量")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1">
        <v>1</v>
      </c>
      <c r="E15" s="31">
        <v>1</v>
      </c>
      <c r="F15" s="31">
        <v>0</v>
      </c>
      <c r="G15" s="31">
        <v>0</v>
      </c>
      <c r="H15" s="32">
        <v>9.745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>
        <v>44</v>
      </c>
      <c r="Q15">
        <v>287</v>
      </c>
      <c r="R15">
        <v>366</v>
      </c>
      <c r="S15">
        <v>271</v>
      </c>
      <c r="T15">
        <v>0</v>
      </c>
      <c r="U15">
        <v>1</v>
      </c>
      <c r="V15">
        <v>1</v>
      </c>
      <c r="W15">
        <v>3</v>
      </c>
      <c r="X15" s="23">
        <v>0</v>
      </c>
      <c r="Y15" s="23">
        <v>0.00348432055749129</v>
      </c>
      <c r="Z15" s="23">
        <v>0.00273224043715847</v>
      </c>
      <c r="AA15" s="23">
        <v>0.011070110701107</v>
      </c>
      <c r="AB15">
        <v>0</v>
      </c>
      <c r="AC15">
        <v>0.35</v>
      </c>
      <c r="AD15">
        <v>0.39</v>
      </c>
      <c r="AE15">
        <v>0.58</v>
      </c>
      <c r="AF15" s="23" t="s">
        <v>54</v>
      </c>
      <c r="AG15" s="23">
        <v>0.0359158542842483</v>
      </c>
      <c r="AH15" s="23">
        <v>0</v>
      </c>
      <c r="AI15" s="23">
        <v>0</v>
      </c>
      <c r="AJ15">
        <v>6</v>
      </c>
      <c r="AK15">
        <v>4</v>
      </c>
      <c r="AL15">
        <v>2</v>
      </c>
      <c r="AM15">
        <v>3</v>
      </c>
      <c r="AN15" s="23">
        <v>0.166666666666667</v>
      </c>
      <c r="AO15" s="23">
        <v>0.25</v>
      </c>
      <c r="AP15" s="23">
        <v>0</v>
      </c>
      <c r="AQ15" s="23">
        <v>0</v>
      </c>
      <c r="AR15" s="35">
        <v>0.142857142857143</v>
      </c>
      <c r="AS15" s="35">
        <v>8.57142857142857</v>
      </c>
      <c r="AT15" s="35">
        <v>-8.57142857142857</v>
      </c>
      <c r="AU15" s="31">
        <f t="shared" si="2"/>
        <v>0</v>
      </c>
      <c r="AV15" s="36">
        <f>IFERROR($A$2+AU15,"上周无销量")</f>
        <v>43304</v>
      </c>
    </row>
    <row r="16" spans="1:48">
      <c r="A16" s="21" t="s">
        <v>73</v>
      </c>
      <c r="B16" t="s">
        <v>74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3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</v>
      </c>
      <c r="AK16">
        <v>3</v>
      </c>
      <c r="AL16">
        <v>1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5">
        <v>0</v>
      </c>
      <c r="AS16" s="35">
        <v>0</v>
      </c>
      <c r="AT16" s="35">
        <v>3</v>
      </c>
      <c r="AU16" s="31" t="str">
        <f t="shared" si="2"/>
        <v>库存为3</v>
      </c>
      <c r="AV16" s="36" t="str">
        <f>IFERROR($A$2+AU16,"上周无销量")</f>
        <v>上周无销量</v>
      </c>
    </row>
    <row r="17" spans="1:48">
      <c r="A17" s="21" t="s">
        <v>76</v>
      </c>
      <c r="B17" t="s">
        <v>77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3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1</v>
      </c>
      <c r="AK17">
        <v>1</v>
      </c>
      <c r="AL17">
        <v>2</v>
      </c>
      <c r="AM17">
        <v>2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3</v>
      </c>
      <c r="AU17" s="31" t="str">
        <f t="shared" si="2"/>
        <v>库存为3</v>
      </c>
      <c r="AV17" s="36" t="str">
        <f>IFERROR($A$2+AU17,"上周无销量")</f>
        <v>上周无销量</v>
      </c>
    </row>
    <row r="18" spans="1:48">
      <c r="A18" s="21" t="s">
        <v>78</v>
      </c>
      <c r="B18" t="s">
        <v>79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1</v>
      </c>
      <c r="J18" s="33">
        <v>0</v>
      </c>
      <c r="K18" s="33">
        <v>0</v>
      </c>
      <c r="L18" s="33">
        <v>0</v>
      </c>
      <c r="M18">
        <v>1</v>
      </c>
      <c r="N18">
        <v>0</v>
      </c>
      <c r="O18">
        <v>1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3</v>
      </c>
      <c r="AK18">
        <v>2</v>
      </c>
      <c r="AL18">
        <v>1</v>
      </c>
      <c r="AM18">
        <v>0</v>
      </c>
      <c r="AN18" s="23">
        <v>0</v>
      </c>
      <c r="AO18" s="23">
        <v>0</v>
      </c>
      <c r="AP18" s="23">
        <v>0</v>
      </c>
      <c r="AQ18" s="23" t="s">
        <v>54</v>
      </c>
      <c r="AR18" s="35">
        <v>0</v>
      </c>
      <c r="AS18" s="35">
        <v>0</v>
      </c>
      <c r="AT18" s="35">
        <v>1</v>
      </c>
      <c r="AU18" s="31" t="str">
        <f t="shared" si="2"/>
        <v>库存为1</v>
      </c>
      <c r="AV18" s="36" t="str">
        <f>IFERROR($A$2+AU18,"上周无销量")</f>
        <v>上周无销量</v>
      </c>
    </row>
    <row r="19" spans="1:48">
      <c r="A19" s="21" t="s">
        <v>80</v>
      </c>
      <c r="B19" t="s">
        <v>81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1</v>
      </c>
      <c r="AL19">
        <v>1</v>
      </c>
      <c r="AM19">
        <v>5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IFERROR($A$2+AU19,"上周无销量")</f>
        <v>上周无销量</v>
      </c>
    </row>
    <row r="20" spans="1:48">
      <c r="A20" s="21" t="s">
        <v>82</v>
      </c>
      <c r="B20" t="s">
        <v>83</v>
      </c>
      <c r="C20" t="s">
        <v>75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4</v>
      </c>
      <c r="J20" s="33">
        <v>0</v>
      </c>
      <c r="K20" s="33">
        <v>0</v>
      </c>
      <c r="L20" s="33">
        <v>0</v>
      </c>
      <c r="M20">
        <v>4</v>
      </c>
      <c r="N20">
        <v>0</v>
      </c>
      <c r="O20">
        <v>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2</v>
      </c>
      <c r="AK20">
        <v>1</v>
      </c>
      <c r="AL20">
        <v>2</v>
      </c>
      <c r="AM20">
        <v>3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4</v>
      </c>
      <c r="AU20" s="31" t="str">
        <f t="shared" si="2"/>
        <v>库存为4</v>
      </c>
      <c r="AV20" s="36" t="str">
        <f>IFERROR($A$2+AU20,"上周无销量")</f>
        <v>上周无销量</v>
      </c>
    </row>
    <row r="21" spans="1:48">
      <c r="A21" s="21" t="s">
        <v>84</v>
      </c>
      <c r="B21" t="s">
        <v>85</v>
      </c>
      <c r="C21" t="s">
        <v>86</v>
      </c>
      <c r="D21" s="31">
        <v>0</v>
      </c>
      <c r="E21" s="31">
        <v>3</v>
      </c>
      <c r="F21" s="31">
        <v>0</v>
      </c>
      <c r="G21" s="31">
        <v>0</v>
      </c>
      <c r="H21" s="32">
        <v>28.99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>
        <v>0</v>
      </c>
      <c r="Q21">
        <v>12225</v>
      </c>
      <c r="R21">
        <v>25304</v>
      </c>
      <c r="S21">
        <v>114557</v>
      </c>
      <c r="T21">
        <v>0</v>
      </c>
      <c r="U21">
        <v>44</v>
      </c>
      <c r="V21">
        <v>45</v>
      </c>
      <c r="W21">
        <v>95</v>
      </c>
      <c r="X21" s="23" t="s">
        <v>54</v>
      </c>
      <c r="Y21" s="23">
        <v>0.00359918200408998</v>
      </c>
      <c r="Z21" s="23">
        <v>0.00177837496048056</v>
      </c>
      <c r="AA21" s="23">
        <v>0.000829281493055859</v>
      </c>
      <c r="AB21">
        <v>0</v>
      </c>
      <c r="AC21">
        <v>13.86</v>
      </c>
      <c r="AD21">
        <v>14.99</v>
      </c>
      <c r="AE21">
        <v>31.96</v>
      </c>
      <c r="AF21" s="23" t="s">
        <v>54</v>
      </c>
      <c r="AG21" s="23">
        <v>0.159365298378751</v>
      </c>
      <c r="AH21" s="23">
        <v>0</v>
      </c>
      <c r="AI21" s="23">
        <v>0</v>
      </c>
      <c r="AJ21">
        <v>0</v>
      </c>
      <c r="AK21">
        <v>50</v>
      </c>
      <c r="AL21">
        <v>50</v>
      </c>
      <c r="AM21">
        <v>60</v>
      </c>
      <c r="AN21" s="23" t="s">
        <v>54</v>
      </c>
      <c r="AO21" s="23">
        <v>0.06</v>
      </c>
      <c r="AP21" s="23">
        <v>0</v>
      </c>
      <c r="AQ21" s="23">
        <v>0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IFERROR($A$2+AU21,"上周无销量")</f>
        <v>上周无销量</v>
      </c>
    </row>
    <row r="22" spans="1:48">
      <c r="A22" s="21" t="s">
        <v>87</v>
      </c>
      <c r="B22" t="s">
        <v>88</v>
      </c>
      <c r="C22" t="s">
        <v>86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2</v>
      </c>
      <c r="J22" s="33">
        <v>0</v>
      </c>
      <c r="K22" s="33">
        <v>0</v>
      </c>
      <c r="L22" s="33">
        <v>0</v>
      </c>
      <c r="M22">
        <v>2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5">
        <v>0</v>
      </c>
      <c r="AS22" s="35">
        <v>0</v>
      </c>
      <c r="AT22" s="35">
        <v>2</v>
      </c>
      <c r="AU22" s="31" t="str">
        <f t="shared" si="2"/>
        <v>库存为2</v>
      </c>
      <c r="AV22" s="36" t="str">
        <f>IFERROR($A$2+AU22,"上周无销量")</f>
        <v>上周无销量</v>
      </c>
    </row>
    <row r="23" spans="1:48">
      <c r="A23" s="21" t="s">
        <v>89</v>
      </c>
      <c r="B23" t="s">
        <v>90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IFERROR($A$2+AU23,"上周无销量")</f>
        <v>上周无销量</v>
      </c>
    </row>
    <row r="24" spans="1:48">
      <c r="A24" s="21" t="s">
        <v>92</v>
      </c>
      <c r="B24" t="s">
        <v>93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IFERROR($A$2+AU24,"上周无销量")</f>
        <v>上周无销量</v>
      </c>
    </row>
    <row r="25" spans="1:48">
      <c r="A25" s="21" t="s">
        <v>94</v>
      </c>
      <c r="B25" t="s">
        <v>95</v>
      </c>
      <c r="C25" t="s">
        <v>91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IFERROR($A$2+AU25,"上周无销量")</f>
        <v>上周无销量</v>
      </c>
    </row>
    <row r="26" spans="1:48">
      <c r="A26" s="21" t="s">
        <v>96</v>
      </c>
      <c r="B26" t="s">
        <v>88</v>
      </c>
      <c r="C26" t="s">
        <v>91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IFERROR($A$2+AU26,"上周无销量")</f>
        <v>上周无销量</v>
      </c>
    </row>
    <row r="27" spans="1:48">
      <c r="A27" s="21" t="s">
        <v>97</v>
      </c>
      <c r="B27" t="s">
        <v>98</v>
      </c>
      <c r="C27" t="s">
        <v>91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IFERROR($A$2+AU27,"上周无销量")</f>
        <v>上周无销量</v>
      </c>
    </row>
    <row r="28" spans="1:48">
      <c r="A28" s="21" t="s">
        <v>99</v>
      </c>
      <c r="B28" t="s">
        <v>100</v>
      </c>
      <c r="C28" t="s">
        <v>91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IFERROR($A$2+AU28,"上周无销量")</f>
        <v>上周无销量</v>
      </c>
    </row>
    <row r="29" spans="1:48">
      <c r="A29" s="21" t="s">
        <v>101</v>
      </c>
      <c r="B29" t="s">
        <v>102</v>
      </c>
      <c r="C29" t="s">
        <v>91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</v>
      </c>
      <c r="J29" s="33">
        <v>0</v>
      </c>
      <c r="K29" s="33">
        <v>0</v>
      </c>
      <c r="L29" s="33">
        <v>0</v>
      </c>
      <c r="M29">
        <v>1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6</v>
      </c>
      <c r="AK29">
        <v>10</v>
      </c>
      <c r="AL29">
        <v>6</v>
      </c>
      <c r="AM29">
        <v>5</v>
      </c>
      <c r="AN29" s="23">
        <v>0</v>
      </c>
      <c r="AO29" s="23">
        <v>0</v>
      </c>
      <c r="AP29" s="23">
        <v>0</v>
      </c>
      <c r="AQ29" s="23">
        <v>0</v>
      </c>
      <c r="AR29" s="35">
        <v>0</v>
      </c>
      <c r="AS29" s="35">
        <v>0</v>
      </c>
      <c r="AT29" s="35">
        <v>1</v>
      </c>
      <c r="AU29" s="31" t="str">
        <f t="shared" si="2"/>
        <v>库存为1</v>
      </c>
      <c r="AV29" s="36" t="str">
        <f>IFERROR($A$2+AU29,"上周无销量")</f>
        <v>上周无销量</v>
      </c>
    </row>
    <row r="30" spans="1:48">
      <c r="A30" s="21" t="s">
        <v>103</v>
      </c>
      <c r="B30" t="s">
        <v>104</v>
      </c>
      <c r="C30" t="s">
        <v>103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367</v>
      </c>
      <c r="Q30">
        <v>522</v>
      </c>
      <c r="R30">
        <v>789</v>
      </c>
      <c r="S30">
        <v>1453</v>
      </c>
      <c r="T30">
        <v>0</v>
      </c>
      <c r="U30">
        <v>4</v>
      </c>
      <c r="V30">
        <v>2</v>
      </c>
      <c r="W30">
        <v>4</v>
      </c>
      <c r="X30" s="23">
        <v>0</v>
      </c>
      <c r="Y30" s="23">
        <v>0.00766283524904215</v>
      </c>
      <c r="Z30" s="23">
        <v>0.00253485424588086</v>
      </c>
      <c r="AA30" s="23">
        <v>0.00275292498279422</v>
      </c>
      <c r="AB30">
        <v>0</v>
      </c>
      <c r="AC30">
        <v>1.24</v>
      </c>
      <c r="AD30">
        <v>0.6</v>
      </c>
      <c r="AE30">
        <v>1.2</v>
      </c>
      <c r="AF30" s="23" t="s">
        <v>54</v>
      </c>
      <c r="AG30" s="23">
        <v>0</v>
      </c>
      <c r="AH30" s="23">
        <v>0</v>
      </c>
      <c r="AI30" s="23">
        <v>0</v>
      </c>
      <c r="AJ30">
        <v>17</v>
      </c>
      <c r="AK30">
        <v>15</v>
      </c>
      <c r="AL30">
        <v>7</v>
      </c>
      <c r="AM30">
        <v>8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19</v>
      </c>
      <c r="AU30" s="31" t="str">
        <f t="shared" si="2"/>
        <v>库存为19</v>
      </c>
      <c r="AV30" s="36" t="str">
        <f>IFERROR($A$2+AU30,"上周无销量")</f>
        <v>上周无销量</v>
      </c>
    </row>
    <row r="31" spans="1:48">
      <c r="A31" s="21" t="s">
        <v>105</v>
      </c>
      <c r="B31" t="s">
        <v>106</v>
      </c>
      <c r="C31" t="s">
        <v>107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IFERROR($A$2+AU31,"上周无销量")</f>
        <v>上周无销量</v>
      </c>
    </row>
    <row r="32" spans="1:48">
      <c r="A32" s="21" t="s">
        <v>108</v>
      </c>
      <c r="B32" t="s">
        <v>109</v>
      </c>
      <c r="C32" t="s">
        <v>107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s">
        <v>54</v>
      </c>
      <c r="AO32" s="23" t="s">
        <v>54</v>
      </c>
      <c r="AP32" s="23" t="s">
        <v>54</v>
      </c>
      <c r="AQ32" s="23" t="s">
        <v>54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IFERROR($A$2+AU32,"上周无销量")</f>
        <v>上周无销量</v>
      </c>
    </row>
    <row r="33" spans="1:48">
      <c r="A33" s="21" t="s">
        <v>110</v>
      </c>
      <c r="B33" t="s">
        <v>111</v>
      </c>
      <c r="C33" t="s">
        <v>107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IFERROR($A$2+AU33,"上周无销量")</f>
        <v>上周无销量</v>
      </c>
    </row>
    <row r="34" spans="1:48">
      <c r="A34" s="21" t="s">
        <v>112</v>
      </c>
      <c r="B34" t="s">
        <v>113</v>
      </c>
      <c r="C34" t="s">
        <v>107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s">
        <v>54</v>
      </c>
      <c r="AO34" s="23" t="s">
        <v>54</v>
      </c>
      <c r="AP34" s="23" t="s">
        <v>54</v>
      </c>
      <c r="AQ34" s="23" t="s">
        <v>54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IFERROR($A$2+AU34,"上周无销量")</f>
        <v>上周无销量</v>
      </c>
    </row>
    <row r="35" spans="1:48">
      <c r="A35" s="21" t="s">
        <v>114</v>
      </c>
      <c r="B35" t="s">
        <v>115</v>
      </c>
      <c r="C35" t="s">
        <v>107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s">
        <v>54</v>
      </c>
      <c r="AO35" s="23" t="s">
        <v>54</v>
      </c>
      <c r="AP35" s="23" t="s">
        <v>54</v>
      </c>
      <c r="AQ35" s="23" t="s">
        <v>54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IFERROR($A$2+AU35,"上周无销量")</f>
        <v>上周无销量</v>
      </c>
    </row>
    <row r="36" spans="1:48">
      <c r="A36" s="21" t="s">
        <v>116</v>
      </c>
      <c r="B36" t="s">
        <v>117</v>
      </c>
      <c r="C36" t="s">
        <v>107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0</v>
      </c>
      <c r="K36" s="33">
        <v>0</v>
      </c>
      <c r="L36" s="33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s">
        <v>54</v>
      </c>
      <c r="AO36" s="23" t="s">
        <v>54</v>
      </c>
      <c r="AP36" s="23" t="s">
        <v>54</v>
      </c>
      <c r="AQ36" s="23" t="s">
        <v>54</v>
      </c>
      <c r="AR36" s="35">
        <v>0</v>
      </c>
      <c r="AS36" s="35">
        <v>0</v>
      </c>
      <c r="AT36" s="35">
        <v>0</v>
      </c>
      <c r="AU36" s="31" t="str">
        <f t="shared" si="2"/>
        <v>库存为0</v>
      </c>
      <c r="AV36" s="36" t="str">
        <f>IFERROR($A$2+AU36,"上周无销量")</f>
        <v>上周无销量</v>
      </c>
    </row>
    <row r="37" spans="1:48">
      <c r="A37" s="21" t="s">
        <v>118</v>
      </c>
      <c r="B37" t="s">
        <v>119</v>
      </c>
      <c r="C37" t="s">
        <v>107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5">
        <v>0</v>
      </c>
      <c r="AS37" s="35">
        <v>0</v>
      </c>
      <c r="AT37" s="35">
        <v>0</v>
      </c>
      <c r="AU37" s="31" t="str">
        <f t="shared" si="2"/>
        <v>库存为0</v>
      </c>
      <c r="AV37" s="36" t="str">
        <f>IFERROR($A$2+AU37,"上周无销量")</f>
        <v>上周无销量</v>
      </c>
    </row>
    <row r="38" spans="1:48">
      <c r="A38" s="21" t="s">
        <v>120</v>
      </c>
      <c r="B38" t="s">
        <v>121</v>
      </c>
      <c r="C38" t="s">
        <v>107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s">
        <v>54</v>
      </c>
      <c r="AO38" s="23" t="s">
        <v>54</v>
      </c>
      <c r="AP38" s="23" t="s">
        <v>54</v>
      </c>
      <c r="AQ38" s="23" t="s">
        <v>54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IFERROR($A$2+AU38,"上周无销量")</f>
        <v>上周无销量</v>
      </c>
    </row>
    <row r="39" spans="1:48">
      <c r="A39" s="21" t="s">
        <v>122</v>
      </c>
      <c r="B39" t="s">
        <v>123</v>
      </c>
      <c r="C39" t="s">
        <v>107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s">
        <v>54</v>
      </c>
      <c r="AO39" s="23" t="s">
        <v>54</v>
      </c>
      <c r="AP39" s="23" t="s">
        <v>54</v>
      </c>
      <c r="AQ39" s="23" t="s">
        <v>54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IFERROR($A$2+AU39,"上周无销量")</f>
        <v>上周无销量</v>
      </c>
    </row>
    <row r="40" spans="1:48">
      <c r="A40" s="21" t="s">
        <v>124</v>
      </c>
      <c r="B40" t="s">
        <v>125</v>
      </c>
      <c r="C40" t="s">
        <v>107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0</v>
      </c>
      <c r="AM40">
        <v>0</v>
      </c>
      <c r="AN40" s="23" t="s">
        <v>54</v>
      </c>
      <c r="AO40" s="23" t="s">
        <v>54</v>
      </c>
      <c r="AP40" s="23" t="s">
        <v>54</v>
      </c>
      <c r="AQ40" s="23" t="s">
        <v>54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IFERROR($A$2+AU40,"上周无销量")</f>
        <v>上周无销量</v>
      </c>
    </row>
    <row r="41" spans="1:48">
      <c r="A41" s="21" t="s">
        <v>126</v>
      </c>
      <c r="B41" t="s">
        <v>127</v>
      </c>
      <c r="C41" t="s">
        <v>107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0</v>
      </c>
      <c r="AL41">
        <v>0</v>
      </c>
      <c r="AM41">
        <v>0</v>
      </c>
      <c r="AN41" s="23" t="s">
        <v>54</v>
      </c>
      <c r="AO41" s="23" t="s">
        <v>54</v>
      </c>
      <c r="AP41" s="23" t="s">
        <v>54</v>
      </c>
      <c r="AQ41" s="23" t="s">
        <v>54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IFERROR($A$2+AU41,"上周无销量")</f>
        <v>上周无销量</v>
      </c>
    </row>
    <row r="42" spans="1:48">
      <c r="A42" s="21" t="s">
        <v>128</v>
      </c>
      <c r="B42" t="s">
        <v>129</v>
      </c>
      <c r="C42" t="s">
        <v>107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s">
        <v>54</v>
      </c>
      <c r="AO42" s="23" t="s">
        <v>54</v>
      </c>
      <c r="AP42" s="23" t="s">
        <v>54</v>
      </c>
      <c r="AQ42" s="23" t="s">
        <v>54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IFERROR($A$2+AU42,"上周无销量")</f>
        <v>上周无销量</v>
      </c>
    </row>
    <row r="43" spans="1:48">
      <c r="A43" s="21" t="s">
        <v>130</v>
      </c>
      <c r="B43" t="s">
        <v>131</v>
      </c>
      <c r="C43" t="s">
        <v>107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5">
        <v>0</v>
      </c>
      <c r="AS43" s="35">
        <v>0</v>
      </c>
      <c r="AT43" s="35">
        <v>0</v>
      </c>
      <c r="AU43" s="31" t="str">
        <f t="shared" si="2"/>
        <v>库存为0</v>
      </c>
      <c r="AV43" s="36" t="str">
        <f>IFERROR($A$2+AU43,"上周无销量")</f>
        <v>上周无销量</v>
      </c>
    </row>
    <row r="44" spans="1:48">
      <c r="A44" s="21" t="s">
        <v>132</v>
      </c>
      <c r="B44" t="s">
        <v>133</v>
      </c>
      <c r="C44" t="s">
        <v>107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IFERROR($A$2+AU44,"上周无销量")</f>
        <v>上周无销量</v>
      </c>
    </row>
    <row r="45" spans="1:48">
      <c r="A45" s="21" t="s">
        <v>134</v>
      </c>
      <c r="B45" t="s">
        <v>135</v>
      </c>
      <c r="C45" t="s">
        <v>107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0</v>
      </c>
      <c r="AN45" s="23" t="s">
        <v>54</v>
      </c>
      <c r="AO45" s="23" t="s">
        <v>54</v>
      </c>
      <c r="AP45" s="23" t="s">
        <v>54</v>
      </c>
      <c r="AQ45" s="23" t="s">
        <v>54</v>
      </c>
      <c r="AR45" s="35">
        <v>0</v>
      </c>
      <c r="AS45" s="35">
        <v>0</v>
      </c>
      <c r="AT45" s="35">
        <v>0</v>
      </c>
      <c r="AU45" s="31" t="str">
        <f t="shared" si="2"/>
        <v>库存为0</v>
      </c>
      <c r="AV45" s="36" t="str">
        <f>IFERROR($A$2+AU45,"上周无销量")</f>
        <v>上周无销量</v>
      </c>
    </row>
    <row r="46" spans="1:48">
      <c r="A46" s="21" t="s">
        <v>136</v>
      </c>
      <c r="B46" t="s">
        <v>137</v>
      </c>
      <c r="C46" t="s">
        <v>107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0</v>
      </c>
      <c r="AK46">
        <v>0</v>
      </c>
      <c r="AL46">
        <v>0</v>
      </c>
      <c r="AM46">
        <v>0</v>
      </c>
      <c r="AN46" s="23" t="s">
        <v>54</v>
      </c>
      <c r="AO46" s="23" t="s">
        <v>54</v>
      </c>
      <c r="AP46" s="23" t="s">
        <v>54</v>
      </c>
      <c r="AQ46" s="23" t="s">
        <v>54</v>
      </c>
      <c r="AR46" s="35">
        <v>0</v>
      </c>
      <c r="AS46" s="35">
        <v>0</v>
      </c>
      <c r="AT46" s="35">
        <v>0</v>
      </c>
      <c r="AU46" s="31" t="str">
        <f t="shared" si="2"/>
        <v>库存为0</v>
      </c>
      <c r="AV46" s="36" t="str">
        <f>IFERROR($A$2+AU46,"上周无销量")</f>
        <v>上周无销量</v>
      </c>
    </row>
    <row r="47" spans="1:48">
      <c r="A47" s="21" t="s">
        <v>138</v>
      </c>
      <c r="B47" t="s">
        <v>139</v>
      </c>
      <c r="C47" t="e">
        <v>#N/A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5">
        <v>0</v>
      </c>
      <c r="AS47" s="35">
        <v>0</v>
      </c>
      <c r="AT47" s="35">
        <v>0</v>
      </c>
      <c r="AU47" s="31" t="str">
        <f t="shared" si="2"/>
        <v>库存为0</v>
      </c>
      <c r="AV47" s="36" t="str">
        <f>IFERROR($A$2+AU47,"上周无销量")</f>
        <v>上周无销量</v>
      </c>
    </row>
    <row r="48" spans="1:48">
      <c r="A48" s="21" t="s">
        <v>140</v>
      </c>
      <c r="B48" t="s">
        <v>141</v>
      </c>
      <c r="C48" t="e">
        <v>#N/A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0</v>
      </c>
      <c r="AM48">
        <v>0</v>
      </c>
      <c r="AN48" s="23" t="s">
        <v>54</v>
      </c>
      <c r="AO48" s="23" t="s">
        <v>54</v>
      </c>
      <c r="AP48" s="23" t="s">
        <v>54</v>
      </c>
      <c r="AQ48" s="23" t="s">
        <v>54</v>
      </c>
      <c r="AR48" s="35">
        <v>0</v>
      </c>
      <c r="AS48" s="35">
        <v>0</v>
      </c>
      <c r="AT48" s="35">
        <v>0</v>
      </c>
      <c r="AU48" s="31" t="str">
        <f t="shared" si="2"/>
        <v>库存为0</v>
      </c>
      <c r="AV48" s="36" t="str">
        <f>IFERROR($A$2+AU48,"上周无销量")</f>
        <v>上周无销量</v>
      </c>
    </row>
    <row r="49" spans="1:48">
      <c r="A49" s="21" t="s">
        <v>142</v>
      </c>
      <c r="B49" t="s">
        <v>143</v>
      </c>
      <c r="C49" t="e">
        <v>#N/A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0</v>
      </c>
      <c r="AM49">
        <v>0</v>
      </c>
      <c r="AN49" s="23" t="s">
        <v>54</v>
      </c>
      <c r="AO49" s="23" t="s">
        <v>54</v>
      </c>
      <c r="AP49" s="23" t="s">
        <v>54</v>
      </c>
      <c r="AQ49" s="23" t="s">
        <v>54</v>
      </c>
      <c r="AR49" s="35">
        <v>0</v>
      </c>
      <c r="AS49" s="35">
        <v>0</v>
      </c>
      <c r="AT49" s="35">
        <v>0</v>
      </c>
      <c r="AU49" s="31" t="str">
        <f t="shared" si="2"/>
        <v>库存为0</v>
      </c>
      <c r="AV49" s="36" t="str">
        <f>IFERROR($A$2+AU49,"上周无销量")</f>
        <v>上周无销量</v>
      </c>
    </row>
    <row r="50" spans="1:48">
      <c r="A50" s="21" t="s">
        <v>144</v>
      </c>
      <c r="B50" t="s">
        <v>145</v>
      </c>
      <c r="C50" t="e">
        <v>#N/A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0</v>
      </c>
      <c r="AL50">
        <v>0</v>
      </c>
      <c r="AM50">
        <v>0</v>
      </c>
      <c r="AN50" s="23" t="s">
        <v>54</v>
      </c>
      <c r="AO50" s="23" t="s">
        <v>54</v>
      </c>
      <c r="AP50" s="23" t="s">
        <v>54</v>
      </c>
      <c r="AQ50" s="23" t="s">
        <v>54</v>
      </c>
      <c r="AR50" s="35">
        <v>0</v>
      </c>
      <c r="AS50" s="35">
        <v>0</v>
      </c>
      <c r="AT50" s="35">
        <v>0</v>
      </c>
      <c r="AU50" s="31" t="str">
        <f t="shared" si="2"/>
        <v>库存为0</v>
      </c>
      <c r="AV50" s="36" t="str">
        <f>IFERROR($A$2+AU50,"上周无销量")</f>
        <v>上周无销量</v>
      </c>
    </row>
    <row r="51" spans="1:48">
      <c r="A51" s="21" t="s">
        <v>146</v>
      </c>
      <c r="B51" t="s">
        <v>147</v>
      </c>
      <c r="C51" t="e">
        <v>#N/A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0</v>
      </c>
      <c r="AN51" s="23" t="s">
        <v>54</v>
      </c>
      <c r="AO51" s="23" t="s">
        <v>54</v>
      </c>
      <c r="AP51" s="23" t="s">
        <v>54</v>
      </c>
      <c r="AQ51" s="23" t="s">
        <v>54</v>
      </c>
      <c r="AR51" s="35">
        <v>0</v>
      </c>
      <c r="AS51" s="35">
        <v>0</v>
      </c>
      <c r="AT51" s="35">
        <v>0</v>
      </c>
      <c r="AU51" s="31" t="str">
        <f t="shared" si="2"/>
        <v>库存为0</v>
      </c>
      <c r="AV51" s="36" t="str">
        <f>IFERROR($A$2+AU51,"上周无销量")</f>
        <v>上周无销量</v>
      </c>
    </row>
    <row r="52" spans="1:48">
      <c r="A52" s="21" t="s">
        <v>148</v>
      </c>
      <c r="B52" t="s">
        <v>149</v>
      </c>
      <c r="C52" t="e">
        <v>#N/A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0</v>
      </c>
      <c r="AK52">
        <v>0</v>
      </c>
      <c r="AL52">
        <v>0</v>
      </c>
      <c r="AM52">
        <v>0</v>
      </c>
      <c r="AN52" s="23" t="s">
        <v>54</v>
      </c>
      <c r="AO52" s="23" t="s">
        <v>54</v>
      </c>
      <c r="AP52" s="23" t="s">
        <v>54</v>
      </c>
      <c r="AQ52" s="23" t="s">
        <v>54</v>
      </c>
      <c r="AR52" s="35">
        <v>0</v>
      </c>
      <c r="AS52" s="35">
        <v>0</v>
      </c>
      <c r="AT52" s="35">
        <v>0</v>
      </c>
      <c r="AU52" s="31" t="str">
        <f t="shared" si="2"/>
        <v>库存为0</v>
      </c>
      <c r="AV52" s="36" t="str">
        <f>IFERROR($A$2+AU52,"上周无销量")</f>
        <v>上周无销量</v>
      </c>
    </row>
    <row r="53" spans="1:48">
      <c r="A53" s="21" t="s">
        <v>150</v>
      </c>
      <c r="B53" t="s">
        <v>151</v>
      </c>
      <c r="C53" t="e">
        <v>#N/A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IFERROR($A$2+AU53,"上周无销量")</f>
        <v>上周无销量</v>
      </c>
    </row>
    <row r="54" spans="1:48">
      <c r="A54" s="21" t="s">
        <v>152</v>
      </c>
      <c r="B54" t="s">
        <v>153</v>
      </c>
      <c r="C54" t="e">
        <v>#N/A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IFERROR($A$2+AU54,"上周无销量")</f>
        <v>上周无销量</v>
      </c>
    </row>
    <row r="55" spans="1:48">
      <c r="A55" s="21" t="s">
        <v>154</v>
      </c>
      <c r="B55" t="s">
        <v>155</v>
      </c>
      <c r="C55" t="e">
        <v>#N/A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IFERROR($A$2+AU55,"上周无销量")</f>
        <v>上周无销量</v>
      </c>
    </row>
    <row r="56" spans="1:48">
      <c r="A56" s="21" t="s">
        <v>156</v>
      </c>
      <c r="B56" t="s">
        <v>157</v>
      </c>
      <c r="C56" t="e">
        <v>#N/A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IFERROR($A$2+AU56,"上周无销量")</f>
        <v>上周无销量</v>
      </c>
    </row>
    <row r="57" spans="1:48">
      <c r="A57" s="21" t="s">
        <v>158</v>
      </c>
      <c r="B57" t="s">
        <v>159</v>
      </c>
      <c r="C57" t="e">
        <v>#N/A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IFERROR($A$2+AU57,"上周无销量")</f>
        <v>上周无销量</v>
      </c>
    </row>
    <row r="58" spans="1:48">
      <c r="A58" s="21" t="s">
        <v>160</v>
      </c>
      <c r="B58" t="s">
        <v>161</v>
      </c>
      <c r="C58" t="e">
        <v>#N/A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IFERROR($A$2+AU58,"上周无销量")</f>
        <v>上周无销量</v>
      </c>
    </row>
    <row r="59" spans="1:48">
      <c r="A59" s="21" t="s">
        <v>162</v>
      </c>
      <c r="B59" t="s">
        <v>163</v>
      </c>
      <c r="C59" t="e">
        <v>#N/A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s">
        <v>54</v>
      </c>
      <c r="AO59" s="23" t="s">
        <v>54</v>
      </c>
      <c r="AP59" s="23" t="s">
        <v>54</v>
      </c>
      <c r="AQ59" s="23" t="s">
        <v>54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IFERROR($A$2+AU59,"上周无销量")</f>
        <v>上周无销量</v>
      </c>
    </row>
    <row r="60" spans="1:48">
      <c r="A60" s="21" t="s">
        <v>164</v>
      </c>
      <c r="B60" t="s">
        <v>165</v>
      </c>
      <c r="C60" t="e">
        <v>#N/A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0</v>
      </c>
      <c r="AN60" s="23" t="s">
        <v>54</v>
      </c>
      <c r="AO60" s="23" t="s">
        <v>54</v>
      </c>
      <c r="AP60" s="23" t="s">
        <v>54</v>
      </c>
      <c r="AQ60" s="23" t="s">
        <v>54</v>
      </c>
      <c r="AR60" s="35">
        <v>0</v>
      </c>
      <c r="AS60" s="35">
        <v>0</v>
      </c>
      <c r="AT60" s="35">
        <v>0</v>
      </c>
      <c r="AU60" s="31" t="str">
        <f t="shared" si="2"/>
        <v>库存为0</v>
      </c>
      <c r="AV60" s="36" t="str">
        <f>IFERROR($A$2+AU60,"上周无销量")</f>
        <v>上周无销量</v>
      </c>
    </row>
    <row r="61" spans="1:48">
      <c r="A61" s="21" t="s">
        <v>166</v>
      </c>
      <c r="B61" t="s">
        <v>167</v>
      </c>
      <c r="C61" t="e">
        <v>#N/A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0</v>
      </c>
      <c r="AK61">
        <v>0</v>
      </c>
      <c r="AL61">
        <v>0</v>
      </c>
      <c r="AM61">
        <v>0</v>
      </c>
      <c r="AN61" s="23" t="s">
        <v>54</v>
      </c>
      <c r="AO61" s="23" t="s">
        <v>54</v>
      </c>
      <c r="AP61" s="23" t="s">
        <v>54</v>
      </c>
      <c r="AQ61" s="23" t="s">
        <v>54</v>
      </c>
      <c r="AR61" s="35">
        <v>0</v>
      </c>
      <c r="AS61" s="35">
        <v>0</v>
      </c>
      <c r="AT61" s="35">
        <v>0</v>
      </c>
      <c r="AU61" s="31" t="str">
        <f t="shared" si="2"/>
        <v>库存为0</v>
      </c>
      <c r="AV61" s="36" t="str">
        <f>IFERROR($A$2+AU61,"上周无销量")</f>
        <v>上周无销量</v>
      </c>
    </row>
    <row r="62" spans="1:48">
      <c r="A62" s="21" t="s">
        <v>168</v>
      </c>
      <c r="B62" t="s">
        <v>169</v>
      </c>
      <c r="C62" t="e">
        <v>#N/A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s">
        <v>54</v>
      </c>
      <c r="AO62" s="23" t="s">
        <v>54</v>
      </c>
      <c r="AP62" s="23" t="s">
        <v>54</v>
      </c>
      <c r="AQ62" s="23" t="s">
        <v>54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IFERROR($A$2+AU62,"上周无销量")</f>
        <v>上周无销量</v>
      </c>
    </row>
    <row r="63" spans="1:48">
      <c r="A63" s="21" t="s">
        <v>170</v>
      </c>
      <c r="B63" t="s">
        <v>171</v>
      </c>
      <c r="C63" t="s">
        <v>172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s">
        <v>54</v>
      </c>
      <c r="AO63" s="23" t="s">
        <v>54</v>
      </c>
      <c r="AP63" s="23" t="s">
        <v>54</v>
      </c>
      <c r="AQ63" s="23" t="s">
        <v>54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IFERROR($A$2+AU63,"上周无销量")</f>
        <v>上周无销量</v>
      </c>
    </row>
    <row r="64" spans="1:48">
      <c r="A64" s="21" t="s">
        <v>173</v>
      </c>
      <c r="B64" t="s">
        <v>174</v>
      </c>
      <c r="C64" t="s">
        <v>172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s">
        <v>54</v>
      </c>
      <c r="AO64" s="23" t="s">
        <v>54</v>
      </c>
      <c r="AP64" s="23" t="s">
        <v>54</v>
      </c>
      <c r="AQ64" s="23" t="s">
        <v>54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IFERROR($A$2+AU64,"上周无销量")</f>
        <v>上周无销量</v>
      </c>
    </row>
    <row r="65" spans="1:48">
      <c r="A65" s="21" t="s">
        <v>175</v>
      </c>
      <c r="B65" t="s">
        <v>176</v>
      </c>
      <c r="C65" t="s">
        <v>172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s">
        <v>54</v>
      </c>
      <c r="AO65" s="23" t="s">
        <v>54</v>
      </c>
      <c r="AP65" s="23" t="s">
        <v>54</v>
      </c>
      <c r="AQ65" s="23" t="s">
        <v>54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IFERROR($A$2+AU65,"上周无销量")</f>
        <v>上周无销量</v>
      </c>
    </row>
    <row r="66" spans="1:48">
      <c r="A66" s="21" t="s">
        <v>177</v>
      </c>
      <c r="B66" t="s">
        <v>178</v>
      </c>
      <c r="C66" t="s">
        <v>172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0</v>
      </c>
      <c r="AL66">
        <v>0</v>
      </c>
      <c r="AM66">
        <v>0</v>
      </c>
      <c r="AN66" s="23" t="s">
        <v>54</v>
      </c>
      <c r="AO66" s="23" t="s">
        <v>54</v>
      </c>
      <c r="AP66" s="23" t="s">
        <v>54</v>
      </c>
      <c r="AQ66" s="23" t="s">
        <v>54</v>
      </c>
      <c r="AR66" s="35">
        <v>0</v>
      </c>
      <c r="AS66" s="35">
        <v>0</v>
      </c>
      <c r="AT66" s="35">
        <v>0</v>
      </c>
      <c r="AU66" s="31" t="str">
        <f t="shared" si="2"/>
        <v>库存为0</v>
      </c>
      <c r="AV66" s="36" t="str">
        <f>IFERROR($A$2+AU66,"上周无销量")</f>
        <v>上周无销量</v>
      </c>
    </row>
    <row r="67" spans="1:48">
      <c r="A67" s="21" t="s">
        <v>179</v>
      </c>
      <c r="B67" t="s">
        <v>180</v>
      </c>
      <c r="C67" t="s">
        <v>172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IFERROR($A$2+AU67,"上周无销量")</f>
        <v>上周无销量</v>
      </c>
    </row>
    <row r="68" spans="1:48">
      <c r="A68" s="21" t="s">
        <v>181</v>
      </c>
      <c r="B68" t="s">
        <v>182</v>
      </c>
      <c r="C68" t="s">
        <v>172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5">
        <v>0</v>
      </c>
      <c r="AS68" s="35">
        <v>0</v>
      </c>
      <c r="AT68" s="35">
        <v>0</v>
      </c>
      <c r="AU68" s="31" t="str">
        <f t="shared" si="2"/>
        <v>库存为0</v>
      </c>
      <c r="AV68" s="36" t="str">
        <f>IFERROR($A$2+AU68,"上周无销量")</f>
        <v>上周无销量</v>
      </c>
    </row>
    <row r="69" spans="1:48">
      <c r="A69" s="21" t="s">
        <v>183</v>
      </c>
      <c r="B69" t="s">
        <v>184</v>
      </c>
      <c r="C69" t="s">
        <v>172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0</v>
      </c>
      <c r="AL69">
        <v>0</v>
      </c>
      <c r="AM69">
        <v>0</v>
      </c>
      <c r="AN69" s="23" t="s">
        <v>54</v>
      </c>
      <c r="AO69" s="23" t="s">
        <v>54</v>
      </c>
      <c r="AP69" s="23" t="s">
        <v>54</v>
      </c>
      <c r="AQ69" s="23" t="s">
        <v>54</v>
      </c>
      <c r="AR69" s="35">
        <v>0</v>
      </c>
      <c r="AS69" s="35">
        <v>0</v>
      </c>
      <c r="AT69" s="35">
        <v>0</v>
      </c>
      <c r="AU69" s="31" t="str">
        <f t="shared" ref="AU69:AU132" si="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185</v>
      </c>
      <c r="B70" t="s">
        <v>186</v>
      </c>
      <c r="C70" t="s">
        <v>172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5">
        <v>0</v>
      </c>
      <c r="AS70" s="35">
        <v>0</v>
      </c>
      <c r="AT70" s="35">
        <v>0</v>
      </c>
      <c r="AU70" s="31" t="str">
        <f t="shared" si="4"/>
        <v>库存为0</v>
      </c>
      <c r="AV70" s="36" t="str">
        <f>IFERROR($A$2+AU70,"上周无销量")</f>
        <v>上周无销量</v>
      </c>
    </row>
    <row r="71" spans="1:48">
      <c r="A71" s="21" t="s">
        <v>187</v>
      </c>
      <c r="B71" t="s">
        <v>188</v>
      </c>
      <c r="C71" t="s">
        <v>172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0</v>
      </c>
      <c r="J71" s="33">
        <v>0</v>
      </c>
      <c r="K71" s="33">
        <v>0</v>
      </c>
      <c r="L71" s="33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0</v>
      </c>
      <c r="AM71">
        <v>0</v>
      </c>
      <c r="AN71" s="23" t="s">
        <v>54</v>
      </c>
      <c r="AO71" s="23" t="s">
        <v>54</v>
      </c>
      <c r="AP71" s="23" t="s">
        <v>54</v>
      </c>
      <c r="AQ71" s="23" t="s">
        <v>54</v>
      </c>
      <c r="AR71" s="35">
        <v>0</v>
      </c>
      <c r="AS71" s="35">
        <v>0</v>
      </c>
      <c r="AT71" s="35">
        <v>0</v>
      </c>
      <c r="AU71" s="31" t="str">
        <f t="shared" si="4"/>
        <v>库存为0</v>
      </c>
      <c r="AV71" s="36" t="str">
        <f>IFERROR($A$2+AU71,"上周无销量")</f>
        <v>上周无销量</v>
      </c>
    </row>
    <row r="72" spans="1:48">
      <c r="A72" s="21" t="s">
        <v>189</v>
      </c>
      <c r="B72" t="s">
        <v>190</v>
      </c>
      <c r="C72" t="s">
        <v>172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0</v>
      </c>
      <c r="AN72" s="23" t="s">
        <v>54</v>
      </c>
      <c r="AO72" s="23" t="s">
        <v>54</v>
      </c>
      <c r="AP72" s="23" t="s">
        <v>54</v>
      </c>
      <c r="AQ72" s="23" t="s">
        <v>54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IFERROR($A$2+AU72,"上周无销量")</f>
        <v>上周无销量</v>
      </c>
    </row>
    <row r="73" spans="1:48">
      <c r="A73" s="21" t="s">
        <v>191</v>
      </c>
      <c r="B73" t="s">
        <v>192</v>
      </c>
      <c r="C73" t="s">
        <v>172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0</v>
      </c>
      <c r="AK73">
        <v>0</v>
      </c>
      <c r="AL73">
        <v>0</v>
      </c>
      <c r="AM73">
        <v>0</v>
      </c>
      <c r="AN73" s="23" t="s">
        <v>54</v>
      </c>
      <c r="AO73" s="23" t="s">
        <v>54</v>
      </c>
      <c r="AP73" s="23" t="s">
        <v>54</v>
      </c>
      <c r="AQ73" s="23" t="s">
        <v>54</v>
      </c>
      <c r="AR73" s="35">
        <v>0</v>
      </c>
      <c r="AS73" s="35">
        <v>0</v>
      </c>
      <c r="AT73" s="35">
        <v>0</v>
      </c>
      <c r="AU73" s="31" t="str">
        <f t="shared" si="4"/>
        <v>库存为0</v>
      </c>
      <c r="AV73" s="36" t="str">
        <f>IFERROR($A$2+AU73,"上周无销量")</f>
        <v>上周无销量</v>
      </c>
    </row>
    <row r="74" spans="1:48">
      <c r="A74" s="21" t="s">
        <v>193</v>
      </c>
      <c r="B74" t="s">
        <v>194</v>
      </c>
      <c r="C74" t="s">
        <v>172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0</v>
      </c>
      <c r="AK74">
        <v>0</v>
      </c>
      <c r="AL74">
        <v>0</v>
      </c>
      <c r="AM74">
        <v>0</v>
      </c>
      <c r="AN74" s="23" t="s">
        <v>54</v>
      </c>
      <c r="AO74" s="23" t="s">
        <v>54</v>
      </c>
      <c r="AP74" s="23" t="s">
        <v>54</v>
      </c>
      <c r="AQ74" s="23" t="s">
        <v>54</v>
      </c>
      <c r="AR74" s="35">
        <v>0</v>
      </c>
      <c r="AS74" s="35">
        <v>0</v>
      </c>
      <c r="AT74" s="35">
        <v>0</v>
      </c>
      <c r="AU74" s="31" t="str">
        <f t="shared" si="4"/>
        <v>库存为0</v>
      </c>
      <c r="AV74" s="36" t="str">
        <f>IFERROR($A$2+AU74,"上周无销量")</f>
        <v>上周无销量</v>
      </c>
    </row>
    <row r="75" spans="1:48">
      <c r="A75" s="21" t="s">
        <v>195</v>
      </c>
      <c r="B75" t="s">
        <v>196</v>
      </c>
      <c r="C75" t="s">
        <v>172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s">
        <v>54</v>
      </c>
      <c r="AO75" s="23" t="s">
        <v>54</v>
      </c>
      <c r="AP75" s="23" t="s">
        <v>54</v>
      </c>
      <c r="AQ75" s="23" t="s">
        <v>54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IFERROR($A$2+AU75,"上周无销量")</f>
        <v>上周无销量</v>
      </c>
    </row>
    <row r="76" spans="1:48">
      <c r="A76" s="21" t="s">
        <v>197</v>
      </c>
      <c r="B76" t="s">
        <v>198</v>
      </c>
      <c r="C76" t="s">
        <v>172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0</v>
      </c>
      <c r="AL76">
        <v>0</v>
      </c>
      <c r="AM76">
        <v>0</v>
      </c>
      <c r="AN76" s="23" t="s">
        <v>54</v>
      </c>
      <c r="AO76" s="23" t="s">
        <v>54</v>
      </c>
      <c r="AP76" s="23" t="s">
        <v>54</v>
      </c>
      <c r="AQ76" s="23" t="s">
        <v>54</v>
      </c>
      <c r="AR76" s="35">
        <v>0</v>
      </c>
      <c r="AS76" s="35">
        <v>0</v>
      </c>
      <c r="AT76" s="35">
        <v>0</v>
      </c>
      <c r="AU76" s="31" t="str">
        <f t="shared" si="4"/>
        <v>库存为0</v>
      </c>
      <c r="AV76" s="36" t="str">
        <f>IFERROR($A$2+AU76,"上周无销量")</f>
        <v>上周无销量</v>
      </c>
    </row>
    <row r="77" spans="1:48">
      <c r="A77" s="21" t="s">
        <v>199</v>
      </c>
      <c r="B77" t="s">
        <v>200</v>
      </c>
      <c r="C77" t="s">
        <v>172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0</v>
      </c>
      <c r="AM77">
        <v>0</v>
      </c>
      <c r="AN77" s="23" t="s">
        <v>54</v>
      </c>
      <c r="AO77" s="23" t="s">
        <v>54</v>
      </c>
      <c r="AP77" s="23" t="s">
        <v>54</v>
      </c>
      <c r="AQ77" s="23" t="s">
        <v>54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IFERROR($A$2+AU77,"上周无销量")</f>
        <v>上周无销量</v>
      </c>
    </row>
    <row r="78" spans="1:48">
      <c r="A78" s="21" t="s">
        <v>201</v>
      </c>
      <c r="B78" t="s">
        <v>202</v>
      </c>
      <c r="C78" t="s">
        <v>172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0</v>
      </c>
      <c r="AL78">
        <v>0</v>
      </c>
      <c r="AM78">
        <v>0</v>
      </c>
      <c r="AN78" s="23" t="s">
        <v>54</v>
      </c>
      <c r="AO78" s="23" t="s">
        <v>54</v>
      </c>
      <c r="AP78" s="23" t="s">
        <v>54</v>
      </c>
      <c r="AQ78" s="23" t="s">
        <v>54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IFERROR($A$2+AU78,"上周无销量")</f>
        <v>上周无销量</v>
      </c>
    </row>
    <row r="79" spans="1:48">
      <c r="A79" s="21" t="s">
        <v>203</v>
      </c>
      <c r="B79" t="s">
        <v>204</v>
      </c>
      <c r="C79" t="s">
        <v>172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s">
        <v>54</v>
      </c>
      <c r="AO79" s="23" t="s">
        <v>54</v>
      </c>
      <c r="AP79" s="23" t="s">
        <v>54</v>
      </c>
      <c r="AQ79" s="23" t="s">
        <v>54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IFERROR($A$2+AU79,"上周无销量")</f>
        <v>上周无销量</v>
      </c>
    </row>
    <row r="80" spans="1:48">
      <c r="A80" s="21" t="s">
        <v>205</v>
      </c>
      <c r="B80" t="s">
        <v>206</v>
      </c>
      <c r="C80" t="s">
        <v>172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0</v>
      </c>
      <c r="AM80">
        <v>0</v>
      </c>
      <c r="AN80" s="23" t="s">
        <v>54</v>
      </c>
      <c r="AO80" s="23" t="s">
        <v>54</v>
      </c>
      <c r="AP80" s="23" t="s">
        <v>54</v>
      </c>
      <c r="AQ80" s="23" t="s">
        <v>54</v>
      </c>
      <c r="AR80" s="35">
        <v>0</v>
      </c>
      <c r="AS80" s="35">
        <v>0</v>
      </c>
      <c r="AT80" s="35">
        <v>0</v>
      </c>
      <c r="AU80" s="31" t="str">
        <f t="shared" si="4"/>
        <v>库存为0</v>
      </c>
      <c r="AV80" s="36" t="str">
        <f>IFERROR($A$2+AU80,"上周无销量")</f>
        <v>上周无销量</v>
      </c>
    </row>
    <row r="81" spans="1:48">
      <c r="A81" s="21" t="s">
        <v>207</v>
      </c>
      <c r="B81" t="s">
        <v>208</v>
      </c>
      <c r="C81" t="s">
        <v>172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s">
        <v>54</v>
      </c>
      <c r="AO81" s="23" t="s">
        <v>54</v>
      </c>
      <c r="AP81" s="23" t="s">
        <v>54</v>
      </c>
      <c r="AQ81" s="23" t="s">
        <v>54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IFERROR($A$2+AU81,"上周无销量")</f>
        <v>上周无销量</v>
      </c>
    </row>
    <row r="82" spans="1:48">
      <c r="A82" s="21" t="s">
        <v>209</v>
      </c>
      <c r="B82" t="s">
        <v>210</v>
      </c>
      <c r="C82" t="s">
        <v>172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s">
        <v>54</v>
      </c>
      <c r="AO82" s="23" t="s">
        <v>54</v>
      </c>
      <c r="AP82" s="23" t="s">
        <v>54</v>
      </c>
      <c r="AQ82" s="23" t="s">
        <v>54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IFERROR($A$2+AU82,"上周无销量")</f>
        <v>上周无销量</v>
      </c>
    </row>
    <row r="83" spans="1:48">
      <c r="A83" s="21" t="s">
        <v>211</v>
      </c>
      <c r="B83" t="s">
        <v>212</v>
      </c>
      <c r="C83" t="s">
        <v>172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s">
        <v>54</v>
      </c>
      <c r="AO83" s="23" t="s">
        <v>54</v>
      </c>
      <c r="AP83" s="23" t="s">
        <v>54</v>
      </c>
      <c r="AQ83" s="23" t="s">
        <v>54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IFERROR($A$2+AU83,"上周无销量")</f>
        <v>上周无销量</v>
      </c>
    </row>
    <row r="84" spans="1:48">
      <c r="A84" s="21" t="s">
        <v>213</v>
      </c>
      <c r="B84" t="s">
        <v>214</v>
      </c>
      <c r="C84" t="s">
        <v>172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s">
        <v>54</v>
      </c>
      <c r="AO84" s="23" t="s">
        <v>54</v>
      </c>
      <c r="AP84" s="23" t="s">
        <v>54</v>
      </c>
      <c r="AQ84" s="23" t="s">
        <v>54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IFERROR($A$2+AU84,"上周无销量")</f>
        <v>上周无销量</v>
      </c>
    </row>
    <row r="85" spans="1:48">
      <c r="A85" s="21" t="s">
        <v>215</v>
      </c>
      <c r="B85" t="s">
        <v>216</v>
      </c>
      <c r="C85" t="s">
        <v>172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s">
        <v>54</v>
      </c>
      <c r="AO85" s="23" t="s">
        <v>54</v>
      </c>
      <c r="AP85" s="23" t="s">
        <v>54</v>
      </c>
      <c r="AQ85" s="23" t="s">
        <v>54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IFERROR($A$2+AU85,"上周无销量")</f>
        <v>上周无销量</v>
      </c>
    </row>
    <row r="86" spans="1:48">
      <c r="A86" s="21" t="s">
        <v>217</v>
      </c>
      <c r="B86" t="s">
        <v>218</v>
      </c>
      <c r="C86" t="s">
        <v>172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IFERROR($A$2+AU86,"上周无销量")</f>
        <v>上周无销量</v>
      </c>
    </row>
    <row r="87" spans="1:48">
      <c r="A87" s="21" t="s">
        <v>219</v>
      </c>
      <c r="B87" t="s">
        <v>220</v>
      </c>
      <c r="C87" t="s">
        <v>172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0</v>
      </c>
      <c r="AK87">
        <v>0</v>
      </c>
      <c r="AL87">
        <v>0</v>
      </c>
      <c r="AM87">
        <v>0</v>
      </c>
      <c r="AN87" s="23" t="s">
        <v>54</v>
      </c>
      <c r="AO87" s="23" t="s">
        <v>54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0</v>
      </c>
      <c r="AU87" s="31" t="str">
        <f t="shared" si="4"/>
        <v>库存为0</v>
      </c>
      <c r="AV87" s="36" t="str">
        <f>IFERROR($A$2+AU87,"上周无销量")</f>
        <v>上周无销量</v>
      </c>
    </row>
    <row r="88" spans="1:48">
      <c r="A88" s="21" t="s">
        <v>221</v>
      </c>
      <c r="B88" t="s">
        <v>222</v>
      </c>
      <c r="C88" t="s">
        <v>172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0</v>
      </c>
      <c r="AU88" s="31" t="str">
        <f t="shared" si="4"/>
        <v>库存为0</v>
      </c>
      <c r="AV88" s="36" t="str">
        <f>IFERROR($A$2+AU88,"上周无销量")</f>
        <v>上周无销量</v>
      </c>
    </row>
    <row r="89" spans="1:48">
      <c r="A89" s="21" t="s">
        <v>223</v>
      </c>
      <c r="B89" t="s">
        <v>224</v>
      </c>
      <c r="C89" t="s">
        <v>172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0</v>
      </c>
      <c r="AL89">
        <v>0</v>
      </c>
      <c r="AM89">
        <v>0</v>
      </c>
      <c r="AN89" s="23" t="s">
        <v>54</v>
      </c>
      <c r="AO89" s="23" t="s">
        <v>54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0</v>
      </c>
      <c r="AU89" s="31" t="str">
        <f t="shared" si="4"/>
        <v>库存为0</v>
      </c>
      <c r="AV89" s="36" t="str">
        <f>IFERROR($A$2+AU89,"上周无销量")</f>
        <v>上周无销量</v>
      </c>
    </row>
    <row r="90" spans="1:48">
      <c r="A90" s="21" t="s">
        <v>225</v>
      </c>
      <c r="B90" t="s">
        <v>226</v>
      </c>
      <c r="C90" t="s">
        <v>172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4"/>
        <v>库存为0</v>
      </c>
      <c r="AV90" s="36" t="str">
        <f>IFERROR($A$2+AU90,"上周无销量")</f>
        <v>上周无销量</v>
      </c>
    </row>
    <row r="91" spans="1:48">
      <c r="A91" s="21" t="s">
        <v>227</v>
      </c>
      <c r="B91" t="s">
        <v>228</v>
      </c>
      <c r="C91" t="s">
        <v>172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0</v>
      </c>
      <c r="AU91" s="31" t="str">
        <f t="shared" si="4"/>
        <v>库存为0</v>
      </c>
      <c r="AV91" s="36" t="str">
        <f>IFERROR($A$2+AU91,"上周无销量")</f>
        <v>上周无销量</v>
      </c>
    </row>
    <row r="92" spans="1:48">
      <c r="A92" s="21" t="s">
        <v>229</v>
      </c>
      <c r="B92" t="s">
        <v>230</v>
      </c>
      <c r="C92" t="s">
        <v>172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4"/>
        <v>库存为0</v>
      </c>
      <c r="AV92" s="36" t="str">
        <f>IFERROR($A$2+AU92,"上周无销量")</f>
        <v>上周无销量</v>
      </c>
    </row>
    <row r="93" spans="1:48">
      <c r="A93" s="21" t="s">
        <v>231</v>
      </c>
      <c r="B93" t="s">
        <v>232</v>
      </c>
      <c r="C93" t="s">
        <v>172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0</v>
      </c>
      <c r="AU93" s="31" t="str">
        <f t="shared" si="4"/>
        <v>库存为0</v>
      </c>
      <c r="AV93" s="36" t="str">
        <f>IFERROR($A$2+AU93,"上周无销量")</f>
        <v>上周无销量</v>
      </c>
    </row>
    <row r="94" spans="1:48">
      <c r="A94" s="21" t="s">
        <v>233</v>
      </c>
      <c r="B94" t="s">
        <v>234</v>
      </c>
      <c r="C94" t="s">
        <v>172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5">
        <v>0</v>
      </c>
      <c r="AS94" s="35">
        <v>0</v>
      </c>
      <c r="AT94" s="35">
        <v>0</v>
      </c>
      <c r="AU94" s="31" t="str">
        <f t="shared" si="4"/>
        <v>库存为0</v>
      </c>
      <c r="AV94" s="36" t="str">
        <f>IFERROR($A$2+AU94,"上周无销量")</f>
        <v>上周无销量</v>
      </c>
    </row>
    <row r="95" spans="1:48">
      <c r="A95" s="21" t="s">
        <v>235</v>
      </c>
      <c r="B95" t="s">
        <v>236</v>
      </c>
      <c r="C95" t="s">
        <v>172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0</v>
      </c>
      <c r="AN95" s="23" t="s">
        <v>54</v>
      </c>
      <c r="AO95" s="23" t="s">
        <v>54</v>
      </c>
      <c r="AP95" s="23" t="s">
        <v>54</v>
      </c>
      <c r="AQ95" s="23" t="s">
        <v>54</v>
      </c>
      <c r="AR95" s="35">
        <v>0</v>
      </c>
      <c r="AS95" s="35">
        <v>0</v>
      </c>
      <c r="AT95" s="35">
        <v>0</v>
      </c>
      <c r="AU95" s="31" t="str">
        <f t="shared" si="4"/>
        <v>库存为0</v>
      </c>
      <c r="AV95" s="36" t="str">
        <f>IFERROR($A$2+AU95,"上周无销量")</f>
        <v>上周无销量</v>
      </c>
    </row>
    <row r="96" spans="1:48">
      <c r="A96" s="21" t="s">
        <v>237</v>
      </c>
      <c r="B96" t="s">
        <v>238</v>
      </c>
      <c r="C96" t="s">
        <v>172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0</v>
      </c>
      <c r="AM96">
        <v>0</v>
      </c>
      <c r="AN96" s="23" t="s">
        <v>54</v>
      </c>
      <c r="AO96" s="23" t="s">
        <v>54</v>
      </c>
      <c r="AP96" s="23" t="s">
        <v>54</v>
      </c>
      <c r="AQ96" s="23" t="s">
        <v>54</v>
      </c>
      <c r="AR96" s="35">
        <v>0</v>
      </c>
      <c r="AS96" s="35">
        <v>0</v>
      </c>
      <c r="AT96" s="35">
        <v>0</v>
      </c>
      <c r="AU96" s="31" t="str">
        <f t="shared" si="4"/>
        <v>库存为0</v>
      </c>
      <c r="AV96" s="36" t="str">
        <f>IFERROR($A$2+AU96,"上周无销量")</f>
        <v>上周无销量</v>
      </c>
    </row>
    <row r="97" spans="1:48">
      <c r="A97" s="21" t="s">
        <v>239</v>
      </c>
      <c r="B97" t="s">
        <v>240</v>
      </c>
      <c r="C97" t="s">
        <v>172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0</v>
      </c>
      <c r="AM97">
        <v>0</v>
      </c>
      <c r="AN97" s="23" t="s">
        <v>54</v>
      </c>
      <c r="AO97" s="23" t="s">
        <v>54</v>
      </c>
      <c r="AP97" s="23" t="s">
        <v>54</v>
      </c>
      <c r="AQ97" s="23" t="s">
        <v>54</v>
      </c>
      <c r="AR97" s="35">
        <v>0</v>
      </c>
      <c r="AS97" s="35">
        <v>0</v>
      </c>
      <c r="AT97" s="35">
        <v>0</v>
      </c>
      <c r="AU97" s="31" t="str">
        <f t="shared" si="4"/>
        <v>库存为0</v>
      </c>
      <c r="AV97" s="36" t="str">
        <f>IFERROR($A$2+AU97,"上周无销量")</f>
        <v>上周无销量</v>
      </c>
    </row>
    <row r="98" spans="1:48">
      <c r="A98" s="21" t="s">
        <v>241</v>
      </c>
      <c r="B98" t="s">
        <v>242</v>
      </c>
      <c r="C98" t="s">
        <v>172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5">
        <v>0</v>
      </c>
      <c r="AS98" s="35">
        <v>0</v>
      </c>
      <c r="AT98" s="35">
        <v>0</v>
      </c>
      <c r="AU98" s="31" t="str">
        <f t="shared" si="4"/>
        <v>库存为0</v>
      </c>
      <c r="AV98" s="36" t="str">
        <f>IFERROR($A$2+AU98,"上周无销量")</f>
        <v>上周无销量</v>
      </c>
    </row>
    <row r="99" spans="1:48">
      <c r="A99" s="21" t="s">
        <v>243</v>
      </c>
      <c r="B99" t="s">
        <v>244</v>
      </c>
      <c r="C99" t="s">
        <v>172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0</v>
      </c>
      <c r="AK99">
        <v>0</v>
      </c>
      <c r="AL99">
        <v>0</v>
      </c>
      <c r="AM99">
        <v>0</v>
      </c>
      <c r="AN99" s="23" t="s">
        <v>54</v>
      </c>
      <c r="AO99" s="23" t="s">
        <v>54</v>
      </c>
      <c r="AP99" s="23" t="s">
        <v>54</v>
      </c>
      <c r="AQ99" s="23" t="s">
        <v>54</v>
      </c>
      <c r="AR99" s="35">
        <v>0</v>
      </c>
      <c r="AS99" s="35">
        <v>0</v>
      </c>
      <c r="AT99" s="35">
        <v>0</v>
      </c>
      <c r="AU99" s="31" t="str">
        <f t="shared" si="4"/>
        <v>库存为0</v>
      </c>
      <c r="AV99" s="36" t="str">
        <f>IFERROR($A$2+AU99,"上周无销量")</f>
        <v>上周无销量</v>
      </c>
    </row>
    <row r="100" spans="1:48">
      <c r="A100" s="21" t="s">
        <v>245</v>
      </c>
      <c r="B100" t="s">
        <v>246</v>
      </c>
      <c r="C100" t="s">
        <v>172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4"/>
        <v>库存为0</v>
      </c>
      <c r="AV100" s="36" t="str">
        <f>IFERROR($A$2+AU100,"上周无销量")</f>
        <v>上周无销量</v>
      </c>
    </row>
    <row r="101" spans="1:48">
      <c r="A101" s="21" t="s">
        <v>247</v>
      </c>
      <c r="B101" t="s">
        <v>248</v>
      </c>
      <c r="C101" t="s">
        <v>172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0</v>
      </c>
      <c r="AL101">
        <v>0</v>
      </c>
      <c r="AM101">
        <v>0</v>
      </c>
      <c r="AN101" s="23" t="s">
        <v>54</v>
      </c>
      <c r="AO101" s="23" t="s">
        <v>54</v>
      </c>
      <c r="AP101" s="23" t="s">
        <v>54</v>
      </c>
      <c r="AQ101" s="23" t="s">
        <v>54</v>
      </c>
      <c r="AR101" s="35">
        <v>0</v>
      </c>
      <c r="AS101" s="35">
        <v>0</v>
      </c>
      <c r="AT101" s="35">
        <v>0</v>
      </c>
      <c r="AU101" s="31" t="str">
        <f t="shared" si="4"/>
        <v>库存为0</v>
      </c>
      <c r="AV101" s="36" t="str">
        <f>IFERROR($A$2+AU101,"上周无销量")</f>
        <v>上周无销量</v>
      </c>
    </row>
    <row r="102" spans="1:48">
      <c r="A102" s="21" t="s">
        <v>249</v>
      </c>
      <c r="B102" t="s">
        <v>250</v>
      </c>
      <c r="C102" t="s">
        <v>172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s">
        <v>54</v>
      </c>
      <c r="AO102" s="23" t="s">
        <v>54</v>
      </c>
      <c r="AP102" s="23" t="s">
        <v>54</v>
      </c>
      <c r="AQ102" s="23" t="s">
        <v>54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IFERROR($A$2+AU102,"上周无销量")</f>
        <v>上周无销量</v>
      </c>
    </row>
    <row r="103" spans="1:48">
      <c r="A103" s="21" t="s">
        <v>251</v>
      </c>
      <c r="B103" t="s">
        <v>252</v>
      </c>
      <c r="C103" t="s">
        <v>253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0</v>
      </c>
      <c r="AN103" s="23" t="s">
        <v>54</v>
      </c>
      <c r="AO103" s="23" t="s">
        <v>54</v>
      </c>
      <c r="AP103" s="23" t="s">
        <v>54</v>
      </c>
      <c r="AQ103" s="23" t="s">
        <v>54</v>
      </c>
      <c r="AR103" s="35">
        <v>0</v>
      </c>
      <c r="AS103" s="35">
        <v>0</v>
      </c>
      <c r="AT103" s="35">
        <v>0</v>
      </c>
      <c r="AU103" s="31" t="str">
        <f t="shared" si="4"/>
        <v>库存为0</v>
      </c>
      <c r="AV103" s="36" t="str">
        <f>IFERROR($A$2+AU103,"上周无销量")</f>
        <v>上周无销量</v>
      </c>
    </row>
    <row r="104" spans="1:48">
      <c r="A104" s="21" t="s">
        <v>254</v>
      </c>
      <c r="B104" t="s">
        <v>255</v>
      </c>
      <c r="C104" t="s">
        <v>253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5">
        <v>0</v>
      </c>
      <c r="AS104" s="35">
        <v>0</v>
      </c>
      <c r="AT104" s="35">
        <v>0</v>
      </c>
      <c r="AU104" s="31" t="str">
        <f t="shared" si="4"/>
        <v>库存为0</v>
      </c>
      <c r="AV104" s="36" t="str">
        <f>IFERROR($A$2+AU104,"上周无销量")</f>
        <v>上周无销量</v>
      </c>
    </row>
    <row r="105" spans="1:48">
      <c r="A105" s="21" t="s">
        <v>256</v>
      </c>
      <c r="B105" t="s">
        <v>257</v>
      </c>
      <c r="C105" t="s">
        <v>253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s">
        <v>54</v>
      </c>
      <c r="AO105" s="23" t="s">
        <v>54</v>
      </c>
      <c r="AP105" s="23" t="s">
        <v>54</v>
      </c>
      <c r="AQ105" s="23" t="s">
        <v>54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IFERROR($A$2+AU105,"上周无销量")</f>
        <v>上周无销量</v>
      </c>
    </row>
    <row r="106" spans="1:48">
      <c r="A106" s="21" t="s">
        <v>258</v>
      </c>
      <c r="B106" t="s">
        <v>259</v>
      </c>
      <c r="C106" t="s">
        <v>253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s">
        <v>54</v>
      </c>
      <c r="AO106" s="23" t="s">
        <v>54</v>
      </c>
      <c r="AP106" s="23" t="s">
        <v>54</v>
      </c>
      <c r="AQ106" s="23" t="s">
        <v>54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IFERROR($A$2+AU106,"上周无销量")</f>
        <v>上周无销量</v>
      </c>
    </row>
    <row r="107" spans="1:48">
      <c r="A107" s="21" t="s">
        <v>260</v>
      </c>
      <c r="B107" t="s">
        <v>261</v>
      </c>
      <c r="C107" t="s">
        <v>253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IFERROR($A$2+AU107,"上周无销量")</f>
        <v>上周无销量</v>
      </c>
    </row>
    <row r="108" spans="1:48">
      <c r="A108" s="21" t="s">
        <v>262</v>
      </c>
      <c r="B108" t="s">
        <v>263</v>
      </c>
      <c r="C108" t="s">
        <v>253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s">
        <v>54</v>
      </c>
      <c r="AO108" s="23" t="s">
        <v>54</v>
      </c>
      <c r="AP108" s="23" t="s">
        <v>54</v>
      </c>
      <c r="AQ108" s="23" t="s">
        <v>54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IFERROR($A$2+AU108,"上周无销量")</f>
        <v>上周无销量</v>
      </c>
    </row>
    <row r="109" spans="1:48">
      <c r="A109" s="21" t="s">
        <v>264</v>
      </c>
      <c r="B109" t="s">
        <v>265</v>
      </c>
      <c r="C109" t="s">
        <v>253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s">
        <v>54</v>
      </c>
      <c r="AO109" s="23" t="s">
        <v>54</v>
      </c>
      <c r="AP109" s="23" t="s">
        <v>54</v>
      </c>
      <c r="AQ109" s="23" t="s">
        <v>54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IFERROR($A$2+AU109,"上周无销量")</f>
        <v>上周无销量</v>
      </c>
    </row>
    <row r="110" spans="1:48">
      <c r="A110" s="21" t="s">
        <v>266</v>
      </c>
      <c r="B110" t="s">
        <v>267</v>
      </c>
      <c r="C110" t="s">
        <v>253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s">
        <v>54</v>
      </c>
      <c r="AO110" s="23" t="s">
        <v>54</v>
      </c>
      <c r="AP110" s="23" t="s">
        <v>54</v>
      </c>
      <c r="AQ110" s="23" t="s">
        <v>54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IFERROR($A$2+AU110,"上周无销量")</f>
        <v>上周无销量</v>
      </c>
    </row>
    <row r="111" spans="1:48">
      <c r="A111" s="21" t="s">
        <v>268</v>
      </c>
      <c r="B111" t="s">
        <v>269</v>
      </c>
      <c r="C111" t="s">
        <v>253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s">
        <v>54</v>
      </c>
      <c r="AO111" s="23" t="s">
        <v>54</v>
      </c>
      <c r="AP111" s="23" t="s">
        <v>54</v>
      </c>
      <c r="AQ111" s="23" t="s">
        <v>54</v>
      </c>
      <c r="AR111" s="35">
        <v>0</v>
      </c>
      <c r="AS111" s="35">
        <v>0</v>
      </c>
      <c r="AT111" s="35">
        <v>0</v>
      </c>
      <c r="AU111" s="31" t="str">
        <f t="shared" si="4"/>
        <v>库存为0</v>
      </c>
      <c r="AV111" s="36" t="str">
        <f>IFERROR($A$2+AU111,"上周无销量")</f>
        <v>上周无销量</v>
      </c>
    </row>
    <row r="112" spans="1:48">
      <c r="A112" s="21" t="s">
        <v>270</v>
      </c>
      <c r="B112" t="s">
        <v>271</v>
      </c>
      <c r="C112" t="s">
        <v>253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IFERROR($A$2+AU112,"上周无销量")</f>
        <v>上周无销量</v>
      </c>
    </row>
    <row r="113" spans="1:48">
      <c r="A113" s="21" t="s">
        <v>272</v>
      </c>
      <c r="B113" t="s">
        <v>273</v>
      </c>
      <c r="C113" t="s">
        <v>253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IFERROR($A$2+AU113,"上周无销量")</f>
        <v>上周无销量</v>
      </c>
    </row>
    <row r="114" spans="1:48">
      <c r="A114" s="21" t="s">
        <v>274</v>
      </c>
      <c r="B114" t="s">
        <v>275</v>
      </c>
      <c r="C114" t="s">
        <v>253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IFERROR($A$2+AU114,"上周无销量")</f>
        <v>上周无销量</v>
      </c>
    </row>
    <row r="115" spans="1:48">
      <c r="A115" s="21" t="s">
        <v>276</v>
      </c>
      <c r="B115" t="s">
        <v>277</v>
      </c>
      <c r="C115" t="s">
        <v>253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s">
        <v>54</v>
      </c>
      <c r="AO115" s="23" t="s">
        <v>54</v>
      </c>
      <c r="AP115" s="23" t="s">
        <v>54</v>
      </c>
      <c r="AQ115" s="23" t="s">
        <v>54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IFERROR($A$2+AU115,"上周无销量")</f>
        <v>上周无销量</v>
      </c>
    </row>
    <row r="116" spans="1:48">
      <c r="A116" s="21" t="s">
        <v>278</v>
      </c>
      <c r="B116" t="s">
        <v>279</v>
      </c>
      <c r="C116" t="s">
        <v>253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s">
        <v>54</v>
      </c>
      <c r="AO116" s="23" t="s">
        <v>54</v>
      </c>
      <c r="AP116" s="23" t="s">
        <v>54</v>
      </c>
      <c r="AQ116" s="23" t="s">
        <v>54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IFERROR($A$2+AU116,"上周无销量")</f>
        <v>上周无销量</v>
      </c>
    </row>
    <row r="117" spans="1:48">
      <c r="A117" s="21" t="s">
        <v>280</v>
      </c>
      <c r="B117" t="s">
        <v>281</v>
      </c>
      <c r="C117" t="s">
        <v>253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s">
        <v>54</v>
      </c>
      <c r="AO117" s="23" t="s">
        <v>54</v>
      </c>
      <c r="AP117" s="23" t="s">
        <v>54</v>
      </c>
      <c r="AQ117" s="23" t="s">
        <v>54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IFERROR($A$2+AU117,"上周无销量")</f>
        <v>上周无销量</v>
      </c>
    </row>
    <row r="118" spans="1:48">
      <c r="A118" s="21" t="s">
        <v>282</v>
      </c>
      <c r="B118" t="s">
        <v>283</v>
      </c>
      <c r="C118" t="e">
        <v>#N/A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5">
        <v>0</v>
      </c>
      <c r="AS118" s="35">
        <v>0</v>
      </c>
      <c r="AT118" s="35">
        <v>0</v>
      </c>
      <c r="AU118" s="31" t="str">
        <f t="shared" si="4"/>
        <v>库存为0</v>
      </c>
      <c r="AV118" s="36" t="str">
        <f>IFERROR($A$2+AU118,"上周无销量")</f>
        <v>上周无销量</v>
      </c>
    </row>
    <row r="119" spans="1:48">
      <c r="A119" s="21" t="s">
        <v>284</v>
      </c>
      <c r="B119" t="s">
        <v>285</v>
      </c>
      <c r="C119" t="e">
        <v>#N/A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s">
        <v>54</v>
      </c>
      <c r="AO119" s="23" t="s">
        <v>54</v>
      </c>
      <c r="AP119" s="23" t="s">
        <v>54</v>
      </c>
      <c r="AQ119" s="23" t="s">
        <v>54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IFERROR($A$2+AU119,"上周无销量")</f>
        <v>上周无销量</v>
      </c>
    </row>
    <row r="120" spans="1:48">
      <c r="A120" s="21" t="s">
        <v>286</v>
      </c>
      <c r="B120" t="s">
        <v>287</v>
      </c>
      <c r="C120" t="e">
        <v>#N/A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s">
        <v>54</v>
      </c>
      <c r="AO120" s="23" t="s">
        <v>54</v>
      </c>
      <c r="AP120" s="23" t="s">
        <v>54</v>
      </c>
      <c r="AQ120" s="23" t="s">
        <v>54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IFERROR($A$2+AU120,"上周无销量")</f>
        <v>上周无销量</v>
      </c>
    </row>
    <row r="121" spans="1:48">
      <c r="A121" s="21" t="s">
        <v>288</v>
      </c>
      <c r="B121" t="s">
        <v>289</v>
      </c>
      <c r="C121" t="e">
        <v>#N/A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s">
        <v>54</v>
      </c>
      <c r="AO121" s="23" t="s">
        <v>54</v>
      </c>
      <c r="AP121" s="23" t="s">
        <v>54</v>
      </c>
      <c r="AQ121" s="23" t="s">
        <v>54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IFERROR($A$2+AU121,"上周无销量")</f>
        <v>上周无销量</v>
      </c>
    </row>
    <row r="122" spans="1:48">
      <c r="A122" s="21" t="s">
        <v>290</v>
      </c>
      <c r="B122" t="s">
        <v>291</v>
      </c>
      <c r="C122" t="e">
        <v>#N/A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IFERROR($A$2+AU122,"上周无销量")</f>
        <v>上周无销量</v>
      </c>
    </row>
    <row r="123" spans="1:48">
      <c r="A123" s="21" t="s">
        <v>292</v>
      </c>
      <c r="B123" t="s">
        <v>293</v>
      </c>
      <c r="C123" t="e">
        <v>#N/A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IFERROR($A$2+AU123,"上周无销量")</f>
        <v>上周无销量</v>
      </c>
    </row>
    <row r="124" spans="1:48">
      <c r="A124" s="21" t="s">
        <v>294</v>
      </c>
      <c r="B124" t="s">
        <v>295</v>
      </c>
      <c r="C124" t="e">
        <v>#N/A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IFERROR($A$2+AU124,"上周无销量")</f>
        <v>上周无销量</v>
      </c>
    </row>
    <row r="125" spans="1:48">
      <c r="A125" s="21" t="s">
        <v>296</v>
      </c>
      <c r="B125" t="s">
        <v>297</v>
      </c>
      <c r="C125" t="e">
        <v>#N/A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IFERROR($A$2+AU125,"上周无销量")</f>
        <v>上周无销量</v>
      </c>
    </row>
    <row r="126" spans="1:48">
      <c r="A126" s="21" t="s">
        <v>298</v>
      </c>
      <c r="B126" t="s">
        <v>299</v>
      </c>
      <c r="C126" t="e">
        <v>#N/A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IFERROR($A$2+AU126,"上周无销量")</f>
        <v>上周无销量</v>
      </c>
    </row>
    <row r="127" spans="1:48">
      <c r="A127" s="21" t="s">
        <v>300</v>
      </c>
      <c r="B127" t="s">
        <v>301</v>
      </c>
      <c r="C127" t="e">
        <v>#N/A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IFERROR($A$2+AU127,"上周无销量")</f>
        <v>上周无销量</v>
      </c>
    </row>
    <row r="128" spans="1:48">
      <c r="A128" s="21" t="s">
        <v>302</v>
      </c>
      <c r="B128" t="s">
        <v>303</v>
      </c>
      <c r="C128" t="e">
        <v>#N/A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IFERROR($A$2+AU128,"上周无销量")</f>
        <v>上周无销量</v>
      </c>
    </row>
    <row r="129" spans="1:48">
      <c r="A129" s="21" t="s">
        <v>304</v>
      </c>
      <c r="B129" t="s">
        <v>305</v>
      </c>
      <c r="C129" t="e">
        <v>#N/A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IFERROR($A$2+AU129,"上周无销量")</f>
        <v>上周无销量</v>
      </c>
    </row>
    <row r="130" spans="1:48">
      <c r="A130" s="21" t="s">
        <v>306</v>
      </c>
      <c r="B130" t="s">
        <v>307</v>
      </c>
      <c r="C130" t="e">
        <v>#N/A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IFERROR($A$2+AU130,"上周无销量")</f>
        <v>上周无销量</v>
      </c>
    </row>
    <row r="131" spans="1:48">
      <c r="A131" s="21" t="s">
        <v>308</v>
      </c>
      <c r="B131" t="s">
        <v>309</v>
      </c>
      <c r="C131" t="e">
        <v>#N/A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IFERROR($A$2+AU131,"上周无销量")</f>
        <v>上周无销量</v>
      </c>
    </row>
    <row r="132" spans="1:48">
      <c r="A132" s="21" t="s">
        <v>310</v>
      </c>
      <c r="B132" t="s">
        <v>311</v>
      </c>
      <c r="C132" t="e">
        <v>#N/A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s">
        <v>54</v>
      </c>
      <c r="AO132" s="23" t="s">
        <v>54</v>
      </c>
      <c r="AP132" s="23" t="s">
        <v>54</v>
      </c>
      <c r="AQ132" s="23" t="s">
        <v>54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IFERROR($A$2+AU132,"上周无销量")</f>
        <v>上周无销量</v>
      </c>
    </row>
    <row r="133" spans="1:48">
      <c r="A133" s="21" t="s">
        <v>312</v>
      </c>
      <c r="B133" t="s">
        <v>313</v>
      </c>
      <c r="C133" t="e">
        <v>#N/A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s">
        <v>54</v>
      </c>
      <c r="AO133" s="23" t="s">
        <v>54</v>
      </c>
      <c r="AP133" s="23" t="s">
        <v>54</v>
      </c>
      <c r="AQ133" s="23" t="s">
        <v>54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IFERROR($A$2+AU133,"上周无销量")</f>
        <v>上周无销量</v>
      </c>
    </row>
    <row r="134" spans="1:48">
      <c r="A134" s="21" t="s">
        <v>314</v>
      </c>
      <c r="B134" t="s">
        <v>315</v>
      </c>
      <c r="C134" t="e">
        <v>#N/A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s">
        <v>54</v>
      </c>
      <c r="AO134" s="23" t="s">
        <v>54</v>
      </c>
      <c r="AP134" s="23" t="s">
        <v>54</v>
      </c>
      <c r="AQ134" s="23" t="s">
        <v>54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IFERROR($A$2+AU134,"上周无销量")</f>
        <v>上周无销量</v>
      </c>
    </row>
    <row r="135" spans="1:48">
      <c r="A135" s="21" t="s">
        <v>316</v>
      </c>
      <c r="B135" t="s">
        <v>317</v>
      </c>
      <c r="C135" t="e">
        <v>#N/A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s">
        <v>54</v>
      </c>
      <c r="AO135" s="23" t="s">
        <v>54</v>
      </c>
      <c r="AP135" s="23" t="s">
        <v>54</v>
      </c>
      <c r="AQ135" s="23" t="s">
        <v>54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IFERROR($A$2+AU135,"上周无销量")</f>
        <v>上周无销量</v>
      </c>
    </row>
    <row r="136" spans="1:48">
      <c r="A136" s="21" t="s">
        <v>318</v>
      </c>
      <c r="B136" t="s">
        <v>319</v>
      </c>
      <c r="C136" t="e">
        <v>#N/A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s">
        <v>54</v>
      </c>
      <c r="AO136" s="23" t="s">
        <v>54</v>
      </c>
      <c r="AP136" s="23" t="s">
        <v>54</v>
      </c>
      <c r="AQ136" s="23" t="s">
        <v>54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IFERROR($A$2+AU136,"上周无销量")</f>
        <v>上周无销量</v>
      </c>
    </row>
    <row r="137" spans="1:48">
      <c r="A137" s="21" t="s">
        <v>320</v>
      </c>
      <c r="B137" t="s">
        <v>321</v>
      </c>
      <c r="C137" t="e">
        <v>#N/A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s">
        <v>54</v>
      </c>
      <c r="AO137" s="23" t="s">
        <v>54</v>
      </c>
      <c r="AP137" s="23" t="s">
        <v>54</v>
      </c>
      <c r="AQ137" s="23" t="s">
        <v>54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IFERROR($A$2+AU137,"上周无销量")</f>
        <v>上周无销量</v>
      </c>
    </row>
    <row r="138" spans="1:48">
      <c r="A138" s="21" t="s">
        <v>322</v>
      </c>
      <c r="B138" t="s">
        <v>323</v>
      </c>
      <c r="C138" t="e">
        <v>#N/A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IFERROR($A$2+AU138,"上周无销量")</f>
        <v>上周无销量</v>
      </c>
    </row>
    <row r="139" spans="1:48">
      <c r="A139" s="21" t="s">
        <v>324</v>
      </c>
      <c r="B139" t="s">
        <v>325</v>
      </c>
      <c r="C139" t="e">
        <v>#N/A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IFERROR($A$2+AU139,"上周无销量")</f>
        <v>上周无销量</v>
      </c>
    </row>
    <row r="140" spans="1:48">
      <c r="A140" s="21" t="s">
        <v>326</v>
      </c>
      <c r="B140" t="s">
        <v>327</v>
      </c>
      <c r="C140" t="e">
        <v>#N/A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IFERROR($A$2+AU140,"上周无销量")</f>
        <v>上周无销量</v>
      </c>
    </row>
    <row r="141" spans="1:48">
      <c r="A141" s="21" t="s">
        <v>328</v>
      </c>
      <c r="B141" t="s">
        <v>329</v>
      </c>
      <c r="C141" t="e">
        <v>#N/A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IFERROR($A$2+AU141,"上周无销量")</f>
        <v>上周无销量</v>
      </c>
    </row>
    <row r="142" spans="1:48">
      <c r="A142" s="21" t="s">
        <v>330</v>
      </c>
      <c r="B142" t="s">
        <v>331</v>
      </c>
      <c r="C142" t="e">
        <v>#N/A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IFERROR($A$2+AU142,"上周无销量")</f>
        <v>上周无销量</v>
      </c>
    </row>
    <row r="143" spans="1:48">
      <c r="A143" s="21" t="s">
        <v>332</v>
      </c>
      <c r="B143" t="s">
        <v>333</v>
      </c>
      <c r="C143" t="e">
        <v>#N/A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IFERROR($A$2+AU143,"上周无销量")</f>
        <v>上周无销量</v>
      </c>
    </row>
    <row r="144" spans="1:48">
      <c r="A144" s="21" t="s">
        <v>334</v>
      </c>
      <c r="B144" t="s">
        <v>335</v>
      </c>
      <c r="C144" t="e">
        <v>#N/A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IFERROR($A$2+AU144,"上周无销量")</f>
        <v>上周无销量</v>
      </c>
    </row>
    <row r="145" spans="1:48">
      <c r="A145" s="21" t="s">
        <v>336</v>
      </c>
      <c r="B145" t="s">
        <v>337</v>
      </c>
      <c r="C145" t="e">
        <v>#N/A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IFERROR($A$2+AU145,"上周无销量")</f>
        <v>上周无销量</v>
      </c>
    </row>
    <row r="146" spans="1:48">
      <c r="A146" s="21" t="s">
        <v>338</v>
      </c>
      <c r="B146" t="s">
        <v>339</v>
      </c>
      <c r="C146" t="e">
        <v>#N/A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s">
        <v>54</v>
      </c>
      <c r="AO146" s="23" t="s">
        <v>54</v>
      </c>
      <c r="AP146" s="23" t="s">
        <v>54</v>
      </c>
      <c r="AQ146" s="23" t="s">
        <v>54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IFERROR($A$2+AU146,"上周无销量")</f>
        <v>上周无销量</v>
      </c>
    </row>
    <row r="147" spans="1:48">
      <c r="A147" s="21" t="s">
        <v>340</v>
      </c>
      <c r="B147" t="s">
        <v>341</v>
      </c>
      <c r="C147" t="e">
        <v>#N/A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s">
        <v>54</v>
      </c>
      <c r="AO147" s="23" t="s">
        <v>54</v>
      </c>
      <c r="AP147" s="23" t="s">
        <v>54</v>
      </c>
      <c r="AQ147" s="23" t="s">
        <v>54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IFERROR($A$2+AU147,"上周无销量")</f>
        <v>上周无销量</v>
      </c>
    </row>
    <row r="148" spans="1:48">
      <c r="A148" s="21" t="s">
        <v>342</v>
      </c>
      <c r="B148" t="s">
        <v>343</v>
      </c>
      <c r="C148" t="e">
        <v>#N/A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IFERROR($A$2+AU148,"上周无销量")</f>
        <v>上周无销量</v>
      </c>
    </row>
    <row r="149" spans="1:48">
      <c r="A149" s="21" t="s">
        <v>344</v>
      </c>
      <c r="B149" t="s">
        <v>345</v>
      </c>
      <c r="C149" t="e">
        <v>#N/A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IFERROR($A$2+AU149,"上周无销量")</f>
        <v>上周无销量</v>
      </c>
    </row>
    <row r="150" spans="1:48">
      <c r="A150" s="21" t="s">
        <v>346</v>
      </c>
      <c r="B150" t="s">
        <v>347</v>
      </c>
      <c r="C150" t="e">
        <v>#N/A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s">
        <v>54</v>
      </c>
      <c r="AO150" s="23" t="s">
        <v>54</v>
      </c>
      <c r="AP150" s="23" t="s">
        <v>54</v>
      </c>
      <c r="AQ150" s="23" t="s">
        <v>54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IFERROR($A$2+AU150,"上周无销量")</f>
        <v>上周无销量</v>
      </c>
    </row>
    <row r="151" spans="1:48">
      <c r="A151" s="21" t="s">
        <v>348</v>
      </c>
      <c r="B151" t="s">
        <v>349</v>
      </c>
      <c r="C151" t="e">
        <v>#N/A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s">
        <v>54</v>
      </c>
      <c r="AO151" s="23" t="s">
        <v>54</v>
      </c>
      <c r="AP151" s="23" t="s">
        <v>54</v>
      </c>
      <c r="AQ151" s="23" t="s">
        <v>54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IFERROR($A$2+AU151,"上周无销量")</f>
        <v>上周无销量</v>
      </c>
    </row>
    <row r="152" spans="1:48">
      <c r="A152" s="21" t="s">
        <v>350</v>
      </c>
      <c r="B152" t="s">
        <v>351</v>
      </c>
      <c r="C152" t="e">
        <v>#N/A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IFERROR($A$2+AU152,"上周无销量")</f>
        <v>上周无销量</v>
      </c>
    </row>
    <row r="153" spans="1:48">
      <c r="A153" s="21" t="s">
        <v>352</v>
      </c>
      <c r="B153" t="s">
        <v>353</v>
      </c>
      <c r="C153" t="e">
        <v>#N/A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s">
        <v>54</v>
      </c>
      <c r="AO153" s="23" t="s">
        <v>54</v>
      </c>
      <c r="AP153" s="23" t="s">
        <v>54</v>
      </c>
      <c r="AQ153" s="23" t="s">
        <v>54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IFERROR($A$2+AU153,"上周无销量")</f>
        <v>上周无销量</v>
      </c>
    </row>
    <row r="154" spans="1:48">
      <c r="A154" s="21" t="s">
        <v>354</v>
      </c>
      <c r="B154" t="s">
        <v>355</v>
      </c>
      <c r="C154" t="e">
        <v>#N/A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IFERROR($A$2+AU154,"上周无销量")</f>
        <v>上周无销量</v>
      </c>
    </row>
    <row r="155" spans="1:48">
      <c r="A155" s="21" t="s">
        <v>356</v>
      </c>
      <c r="B155" t="s">
        <v>357</v>
      </c>
      <c r="C155" t="e">
        <v>#N/A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IFERROR($A$2+AU155,"上周无销量")</f>
        <v>上周无销量</v>
      </c>
    </row>
    <row r="156" spans="1:48">
      <c r="A156" s="21" t="s">
        <v>358</v>
      </c>
      <c r="B156" t="s">
        <v>359</v>
      </c>
      <c r="C156" t="e">
        <v>#N/A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IFERROR($A$2+AU156,"上周无销量")</f>
        <v>上周无销量</v>
      </c>
    </row>
    <row r="157" spans="1:48">
      <c r="A157" s="21" t="s">
        <v>360</v>
      </c>
      <c r="B157" t="s">
        <v>361</v>
      </c>
      <c r="C157" t="e">
        <v>#N/A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IFERROR($A$2+AU157,"上周无销量")</f>
        <v>上周无销量</v>
      </c>
    </row>
    <row r="158" spans="1:48">
      <c r="A158" s="21" t="s">
        <v>362</v>
      </c>
      <c r="B158" t="s">
        <v>363</v>
      </c>
      <c r="C158" t="e">
        <v>#N/A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IFERROR($A$2+AU158,"上周无销量")</f>
        <v>上周无销量</v>
      </c>
    </row>
    <row r="159" spans="1:48">
      <c r="A159" s="21" t="s">
        <v>364</v>
      </c>
      <c r="B159" t="s">
        <v>365</v>
      </c>
      <c r="C159" t="e">
        <v>#N/A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IFERROR($A$2+AU159,"上周无销量")</f>
        <v>上周无销量</v>
      </c>
    </row>
    <row r="160" spans="1:48">
      <c r="A160" s="21" t="s">
        <v>366</v>
      </c>
      <c r="B160" t="s">
        <v>367</v>
      </c>
      <c r="C160" t="e">
        <v>#N/A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IFERROR($A$2+AU160,"上周无销量")</f>
        <v>上周无销量</v>
      </c>
    </row>
    <row r="161" spans="1:48">
      <c r="A161" s="21" t="s">
        <v>368</v>
      </c>
      <c r="B161" t="s">
        <v>369</v>
      </c>
      <c r="C161" t="e">
        <v>#N/A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IFERROR($A$2+AU161,"上周无销量")</f>
        <v>上周无销量</v>
      </c>
    </row>
    <row r="162" spans="1:48">
      <c r="A162" s="21" t="s">
        <v>370</v>
      </c>
      <c r="B162" t="s">
        <v>371</v>
      </c>
      <c r="C162" t="e">
        <v>#N/A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s">
        <v>54</v>
      </c>
      <c r="AO162" s="23" t="s">
        <v>54</v>
      </c>
      <c r="AP162" s="23" t="s">
        <v>54</v>
      </c>
      <c r="AQ162" s="23" t="s">
        <v>54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IFERROR($A$2+AU162,"上周无销量")</f>
        <v>上周无销量</v>
      </c>
    </row>
    <row r="163" spans="1:48">
      <c r="A163" s="21" t="s">
        <v>372</v>
      </c>
      <c r="B163" t="s">
        <v>373</v>
      </c>
      <c r="C163" t="e">
        <v>#N/A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s">
        <v>54</v>
      </c>
      <c r="AO163" s="23" t="s">
        <v>54</v>
      </c>
      <c r="AP163" s="23" t="s">
        <v>54</v>
      </c>
      <c r="AQ163" s="23" t="s">
        <v>54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IFERROR($A$2+AU163,"上周无销量")</f>
        <v>上周无销量</v>
      </c>
    </row>
    <row r="164" spans="1:48">
      <c r="A164" s="21" t="s">
        <v>374</v>
      </c>
      <c r="B164" t="s">
        <v>375</v>
      </c>
      <c r="C164" t="e">
        <v>#N/A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s">
        <v>54</v>
      </c>
      <c r="AO164" s="23" t="s">
        <v>54</v>
      </c>
      <c r="AP164" s="23" t="s">
        <v>54</v>
      </c>
      <c r="AQ164" s="23" t="s">
        <v>54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IFERROR($A$2+AU164,"上周无销量")</f>
        <v>上周无销量</v>
      </c>
    </row>
    <row r="165" spans="1:48">
      <c r="A165" s="21" t="s">
        <v>376</v>
      </c>
      <c r="B165" t="s">
        <v>377</v>
      </c>
      <c r="C165" t="e">
        <v>#N/A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IFERROR($A$2+AU165,"上周无销量")</f>
        <v>上周无销量</v>
      </c>
    </row>
    <row r="166" spans="1:48">
      <c r="A166" s="21" t="s">
        <v>378</v>
      </c>
      <c r="B166" t="s">
        <v>379</v>
      </c>
      <c r="C166" t="e">
        <v>#N/A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IFERROR($A$2+AU166,"上周无销量")</f>
        <v>上周无销量</v>
      </c>
    </row>
    <row r="167" spans="1:48">
      <c r="A167" s="21" t="s">
        <v>380</v>
      </c>
      <c r="B167" t="s">
        <v>381</v>
      </c>
      <c r="C167" t="e">
        <v>#N/A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0</v>
      </c>
      <c r="AK167">
        <v>0</v>
      </c>
      <c r="AL167">
        <v>0</v>
      </c>
      <c r="AM167">
        <v>0</v>
      </c>
      <c r="AN167" s="23" t="s">
        <v>54</v>
      </c>
      <c r="AO167" s="23" t="s">
        <v>54</v>
      </c>
      <c r="AP167" s="23" t="s">
        <v>54</v>
      </c>
      <c r="AQ167" s="23" t="s">
        <v>54</v>
      </c>
      <c r="AR167" s="35">
        <v>0</v>
      </c>
      <c r="AS167" s="35">
        <v>0</v>
      </c>
      <c r="AT167" s="35">
        <v>0</v>
      </c>
      <c r="AU167" s="31" t="str">
        <f t="shared" si="5"/>
        <v>库存为0</v>
      </c>
      <c r="AV167" s="36" t="str">
        <f>IFERROR($A$2+AU167,"上周无销量")</f>
        <v>上周无销量</v>
      </c>
    </row>
    <row r="168" spans="1:48">
      <c r="A168" s="21" t="s">
        <v>382</v>
      </c>
      <c r="B168" t="s">
        <v>383</v>
      </c>
      <c r="C168" t="e">
        <v>#N/A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0</v>
      </c>
      <c r="AK168">
        <v>0</v>
      </c>
      <c r="AL168">
        <v>0</v>
      </c>
      <c r="AM168">
        <v>0</v>
      </c>
      <c r="AN168" s="23" t="s">
        <v>54</v>
      </c>
      <c r="AO168" s="23" t="s">
        <v>54</v>
      </c>
      <c r="AP168" s="23" t="s">
        <v>54</v>
      </c>
      <c r="AQ168" s="23" t="s">
        <v>54</v>
      </c>
      <c r="AR168" s="35">
        <v>0</v>
      </c>
      <c r="AS168" s="35">
        <v>0</v>
      </c>
      <c r="AT168" s="35">
        <v>0</v>
      </c>
      <c r="AU168" s="31" t="str">
        <f t="shared" si="5"/>
        <v>库存为0</v>
      </c>
      <c r="AV168" s="36" t="str">
        <f>IFERROR($A$2+AU168,"上周无销量")</f>
        <v>上周无销量</v>
      </c>
    </row>
    <row r="169" spans="1:48">
      <c r="A169" s="21" t="s">
        <v>384</v>
      </c>
      <c r="B169" t="s">
        <v>385</v>
      </c>
      <c r="C169" t="e">
        <v>#N/A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s">
        <v>54</v>
      </c>
      <c r="AO169" s="23" t="s">
        <v>54</v>
      </c>
      <c r="AP169" s="23" t="s">
        <v>54</v>
      </c>
      <c r="AQ169" s="23" t="s">
        <v>54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IFERROR($A$2+AU169,"上周无销量")</f>
        <v>上周无销量</v>
      </c>
    </row>
    <row r="170" spans="1:48">
      <c r="A170" s="21" t="s">
        <v>386</v>
      </c>
      <c r="B170" t="s">
        <v>387</v>
      </c>
      <c r="C170" t="e">
        <v>#N/A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s">
        <v>54</v>
      </c>
      <c r="AO170" s="23" t="s">
        <v>54</v>
      </c>
      <c r="AP170" s="23" t="s">
        <v>54</v>
      </c>
      <c r="AQ170" s="23" t="s">
        <v>54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IFERROR($A$2+AU170,"上周无销量")</f>
        <v>上周无销量</v>
      </c>
    </row>
    <row r="171" spans="1:48">
      <c r="A171" s="21" t="s">
        <v>388</v>
      </c>
      <c r="B171" t="s">
        <v>389</v>
      </c>
      <c r="C171" t="e">
        <v>#N/A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5">
        <v>0</v>
      </c>
      <c r="AS171" s="35">
        <v>0</v>
      </c>
      <c r="AT171" s="35">
        <v>0</v>
      </c>
      <c r="AU171" s="31" t="str">
        <f t="shared" si="5"/>
        <v>库存为0</v>
      </c>
      <c r="AV171" s="36" t="str">
        <f>IFERROR($A$2+AU171,"上周无销量")</f>
        <v>上周无销量</v>
      </c>
    </row>
    <row r="172" spans="1:48">
      <c r="A172" s="21" t="s">
        <v>390</v>
      </c>
      <c r="B172" t="s">
        <v>391</v>
      </c>
      <c r="C172" t="e">
        <v>#N/A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0</v>
      </c>
      <c r="AM172">
        <v>0</v>
      </c>
      <c r="AN172" s="23" t="s">
        <v>54</v>
      </c>
      <c r="AO172" s="23" t="s">
        <v>54</v>
      </c>
      <c r="AP172" s="23" t="s">
        <v>54</v>
      </c>
      <c r="AQ172" s="23" t="s">
        <v>54</v>
      </c>
      <c r="AR172" s="35">
        <v>0</v>
      </c>
      <c r="AS172" s="35">
        <v>0</v>
      </c>
      <c r="AT172" s="35">
        <v>0</v>
      </c>
      <c r="AU172" s="31" t="str">
        <f t="shared" si="5"/>
        <v>库存为0</v>
      </c>
      <c r="AV172" s="36" t="str">
        <f>IFERROR($A$2+AU172,"上周无销量")</f>
        <v>上周无销量</v>
      </c>
    </row>
    <row r="173" spans="1:48">
      <c r="A173" s="21" t="s">
        <v>392</v>
      </c>
      <c r="B173" t="s">
        <v>393</v>
      </c>
      <c r="C173" t="s">
        <v>394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s">
        <v>54</v>
      </c>
      <c r="AO173" s="23" t="s">
        <v>54</v>
      </c>
      <c r="AP173" s="23" t="s">
        <v>54</v>
      </c>
      <c r="AQ173" s="23" t="s">
        <v>54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IFERROR($A$2+AU173,"上周无销量")</f>
        <v>上周无销量</v>
      </c>
    </row>
    <row r="174" spans="1:48">
      <c r="A174" s="21" t="s">
        <v>395</v>
      </c>
      <c r="B174" t="s">
        <v>396</v>
      </c>
      <c r="C174" t="s">
        <v>394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s">
        <v>54</v>
      </c>
      <c r="AO174" s="23" t="s">
        <v>54</v>
      </c>
      <c r="AP174" s="23" t="s">
        <v>54</v>
      </c>
      <c r="AQ174" s="23" t="s">
        <v>54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IFERROR($A$2+AU174,"上周无销量")</f>
        <v>上周无销量</v>
      </c>
    </row>
    <row r="175" spans="1:48">
      <c r="A175" s="21" t="s">
        <v>397</v>
      </c>
      <c r="B175" t="s">
        <v>398</v>
      </c>
      <c r="C175" t="s">
        <v>394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s">
        <v>54</v>
      </c>
      <c r="AO175" s="23" t="s">
        <v>54</v>
      </c>
      <c r="AP175" s="23" t="s">
        <v>54</v>
      </c>
      <c r="AQ175" s="23" t="s">
        <v>54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IFERROR($A$2+AU175,"上周无销量")</f>
        <v>上周无销量</v>
      </c>
    </row>
    <row r="176" spans="1:48">
      <c r="A176" s="21" t="s">
        <v>399</v>
      </c>
      <c r="B176" t="s">
        <v>400</v>
      </c>
      <c r="C176" t="s">
        <v>394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s">
        <v>54</v>
      </c>
      <c r="AO176" s="23" t="s">
        <v>54</v>
      </c>
      <c r="AP176" s="23" t="s">
        <v>54</v>
      </c>
      <c r="AQ176" s="23" t="s">
        <v>54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IFERROR($A$2+AU176,"上周无销量")</f>
        <v>上周无销量</v>
      </c>
    </row>
    <row r="177" spans="1:48">
      <c r="A177" s="21" t="s">
        <v>401</v>
      </c>
      <c r="B177" t="s">
        <v>402</v>
      </c>
      <c r="C177" t="s">
        <v>394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s">
        <v>54</v>
      </c>
      <c r="AO177" s="23" t="s">
        <v>54</v>
      </c>
      <c r="AP177" s="23" t="s">
        <v>54</v>
      </c>
      <c r="AQ177" s="23" t="s">
        <v>54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IFERROR($A$2+AU177,"上周无销量")</f>
        <v>上周无销量</v>
      </c>
    </row>
    <row r="178" spans="1:48">
      <c r="A178" s="21" t="s">
        <v>403</v>
      </c>
      <c r="B178" t="s">
        <v>404</v>
      </c>
      <c r="C178" t="s">
        <v>394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s">
        <v>54</v>
      </c>
      <c r="AO178" s="23" t="s">
        <v>54</v>
      </c>
      <c r="AP178" s="23" t="s">
        <v>54</v>
      </c>
      <c r="AQ178" s="23" t="s">
        <v>54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IFERROR($A$2+AU178,"上周无销量")</f>
        <v>上周无销量</v>
      </c>
    </row>
    <row r="179" spans="1:48">
      <c r="A179" s="21" t="s">
        <v>405</v>
      </c>
      <c r="B179" t="s">
        <v>406</v>
      </c>
      <c r="C179" t="s">
        <v>394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s">
        <v>54</v>
      </c>
      <c r="AO179" s="23" t="s">
        <v>54</v>
      </c>
      <c r="AP179" s="23" t="s">
        <v>54</v>
      </c>
      <c r="AQ179" s="23" t="s">
        <v>54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IFERROR($A$2+AU179,"上周无销量")</f>
        <v>上周无销量</v>
      </c>
    </row>
    <row r="180" spans="1:48">
      <c r="A180" s="21" t="s">
        <v>407</v>
      </c>
      <c r="B180" t="s">
        <v>408</v>
      </c>
      <c r="C180" t="s">
        <v>394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IFERROR($A$2+AU180,"上周无销量")</f>
        <v>上周无销量</v>
      </c>
    </row>
    <row r="181" spans="1:48">
      <c r="A181" s="21" t="s">
        <v>409</v>
      </c>
      <c r="B181" t="s">
        <v>410</v>
      </c>
      <c r="C181" t="s">
        <v>394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IFERROR($A$2+AU181,"上周无销量")</f>
        <v>上周无销量</v>
      </c>
    </row>
    <row r="182" spans="1:48">
      <c r="A182" s="21" t="s">
        <v>411</v>
      </c>
      <c r="B182" t="s">
        <v>412</v>
      </c>
      <c r="C182" t="s">
        <v>394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IFERROR($A$2+AU182,"上周无销量")</f>
        <v>上周无销量</v>
      </c>
    </row>
    <row r="183" spans="1:48">
      <c r="A183" s="21" t="s">
        <v>413</v>
      </c>
      <c r="B183" t="s">
        <v>414</v>
      </c>
      <c r="C183" t="s">
        <v>394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IFERROR($A$2+AU183,"上周无销量")</f>
        <v>上周无销量</v>
      </c>
    </row>
    <row r="184" spans="1:48">
      <c r="A184" s="21" t="s">
        <v>415</v>
      </c>
      <c r="B184" t="s">
        <v>416</v>
      </c>
      <c r="C184" t="s">
        <v>394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s">
        <v>54</v>
      </c>
      <c r="AO184" s="23" t="s">
        <v>54</v>
      </c>
      <c r="AP184" s="23" t="s">
        <v>54</v>
      </c>
      <c r="AQ184" s="23" t="s">
        <v>54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IFERROR($A$2+AU184,"上周无销量")</f>
        <v>上周无销量</v>
      </c>
    </row>
    <row r="185" spans="1:48">
      <c r="A185" s="21" t="s">
        <v>417</v>
      </c>
      <c r="B185" t="s">
        <v>418</v>
      </c>
      <c r="C185" t="e">
        <v>#N/A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IFERROR($A$2+AU185,"上周无销量")</f>
        <v>上周无销量</v>
      </c>
    </row>
    <row r="186" spans="1:48">
      <c r="A186" s="21" t="s">
        <v>419</v>
      </c>
      <c r="B186" t="s">
        <v>420</v>
      </c>
      <c r="C186" t="e">
        <v>#N/A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s">
        <v>54</v>
      </c>
      <c r="AO186" s="23" t="s">
        <v>54</v>
      </c>
      <c r="AP186" s="23" t="s">
        <v>54</v>
      </c>
      <c r="AQ186" s="23" t="s">
        <v>54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IFERROR($A$2+AU186,"上周无销量")</f>
        <v>上周无销量</v>
      </c>
    </row>
    <row r="187" spans="1:48">
      <c r="A187" s="21" t="s">
        <v>421</v>
      </c>
      <c r="B187" t="s">
        <v>422</v>
      </c>
      <c r="C187" t="e">
        <v>#N/A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IFERROR($A$2+AU187,"上周无销量")</f>
        <v>上周无销量</v>
      </c>
    </row>
    <row r="188" spans="1:48">
      <c r="A188" s="21" t="s">
        <v>423</v>
      </c>
      <c r="B188" t="s">
        <v>424</v>
      </c>
      <c r="C188" t="e">
        <v>#N/A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s">
        <v>54</v>
      </c>
      <c r="AO188" s="23" t="s">
        <v>54</v>
      </c>
      <c r="AP188" s="23" t="s">
        <v>54</v>
      </c>
      <c r="AQ188" s="23" t="s">
        <v>54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IFERROR($A$2+AU188,"上周无销量")</f>
        <v>上周无销量</v>
      </c>
    </row>
    <row r="189" spans="1:48">
      <c r="A189" s="21" t="s">
        <v>425</v>
      </c>
      <c r="B189" t="s">
        <v>426</v>
      </c>
      <c r="C189" t="e">
        <v>#N/A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IFERROR($A$2+AU189,"上周无销量")</f>
        <v>上周无销量</v>
      </c>
    </row>
    <row r="190" spans="1:48">
      <c r="A190" s="21" t="s">
        <v>427</v>
      </c>
      <c r="B190" t="s">
        <v>428</v>
      </c>
      <c r="C190" t="e">
        <v>#N/A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s">
        <v>54</v>
      </c>
      <c r="AO190" s="23" t="s">
        <v>54</v>
      </c>
      <c r="AP190" s="23" t="s">
        <v>54</v>
      </c>
      <c r="AQ190" s="23" t="s">
        <v>54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IFERROR($A$2+AU190,"上周无销量")</f>
        <v>上周无销量</v>
      </c>
    </row>
    <row r="191" spans="1:48">
      <c r="A191" s="21" t="s">
        <v>429</v>
      </c>
      <c r="B191" t="s">
        <v>430</v>
      </c>
      <c r="C191" t="e">
        <v>#N/A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s">
        <v>54</v>
      </c>
      <c r="AO191" s="23" t="s">
        <v>54</v>
      </c>
      <c r="AP191" s="23" t="s">
        <v>54</v>
      </c>
      <c r="AQ191" s="23" t="s">
        <v>54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IFERROR($A$2+AU191,"上周无销量")</f>
        <v>上周无销量</v>
      </c>
    </row>
    <row r="192" spans="1:48">
      <c r="A192" s="21" t="s">
        <v>431</v>
      </c>
      <c r="B192" t="s">
        <v>432</v>
      </c>
      <c r="C192" t="e">
        <v>#N/A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s">
        <v>54</v>
      </c>
      <c r="AO192" s="23" t="s">
        <v>54</v>
      </c>
      <c r="AP192" s="23" t="s">
        <v>54</v>
      </c>
      <c r="AQ192" s="23" t="s">
        <v>54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IFERROR($A$2+AU192,"上周无销量")</f>
        <v>上周无销量</v>
      </c>
    </row>
    <row r="193" spans="1:48">
      <c r="A193" s="21" t="s">
        <v>433</v>
      </c>
      <c r="B193" t="s">
        <v>434</v>
      </c>
      <c r="C193" t="e">
        <v>#N/A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s">
        <v>54</v>
      </c>
      <c r="AO193" s="23" t="s">
        <v>54</v>
      </c>
      <c r="AP193" s="23" t="s">
        <v>54</v>
      </c>
      <c r="AQ193" s="23" t="s">
        <v>54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IFERROR($A$2+AU193,"上周无销量")</f>
        <v>上周无销量</v>
      </c>
    </row>
    <row r="194" spans="1:48">
      <c r="A194" s="21" t="s">
        <v>435</v>
      </c>
      <c r="B194" t="s">
        <v>436</v>
      </c>
      <c r="C194" t="e">
        <v>#N/A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s">
        <v>54</v>
      </c>
      <c r="AO194" s="23" t="s">
        <v>54</v>
      </c>
      <c r="AP194" s="23" t="s">
        <v>54</v>
      </c>
      <c r="AQ194" s="23" t="s">
        <v>54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IFERROR($A$2+AU194,"上周无销量")</f>
        <v>上周无销量</v>
      </c>
    </row>
    <row r="195" spans="1:48">
      <c r="A195" s="21" t="s">
        <v>437</v>
      </c>
      <c r="B195" t="s">
        <v>438</v>
      </c>
      <c r="C195" t="e">
        <v>#N/A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s">
        <v>54</v>
      </c>
      <c r="AO195" s="23" t="s">
        <v>54</v>
      </c>
      <c r="AP195" s="23" t="s">
        <v>54</v>
      </c>
      <c r="AQ195" s="23" t="s">
        <v>54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IFERROR($A$2+AU195,"上周无销量")</f>
        <v>上周无销量</v>
      </c>
    </row>
    <row r="196" spans="1:48">
      <c r="A196" s="21" t="s">
        <v>439</v>
      </c>
      <c r="B196" t="s">
        <v>440</v>
      </c>
      <c r="C196" t="e">
        <v>#N/A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s">
        <v>54</v>
      </c>
      <c r="AO196" s="23" t="s">
        <v>54</v>
      </c>
      <c r="AP196" s="23" t="s">
        <v>54</v>
      </c>
      <c r="AQ196" s="23" t="s">
        <v>54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IFERROR($A$2+AU196,"上周无销量")</f>
        <v>上周无销量</v>
      </c>
    </row>
    <row r="197" spans="1:48">
      <c r="A197" s="21" t="s">
        <v>441</v>
      </c>
      <c r="B197" t="s">
        <v>442</v>
      </c>
      <c r="C197" t="s">
        <v>443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20</v>
      </c>
      <c r="K197" s="33">
        <v>0</v>
      </c>
      <c r="L197" s="33">
        <v>0</v>
      </c>
      <c r="M197">
        <v>20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5">
        <v>0</v>
      </c>
      <c r="AS197" s="35">
        <v>0</v>
      </c>
      <c r="AT197" s="35">
        <v>20</v>
      </c>
      <c r="AU197" s="31" t="str">
        <f t="shared" ref="AU197:AU260" si="6">IF(AR197="","库存为"&amp;M197,IF(AS197=0,"库存为"&amp;M197,INT(M197/AR197)))</f>
        <v>库存为20</v>
      </c>
      <c r="AV197" s="36" t="str">
        <f>IFERROR($A$2+AU197,"上周无销量")</f>
        <v>上周无销量</v>
      </c>
    </row>
    <row r="198" spans="1:48">
      <c r="A198" s="21" t="s">
        <v>444</v>
      </c>
      <c r="B198" t="s">
        <v>445</v>
      </c>
      <c r="C198" t="s">
        <v>443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20</v>
      </c>
      <c r="K198" s="33">
        <v>0</v>
      </c>
      <c r="L198" s="33">
        <v>0</v>
      </c>
      <c r="M198">
        <v>20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s">
        <v>54</v>
      </c>
      <c r="AO198" s="23" t="s">
        <v>54</v>
      </c>
      <c r="AP198" s="23" t="s">
        <v>54</v>
      </c>
      <c r="AQ198" s="23" t="s">
        <v>54</v>
      </c>
      <c r="AR198" s="35">
        <v>0</v>
      </c>
      <c r="AS198" s="35">
        <v>0</v>
      </c>
      <c r="AT198" s="35">
        <v>20</v>
      </c>
      <c r="AU198" s="31" t="str">
        <f t="shared" si="6"/>
        <v>库存为20</v>
      </c>
      <c r="AV198" s="36" t="str">
        <f>IFERROR($A$2+AU198,"上周无销量")</f>
        <v>上周无销量</v>
      </c>
    </row>
    <row r="199" spans="1:48">
      <c r="A199" s="21" t="s">
        <v>446</v>
      </c>
      <c r="B199" t="s">
        <v>447</v>
      </c>
      <c r="C199" t="s">
        <v>443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19</v>
      </c>
      <c r="K199" s="33">
        <v>0</v>
      </c>
      <c r="L199" s="33">
        <v>0</v>
      </c>
      <c r="M199">
        <v>19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s">
        <v>54</v>
      </c>
      <c r="AO199" s="23" t="s">
        <v>54</v>
      </c>
      <c r="AP199" s="23" t="s">
        <v>54</v>
      </c>
      <c r="AQ199" s="23" t="s">
        <v>54</v>
      </c>
      <c r="AR199" s="35">
        <v>0</v>
      </c>
      <c r="AS199" s="35">
        <v>0</v>
      </c>
      <c r="AT199" s="35">
        <v>19</v>
      </c>
      <c r="AU199" s="31" t="str">
        <f t="shared" si="6"/>
        <v>库存为19</v>
      </c>
      <c r="AV199" s="36" t="str">
        <f>IFERROR($A$2+AU199,"上周无销量")</f>
        <v>上周无销量</v>
      </c>
    </row>
    <row r="200" spans="1:48">
      <c r="A200" s="21" t="s">
        <v>448</v>
      </c>
      <c r="B200" t="s">
        <v>449</v>
      </c>
      <c r="C200" t="s">
        <v>443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20</v>
      </c>
      <c r="K200" s="33">
        <v>0</v>
      </c>
      <c r="L200" s="33">
        <v>0</v>
      </c>
      <c r="M200">
        <v>20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5">
        <v>0</v>
      </c>
      <c r="AS200" s="35">
        <v>0</v>
      </c>
      <c r="AT200" s="35">
        <v>20</v>
      </c>
      <c r="AU200" s="31" t="str">
        <f t="shared" si="6"/>
        <v>库存为20</v>
      </c>
      <c r="AV200" s="36" t="str">
        <f>IFERROR($A$2+AU200,"上周无销量")</f>
        <v>上周无销量</v>
      </c>
    </row>
    <row r="201" spans="1:48">
      <c r="A201" s="21" t="s">
        <v>450</v>
      </c>
      <c r="B201" t="s">
        <v>451</v>
      </c>
      <c r="C201" t="s">
        <v>443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20</v>
      </c>
      <c r="K201" s="33">
        <v>0</v>
      </c>
      <c r="L201" s="33">
        <v>0</v>
      </c>
      <c r="M201">
        <v>20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5">
        <v>0</v>
      </c>
      <c r="AS201" s="35">
        <v>0</v>
      </c>
      <c r="AT201" s="35">
        <v>20</v>
      </c>
      <c r="AU201" s="31" t="str">
        <f t="shared" si="6"/>
        <v>库存为20</v>
      </c>
      <c r="AV201" s="36" t="str">
        <f>IFERROR($A$2+AU201,"上周无销量")</f>
        <v>上周无销量</v>
      </c>
    </row>
    <row r="202" spans="1:48">
      <c r="A202" s="21" t="s">
        <v>452</v>
      </c>
      <c r="B202" t="s">
        <v>453</v>
      </c>
      <c r="C202" t="s">
        <v>443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19</v>
      </c>
      <c r="K202" s="33">
        <v>0</v>
      </c>
      <c r="L202" s="33">
        <v>0</v>
      </c>
      <c r="M202">
        <v>19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5">
        <v>0</v>
      </c>
      <c r="AS202" s="35">
        <v>0</v>
      </c>
      <c r="AT202" s="35">
        <v>19</v>
      </c>
      <c r="AU202" s="31" t="str">
        <f t="shared" si="6"/>
        <v>库存为19</v>
      </c>
      <c r="AV202" s="36" t="str">
        <f>IFERROR($A$2+AU202,"上周无销量")</f>
        <v>上周无销量</v>
      </c>
    </row>
    <row r="203" spans="1:48">
      <c r="A203" s="21" t="s">
        <v>454</v>
      </c>
      <c r="B203" t="s">
        <v>455</v>
      </c>
      <c r="C203" t="s">
        <v>443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20</v>
      </c>
      <c r="K203" s="33">
        <v>0</v>
      </c>
      <c r="L203" s="33">
        <v>0</v>
      </c>
      <c r="M203">
        <v>20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5">
        <v>0</v>
      </c>
      <c r="AS203" s="35">
        <v>0</v>
      </c>
      <c r="AT203" s="35">
        <v>20</v>
      </c>
      <c r="AU203" s="31" t="str">
        <f t="shared" si="6"/>
        <v>库存为20</v>
      </c>
      <c r="AV203" s="36" t="str">
        <f>IFERROR($A$2+AU203,"上周无销量")</f>
        <v>上周无销量</v>
      </c>
    </row>
    <row r="204" spans="1:48">
      <c r="A204" s="21" t="s">
        <v>456</v>
      </c>
      <c r="B204" t="s">
        <v>457</v>
      </c>
      <c r="C204" t="s">
        <v>443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20</v>
      </c>
      <c r="K204" s="33">
        <v>0</v>
      </c>
      <c r="L204" s="33">
        <v>0</v>
      </c>
      <c r="M204">
        <v>20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5">
        <v>0</v>
      </c>
      <c r="AS204" s="35">
        <v>0</v>
      </c>
      <c r="AT204" s="35">
        <v>20</v>
      </c>
      <c r="AU204" s="31" t="str">
        <f t="shared" si="6"/>
        <v>库存为20</v>
      </c>
      <c r="AV204" s="36" t="str">
        <f>IFERROR($A$2+AU204,"上周无销量")</f>
        <v>上周无销量</v>
      </c>
    </row>
    <row r="205" spans="1:48">
      <c r="A205" s="21" t="s">
        <v>458</v>
      </c>
      <c r="B205" t="s">
        <v>459</v>
      </c>
      <c r="C205" t="s">
        <v>443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19</v>
      </c>
      <c r="K205" s="33">
        <v>0</v>
      </c>
      <c r="L205" s="33">
        <v>0</v>
      </c>
      <c r="M205">
        <v>19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5">
        <v>0</v>
      </c>
      <c r="AS205" s="35">
        <v>0</v>
      </c>
      <c r="AT205" s="35">
        <v>19</v>
      </c>
      <c r="AU205" s="31" t="str">
        <f t="shared" si="6"/>
        <v>库存为19</v>
      </c>
      <c r="AV205" s="36" t="str">
        <f>IFERROR($A$2+AU205,"上周无销量")</f>
        <v>上周无销量</v>
      </c>
    </row>
    <row r="206" spans="1:48">
      <c r="A206" s="21" t="s">
        <v>460</v>
      </c>
      <c r="B206" t="s">
        <v>461</v>
      </c>
      <c r="C206" t="s">
        <v>443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20</v>
      </c>
      <c r="K206" s="33">
        <v>0</v>
      </c>
      <c r="L206" s="33">
        <v>0</v>
      </c>
      <c r="M206">
        <v>20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5">
        <v>0</v>
      </c>
      <c r="AS206" s="35">
        <v>0</v>
      </c>
      <c r="AT206" s="35">
        <v>20</v>
      </c>
      <c r="AU206" s="31" t="str">
        <f t="shared" si="6"/>
        <v>库存为20</v>
      </c>
      <c r="AV206" s="36" t="str">
        <f>IFERROR($A$2+AU206,"上周无销量")</f>
        <v>上周无销量</v>
      </c>
    </row>
    <row r="207" spans="1:48">
      <c r="A207" s="21" t="s">
        <v>462</v>
      </c>
      <c r="B207" t="s">
        <v>463</v>
      </c>
      <c r="C207" t="s">
        <v>443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20</v>
      </c>
      <c r="K207" s="33">
        <v>0</v>
      </c>
      <c r="L207" s="33">
        <v>0</v>
      </c>
      <c r="M207">
        <v>20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5">
        <v>0</v>
      </c>
      <c r="AS207" s="35">
        <v>0</v>
      </c>
      <c r="AT207" s="35">
        <v>20</v>
      </c>
      <c r="AU207" s="31" t="str">
        <f t="shared" si="6"/>
        <v>库存为20</v>
      </c>
      <c r="AV207" s="36" t="str">
        <f>IFERROR($A$2+AU207,"上周无销量")</f>
        <v>上周无销量</v>
      </c>
    </row>
    <row r="208" spans="1:48">
      <c r="A208" s="21" t="s">
        <v>464</v>
      </c>
      <c r="B208" t="s">
        <v>465</v>
      </c>
      <c r="C208" t="s">
        <v>443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19</v>
      </c>
      <c r="K208" s="33">
        <v>0</v>
      </c>
      <c r="L208" s="33">
        <v>0</v>
      </c>
      <c r="M208">
        <v>19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5">
        <v>0</v>
      </c>
      <c r="AS208" s="35">
        <v>0</v>
      </c>
      <c r="AT208" s="35">
        <v>19</v>
      </c>
      <c r="AU208" s="31" t="str">
        <f t="shared" si="6"/>
        <v>库存为19</v>
      </c>
      <c r="AV208" s="36" t="str">
        <f>IFERROR($A$2+AU208,"上周无销量")</f>
        <v>上周无销量</v>
      </c>
    </row>
    <row r="209" spans="1:48">
      <c r="A209" s="21" t="s">
        <v>466</v>
      </c>
      <c r="B209" t="s">
        <v>467</v>
      </c>
      <c r="C209" t="s">
        <v>443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20</v>
      </c>
      <c r="K209" s="33">
        <v>0</v>
      </c>
      <c r="L209" s="33">
        <v>0</v>
      </c>
      <c r="M209">
        <v>20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5">
        <v>0</v>
      </c>
      <c r="AS209" s="35">
        <v>0</v>
      </c>
      <c r="AT209" s="35">
        <v>20</v>
      </c>
      <c r="AU209" s="31" t="str">
        <f t="shared" si="6"/>
        <v>库存为20</v>
      </c>
      <c r="AV209" s="36" t="str">
        <f>IFERROR($A$2+AU209,"上周无销量")</f>
        <v>上周无销量</v>
      </c>
    </row>
    <row r="210" spans="1:48">
      <c r="A210" s="21" t="s">
        <v>468</v>
      </c>
      <c r="B210" t="s">
        <v>469</v>
      </c>
      <c r="C210" t="s">
        <v>443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20</v>
      </c>
      <c r="K210" s="33">
        <v>0</v>
      </c>
      <c r="L210" s="33">
        <v>0</v>
      </c>
      <c r="M210">
        <v>20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5">
        <v>0</v>
      </c>
      <c r="AS210" s="35">
        <v>0</v>
      </c>
      <c r="AT210" s="35">
        <v>20</v>
      </c>
      <c r="AU210" s="31" t="str">
        <f t="shared" si="6"/>
        <v>库存为20</v>
      </c>
      <c r="AV210" s="36" t="str">
        <f>IFERROR($A$2+AU210,"上周无销量")</f>
        <v>上周无销量</v>
      </c>
    </row>
    <row r="211" spans="1:48">
      <c r="A211" s="21" t="s">
        <v>470</v>
      </c>
      <c r="B211" t="s">
        <v>471</v>
      </c>
      <c r="C211" t="s">
        <v>443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19</v>
      </c>
      <c r="K211" s="33">
        <v>0</v>
      </c>
      <c r="L211" s="33">
        <v>0</v>
      </c>
      <c r="M211">
        <v>19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5">
        <v>0</v>
      </c>
      <c r="AS211" s="35">
        <v>0</v>
      </c>
      <c r="AT211" s="35">
        <v>19</v>
      </c>
      <c r="AU211" s="31" t="str">
        <f t="shared" si="6"/>
        <v>库存为19</v>
      </c>
      <c r="AV211" s="36" t="str">
        <f>IFERROR($A$2+AU211,"上周无销量")</f>
        <v>上周无销量</v>
      </c>
    </row>
    <row r="212" spans="1:48">
      <c r="A212" s="21" t="s">
        <v>472</v>
      </c>
      <c r="B212" t="s">
        <v>473</v>
      </c>
      <c r="C212" t="s">
        <v>443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20</v>
      </c>
      <c r="K212" s="33">
        <v>0</v>
      </c>
      <c r="L212" s="33">
        <v>0</v>
      </c>
      <c r="M212">
        <v>20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5">
        <v>0</v>
      </c>
      <c r="AS212" s="35">
        <v>0</v>
      </c>
      <c r="AT212" s="35">
        <v>20</v>
      </c>
      <c r="AU212" s="31" t="str">
        <f t="shared" si="6"/>
        <v>库存为20</v>
      </c>
      <c r="AV212" s="36" t="str">
        <f>IFERROR($A$2+AU212,"上周无销量")</f>
        <v>上周无销量</v>
      </c>
    </row>
    <row r="213" spans="1:48">
      <c r="A213" s="21" t="s">
        <v>474</v>
      </c>
      <c r="B213" t="s">
        <v>475</v>
      </c>
      <c r="C213" t="s">
        <v>443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20</v>
      </c>
      <c r="K213" s="33">
        <v>0</v>
      </c>
      <c r="L213" s="33">
        <v>0</v>
      </c>
      <c r="M213">
        <v>20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5">
        <v>0</v>
      </c>
      <c r="AS213" s="35">
        <v>0</v>
      </c>
      <c r="AT213" s="35">
        <v>20</v>
      </c>
      <c r="AU213" s="31" t="str">
        <f t="shared" si="6"/>
        <v>库存为20</v>
      </c>
      <c r="AV213" s="36" t="str">
        <f>IFERROR($A$2+AU213,"上周无销量")</f>
        <v>上周无销量</v>
      </c>
    </row>
    <row r="214" spans="1:48">
      <c r="A214" s="21" t="s">
        <v>476</v>
      </c>
      <c r="B214" t="s">
        <v>477</v>
      </c>
      <c r="C214" t="s">
        <v>443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19</v>
      </c>
      <c r="K214" s="33">
        <v>0</v>
      </c>
      <c r="L214" s="33">
        <v>0</v>
      </c>
      <c r="M214">
        <v>19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s">
        <v>54</v>
      </c>
      <c r="AO214" s="23" t="s">
        <v>54</v>
      </c>
      <c r="AP214" s="23" t="s">
        <v>54</v>
      </c>
      <c r="AQ214" s="23" t="s">
        <v>54</v>
      </c>
      <c r="AR214" s="35">
        <v>0</v>
      </c>
      <c r="AS214" s="35">
        <v>0</v>
      </c>
      <c r="AT214" s="35">
        <v>19</v>
      </c>
      <c r="AU214" s="31" t="str">
        <f t="shared" si="6"/>
        <v>库存为19</v>
      </c>
      <c r="AV214" s="36" t="str">
        <f>IFERROR($A$2+AU214,"上周无销量")</f>
        <v>上周无销量</v>
      </c>
    </row>
    <row r="215" spans="1:48">
      <c r="A215" s="21" t="s">
        <v>478</v>
      </c>
      <c r="B215" t="s">
        <v>479</v>
      </c>
      <c r="C215" t="s">
        <v>443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20</v>
      </c>
      <c r="K215" s="33">
        <v>0</v>
      </c>
      <c r="L215" s="33">
        <v>0</v>
      </c>
      <c r="M215">
        <v>20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s">
        <v>54</v>
      </c>
      <c r="AO215" s="23" t="s">
        <v>54</v>
      </c>
      <c r="AP215" s="23" t="s">
        <v>54</v>
      </c>
      <c r="AQ215" s="23" t="s">
        <v>54</v>
      </c>
      <c r="AR215" s="35">
        <v>0</v>
      </c>
      <c r="AS215" s="35">
        <v>0</v>
      </c>
      <c r="AT215" s="35">
        <v>20</v>
      </c>
      <c r="AU215" s="31" t="str">
        <f t="shared" si="6"/>
        <v>库存为20</v>
      </c>
      <c r="AV215" s="36" t="str">
        <f>IFERROR($A$2+AU215,"上周无销量")</f>
        <v>上周无销量</v>
      </c>
    </row>
    <row r="216" spans="1:48">
      <c r="A216" s="21" t="s">
        <v>480</v>
      </c>
      <c r="B216" t="s">
        <v>481</v>
      </c>
      <c r="C216" t="s">
        <v>443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20</v>
      </c>
      <c r="K216" s="33">
        <v>0</v>
      </c>
      <c r="L216" s="33">
        <v>0</v>
      </c>
      <c r="M216">
        <v>20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s">
        <v>54</v>
      </c>
      <c r="AO216" s="23" t="s">
        <v>54</v>
      </c>
      <c r="AP216" s="23" t="s">
        <v>54</v>
      </c>
      <c r="AQ216" s="23" t="s">
        <v>54</v>
      </c>
      <c r="AR216" s="35">
        <v>0</v>
      </c>
      <c r="AS216" s="35">
        <v>0</v>
      </c>
      <c r="AT216" s="35">
        <v>20</v>
      </c>
      <c r="AU216" s="31" t="str">
        <f t="shared" si="6"/>
        <v>库存为20</v>
      </c>
      <c r="AV216" s="36" t="str">
        <f>IFERROR($A$2+AU216,"上周无销量")</f>
        <v>上周无销量</v>
      </c>
    </row>
    <row r="217" spans="1:48">
      <c r="A217" s="21" t="s">
        <v>482</v>
      </c>
      <c r="B217" t="s">
        <v>483</v>
      </c>
      <c r="C217" t="s">
        <v>443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19</v>
      </c>
      <c r="K217" s="33">
        <v>0</v>
      </c>
      <c r="L217" s="33">
        <v>0</v>
      </c>
      <c r="M217">
        <v>19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5">
        <v>0</v>
      </c>
      <c r="AS217" s="35">
        <v>0</v>
      </c>
      <c r="AT217" s="35">
        <v>19</v>
      </c>
      <c r="AU217" s="31" t="str">
        <f t="shared" si="6"/>
        <v>库存为19</v>
      </c>
      <c r="AV217" s="36" t="str">
        <f>IFERROR($A$2+AU217,"上周无销量")</f>
        <v>上周无销量</v>
      </c>
    </row>
    <row r="218" spans="1:48">
      <c r="A218" s="21" t="s">
        <v>484</v>
      </c>
      <c r="B218" t="s">
        <v>485</v>
      </c>
      <c r="C218" t="s">
        <v>443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20</v>
      </c>
      <c r="K218" s="33">
        <v>0</v>
      </c>
      <c r="L218" s="33">
        <v>0</v>
      </c>
      <c r="M218">
        <v>20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s">
        <v>54</v>
      </c>
      <c r="AO218" s="23" t="s">
        <v>54</v>
      </c>
      <c r="AP218" s="23" t="s">
        <v>54</v>
      </c>
      <c r="AQ218" s="23" t="s">
        <v>54</v>
      </c>
      <c r="AR218" s="35">
        <v>0</v>
      </c>
      <c r="AS218" s="35">
        <v>0</v>
      </c>
      <c r="AT218" s="35">
        <v>20</v>
      </c>
      <c r="AU218" s="31" t="str">
        <f t="shared" si="6"/>
        <v>库存为20</v>
      </c>
      <c r="AV218" s="36" t="str">
        <f>IFERROR($A$2+AU218,"上周无销量")</f>
        <v>上周无销量</v>
      </c>
    </row>
    <row r="219" spans="1:48">
      <c r="A219" s="21" t="s">
        <v>486</v>
      </c>
      <c r="B219" t="s">
        <v>487</v>
      </c>
      <c r="C219" t="s">
        <v>443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20</v>
      </c>
      <c r="K219" s="33">
        <v>0</v>
      </c>
      <c r="L219" s="33">
        <v>0</v>
      </c>
      <c r="M219">
        <v>20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s">
        <v>54</v>
      </c>
      <c r="AO219" s="23" t="s">
        <v>54</v>
      </c>
      <c r="AP219" s="23" t="s">
        <v>54</v>
      </c>
      <c r="AQ219" s="23" t="s">
        <v>54</v>
      </c>
      <c r="AR219" s="35">
        <v>0</v>
      </c>
      <c r="AS219" s="35">
        <v>0</v>
      </c>
      <c r="AT219" s="35">
        <v>20</v>
      </c>
      <c r="AU219" s="31" t="str">
        <f t="shared" si="6"/>
        <v>库存为20</v>
      </c>
      <c r="AV219" s="36" t="str">
        <f>IFERROR($A$2+AU219,"上周无销量")</f>
        <v>上周无销量</v>
      </c>
    </row>
    <row r="220" spans="1:48">
      <c r="A220" s="21" t="s">
        <v>488</v>
      </c>
      <c r="B220" t="s">
        <v>489</v>
      </c>
      <c r="C220" t="s">
        <v>443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19</v>
      </c>
      <c r="K220" s="33">
        <v>0</v>
      </c>
      <c r="L220" s="33">
        <v>0</v>
      </c>
      <c r="M220">
        <v>19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s">
        <v>54</v>
      </c>
      <c r="AO220" s="23" t="s">
        <v>54</v>
      </c>
      <c r="AP220" s="23" t="s">
        <v>54</v>
      </c>
      <c r="AQ220" s="23" t="s">
        <v>54</v>
      </c>
      <c r="AR220" s="35">
        <v>0</v>
      </c>
      <c r="AS220" s="35">
        <v>0</v>
      </c>
      <c r="AT220" s="35">
        <v>19</v>
      </c>
      <c r="AU220" s="31" t="str">
        <f t="shared" si="6"/>
        <v>库存为19</v>
      </c>
      <c r="AV220" s="36" t="str">
        <f>IFERROR($A$2+AU220,"上周无销量")</f>
        <v>上周无销量</v>
      </c>
    </row>
    <row r="221" spans="1:48">
      <c r="A221" s="21" t="s">
        <v>490</v>
      </c>
      <c r="B221" t="s">
        <v>491</v>
      </c>
      <c r="C221" t="s">
        <v>443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20</v>
      </c>
      <c r="K221" s="33">
        <v>0</v>
      </c>
      <c r="L221" s="33">
        <v>0</v>
      </c>
      <c r="M221">
        <v>20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5">
        <v>0</v>
      </c>
      <c r="AS221" s="35">
        <v>0</v>
      </c>
      <c r="AT221" s="35">
        <v>20</v>
      </c>
      <c r="AU221" s="31" t="str">
        <f t="shared" si="6"/>
        <v>库存为20</v>
      </c>
      <c r="AV221" s="36" t="str">
        <f>IFERROR($A$2+AU221,"上周无销量")</f>
        <v>上周无销量</v>
      </c>
    </row>
    <row r="222" spans="1:48">
      <c r="A222" s="21" t="s">
        <v>492</v>
      </c>
      <c r="B222" t="s">
        <v>493</v>
      </c>
      <c r="C222" t="s">
        <v>443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19</v>
      </c>
      <c r="K222" s="33">
        <v>0</v>
      </c>
      <c r="L222" s="33">
        <v>0</v>
      </c>
      <c r="M222">
        <v>19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5">
        <v>0</v>
      </c>
      <c r="AS222" s="35">
        <v>0</v>
      </c>
      <c r="AT222" s="35">
        <v>19</v>
      </c>
      <c r="AU222" s="31" t="str">
        <f t="shared" si="6"/>
        <v>库存为19</v>
      </c>
      <c r="AV222" s="36" t="str">
        <f>IFERROR($A$2+AU222,"上周无销量")</f>
        <v>上周无销量</v>
      </c>
    </row>
    <row r="223" spans="1:48">
      <c r="A223" s="21" t="s">
        <v>494</v>
      </c>
      <c r="B223" t="s">
        <v>495</v>
      </c>
      <c r="C223" t="s">
        <v>443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19</v>
      </c>
      <c r="K223" s="33">
        <v>0</v>
      </c>
      <c r="L223" s="33">
        <v>0</v>
      </c>
      <c r="M223">
        <v>19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5">
        <v>0</v>
      </c>
      <c r="AS223" s="35">
        <v>0</v>
      </c>
      <c r="AT223" s="35">
        <v>19</v>
      </c>
      <c r="AU223" s="31" t="str">
        <f t="shared" si="6"/>
        <v>库存为19</v>
      </c>
      <c r="AV223" s="36" t="str">
        <f>IFERROR($A$2+AU223,"上周无销量")</f>
        <v>上周无销量</v>
      </c>
    </row>
    <row r="224" spans="1:48">
      <c r="A224" s="21" t="s">
        <v>496</v>
      </c>
      <c r="B224" t="s">
        <v>497</v>
      </c>
      <c r="C224" t="s">
        <v>443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20</v>
      </c>
      <c r="K224" s="33">
        <v>0</v>
      </c>
      <c r="L224" s="33">
        <v>0</v>
      </c>
      <c r="M224">
        <v>20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5">
        <v>0</v>
      </c>
      <c r="AS224" s="35">
        <v>0</v>
      </c>
      <c r="AT224" s="35">
        <v>20</v>
      </c>
      <c r="AU224" s="31" t="str">
        <f t="shared" si="6"/>
        <v>库存为20</v>
      </c>
      <c r="AV224" s="36" t="str">
        <f>IFERROR($A$2+AU224,"上周无销量")</f>
        <v>上周无销量</v>
      </c>
    </row>
    <row r="225" spans="1:48">
      <c r="A225" s="21" t="s">
        <v>498</v>
      </c>
      <c r="B225" t="s">
        <v>499</v>
      </c>
      <c r="C225" t="s">
        <v>443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20</v>
      </c>
      <c r="K225" s="33">
        <v>0</v>
      </c>
      <c r="L225" s="33">
        <v>0</v>
      </c>
      <c r="M225">
        <v>20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5">
        <v>0</v>
      </c>
      <c r="AS225" s="35">
        <v>0</v>
      </c>
      <c r="AT225" s="35">
        <v>20</v>
      </c>
      <c r="AU225" s="31" t="str">
        <f t="shared" si="6"/>
        <v>库存为20</v>
      </c>
      <c r="AV225" s="36" t="str">
        <f>IFERROR($A$2+AU225,"上周无销量")</f>
        <v>上周无销量</v>
      </c>
    </row>
    <row r="226" spans="1:48">
      <c r="A226" s="21" t="s">
        <v>500</v>
      </c>
      <c r="B226" t="s">
        <v>501</v>
      </c>
      <c r="C226" t="s">
        <v>443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19</v>
      </c>
      <c r="K226" s="33">
        <v>0</v>
      </c>
      <c r="L226" s="33">
        <v>0</v>
      </c>
      <c r="M226">
        <v>19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5">
        <v>0</v>
      </c>
      <c r="AS226" s="35">
        <v>0</v>
      </c>
      <c r="AT226" s="35">
        <v>19</v>
      </c>
      <c r="AU226" s="31" t="str">
        <f t="shared" si="6"/>
        <v>库存为19</v>
      </c>
      <c r="AV226" s="36" t="str">
        <f>IFERROR($A$2+AU226,"上周无销量")</f>
        <v>上周无销量</v>
      </c>
    </row>
    <row r="227" spans="1:48">
      <c r="A227" s="21" t="s">
        <v>502</v>
      </c>
      <c r="B227" t="s">
        <v>503</v>
      </c>
      <c r="C227" t="s">
        <v>443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20</v>
      </c>
      <c r="K227" s="33">
        <v>0</v>
      </c>
      <c r="L227" s="33">
        <v>0</v>
      </c>
      <c r="M227">
        <v>20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5">
        <v>0</v>
      </c>
      <c r="AS227" s="35">
        <v>0</v>
      </c>
      <c r="AT227" s="35">
        <v>20</v>
      </c>
      <c r="AU227" s="31" t="str">
        <f t="shared" si="6"/>
        <v>库存为20</v>
      </c>
      <c r="AV227" s="36" t="str">
        <f>IFERROR($A$2+AU227,"上周无销量")</f>
        <v>上周无销量</v>
      </c>
    </row>
    <row r="228" spans="1:48">
      <c r="A228" s="21" t="s">
        <v>504</v>
      </c>
      <c r="B228" t="s">
        <v>505</v>
      </c>
      <c r="C228" t="s">
        <v>443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20</v>
      </c>
      <c r="K228" s="33">
        <v>0</v>
      </c>
      <c r="L228" s="33">
        <v>0</v>
      </c>
      <c r="M228">
        <v>20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5">
        <v>0</v>
      </c>
      <c r="AS228" s="35">
        <v>0</v>
      </c>
      <c r="AT228" s="35">
        <v>20</v>
      </c>
      <c r="AU228" s="31" t="str">
        <f t="shared" si="6"/>
        <v>库存为20</v>
      </c>
      <c r="AV228" s="36" t="str">
        <f>IFERROR($A$2+AU228,"上周无销量")</f>
        <v>上周无销量</v>
      </c>
    </row>
    <row r="229" spans="1:48">
      <c r="A229" s="21" t="s">
        <v>506</v>
      </c>
      <c r="B229" t="s">
        <v>507</v>
      </c>
      <c r="C229" t="s">
        <v>443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19</v>
      </c>
      <c r="K229" s="33">
        <v>0</v>
      </c>
      <c r="L229" s="33">
        <v>0</v>
      </c>
      <c r="M229">
        <v>19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5">
        <v>0</v>
      </c>
      <c r="AS229" s="35">
        <v>0</v>
      </c>
      <c r="AT229" s="35">
        <v>19</v>
      </c>
      <c r="AU229" s="31" t="str">
        <f t="shared" si="6"/>
        <v>库存为19</v>
      </c>
      <c r="AV229" s="36" t="str">
        <f>IFERROR($A$2+AU229,"上周无销量")</f>
        <v>上周无销量</v>
      </c>
    </row>
    <row r="230" spans="1:48">
      <c r="A230" s="21" t="s">
        <v>508</v>
      </c>
      <c r="B230" t="s">
        <v>509</v>
      </c>
      <c r="C230" t="s">
        <v>443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20</v>
      </c>
      <c r="K230" s="33">
        <v>0</v>
      </c>
      <c r="L230" s="33">
        <v>0</v>
      </c>
      <c r="M230">
        <v>20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5">
        <v>0</v>
      </c>
      <c r="AS230" s="35">
        <v>0</v>
      </c>
      <c r="AT230" s="35">
        <v>20</v>
      </c>
      <c r="AU230" s="31" t="str">
        <f t="shared" si="6"/>
        <v>库存为20</v>
      </c>
      <c r="AV230" s="36" t="str">
        <f>IFERROR($A$2+AU230,"上周无销量")</f>
        <v>上周无销量</v>
      </c>
    </row>
    <row r="231" spans="1:48">
      <c r="A231" s="21" t="s">
        <v>510</v>
      </c>
      <c r="B231" t="s">
        <v>511</v>
      </c>
      <c r="C231" t="s">
        <v>443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20</v>
      </c>
      <c r="K231" s="33">
        <v>0</v>
      </c>
      <c r="L231" s="33">
        <v>0</v>
      </c>
      <c r="M231">
        <v>20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5">
        <v>0</v>
      </c>
      <c r="AS231" s="35">
        <v>0</v>
      </c>
      <c r="AT231" s="35">
        <v>20</v>
      </c>
      <c r="AU231" s="31" t="str">
        <f t="shared" si="6"/>
        <v>库存为20</v>
      </c>
      <c r="AV231" s="36" t="str">
        <f>IFERROR($A$2+AU231,"上周无销量")</f>
        <v>上周无销量</v>
      </c>
    </row>
    <row r="232" spans="1:48">
      <c r="A232" s="21" t="s">
        <v>512</v>
      </c>
      <c r="B232" t="s">
        <v>513</v>
      </c>
      <c r="C232" t="s">
        <v>443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19</v>
      </c>
      <c r="K232" s="33">
        <v>0</v>
      </c>
      <c r="L232" s="33">
        <v>0</v>
      </c>
      <c r="M232">
        <v>19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5">
        <v>0</v>
      </c>
      <c r="AS232" s="35">
        <v>0</v>
      </c>
      <c r="AT232" s="35">
        <v>19</v>
      </c>
      <c r="AU232" s="31" t="str">
        <f t="shared" si="6"/>
        <v>库存为19</v>
      </c>
      <c r="AV232" s="36" t="str">
        <f>IFERROR($A$2+AU232,"上周无销量")</f>
        <v>上周无销量</v>
      </c>
    </row>
    <row r="233" spans="1:48">
      <c r="A233" s="21" t="s">
        <v>514</v>
      </c>
      <c r="B233" t="s">
        <v>515</v>
      </c>
      <c r="C233" t="s">
        <v>443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20</v>
      </c>
      <c r="K233" s="33">
        <v>0</v>
      </c>
      <c r="L233" s="33">
        <v>0</v>
      </c>
      <c r="M233">
        <v>20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5">
        <v>0</v>
      </c>
      <c r="AS233" s="35">
        <v>0</v>
      </c>
      <c r="AT233" s="35">
        <v>20</v>
      </c>
      <c r="AU233" s="31" t="str">
        <f t="shared" si="6"/>
        <v>库存为20</v>
      </c>
      <c r="AV233" s="36" t="str">
        <f>IFERROR($A$2+AU233,"上周无销量")</f>
        <v>上周无销量</v>
      </c>
    </row>
    <row r="234" spans="1:48">
      <c r="A234" s="21" t="s">
        <v>516</v>
      </c>
      <c r="B234" t="s">
        <v>517</v>
      </c>
      <c r="C234" t="s">
        <v>443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20</v>
      </c>
      <c r="K234" s="33">
        <v>0</v>
      </c>
      <c r="L234" s="33">
        <v>0</v>
      </c>
      <c r="M234">
        <v>20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5">
        <v>0</v>
      </c>
      <c r="AS234" s="35">
        <v>0</v>
      </c>
      <c r="AT234" s="35">
        <v>20</v>
      </c>
      <c r="AU234" s="31" t="str">
        <f t="shared" si="6"/>
        <v>库存为20</v>
      </c>
      <c r="AV234" s="36" t="str">
        <f>IFERROR($A$2+AU234,"上周无销量")</f>
        <v>上周无销量</v>
      </c>
    </row>
    <row r="235" spans="1:48">
      <c r="A235" s="21" t="s">
        <v>518</v>
      </c>
      <c r="B235" t="s">
        <v>519</v>
      </c>
      <c r="C235" t="s">
        <v>443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19</v>
      </c>
      <c r="K235" s="33">
        <v>0</v>
      </c>
      <c r="L235" s="33">
        <v>0</v>
      </c>
      <c r="M235">
        <v>19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5">
        <v>0</v>
      </c>
      <c r="AS235" s="35">
        <v>0</v>
      </c>
      <c r="AT235" s="35">
        <v>19</v>
      </c>
      <c r="AU235" s="31" t="str">
        <f t="shared" si="6"/>
        <v>库存为19</v>
      </c>
      <c r="AV235" s="36" t="str">
        <f>IFERROR($A$2+AU235,"上周无销量")</f>
        <v>上周无销量</v>
      </c>
    </row>
    <row r="236" spans="1:48">
      <c r="A236" s="21" t="s">
        <v>520</v>
      </c>
      <c r="B236" t="s">
        <v>521</v>
      </c>
      <c r="C236" t="s">
        <v>443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20</v>
      </c>
      <c r="K236" s="33">
        <v>0</v>
      </c>
      <c r="L236" s="33">
        <v>0</v>
      </c>
      <c r="M236">
        <v>20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5">
        <v>0</v>
      </c>
      <c r="AS236" s="35">
        <v>0</v>
      </c>
      <c r="AT236" s="35">
        <v>20</v>
      </c>
      <c r="AU236" s="31" t="str">
        <f t="shared" si="6"/>
        <v>库存为20</v>
      </c>
      <c r="AV236" s="36" t="str">
        <f>IFERROR($A$2+AU236,"上周无销量")</f>
        <v>上周无销量</v>
      </c>
    </row>
    <row r="237" spans="1:48">
      <c r="A237" s="21" t="s">
        <v>522</v>
      </c>
      <c r="B237" t="s">
        <v>523</v>
      </c>
      <c r="C237" t="s">
        <v>443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20</v>
      </c>
      <c r="K237" s="33">
        <v>0</v>
      </c>
      <c r="L237" s="33">
        <v>0</v>
      </c>
      <c r="M237">
        <v>20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5">
        <v>0</v>
      </c>
      <c r="AS237" s="35">
        <v>0</v>
      </c>
      <c r="AT237" s="35">
        <v>20</v>
      </c>
      <c r="AU237" s="31" t="str">
        <f t="shared" si="6"/>
        <v>库存为20</v>
      </c>
      <c r="AV237" s="36" t="str">
        <f>IFERROR($A$2+AU237,"上周无销量")</f>
        <v>上周无销量</v>
      </c>
    </row>
    <row r="238" spans="1:48">
      <c r="A238" s="21" t="s">
        <v>524</v>
      </c>
      <c r="B238" t="s">
        <v>525</v>
      </c>
      <c r="C238" t="s">
        <v>443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19</v>
      </c>
      <c r="K238" s="33">
        <v>0</v>
      </c>
      <c r="L238" s="33">
        <v>0</v>
      </c>
      <c r="M238">
        <v>19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5">
        <v>0</v>
      </c>
      <c r="AS238" s="35">
        <v>0</v>
      </c>
      <c r="AT238" s="35">
        <v>19</v>
      </c>
      <c r="AU238" s="31" t="str">
        <f t="shared" si="6"/>
        <v>库存为19</v>
      </c>
      <c r="AV238" s="36" t="str">
        <f>IFERROR($A$2+AU238,"上周无销量")</f>
        <v>上周无销量</v>
      </c>
    </row>
    <row r="239" spans="1:48">
      <c r="A239" s="21" t="s">
        <v>526</v>
      </c>
      <c r="B239" t="s">
        <v>527</v>
      </c>
      <c r="C239" t="s">
        <v>443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20</v>
      </c>
      <c r="K239" s="33">
        <v>0</v>
      </c>
      <c r="L239" s="33">
        <v>0</v>
      </c>
      <c r="M239">
        <v>20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s">
        <v>54</v>
      </c>
      <c r="AO239" s="23" t="s">
        <v>54</v>
      </c>
      <c r="AP239" s="23" t="s">
        <v>54</v>
      </c>
      <c r="AQ239" s="23" t="s">
        <v>54</v>
      </c>
      <c r="AR239" s="35">
        <v>0</v>
      </c>
      <c r="AS239" s="35">
        <v>0</v>
      </c>
      <c r="AT239" s="35">
        <v>20</v>
      </c>
      <c r="AU239" s="31" t="str">
        <f t="shared" si="6"/>
        <v>库存为20</v>
      </c>
      <c r="AV239" s="36" t="str">
        <f>IFERROR($A$2+AU239,"上周无销量")</f>
        <v>上周无销量</v>
      </c>
    </row>
    <row r="240" spans="1:48">
      <c r="A240" s="21" t="s">
        <v>528</v>
      </c>
      <c r="B240" t="s">
        <v>529</v>
      </c>
      <c r="C240" t="s">
        <v>443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21</v>
      </c>
      <c r="K240" s="33">
        <v>0</v>
      </c>
      <c r="L240" s="33">
        <v>0</v>
      </c>
      <c r="M240">
        <v>21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5">
        <v>0</v>
      </c>
      <c r="AS240" s="35">
        <v>0</v>
      </c>
      <c r="AT240" s="35">
        <v>21</v>
      </c>
      <c r="AU240" s="31" t="str">
        <f t="shared" si="6"/>
        <v>库存为21</v>
      </c>
      <c r="AV240" s="36" t="str">
        <f>IFERROR($A$2+AU240,"上周无销量")</f>
        <v>上周无销量</v>
      </c>
    </row>
    <row r="241" spans="1:48">
      <c r="A241" s="21" t="s">
        <v>530</v>
      </c>
      <c r="B241" t="s">
        <v>531</v>
      </c>
      <c r="C241" t="s">
        <v>443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19</v>
      </c>
      <c r="K241" s="33">
        <v>0</v>
      </c>
      <c r="L241" s="33">
        <v>0</v>
      </c>
      <c r="M241">
        <v>19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s">
        <v>54</v>
      </c>
      <c r="AO241" s="23" t="s">
        <v>54</v>
      </c>
      <c r="AP241" s="23" t="s">
        <v>54</v>
      </c>
      <c r="AQ241" s="23" t="s">
        <v>54</v>
      </c>
      <c r="AR241" s="35">
        <v>0</v>
      </c>
      <c r="AS241" s="35">
        <v>0</v>
      </c>
      <c r="AT241" s="35">
        <v>19</v>
      </c>
      <c r="AU241" s="31" t="str">
        <f t="shared" si="6"/>
        <v>库存为19</v>
      </c>
      <c r="AV241" s="36" t="str">
        <f>IFERROR($A$2+AU241,"上周无销量")</f>
        <v>上周无销量</v>
      </c>
    </row>
    <row r="242" spans="1:48">
      <c r="A242" s="21" t="s">
        <v>532</v>
      </c>
      <c r="B242" t="s">
        <v>533</v>
      </c>
      <c r="C242" t="s">
        <v>443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20</v>
      </c>
      <c r="K242" s="33">
        <v>0</v>
      </c>
      <c r="L242" s="33">
        <v>0</v>
      </c>
      <c r="M242">
        <v>20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s">
        <v>54</v>
      </c>
      <c r="AO242" s="23" t="s">
        <v>54</v>
      </c>
      <c r="AP242" s="23" t="s">
        <v>54</v>
      </c>
      <c r="AQ242" s="23" t="s">
        <v>54</v>
      </c>
      <c r="AR242" s="35">
        <v>0</v>
      </c>
      <c r="AS242" s="35">
        <v>0</v>
      </c>
      <c r="AT242" s="35">
        <v>20</v>
      </c>
      <c r="AU242" s="31" t="str">
        <f t="shared" si="6"/>
        <v>库存为20</v>
      </c>
      <c r="AV242" s="36" t="str">
        <f>IFERROR($A$2+AU242,"上周无销量")</f>
        <v>上周无销量</v>
      </c>
    </row>
    <row r="243" spans="1:48">
      <c r="A243" s="21" t="s">
        <v>534</v>
      </c>
      <c r="B243" t="s">
        <v>535</v>
      </c>
      <c r="C243" t="s">
        <v>443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21</v>
      </c>
      <c r="K243" s="33">
        <v>0</v>
      </c>
      <c r="L243" s="33">
        <v>0</v>
      </c>
      <c r="M243">
        <v>21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5">
        <v>0</v>
      </c>
      <c r="AS243" s="35">
        <v>0</v>
      </c>
      <c r="AT243" s="35">
        <v>21</v>
      </c>
      <c r="AU243" s="31" t="str">
        <f t="shared" si="6"/>
        <v>库存为21</v>
      </c>
      <c r="AV243" s="36" t="str">
        <f>IFERROR($A$2+AU243,"上周无销量")</f>
        <v>上周无销量</v>
      </c>
    </row>
    <row r="244" spans="1:48">
      <c r="A244" s="21" t="s">
        <v>536</v>
      </c>
      <c r="B244" t="s">
        <v>537</v>
      </c>
      <c r="C244" t="s">
        <v>443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19</v>
      </c>
      <c r="K244" s="33">
        <v>0</v>
      </c>
      <c r="L244" s="33">
        <v>0</v>
      </c>
      <c r="M244">
        <v>19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s">
        <v>54</v>
      </c>
      <c r="AO244" s="23" t="s">
        <v>54</v>
      </c>
      <c r="AP244" s="23" t="s">
        <v>54</v>
      </c>
      <c r="AQ244" s="23" t="s">
        <v>54</v>
      </c>
      <c r="AR244" s="35">
        <v>0</v>
      </c>
      <c r="AS244" s="35">
        <v>0</v>
      </c>
      <c r="AT244" s="35">
        <v>19</v>
      </c>
      <c r="AU244" s="31" t="str">
        <f t="shared" si="6"/>
        <v>库存为19</v>
      </c>
      <c r="AV244" s="36" t="str">
        <f>IFERROR($A$2+AU244,"上周无销量")</f>
        <v>上周无销量</v>
      </c>
    </row>
    <row r="245" spans="1:48">
      <c r="A245" s="21" t="s">
        <v>538</v>
      </c>
      <c r="B245" t="s">
        <v>539</v>
      </c>
      <c r="C245" t="s">
        <v>443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18</v>
      </c>
      <c r="K245" s="33">
        <v>0</v>
      </c>
      <c r="L245" s="33">
        <v>0</v>
      </c>
      <c r="M245">
        <v>18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s">
        <v>54</v>
      </c>
      <c r="AO245" s="23" t="s">
        <v>54</v>
      </c>
      <c r="AP245" s="23" t="s">
        <v>54</v>
      </c>
      <c r="AQ245" s="23" t="s">
        <v>54</v>
      </c>
      <c r="AR245" s="35">
        <v>0</v>
      </c>
      <c r="AS245" s="35">
        <v>0</v>
      </c>
      <c r="AT245" s="35">
        <v>18</v>
      </c>
      <c r="AU245" s="31" t="str">
        <f t="shared" si="6"/>
        <v>库存为18</v>
      </c>
      <c r="AV245" s="36" t="str">
        <f>IFERROR($A$2+AU245,"上周无销量")</f>
        <v>上周无销量</v>
      </c>
    </row>
    <row r="246" spans="1:48">
      <c r="A246" s="21" t="s">
        <v>540</v>
      </c>
      <c r="B246" t="s">
        <v>541</v>
      </c>
      <c r="C246" t="s">
        <v>443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20</v>
      </c>
      <c r="K246" s="33">
        <v>0</v>
      </c>
      <c r="L246" s="33">
        <v>0</v>
      </c>
      <c r="M246">
        <v>20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s">
        <v>54</v>
      </c>
      <c r="AO246" s="23" t="s">
        <v>54</v>
      </c>
      <c r="AP246" s="23" t="s">
        <v>54</v>
      </c>
      <c r="AQ246" s="23" t="s">
        <v>54</v>
      </c>
      <c r="AR246" s="35">
        <v>0</v>
      </c>
      <c r="AS246" s="35">
        <v>0</v>
      </c>
      <c r="AT246" s="35">
        <v>20</v>
      </c>
      <c r="AU246" s="31" t="str">
        <f t="shared" si="6"/>
        <v>库存为20</v>
      </c>
      <c r="AV246" s="36" t="str">
        <f>IFERROR($A$2+AU246,"上周无销量")</f>
        <v>上周无销量</v>
      </c>
    </row>
    <row r="247" spans="1:48">
      <c r="A247" s="21" t="s">
        <v>542</v>
      </c>
      <c r="B247" t="s">
        <v>543</v>
      </c>
      <c r="C247" t="s">
        <v>443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19</v>
      </c>
      <c r="K247" s="33">
        <v>0</v>
      </c>
      <c r="L247" s="33">
        <v>0</v>
      </c>
      <c r="M247">
        <v>19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5">
        <v>0</v>
      </c>
      <c r="AS247" s="35">
        <v>0</v>
      </c>
      <c r="AT247" s="35">
        <v>19</v>
      </c>
      <c r="AU247" s="31" t="str">
        <f t="shared" si="6"/>
        <v>库存为19</v>
      </c>
      <c r="AV247" s="36" t="str">
        <f>IFERROR($A$2+AU247,"上周无销量")</f>
        <v>上周无销量</v>
      </c>
    </row>
    <row r="248" spans="1:48">
      <c r="A248" s="21" t="s">
        <v>544</v>
      </c>
      <c r="B248" t="s">
        <v>545</v>
      </c>
      <c r="C248" t="s">
        <v>443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20</v>
      </c>
      <c r="K248" s="33">
        <v>0</v>
      </c>
      <c r="L248" s="33">
        <v>0</v>
      </c>
      <c r="M248">
        <v>20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s">
        <v>54</v>
      </c>
      <c r="AO248" s="23" t="s">
        <v>54</v>
      </c>
      <c r="AP248" s="23" t="s">
        <v>54</v>
      </c>
      <c r="AQ248" s="23" t="s">
        <v>54</v>
      </c>
      <c r="AR248" s="35">
        <v>0</v>
      </c>
      <c r="AS248" s="35">
        <v>0</v>
      </c>
      <c r="AT248" s="35">
        <v>20</v>
      </c>
      <c r="AU248" s="31" t="str">
        <f t="shared" si="6"/>
        <v>库存为20</v>
      </c>
      <c r="AV248" s="36" t="str">
        <f>IFERROR($A$2+AU248,"上周无销量")</f>
        <v>上周无销量</v>
      </c>
    </row>
    <row r="249" spans="1:48">
      <c r="A249" s="21" t="s">
        <v>546</v>
      </c>
      <c r="B249" t="s">
        <v>547</v>
      </c>
      <c r="C249" t="s">
        <v>443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20</v>
      </c>
      <c r="K249" s="33">
        <v>0</v>
      </c>
      <c r="L249" s="33">
        <v>0</v>
      </c>
      <c r="M249">
        <v>20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s">
        <v>54</v>
      </c>
      <c r="AO249" s="23" t="s">
        <v>54</v>
      </c>
      <c r="AP249" s="23" t="s">
        <v>54</v>
      </c>
      <c r="AQ249" s="23" t="s">
        <v>54</v>
      </c>
      <c r="AR249" s="35">
        <v>0</v>
      </c>
      <c r="AS249" s="35">
        <v>0</v>
      </c>
      <c r="AT249" s="35">
        <v>20</v>
      </c>
      <c r="AU249" s="31" t="str">
        <f t="shared" si="6"/>
        <v>库存为20</v>
      </c>
      <c r="AV249" s="36" t="str">
        <f>IFERROR($A$2+AU249,"上周无销量")</f>
        <v>上周无销量</v>
      </c>
    </row>
    <row r="250" spans="1:48">
      <c r="A250" s="21" t="s">
        <v>548</v>
      </c>
      <c r="B250" t="s">
        <v>549</v>
      </c>
      <c r="C250" t="s">
        <v>443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19</v>
      </c>
      <c r="K250" s="33">
        <v>0</v>
      </c>
      <c r="L250" s="33">
        <v>0</v>
      </c>
      <c r="M250">
        <v>19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s">
        <v>54</v>
      </c>
      <c r="AO250" s="23" t="s">
        <v>54</v>
      </c>
      <c r="AP250" s="23" t="s">
        <v>54</v>
      </c>
      <c r="AQ250" s="23" t="s">
        <v>54</v>
      </c>
      <c r="AR250" s="35">
        <v>0</v>
      </c>
      <c r="AS250" s="35">
        <v>0</v>
      </c>
      <c r="AT250" s="35">
        <v>19</v>
      </c>
      <c r="AU250" s="31" t="str">
        <f t="shared" si="6"/>
        <v>库存为19</v>
      </c>
      <c r="AV250" s="36" t="str">
        <f>IFERROR($A$2+AU250,"上周无销量")</f>
        <v>上周无销量</v>
      </c>
    </row>
    <row r="251" spans="1:48">
      <c r="A251" s="21" t="s">
        <v>550</v>
      </c>
      <c r="B251" t="s">
        <v>551</v>
      </c>
      <c r="C251" t="s">
        <v>552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8</v>
      </c>
      <c r="J251" s="33">
        <v>0</v>
      </c>
      <c r="K251" s="33">
        <v>0</v>
      </c>
      <c r="L251" s="33">
        <v>0</v>
      </c>
      <c r="M251">
        <v>8</v>
      </c>
      <c r="N251">
        <v>0</v>
      </c>
      <c r="O251">
        <v>8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5</v>
      </c>
      <c r="AK251">
        <v>5</v>
      </c>
      <c r="AL251">
        <v>4</v>
      </c>
      <c r="AM251">
        <v>6</v>
      </c>
      <c r="AN251" s="23">
        <v>0</v>
      </c>
      <c r="AO251" s="23">
        <v>0</v>
      </c>
      <c r="AP251" s="23">
        <v>0</v>
      </c>
      <c r="AQ251" s="23">
        <v>0</v>
      </c>
      <c r="AR251" s="35">
        <v>0</v>
      </c>
      <c r="AS251" s="35">
        <v>0</v>
      </c>
      <c r="AT251" s="35">
        <v>8</v>
      </c>
      <c r="AU251" s="31" t="str">
        <f t="shared" si="6"/>
        <v>库存为8</v>
      </c>
      <c r="AV251" s="36" t="str">
        <f>IFERROR($A$2+AU251,"上周无销量")</f>
        <v>上周无销量</v>
      </c>
    </row>
    <row r="252" spans="1:48">
      <c r="A252" s="21" t="s">
        <v>553</v>
      </c>
      <c r="B252" t="s">
        <v>554</v>
      </c>
      <c r="C252" t="s">
        <v>552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4</v>
      </c>
      <c r="J252" s="33">
        <v>0</v>
      </c>
      <c r="K252" s="33">
        <v>0</v>
      </c>
      <c r="L252" s="33">
        <v>0</v>
      </c>
      <c r="M252">
        <v>4</v>
      </c>
      <c r="N252">
        <v>0</v>
      </c>
      <c r="O252">
        <v>4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2</v>
      </c>
      <c r="AK252">
        <v>4</v>
      </c>
      <c r="AL252">
        <v>7</v>
      </c>
      <c r="AM252">
        <v>4</v>
      </c>
      <c r="AN252" s="23">
        <v>0</v>
      </c>
      <c r="AO252" s="23">
        <v>0</v>
      </c>
      <c r="AP252" s="23">
        <v>0</v>
      </c>
      <c r="AQ252" s="23">
        <v>0</v>
      </c>
      <c r="AR252" s="35">
        <v>0</v>
      </c>
      <c r="AS252" s="35">
        <v>0</v>
      </c>
      <c r="AT252" s="35">
        <v>4</v>
      </c>
      <c r="AU252" s="31" t="str">
        <f t="shared" si="6"/>
        <v>库存为4</v>
      </c>
      <c r="AV252" s="36" t="str">
        <f>IFERROR($A$2+AU252,"上周无销量")</f>
        <v>上周无销量</v>
      </c>
    </row>
    <row r="253" spans="1:48">
      <c r="A253" s="21" t="s">
        <v>555</v>
      </c>
      <c r="B253" t="s">
        <v>556</v>
      </c>
      <c r="C253" t="s">
        <v>557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s">
        <v>54</v>
      </c>
      <c r="AO253" s="23" t="s">
        <v>54</v>
      </c>
      <c r="AP253" s="23" t="s">
        <v>54</v>
      </c>
      <c r="AQ253" s="23" t="s">
        <v>54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IFERROR($A$2+AU253,"上周无销量")</f>
        <v>上周无销量</v>
      </c>
    </row>
    <row r="254" spans="1:48">
      <c r="A254" s="21" t="s">
        <v>558</v>
      </c>
      <c r="B254" t="s">
        <v>559</v>
      </c>
      <c r="C254" t="s">
        <v>560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IFERROR($A$2+AU254,"上周无销量")</f>
        <v>上周无销量</v>
      </c>
    </row>
    <row r="255" spans="1:48">
      <c r="A255" s="21" t="s">
        <v>561</v>
      </c>
      <c r="B255" t="s">
        <v>562</v>
      </c>
      <c r="C255" t="s">
        <v>560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IFERROR($A$2+AU255,"上周无销量")</f>
        <v>上周无销量</v>
      </c>
    </row>
    <row r="256" spans="1:48">
      <c r="A256" s="21" t="s">
        <v>563</v>
      </c>
      <c r="B256" t="s">
        <v>564</v>
      </c>
      <c r="C256" t="e">
        <v>#N/A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s">
        <v>54</v>
      </c>
      <c r="AO256" s="23" t="s">
        <v>54</v>
      </c>
      <c r="AP256" s="23" t="s">
        <v>54</v>
      </c>
      <c r="AQ256" s="23" t="s">
        <v>54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IFERROR($A$2+AU256,"上周无销量")</f>
        <v>上周无销量</v>
      </c>
    </row>
    <row r="257" spans="1:48">
      <c r="A257" s="21" t="s">
        <v>565</v>
      </c>
      <c r="B257" t="s">
        <v>566</v>
      </c>
      <c r="C257" t="e">
        <v>#N/A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IFERROR($A$2+AU257,"上周无销量")</f>
        <v>上周无销量</v>
      </c>
    </row>
    <row r="258" spans="1:48">
      <c r="A258" s="21" t="s">
        <v>567</v>
      </c>
      <c r="B258" t="s">
        <v>568</v>
      </c>
      <c r="C258" t="s">
        <v>567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2</v>
      </c>
      <c r="J258" s="33">
        <v>0</v>
      </c>
      <c r="K258" s="33">
        <v>0</v>
      </c>
      <c r="L258" s="33">
        <v>0</v>
      </c>
      <c r="M258">
        <v>2</v>
      </c>
      <c r="N258">
        <v>0</v>
      </c>
      <c r="O258">
        <v>2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4</v>
      </c>
      <c r="AK258">
        <v>5</v>
      </c>
      <c r="AL258">
        <v>3</v>
      </c>
      <c r="AM258">
        <v>3</v>
      </c>
      <c r="AN258" s="23">
        <v>0</v>
      </c>
      <c r="AO258" s="23">
        <v>0</v>
      </c>
      <c r="AP258" s="23">
        <v>0</v>
      </c>
      <c r="AQ258" s="23">
        <v>0</v>
      </c>
      <c r="AR258" s="35">
        <v>0</v>
      </c>
      <c r="AS258" s="35">
        <v>0</v>
      </c>
      <c r="AT258" s="35">
        <v>2</v>
      </c>
      <c r="AU258" s="31" t="str">
        <f t="shared" si="6"/>
        <v>库存为2</v>
      </c>
      <c r="AV258" s="36" t="str">
        <f>IFERROR($A$2+AU258,"上周无销量")</f>
        <v>上周无销量</v>
      </c>
    </row>
    <row r="259" spans="1:48">
      <c r="A259" s="21" t="s">
        <v>569</v>
      </c>
      <c r="B259" t="s">
        <v>570</v>
      </c>
      <c r="C259" t="s">
        <v>571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3</v>
      </c>
      <c r="J259" s="33">
        <v>0</v>
      </c>
      <c r="K259" s="33">
        <v>0</v>
      </c>
      <c r="L259" s="33">
        <v>0</v>
      </c>
      <c r="M259">
        <v>3</v>
      </c>
      <c r="N259">
        <v>0</v>
      </c>
      <c r="O259">
        <v>3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1</v>
      </c>
      <c r="AK259">
        <v>6</v>
      </c>
      <c r="AL259">
        <v>2</v>
      </c>
      <c r="AM259">
        <v>3</v>
      </c>
      <c r="AN259" s="23">
        <v>0</v>
      </c>
      <c r="AO259" s="23">
        <v>0</v>
      </c>
      <c r="AP259" s="23">
        <v>0</v>
      </c>
      <c r="AQ259" s="23">
        <v>0</v>
      </c>
      <c r="AR259" s="35">
        <v>0</v>
      </c>
      <c r="AS259" s="35">
        <v>0</v>
      </c>
      <c r="AT259" s="35">
        <v>3</v>
      </c>
      <c r="AU259" s="31" t="str">
        <f t="shared" si="6"/>
        <v>库存为3</v>
      </c>
      <c r="AV259" s="36" t="str">
        <f>IFERROR($A$2+AU259,"上周无销量")</f>
        <v>上周无销量</v>
      </c>
    </row>
    <row r="260" spans="1:48">
      <c r="A260" s="21" t="s">
        <v>572</v>
      </c>
      <c r="B260" t="s">
        <v>573</v>
      </c>
      <c r="C260" t="s">
        <v>571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2</v>
      </c>
      <c r="AK260">
        <v>4</v>
      </c>
      <c r="AL260">
        <v>2</v>
      </c>
      <c r="AM260">
        <v>4</v>
      </c>
      <c r="AN260" s="23">
        <v>0</v>
      </c>
      <c r="AO260" s="23">
        <v>0</v>
      </c>
      <c r="AP260" s="23">
        <v>0</v>
      </c>
      <c r="AQ260" s="23">
        <v>0</v>
      </c>
      <c r="AR260" s="35">
        <v>0</v>
      </c>
      <c r="AS260" s="35">
        <v>0</v>
      </c>
      <c r="AT260" s="35">
        <v>3</v>
      </c>
      <c r="AU260" s="31" t="str">
        <f t="shared" si="6"/>
        <v>库存为3</v>
      </c>
      <c r="AV260" s="36" t="str">
        <f>IFERROR($A$2+AU260,"上周无销量")</f>
        <v>上周无销量</v>
      </c>
    </row>
    <row r="261" spans="1:48">
      <c r="A261" s="21" t="s">
        <v>574</v>
      </c>
      <c r="B261" t="s">
        <v>575</v>
      </c>
      <c r="C261" t="s">
        <v>571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4</v>
      </c>
      <c r="AK261">
        <v>5</v>
      </c>
      <c r="AL261">
        <v>2</v>
      </c>
      <c r="AM261">
        <v>3</v>
      </c>
      <c r="AN261" s="23">
        <v>0</v>
      </c>
      <c r="AO261" s="23">
        <v>0</v>
      </c>
      <c r="AP261" s="23">
        <v>0</v>
      </c>
      <c r="AQ261" s="23">
        <v>0</v>
      </c>
      <c r="AR261" s="35">
        <v>0</v>
      </c>
      <c r="AS261" s="35">
        <v>0</v>
      </c>
      <c r="AT261" s="35">
        <v>3</v>
      </c>
      <c r="AU261" s="31" t="str">
        <f t="shared" ref="AU261:AU324" si="7">IF(AR261="","库存为"&amp;M261,IF(AS261=0,"库存为"&amp;M261,INT(M261/AR261)))</f>
        <v>库存为3</v>
      </c>
      <c r="AV261" s="36" t="str">
        <f>IFERROR($A$2+AU261,"上周无销量")</f>
        <v>上周无销量</v>
      </c>
    </row>
    <row r="262" spans="1:48">
      <c r="A262" s="21" t="s">
        <v>576</v>
      </c>
      <c r="B262" t="s">
        <v>577</v>
      </c>
      <c r="C262" t="s">
        <v>578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0</v>
      </c>
      <c r="AN262" s="23" t="s">
        <v>54</v>
      </c>
      <c r="AO262" s="23" t="s">
        <v>54</v>
      </c>
      <c r="AP262" s="23" t="s">
        <v>54</v>
      </c>
      <c r="AQ262" s="23" t="s">
        <v>54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IFERROR($A$2+AU262,"上周无销量")</f>
        <v>上周无销量</v>
      </c>
    </row>
    <row r="263" spans="1:48">
      <c r="A263" s="21" t="s">
        <v>579</v>
      </c>
      <c r="B263" t="s">
        <v>580</v>
      </c>
      <c r="C263" t="s">
        <v>578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IFERROR($A$2+AU263,"上周无销量")</f>
        <v>上周无销量</v>
      </c>
    </row>
    <row r="264" spans="1:48">
      <c r="A264" s="21" t="s">
        <v>581</v>
      </c>
      <c r="B264" t="s">
        <v>582</v>
      </c>
      <c r="C264" t="s">
        <v>578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IFERROR($A$2+AU264,"上周无销量")</f>
        <v>上周无销量</v>
      </c>
    </row>
    <row r="265" spans="1:48">
      <c r="A265" s="21" t="s">
        <v>583</v>
      </c>
      <c r="B265" t="s">
        <v>584</v>
      </c>
      <c r="C265" t="s">
        <v>578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IFERROR($A$2+AU265,"上周无销量")</f>
        <v>上周无销量</v>
      </c>
    </row>
    <row r="266" spans="1:48">
      <c r="A266" s="21" t="s">
        <v>585</v>
      </c>
      <c r="B266" t="s">
        <v>586</v>
      </c>
      <c r="C266" t="s">
        <v>578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0</v>
      </c>
      <c r="J266" s="33">
        <v>0</v>
      </c>
      <c r="K266" s="33">
        <v>0</v>
      </c>
      <c r="L266" s="33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0</v>
      </c>
      <c r="AM266">
        <v>0</v>
      </c>
      <c r="AN266" s="23" t="s">
        <v>54</v>
      </c>
      <c r="AO266" s="23" t="s">
        <v>54</v>
      </c>
      <c r="AP266" s="23" t="s">
        <v>54</v>
      </c>
      <c r="AQ266" s="23" t="s">
        <v>54</v>
      </c>
      <c r="AR266" s="35">
        <v>0</v>
      </c>
      <c r="AS266" s="35">
        <v>0</v>
      </c>
      <c r="AT266" s="35">
        <v>0</v>
      </c>
      <c r="AU266" s="31" t="str">
        <f t="shared" si="7"/>
        <v>库存为0</v>
      </c>
      <c r="AV266" s="36" t="str">
        <f>IFERROR($A$2+AU266,"上周无销量")</f>
        <v>上周无销量</v>
      </c>
    </row>
    <row r="267" spans="1:48">
      <c r="A267" s="21" t="s">
        <v>587</v>
      </c>
      <c r="B267" t="s">
        <v>588</v>
      </c>
      <c r="C267" t="s">
        <v>578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IFERROR($A$2+AU267,"上周无销量")</f>
        <v>上周无销量</v>
      </c>
    </row>
    <row r="268" spans="1:48">
      <c r="A268" s="21" t="s">
        <v>589</v>
      </c>
      <c r="B268" t="s">
        <v>590</v>
      </c>
      <c r="C268" t="s">
        <v>578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5">
        <v>0</v>
      </c>
      <c r="AS268" s="35">
        <v>0</v>
      </c>
      <c r="AT268" s="35">
        <v>0</v>
      </c>
      <c r="AU268" s="31" t="str">
        <f t="shared" si="7"/>
        <v>库存为0</v>
      </c>
      <c r="AV268" s="36" t="str">
        <f>IFERROR($A$2+AU268,"上周无销量")</f>
        <v>上周无销量</v>
      </c>
    </row>
    <row r="269" spans="1:48">
      <c r="A269" s="21" t="s">
        <v>591</v>
      </c>
      <c r="B269" t="s">
        <v>592</v>
      </c>
      <c r="C269" t="s">
        <v>578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IFERROR($A$2+AU269,"上周无销量")</f>
        <v>上周无销量</v>
      </c>
    </row>
    <row r="270" spans="1:48">
      <c r="A270" s="21" t="s">
        <v>593</v>
      </c>
      <c r="B270" t="s">
        <v>594</v>
      </c>
      <c r="C270" t="s">
        <v>578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0</v>
      </c>
      <c r="J270" s="33">
        <v>0</v>
      </c>
      <c r="K270" s="33">
        <v>0</v>
      </c>
      <c r="L270" s="33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0</v>
      </c>
      <c r="AN270" s="23" t="s">
        <v>54</v>
      </c>
      <c r="AO270" s="23" t="s">
        <v>54</v>
      </c>
      <c r="AP270" s="23" t="s">
        <v>54</v>
      </c>
      <c r="AQ270" s="23" t="s">
        <v>54</v>
      </c>
      <c r="AR270" s="35">
        <v>0</v>
      </c>
      <c r="AS270" s="35">
        <v>0</v>
      </c>
      <c r="AT270" s="35">
        <v>0</v>
      </c>
      <c r="AU270" s="31" t="str">
        <f t="shared" si="7"/>
        <v>库存为0</v>
      </c>
      <c r="AV270" s="36" t="str">
        <f>IFERROR($A$2+AU270,"上周无销量")</f>
        <v>上周无销量</v>
      </c>
    </row>
    <row r="271" spans="1:48">
      <c r="A271" s="21" t="s">
        <v>595</v>
      </c>
      <c r="B271" t="s">
        <v>596</v>
      </c>
      <c r="C271" t="s">
        <v>578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s">
        <v>54</v>
      </c>
      <c r="AO271" s="23" t="s">
        <v>54</v>
      </c>
      <c r="AP271" s="23" t="s">
        <v>54</v>
      </c>
      <c r="AQ271" s="23" t="s">
        <v>54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IFERROR($A$2+AU271,"上周无销量")</f>
        <v>上周无销量</v>
      </c>
    </row>
    <row r="272" spans="1:48">
      <c r="A272" s="21" t="s">
        <v>597</v>
      </c>
      <c r="B272" t="s">
        <v>598</v>
      </c>
      <c r="C272" t="s">
        <v>578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IFERROR($A$2+AU272,"上周无销量")</f>
        <v>上周无销量</v>
      </c>
    </row>
    <row r="273" spans="1:48">
      <c r="A273" s="21" t="s">
        <v>599</v>
      </c>
      <c r="B273" t="s">
        <v>600</v>
      </c>
      <c r="C273" t="s">
        <v>578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0</v>
      </c>
      <c r="J273" s="33">
        <v>0</v>
      </c>
      <c r="K273" s="33">
        <v>0</v>
      </c>
      <c r="L273" s="33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5">
        <v>0</v>
      </c>
      <c r="AS273" s="35">
        <v>0</v>
      </c>
      <c r="AT273" s="35">
        <v>0</v>
      </c>
      <c r="AU273" s="31" t="str">
        <f t="shared" si="7"/>
        <v>库存为0</v>
      </c>
      <c r="AV273" s="36" t="str">
        <f>IFERROR($A$2+AU273,"上周无销量")</f>
        <v>上周无销量</v>
      </c>
    </row>
    <row r="274" spans="1:48">
      <c r="A274" s="21" t="s">
        <v>601</v>
      </c>
      <c r="B274" t="s">
        <v>602</v>
      </c>
      <c r="C274" t="e">
        <v>#N/A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5">
        <v>0</v>
      </c>
      <c r="AS274" s="35">
        <v>0</v>
      </c>
      <c r="AT274" s="35">
        <v>0</v>
      </c>
      <c r="AU274" s="31" t="str">
        <f t="shared" si="7"/>
        <v>库存为0</v>
      </c>
      <c r="AV274" s="36" t="str">
        <f>IFERROR($A$2+AU274,"上周无销量")</f>
        <v>上周无销量</v>
      </c>
    </row>
    <row r="275" spans="1:48">
      <c r="A275" s="21" t="s">
        <v>603</v>
      </c>
      <c r="B275" t="s">
        <v>604</v>
      </c>
      <c r="C275" t="e">
        <v>#N/A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IFERROR($A$2+AU275,"上周无销量")</f>
        <v>上周无销量</v>
      </c>
    </row>
    <row r="276" spans="1:48">
      <c r="A276" s="21" t="s">
        <v>605</v>
      </c>
      <c r="B276" t="s">
        <v>606</v>
      </c>
      <c r="C276" t="e">
        <v>#N/A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s">
        <v>54</v>
      </c>
      <c r="AO276" s="23" t="s">
        <v>54</v>
      </c>
      <c r="AP276" s="23" t="s">
        <v>54</v>
      </c>
      <c r="AQ276" s="23" t="s">
        <v>54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IFERROR($A$2+AU276,"上周无销量")</f>
        <v>上周无销量</v>
      </c>
    </row>
    <row r="277" spans="1:48">
      <c r="A277" s="21" t="s">
        <v>607</v>
      </c>
      <c r="B277" t="s">
        <v>608</v>
      </c>
      <c r="C277" t="e">
        <v>#N/A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s">
        <v>54</v>
      </c>
      <c r="AO277" s="23" t="s">
        <v>54</v>
      </c>
      <c r="AP277" s="23" t="s">
        <v>54</v>
      </c>
      <c r="AQ277" s="23" t="s">
        <v>54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IFERROR($A$2+AU277,"上周无销量")</f>
        <v>上周无销量</v>
      </c>
    </row>
    <row r="278" spans="1:48">
      <c r="A278" s="21" t="s">
        <v>609</v>
      </c>
      <c r="B278" t="s">
        <v>610</v>
      </c>
      <c r="C278" t="e">
        <v>#N/A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s">
        <v>54</v>
      </c>
      <c r="AO278" s="23" t="s">
        <v>54</v>
      </c>
      <c r="AP278" s="23" t="s">
        <v>54</v>
      </c>
      <c r="AQ278" s="23" t="s">
        <v>54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IFERROR($A$2+AU278,"上周无销量")</f>
        <v>上周无销量</v>
      </c>
    </row>
    <row r="279" spans="1:48">
      <c r="A279" s="21" t="s">
        <v>611</v>
      </c>
      <c r="B279" t="s">
        <v>612</v>
      </c>
      <c r="C279" t="e">
        <v>#N/A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0</v>
      </c>
      <c r="AN279" s="23" t="s">
        <v>54</v>
      </c>
      <c r="AO279" s="23" t="s">
        <v>54</v>
      </c>
      <c r="AP279" s="23" t="s">
        <v>54</v>
      </c>
      <c r="AQ279" s="23" t="s">
        <v>54</v>
      </c>
      <c r="AR279" s="35">
        <v>0</v>
      </c>
      <c r="AS279" s="35">
        <v>0</v>
      </c>
      <c r="AT279" s="35">
        <v>0</v>
      </c>
      <c r="AU279" s="31" t="str">
        <f t="shared" si="7"/>
        <v>库存为0</v>
      </c>
      <c r="AV279" s="36" t="str">
        <f>IFERROR($A$2+AU279,"上周无销量")</f>
        <v>上周无销量</v>
      </c>
    </row>
    <row r="280" spans="1:48">
      <c r="A280" s="21" t="s">
        <v>613</v>
      </c>
      <c r="B280" t="s">
        <v>614</v>
      </c>
      <c r="C280" t="e">
        <v>#N/A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s">
        <v>54</v>
      </c>
      <c r="AO280" s="23" t="s">
        <v>54</v>
      </c>
      <c r="AP280" s="23" t="s">
        <v>54</v>
      </c>
      <c r="AQ280" s="23" t="s">
        <v>54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IFERROR($A$2+AU280,"上周无销量")</f>
        <v>上周无销量</v>
      </c>
    </row>
    <row r="281" spans="1:48">
      <c r="A281" s="21" t="s">
        <v>615</v>
      </c>
      <c r="B281" t="s">
        <v>616</v>
      </c>
      <c r="C281" t="e">
        <v>#N/A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s">
        <v>54</v>
      </c>
      <c r="AO281" s="23" t="s">
        <v>54</v>
      </c>
      <c r="AP281" s="23" t="s">
        <v>54</v>
      </c>
      <c r="AQ281" s="23" t="s">
        <v>54</v>
      </c>
      <c r="AR281" s="35">
        <v>0</v>
      </c>
      <c r="AS281" s="35">
        <v>0</v>
      </c>
      <c r="AT281" s="35">
        <v>0</v>
      </c>
      <c r="AU281" s="31" t="str">
        <f t="shared" si="7"/>
        <v>库存为0</v>
      </c>
      <c r="AV281" s="36" t="str">
        <f>IFERROR($A$2+AU281,"上周无销量")</f>
        <v>上周无销量</v>
      </c>
    </row>
    <row r="282" spans="1:48">
      <c r="A282" s="21" t="s">
        <v>617</v>
      </c>
      <c r="B282" t="s">
        <v>618</v>
      </c>
      <c r="C282" t="e">
        <v>#N/A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0</v>
      </c>
      <c r="AM282">
        <v>0</v>
      </c>
      <c r="AN282" s="23" t="s">
        <v>54</v>
      </c>
      <c r="AO282" s="23" t="s">
        <v>54</v>
      </c>
      <c r="AP282" s="23" t="s">
        <v>54</v>
      </c>
      <c r="AQ282" s="23" t="s">
        <v>54</v>
      </c>
      <c r="AR282" s="35">
        <v>0</v>
      </c>
      <c r="AS282" s="35">
        <v>0</v>
      </c>
      <c r="AT282" s="35">
        <v>0</v>
      </c>
      <c r="AU282" s="31" t="str">
        <f t="shared" si="7"/>
        <v>库存为0</v>
      </c>
      <c r="AV282" s="36" t="str">
        <f>IFERROR($A$2+AU282,"上周无销量")</f>
        <v>上周无销量</v>
      </c>
    </row>
    <row r="283" spans="1:48">
      <c r="A283" s="21" t="s">
        <v>619</v>
      </c>
      <c r="B283" t="s">
        <v>620</v>
      </c>
      <c r="C283" t="e">
        <v>#N/A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s">
        <v>54</v>
      </c>
      <c r="AO283" s="23" t="s">
        <v>54</v>
      </c>
      <c r="AP283" s="23" t="s">
        <v>54</v>
      </c>
      <c r="AQ283" s="23" t="s">
        <v>54</v>
      </c>
      <c r="AR283" s="35">
        <v>0</v>
      </c>
      <c r="AS283" s="35">
        <v>0</v>
      </c>
      <c r="AT283" s="35">
        <v>0</v>
      </c>
      <c r="AU283" s="31" t="str">
        <f t="shared" si="7"/>
        <v>库存为0</v>
      </c>
      <c r="AV283" s="36" t="str">
        <f>IFERROR($A$2+AU283,"上周无销量")</f>
        <v>上周无销量</v>
      </c>
    </row>
    <row r="284" spans="1:48">
      <c r="A284" s="21" t="s">
        <v>621</v>
      </c>
      <c r="B284" t="s">
        <v>622</v>
      </c>
      <c r="C284" t="e">
        <v>#N/A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0</v>
      </c>
      <c r="AM284">
        <v>0</v>
      </c>
      <c r="AN284" s="23" t="s">
        <v>54</v>
      </c>
      <c r="AO284" s="23" t="s">
        <v>54</v>
      </c>
      <c r="AP284" s="23" t="s">
        <v>54</v>
      </c>
      <c r="AQ284" s="23" t="s">
        <v>54</v>
      </c>
      <c r="AR284" s="35">
        <v>0</v>
      </c>
      <c r="AS284" s="35">
        <v>0</v>
      </c>
      <c r="AT284" s="35">
        <v>0</v>
      </c>
      <c r="AU284" s="31" t="str">
        <f t="shared" si="7"/>
        <v>库存为0</v>
      </c>
      <c r="AV284" s="36" t="str">
        <f>IFERROR($A$2+AU284,"上周无销量")</f>
        <v>上周无销量</v>
      </c>
    </row>
    <row r="285" spans="1:48">
      <c r="A285" s="21" t="s">
        <v>623</v>
      </c>
      <c r="B285" t="s">
        <v>624</v>
      </c>
      <c r="C285" t="e">
        <v>#N/A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5">
        <v>0</v>
      </c>
      <c r="AS285" s="35">
        <v>0</v>
      </c>
      <c r="AT285" s="35">
        <v>0</v>
      </c>
      <c r="AU285" s="31" t="str">
        <f t="shared" si="7"/>
        <v>库存为0</v>
      </c>
      <c r="AV285" s="36" t="str">
        <f>IFERROR($A$2+AU285,"上周无销量")</f>
        <v>上周无销量</v>
      </c>
    </row>
    <row r="286" spans="1:48">
      <c r="A286" s="21" t="s">
        <v>625</v>
      </c>
      <c r="B286" t="s">
        <v>626</v>
      </c>
      <c r="C286" t="s">
        <v>627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30</v>
      </c>
      <c r="K286" s="33">
        <v>0</v>
      </c>
      <c r="L286" s="33">
        <v>0</v>
      </c>
      <c r="M286">
        <v>30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5">
        <v>0</v>
      </c>
      <c r="AS286" s="35">
        <v>0</v>
      </c>
      <c r="AT286" s="35">
        <v>30</v>
      </c>
      <c r="AU286" s="31" t="str">
        <f t="shared" si="7"/>
        <v>库存为30</v>
      </c>
      <c r="AV286" s="36" t="str">
        <f>IFERROR($A$2+AU286,"上周无销量")</f>
        <v>上周无销量</v>
      </c>
    </row>
    <row r="287" spans="1:48">
      <c r="A287" s="21" t="s">
        <v>628</v>
      </c>
      <c r="B287" t="s">
        <v>629</v>
      </c>
      <c r="C287" t="s">
        <v>627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30</v>
      </c>
      <c r="K287" s="33">
        <v>0</v>
      </c>
      <c r="L287" s="33">
        <v>0</v>
      </c>
      <c r="M287">
        <v>30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s">
        <v>54</v>
      </c>
      <c r="AO287" s="23" t="s">
        <v>54</v>
      </c>
      <c r="AP287" s="23" t="s">
        <v>54</v>
      </c>
      <c r="AQ287" s="23" t="s">
        <v>54</v>
      </c>
      <c r="AR287" s="35">
        <v>0</v>
      </c>
      <c r="AS287" s="35">
        <v>0</v>
      </c>
      <c r="AT287" s="35">
        <v>30</v>
      </c>
      <c r="AU287" s="31" t="str">
        <f t="shared" si="7"/>
        <v>库存为30</v>
      </c>
      <c r="AV287" s="36" t="str">
        <f>IFERROR($A$2+AU287,"上周无销量")</f>
        <v>上周无销量</v>
      </c>
    </row>
    <row r="288" spans="1:48">
      <c r="A288" s="21" t="s">
        <v>630</v>
      </c>
      <c r="B288" t="s">
        <v>631</v>
      </c>
      <c r="C288" t="s">
        <v>627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</v>
      </c>
      <c r="J288" s="33">
        <v>0</v>
      </c>
      <c r="K288" s="33">
        <v>0</v>
      </c>
      <c r="L288" s="33">
        <v>30</v>
      </c>
      <c r="M288">
        <v>31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s">
        <v>54</v>
      </c>
      <c r="AO288" s="23" t="s">
        <v>54</v>
      </c>
      <c r="AP288" s="23" t="s">
        <v>54</v>
      </c>
      <c r="AQ288" s="23" t="s">
        <v>54</v>
      </c>
      <c r="AR288" s="35">
        <v>0</v>
      </c>
      <c r="AS288" s="35">
        <v>0</v>
      </c>
      <c r="AT288" s="35">
        <v>31</v>
      </c>
      <c r="AU288" s="31" t="str">
        <f t="shared" si="7"/>
        <v>库存为31</v>
      </c>
      <c r="AV288" s="36" t="str">
        <f>IFERROR($A$2+AU288,"上周无销量")</f>
        <v>上周无销量</v>
      </c>
    </row>
    <row r="289" spans="1:48">
      <c r="A289" s="21" t="s">
        <v>632</v>
      </c>
      <c r="B289" t="s">
        <v>633</v>
      </c>
      <c r="C289" t="s">
        <v>627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1</v>
      </c>
      <c r="J289" s="33">
        <v>0</v>
      </c>
      <c r="K289" s="33">
        <v>0</v>
      </c>
      <c r="L289" s="33">
        <v>19</v>
      </c>
      <c r="M289">
        <v>20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5">
        <v>0</v>
      </c>
      <c r="AS289" s="35">
        <v>0</v>
      </c>
      <c r="AT289" s="35">
        <v>20</v>
      </c>
      <c r="AU289" s="31" t="str">
        <f t="shared" si="7"/>
        <v>库存为20</v>
      </c>
      <c r="AV289" s="36" t="str">
        <f>IFERROR($A$2+AU289,"上周无销量")</f>
        <v>上周无销量</v>
      </c>
    </row>
    <row r="290" spans="1:48">
      <c r="A290" s="21" t="s">
        <v>634</v>
      </c>
      <c r="B290" t="s">
        <v>635</v>
      </c>
      <c r="C290" t="s">
        <v>627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30</v>
      </c>
      <c r="K290" s="33">
        <v>0</v>
      </c>
      <c r="L290" s="33">
        <v>0</v>
      </c>
      <c r="M290">
        <v>30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5">
        <v>0</v>
      </c>
      <c r="AS290" s="35">
        <v>0</v>
      </c>
      <c r="AT290" s="35">
        <v>30</v>
      </c>
      <c r="AU290" s="31" t="str">
        <f t="shared" si="7"/>
        <v>库存为30</v>
      </c>
      <c r="AV290" s="36" t="str">
        <f>IFERROR($A$2+AU290,"上周无销量")</f>
        <v>上周无销量</v>
      </c>
    </row>
    <row r="291" spans="1:48">
      <c r="A291" s="21" t="s">
        <v>636</v>
      </c>
      <c r="B291" t="s">
        <v>637</v>
      </c>
      <c r="C291" t="s">
        <v>627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1</v>
      </c>
      <c r="J291" s="33">
        <v>31</v>
      </c>
      <c r="K291" s="33">
        <v>0</v>
      </c>
      <c r="L291" s="33">
        <v>30</v>
      </c>
      <c r="M291">
        <v>62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s">
        <v>54</v>
      </c>
      <c r="AO291" s="23" t="s">
        <v>54</v>
      </c>
      <c r="AP291" s="23" t="s">
        <v>54</v>
      </c>
      <c r="AQ291" s="23" t="s">
        <v>54</v>
      </c>
      <c r="AR291" s="35">
        <v>0</v>
      </c>
      <c r="AS291" s="35">
        <v>0</v>
      </c>
      <c r="AT291" s="35">
        <v>62</v>
      </c>
      <c r="AU291" s="31" t="str">
        <f t="shared" si="7"/>
        <v>库存为62</v>
      </c>
      <c r="AV291" s="36" t="str">
        <f>IFERROR($A$2+AU291,"上周无销量")</f>
        <v>上周无销量</v>
      </c>
    </row>
    <row r="292" spans="1:48">
      <c r="A292" s="21" t="s">
        <v>638</v>
      </c>
      <c r="B292" t="s">
        <v>639</v>
      </c>
      <c r="C292" t="s">
        <v>627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30</v>
      </c>
      <c r="K292" s="33">
        <v>0</v>
      </c>
      <c r="L292" s="33">
        <v>0</v>
      </c>
      <c r="M292">
        <v>30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s">
        <v>54</v>
      </c>
      <c r="AO292" s="23" t="s">
        <v>54</v>
      </c>
      <c r="AP292" s="23" t="s">
        <v>54</v>
      </c>
      <c r="AQ292" s="23" t="s">
        <v>54</v>
      </c>
      <c r="AR292" s="35">
        <v>0</v>
      </c>
      <c r="AS292" s="35">
        <v>0</v>
      </c>
      <c r="AT292" s="35">
        <v>30</v>
      </c>
      <c r="AU292" s="31" t="str">
        <f t="shared" si="7"/>
        <v>库存为30</v>
      </c>
      <c r="AV292" s="36" t="str">
        <f>IFERROR($A$2+AU292,"上周无销量")</f>
        <v>上周无销量</v>
      </c>
    </row>
    <row r="293" spans="1:48">
      <c r="A293" s="21" t="s">
        <v>640</v>
      </c>
      <c r="B293" t="s">
        <v>641</v>
      </c>
      <c r="C293" t="s">
        <v>627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19</v>
      </c>
      <c r="K293" s="33">
        <v>0</v>
      </c>
      <c r="L293" s="33">
        <v>0</v>
      </c>
      <c r="M293">
        <v>19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s">
        <v>54</v>
      </c>
      <c r="AO293" s="23" t="s">
        <v>54</v>
      </c>
      <c r="AP293" s="23" t="s">
        <v>54</v>
      </c>
      <c r="AQ293" s="23" t="s">
        <v>54</v>
      </c>
      <c r="AR293" s="35">
        <v>0</v>
      </c>
      <c r="AS293" s="35">
        <v>0</v>
      </c>
      <c r="AT293" s="35">
        <v>19</v>
      </c>
      <c r="AU293" s="31" t="str">
        <f t="shared" si="7"/>
        <v>库存为19</v>
      </c>
      <c r="AV293" s="36" t="str">
        <f>IFERROR($A$2+AU293,"上周无销量")</f>
        <v>上周无销量</v>
      </c>
    </row>
    <row r="294" spans="1:48">
      <c r="A294" s="21" t="s">
        <v>642</v>
      </c>
      <c r="B294" t="s">
        <v>643</v>
      </c>
      <c r="C294" t="s">
        <v>627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30</v>
      </c>
      <c r="K294" s="33">
        <v>0</v>
      </c>
      <c r="L294" s="33">
        <v>0</v>
      </c>
      <c r="M294">
        <v>30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5">
        <v>0</v>
      </c>
      <c r="AS294" s="35">
        <v>0</v>
      </c>
      <c r="AT294" s="35">
        <v>30</v>
      </c>
      <c r="AU294" s="31" t="str">
        <f t="shared" si="7"/>
        <v>库存为30</v>
      </c>
      <c r="AV294" s="36" t="str">
        <f>IFERROR($A$2+AU294,"上周无销量")</f>
        <v>上周无销量</v>
      </c>
    </row>
    <row r="295" spans="1:48">
      <c r="A295" s="21" t="s">
        <v>644</v>
      </c>
      <c r="B295" t="s">
        <v>645</v>
      </c>
      <c r="C295" t="s">
        <v>627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30</v>
      </c>
      <c r="K295" s="33">
        <v>0</v>
      </c>
      <c r="L295" s="33">
        <v>0</v>
      </c>
      <c r="M295">
        <v>30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5">
        <v>0</v>
      </c>
      <c r="AS295" s="35">
        <v>0</v>
      </c>
      <c r="AT295" s="35">
        <v>30</v>
      </c>
      <c r="AU295" s="31" t="str">
        <f t="shared" si="7"/>
        <v>库存为30</v>
      </c>
      <c r="AV295" s="36" t="str">
        <f>IFERROR($A$2+AU295,"上周无销量")</f>
        <v>上周无销量</v>
      </c>
    </row>
    <row r="296" spans="1:48">
      <c r="A296" s="21" t="s">
        <v>646</v>
      </c>
      <c r="B296" t="s">
        <v>647</v>
      </c>
      <c r="C296" t="s">
        <v>627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30</v>
      </c>
      <c r="K296" s="33">
        <v>0</v>
      </c>
      <c r="L296" s="33">
        <v>0</v>
      </c>
      <c r="M296">
        <v>30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5">
        <v>0</v>
      </c>
      <c r="AS296" s="35">
        <v>0</v>
      </c>
      <c r="AT296" s="35">
        <v>30</v>
      </c>
      <c r="AU296" s="31" t="str">
        <f t="shared" si="7"/>
        <v>库存为30</v>
      </c>
      <c r="AV296" s="36" t="str">
        <f>IFERROR($A$2+AU296,"上周无销量")</f>
        <v>上周无销量</v>
      </c>
    </row>
    <row r="297" spans="1:48">
      <c r="A297" s="21" t="s">
        <v>648</v>
      </c>
      <c r="B297" t="s">
        <v>649</v>
      </c>
      <c r="C297" t="s">
        <v>627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20</v>
      </c>
      <c r="K297" s="33">
        <v>0</v>
      </c>
      <c r="L297" s="33">
        <v>0</v>
      </c>
      <c r="M297">
        <v>20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s">
        <v>54</v>
      </c>
      <c r="AO297" s="23" t="s">
        <v>54</v>
      </c>
      <c r="AP297" s="23" t="s">
        <v>54</v>
      </c>
      <c r="AQ297" s="23" t="s">
        <v>54</v>
      </c>
      <c r="AR297" s="35">
        <v>0</v>
      </c>
      <c r="AS297" s="35">
        <v>0</v>
      </c>
      <c r="AT297" s="35">
        <v>20</v>
      </c>
      <c r="AU297" s="31" t="str">
        <f t="shared" si="7"/>
        <v>库存为20</v>
      </c>
      <c r="AV297" s="36" t="str">
        <f>IFERROR($A$2+AU297,"上周无销量")</f>
        <v>上周无销量</v>
      </c>
    </row>
    <row r="298" spans="1:48">
      <c r="A298" s="21" t="s">
        <v>650</v>
      </c>
      <c r="B298" t="s">
        <v>651</v>
      </c>
      <c r="C298" t="s">
        <v>627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11</v>
      </c>
      <c r="K298" s="33">
        <v>0</v>
      </c>
      <c r="L298" s="33">
        <v>0</v>
      </c>
      <c r="M298">
        <v>11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5">
        <v>0</v>
      </c>
      <c r="AS298" s="35">
        <v>0</v>
      </c>
      <c r="AT298" s="35">
        <v>11</v>
      </c>
      <c r="AU298" s="31" t="str">
        <f t="shared" si="7"/>
        <v>库存为11</v>
      </c>
      <c r="AV298" s="36" t="str">
        <f>IFERROR($A$2+AU298,"上周无销量")</f>
        <v>上周无销量</v>
      </c>
    </row>
    <row r="299" spans="1:48">
      <c r="A299" s="21" t="s">
        <v>652</v>
      </c>
      <c r="B299" t="s">
        <v>653</v>
      </c>
      <c r="C299" t="s">
        <v>627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1</v>
      </c>
      <c r="J299" s="33">
        <v>1</v>
      </c>
      <c r="K299" s="33">
        <v>1</v>
      </c>
      <c r="L299" s="33">
        <v>8</v>
      </c>
      <c r="M299">
        <v>11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5">
        <v>0</v>
      </c>
      <c r="AS299" s="35">
        <v>0</v>
      </c>
      <c r="AT299" s="35">
        <v>11</v>
      </c>
      <c r="AU299" s="31" t="str">
        <f t="shared" si="7"/>
        <v>库存为11</v>
      </c>
      <c r="AV299" s="36" t="str">
        <f>IFERROR($A$2+AU299,"上周无销量")</f>
        <v>上周无销量</v>
      </c>
    </row>
    <row r="300" spans="1:48">
      <c r="A300" s="21" t="s">
        <v>654</v>
      </c>
      <c r="B300" t="s">
        <v>655</v>
      </c>
      <c r="C300" t="s">
        <v>627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20</v>
      </c>
      <c r="K300" s="33">
        <v>0</v>
      </c>
      <c r="L300" s="33">
        <v>0</v>
      </c>
      <c r="M300">
        <v>20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5">
        <v>0</v>
      </c>
      <c r="AS300" s="35">
        <v>0</v>
      </c>
      <c r="AT300" s="35">
        <v>20</v>
      </c>
      <c r="AU300" s="31" t="str">
        <f t="shared" si="7"/>
        <v>库存为20</v>
      </c>
      <c r="AV300" s="36" t="str">
        <f>IFERROR($A$2+AU300,"上周无销量")</f>
        <v>上周无销量</v>
      </c>
    </row>
    <row r="301" spans="1:48">
      <c r="A301" s="21" t="s">
        <v>656</v>
      </c>
      <c r="B301" t="s">
        <v>657</v>
      </c>
      <c r="C301" t="s">
        <v>627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</v>
      </c>
      <c r="J301" s="33">
        <v>1</v>
      </c>
      <c r="K301" s="33">
        <v>2</v>
      </c>
      <c r="L301" s="33">
        <v>7</v>
      </c>
      <c r="M301">
        <v>11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s">
        <v>54</v>
      </c>
      <c r="AO301" s="23" t="s">
        <v>54</v>
      </c>
      <c r="AP301" s="23" t="s">
        <v>54</v>
      </c>
      <c r="AQ301" s="23" t="s">
        <v>54</v>
      </c>
      <c r="AR301" s="35">
        <v>0</v>
      </c>
      <c r="AS301" s="35">
        <v>0</v>
      </c>
      <c r="AT301" s="35">
        <v>11</v>
      </c>
      <c r="AU301" s="31" t="str">
        <f t="shared" si="7"/>
        <v>库存为11</v>
      </c>
      <c r="AV301" s="36" t="str">
        <f>IFERROR($A$2+AU301,"上周无销量")</f>
        <v>上周无销量</v>
      </c>
    </row>
    <row r="302" spans="1:48">
      <c r="A302" s="21" t="s">
        <v>658</v>
      </c>
      <c r="B302" t="s">
        <v>659</v>
      </c>
      <c r="C302" t="s">
        <v>627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1</v>
      </c>
      <c r="J302" s="33">
        <v>0</v>
      </c>
      <c r="K302" s="33">
        <v>0</v>
      </c>
      <c r="L302" s="33">
        <v>9</v>
      </c>
      <c r="M302">
        <v>10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5">
        <v>0</v>
      </c>
      <c r="AS302" s="35">
        <v>0</v>
      </c>
      <c r="AT302" s="35">
        <v>10</v>
      </c>
      <c r="AU302" s="31" t="str">
        <f t="shared" si="7"/>
        <v>库存为10</v>
      </c>
      <c r="AV302" s="36" t="str">
        <f>IFERROR($A$2+AU302,"上周无销量")</f>
        <v>上周无销量</v>
      </c>
    </row>
    <row r="303" spans="1:48">
      <c r="A303" s="21" t="s">
        <v>660</v>
      </c>
      <c r="B303" t="s">
        <v>661</v>
      </c>
      <c r="C303" t="s">
        <v>627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1</v>
      </c>
      <c r="J303" s="33">
        <v>0</v>
      </c>
      <c r="K303" s="33">
        <v>0</v>
      </c>
      <c r="L303" s="33">
        <v>9</v>
      </c>
      <c r="M303">
        <v>10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s">
        <v>54</v>
      </c>
      <c r="AO303" s="23" t="s">
        <v>54</v>
      </c>
      <c r="AP303" s="23" t="s">
        <v>54</v>
      </c>
      <c r="AQ303" s="23" t="s">
        <v>54</v>
      </c>
      <c r="AR303" s="35">
        <v>0</v>
      </c>
      <c r="AS303" s="35">
        <v>0</v>
      </c>
      <c r="AT303" s="35">
        <v>10</v>
      </c>
      <c r="AU303" s="31" t="str">
        <f t="shared" si="7"/>
        <v>库存为10</v>
      </c>
      <c r="AV303" s="36" t="str">
        <f>IFERROR($A$2+AU303,"上周无销量")</f>
        <v>上周无销量</v>
      </c>
    </row>
    <row r="304" spans="1:48">
      <c r="A304" s="21" t="s">
        <v>662</v>
      </c>
      <c r="B304" t="s">
        <v>663</v>
      </c>
      <c r="C304" t="s">
        <v>627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1</v>
      </c>
      <c r="J304" s="33">
        <v>9</v>
      </c>
      <c r="K304" s="33">
        <v>0</v>
      </c>
      <c r="L304" s="33">
        <v>10</v>
      </c>
      <c r="M304">
        <v>20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s">
        <v>54</v>
      </c>
      <c r="AO304" s="23" t="s">
        <v>54</v>
      </c>
      <c r="AP304" s="23" t="s">
        <v>54</v>
      </c>
      <c r="AQ304" s="23" t="s">
        <v>54</v>
      </c>
      <c r="AR304" s="35">
        <v>0</v>
      </c>
      <c r="AS304" s="35">
        <v>0</v>
      </c>
      <c r="AT304" s="35">
        <v>20</v>
      </c>
      <c r="AU304" s="31" t="str">
        <f t="shared" si="7"/>
        <v>库存为20</v>
      </c>
      <c r="AV304" s="36" t="str">
        <f>IFERROR($A$2+AU304,"上周无销量")</f>
        <v>上周无销量</v>
      </c>
    </row>
    <row r="305" spans="1:48">
      <c r="A305" s="21" t="s">
        <v>664</v>
      </c>
      <c r="B305" t="s">
        <v>665</v>
      </c>
      <c r="C305" t="s">
        <v>627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1</v>
      </c>
      <c r="J305" s="33">
        <v>0</v>
      </c>
      <c r="K305" s="33">
        <v>0</v>
      </c>
      <c r="L305" s="33">
        <v>9</v>
      </c>
      <c r="M305">
        <v>10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s">
        <v>54</v>
      </c>
      <c r="AO305" s="23" t="s">
        <v>54</v>
      </c>
      <c r="AP305" s="23" t="s">
        <v>54</v>
      </c>
      <c r="AQ305" s="23" t="s">
        <v>54</v>
      </c>
      <c r="AR305" s="35">
        <v>0</v>
      </c>
      <c r="AS305" s="35">
        <v>0</v>
      </c>
      <c r="AT305" s="35">
        <v>10</v>
      </c>
      <c r="AU305" s="31" t="str">
        <f t="shared" si="7"/>
        <v>库存为10</v>
      </c>
      <c r="AV305" s="36" t="str">
        <f>IFERROR($A$2+AU305,"上周无销量")</f>
        <v>上周无销量</v>
      </c>
    </row>
    <row r="306" spans="1:48">
      <c r="A306" s="21" t="s">
        <v>666</v>
      </c>
      <c r="B306" t="s">
        <v>667</v>
      </c>
      <c r="C306" t="s">
        <v>627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30</v>
      </c>
      <c r="K306" s="33">
        <v>0</v>
      </c>
      <c r="L306" s="33">
        <v>0</v>
      </c>
      <c r="M306">
        <v>30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s">
        <v>54</v>
      </c>
      <c r="AO306" s="23" t="s">
        <v>54</v>
      </c>
      <c r="AP306" s="23" t="s">
        <v>54</v>
      </c>
      <c r="AQ306" s="23" t="s">
        <v>54</v>
      </c>
      <c r="AR306" s="35">
        <v>0</v>
      </c>
      <c r="AS306" s="35">
        <v>0</v>
      </c>
      <c r="AT306" s="35">
        <v>30</v>
      </c>
      <c r="AU306" s="31" t="str">
        <f t="shared" si="7"/>
        <v>库存为30</v>
      </c>
      <c r="AV306" s="36" t="str">
        <f>IFERROR($A$2+AU306,"上周无销量")</f>
        <v>上周无销量</v>
      </c>
    </row>
    <row r="307" spans="1:48">
      <c r="A307" s="21" t="s">
        <v>668</v>
      </c>
      <c r="B307" t="s">
        <v>669</v>
      </c>
      <c r="C307" t="s">
        <v>627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30</v>
      </c>
      <c r="K307" s="33">
        <v>0</v>
      </c>
      <c r="L307" s="33">
        <v>0</v>
      </c>
      <c r="M307">
        <v>30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5">
        <v>0</v>
      </c>
      <c r="AS307" s="35">
        <v>0</v>
      </c>
      <c r="AT307" s="35">
        <v>30</v>
      </c>
      <c r="AU307" s="31" t="str">
        <f t="shared" si="7"/>
        <v>库存为30</v>
      </c>
      <c r="AV307" s="36" t="str">
        <f>IFERROR($A$2+AU307,"上周无销量")</f>
        <v>上周无销量</v>
      </c>
    </row>
    <row r="308" spans="1:48">
      <c r="A308" s="21" t="s">
        <v>670</v>
      </c>
      <c r="B308" t="s">
        <v>671</v>
      </c>
      <c r="C308" t="s">
        <v>627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30</v>
      </c>
      <c r="K308" s="33">
        <v>0</v>
      </c>
      <c r="L308" s="33">
        <v>0</v>
      </c>
      <c r="M308">
        <v>30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5">
        <v>0</v>
      </c>
      <c r="AS308" s="35">
        <v>0</v>
      </c>
      <c r="AT308" s="35">
        <v>30</v>
      </c>
      <c r="AU308" s="31" t="str">
        <f t="shared" si="7"/>
        <v>库存为30</v>
      </c>
      <c r="AV308" s="36" t="str">
        <f>IFERROR($A$2+AU308,"上周无销量")</f>
        <v>上周无销量</v>
      </c>
    </row>
    <row r="309" spans="1:48">
      <c r="A309" s="21" t="s">
        <v>672</v>
      </c>
      <c r="B309" t="s">
        <v>673</v>
      </c>
      <c r="C309" t="s">
        <v>627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20</v>
      </c>
      <c r="K309" s="33">
        <v>0</v>
      </c>
      <c r="L309" s="33">
        <v>0</v>
      </c>
      <c r="M309">
        <v>20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5">
        <v>0</v>
      </c>
      <c r="AS309" s="35">
        <v>0</v>
      </c>
      <c r="AT309" s="35">
        <v>20</v>
      </c>
      <c r="AU309" s="31" t="str">
        <f t="shared" si="7"/>
        <v>库存为20</v>
      </c>
      <c r="AV309" s="36" t="str">
        <f>IFERROR($A$2+AU309,"上周无销量")</f>
        <v>上周无销量</v>
      </c>
    </row>
    <row r="310" spans="1:48">
      <c r="A310" s="21" t="s">
        <v>674</v>
      </c>
      <c r="B310" t="s">
        <v>675</v>
      </c>
      <c r="C310" t="s">
        <v>627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10</v>
      </c>
      <c r="K310" s="33">
        <v>0</v>
      </c>
      <c r="L310" s="33">
        <v>0</v>
      </c>
      <c r="M310">
        <v>10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5">
        <v>0</v>
      </c>
      <c r="AS310" s="35">
        <v>0</v>
      </c>
      <c r="AT310" s="35">
        <v>10</v>
      </c>
      <c r="AU310" s="31" t="str">
        <f t="shared" si="7"/>
        <v>库存为10</v>
      </c>
      <c r="AV310" s="36" t="str">
        <f>IFERROR($A$2+AU310,"上周无销量")</f>
        <v>上周无销量</v>
      </c>
    </row>
    <row r="311" spans="1:48">
      <c r="A311" s="21" t="s">
        <v>676</v>
      </c>
      <c r="B311" t="s">
        <v>677</v>
      </c>
      <c r="C311" t="s">
        <v>627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11</v>
      </c>
      <c r="K311" s="33">
        <v>0</v>
      </c>
      <c r="L311" s="33">
        <v>0</v>
      </c>
      <c r="M311">
        <v>11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5">
        <v>0</v>
      </c>
      <c r="AS311" s="35">
        <v>0</v>
      </c>
      <c r="AT311" s="35">
        <v>11</v>
      </c>
      <c r="AU311" s="31" t="str">
        <f t="shared" si="7"/>
        <v>库存为11</v>
      </c>
      <c r="AV311" s="36" t="str">
        <f>IFERROR($A$2+AU311,"上周无销量")</f>
        <v>上周无销量</v>
      </c>
    </row>
    <row r="312" spans="1:48">
      <c r="A312" s="21" t="s">
        <v>678</v>
      </c>
      <c r="B312" t="s">
        <v>679</v>
      </c>
      <c r="C312" t="s">
        <v>627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19</v>
      </c>
      <c r="K312" s="33">
        <v>0</v>
      </c>
      <c r="L312" s="33">
        <v>0</v>
      </c>
      <c r="M312">
        <v>19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5">
        <v>0</v>
      </c>
      <c r="AS312" s="35">
        <v>0</v>
      </c>
      <c r="AT312" s="35">
        <v>19</v>
      </c>
      <c r="AU312" s="31" t="str">
        <f t="shared" si="7"/>
        <v>库存为19</v>
      </c>
      <c r="AV312" s="36" t="str">
        <f>IFERROR($A$2+AU312,"上周无销量")</f>
        <v>上周无销量</v>
      </c>
    </row>
    <row r="313" spans="1:48">
      <c r="A313" s="21" t="s">
        <v>680</v>
      </c>
      <c r="B313" t="s">
        <v>681</v>
      </c>
      <c r="C313" t="s">
        <v>627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10</v>
      </c>
      <c r="K313" s="33">
        <v>0</v>
      </c>
      <c r="L313" s="33">
        <v>0</v>
      </c>
      <c r="M313">
        <v>10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5">
        <v>0</v>
      </c>
      <c r="AS313" s="35">
        <v>0</v>
      </c>
      <c r="AT313" s="35">
        <v>10</v>
      </c>
      <c r="AU313" s="31" t="str">
        <f t="shared" si="7"/>
        <v>库存为10</v>
      </c>
      <c r="AV313" s="36" t="str">
        <f>IFERROR($A$2+AU313,"上周无销量")</f>
        <v>上周无销量</v>
      </c>
    </row>
    <row r="314" spans="1:48">
      <c r="A314" s="21" t="s">
        <v>682</v>
      </c>
      <c r="B314" t="s">
        <v>683</v>
      </c>
      <c r="C314" t="s">
        <v>627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10</v>
      </c>
      <c r="K314" s="33">
        <v>0</v>
      </c>
      <c r="L314" s="33">
        <v>0</v>
      </c>
      <c r="M314">
        <v>10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s">
        <v>54</v>
      </c>
      <c r="AO314" s="23" t="s">
        <v>54</v>
      </c>
      <c r="AP314" s="23" t="s">
        <v>54</v>
      </c>
      <c r="AQ314" s="23" t="s">
        <v>54</v>
      </c>
      <c r="AR314" s="35">
        <v>0</v>
      </c>
      <c r="AS314" s="35">
        <v>0</v>
      </c>
      <c r="AT314" s="35">
        <v>10</v>
      </c>
      <c r="AU314" s="31" t="str">
        <f t="shared" si="7"/>
        <v>库存为10</v>
      </c>
      <c r="AV314" s="36" t="str">
        <f>IFERROR($A$2+AU314,"上周无销量")</f>
        <v>上周无销量</v>
      </c>
    </row>
    <row r="315" spans="1:48">
      <c r="A315" s="21" t="s">
        <v>684</v>
      </c>
      <c r="B315" t="s">
        <v>685</v>
      </c>
      <c r="C315" t="s">
        <v>627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10</v>
      </c>
      <c r="K315" s="33">
        <v>0</v>
      </c>
      <c r="L315" s="33">
        <v>0</v>
      </c>
      <c r="M315">
        <v>10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s">
        <v>54</v>
      </c>
      <c r="AO315" s="23" t="s">
        <v>54</v>
      </c>
      <c r="AP315" s="23" t="s">
        <v>54</v>
      </c>
      <c r="AQ315" s="23" t="s">
        <v>54</v>
      </c>
      <c r="AR315" s="35">
        <v>0</v>
      </c>
      <c r="AS315" s="35">
        <v>0</v>
      </c>
      <c r="AT315" s="35">
        <v>10</v>
      </c>
      <c r="AU315" s="31" t="str">
        <f t="shared" si="7"/>
        <v>库存为10</v>
      </c>
      <c r="AV315" s="36" t="str">
        <f>IFERROR($A$2+AU315,"上周无销量")</f>
        <v>上周无销量</v>
      </c>
    </row>
    <row r="316" spans="1:48">
      <c r="A316" s="21" t="s">
        <v>686</v>
      </c>
      <c r="B316" t="s">
        <v>687</v>
      </c>
      <c r="C316" t="s">
        <v>627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20</v>
      </c>
      <c r="K316" s="33">
        <v>0</v>
      </c>
      <c r="L316" s="33">
        <v>0</v>
      </c>
      <c r="M316">
        <v>20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s">
        <v>54</v>
      </c>
      <c r="AO316" s="23" t="s">
        <v>54</v>
      </c>
      <c r="AP316" s="23" t="s">
        <v>54</v>
      </c>
      <c r="AQ316" s="23" t="s">
        <v>54</v>
      </c>
      <c r="AR316" s="35">
        <v>0</v>
      </c>
      <c r="AS316" s="35">
        <v>0</v>
      </c>
      <c r="AT316" s="35">
        <v>20</v>
      </c>
      <c r="AU316" s="31" t="str">
        <f t="shared" si="7"/>
        <v>库存为20</v>
      </c>
      <c r="AV316" s="36" t="str">
        <f>IFERROR($A$2+AU316,"上周无销量")</f>
        <v>上周无销量</v>
      </c>
    </row>
    <row r="317" spans="1:48">
      <c r="A317" s="21" t="s">
        <v>688</v>
      </c>
      <c r="B317" t="s">
        <v>689</v>
      </c>
      <c r="C317" t="s">
        <v>627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10</v>
      </c>
      <c r="K317" s="33">
        <v>0</v>
      </c>
      <c r="L317" s="33">
        <v>0</v>
      </c>
      <c r="M317">
        <v>10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s">
        <v>54</v>
      </c>
      <c r="AO317" s="23" t="s">
        <v>54</v>
      </c>
      <c r="AP317" s="23" t="s">
        <v>54</v>
      </c>
      <c r="AQ317" s="23" t="s">
        <v>54</v>
      </c>
      <c r="AR317" s="35">
        <v>0</v>
      </c>
      <c r="AS317" s="35">
        <v>0</v>
      </c>
      <c r="AT317" s="35">
        <v>10</v>
      </c>
      <c r="AU317" s="31" t="str">
        <f t="shared" si="7"/>
        <v>库存为10</v>
      </c>
      <c r="AV317" s="36" t="str">
        <f>IFERROR($A$2+AU317,"上周无销量")</f>
        <v>上周无销量</v>
      </c>
    </row>
    <row r="318" spans="1:48">
      <c r="A318" s="21" t="s">
        <v>690</v>
      </c>
      <c r="B318" t="s">
        <v>691</v>
      </c>
      <c r="C318" t="s">
        <v>627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10</v>
      </c>
      <c r="K318" s="33">
        <v>0</v>
      </c>
      <c r="L318" s="33">
        <v>0</v>
      </c>
      <c r="M318">
        <v>10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s">
        <v>54</v>
      </c>
      <c r="AO318" s="23" t="s">
        <v>54</v>
      </c>
      <c r="AP318" s="23" t="s">
        <v>54</v>
      </c>
      <c r="AQ318" s="23" t="s">
        <v>54</v>
      </c>
      <c r="AR318" s="35">
        <v>0</v>
      </c>
      <c r="AS318" s="35">
        <v>0</v>
      </c>
      <c r="AT318" s="35">
        <v>10</v>
      </c>
      <c r="AU318" s="31" t="str">
        <f t="shared" si="7"/>
        <v>库存为10</v>
      </c>
      <c r="AV318" s="36" t="str">
        <f>IFERROR($A$2+AU318,"上周无销量")</f>
        <v>上周无销量</v>
      </c>
    </row>
    <row r="319" spans="1:48">
      <c r="A319" s="21" t="s">
        <v>692</v>
      </c>
      <c r="B319" t="s">
        <v>693</v>
      </c>
      <c r="C319" t="s">
        <v>627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10</v>
      </c>
      <c r="K319" s="33">
        <v>0</v>
      </c>
      <c r="L319" s="33">
        <v>0</v>
      </c>
      <c r="M319">
        <v>10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5">
        <v>0</v>
      </c>
      <c r="AS319" s="35">
        <v>0</v>
      </c>
      <c r="AT319" s="35">
        <v>10</v>
      </c>
      <c r="AU319" s="31" t="str">
        <f t="shared" si="7"/>
        <v>库存为10</v>
      </c>
      <c r="AV319" s="36" t="str">
        <f>IFERROR($A$2+AU319,"上周无销量")</f>
        <v>上周无销量</v>
      </c>
    </row>
    <row r="320" spans="1:48">
      <c r="A320" s="21" t="s">
        <v>694</v>
      </c>
      <c r="B320" t="s">
        <v>695</v>
      </c>
      <c r="C320" t="s">
        <v>627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20</v>
      </c>
      <c r="K320" s="33">
        <v>0</v>
      </c>
      <c r="L320" s="33">
        <v>0</v>
      </c>
      <c r="M320">
        <v>20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s">
        <v>54</v>
      </c>
      <c r="AO320" s="23" t="s">
        <v>54</v>
      </c>
      <c r="AP320" s="23" t="s">
        <v>54</v>
      </c>
      <c r="AQ320" s="23" t="s">
        <v>54</v>
      </c>
      <c r="AR320" s="35">
        <v>0</v>
      </c>
      <c r="AS320" s="35">
        <v>0</v>
      </c>
      <c r="AT320" s="35">
        <v>20</v>
      </c>
      <c r="AU320" s="31" t="str">
        <f t="shared" si="7"/>
        <v>库存为20</v>
      </c>
      <c r="AV320" s="36" t="str">
        <f>IFERROR($A$2+AU320,"上周无销量")</f>
        <v>上周无销量</v>
      </c>
    </row>
    <row r="321" spans="1:48">
      <c r="A321" s="21" t="s">
        <v>696</v>
      </c>
      <c r="B321" t="s">
        <v>697</v>
      </c>
      <c r="C321" t="s">
        <v>627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10</v>
      </c>
      <c r="K321" s="33">
        <v>0</v>
      </c>
      <c r="L321" s="33">
        <v>0</v>
      </c>
      <c r="M321">
        <v>10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s">
        <v>54</v>
      </c>
      <c r="AO321" s="23" t="s">
        <v>54</v>
      </c>
      <c r="AP321" s="23" t="s">
        <v>54</v>
      </c>
      <c r="AQ321" s="23" t="s">
        <v>54</v>
      </c>
      <c r="AR321" s="35">
        <v>0</v>
      </c>
      <c r="AS321" s="35">
        <v>0</v>
      </c>
      <c r="AT321" s="35">
        <v>10</v>
      </c>
      <c r="AU321" s="31" t="str">
        <f t="shared" si="7"/>
        <v>库存为10</v>
      </c>
      <c r="AV321" s="36" t="str">
        <f>IFERROR($A$2+AU321,"上周无销量")</f>
        <v>上周无销量</v>
      </c>
    </row>
    <row r="322" spans="1:48">
      <c r="A322" s="21" t="s">
        <v>698</v>
      </c>
      <c r="B322" t="s">
        <v>699</v>
      </c>
      <c r="C322" t="s">
        <v>627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10</v>
      </c>
      <c r="K322" s="33">
        <v>0</v>
      </c>
      <c r="L322" s="33">
        <v>0</v>
      </c>
      <c r="M322">
        <v>10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5">
        <v>0</v>
      </c>
      <c r="AS322" s="35">
        <v>0</v>
      </c>
      <c r="AT322" s="35">
        <v>10</v>
      </c>
      <c r="AU322" s="31" t="str">
        <f t="shared" si="7"/>
        <v>库存为10</v>
      </c>
      <c r="AV322" s="36" t="str">
        <f>IFERROR($A$2+AU322,"上周无销量")</f>
        <v>上周无销量</v>
      </c>
    </row>
    <row r="323" spans="1:48">
      <c r="A323" s="21" t="s">
        <v>700</v>
      </c>
      <c r="B323" t="s">
        <v>701</v>
      </c>
      <c r="C323" t="s">
        <v>627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10</v>
      </c>
      <c r="K323" s="33">
        <v>0</v>
      </c>
      <c r="L323" s="33">
        <v>0</v>
      </c>
      <c r="M323">
        <v>10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5">
        <v>0</v>
      </c>
      <c r="AS323" s="35">
        <v>0</v>
      </c>
      <c r="AT323" s="35">
        <v>10</v>
      </c>
      <c r="AU323" s="31" t="str">
        <f t="shared" si="7"/>
        <v>库存为10</v>
      </c>
      <c r="AV323" s="36" t="str">
        <f>IFERROR($A$2+AU323,"上周无销量")</f>
        <v>上周无销量</v>
      </c>
    </row>
    <row r="324" spans="1:48">
      <c r="A324" s="21" t="s">
        <v>702</v>
      </c>
      <c r="B324" t="s">
        <v>703</v>
      </c>
      <c r="C324" t="s">
        <v>627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20</v>
      </c>
      <c r="K324" s="33">
        <v>0</v>
      </c>
      <c r="L324" s="33">
        <v>0</v>
      </c>
      <c r="M324">
        <v>20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s">
        <v>54</v>
      </c>
      <c r="AO324" s="23" t="s">
        <v>54</v>
      </c>
      <c r="AP324" s="23" t="s">
        <v>54</v>
      </c>
      <c r="AQ324" s="23" t="s">
        <v>54</v>
      </c>
      <c r="AR324" s="35">
        <v>0</v>
      </c>
      <c r="AS324" s="35">
        <v>0</v>
      </c>
      <c r="AT324" s="35">
        <v>20</v>
      </c>
      <c r="AU324" s="31" t="str">
        <f t="shared" si="7"/>
        <v>库存为20</v>
      </c>
      <c r="AV324" s="36" t="str">
        <f>IFERROR($A$2+AU324,"上周无销量")</f>
        <v>上周无销量</v>
      </c>
    </row>
    <row r="325" spans="1:48">
      <c r="A325" s="21" t="s">
        <v>704</v>
      </c>
      <c r="B325" t="s">
        <v>705</v>
      </c>
      <c r="C325" t="s">
        <v>627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10</v>
      </c>
      <c r="K325" s="33">
        <v>0</v>
      </c>
      <c r="L325" s="33">
        <v>0</v>
      </c>
      <c r="M325">
        <v>10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5">
        <v>0</v>
      </c>
      <c r="AS325" s="35">
        <v>0</v>
      </c>
      <c r="AT325" s="35">
        <v>10</v>
      </c>
      <c r="AU325" s="31" t="str">
        <f t="shared" ref="AU325:AU388" si="8">IF(AR325="","库存为"&amp;M325,IF(AS325=0,"库存为"&amp;M325,INT(M325/AR325)))</f>
        <v>库存为10</v>
      </c>
      <c r="AV325" s="36" t="str">
        <f>IFERROR($A$2+AU325,"上周无销量")</f>
        <v>上周无销量</v>
      </c>
    </row>
    <row r="326" spans="1:48">
      <c r="A326" s="21" t="s">
        <v>706</v>
      </c>
      <c r="B326" t="s">
        <v>707</v>
      </c>
      <c r="C326" t="s">
        <v>708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23</v>
      </c>
      <c r="J326" s="33">
        <v>0</v>
      </c>
      <c r="K326" s="33">
        <v>0</v>
      </c>
      <c r="L326" s="33">
        <v>0</v>
      </c>
      <c r="M326">
        <v>23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13</v>
      </c>
      <c r="AK326">
        <v>15</v>
      </c>
      <c r="AL326">
        <v>23</v>
      </c>
      <c r="AM326">
        <v>15</v>
      </c>
      <c r="AN326" s="23">
        <v>0</v>
      </c>
      <c r="AO326" s="23">
        <v>0</v>
      </c>
      <c r="AP326" s="23">
        <v>0</v>
      </c>
      <c r="AQ326" s="23">
        <v>0</v>
      </c>
      <c r="AR326" s="35">
        <v>0</v>
      </c>
      <c r="AS326" s="35">
        <v>0</v>
      </c>
      <c r="AT326" s="35">
        <v>23</v>
      </c>
      <c r="AU326" s="31" t="str">
        <f t="shared" si="8"/>
        <v>库存为23</v>
      </c>
      <c r="AV326" s="36" t="str">
        <f>IFERROR($A$2+AU326,"上周无销量")</f>
        <v>上周无销量</v>
      </c>
    </row>
    <row r="327" spans="1:48">
      <c r="A327" s="21" t="s">
        <v>709</v>
      </c>
      <c r="B327" t="s">
        <v>710</v>
      </c>
      <c r="C327" t="s">
        <v>708</v>
      </c>
      <c r="D327" s="31">
        <v>2</v>
      </c>
      <c r="E327" s="31">
        <v>0</v>
      </c>
      <c r="F327" s="31">
        <v>3</v>
      </c>
      <c r="G327" s="31">
        <v>0</v>
      </c>
      <c r="H327" s="32">
        <v>10.99</v>
      </c>
      <c r="I327">
        <v>8</v>
      </c>
      <c r="J327" s="33">
        <v>0</v>
      </c>
      <c r="K327" s="33">
        <v>0</v>
      </c>
      <c r="L327" s="33">
        <v>0</v>
      </c>
      <c r="M327">
        <v>8</v>
      </c>
      <c r="N327">
        <v>0</v>
      </c>
      <c r="O327">
        <v>0</v>
      </c>
      <c r="P327">
        <v>3241</v>
      </c>
      <c r="Q327">
        <v>10878</v>
      </c>
      <c r="R327">
        <v>3189</v>
      </c>
      <c r="S327">
        <v>1697</v>
      </c>
      <c r="T327">
        <v>12</v>
      </c>
      <c r="U327">
        <v>34</v>
      </c>
      <c r="V327">
        <v>35</v>
      </c>
      <c r="W327">
        <v>15</v>
      </c>
      <c r="X327" s="23">
        <v>0.0037025609379821</v>
      </c>
      <c r="Y327" s="23">
        <v>0.00312557455414598</v>
      </c>
      <c r="Z327" s="23">
        <v>0.010975227343995</v>
      </c>
      <c r="AA327" s="23">
        <v>0.00883912787271656</v>
      </c>
      <c r="AB327">
        <v>10.89</v>
      </c>
      <c r="AC327">
        <v>32.5</v>
      </c>
      <c r="AD327">
        <v>30.82</v>
      </c>
      <c r="AE327">
        <v>11.43</v>
      </c>
      <c r="AF327" s="23">
        <v>0.495450409463148</v>
      </c>
      <c r="AG327" s="23">
        <v>0</v>
      </c>
      <c r="AH327" s="23">
        <v>0.934789202305126</v>
      </c>
      <c r="AI327" s="23">
        <v>0</v>
      </c>
      <c r="AJ327">
        <v>18</v>
      </c>
      <c r="AK327">
        <v>23</v>
      </c>
      <c r="AL327">
        <v>14</v>
      </c>
      <c r="AM327">
        <v>23</v>
      </c>
      <c r="AN327" s="23">
        <v>0.111111111111111</v>
      </c>
      <c r="AO327" s="23">
        <v>0</v>
      </c>
      <c r="AP327" s="23">
        <v>0.214285714285714</v>
      </c>
      <c r="AQ327" s="23">
        <v>0</v>
      </c>
      <c r="AR327" s="35">
        <v>0.285714285714286</v>
      </c>
      <c r="AS327" s="35">
        <v>17.1428571428571</v>
      </c>
      <c r="AT327" s="35">
        <v>-9.14285714285714</v>
      </c>
      <c r="AU327" s="31">
        <f t="shared" si="8"/>
        <v>28</v>
      </c>
      <c r="AV327" s="36">
        <f>IFERROR($A$2+AU327,"上周无销量")</f>
        <v>43332</v>
      </c>
    </row>
    <row r="328" spans="1:48">
      <c r="A328" s="21" t="s">
        <v>711</v>
      </c>
      <c r="B328" t="s">
        <v>712</v>
      </c>
      <c r="C328" t="s">
        <v>708</v>
      </c>
      <c r="D328" s="31">
        <v>1</v>
      </c>
      <c r="E328" s="31">
        <v>1</v>
      </c>
      <c r="F328" s="31">
        <v>0</v>
      </c>
      <c r="G328" s="31">
        <v>2</v>
      </c>
      <c r="H328" s="32">
        <v>9.495</v>
      </c>
      <c r="I328">
        <v>9</v>
      </c>
      <c r="J328" s="33">
        <v>0</v>
      </c>
      <c r="K328" s="33">
        <v>0</v>
      </c>
      <c r="L328" s="33">
        <v>0</v>
      </c>
      <c r="M328">
        <v>9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16</v>
      </c>
      <c r="AK328">
        <v>6</v>
      </c>
      <c r="AL328">
        <v>9</v>
      </c>
      <c r="AM328">
        <v>10</v>
      </c>
      <c r="AN328" s="23">
        <v>0.0625</v>
      </c>
      <c r="AO328" s="23">
        <v>0.166666666666667</v>
      </c>
      <c r="AP328" s="23">
        <v>0</v>
      </c>
      <c r="AQ328" s="23">
        <v>0.2</v>
      </c>
      <c r="AR328" s="35">
        <v>0.142857142857143</v>
      </c>
      <c r="AS328" s="35">
        <v>8.57142857142857</v>
      </c>
      <c r="AT328" s="35">
        <v>0.428571428571429</v>
      </c>
      <c r="AU328" s="31">
        <f t="shared" si="8"/>
        <v>63</v>
      </c>
      <c r="AV328" s="36">
        <f>IFERROR($A$2+AU328,"上周无销量")</f>
        <v>43367</v>
      </c>
    </row>
    <row r="329" spans="1:48">
      <c r="A329" s="21" t="s">
        <v>713</v>
      </c>
      <c r="B329" t="s">
        <v>714</v>
      </c>
      <c r="C329" t="s">
        <v>708</v>
      </c>
      <c r="D329" s="31">
        <v>0</v>
      </c>
      <c r="E329" s="31">
        <v>3</v>
      </c>
      <c r="F329" s="31">
        <v>1</v>
      </c>
      <c r="G329" s="31">
        <v>0</v>
      </c>
      <c r="H329" s="32">
        <v>10.99</v>
      </c>
      <c r="I329">
        <v>6</v>
      </c>
      <c r="J329" s="33">
        <v>0</v>
      </c>
      <c r="K329" s="33">
        <v>0</v>
      </c>
      <c r="L329" s="33">
        <v>0</v>
      </c>
      <c r="M329">
        <v>6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8</v>
      </c>
      <c r="AK329">
        <v>24</v>
      </c>
      <c r="AL329">
        <v>9</v>
      </c>
      <c r="AM329">
        <v>10</v>
      </c>
      <c r="AN329" s="23">
        <v>0</v>
      </c>
      <c r="AO329" s="23">
        <v>0.125</v>
      </c>
      <c r="AP329" s="23">
        <v>0.111111111111111</v>
      </c>
      <c r="AQ329" s="23">
        <v>0</v>
      </c>
      <c r="AR329" s="35">
        <v>0</v>
      </c>
      <c r="AS329" s="35">
        <v>0</v>
      </c>
      <c r="AT329" s="35">
        <v>6</v>
      </c>
      <c r="AU329" s="31" t="str">
        <f t="shared" si="8"/>
        <v>库存为6</v>
      </c>
      <c r="AV329" s="36" t="str">
        <f>IFERROR($A$2+AU329,"上周无销量")</f>
        <v>上周无销量</v>
      </c>
    </row>
    <row r="330" spans="1:48">
      <c r="A330" s="21" t="s">
        <v>715</v>
      </c>
      <c r="B330" t="s">
        <v>716</v>
      </c>
      <c r="C330" t="s">
        <v>708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24</v>
      </c>
      <c r="J330" s="33">
        <v>0</v>
      </c>
      <c r="K330" s="33">
        <v>0</v>
      </c>
      <c r="L330" s="33">
        <v>0</v>
      </c>
      <c r="M330">
        <v>24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13</v>
      </c>
      <c r="AK330">
        <v>5</v>
      </c>
      <c r="AL330">
        <v>10</v>
      </c>
      <c r="AM330">
        <v>12</v>
      </c>
      <c r="AN330" s="23">
        <v>0</v>
      </c>
      <c r="AO330" s="23">
        <v>0</v>
      </c>
      <c r="AP330" s="23">
        <v>0</v>
      </c>
      <c r="AQ330" s="23">
        <v>0</v>
      </c>
      <c r="AR330" s="35">
        <v>0</v>
      </c>
      <c r="AS330" s="35">
        <v>0</v>
      </c>
      <c r="AT330" s="35">
        <v>24</v>
      </c>
      <c r="AU330" s="31" t="str">
        <f t="shared" si="8"/>
        <v>库存为24</v>
      </c>
      <c r="AV330" s="36" t="str">
        <f>IFERROR($A$2+AU330,"上周无销量")</f>
        <v>上周无销量</v>
      </c>
    </row>
    <row r="331" spans="1:48">
      <c r="A331" s="21" t="s">
        <v>717</v>
      </c>
      <c r="B331" t="s">
        <v>718</v>
      </c>
      <c r="C331" t="s">
        <v>708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22</v>
      </c>
      <c r="J331" s="33">
        <v>0</v>
      </c>
      <c r="K331" s="33">
        <v>0</v>
      </c>
      <c r="L331" s="33">
        <v>0</v>
      </c>
      <c r="M331">
        <v>22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16</v>
      </c>
      <c r="AK331">
        <v>19</v>
      </c>
      <c r="AL331">
        <v>9</v>
      </c>
      <c r="AM331">
        <v>17</v>
      </c>
      <c r="AN331" s="23">
        <v>0</v>
      </c>
      <c r="AO331" s="23">
        <v>0</v>
      </c>
      <c r="AP331" s="23">
        <v>0</v>
      </c>
      <c r="AQ331" s="23">
        <v>0</v>
      </c>
      <c r="AR331" s="35">
        <v>0</v>
      </c>
      <c r="AS331" s="35">
        <v>0</v>
      </c>
      <c r="AT331" s="35">
        <v>22</v>
      </c>
      <c r="AU331" s="31" t="str">
        <f t="shared" si="8"/>
        <v>库存为22</v>
      </c>
      <c r="AV331" s="36" t="str">
        <f>IFERROR($A$2+AU331,"上周无销量")</f>
        <v>上周无销量</v>
      </c>
    </row>
    <row r="332" spans="1:48">
      <c r="A332" s="21" t="s">
        <v>719</v>
      </c>
      <c r="B332" t="s">
        <v>720</v>
      </c>
      <c r="C332" t="s">
        <v>719</v>
      </c>
      <c r="D332" s="31">
        <v>0</v>
      </c>
      <c r="E332" s="31">
        <v>0</v>
      </c>
      <c r="F332" s="31">
        <v>3</v>
      </c>
      <c r="G332" s="31">
        <v>2</v>
      </c>
      <c r="H332" s="32">
        <v>28.99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526</v>
      </c>
      <c r="S332">
        <v>1409</v>
      </c>
      <c r="T332">
        <v>0</v>
      </c>
      <c r="U332">
        <v>0</v>
      </c>
      <c r="V332">
        <v>2</v>
      </c>
      <c r="W332">
        <v>5</v>
      </c>
      <c r="X332" s="23" t="s">
        <v>54</v>
      </c>
      <c r="Y332" s="23" t="s">
        <v>54</v>
      </c>
      <c r="Z332" s="23">
        <v>0.00380228136882129</v>
      </c>
      <c r="AA332" s="23">
        <v>0.0035486160397445</v>
      </c>
      <c r="AB332">
        <v>0</v>
      </c>
      <c r="AC332">
        <v>0</v>
      </c>
      <c r="AD332">
        <v>1.37</v>
      </c>
      <c r="AE332">
        <v>4.67</v>
      </c>
      <c r="AF332" s="23" t="s">
        <v>54</v>
      </c>
      <c r="AG332" s="23" t="s">
        <v>54</v>
      </c>
      <c r="AH332" s="23">
        <v>0.0157525583534552</v>
      </c>
      <c r="AI332" s="23">
        <v>0.080545015522594</v>
      </c>
      <c r="AJ332">
        <v>0</v>
      </c>
      <c r="AK332">
        <v>0</v>
      </c>
      <c r="AL332">
        <v>21</v>
      </c>
      <c r="AM332">
        <v>33</v>
      </c>
      <c r="AN332" s="23" t="s">
        <v>54</v>
      </c>
      <c r="AO332" s="23" t="s">
        <v>54</v>
      </c>
      <c r="AP332" s="23">
        <v>0.142857142857143</v>
      </c>
      <c r="AQ332" s="23">
        <v>0.0606060606060606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IFERROR($A$2+AU332,"上周无销量")</f>
        <v>上周无销量</v>
      </c>
    </row>
    <row r="333" spans="1:48">
      <c r="A333" s="21" t="s">
        <v>721</v>
      </c>
      <c r="B333" t="s">
        <v>722</v>
      </c>
      <c r="C333" t="s">
        <v>723</v>
      </c>
      <c r="D333" s="31">
        <v>1</v>
      </c>
      <c r="E333" s="31">
        <v>1</v>
      </c>
      <c r="F333" s="31">
        <v>0</v>
      </c>
      <c r="G333" s="31">
        <v>0</v>
      </c>
      <c r="H333" s="32">
        <v>12</v>
      </c>
      <c r="I333">
        <v>1</v>
      </c>
      <c r="J333" s="33">
        <v>0</v>
      </c>
      <c r="K333" s="33">
        <v>0</v>
      </c>
      <c r="L333" s="33">
        <v>0</v>
      </c>
      <c r="M333">
        <v>1</v>
      </c>
      <c r="N333">
        <v>0</v>
      </c>
      <c r="O333">
        <v>2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3</v>
      </c>
      <c r="AK333">
        <v>4</v>
      </c>
      <c r="AL333">
        <v>1</v>
      </c>
      <c r="AM333">
        <v>1</v>
      </c>
      <c r="AN333" s="23">
        <v>0.333333333333333</v>
      </c>
      <c r="AO333" s="23">
        <v>0.25</v>
      </c>
      <c r="AP333" s="23">
        <v>0</v>
      </c>
      <c r="AQ333" s="23">
        <v>0</v>
      </c>
      <c r="AR333" s="35">
        <v>0.142857142857143</v>
      </c>
      <c r="AS333" s="35">
        <v>8.57142857142857</v>
      </c>
      <c r="AT333" s="35">
        <v>-7.57142857142857</v>
      </c>
      <c r="AU333" s="31">
        <f t="shared" si="8"/>
        <v>7</v>
      </c>
      <c r="AV333" s="36">
        <f>IFERROR($A$2+AU333,"上周无销量")</f>
        <v>43311</v>
      </c>
    </row>
    <row r="334" spans="1:48">
      <c r="A334" s="21" t="s">
        <v>724</v>
      </c>
      <c r="B334" t="s">
        <v>725</v>
      </c>
      <c r="C334" t="s">
        <v>723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3</v>
      </c>
      <c r="J334" s="33">
        <v>0</v>
      </c>
      <c r="K334" s="33">
        <v>0</v>
      </c>
      <c r="L334" s="33">
        <v>0</v>
      </c>
      <c r="M334">
        <v>3</v>
      </c>
      <c r="N334">
        <v>0</v>
      </c>
      <c r="O334">
        <v>3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3</v>
      </c>
      <c r="AK334">
        <v>2</v>
      </c>
      <c r="AL334">
        <v>1</v>
      </c>
      <c r="AM334">
        <v>3</v>
      </c>
      <c r="AN334" s="23">
        <v>0</v>
      </c>
      <c r="AO334" s="23">
        <v>0</v>
      </c>
      <c r="AP334" s="23">
        <v>0</v>
      </c>
      <c r="AQ334" s="23">
        <v>0</v>
      </c>
      <c r="AR334" s="35">
        <v>0</v>
      </c>
      <c r="AS334" s="35">
        <v>0</v>
      </c>
      <c r="AT334" s="35">
        <v>3</v>
      </c>
      <c r="AU334" s="31" t="str">
        <f t="shared" si="8"/>
        <v>库存为3</v>
      </c>
      <c r="AV334" s="36" t="str">
        <f>IFERROR($A$2+AU334,"上周无销量")</f>
        <v>上周无销量</v>
      </c>
    </row>
    <row r="335" spans="1:48">
      <c r="A335" s="21" t="s">
        <v>726</v>
      </c>
      <c r="B335" t="s">
        <v>727</v>
      </c>
      <c r="C335" t="s">
        <v>723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3</v>
      </c>
      <c r="J335" s="33">
        <v>0</v>
      </c>
      <c r="K335" s="33">
        <v>0</v>
      </c>
      <c r="L335" s="33">
        <v>0</v>
      </c>
      <c r="M335">
        <v>3</v>
      </c>
      <c r="N335">
        <v>0</v>
      </c>
      <c r="O335">
        <v>3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4</v>
      </c>
      <c r="AK335">
        <v>2</v>
      </c>
      <c r="AL335">
        <v>1</v>
      </c>
      <c r="AM335">
        <v>0</v>
      </c>
      <c r="AN335" s="23">
        <v>0</v>
      </c>
      <c r="AO335" s="23">
        <v>0</v>
      </c>
      <c r="AP335" s="23">
        <v>0</v>
      </c>
      <c r="AQ335" s="23" t="s">
        <v>54</v>
      </c>
      <c r="AR335" s="35">
        <v>0</v>
      </c>
      <c r="AS335" s="35">
        <v>0</v>
      </c>
      <c r="AT335" s="35">
        <v>3</v>
      </c>
      <c r="AU335" s="31" t="str">
        <f t="shared" si="8"/>
        <v>库存为3</v>
      </c>
      <c r="AV335" s="36" t="str">
        <f>IFERROR($A$2+AU335,"上周无销量")</f>
        <v>上周无销量</v>
      </c>
    </row>
    <row r="336" spans="1:48">
      <c r="A336" s="21" t="s">
        <v>728</v>
      </c>
      <c r="B336" t="s">
        <v>729</v>
      </c>
      <c r="C336" t="s">
        <v>723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2</v>
      </c>
      <c r="J336" s="33">
        <v>0</v>
      </c>
      <c r="K336" s="33">
        <v>0</v>
      </c>
      <c r="L336" s="33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1</v>
      </c>
      <c r="AL336">
        <v>0</v>
      </c>
      <c r="AM336">
        <v>1</v>
      </c>
      <c r="AN336" s="23" t="s">
        <v>54</v>
      </c>
      <c r="AO336" s="23">
        <v>0</v>
      </c>
      <c r="AP336" s="23" t="s">
        <v>54</v>
      </c>
      <c r="AQ336" s="23">
        <v>0</v>
      </c>
      <c r="AR336" s="35">
        <v>0</v>
      </c>
      <c r="AS336" s="35">
        <v>0</v>
      </c>
      <c r="AT336" s="35">
        <v>2</v>
      </c>
      <c r="AU336" s="31" t="str">
        <f t="shared" si="8"/>
        <v>库存为2</v>
      </c>
      <c r="AV336" s="36" t="str">
        <f>IFERROR($A$2+AU336,"上周无销量")</f>
        <v>上周无销量</v>
      </c>
    </row>
    <row r="337" spans="1:48">
      <c r="A337" s="21" t="s">
        <v>730</v>
      </c>
      <c r="B337" t="s">
        <v>731</v>
      </c>
      <c r="C337" t="s">
        <v>723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3</v>
      </c>
      <c r="J337" s="33">
        <v>0</v>
      </c>
      <c r="K337" s="33">
        <v>0</v>
      </c>
      <c r="L337" s="33">
        <v>0</v>
      </c>
      <c r="M337">
        <v>3</v>
      </c>
      <c r="N337">
        <v>0</v>
      </c>
      <c r="O337">
        <v>3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4</v>
      </c>
      <c r="AK337">
        <v>1</v>
      </c>
      <c r="AL337">
        <v>1</v>
      </c>
      <c r="AM337">
        <v>3</v>
      </c>
      <c r="AN337" s="23">
        <v>0</v>
      </c>
      <c r="AO337" s="23">
        <v>0</v>
      </c>
      <c r="AP337" s="23">
        <v>0</v>
      </c>
      <c r="AQ337" s="23">
        <v>0</v>
      </c>
      <c r="AR337" s="35">
        <v>0</v>
      </c>
      <c r="AS337" s="35">
        <v>0</v>
      </c>
      <c r="AT337" s="35">
        <v>3</v>
      </c>
      <c r="AU337" s="31" t="str">
        <f t="shared" si="8"/>
        <v>库存为3</v>
      </c>
      <c r="AV337" s="36" t="str">
        <f>IFERROR($A$2+AU337,"上周无销量")</f>
        <v>上周无销量</v>
      </c>
    </row>
    <row r="338" spans="1:48">
      <c r="A338" s="21" t="s">
        <v>732</v>
      </c>
      <c r="B338" t="s">
        <v>733</v>
      </c>
      <c r="C338" t="s">
        <v>723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3</v>
      </c>
      <c r="J338" s="33">
        <v>0</v>
      </c>
      <c r="K338" s="33">
        <v>0</v>
      </c>
      <c r="L338" s="33">
        <v>0</v>
      </c>
      <c r="M338">
        <v>3</v>
      </c>
      <c r="N338">
        <v>0</v>
      </c>
      <c r="O338">
        <v>3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5</v>
      </c>
      <c r="AK338">
        <v>6</v>
      </c>
      <c r="AL338">
        <v>1</v>
      </c>
      <c r="AM338">
        <v>2</v>
      </c>
      <c r="AN338" s="23">
        <v>0</v>
      </c>
      <c r="AO338" s="23">
        <v>0</v>
      </c>
      <c r="AP338" s="23">
        <v>0</v>
      </c>
      <c r="AQ338" s="23">
        <v>0</v>
      </c>
      <c r="AR338" s="35">
        <v>0</v>
      </c>
      <c r="AS338" s="35">
        <v>0</v>
      </c>
      <c r="AT338" s="35">
        <v>3</v>
      </c>
      <c r="AU338" s="31" t="str">
        <f t="shared" si="8"/>
        <v>库存为3</v>
      </c>
      <c r="AV338" s="36" t="str">
        <f>IFERROR($A$2+AU338,"上周无销量")</f>
        <v>上周无销量</v>
      </c>
    </row>
    <row r="339" spans="1:48">
      <c r="A339" s="21" t="s">
        <v>734</v>
      </c>
      <c r="B339" t="s">
        <v>735</v>
      </c>
      <c r="C339" t="s">
        <v>723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s">
        <v>54</v>
      </c>
      <c r="AO339" s="23" t="s">
        <v>54</v>
      </c>
      <c r="AP339" s="23" t="s">
        <v>54</v>
      </c>
      <c r="AQ339" s="23" t="s">
        <v>54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IFERROR($A$2+AU339,"上周无销量")</f>
        <v>上周无销量</v>
      </c>
    </row>
    <row r="340" spans="1:48">
      <c r="A340" s="21" t="s">
        <v>736</v>
      </c>
      <c r="B340" t="s">
        <v>737</v>
      </c>
      <c r="C340" t="s">
        <v>723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1</v>
      </c>
      <c r="J340" s="33">
        <v>0</v>
      </c>
      <c r="K340" s="33">
        <v>0</v>
      </c>
      <c r="L340" s="33">
        <v>0</v>
      </c>
      <c r="M340">
        <v>1</v>
      </c>
      <c r="N340">
        <v>0</v>
      </c>
      <c r="O340">
        <v>1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4</v>
      </c>
      <c r="AL340">
        <v>0</v>
      </c>
      <c r="AM340">
        <v>0</v>
      </c>
      <c r="AN340" s="23" t="s">
        <v>54</v>
      </c>
      <c r="AO340" s="23">
        <v>0</v>
      </c>
      <c r="AP340" s="23" t="s">
        <v>54</v>
      </c>
      <c r="AQ340" s="23" t="s">
        <v>54</v>
      </c>
      <c r="AR340" s="35">
        <v>0</v>
      </c>
      <c r="AS340" s="35">
        <v>0</v>
      </c>
      <c r="AT340" s="35">
        <v>1</v>
      </c>
      <c r="AU340" s="31" t="str">
        <f t="shared" si="8"/>
        <v>库存为1</v>
      </c>
      <c r="AV340" s="36" t="str">
        <f>IFERROR($A$2+AU340,"上周无销量")</f>
        <v>上周无销量</v>
      </c>
    </row>
    <row r="341" spans="1:48">
      <c r="A341" s="21" t="s">
        <v>738</v>
      </c>
      <c r="B341" t="s">
        <v>739</v>
      </c>
      <c r="C341" t="s">
        <v>723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2</v>
      </c>
      <c r="J341" s="33">
        <v>0</v>
      </c>
      <c r="K341" s="33">
        <v>0</v>
      </c>
      <c r="L341" s="33">
        <v>0</v>
      </c>
      <c r="M341">
        <v>2</v>
      </c>
      <c r="N341">
        <v>0</v>
      </c>
      <c r="O341">
        <v>2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2</v>
      </c>
      <c r="AL341">
        <v>1</v>
      </c>
      <c r="AM341">
        <v>0</v>
      </c>
      <c r="AN341" s="23" t="s">
        <v>54</v>
      </c>
      <c r="AO341" s="23">
        <v>0</v>
      </c>
      <c r="AP341" s="23">
        <v>0</v>
      </c>
      <c r="AQ341" s="23" t="s">
        <v>54</v>
      </c>
      <c r="AR341" s="35">
        <v>0</v>
      </c>
      <c r="AS341" s="35">
        <v>0</v>
      </c>
      <c r="AT341" s="35">
        <v>2</v>
      </c>
      <c r="AU341" s="31" t="str">
        <f t="shared" si="8"/>
        <v>库存为2</v>
      </c>
      <c r="AV341" s="36" t="str">
        <f>IFERROR($A$2+AU341,"上周无销量")</f>
        <v>上周无销量</v>
      </c>
    </row>
    <row r="342" spans="1:48">
      <c r="A342" s="21" t="s">
        <v>740</v>
      </c>
      <c r="B342" t="s">
        <v>741</v>
      </c>
      <c r="C342" t="s">
        <v>723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3</v>
      </c>
      <c r="J342" s="33">
        <v>0</v>
      </c>
      <c r="K342" s="33">
        <v>0</v>
      </c>
      <c r="L342" s="33">
        <v>0</v>
      </c>
      <c r="M342">
        <v>3</v>
      </c>
      <c r="N342">
        <v>0</v>
      </c>
      <c r="O342">
        <v>2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3</v>
      </c>
      <c r="AK342">
        <v>3</v>
      </c>
      <c r="AL342">
        <v>0</v>
      </c>
      <c r="AM342">
        <v>0</v>
      </c>
      <c r="AN342" s="23">
        <v>0</v>
      </c>
      <c r="AO342" s="23">
        <v>0</v>
      </c>
      <c r="AP342" s="23" t="s">
        <v>54</v>
      </c>
      <c r="AQ342" s="23" t="s">
        <v>54</v>
      </c>
      <c r="AR342" s="35">
        <v>0</v>
      </c>
      <c r="AS342" s="35">
        <v>0</v>
      </c>
      <c r="AT342" s="35">
        <v>3</v>
      </c>
      <c r="AU342" s="31" t="str">
        <f t="shared" si="8"/>
        <v>库存为3</v>
      </c>
      <c r="AV342" s="36" t="str">
        <f>IFERROR($A$2+AU342,"上周无销量")</f>
        <v>上周无销量</v>
      </c>
    </row>
    <row r="343" spans="1:48">
      <c r="A343" s="21" t="s">
        <v>742</v>
      </c>
      <c r="B343" t="s">
        <v>743</v>
      </c>
      <c r="C343" t="s">
        <v>723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3</v>
      </c>
      <c r="J343" s="33">
        <v>0</v>
      </c>
      <c r="K343" s="33">
        <v>0</v>
      </c>
      <c r="L343" s="33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2</v>
      </c>
      <c r="AL343">
        <v>1</v>
      </c>
      <c r="AM343">
        <v>1</v>
      </c>
      <c r="AN343" s="23" t="s">
        <v>54</v>
      </c>
      <c r="AO343" s="23">
        <v>0</v>
      </c>
      <c r="AP343" s="23">
        <v>0</v>
      </c>
      <c r="AQ343" s="23">
        <v>0</v>
      </c>
      <c r="AR343" s="35">
        <v>0</v>
      </c>
      <c r="AS343" s="35">
        <v>0</v>
      </c>
      <c r="AT343" s="35">
        <v>3</v>
      </c>
      <c r="AU343" s="31" t="str">
        <f t="shared" si="8"/>
        <v>库存为3</v>
      </c>
      <c r="AV343" s="36" t="str">
        <f>IFERROR($A$2+AU343,"上周无销量")</f>
        <v>上周无销量</v>
      </c>
    </row>
    <row r="344" spans="1:48">
      <c r="A344" s="21" t="s">
        <v>744</v>
      </c>
      <c r="B344" t="s">
        <v>745</v>
      </c>
      <c r="C344" t="s">
        <v>723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3</v>
      </c>
      <c r="J344" s="33">
        <v>0</v>
      </c>
      <c r="K344" s="33">
        <v>0</v>
      </c>
      <c r="L344" s="33">
        <v>0</v>
      </c>
      <c r="M344">
        <v>3</v>
      </c>
      <c r="N344">
        <v>0</v>
      </c>
      <c r="O344">
        <v>3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2</v>
      </c>
      <c r="AK344">
        <v>1</v>
      </c>
      <c r="AL344">
        <v>1</v>
      </c>
      <c r="AM344">
        <v>3</v>
      </c>
      <c r="AN344" s="23">
        <v>0</v>
      </c>
      <c r="AO344" s="23">
        <v>0</v>
      </c>
      <c r="AP344" s="23">
        <v>0</v>
      </c>
      <c r="AQ344" s="23">
        <v>0</v>
      </c>
      <c r="AR344" s="35">
        <v>0</v>
      </c>
      <c r="AS344" s="35">
        <v>0</v>
      </c>
      <c r="AT344" s="35">
        <v>3</v>
      </c>
      <c r="AU344" s="31" t="str">
        <f t="shared" si="8"/>
        <v>库存为3</v>
      </c>
      <c r="AV344" s="36" t="str">
        <f>IFERROR($A$2+AU344,"上周无销量")</f>
        <v>上周无销量</v>
      </c>
    </row>
    <row r="345" spans="1:48">
      <c r="A345" s="21" t="s">
        <v>746</v>
      </c>
      <c r="B345" t="s">
        <v>747</v>
      </c>
      <c r="C345" t="s">
        <v>723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2</v>
      </c>
      <c r="J345" s="33">
        <v>0</v>
      </c>
      <c r="K345" s="33">
        <v>0</v>
      </c>
      <c r="L345" s="33">
        <v>0</v>
      </c>
      <c r="M345">
        <v>2</v>
      </c>
      <c r="N345">
        <v>0</v>
      </c>
      <c r="O345">
        <v>2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1</v>
      </c>
      <c r="AK345">
        <v>1</v>
      </c>
      <c r="AL345">
        <v>1</v>
      </c>
      <c r="AM345">
        <v>3</v>
      </c>
      <c r="AN345" s="23">
        <v>0</v>
      </c>
      <c r="AO345" s="23">
        <v>0</v>
      </c>
      <c r="AP345" s="23">
        <v>0</v>
      </c>
      <c r="AQ345" s="23">
        <v>0</v>
      </c>
      <c r="AR345" s="35">
        <v>0</v>
      </c>
      <c r="AS345" s="35">
        <v>0</v>
      </c>
      <c r="AT345" s="35">
        <v>2</v>
      </c>
      <c r="AU345" s="31" t="str">
        <f t="shared" si="8"/>
        <v>库存为2</v>
      </c>
      <c r="AV345" s="36" t="str">
        <f>IFERROR($A$2+AU345,"上周无销量")</f>
        <v>上周无销量</v>
      </c>
    </row>
    <row r="346" spans="1:48">
      <c r="A346" s="21" t="s">
        <v>748</v>
      </c>
      <c r="B346" t="s">
        <v>749</v>
      </c>
      <c r="C346" t="s">
        <v>723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3</v>
      </c>
      <c r="J346" s="33">
        <v>0</v>
      </c>
      <c r="K346" s="33">
        <v>0</v>
      </c>
      <c r="L346" s="33">
        <v>0</v>
      </c>
      <c r="M346">
        <v>3</v>
      </c>
      <c r="N346">
        <v>0</v>
      </c>
      <c r="O346">
        <v>3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2</v>
      </c>
      <c r="AL346">
        <v>1</v>
      </c>
      <c r="AM346">
        <v>3</v>
      </c>
      <c r="AN346" s="23" t="s">
        <v>54</v>
      </c>
      <c r="AO346" s="23">
        <v>0</v>
      </c>
      <c r="AP346" s="23">
        <v>0</v>
      </c>
      <c r="AQ346" s="23">
        <v>0</v>
      </c>
      <c r="AR346" s="35">
        <v>0</v>
      </c>
      <c r="AS346" s="35">
        <v>0</v>
      </c>
      <c r="AT346" s="35">
        <v>3</v>
      </c>
      <c r="AU346" s="31" t="str">
        <f t="shared" si="8"/>
        <v>库存为3</v>
      </c>
      <c r="AV346" s="36" t="str">
        <f>IFERROR($A$2+AU346,"上周无销量")</f>
        <v>上周无销量</v>
      </c>
    </row>
    <row r="347" spans="1:48">
      <c r="A347" s="21" t="s">
        <v>750</v>
      </c>
      <c r="B347" t="s">
        <v>751</v>
      </c>
      <c r="C347" t="s">
        <v>723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IFERROR($A$2+AU347,"上周无销量")</f>
        <v>上周无销量</v>
      </c>
    </row>
    <row r="348" spans="1:48">
      <c r="A348" s="21" t="s">
        <v>752</v>
      </c>
      <c r="B348" t="s">
        <v>753</v>
      </c>
      <c r="C348" t="s">
        <v>723</v>
      </c>
      <c r="D348" s="31">
        <v>0</v>
      </c>
      <c r="E348" s="31">
        <v>2</v>
      </c>
      <c r="F348" s="31">
        <v>1</v>
      </c>
      <c r="G348" s="31">
        <v>0</v>
      </c>
      <c r="H348" s="32">
        <v>12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6</v>
      </c>
      <c r="AM348">
        <v>4</v>
      </c>
      <c r="AN348" s="23" t="s">
        <v>54</v>
      </c>
      <c r="AO348" s="23" t="s">
        <v>54</v>
      </c>
      <c r="AP348" s="23">
        <v>0.166666666666667</v>
      </c>
      <c r="AQ348" s="23">
        <v>0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IFERROR($A$2+AU348,"上周无销量")</f>
        <v>上周无销量</v>
      </c>
    </row>
    <row r="349" spans="1:48">
      <c r="A349" s="21" t="s">
        <v>754</v>
      </c>
      <c r="B349" t="s">
        <v>755</v>
      </c>
      <c r="C349" t="s">
        <v>723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2</v>
      </c>
      <c r="J349" s="33">
        <v>0</v>
      </c>
      <c r="K349" s="33">
        <v>0</v>
      </c>
      <c r="L349" s="33">
        <v>0</v>
      </c>
      <c r="M349">
        <v>2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5</v>
      </c>
      <c r="AK349">
        <v>9</v>
      </c>
      <c r="AL349">
        <v>1</v>
      </c>
      <c r="AM349">
        <v>3</v>
      </c>
      <c r="AN349" s="23">
        <v>0</v>
      </c>
      <c r="AO349" s="23">
        <v>0</v>
      </c>
      <c r="AP349" s="23">
        <v>0</v>
      </c>
      <c r="AQ349" s="23">
        <v>0</v>
      </c>
      <c r="AR349" s="35">
        <v>0</v>
      </c>
      <c r="AS349" s="35">
        <v>0</v>
      </c>
      <c r="AT349" s="35">
        <v>2</v>
      </c>
      <c r="AU349" s="31" t="str">
        <f t="shared" si="8"/>
        <v>库存为2</v>
      </c>
      <c r="AV349" s="36" t="str">
        <f>IFERROR($A$2+AU349,"上周无销量")</f>
        <v>上周无销量</v>
      </c>
    </row>
    <row r="350" spans="1:48">
      <c r="A350" s="21" t="s">
        <v>756</v>
      </c>
      <c r="B350" t="s">
        <v>757</v>
      </c>
      <c r="C350" t="s">
        <v>723</v>
      </c>
      <c r="D350" s="31">
        <v>0</v>
      </c>
      <c r="E350" s="31">
        <v>0</v>
      </c>
      <c r="F350" s="31">
        <v>0</v>
      </c>
      <c r="G350" s="31">
        <v>1</v>
      </c>
      <c r="H350" s="32">
        <v>12</v>
      </c>
      <c r="I350">
        <v>2</v>
      </c>
      <c r="J350" s="33">
        <v>0</v>
      </c>
      <c r="K350" s="33">
        <v>0</v>
      </c>
      <c r="L350" s="33">
        <v>0</v>
      </c>
      <c r="M350">
        <v>2</v>
      </c>
      <c r="N350">
        <v>0</v>
      </c>
      <c r="O350">
        <v>2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1</v>
      </c>
      <c r="AK350">
        <v>3</v>
      </c>
      <c r="AL350">
        <v>1</v>
      </c>
      <c r="AM350">
        <v>4</v>
      </c>
      <c r="AN350" s="23">
        <v>0</v>
      </c>
      <c r="AO350" s="23">
        <v>0</v>
      </c>
      <c r="AP350" s="23">
        <v>0</v>
      </c>
      <c r="AQ350" s="23">
        <v>0.25</v>
      </c>
      <c r="AR350" s="35">
        <v>0</v>
      </c>
      <c r="AS350" s="35">
        <v>0</v>
      </c>
      <c r="AT350" s="35">
        <v>2</v>
      </c>
      <c r="AU350" s="31" t="str">
        <f t="shared" si="8"/>
        <v>库存为2</v>
      </c>
      <c r="AV350" s="36" t="str">
        <f>IFERROR($A$2+AU350,"上周无销量")</f>
        <v>上周无销量</v>
      </c>
    </row>
    <row r="351" spans="1:48">
      <c r="A351" s="21" t="s">
        <v>758</v>
      </c>
      <c r="B351" t="s">
        <v>759</v>
      </c>
      <c r="C351" t="s">
        <v>723</v>
      </c>
      <c r="D351" s="31">
        <v>0</v>
      </c>
      <c r="E351" s="31">
        <v>0</v>
      </c>
      <c r="F351" s="31">
        <v>0</v>
      </c>
      <c r="G351" s="31">
        <v>1</v>
      </c>
      <c r="H351" s="32">
        <v>12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IFERROR($A$2+AU351,"上周无销量")</f>
        <v>上周无销量</v>
      </c>
    </row>
    <row r="352" spans="1:48">
      <c r="A352" s="21" t="s">
        <v>760</v>
      </c>
      <c r="B352" t="s">
        <v>761</v>
      </c>
      <c r="C352" t="s">
        <v>723</v>
      </c>
      <c r="D352" s="31">
        <v>0</v>
      </c>
      <c r="E352" s="31">
        <v>0</v>
      </c>
      <c r="F352" s="31">
        <v>2</v>
      </c>
      <c r="G352" s="31">
        <v>0</v>
      </c>
      <c r="H352" s="32">
        <v>12</v>
      </c>
      <c r="I352">
        <v>1</v>
      </c>
      <c r="J352" s="33">
        <v>0</v>
      </c>
      <c r="K352" s="33">
        <v>0</v>
      </c>
      <c r="L352" s="33">
        <v>0</v>
      </c>
      <c r="M352">
        <v>1</v>
      </c>
      <c r="N352">
        <v>0</v>
      </c>
      <c r="O352">
        <v>1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3</v>
      </c>
      <c r="AK352">
        <v>8</v>
      </c>
      <c r="AL352">
        <v>1</v>
      </c>
      <c r="AM352">
        <v>1</v>
      </c>
      <c r="AN352" s="23">
        <v>0</v>
      </c>
      <c r="AO352" s="23">
        <v>0</v>
      </c>
      <c r="AP352" s="23">
        <v>2</v>
      </c>
      <c r="AQ352" s="23">
        <v>0</v>
      </c>
      <c r="AR352" s="35">
        <v>0</v>
      </c>
      <c r="AS352" s="35">
        <v>0</v>
      </c>
      <c r="AT352" s="35">
        <v>1</v>
      </c>
      <c r="AU352" s="31" t="str">
        <f t="shared" si="8"/>
        <v>库存为1</v>
      </c>
      <c r="AV352" s="36" t="str">
        <f>IFERROR($A$2+AU352,"上周无销量")</f>
        <v>上周无销量</v>
      </c>
    </row>
    <row r="353" spans="1:48">
      <c r="A353" s="21" t="s">
        <v>762</v>
      </c>
      <c r="B353" t="s">
        <v>763</v>
      </c>
      <c r="C353" t="s">
        <v>723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1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6</v>
      </c>
      <c r="AK353">
        <v>4</v>
      </c>
      <c r="AL353">
        <v>3</v>
      </c>
      <c r="AM353">
        <v>5</v>
      </c>
      <c r="AN353" s="23">
        <v>0</v>
      </c>
      <c r="AO353" s="23">
        <v>0</v>
      </c>
      <c r="AP353" s="23">
        <v>0</v>
      </c>
      <c r="AQ353" s="23">
        <v>0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IFERROR($A$2+AU353,"上周无销量")</f>
        <v>上周无销量</v>
      </c>
    </row>
    <row r="354" spans="1:48">
      <c r="A354" s="21" t="s">
        <v>764</v>
      </c>
      <c r="B354" t="s">
        <v>765</v>
      </c>
      <c r="C354" t="s">
        <v>723</v>
      </c>
      <c r="D354" s="31">
        <v>0</v>
      </c>
      <c r="E354" s="31">
        <v>1</v>
      </c>
      <c r="F354" s="31">
        <v>0</v>
      </c>
      <c r="G354" s="31">
        <v>2</v>
      </c>
      <c r="H354" s="32">
        <v>12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1</v>
      </c>
      <c r="AM354">
        <v>6</v>
      </c>
      <c r="AN354" s="23" t="s">
        <v>54</v>
      </c>
      <c r="AO354" s="23" t="s">
        <v>54</v>
      </c>
      <c r="AP354" s="23">
        <v>0</v>
      </c>
      <c r="AQ354" s="23">
        <v>0.333333333333333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IFERROR($A$2+AU354,"上周无销量")</f>
        <v>上周无销量</v>
      </c>
    </row>
    <row r="355" spans="1:48">
      <c r="A355" s="21" t="s">
        <v>766</v>
      </c>
      <c r="B355" t="s">
        <v>767</v>
      </c>
      <c r="C355" t="s">
        <v>723</v>
      </c>
      <c r="D355" s="31">
        <v>0</v>
      </c>
      <c r="E355" s="31">
        <v>2</v>
      </c>
      <c r="F355" s="31">
        <v>0</v>
      </c>
      <c r="G355" s="31">
        <v>1</v>
      </c>
      <c r="H355" s="32">
        <v>12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1</v>
      </c>
      <c r="AM355">
        <v>2</v>
      </c>
      <c r="AN355" s="23" t="s">
        <v>54</v>
      </c>
      <c r="AO355" s="23" t="s">
        <v>54</v>
      </c>
      <c r="AP355" s="23">
        <v>0</v>
      </c>
      <c r="AQ355" s="23">
        <v>0.5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IFERROR($A$2+AU355,"上周无销量")</f>
        <v>上周无销量</v>
      </c>
    </row>
    <row r="356" spans="1:48">
      <c r="A356" s="21" t="s">
        <v>768</v>
      </c>
      <c r="B356" t="s">
        <v>769</v>
      </c>
      <c r="C356" t="s">
        <v>723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3</v>
      </c>
      <c r="J356" s="33">
        <v>0</v>
      </c>
      <c r="K356" s="33">
        <v>0</v>
      </c>
      <c r="L356" s="33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1</v>
      </c>
      <c r="AK356">
        <v>4</v>
      </c>
      <c r="AL356">
        <v>1</v>
      </c>
      <c r="AM356">
        <v>1</v>
      </c>
      <c r="AN356" s="23">
        <v>0</v>
      </c>
      <c r="AO356" s="23">
        <v>0</v>
      </c>
      <c r="AP356" s="23">
        <v>0</v>
      </c>
      <c r="AQ356" s="23">
        <v>0</v>
      </c>
      <c r="AR356" s="35">
        <v>0</v>
      </c>
      <c r="AS356" s="35">
        <v>0</v>
      </c>
      <c r="AT356" s="35">
        <v>3</v>
      </c>
      <c r="AU356" s="31" t="str">
        <f t="shared" si="8"/>
        <v>库存为3</v>
      </c>
      <c r="AV356" s="36" t="str">
        <f>IFERROR($A$2+AU356,"上周无销量")</f>
        <v>上周无销量</v>
      </c>
    </row>
    <row r="357" spans="1:48">
      <c r="A357" s="21" t="s">
        <v>770</v>
      </c>
      <c r="B357" t="s">
        <v>771</v>
      </c>
      <c r="C357" t="s">
        <v>723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3</v>
      </c>
      <c r="J357" s="33">
        <v>0</v>
      </c>
      <c r="K357" s="33">
        <v>0</v>
      </c>
      <c r="L357" s="33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3</v>
      </c>
      <c r="AK357">
        <v>3</v>
      </c>
      <c r="AL357">
        <v>1</v>
      </c>
      <c r="AM357">
        <v>0</v>
      </c>
      <c r="AN357" s="23">
        <v>0</v>
      </c>
      <c r="AO357" s="23">
        <v>0</v>
      </c>
      <c r="AP357" s="23">
        <v>0</v>
      </c>
      <c r="AQ357" s="23" t="s">
        <v>54</v>
      </c>
      <c r="AR357" s="35">
        <v>0</v>
      </c>
      <c r="AS357" s="35">
        <v>0</v>
      </c>
      <c r="AT357" s="35">
        <v>3</v>
      </c>
      <c r="AU357" s="31" t="str">
        <f t="shared" si="8"/>
        <v>库存为3</v>
      </c>
      <c r="AV357" s="36" t="str">
        <f>IFERROR($A$2+AU357,"上周无销量")</f>
        <v>上周无销量</v>
      </c>
    </row>
    <row r="358" spans="1:48">
      <c r="A358" s="21" t="s">
        <v>772</v>
      </c>
      <c r="B358" t="s">
        <v>773</v>
      </c>
      <c r="C358" t="s">
        <v>723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3</v>
      </c>
      <c r="J358" s="33">
        <v>0</v>
      </c>
      <c r="K358" s="33">
        <v>0</v>
      </c>
      <c r="L358" s="33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3</v>
      </c>
      <c r="AK358">
        <v>3</v>
      </c>
      <c r="AL358">
        <v>2</v>
      </c>
      <c r="AM358">
        <v>0</v>
      </c>
      <c r="AN358" s="23">
        <v>0</v>
      </c>
      <c r="AO358" s="23">
        <v>0</v>
      </c>
      <c r="AP358" s="23">
        <v>0</v>
      </c>
      <c r="AQ358" s="23" t="s">
        <v>54</v>
      </c>
      <c r="AR358" s="35">
        <v>0</v>
      </c>
      <c r="AS358" s="35">
        <v>0</v>
      </c>
      <c r="AT358" s="35">
        <v>3</v>
      </c>
      <c r="AU358" s="31" t="str">
        <f t="shared" si="8"/>
        <v>库存为3</v>
      </c>
      <c r="AV358" s="36" t="str">
        <f>IFERROR($A$2+AU358,"上周无销量")</f>
        <v>上周无销量</v>
      </c>
    </row>
    <row r="359" spans="1:48">
      <c r="A359" s="21" t="s">
        <v>774</v>
      </c>
      <c r="B359" t="s">
        <v>775</v>
      </c>
      <c r="C359" t="s">
        <v>723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3</v>
      </c>
      <c r="J359" s="33">
        <v>0</v>
      </c>
      <c r="K359" s="33">
        <v>0</v>
      </c>
      <c r="L359" s="33">
        <v>0</v>
      </c>
      <c r="M359">
        <v>3</v>
      </c>
      <c r="N359">
        <v>0</v>
      </c>
      <c r="O359">
        <v>3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1</v>
      </c>
      <c r="AK359">
        <v>3</v>
      </c>
      <c r="AL359">
        <v>1</v>
      </c>
      <c r="AM359">
        <v>1</v>
      </c>
      <c r="AN359" s="23">
        <v>0</v>
      </c>
      <c r="AO359" s="23">
        <v>0</v>
      </c>
      <c r="AP359" s="23">
        <v>0</v>
      </c>
      <c r="AQ359" s="23">
        <v>0</v>
      </c>
      <c r="AR359" s="35">
        <v>0</v>
      </c>
      <c r="AS359" s="35">
        <v>0</v>
      </c>
      <c r="AT359" s="35">
        <v>3</v>
      </c>
      <c r="AU359" s="31" t="str">
        <f t="shared" si="8"/>
        <v>库存为3</v>
      </c>
      <c r="AV359" s="36" t="str">
        <f>IFERROR($A$2+AU359,"上周无销量")</f>
        <v>上周无销量</v>
      </c>
    </row>
    <row r="360" spans="1:48">
      <c r="A360" s="21" t="s">
        <v>776</v>
      </c>
      <c r="B360" t="s">
        <v>777</v>
      </c>
      <c r="C360" t="s">
        <v>723</v>
      </c>
      <c r="D360" s="31">
        <v>1</v>
      </c>
      <c r="E360" s="31">
        <v>0</v>
      </c>
      <c r="F360" s="31">
        <v>0</v>
      </c>
      <c r="G360" s="31">
        <v>0</v>
      </c>
      <c r="H360" s="32">
        <v>12</v>
      </c>
      <c r="I360">
        <v>2</v>
      </c>
      <c r="J360" s="33">
        <v>0</v>
      </c>
      <c r="K360" s="33">
        <v>0</v>
      </c>
      <c r="L360" s="33">
        <v>0</v>
      </c>
      <c r="M360">
        <v>2</v>
      </c>
      <c r="N360">
        <v>0</v>
      </c>
      <c r="O360">
        <v>2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4</v>
      </c>
      <c r="AK360">
        <v>5</v>
      </c>
      <c r="AL360">
        <v>1</v>
      </c>
      <c r="AM360">
        <v>2</v>
      </c>
      <c r="AN360" s="23">
        <v>0.25</v>
      </c>
      <c r="AO360" s="23">
        <v>0</v>
      </c>
      <c r="AP360" s="23">
        <v>0</v>
      </c>
      <c r="AQ360" s="23">
        <v>0</v>
      </c>
      <c r="AR360" s="35">
        <v>0.142857142857143</v>
      </c>
      <c r="AS360" s="35">
        <v>8.57142857142857</v>
      </c>
      <c r="AT360" s="35">
        <v>-6.57142857142857</v>
      </c>
      <c r="AU360" s="31">
        <f t="shared" si="8"/>
        <v>14</v>
      </c>
      <c r="AV360" s="36">
        <f>IFERROR($A$2+AU360,"上周无销量")</f>
        <v>43318</v>
      </c>
    </row>
    <row r="361" spans="1:48">
      <c r="A361" s="21" t="s">
        <v>778</v>
      </c>
      <c r="B361" t="s">
        <v>779</v>
      </c>
      <c r="C361" t="s">
        <v>780</v>
      </c>
      <c r="D361" s="31">
        <v>1</v>
      </c>
      <c r="E361" s="31">
        <v>2</v>
      </c>
      <c r="F361" s="31">
        <v>0</v>
      </c>
      <c r="G361" s="31">
        <v>0</v>
      </c>
      <c r="H361" s="32">
        <v>18.9</v>
      </c>
      <c r="I361">
        <v>14</v>
      </c>
      <c r="J361" s="33">
        <v>0</v>
      </c>
      <c r="K361" s="33">
        <v>0</v>
      </c>
      <c r="L361" s="33">
        <v>0</v>
      </c>
      <c r="M361">
        <v>14</v>
      </c>
      <c r="N361">
        <v>0</v>
      </c>
      <c r="O361">
        <v>0</v>
      </c>
      <c r="P361">
        <v>0</v>
      </c>
      <c r="Q361">
        <v>0</v>
      </c>
      <c r="R361">
        <v>77</v>
      </c>
      <c r="S361">
        <v>137</v>
      </c>
      <c r="T361">
        <v>0</v>
      </c>
      <c r="U361">
        <v>0</v>
      </c>
      <c r="V361">
        <v>0</v>
      </c>
      <c r="W361">
        <v>1</v>
      </c>
      <c r="X361" s="23" t="s">
        <v>54</v>
      </c>
      <c r="Y361" s="23" t="s">
        <v>54</v>
      </c>
      <c r="Z361" s="23">
        <v>0</v>
      </c>
      <c r="AA361" s="23">
        <v>0.0072992700729927</v>
      </c>
      <c r="AB361">
        <v>0</v>
      </c>
      <c r="AC361">
        <v>0</v>
      </c>
      <c r="AD361">
        <v>0</v>
      </c>
      <c r="AE361">
        <v>0.4</v>
      </c>
      <c r="AF361" s="23" t="s">
        <v>54</v>
      </c>
      <c r="AG361" s="23" t="s">
        <v>54</v>
      </c>
      <c r="AH361" s="23" t="s">
        <v>54</v>
      </c>
      <c r="AI361" s="23">
        <v>0</v>
      </c>
      <c r="AJ361">
        <v>11</v>
      </c>
      <c r="AK361">
        <v>14</v>
      </c>
      <c r="AL361">
        <v>13</v>
      </c>
      <c r="AM361">
        <v>6</v>
      </c>
      <c r="AN361" s="23">
        <v>0.0909090909090909</v>
      </c>
      <c r="AO361" s="23">
        <v>0.142857142857143</v>
      </c>
      <c r="AP361" s="23">
        <v>0</v>
      </c>
      <c r="AQ361" s="23">
        <v>0</v>
      </c>
      <c r="AR361" s="35">
        <v>0.142857142857143</v>
      </c>
      <c r="AS361" s="35">
        <v>8.57142857142857</v>
      </c>
      <c r="AT361" s="35">
        <v>5.42857142857143</v>
      </c>
      <c r="AU361" s="31">
        <f t="shared" si="8"/>
        <v>98</v>
      </c>
      <c r="AV361" s="36">
        <f>IFERROR($A$2+AU361,"上周无销量")</f>
        <v>43402</v>
      </c>
    </row>
    <row r="362" spans="1:48">
      <c r="A362" s="21" t="s">
        <v>781</v>
      </c>
      <c r="B362" t="s">
        <v>782</v>
      </c>
      <c r="C362" t="s">
        <v>780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8</v>
      </c>
      <c r="J362" s="33">
        <v>0</v>
      </c>
      <c r="K362" s="33">
        <v>0</v>
      </c>
      <c r="L362" s="33">
        <v>0</v>
      </c>
      <c r="M362">
        <v>8</v>
      </c>
      <c r="N362">
        <v>0</v>
      </c>
      <c r="O362">
        <v>8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9</v>
      </c>
      <c r="AK362">
        <v>4</v>
      </c>
      <c r="AL362">
        <v>3</v>
      </c>
      <c r="AM362">
        <v>4</v>
      </c>
      <c r="AN362" s="23">
        <v>0</v>
      </c>
      <c r="AO362" s="23">
        <v>0</v>
      </c>
      <c r="AP362" s="23">
        <v>0</v>
      </c>
      <c r="AQ362" s="23">
        <v>0</v>
      </c>
      <c r="AR362" s="35">
        <v>0</v>
      </c>
      <c r="AS362" s="35">
        <v>0</v>
      </c>
      <c r="AT362" s="35">
        <v>8</v>
      </c>
      <c r="AU362" s="31" t="str">
        <f t="shared" si="8"/>
        <v>库存为8</v>
      </c>
      <c r="AV362" s="36" t="str">
        <f>IFERROR($A$2+AU362,"上周无销量")</f>
        <v>上周无销量</v>
      </c>
    </row>
    <row r="363" spans="1:48">
      <c r="A363" s="21" t="s">
        <v>783</v>
      </c>
      <c r="B363" t="s">
        <v>784</v>
      </c>
      <c r="C363" t="s">
        <v>780</v>
      </c>
      <c r="D363" s="31">
        <v>1</v>
      </c>
      <c r="E363" s="31">
        <v>0</v>
      </c>
      <c r="F363" s="31">
        <v>3</v>
      </c>
      <c r="G363" s="31">
        <v>1</v>
      </c>
      <c r="H363" s="32">
        <v>18.5</v>
      </c>
      <c r="I363">
        <v>2</v>
      </c>
      <c r="J363" s="33">
        <v>0</v>
      </c>
      <c r="K363" s="33">
        <v>0</v>
      </c>
      <c r="L363" s="33">
        <v>4</v>
      </c>
      <c r="M363">
        <v>6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9</v>
      </c>
      <c r="AK363">
        <v>10</v>
      </c>
      <c r="AL363">
        <v>12</v>
      </c>
      <c r="AM363">
        <v>2</v>
      </c>
      <c r="AN363" s="23">
        <v>0.111111111111111</v>
      </c>
      <c r="AO363" s="23">
        <v>0</v>
      </c>
      <c r="AP363" s="23">
        <v>0.25</v>
      </c>
      <c r="AQ363" s="23">
        <v>0.5</v>
      </c>
      <c r="AR363" s="35">
        <v>0.142857142857143</v>
      </c>
      <c r="AS363" s="35">
        <v>8.57142857142857</v>
      </c>
      <c r="AT363" s="35">
        <v>-2.57142857142857</v>
      </c>
      <c r="AU363" s="31">
        <f t="shared" si="8"/>
        <v>42</v>
      </c>
      <c r="AV363" s="36">
        <f>IFERROR($A$2+AU363,"上周无销量")</f>
        <v>43346</v>
      </c>
    </row>
    <row r="364" spans="1:48">
      <c r="A364" s="21" t="s">
        <v>785</v>
      </c>
      <c r="B364" t="s">
        <v>786</v>
      </c>
      <c r="C364" t="s">
        <v>780</v>
      </c>
      <c r="D364" s="31">
        <v>2</v>
      </c>
      <c r="E364" s="31">
        <v>4</v>
      </c>
      <c r="F364" s="31">
        <v>1</v>
      </c>
      <c r="G364" s="31">
        <v>1</v>
      </c>
      <c r="H364" s="32">
        <v>18.785</v>
      </c>
      <c r="I364">
        <v>9</v>
      </c>
      <c r="J364" s="33">
        <v>0</v>
      </c>
      <c r="K364" s="33">
        <v>0</v>
      </c>
      <c r="L364" s="33">
        <v>0</v>
      </c>
      <c r="M364">
        <v>9</v>
      </c>
      <c r="N364">
        <v>0</v>
      </c>
      <c r="O364">
        <v>0</v>
      </c>
      <c r="P364">
        <v>18610</v>
      </c>
      <c r="Q364">
        <v>14378</v>
      </c>
      <c r="R364">
        <v>9791</v>
      </c>
      <c r="S364">
        <v>6067</v>
      </c>
      <c r="T364">
        <v>52</v>
      </c>
      <c r="U364">
        <v>41</v>
      </c>
      <c r="V364">
        <v>30</v>
      </c>
      <c r="W364">
        <v>19</v>
      </c>
      <c r="X364" s="23">
        <v>0.00279419666845782</v>
      </c>
      <c r="Y364" s="23">
        <v>0.00285157880094589</v>
      </c>
      <c r="Z364" s="23">
        <v>0.00306403840261465</v>
      </c>
      <c r="AA364" s="23">
        <v>0.00313169606065601</v>
      </c>
      <c r="AB364">
        <v>41.22</v>
      </c>
      <c r="AC364">
        <v>29.67</v>
      </c>
      <c r="AD364">
        <v>21.47</v>
      </c>
      <c r="AE364">
        <v>13.83</v>
      </c>
      <c r="AF364" s="23">
        <v>1.09715198296513</v>
      </c>
      <c r="AG364" s="23">
        <v>0.394862922544583</v>
      </c>
      <c r="AH364" s="23">
        <v>1.1429331913761</v>
      </c>
      <c r="AI364" s="23">
        <v>0.736225712004259</v>
      </c>
      <c r="AJ364">
        <v>56</v>
      </c>
      <c r="AK364">
        <v>40</v>
      </c>
      <c r="AL364">
        <v>21</v>
      </c>
      <c r="AM364">
        <v>13</v>
      </c>
      <c r="AN364" s="23">
        <v>0.0357142857142857</v>
      </c>
      <c r="AO364" s="23">
        <v>0.1</v>
      </c>
      <c r="AP364" s="23">
        <v>0.0476190476190476</v>
      </c>
      <c r="AQ364" s="23">
        <v>0.0769230769230769</v>
      </c>
      <c r="AR364" s="35">
        <v>0.285714285714286</v>
      </c>
      <c r="AS364" s="35">
        <v>17.1428571428571</v>
      </c>
      <c r="AT364" s="35">
        <v>-8.14285714285714</v>
      </c>
      <c r="AU364" s="31">
        <f t="shared" si="8"/>
        <v>31</v>
      </c>
      <c r="AV364" s="36">
        <f>IFERROR($A$2+AU364,"上周无销量")</f>
        <v>43335</v>
      </c>
    </row>
    <row r="365" spans="1:48">
      <c r="A365" s="21" t="s">
        <v>787</v>
      </c>
      <c r="B365" t="s">
        <v>788</v>
      </c>
      <c r="C365" t="s">
        <v>780</v>
      </c>
      <c r="D365" s="31">
        <v>0</v>
      </c>
      <c r="E365" s="31">
        <v>1</v>
      </c>
      <c r="F365" s="31">
        <v>3</v>
      </c>
      <c r="G365" s="31">
        <v>1</v>
      </c>
      <c r="H365" s="32">
        <v>18.5</v>
      </c>
      <c r="I365">
        <v>7</v>
      </c>
      <c r="J365" s="33">
        <v>0</v>
      </c>
      <c r="K365" s="33">
        <v>0</v>
      </c>
      <c r="L365" s="33">
        <v>0</v>
      </c>
      <c r="M365">
        <v>7</v>
      </c>
      <c r="N365">
        <v>0</v>
      </c>
      <c r="O365">
        <v>6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14</v>
      </c>
      <c r="AK365">
        <v>11</v>
      </c>
      <c r="AL365">
        <v>6</v>
      </c>
      <c r="AM365">
        <v>2</v>
      </c>
      <c r="AN365" s="23">
        <v>0</v>
      </c>
      <c r="AO365" s="23">
        <v>0.0909090909090909</v>
      </c>
      <c r="AP365" s="23">
        <v>0.5</v>
      </c>
      <c r="AQ365" s="23">
        <v>0.5</v>
      </c>
      <c r="AR365" s="35">
        <v>0</v>
      </c>
      <c r="AS365" s="35">
        <v>0</v>
      </c>
      <c r="AT365" s="35">
        <v>7</v>
      </c>
      <c r="AU365" s="31" t="str">
        <f t="shared" si="8"/>
        <v>库存为7</v>
      </c>
      <c r="AV365" s="36" t="str">
        <f>IFERROR($A$2+AU365,"上周无销量")</f>
        <v>上周无销量</v>
      </c>
    </row>
    <row r="366" spans="1:48">
      <c r="A366" s="21" t="s">
        <v>789</v>
      </c>
      <c r="B366" t="s">
        <v>790</v>
      </c>
      <c r="C366" t="s">
        <v>780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21</v>
      </c>
      <c r="J366" s="33">
        <v>0</v>
      </c>
      <c r="K366" s="33">
        <v>0</v>
      </c>
      <c r="L366" s="33">
        <v>0</v>
      </c>
      <c r="M366">
        <v>21</v>
      </c>
      <c r="N366">
        <v>0</v>
      </c>
      <c r="O366">
        <v>19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7</v>
      </c>
      <c r="AK366">
        <v>6</v>
      </c>
      <c r="AL366">
        <v>2</v>
      </c>
      <c r="AM366">
        <v>1</v>
      </c>
      <c r="AN366" s="23">
        <v>0</v>
      </c>
      <c r="AO366" s="23">
        <v>0</v>
      </c>
      <c r="AP366" s="23">
        <v>0</v>
      </c>
      <c r="AQ366" s="23">
        <v>0</v>
      </c>
      <c r="AR366" s="35">
        <v>0</v>
      </c>
      <c r="AS366" s="35">
        <v>0</v>
      </c>
      <c r="AT366" s="35">
        <v>21</v>
      </c>
      <c r="AU366" s="31" t="str">
        <f t="shared" si="8"/>
        <v>库存为21</v>
      </c>
      <c r="AV366" s="36" t="str">
        <f>IFERROR($A$2+AU366,"上周无销量")</f>
        <v>上周无销量</v>
      </c>
    </row>
    <row r="367" spans="1:48">
      <c r="A367" s="21" t="s">
        <v>791</v>
      </c>
      <c r="B367" t="s">
        <v>792</v>
      </c>
      <c r="C367" t="s">
        <v>793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1</v>
      </c>
      <c r="AK367">
        <v>2</v>
      </c>
      <c r="AL367">
        <v>0</v>
      </c>
      <c r="AM367">
        <v>2</v>
      </c>
      <c r="AN367" s="23">
        <v>0</v>
      </c>
      <c r="AO367" s="23">
        <v>0</v>
      </c>
      <c r="AP367" s="23" t="s">
        <v>54</v>
      </c>
      <c r="AQ367" s="23">
        <v>0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IFERROR($A$2+AU367,"上周无销量")</f>
        <v>上周无销量</v>
      </c>
    </row>
    <row r="368" spans="1:48">
      <c r="A368" s="21" t="s">
        <v>794</v>
      </c>
      <c r="B368" t="s">
        <v>795</v>
      </c>
      <c r="C368" t="s">
        <v>793</v>
      </c>
      <c r="D368" s="31">
        <v>0</v>
      </c>
      <c r="E368" s="31">
        <v>0</v>
      </c>
      <c r="F368" s="31">
        <v>1</v>
      </c>
      <c r="G368" s="31">
        <v>0</v>
      </c>
      <c r="H368" s="32">
        <v>12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1</v>
      </c>
      <c r="AK368">
        <v>2</v>
      </c>
      <c r="AL368">
        <v>1</v>
      </c>
      <c r="AM368">
        <v>4</v>
      </c>
      <c r="AN368" s="23">
        <v>0</v>
      </c>
      <c r="AO368" s="23">
        <v>0</v>
      </c>
      <c r="AP368" s="23">
        <v>1</v>
      </c>
      <c r="AQ368" s="23">
        <v>0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IFERROR($A$2+AU368,"上周无销量")</f>
        <v>上周无销量</v>
      </c>
    </row>
    <row r="369" spans="1:48">
      <c r="A369" s="21" t="s">
        <v>796</v>
      </c>
      <c r="B369" t="s">
        <v>797</v>
      </c>
      <c r="C369" t="s">
        <v>793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s">
        <v>54</v>
      </c>
      <c r="AO369" s="23" t="s">
        <v>54</v>
      </c>
      <c r="AP369" s="23" t="s">
        <v>54</v>
      </c>
      <c r="AQ369" s="23" t="s">
        <v>54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IFERROR($A$2+AU369,"上周无销量")</f>
        <v>上周无销量</v>
      </c>
    </row>
    <row r="370" spans="1:48">
      <c r="A370" s="21" t="s">
        <v>798</v>
      </c>
      <c r="B370" t="s">
        <v>799</v>
      </c>
      <c r="C370" t="s">
        <v>793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6</v>
      </c>
      <c r="AK370">
        <v>3</v>
      </c>
      <c r="AL370">
        <v>4</v>
      </c>
      <c r="AM370">
        <v>4</v>
      </c>
      <c r="AN370" s="23">
        <v>0</v>
      </c>
      <c r="AO370" s="23">
        <v>0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IFERROR($A$2+AU370,"上周无销量")</f>
        <v>上周无销量</v>
      </c>
    </row>
    <row r="371" spans="1:48">
      <c r="A371" s="21" t="s">
        <v>800</v>
      </c>
      <c r="B371" t="s">
        <v>801</v>
      </c>
      <c r="C371" t="s">
        <v>793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3</v>
      </c>
      <c r="AL371">
        <v>0</v>
      </c>
      <c r="AM371">
        <v>1</v>
      </c>
      <c r="AN371" s="23" t="s">
        <v>54</v>
      </c>
      <c r="AO371" s="23">
        <v>0</v>
      </c>
      <c r="AP371" s="23" t="s">
        <v>54</v>
      </c>
      <c r="AQ371" s="23">
        <v>0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IFERROR($A$2+AU371,"上周无销量")</f>
        <v>上周无销量</v>
      </c>
    </row>
    <row r="372" spans="1:48">
      <c r="A372" s="21" t="s">
        <v>802</v>
      </c>
      <c r="B372" t="s">
        <v>803</v>
      </c>
      <c r="C372" t="s">
        <v>793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1</v>
      </c>
      <c r="AL372">
        <v>1</v>
      </c>
      <c r="AM372">
        <v>2</v>
      </c>
      <c r="AN372" s="23" t="s">
        <v>54</v>
      </c>
      <c r="AO372" s="23">
        <v>0</v>
      </c>
      <c r="AP372" s="23">
        <v>0</v>
      </c>
      <c r="AQ372" s="23">
        <v>0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IFERROR($A$2+AU372,"上周无销量")</f>
        <v>上周无销量</v>
      </c>
    </row>
    <row r="373" spans="1:48">
      <c r="A373" s="21" t="s">
        <v>804</v>
      </c>
      <c r="B373" t="s">
        <v>805</v>
      </c>
      <c r="C373" t="s">
        <v>793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2</v>
      </c>
      <c r="AK373">
        <v>4</v>
      </c>
      <c r="AL373">
        <v>0</v>
      </c>
      <c r="AM373">
        <v>3</v>
      </c>
      <c r="AN373" s="23">
        <v>0</v>
      </c>
      <c r="AO373" s="23">
        <v>0</v>
      </c>
      <c r="AP373" s="23" t="s">
        <v>54</v>
      </c>
      <c r="AQ373" s="23">
        <v>0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IFERROR($A$2+AU373,"上周无销量")</f>
        <v>上周无销量</v>
      </c>
    </row>
    <row r="374" spans="1:48">
      <c r="A374" s="21" t="s">
        <v>806</v>
      </c>
      <c r="B374" t="s">
        <v>807</v>
      </c>
      <c r="C374" t="s">
        <v>793</v>
      </c>
      <c r="D374" s="31">
        <v>0</v>
      </c>
      <c r="E374" s="31">
        <v>1</v>
      </c>
      <c r="F374" s="31">
        <v>0</v>
      </c>
      <c r="G374" s="31">
        <v>0</v>
      </c>
      <c r="H374" s="32">
        <v>12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3</v>
      </c>
      <c r="AK374">
        <v>5</v>
      </c>
      <c r="AL374">
        <v>0</v>
      </c>
      <c r="AM374">
        <v>2</v>
      </c>
      <c r="AN374" s="23">
        <v>0</v>
      </c>
      <c r="AO374" s="23">
        <v>0.2</v>
      </c>
      <c r="AP374" s="23" t="s">
        <v>54</v>
      </c>
      <c r="AQ374" s="23">
        <v>0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IFERROR($A$2+AU374,"上周无销量")</f>
        <v>上周无销量</v>
      </c>
    </row>
    <row r="375" spans="1:48">
      <c r="A375" s="21" t="s">
        <v>808</v>
      </c>
      <c r="B375" t="s">
        <v>809</v>
      </c>
      <c r="C375" t="s">
        <v>793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2</v>
      </c>
      <c r="AL375">
        <v>4</v>
      </c>
      <c r="AM375">
        <v>2</v>
      </c>
      <c r="AN375" s="23">
        <v>0</v>
      </c>
      <c r="AO375" s="23">
        <v>0</v>
      </c>
      <c r="AP375" s="23">
        <v>0</v>
      </c>
      <c r="AQ375" s="23">
        <v>0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IFERROR($A$2+AU375,"上周无销量")</f>
        <v>上周无销量</v>
      </c>
    </row>
    <row r="376" spans="1:48">
      <c r="A376" s="21" t="s">
        <v>810</v>
      </c>
      <c r="B376" t="s">
        <v>811</v>
      </c>
      <c r="C376" t="s">
        <v>793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1</v>
      </c>
      <c r="AK376">
        <v>2</v>
      </c>
      <c r="AL376">
        <v>1</v>
      </c>
      <c r="AM376">
        <v>1</v>
      </c>
      <c r="AN376" s="23">
        <v>0</v>
      </c>
      <c r="AO376" s="23">
        <v>0</v>
      </c>
      <c r="AP376" s="23">
        <v>0</v>
      </c>
      <c r="AQ376" s="23">
        <v>0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IFERROR($A$2+AU376,"上周无销量")</f>
        <v>上周无销量</v>
      </c>
    </row>
    <row r="377" spans="1:48">
      <c r="A377" s="21" t="s">
        <v>812</v>
      </c>
      <c r="B377" t="s">
        <v>813</v>
      </c>
      <c r="C377" t="s">
        <v>793</v>
      </c>
      <c r="D377" s="31">
        <v>0</v>
      </c>
      <c r="E377" s="31">
        <v>0</v>
      </c>
      <c r="F377" s="31">
        <v>1</v>
      </c>
      <c r="G377" s="31">
        <v>0</v>
      </c>
      <c r="H377" s="32">
        <v>12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2</v>
      </c>
      <c r="AL377">
        <v>2</v>
      </c>
      <c r="AM377">
        <v>1</v>
      </c>
      <c r="AN377" s="23" t="s">
        <v>54</v>
      </c>
      <c r="AO377" s="23">
        <v>0</v>
      </c>
      <c r="AP377" s="23">
        <v>0.5</v>
      </c>
      <c r="AQ377" s="23">
        <v>0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IFERROR($A$2+AU377,"上周无销量")</f>
        <v>上周无销量</v>
      </c>
    </row>
    <row r="378" spans="1:48">
      <c r="A378" s="21" t="s">
        <v>814</v>
      </c>
      <c r="B378" t="s">
        <v>815</v>
      </c>
      <c r="C378" t="s">
        <v>793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1</v>
      </c>
      <c r="AK378">
        <v>5</v>
      </c>
      <c r="AL378">
        <v>2</v>
      </c>
      <c r="AM378">
        <v>5</v>
      </c>
      <c r="AN378" s="23">
        <v>0</v>
      </c>
      <c r="AO378" s="23">
        <v>0</v>
      </c>
      <c r="AP378" s="23">
        <v>0</v>
      </c>
      <c r="AQ378" s="23">
        <v>0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IFERROR($A$2+AU378,"上周无销量")</f>
        <v>上周无销量</v>
      </c>
    </row>
    <row r="379" spans="1:48">
      <c r="A379" s="21" t="s">
        <v>816</v>
      </c>
      <c r="B379" t="s">
        <v>817</v>
      </c>
      <c r="C379" t="s">
        <v>793</v>
      </c>
      <c r="D379" s="31">
        <v>0</v>
      </c>
      <c r="E379" s="31">
        <v>1</v>
      </c>
      <c r="F379" s="31">
        <v>0</v>
      </c>
      <c r="G379" s="31">
        <v>0</v>
      </c>
      <c r="H379" s="32">
        <v>12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1</v>
      </c>
      <c r="AK379">
        <v>7</v>
      </c>
      <c r="AL379">
        <v>2</v>
      </c>
      <c r="AM379">
        <v>1</v>
      </c>
      <c r="AN379" s="23">
        <v>0</v>
      </c>
      <c r="AO379" s="23">
        <v>0.142857142857143</v>
      </c>
      <c r="AP379" s="23">
        <v>0</v>
      </c>
      <c r="AQ379" s="23">
        <v>0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IFERROR($A$2+AU379,"上周无销量")</f>
        <v>上周无销量</v>
      </c>
    </row>
    <row r="380" spans="1:48">
      <c r="A380" s="21" t="s">
        <v>818</v>
      </c>
      <c r="B380" t="s">
        <v>819</v>
      </c>
      <c r="C380" t="s">
        <v>793</v>
      </c>
      <c r="D380" s="31">
        <v>0</v>
      </c>
      <c r="E380" s="31">
        <v>0</v>
      </c>
      <c r="F380" s="31">
        <v>1</v>
      </c>
      <c r="G380" s="31">
        <v>0</v>
      </c>
      <c r="H380" s="32">
        <v>12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4</v>
      </c>
      <c r="AK380">
        <v>2</v>
      </c>
      <c r="AL380">
        <v>0</v>
      </c>
      <c r="AM380">
        <v>2</v>
      </c>
      <c r="AN380" s="23">
        <v>0</v>
      </c>
      <c r="AO380" s="23">
        <v>0</v>
      </c>
      <c r="AP380" s="23" t="s">
        <v>54</v>
      </c>
      <c r="AQ380" s="23">
        <v>0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IFERROR($A$2+AU380,"上周无销量")</f>
        <v>上周无销量</v>
      </c>
    </row>
    <row r="381" spans="1:48">
      <c r="A381" s="21" t="s">
        <v>820</v>
      </c>
      <c r="B381" t="s">
        <v>821</v>
      </c>
      <c r="C381" t="s">
        <v>793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1</v>
      </c>
      <c r="AK381">
        <v>2</v>
      </c>
      <c r="AL381">
        <v>2</v>
      </c>
      <c r="AM381">
        <v>4</v>
      </c>
      <c r="AN381" s="23">
        <v>0</v>
      </c>
      <c r="AO381" s="23">
        <v>0</v>
      </c>
      <c r="AP381" s="23">
        <v>0</v>
      </c>
      <c r="AQ381" s="23">
        <v>0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IFERROR($A$2+AU381,"上周无销量")</f>
        <v>上周无销量</v>
      </c>
    </row>
    <row r="382" spans="1:48">
      <c r="A382" s="21" t="s">
        <v>822</v>
      </c>
      <c r="B382" t="s">
        <v>823</v>
      </c>
      <c r="C382" t="s">
        <v>793</v>
      </c>
      <c r="D382" s="31">
        <v>0</v>
      </c>
      <c r="E382" s="31">
        <v>0</v>
      </c>
      <c r="F382" s="31">
        <v>1</v>
      </c>
      <c r="G382" s="31">
        <v>0</v>
      </c>
      <c r="H382" s="32">
        <v>12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1</v>
      </c>
      <c r="AK382">
        <v>4</v>
      </c>
      <c r="AL382">
        <v>1</v>
      </c>
      <c r="AM382">
        <v>2</v>
      </c>
      <c r="AN382" s="23">
        <v>0</v>
      </c>
      <c r="AO382" s="23">
        <v>0</v>
      </c>
      <c r="AP382" s="23">
        <v>1</v>
      </c>
      <c r="AQ382" s="23">
        <v>0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IFERROR($A$2+AU382,"上周无销量")</f>
        <v>上周无销量</v>
      </c>
    </row>
    <row r="383" spans="1:48">
      <c r="A383" s="21" t="s">
        <v>824</v>
      </c>
      <c r="B383" t="s">
        <v>825</v>
      </c>
      <c r="C383" t="s">
        <v>793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3</v>
      </c>
      <c r="AL383">
        <v>1</v>
      </c>
      <c r="AM383">
        <v>1</v>
      </c>
      <c r="AN383" s="23" t="s">
        <v>54</v>
      </c>
      <c r="AO383" s="23">
        <v>0</v>
      </c>
      <c r="AP383" s="23">
        <v>0</v>
      </c>
      <c r="AQ383" s="23">
        <v>0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IFERROR($A$2+AU383,"上周无销量")</f>
        <v>上周无销量</v>
      </c>
    </row>
    <row r="384" spans="1:48">
      <c r="A384" s="21" t="s">
        <v>826</v>
      </c>
      <c r="B384" t="s">
        <v>827</v>
      </c>
      <c r="C384" t="s">
        <v>793</v>
      </c>
      <c r="D384" s="31">
        <v>1</v>
      </c>
      <c r="E384" s="31">
        <v>0</v>
      </c>
      <c r="F384" s="31">
        <v>0</v>
      </c>
      <c r="G384" s="31">
        <v>0</v>
      </c>
      <c r="H384" s="32">
        <v>10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7</v>
      </c>
      <c r="AK384">
        <v>4</v>
      </c>
      <c r="AL384">
        <v>2</v>
      </c>
      <c r="AM384">
        <v>3</v>
      </c>
      <c r="AN384" s="23">
        <v>0.142857142857143</v>
      </c>
      <c r="AO384" s="23">
        <v>0</v>
      </c>
      <c r="AP384" s="23">
        <v>0</v>
      </c>
      <c r="AQ384" s="23">
        <v>0</v>
      </c>
      <c r="AR384" s="35">
        <v>0.142857142857143</v>
      </c>
      <c r="AS384" s="35">
        <v>8.57142857142857</v>
      </c>
      <c r="AT384" s="35">
        <v>-8.57142857142857</v>
      </c>
      <c r="AU384" s="31">
        <f t="shared" si="8"/>
        <v>0</v>
      </c>
      <c r="AV384" s="36">
        <f>IFERROR($A$2+AU384,"上周无销量")</f>
        <v>43304</v>
      </c>
    </row>
    <row r="385" spans="1:48">
      <c r="A385" s="21" t="s">
        <v>828</v>
      </c>
      <c r="B385" t="s">
        <v>829</v>
      </c>
      <c r="C385" t="s">
        <v>793</v>
      </c>
      <c r="D385" s="31">
        <v>0</v>
      </c>
      <c r="E385" s="31">
        <v>1</v>
      </c>
      <c r="F385" s="31">
        <v>0</v>
      </c>
      <c r="G385" s="31">
        <v>0</v>
      </c>
      <c r="H385" s="32">
        <v>12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2</v>
      </c>
      <c r="AK385">
        <v>6</v>
      </c>
      <c r="AL385">
        <v>2</v>
      </c>
      <c r="AM385">
        <v>2</v>
      </c>
      <c r="AN385" s="23">
        <v>0</v>
      </c>
      <c r="AO385" s="23">
        <v>0.166666666666667</v>
      </c>
      <c r="AP385" s="23">
        <v>0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IFERROR($A$2+AU385,"上周无销量")</f>
        <v>上周无销量</v>
      </c>
    </row>
    <row r="386" spans="1:48">
      <c r="A386" s="21" t="s">
        <v>830</v>
      </c>
      <c r="B386" t="s">
        <v>831</v>
      </c>
      <c r="C386" t="s">
        <v>793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1</v>
      </c>
      <c r="AK386">
        <v>3</v>
      </c>
      <c r="AL386">
        <v>2</v>
      </c>
      <c r="AM386">
        <v>0</v>
      </c>
      <c r="AN386" s="23">
        <v>0</v>
      </c>
      <c r="AO386" s="23">
        <v>0</v>
      </c>
      <c r="AP386" s="23">
        <v>0</v>
      </c>
      <c r="AQ386" s="23" t="s">
        <v>54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IFERROR($A$2+AU386,"上周无销量")</f>
        <v>上周无销量</v>
      </c>
    </row>
    <row r="387" spans="1:48">
      <c r="A387" s="21" t="s">
        <v>832</v>
      </c>
      <c r="B387" t="s">
        <v>833</v>
      </c>
      <c r="C387" t="s">
        <v>793</v>
      </c>
      <c r="D387" s="31">
        <v>0</v>
      </c>
      <c r="E387" s="31">
        <v>0</v>
      </c>
      <c r="F387" s="31">
        <v>0</v>
      </c>
      <c r="G387" s="31">
        <v>1</v>
      </c>
      <c r="H387" s="32">
        <v>12</v>
      </c>
      <c r="I387">
        <v>1</v>
      </c>
      <c r="J387" s="33">
        <v>0</v>
      </c>
      <c r="K387" s="33">
        <v>0</v>
      </c>
      <c r="L387" s="33">
        <v>0</v>
      </c>
      <c r="M387">
        <v>1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15</v>
      </c>
      <c r="AK387">
        <v>3</v>
      </c>
      <c r="AL387">
        <v>3</v>
      </c>
      <c r="AM387">
        <v>2</v>
      </c>
      <c r="AN387" s="23">
        <v>0</v>
      </c>
      <c r="AO387" s="23">
        <v>0</v>
      </c>
      <c r="AP387" s="23">
        <v>0</v>
      </c>
      <c r="AQ387" s="23">
        <v>0.5</v>
      </c>
      <c r="AR387" s="35">
        <v>0</v>
      </c>
      <c r="AS387" s="35">
        <v>0</v>
      </c>
      <c r="AT387" s="35">
        <v>1</v>
      </c>
      <c r="AU387" s="31" t="str">
        <f t="shared" si="8"/>
        <v>库存为1</v>
      </c>
      <c r="AV387" s="36" t="str">
        <f>IFERROR($A$2+AU387,"上周无销量")</f>
        <v>上周无销量</v>
      </c>
    </row>
    <row r="388" spans="1:48">
      <c r="A388" s="21" t="s">
        <v>834</v>
      </c>
      <c r="B388" t="s">
        <v>835</v>
      </c>
      <c r="C388" t="s">
        <v>793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2</v>
      </c>
      <c r="AL388">
        <v>1</v>
      </c>
      <c r="AM388">
        <v>2</v>
      </c>
      <c r="AN388" s="23" t="s">
        <v>54</v>
      </c>
      <c r="AO388" s="23">
        <v>0</v>
      </c>
      <c r="AP388" s="23">
        <v>0</v>
      </c>
      <c r="AQ388" s="23">
        <v>0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IFERROR($A$2+AU388,"上周无销量")</f>
        <v>上周无销量</v>
      </c>
    </row>
    <row r="389" spans="1:48">
      <c r="A389" s="21" t="s">
        <v>836</v>
      </c>
      <c r="B389" t="s">
        <v>837</v>
      </c>
      <c r="C389" t="s">
        <v>793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838</v>
      </c>
      <c r="B390" t="s">
        <v>839</v>
      </c>
      <c r="C390" t="s">
        <v>793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IFERROR($A$2+AU390,"上周无销量")</f>
        <v>上周无销量</v>
      </c>
    </row>
    <row r="391" spans="1:48">
      <c r="A391" s="21" t="s">
        <v>840</v>
      </c>
      <c r="B391" t="s">
        <v>841</v>
      </c>
      <c r="C391" t="s">
        <v>793</v>
      </c>
      <c r="D391" s="31">
        <v>0</v>
      </c>
      <c r="E391" s="31">
        <v>0</v>
      </c>
      <c r="F391" s="31">
        <v>1</v>
      </c>
      <c r="G391" s="31">
        <v>0</v>
      </c>
      <c r="H391" s="32">
        <v>12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IFERROR($A$2+AU391,"上周无销量")</f>
        <v>上周无销量</v>
      </c>
    </row>
    <row r="392" spans="1:48">
      <c r="A392" s="21" t="s">
        <v>842</v>
      </c>
      <c r="B392" t="s">
        <v>843</v>
      </c>
      <c r="C392" t="s">
        <v>844</v>
      </c>
      <c r="D392" s="31">
        <v>0</v>
      </c>
      <c r="E392" s="31">
        <v>0</v>
      </c>
      <c r="F392" s="31">
        <v>0</v>
      </c>
      <c r="G392" s="31">
        <v>1</v>
      </c>
      <c r="H392" s="32">
        <v>9.99</v>
      </c>
      <c r="I392">
        <v>0</v>
      </c>
      <c r="J392" s="33">
        <v>0</v>
      </c>
      <c r="K392" s="33">
        <v>10</v>
      </c>
      <c r="L392" s="33">
        <v>0</v>
      </c>
      <c r="M392">
        <v>10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2</v>
      </c>
      <c r="AN392" s="23" t="s">
        <v>54</v>
      </c>
      <c r="AO392" s="23" t="s">
        <v>54</v>
      </c>
      <c r="AP392" s="23" t="s">
        <v>54</v>
      </c>
      <c r="AQ392" s="23">
        <v>0.5</v>
      </c>
      <c r="AR392" s="35">
        <v>0</v>
      </c>
      <c r="AS392" s="35">
        <v>0</v>
      </c>
      <c r="AT392" s="35">
        <v>10</v>
      </c>
      <c r="AU392" s="31" t="str">
        <f t="shared" si="9"/>
        <v>库存为10</v>
      </c>
      <c r="AV392" s="36" t="str">
        <f>IFERROR($A$2+AU392,"上周无销量")</f>
        <v>上周无销量</v>
      </c>
    </row>
    <row r="393" spans="1:48">
      <c r="A393" s="21" t="s">
        <v>845</v>
      </c>
      <c r="B393" t="s">
        <v>846</v>
      </c>
      <c r="C393" t="s">
        <v>844</v>
      </c>
      <c r="D393" s="31">
        <v>0</v>
      </c>
      <c r="E393" s="31">
        <v>1</v>
      </c>
      <c r="F393" s="31">
        <v>0</v>
      </c>
      <c r="G393" s="31">
        <v>1</v>
      </c>
      <c r="H393" s="32">
        <v>10.995</v>
      </c>
      <c r="I393">
        <v>7</v>
      </c>
      <c r="J393" s="33">
        <v>0</v>
      </c>
      <c r="K393" s="33">
        <v>0</v>
      </c>
      <c r="L393" s="33">
        <v>0</v>
      </c>
      <c r="M393">
        <v>7</v>
      </c>
      <c r="N393">
        <v>0</v>
      </c>
      <c r="O393">
        <v>1</v>
      </c>
      <c r="P393">
        <v>7558</v>
      </c>
      <c r="Q393">
        <v>5695</v>
      </c>
      <c r="R393">
        <v>1147</v>
      </c>
      <c r="S393">
        <v>2029</v>
      </c>
      <c r="T393">
        <v>36</v>
      </c>
      <c r="U393">
        <v>31</v>
      </c>
      <c r="V393">
        <v>10</v>
      </c>
      <c r="W393">
        <v>20</v>
      </c>
      <c r="X393" s="23">
        <v>0.00476316485842816</v>
      </c>
      <c r="Y393" s="23">
        <v>0.00544337137840211</v>
      </c>
      <c r="Z393" s="23">
        <v>0.00871839581517001</v>
      </c>
      <c r="AA393" s="23">
        <v>0.0098570724494825</v>
      </c>
      <c r="AB393">
        <v>31.81</v>
      </c>
      <c r="AC393">
        <v>26.43</v>
      </c>
      <c r="AD393">
        <v>7.83</v>
      </c>
      <c r="AE393">
        <v>24.07</v>
      </c>
      <c r="AF393" s="23">
        <v>0</v>
      </c>
      <c r="AG393" s="23">
        <v>2.40381991814461</v>
      </c>
      <c r="AH393" s="23">
        <v>0</v>
      </c>
      <c r="AI393" s="23">
        <v>2.18917689859027</v>
      </c>
      <c r="AJ393">
        <v>68</v>
      </c>
      <c r="AK393">
        <v>49</v>
      </c>
      <c r="AL393">
        <v>20</v>
      </c>
      <c r="AM393">
        <v>26</v>
      </c>
      <c r="AN393" s="23">
        <v>0</v>
      </c>
      <c r="AO393" s="23">
        <v>0.0204081632653061</v>
      </c>
      <c r="AP393" s="23">
        <v>0</v>
      </c>
      <c r="AQ393" s="23">
        <v>0.0384615384615385</v>
      </c>
      <c r="AR393" s="35">
        <v>0</v>
      </c>
      <c r="AS393" s="35">
        <v>0</v>
      </c>
      <c r="AT393" s="35">
        <v>7</v>
      </c>
      <c r="AU393" s="31" t="str">
        <f t="shared" si="9"/>
        <v>库存为7</v>
      </c>
      <c r="AV393" s="36" t="str">
        <f>IFERROR($A$2+AU393,"上周无销量")</f>
        <v>上周无销量</v>
      </c>
    </row>
    <row r="394" spans="1:48">
      <c r="A394" s="21" t="s">
        <v>847</v>
      </c>
      <c r="B394" t="s">
        <v>848</v>
      </c>
      <c r="C394" t="s">
        <v>844</v>
      </c>
      <c r="D394" s="31">
        <v>0</v>
      </c>
      <c r="E394" s="31">
        <v>2</v>
      </c>
      <c r="F394" s="31">
        <v>11</v>
      </c>
      <c r="G394" s="31">
        <v>1</v>
      </c>
      <c r="H394" s="32">
        <v>12.99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12</v>
      </c>
      <c r="AL394">
        <v>7</v>
      </c>
      <c r="AM394">
        <v>9</v>
      </c>
      <c r="AN394" s="23" t="s">
        <v>54</v>
      </c>
      <c r="AO394" s="23">
        <v>0.166666666666667</v>
      </c>
      <c r="AP394" s="23">
        <v>1.57142857142857</v>
      </c>
      <c r="AQ394" s="23">
        <v>0.111111111111111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IFERROR($A$2+AU394,"上周无销量")</f>
        <v>上周无销量</v>
      </c>
    </row>
    <row r="395" spans="1:48">
      <c r="A395" s="21" t="s">
        <v>849</v>
      </c>
      <c r="B395" t="s">
        <v>850</v>
      </c>
      <c r="C395" t="s">
        <v>844</v>
      </c>
      <c r="D395" s="31">
        <v>0</v>
      </c>
      <c r="E395" s="31">
        <v>1</v>
      </c>
      <c r="F395" s="31">
        <v>1</v>
      </c>
      <c r="G395" s="31">
        <v>0</v>
      </c>
      <c r="H395" s="32">
        <v>9</v>
      </c>
      <c r="I395">
        <v>10</v>
      </c>
      <c r="J395" s="33">
        <v>0</v>
      </c>
      <c r="K395" s="33">
        <v>0</v>
      </c>
      <c r="L395" s="33">
        <v>0</v>
      </c>
      <c r="M395">
        <v>10</v>
      </c>
      <c r="N395">
        <v>0</v>
      </c>
      <c r="O395">
        <v>0</v>
      </c>
      <c r="P395">
        <v>829</v>
      </c>
      <c r="Q395">
        <v>1409</v>
      </c>
      <c r="R395">
        <v>3009</v>
      </c>
      <c r="S395">
        <v>2271</v>
      </c>
      <c r="T395">
        <v>4</v>
      </c>
      <c r="U395">
        <v>10</v>
      </c>
      <c r="V395">
        <v>13</v>
      </c>
      <c r="W395">
        <v>12</v>
      </c>
      <c r="X395" s="23">
        <v>0.00482509047044632</v>
      </c>
      <c r="Y395" s="23">
        <v>0.007097232079489</v>
      </c>
      <c r="Z395" s="23">
        <v>0.00432037221668328</v>
      </c>
      <c r="AA395" s="23">
        <v>0.00528401585204756</v>
      </c>
      <c r="AB395">
        <v>2.06</v>
      </c>
      <c r="AC395">
        <v>10.72</v>
      </c>
      <c r="AD395">
        <v>15.2</v>
      </c>
      <c r="AE395">
        <v>15.12</v>
      </c>
      <c r="AF395" s="23">
        <v>0</v>
      </c>
      <c r="AG395" s="23">
        <v>1.19111111111111</v>
      </c>
      <c r="AH395" s="23">
        <v>1.68888888888889</v>
      </c>
      <c r="AI395" s="23">
        <v>0</v>
      </c>
      <c r="AJ395">
        <v>12</v>
      </c>
      <c r="AK395">
        <v>15</v>
      </c>
      <c r="AL395">
        <v>14</v>
      </c>
      <c r="AM395">
        <v>20</v>
      </c>
      <c r="AN395" s="23">
        <v>0</v>
      </c>
      <c r="AO395" s="23">
        <v>0.0666666666666667</v>
      </c>
      <c r="AP395" s="23">
        <v>0.0714285714285714</v>
      </c>
      <c r="AQ395" s="23">
        <v>0</v>
      </c>
      <c r="AR395" s="35">
        <v>0</v>
      </c>
      <c r="AS395" s="35">
        <v>0</v>
      </c>
      <c r="AT395" s="35">
        <v>10</v>
      </c>
      <c r="AU395" s="31" t="str">
        <f t="shared" si="9"/>
        <v>库存为10</v>
      </c>
      <c r="AV395" s="36" t="str">
        <f>IFERROR($A$2+AU395,"上周无销量")</f>
        <v>上周无销量</v>
      </c>
    </row>
    <row r="396" spans="1:48">
      <c r="A396" s="21" t="s">
        <v>851</v>
      </c>
      <c r="B396" t="s">
        <v>852</v>
      </c>
      <c r="C396" t="s">
        <v>844</v>
      </c>
      <c r="D396" s="31">
        <v>1</v>
      </c>
      <c r="E396" s="31">
        <v>2</v>
      </c>
      <c r="F396" s="31">
        <v>0</v>
      </c>
      <c r="G396" s="31">
        <v>0</v>
      </c>
      <c r="H396" s="32">
        <v>12.99</v>
      </c>
      <c r="I396">
        <v>0</v>
      </c>
      <c r="J396" s="33">
        <v>0</v>
      </c>
      <c r="K396" s="33">
        <v>10</v>
      </c>
      <c r="L396" s="33">
        <v>0</v>
      </c>
      <c r="M396">
        <v>10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11</v>
      </c>
      <c r="AK396">
        <v>21</v>
      </c>
      <c r="AL396">
        <v>8</v>
      </c>
      <c r="AM396">
        <v>6</v>
      </c>
      <c r="AN396" s="23">
        <v>0.0909090909090909</v>
      </c>
      <c r="AO396" s="23">
        <v>0.0952380952380952</v>
      </c>
      <c r="AP396" s="23">
        <v>0</v>
      </c>
      <c r="AQ396" s="23">
        <v>0</v>
      </c>
      <c r="AR396" s="35">
        <v>0.142857142857143</v>
      </c>
      <c r="AS396" s="35">
        <v>8.57142857142857</v>
      </c>
      <c r="AT396" s="35">
        <v>1.42857142857143</v>
      </c>
      <c r="AU396" s="31">
        <f t="shared" si="9"/>
        <v>70</v>
      </c>
      <c r="AV396" s="36">
        <f>IFERROR($A$2+AU396,"上周无销量")</f>
        <v>43374</v>
      </c>
    </row>
    <row r="397" spans="1:48">
      <c r="A397" s="21" t="s">
        <v>853</v>
      </c>
      <c r="B397" t="s">
        <v>854</v>
      </c>
      <c r="C397" t="s">
        <v>844</v>
      </c>
      <c r="D397" s="31">
        <v>0</v>
      </c>
      <c r="E397" s="31">
        <v>0</v>
      </c>
      <c r="F397" s="31">
        <v>1</v>
      </c>
      <c r="G397" s="31">
        <v>1</v>
      </c>
      <c r="H397" s="32">
        <v>8.5</v>
      </c>
      <c r="I397">
        <v>11</v>
      </c>
      <c r="J397" s="33">
        <v>0</v>
      </c>
      <c r="K397" s="33">
        <v>0</v>
      </c>
      <c r="L397" s="33">
        <v>0</v>
      </c>
      <c r="M397">
        <v>11</v>
      </c>
      <c r="N397">
        <v>0</v>
      </c>
      <c r="O397">
        <v>1</v>
      </c>
      <c r="P397">
        <v>0</v>
      </c>
      <c r="Q397">
        <v>27</v>
      </c>
      <c r="R397">
        <v>41</v>
      </c>
      <c r="S397">
        <v>1934</v>
      </c>
      <c r="T397">
        <v>0</v>
      </c>
      <c r="U397">
        <v>2</v>
      </c>
      <c r="V397">
        <v>0</v>
      </c>
      <c r="W397">
        <v>5</v>
      </c>
      <c r="X397" s="23" t="s">
        <v>54</v>
      </c>
      <c r="Y397" s="23">
        <v>0.0740740740740741</v>
      </c>
      <c r="Z397" s="23">
        <v>0</v>
      </c>
      <c r="AA397" s="23">
        <v>0.00258531540847983</v>
      </c>
      <c r="AB397">
        <v>0</v>
      </c>
      <c r="AC397">
        <v>2.81</v>
      </c>
      <c r="AD397">
        <v>0</v>
      </c>
      <c r="AE397">
        <v>7.17</v>
      </c>
      <c r="AF397" s="23" t="s">
        <v>54</v>
      </c>
      <c r="AG397" s="23">
        <v>0</v>
      </c>
      <c r="AH397" s="23" t="s">
        <v>54</v>
      </c>
      <c r="AI397" s="23">
        <v>0.843529411764706</v>
      </c>
      <c r="AJ397">
        <v>16</v>
      </c>
      <c r="AK397">
        <v>16</v>
      </c>
      <c r="AL397">
        <v>8</v>
      </c>
      <c r="AM397">
        <v>15</v>
      </c>
      <c r="AN397" s="23">
        <v>0</v>
      </c>
      <c r="AO397" s="23">
        <v>0</v>
      </c>
      <c r="AP397" s="23">
        <v>0.125</v>
      </c>
      <c r="AQ397" s="23">
        <v>0.0666666666666667</v>
      </c>
      <c r="AR397" s="35">
        <v>0</v>
      </c>
      <c r="AS397" s="35">
        <v>0</v>
      </c>
      <c r="AT397" s="35">
        <v>11</v>
      </c>
      <c r="AU397" s="31" t="str">
        <f t="shared" si="9"/>
        <v>库存为11</v>
      </c>
      <c r="AV397" s="36" t="str">
        <f>IFERROR($A$2+AU397,"上周无销量")</f>
        <v>上周无销量</v>
      </c>
    </row>
    <row r="398" spans="1:48">
      <c r="A398" s="21" t="s">
        <v>855</v>
      </c>
      <c r="B398" t="s">
        <v>856</v>
      </c>
      <c r="C398" t="s">
        <v>857</v>
      </c>
      <c r="D398" s="31">
        <v>7</v>
      </c>
      <c r="E398" s="31">
        <v>0</v>
      </c>
      <c r="F398" s="31">
        <v>3</v>
      </c>
      <c r="G398" s="31">
        <v>1</v>
      </c>
      <c r="H398" s="32">
        <v>10.99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>
        <v>16700</v>
      </c>
      <c r="Q398">
        <v>0</v>
      </c>
      <c r="R398">
        <v>2101</v>
      </c>
      <c r="S398">
        <v>3911</v>
      </c>
      <c r="T398">
        <v>117</v>
      </c>
      <c r="U398">
        <v>0</v>
      </c>
      <c r="V398">
        <v>25</v>
      </c>
      <c r="W398">
        <v>37</v>
      </c>
      <c r="X398" s="23">
        <v>0.0070059880239521</v>
      </c>
      <c r="Y398" s="23" t="s">
        <v>54</v>
      </c>
      <c r="Z398" s="23">
        <v>0.0118990956687292</v>
      </c>
      <c r="AA398" s="23">
        <v>0.00946049603681923</v>
      </c>
      <c r="AB398">
        <v>90.37</v>
      </c>
      <c r="AC398">
        <v>0</v>
      </c>
      <c r="AD398">
        <v>21.07</v>
      </c>
      <c r="AE398">
        <v>34.35</v>
      </c>
      <c r="AF398" s="23">
        <v>1.1747042766151</v>
      </c>
      <c r="AG398" s="23" t="s">
        <v>54</v>
      </c>
      <c r="AH398" s="23">
        <v>0.639065817409767</v>
      </c>
      <c r="AI398" s="23">
        <v>3.12556869881711</v>
      </c>
      <c r="AJ398">
        <v>110</v>
      </c>
      <c r="AK398">
        <v>0</v>
      </c>
      <c r="AL398">
        <v>24</v>
      </c>
      <c r="AM398">
        <v>25</v>
      </c>
      <c r="AN398" s="23">
        <v>0.0636363636363636</v>
      </c>
      <c r="AO398" s="23" t="s">
        <v>54</v>
      </c>
      <c r="AP398" s="23">
        <v>0.125</v>
      </c>
      <c r="AQ398" s="23">
        <v>0.04</v>
      </c>
      <c r="AR398" s="35">
        <v>1</v>
      </c>
      <c r="AS398" s="35">
        <v>60</v>
      </c>
      <c r="AT398" s="35">
        <v>-60</v>
      </c>
      <c r="AU398" s="31">
        <f t="shared" si="9"/>
        <v>0</v>
      </c>
      <c r="AV398" s="36">
        <f>IFERROR($A$2+AU398,"上周无销量")</f>
        <v>43304</v>
      </c>
    </row>
    <row r="399" spans="1:48">
      <c r="A399" s="21" t="s">
        <v>858</v>
      </c>
      <c r="B399" t="s">
        <v>859</v>
      </c>
      <c r="C399" t="s">
        <v>857</v>
      </c>
      <c r="D399" s="31">
        <v>0</v>
      </c>
      <c r="E399" s="31">
        <v>0</v>
      </c>
      <c r="F399" s="31">
        <v>2</v>
      </c>
      <c r="G399" s="31">
        <v>0</v>
      </c>
      <c r="H399" s="32">
        <v>10.99</v>
      </c>
      <c r="I399">
        <v>1</v>
      </c>
      <c r="J399" s="33">
        <v>0</v>
      </c>
      <c r="K399" s="33">
        <v>0</v>
      </c>
      <c r="L399" s="33">
        <v>0</v>
      </c>
      <c r="M399">
        <v>1</v>
      </c>
      <c r="N399">
        <v>0</v>
      </c>
      <c r="O399">
        <v>0</v>
      </c>
      <c r="P399">
        <v>188</v>
      </c>
      <c r="Q399">
        <v>283</v>
      </c>
      <c r="R399">
        <v>112</v>
      </c>
      <c r="S399">
        <v>1868</v>
      </c>
      <c r="T399">
        <v>0</v>
      </c>
      <c r="U399">
        <v>2</v>
      </c>
      <c r="V399">
        <v>3</v>
      </c>
      <c r="W399">
        <v>12</v>
      </c>
      <c r="X399" s="23">
        <v>0</v>
      </c>
      <c r="Y399" s="23">
        <v>0.00706713780918728</v>
      </c>
      <c r="Z399" s="23">
        <v>0.0267857142857143</v>
      </c>
      <c r="AA399" s="23">
        <v>0.00642398286937901</v>
      </c>
      <c r="AB399">
        <v>0</v>
      </c>
      <c r="AC399">
        <v>1.51</v>
      </c>
      <c r="AD399">
        <v>2.14</v>
      </c>
      <c r="AE399">
        <v>12.39</v>
      </c>
      <c r="AF399" s="23" t="s">
        <v>54</v>
      </c>
      <c r="AG399" s="23">
        <v>0</v>
      </c>
      <c r="AH399" s="23">
        <v>0.097361237488626</v>
      </c>
      <c r="AI399" s="23">
        <v>0</v>
      </c>
      <c r="AJ399">
        <v>18</v>
      </c>
      <c r="AK399">
        <v>16</v>
      </c>
      <c r="AL399">
        <v>12</v>
      </c>
      <c r="AM399">
        <v>9</v>
      </c>
      <c r="AN399" s="23">
        <v>0</v>
      </c>
      <c r="AO399" s="23">
        <v>0</v>
      </c>
      <c r="AP399" s="23">
        <v>0.166666666666667</v>
      </c>
      <c r="AQ399" s="23">
        <v>0</v>
      </c>
      <c r="AR399" s="35">
        <v>0</v>
      </c>
      <c r="AS399" s="35">
        <v>0</v>
      </c>
      <c r="AT399" s="35">
        <v>1</v>
      </c>
      <c r="AU399" s="31" t="str">
        <f t="shared" si="9"/>
        <v>库存为1</v>
      </c>
      <c r="AV399" s="36" t="str">
        <f>IFERROR($A$2+AU399,"上周无销量")</f>
        <v>上周无销量</v>
      </c>
    </row>
    <row r="400" spans="1:48">
      <c r="A400" s="21" t="s">
        <v>860</v>
      </c>
      <c r="B400" t="s">
        <v>861</v>
      </c>
      <c r="C400" t="s">
        <v>857</v>
      </c>
      <c r="D400" s="31">
        <v>1</v>
      </c>
      <c r="E400" s="31">
        <v>2</v>
      </c>
      <c r="F400" s="31">
        <v>2</v>
      </c>
      <c r="G400" s="31">
        <v>0</v>
      </c>
      <c r="H400" s="32">
        <v>10.99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>
        <v>14</v>
      </c>
      <c r="Q400">
        <v>100</v>
      </c>
      <c r="R400">
        <v>128</v>
      </c>
      <c r="S400">
        <v>2320</v>
      </c>
      <c r="T400">
        <v>0</v>
      </c>
      <c r="U400">
        <v>0</v>
      </c>
      <c r="V400">
        <v>4</v>
      </c>
      <c r="W400">
        <v>6</v>
      </c>
      <c r="X400" s="23">
        <v>0</v>
      </c>
      <c r="Y400" s="23">
        <v>0</v>
      </c>
      <c r="Z400" s="23">
        <v>0.03125</v>
      </c>
      <c r="AA400" s="23">
        <v>0.00258620689655172</v>
      </c>
      <c r="AB400">
        <v>0</v>
      </c>
      <c r="AC400">
        <v>0</v>
      </c>
      <c r="AD400">
        <v>1.07</v>
      </c>
      <c r="AE400">
        <v>6.66</v>
      </c>
      <c r="AF400" s="23" t="s">
        <v>54</v>
      </c>
      <c r="AG400" s="23" t="s">
        <v>54</v>
      </c>
      <c r="AH400" s="23">
        <v>0.048680618744313</v>
      </c>
      <c r="AI400" s="23">
        <v>0</v>
      </c>
      <c r="AJ400">
        <v>12</v>
      </c>
      <c r="AK400">
        <v>20</v>
      </c>
      <c r="AL400">
        <v>12</v>
      </c>
      <c r="AM400">
        <v>7</v>
      </c>
      <c r="AN400" s="23">
        <v>0.0833333333333333</v>
      </c>
      <c r="AO400" s="23">
        <v>0.1</v>
      </c>
      <c r="AP400" s="23">
        <v>0.166666666666667</v>
      </c>
      <c r="AQ400" s="23">
        <v>0</v>
      </c>
      <c r="AR400" s="35">
        <v>0.142857142857143</v>
      </c>
      <c r="AS400" s="35">
        <v>8.57142857142857</v>
      </c>
      <c r="AT400" s="35">
        <v>-8.57142857142857</v>
      </c>
      <c r="AU400" s="31">
        <f t="shared" si="9"/>
        <v>0</v>
      </c>
      <c r="AV400" s="36">
        <f>IFERROR($A$2+AU400,"上周无销量")</f>
        <v>43304</v>
      </c>
    </row>
    <row r="401" spans="1:48">
      <c r="A401" s="21" t="s">
        <v>862</v>
      </c>
      <c r="B401" t="s">
        <v>863</v>
      </c>
      <c r="C401" t="s">
        <v>864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IFERROR($A$2+AU401,"上周无销量")</f>
        <v>上周无销量</v>
      </c>
    </row>
    <row r="402" spans="1:48">
      <c r="A402" s="21" t="s">
        <v>865</v>
      </c>
      <c r="B402" t="s">
        <v>866</v>
      </c>
      <c r="C402" t="s">
        <v>864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IFERROR($A$2+AU402,"上周无销量")</f>
        <v>上周无销量</v>
      </c>
    </row>
    <row r="403" spans="1:48">
      <c r="A403" s="21" t="s">
        <v>867</v>
      </c>
      <c r="B403" t="s">
        <v>868</v>
      </c>
      <c r="C403" t="s">
        <v>864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IFERROR($A$2+AU403,"上周无销量")</f>
        <v>上周无销量</v>
      </c>
    </row>
    <row r="404" spans="1:48">
      <c r="A404" s="21" t="s">
        <v>869</v>
      </c>
      <c r="B404" t="s">
        <v>870</v>
      </c>
      <c r="C404" t="s">
        <v>864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IFERROR($A$2+AU404,"上周无销量")</f>
        <v>上周无销量</v>
      </c>
    </row>
    <row r="405" spans="1:48">
      <c r="A405" s="21" t="s">
        <v>871</v>
      </c>
      <c r="B405" t="s">
        <v>872</v>
      </c>
      <c r="C405" t="s">
        <v>864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IFERROR($A$2+AU405,"上周无销量")</f>
        <v>上周无销量</v>
      </c>
    </row>
    <row r="406" spans="1:48">
      <c r="A406" s="21" t="s">
        <v>873</v>
      </c>
      <c r="B406" t="s">
        <v>874</v>
      </c>
      <c r="C406" t="s">
        <v>864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IFERROR($A$2+AU406,"上周无销量")</f>
        <v>上周无销量</v>
      </c>
    </row>
    <row r="407" spans="1:48">
      <c r="A407" s="21" t="s">
        <v>875</v>
      </c>
      <c r="B407" t="s">
        <v>876</v>
      </c>
      <c r="C407" t="s">
        <v>864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IFERROR($A$2+AU407,"上周无销量")</f>
        <v>上周无销量</v>
      </c>
    </row>
    <row r="408" spans="1:48">
      <c r="A408" s="21" t="s">
        <v>877</v>
      </c>
      <c r="B408" t="s">
        <v>878</v>
      </c>
      <c r="C408" t="s">
        <v>864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IFERROR($A$2+AU408,"上周无销量")</f>
        <v>上周无销量</v>
      </c>
    </row>
    <row r="409" spans="1:48">
      <c r="A409" s="21" t="s">
        <v>879</v>
      </c>
      <c r="B409" t="s">
        <v>880</v>
      </c>
      <c r="C409" t="s">
        <v>864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s">
        <v>54</v>
      </c>
      <c r="AO409" s="23" t="s">
        <v>54</v>
      </c>
      <c r="AP409" s="23" t="s">
        <v>54</v>
      </c>
      <c r="AQ409" s="23" t="s">
        <v>54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IFERROR($A$2+AU409,"上周无销量")</f>
        <v>上周无销量</v>
      </c>
    </row>
    <row r="410" spans="1:48">
      <c r="A410" s="21" t="s">
        <v>881</v>
      </c>
      <c r="B410" t="s">
        <v>882</v>
      </c>
      <c r="C410" t="s">
        <v>864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s">
        <v>54</v>
      </c>
      <c r="AO410" s="23" t="s">
        <v>54</v>
      </c>
      <c r="AP410" s="23" t="s">
        <v>54</v>
      </c>
      <c r="AQ410" s="23" t="s">
        <v>54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IFERROR($A$2+AU410,"上周无销量")</f>
        <v>上周无销量</v>
      </c>
    </row>
    <row r="411" spans="1:48">
      <c r="A411" s="21" t="s">
        <v>883</v>
      </c>
      <c r="B411" t="s">
        <v>884</v>
      </c>
      <c r="C411" t="s">
        <v>864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IFERROR($A$2+AU411,"上周无销量")</f>
        <v>上周无销量</v>
      </c>
    </row>
    <row r="412" spans="1:48">
      <c r="A412" s="21" t="s">
        <v>885</v>
      </c>
      <c r="B412" t="s">
        <v>886</v>
      </c>
      <c r="C412" t="s">
        <v>864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IFERROR($A$2+AU412,"上周无销量")</f>
        <v>上周无销量</v>
      </c>
    </row>
    <row r="413" spans="1:48">
      <c r="A413" s="21" t="s">
        <v>887</v>
      </c>
      <c r="B413" t="s">
        <v>888</v>
      </c>
      <c r="C413" t="s">
        <v>864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IFERROR($A$2+AU413,"上周无销量")</f>
        <v>上周无销量</v>
      </c>
    </row>
    <row r="414" spans="1:48">
      <c r="A414" s="21" t="s">
        <v>889</v>
      </c>
      <c r="B414" t="s">
        <v>890</v>
      </c>
      <c r="C414" t="s">
        <v>864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IFERROR($A$2+AU414,"上周无销量")</f>
        <v>上周无销量</v>
      </c>
    </row>
    <row r="415" spans="1:48">
      <c r="A415" s="21" t="s">
        <v>891</v>
      </c>
      <c r="B415" t="s">
        <v>892</v>
      </c>
      <c r="C415" t="s">
        <v>864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s">
        <v>54</v>
      </c>
      <c r="AO415" s="23" t="s">
        <v>54</v>
      </c>
      <c r="AP415" s="23" t="s">
        <v>54</v>
      </c>
      <c r="AQ415" s="23" t="s">
        <v>54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IFERROR($A$2+AU415,"上周无销量")</f>
        <v>上周无销量</v>
      </c>
    </row>
    <row r="416" spans="1:48">
      <c r="A416" s="21" t="s">
        <v>893</v>
      </c>
      <c r="B416" t="s">
        <v>894</v>
      </c>
      <c r="C416" t="s">
        <v>864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IFERROR($A$2+AU416,"上周无销量")</f>
        <v>上周无销量</v>
      </c>
    </row>
    <row r="417" spans="1:48">
      <c r="A417" s="21" t="s">
        <v>895</v>
      </c>
      <c r="B417" t="s">
        <v>896</v>
      </c>
      <c r="C417" t="s">
        <v>864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IFERROR($A$2+AU417,"上周无销量")</f>
        <v>上周无销量</v>
      </c>
    </row>
    <row r="418" spans="1:48">
      <c r="A418" s="21" t="s">
        <v>897</v>
      </c>
      <c r="B418" t="s">
        <v>898</v>
      </c>
      <c r="C418" t="s">
        <v>864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IFERROR($A$2+AU418,"上周无销量")</f>
        <v>上周无销量</v>
      </c>
    </row>
    <row r="419" spans="1:48">
      <c r="A419" s="21" t="s">
        <v>899</v>
      </c>
      <c r="B419" t="s">
        <v>900</v>
      </c>
      <c r="C419" t="s">
        <v>864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IFERROR($A$2+AU419,"上周无销量")</f>
        <v>上周无销量</v>
      </c>
    </row>
    <row r="420" spans="1:48">
      <c r="A420" s="21" t="s">
        <v>901</v>
      </c>
      <c r="B420" t="s">
        <v>902</v>
      </c>
      <c r="C420" t="s">
        <v>864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IFERROR($A$2+AU420,"上周无销量")</f>
        <v>上周无销量</v>
      </c>
    </row>
    <row r="421" spans="1:48">
      <c r="A421" s="21" t="s">
        <v>903</v>
      </c>
      <c r="B421" t="s">
        <v>904</v>
      </c>
      <c r="C421" t="s">
        <v>864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s">
        <v>54</v>
      </c>
      <c r="AO421" s="23" t="s">
        <v>54</v>
      </c>
      <c r="AP421" s="23" t="s">
        <v>54</v>
      </c>
      <c r="AQ421" s="23" t="s">
        <v>54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IFERROR($A$2+AU421,"上周无销量")</f>
        <v>上周无销量</v>
      </c>
    </row>
    <row r="422" spans="1:48">
      <c r="A422" s="21" t="s">
        <v>905</v>
      </c>
      <c r="B422" t="s">
        <v>906</v>
      </c>
      <c r="C422" t="s">
        <v>864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IFERROR($A$2+AU422,"上周无销量")</f>
        <v>上周无销量</v>
      </c>
    </row>
    <row r="423" spans="1:48">
      <c r="A423" s="21" t="s">
        <v>907</v>
      </c>
      <c r="B423" t="s">
        <v>908</v>
      </c>
      <c r="C423" t="s">
        <v>864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s">
        <v>54</v>
      </c>
      <c r="AO423" s="23" t="s">
        <v>54</v>
      </c>
      <c r="AP423" s="23" t="s">
        <v>54</v>
      </c>
      <c r="AQ423" s="23" t="s">
        <v>54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IFERROR($A$2+AU423,"上周无销量")</f>
        <v>上周无销量</v>
      </c>
    </row>
    <row r="424" spans="1:48">
      <c r="A424" s="21" t="s">
        <v>909</v>
      </c>
      <c r="B424" t="s">
        <v>910</v>
      </c>
      <c r="C424" t="s">
        <v>864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IFERROR($A$2+AU424,"上周无销量")</f>
        <v>上周无销量</v>
      </c>
    </row>
    <row r="425" spans="1:48">
      <c r="A425" s="21" t="s">
        <v>911</v>
      </c>
      <c r="B425" t="s">
        <v>912</v>
      </c>
      <c r="C425" t="s">
        <v>913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IFERROR($A$2+AU425,"上周无销量")</f>
        <v>上周无销量</v>
      </c>
    </row>
    <row r="426" spans="1:48">
      <c r="A426" s="21" t="s">
        <v>914</v>
      </c>
      <c r="B426" t="s">
        <v>915</v>
      </c>
      <c r="C426" t="s">
        <v>913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s">
        <v>54</v>
      </c>
      <c r="AO426" s="23" t="s">
        <v>54</v>
      </c>
      <c r="AP426" s="23" t="s">
        <v>54</v>
      </c>
      <c r="AQ426" s="23" t="s">
        <v>54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IFERROR($A$2+AU426,"上周无销量")</f>
        <v>上周无销量</v>
      </c>
    </row>
    <row r="427" spans="1:48">
      <c r="A427" s="21" t="s">
        <v>916</v>
      </c>
      <c r="B427" t="s">
        <v>917</v>
      </c>
      <c r="C427" t="s">
        <v>913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s">
        <v>54</v>
      </c>
      <c r="AO427" s="23" t="s">
        <v>54</v>
      </c>
      <c r="AP427" s="23" t="s">
        <v>54</v>
      </c>
      <c r="AQ427" s="23" t="s">
        <v>54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IFERROR($A$2+AU427,"上周无销量")</f>
        <v>上周无销量</v>
      </c>
    </row>
    <row r="428" spans="1:48">
      <c r="A428" s="21" t="s">
        <v>918</v>
      </c>
      <c r="B428" t="s">
        <v>919</v>
      </c>
      <c r="C428" t="s">
        <v>913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s">
        <v>54</v>
      </c>
      <c r="AO428" s="23" t="s">
        <v>54</v>
      </c>
      <c r="AP428" s="23" t="s">
        <v>54</v>
      </c>
      <c r="AQ428" s="23" t="s">
        <v>54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IFERROR($A$2+AU428,"上周无销量")</f>
        <v>上周无销量</v>
      </c>
    </row>
    <row r="429" spans="1:48">
      <c r="A429" s="21" t="s">
        <v>920</v>
      </c>
      <c r="B429" t="s">
        <v>921</v>
      </c>
      <c r="C429" t="s">
        <v>913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s">
        <v>54</v>
      </c>
      <c r="AO429" s="23" t="s">
        <v>54</v>
      </c>
      <c r="AP429" s="23" t="s">
        <v>54</v>
      </c>
      <c r="AQ429" s="23" t="s">
        <v>54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IFERROR($A$2+AU429,"上周无销量")</f>
        <v>上周无销量</v>
      </c>
    </row>
    <row r="430" spans="1:48">
      <c r="A430" s="21" t="s">
        <v>922</v>
      </c>
      <c r="B430" t="s">
        <v>923</v>
      </c>
      <c r="C430" t="s">
        <v>924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s">
        <v>54</v>
      </c>
      <c r="AO430" s="23" t="s">
        <v>54</v>
      </c>
      <c r="AP430" s="23" t="s">
        <v>54</v>
      </c>
      <c r="AQ430" s="23" t="s">
        <v>54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IFERROR($A$2+AU430,"上周无销量")</f>
        <v>上周无销量</v>
      </c>
    </row>
    <row r="431" spans="1:48">
      <c r="A431" s="21" t="s">
        <v>925</v>
      </c>
      <c r="B431" t="s">
        <v>926</v>
      </c>
      <c r="C431" t="s">
        <v>924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IFERROR($A$2+AU431,"上周无销量")</f>
        <v>上周无销量</v>
      </c>
    </row>
    <row r="432" spans="1:48">
      <c r="A432" s="21" t="s">
        <v>927</v>
      </c>
      <c r="B432" t="s">
        <v>928</v>
      </c>
      <c r="C432" t="s">
        <v>924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s">
        <v>54</v>
      </c>
      <c r="AO432" s="23" t="s">
        <v>54</v>
      </c>
      <c r="AP432" s="23" t="s">
        <v>54</v>
      </c>
      <c r="AQ432" s="23" t="s">
        <v>54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IFERROR($A$2+AU432,"上周无销量")</f>
        <v>上周无销量</v>
      </c>
    </row>
    <row r="433" spans="1:48">
      <c r="A433" s="21" t="s">
        <v>929</v>
      </c>
      <c r="B433" t="s">
        <v>930</v>
      </c>
      <c r="C433" t="s">
        <v>924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s">
        <v>54</v>
      </c>
      <c r="AO433" s="23" t="s">
        <v>54</v>
      </c>
      <c r="AP433" s="23" t="s">
        <v>54</v>
      </c>
      <c r="AQ433" s="23" t="s">
        <v>54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IFERROR($A$2+AU433,"上周无销量")</f>
        <v>上周无销量</v>
      </c>
    </row>
    <row r="434" spans="1:48">
      <c r="A434" s="21" t="s">
        <v>931</v>
      </c>
      <c r="B434" t="s">
        <v>932</v>
      </c>
      <c r="C434" t="s">
        <v>924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s">
        <v>54</v>
      </c>
      <c r="AO434" s="23" t="s">
        <v>54</v>
      </c>
      <c r="AP434" s="23" t="s">
        <v>54</v>
      </c>
      <c r="AQ434" s="23" t="s">
        <v>54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IFERROR($A$2+AU434,"上周无销量")</f>
        <v>上周无销量</v>
      </c>
    </row>
    <row r="435" spans="1:48">
      <c r="A435" s="21" t="s">
        <v>933</v>
      </c>
      <c r="B435" t="s">
        <v>934</v>
      </c>
      <c r="C435" t="e">
        <v>#N/A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s">
        <v>54</v>
      </c>
      <c r="AO435" s="23" t="s">
        <v>54</v>
      </c>
      <c r="AP435" s="23" t="s">
        <v>54</v>
      </c>
      <c r="AQ435" s="23" t="s">
        <v>54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IFERROR($A$2+AU435,"上周无销量")</f>
        <v>上周无销量</v>
      </c>
    </row>
    <row r="436" spans="1:48">
      <c r="A436" s="21" t="s">
        <v>935</v>
      </c>
      <c r="B436" t="s">
        <v>936</v>
      </c>
      <c r="C436" t="e">
        <v>#N/A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IFERROR($A$2+AU436,"上周无销量")</f>
        <v>上周无销量</v>
      </c>
    </row>
    <row r="437" spans="1:48">
      <c r="A437" s="21" t="s">
        <v>937</v>
      </c>
      <c r="B437" t="s">
        <v>938</v>
      </c>
      <c r="C437" t="e">
        <v>#N/A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s">
        <v>54</v>
      </c>
      <c r="AO437" s="23" t="s">
        <v>54</v>
      </c>
      <c r="AP437" s="23" t="s">
        <v>54</v>
      </c>
      <c r="AQ437" s="23" t="s">
        <v>54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IFERROR($A$2+AU437,"上周无销量")</f>
        <v>上周无销量</v>
      </c>
    </row>
    <row r="438" spans="1:48">
      <c r="A438" s="21" t="s">
        <v>939</v>
      </c>
      <c r="B438" t="s">
        <v>940</v>
      </c>
      <c r="C438" t="e">
        <v>#N/A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s">
        <v>54</v>
      </c>
      <c r="AO438" s="23" t="s">
        <v>54</v>
      </c>
      <c r="AP438" s="23" t="s">
        <v>54</v>
      </c>
      <c r="AQ438" s="23" t="s">
        <v>54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IFERROR($A$2+AU438,"上周无销量")</f>
        <v>上周无销量</v>
      </c>
    </row>
    <row r="439" spans="1:48">
      <c r="A439" s="21" t="s">
        <v>941</v>
      </c>
      <c r="B439" t="s">
        <v>942</v>
      </c>
      <c r="C439" t="e">
        <v>#N/A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IFERROR($A$2+AU439,"上周无销量")</f>
        <v>上周无销量</v>
      </c>
    </row>
    <row r="440" spans="1:48">
      <c r="A440" s="21" t="s">
        <v>943</v>
      </c>
      <c r="B440" t="s">
        <v>944</v>
      </c>
      <c r="C440" t="e">
        <v>#N/A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IFERROR($A$2+AU440,"上周无销量")</f>
        <v>上周无销量</v>
      </c>
    </row>
    <row r="441" spans="1:48">
      <c r="A441" s="21" t="s">
        <v>945</v>
      </c>
      <c r="B441" t="s">
        <v>946</v>
      </c>
      <c r="C441" t="e">
        <v>#N/A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IFERROR($A$2+AU441,"上周无销量")</f>
        <v>上周无销量</v>
      </c>
    </row>
    <row r="442" spans="1:48">
      <c r="A442" s="21" t="s">
        <v>947</v>
      </c>
      <c r="B442" t="s">
        <v>948</v>
      </c>
      <c r="C442" t="e">
        <v>#N/A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IFERROR($A$2+AU442,"上周无销量")</f>
        <v>上周无销量</v>
      </c>
    </row>
    <row r="443" spans="1:48">
      <c r="A443" s="21" t="s">
        <v>949</v>
      </c>
      <c r="B443" t="s">
        <v>950</v>
      </c>
      <c r="C443" t="e">
        <v>#N/A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s">
        <v>54</v>
      </c>
      <c r="AO443" s="23" t="s">
        <v>54</v>
      </c>
      <c r="AP443" s="23" t="s">
        <v>54</v>
      </c>
      <c r="AQ443" s="23" t="s">
        <v>54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IFERROR($A$2+AU443,"上周无销量")</f>
        <v>上周无销量</v>
      </c>
    </row>
    <row r="444" spans="1:48">
      <c r="A444" s="21" t="s">
        <v>951</v>
      </c>
      <c r="B444" t="s">
        <v>952</v>
      </c>
      <c r="C444" t="e">
        <v>#N/A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IFERROR($A$2+AU444,"上周无销量")</f>
        <v>上周无销量</v>
      </c>
    </row>
    <row r="445" spans="1:48">
      <c r="A445" s="21" t="s">
        <v>953</v>
      </c>
      <c r="B445" t="s">
        <v>954</v>
      </c>
      <c r="C445" t="e">
        <v>#N/A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IFERROR($A$2+AU445,"上周无销量")</f>
        <v>上周无销量</v>
      </c>
    </row>
    <row r="446" spans="1:48">
      <c r="A446" s="21" t="s">
        <v>955</v>
      </c>
      <c r="B446" t="s">
        <v>956</v>
      </c>
      <c r="C446" t="e">
        <v>#N/A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s">
        <v>54</v>
      </c>
      <c r="AO446" s="23" t="s">
        <v>54</v>
      </c>
      <c r="AP446" s="23" t="s">
        <v>54</v>
      </c>
      <c r="AQ446" s="23" t="s">
        <v>54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IFERROR($A$2+AU446,"上周无销量")</f>
        <v>上周无销量</v>
      </c>
    </row>
    <row r="447" spans="1:48">
      <c r="A447" s="21" t="s">
        <v>957</v>
      </c>
      <c r="B447" t="s">
        <v>958</v>
      </c>
      <c r="C447" t="e">
        <v>#N/A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s">
        <v>54</v>
      </c>
      <c r="AO447" s="23" t="s">
        <v>54</v>
      </c>
      <c r="AP447" s="23" t="s">
        <v>54</v>
      </c>
      <c r="AQ447" s="23" t="s">
        <v>54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IFERROR($A$2+AU447,"上周无销量")</f>
        <v>上周无销量</v>
      </c>
    </row>
    <row r="448" spans="1:48">
      <c r="A448" s="21" t="s">
        <v>959</v>
      </c>
      <c r="B448" t="s">
        <v>960</v>
      </c>
      <c r="C448" t="e">
        <v>#N/A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s">
        <v>54</v>
      </c>
      <c r="AO448" s="23" t="s">
        <v>54</v>
      </c>
      <c r="AP448" s="23" t="s">
        <v>54</v>
      </c>
      <c r="AQ448" s="23" t="s">
        <v>54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IFERROR($A$2+AU448,"上周无销量")</f>
        <v>上周无销量</v>
      </c>
    </row>
    <row r="449" spans="1:48">
      <c r="A449" s="21" t="s">
        <v>961</v>
      </c>
      <c r="B449" t="s">
        <v>962</v>
      </c>
      <c r="C449" t="e">
        <v>#N/A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s">
        <v>54</v>
      </c>
      <c r="AO449" s="23" t="s">
        <v>54</v>
      </c>
      <c r="AP449" s="23" t="s">
        <v>54</v>
      </c>
      <c r="AQ449" s="23" t="s">
        <v>54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IFERROR($A$2+AU449,"上周无销量")</f>
        <v>上周无销量</v>
      </c>
    </row>
    <row r="450" spans="1:48">
      <c r="A450" s="21" t="s">
        <v>963</v>
      </c>
      <c r="B450" t="s">
        <v>964</v>
      </c>
      <c r="C450" t="e">
        <v>#N/A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IFERROR($A$2+AU450,"上周无销量")</f>
        <v>上周无销量</v>
      </c>
    </row>
    <row r="451" spans="1:48">
      <c r="A451" s="21" t="s">
        <v>965</v>
      </c>
      <c r="B451" t="s">
        <v>966</v>
      </c>
      <c r="C451" t="e">
        <v>#N/A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s">
        <v>54</v>
      </c>
      <c r="AO451" s="23" t="s">
        <v>54</v>
      </c>
      <c r="AP451" s="23" t="s">
        <v>54</v>
      </c>
      <c r="AQ451" s="23" t="s">
        <v>54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IFERROR($A$2+AU451,"上周无销量")</f>
        <v>上周无销量</v>
      </c>
    </row>
    <row r="452" spans="1:48">
      <c r="A452" s="21" t="s">
        <v>967</v>
      </c>
      <c r="B452" t="s">
        <v>968</v>
      </c>
      <c r="C452" t="e">
        <v>#N/A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s">
        <v>54</v>
      </c>
      <c r="AO452" s="23" t="s">
        <v>54</v>
      </c>
      <c r="AP452" s="23" t="s">
        <v>54</v>
      </c>
      <c r="AQ452" s="23" t="s">
        <v>54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IFERROR($A$2+AU452,"上周无销量")</f>
        <v>上周无销量</v>
      </c>
    </row>
    <row r="453" spans="1:48">
      <c r="A453" s="21" t="s">
        <v>969</v>
      </c>
      <c r="B453" t="s">
        <v>970</v>
      </c>
      <c r="C453" t="e">
        <v>#N/A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IFERROR($A$2+AU453,"上周无销量")</f>
        <v>上周无销量</v>
      </c>
    </row>
    <row r="454" spans="1:48">
      <c r="A454" s="21" t="s">
        <v>971</v>
      </c>
      <c r="B454" t="s">
        <v>972</v>
      </c>
      <c r="C454" t="e">
        <v>#N/A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IFERROR($A$2+AU454,"上周无销量")</f>
        <v>上周无销量</v>
      </c>
    </row>
    <row r="455" spans="1:48">
      <c r="A455" s="21" t="s">
        <v>973</v>
      </c>
      <c r="B455" t="s">
        <v>974</v>
      </c>
      <c r="C455" t="e">
        <v>#N/A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IFERROR($A$2+AU455,"上周无销量")</f>
        <v>上周无销量</v>
      </c>
    </row>
    <row r="456" spans="1:48">
      <c r="A456" s="21" t="s">
        <v>975</v>
      </c>
      <c r="B456" t="s">
        <v>976</v>
      </c>
      <c r="C456" t="e">
        <v>#N/A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s">
        <v>54</v>
      </c>
      <c r="AO456" s="23" t="s">
        <v>54</v>
      </c>
      <c r="AP456" s="23" t="s">
        <v>54</v>
      </c>
      <c r="AQ456" s="23" t="s">
        <v>54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IFERROR($A$2+AU456,"上周无销量")</f>
        <v>上周无销量</v>
      </c>
    </row>
    <row r="457" spans="1:48">
      <c r="A457" s="21" t="s">
        <v>977</v>
      </c>
      <c r="B457" t="s">
        <v>978</v>
      </c>
      <c r="C457" t="e">
        <v>#N/A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s">
        <v>54</v>
      </c>
      <c r="AO457" s="23" t="s">
        <v>54</v>
      </c>
      <c r="AP457" s="23" t="s">
        <v>54</v>
      </c>
      <c r="AQ457" s="23" t="s">
        <v>54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IFERROR($A$2+AU457,"上周无销量")</f>
        <v>上周无销量</v>
      </c>
    </row>
    <row r="458" spans="1:48">
      <c r="A458" s="21" t="s">
        <v>979</v>
      </c>
      <c r="B458" t="s">
        <v>980</v>
      </c>
      <c r="C458" t="e">
        <v>#N/A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IFERROR($A$2+AU458,"上周无销量")</f>
        <v>上周无销量</v>
      </c>
    </row>
    <row r="459" spans="1:48">
      <c r="A459" s="21" t="s">
        <v>981</v>
      </c>
      <c r="B459" t="s">
        <v>982</v>
      </c>
      <c r="C459" t="e">
        <v>#N/A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IFERROR($A$2+AU459,"上周无销量")</f>
        <v>上周无销量</v>
      </c>
    </row>
    <row r="460" spans="1:48">
      <c r="A460" s="21" t="s">
        <v>983</v>
      </c>
      <c r="B460" t="s">
        <v>984</v>
      </c>
      <c r="C460" t="e">
        <v>#N/A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IFERROR($A$2+AU460,"上周无销量")</f>
        <v>上周无销量</v>
      </c>
    </row>
    <row r="461" spans="1:48">
      <c r="A461" s="21" t="s">
        <v>985</v>
      </c>
      <c r="B461" t="s">
        <v>986</v>
      </c>
      <c r="C461" t="e">
        <v>#N/A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IFERROR($A$2+AU461,"上周无销量")</f>
        <v>上周无销量</v>
      </c>
    </row>
    <row r="462" spans="1:48">
      <c r="A462" s="21" t="s">
        <v>987</v>
      </c>
      <c r="B462" t="s">
        <v>988</v>
      </c>
      <c r="C462" t="e">
        <v>#N/A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IFERROR($A$2+AU462,"上周无销量")</f>
        <v>上周无销量</v>
      </c>
    </row>
    <row r="463" spans="1:48">
      <c r="A463" s="21" t="s">
        <v>989</v>
      </c>
      <c r="B463" t="s">
        <v>990</v>
      </c>
      <c r="C463" t="e">
        <v>#N/A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IFERROR($A$2+AU463,"上周无销量")</f>
        <v>上周无销量</v>
      </c>
    </row>
    <row r="464" spans="1:48">
      <c r="A464" s="21" t="s">
        <v>991</v>
      </c>
      <c r="B464" t="s">
        <v>992</v>
      </c>
      <c r="C464" t="e">
        <v>#N/A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IFERROR($A$2+AU464,"上周无销量")</f>
        <v>上周无销量</v>
      </c>
    </row>
    <row r="465" spans="1:48">
      <c r="A465" s="21" t="s">
        <v>993</v>
      </c>
      <c r="B465" t="s">
        <v>994</v>
      </c>
      <c r="C465" t="e">
        <v>#N/A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s">
        <v>54</v>
      </c>
      <c r="AO465" s="23" t="s">
        <v>54</v>
      </c>
      <c r="AP465" s="23" t="s">
        <v>54</v>
      </c>
      <c r="AQ465" s="23" t="s">
        <v>54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IFERROR($A$2+AU465,"上周无销量")</f>
        <v>上周无销量</v>
      </c>
    </row>
    <row r="466" spans="1:48">
      <c r="A466" s="21" t="s">
        <v>995</v>
      </c>
      <c r="B466" t="s">
        <v>996</v>
      </c>
      <c r="C466" t="e">
        <v>#N/A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s">
        <v>54</v>
      </c>
      <c r="AO466" s="23" t="s">
        <v>54</v>
      </c>
      <c r="AP466" s="23" t="s">
        <v>54</v>
      </c>
      <c r="AQ466" s="23" t="s">
        <v>54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IFERROR($A$2+AU466,"上周无销量")</f>
        <v>上周无销量</v>
      </c>
    </row>
    <row r="467" spans="1:48">
      <c r="A467" s="21" t="s">
        <v>997</v>
      </c>
      <c r="B467" t="s">
        <v>998</v>
      </c>
      <c r="C467" t="e">
        <v>#N/A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IFERROR($A$2+AU467,"上周无销量")</f>
        <v>上周无销量</v>
      </c>
    </row>
    <row r="468" spans="1:48">
      <c r="A468" s="21" t="s">
        <v>999</v>
      </c>
      <c r="B468" t="s">
        <v>1000</v>
      </c>
      <c r="C468" t="e">
        <v>#N/A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IFERROR($A$2+AU468,"上周无销量")</f>
        <v>上周无销量</v>
      </c>
    </row>
    <row r="469" spans="1:48">
      <c r="A469" s="21" t="s">
        <v>1001</v>
      </c>
      <c r="B469" t="s">
        <v>1002</v>
      </c>
      <c r="C469" t="e">
        <v>#N/A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s">
        <v>54</v>
      </c>
      <c r="AO469" s="23" t="s">
        <v>54</v>
      </c>
      <c r="AP469" s="23" t="s">
        <v>54</v>
      </c>
      <c r="AQ469" s="23" t="s">
        <v>54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IFERROR($A$2+AU469,"上周无销量")</f>
        <v>上周无销量</v>
      </c>
    </row>
    <row r="470" spans="1:48">
      <c r="A470" s="21" t="s">
        <v>1003</v>
      </c>
      <c r="B470" t="s">
        <v>1004</v>
      </c>
      <c r="C470" t="e">
        <v>#N/A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IFERROR($A$2+AU470,"上周无销量")</f>
        <v>上周无销量</v>
      </c>
    </row>
    <row r="471" spans="1:48">
      <c r="A471" s="21" t="s">
        <v>1005</v>
      </c>
      <c r="B471" t="s">
        <v>1006</v>
      </c>
      <c r="C471" t="e">
        <v>#N/A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s">
        <v>54</v>
      </c>
      <c r="AO471" s="23" t="s">
        <v>54</v>
      </c>
      <c r="AP471" s="23" t="s">
        <v>54</v>
      </c>
      <c r="AQ471" s="23" t="s">
        <v>54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IFERROR($A$2+AU471,"上周无销量")</f>
        <v>上周无销量</v>
      </c>
    </row>
    <row r="472" spans="1:48">
      <c r="A472" s="21" t="s">
        <v>1007</v>
      </c>
      <c r="B472" t="s">
        <v>1008</v>
      </c>
      <c r="C472" t="e">
        <v>#N/A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s">
        <v>54</v>
      </c>
      <c r="AO472" s="23" t="s">
        <v>54</v>
      </c>
      <c r="AP472" s="23" t="s">
        <v>54</v>
      </c>
      <c r="AQ472" s="23" t="s">
        <v>54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IFERROR($A$2+AU472,"上周无销量")</f>
        <v>上周无销量</v>
      </c>
    </row>
    <row r="473" spans="1:48">
      <c r="A473" s="21" t="s">
        <v>1009</v>
      </c>
      <c r="B473" t="s">
        <v>1010</v>
      </c>
      <c r="C473" t="e">
        <v>#N/A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IFERROR($A$2+AU473,"上周无销量")</f>
        <v>上周无销量</v>
      </c>
    </row>
    <row r="474" spans="1:48">
      <c r="A474" s="21" t="s">
        <v>1011</v>
      </c>
      <c r="B474" t="s">
        <v>1012</v>
      </c>
      <c r="C474" t="e">
        <v>#N/A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s">
        <v>54</v>
      </c>
      <c r="AO474" s="23" t="s">
        <v>54</v>
      </c>
      <c r="AP474" s="23" t="s">
        <v>54</v>
      </c>
      <c r="AQ474" s="23" t="s">
        <v>54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IFERROR($A$2+AU474,"上周无销量")</f>
        <v>上周无销量</v>
      </c>
    </row>
    <row r="475" spans="1:48">
      <c r="A475" s="21" t="s">
        <v>1013</v>
      </c>
      <c r="B475" t="s">
        <v>1014</v>
      </c>
      <c r="C475" t="e">
        <v>#N/A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s">
        <v>54</v>
      </c>
      <c r="AO475" s="23" t="s">
        <v>54</v>
      </c>
      <c r="AP475" s="23" t="s">
        <v>54</v>
      </c>
      <c r="AQ475" s="23" t="s">
        <v>54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IFERROR($A$2+AU475,"上周无销量")</f>
        <v>上周无销量</v>
      </c>
    </row>
    <row r="476" spans="1:48">
      <c r="A476" s="21" t="s">
        <v>1015</v>
      </c>
      <c r="B476" t="s">
        <v>1016</v>
      </c>
      <c r="C476" t="e">
        <v>#N/A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s">
        <v>54</v>
      </c>
      <c r="AO476" s="23" t="s">
        <v>54</v>
      </c>
      <c r="AP476" s="23" t="s">
        <v>54</v>
      </c>
      <c r="AQ476" s="23" t="s">
        <v>54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IFERROR($A$2+AU476,"上周无销量")</f>
        <v>上周无销量</v>
      </c>
    </row>
    <row r="477" spans="1:48">
      <c r="A477" s="21" t="s">
        <v>1017</v>
      </c>
      <c r="B477" t="s">
        <v>1018</v>
      </c>
      <c r="C477" t="e">
        <v>#N/A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IFERROR($A$2+AU477,"上周无销量")</f>
        <v>上周无销量</v>
      </c>
    </row>
    <row r="478" spans="1:48">
      <c r="A478" s="21" t="s">
        <v>1019</v>
      </c>
      <c r="B478" t="s">
        <v>1020</v>
      </c>
      <c r="C478" t="e">
        <v>#N/A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IFERROR($A$2+AU478,"上周无销量")</f>
        <v>上周无销量</v>
      </c>
    </row>
    <row r="479" spans="1:48">
      <c r="A479" s="21" t="s">
        <v>1021</v>
      </c>
      <c r="B479" t="s">
        <v>1022</v>
      </c>
      <c r="C479" t="s">
        <v>1023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s">
        <v>54</v>
      </c>
      <c r="AO479" s="23" t="s">
        <v>54</v>
      </c>
      <c r="AP479" s="23" t="s">
        <v>54</v>
      </c>
      <c r="AQ479" s="23" t="s">
        <v>54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IFERROR($A$2+AU479,"上周无销量")</f>
        <v>上周无销量</v>
      </c>
    </row>
    <row r="480" spans="1:48">
      <c r="A480" s="21" t="s">
        <v>1024</v>
      </c>
      <c r="B480" t="s">
        <v>1025</v>
      </c>
      <c r="C480" t="s">
        <v>1023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s">
        <v>54</v>
      </c>
      <c r="AO480" s="23" t="s">
        <v>54</v>
      </c>
      <c r="AP480" s="23" t="s">
        <v>54</v>
      </c>
      <c r="AQ480" s="23" t="s">
        <v>54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IFERROR($A$2+AU480,"上周无销量")</f>
        <v>上周无销量</v>
      </c>
    </row>
    <row r="481" spans="1:48">
      <c r="A481" s="21" t="s">
        <v>1026</v>
      </c>
      <c r="B481" t="s">
        <v>1027</v>
      </c>
      <c r="C481" t="s">
        <v>1023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s">
        <v>54</v>
      </c>
      <c r="AO481" s="23" t="s">
        <v>54</v>
      </c>
      <c r="AP481" s="23" t="s">
        <v>54</v>
      </c>
      <c r="AQ481" s="23" t="s">
        <v>54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IFERROR($A$2+AU481,"上周无销量")</f>
        <v>上周无销量</v>
      </c>
    </row>
    <row r="482" spans="1:48">
      <c r="A482" s="21" t="s">
        <v>1028</v>
      </c>
      <c r="B482" t="s">
        <v>1029</v>
      </c>
      <c r="C482" t="s">
        <v>1023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s">
        <v>54</v>
      </c>
      <c r="AO482" s="23" t="s">
        <v>54</v>
      </c>
      <c r="AP482" s="23" t="s">
        <v>54</v>
      </c>
      <c r="AQ482" s="23" t="s">
        <v>54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IFERROR($A$2+AU482,"上周无销量")</f>
        <v>上周无销量</v>
      </c>
    </row>
    <row r="483" spans="1:48">
      <c r="A483" s="21" t="s">
        <v>1030</v>
      </c>
      <c r="B483" t="s">
        <v>1031</v>
      </c>
      <c r="C483" t="s">
        <v>1023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IFERROR($A$2+AU483,"上周无销量")</f>
        <v>上周无销量</v>
      </c>
    </row>
    <row r="484" spans="1:48">
      <c r="A484" s="21" t="s">
        <v>1032</v>
      </c>
      <c r="B484" t="s">
        <v>1033</v>
      </c>
      <c r="C484" t="s">
        <v>1023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s">
        <v>54</v>
      </c>
      <c r="AO484" s="23" t="s">
        <v>54</v>
      </c>
      <c r="AP484" s="23" t="s">
        <v>54</v>
      </c>
      <c r="AQ484" s="23" t="s">
        <v>54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IFERROR($A$2+AU484,"上周无销量")</f>
        <v>上周无销量</v>
      </c>
    </row>
    <row r="485" spans="1:48">
      <c r="A485" s="21" t="s">
        <v>1034</v>
      </c>
      <c r="B485" t="s">
        <v>1035</v>
      </c>
      <c r="C485" t="s">
        <v>1023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0</v>
      </c>
      <c r="AL485">
        <v>0</v>
      </c>
      <c r="AM485">
        <v>0</v>
      </c>
      <c r="AN485" s="23" t="s">
        <v>54</v>
      </c>
      <c r="AO485" s="23" t="s">
        <v>54</v>
      </c>
      <c r="AP485" s="23" t="s">
        <v>54</v>
      </c>
      <c r="AQ485" s="23" t="s">
        <v>54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IFERROR($A$2+AU485,"上周无销量")</f>
        <v>上周无销量</v>
      </c>
    </row>
    <row r="486" spans="1:48">
      <c r="A486" s="21" t="s">
        <v>1036</v>
      </c>
      <c r="B486" t="s">
        <v>1037</v>
      </c>
      <c r="C486" t="s">
        <v>1023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s">
        <v>54</v>
      </c>
      <c r="AO486" s="23" t="s">
        <v>54</v>
      </c>
      <c r="AP486" s="23" t="s">
        <v>54</v>
      </c>
      <c r="AQ486" s="23" t="s">
        <v>54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IFERROR($A$2+AU486,"上周无销量")</f>
        <v>上周无销量</v>
      </c>
    </row>
    <row r="487" spans="1:48">
      <c r="A487" s="21" t="s">
        <v>1038</v>
      </c>
      <c r="B487" t="s">
        <v>1039</v>
      </c>
      <c r="C487" t="s">
        <v>1023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0</v>
      </c>
      <c r="AK487">
        <v>0</v>
      </c>
      <c r="AL487">
        <v>0</v>
      </c>
      <c r="AM487">
        <v>0</v>
      </c>
      <c r="AN487" s="23" t="s">
        <v>54</v>
      </c>
      <c r="AO487" s="23" t="s">
        <v>54</v>
      </c>
      <c r="AP487" s="23" t="s">
        <v>54</v>
      </c>
      <c r="AQ487" s="23" t="s">
        <v>54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IFERROR($A$2+AU487,"上周无销量")</f>
        <v>上周无销量</v>
      </c>
    </row>
    <row r="488" spans="1:48">
      <c r="A488" s="21" t="s">
        <v>1040</v>
      </c>
      <c r="B488" t="s">
        <v>1041</v>
      </c>
      <c r="C488" t="s">
        <v>1023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IFERROR($A$2+AU488,"上周无销量")</f>
        <v>上周无销量</v>
      </c>
    </row>
    <row r="489" spans="1:48">
      <c r="A489" s="21" t="s">
        <v>1042</v>
      </c>
      <c r="B489" t="s">
        <v>1043</v>
      </c>
      <c r="C489" t="s">
        <v>1044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2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s">
        <v>54</v>
      </c>
      <c r="AO489" s="23" t="s">
        <v>54</v>
      </c>
      <c r="AP489" s="23" t="s">
        <v>54</v>
      </c>
      <c r="AQ489" s="23" t="s">
        <v>54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IFERROR($A$2+AU489,"上周无销量")</f>
        <v>上周无销量</v>
      </c>
    </row>
    <row r="490" spans="1:48">
      <c r="A490" s="21" t="s">
        <v>1045</v>
      </c>
      <c r="B490" t="s">
        <v>1046</v>
      </c>
      <c r="C490" t="s">
        <v>1044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IFERROR($A$2+AU490,"上周无销量")</f>
        <v>上周无销量</v>
      </c>
    </row>
    <row r="491" spans="1:48">
      <c r="A491" s="21" t="s">
        <v>1047</v>
      </c>
      <c r="B491" t="s">
        <v>1048</v>
      </c>
      <c r="C491" t="s">
        <v>1044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IFERROR($A$2+AU491,"上周无销量")</f>
        <v>上周无销量</v>
      </c>
    </row>
    <row r="492" spans="1:48">
      <c r="A492" s="21" t="s">
        <v>1049</v>
      </c>
      <c r="B492" t="s">
        <v>1050</v>
      </c>
      <c r="C492" t="s">
        <v>1044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1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IFERROR($A$2+AU492,"上周无销量")</f>
        <v>上周无销量</v>
      </c>
    </row>
    <row r="493" spans="1:48">
      <c r="A493" s="21" t="s">
        <v>1051</v>
      </c>
      <c r="B493" t="s">
        <v>1052</v>
      </c>
      <c r="C493" t="s">
        <v>1044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IFERROR($A$2+AU493,"上周无销量")</f>
        <v>上周无销量</v>
      </c>
    </row>
    <row r="494" spans="1:48">
      <c r="A494" s="21" t="s">
        <v>1053</v>
      </c>
      <c r="B494" t="s">
        <v>1054</v>
      </c>
      <c r="C494" t="s">
        <v>1044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s">
        <v>54</v>
      </c>
      <c r="AO494" s="23" t="s">
        <v>54</v>
      </c>
      <c r="AP494" s="23" t="s">
        <v>54</v>
      </c>
      <c r="AQ494" s="23" t="s">
        <v>54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IFERROR($A$2+AU494,"上周无销量")</f>
        <v>上周无销量</v>
      </c>
    </row>
    <row r="495" spans="1:48">
      <c r="A495" s="21" t="s">
        <v>1055</v>
      </c>
      <c r="B495" t="s">
        <v>1056</v>
      </c>
      <c r="C495" t="s">
        <v>1044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IFERROR($A$2+AU495,"上周无销量")</f>
        <v>上周无销量</v>
      </c>
    </row>
    <row r="496" spans="1:48">
      <c r="A496" s="21" t="s">
        <v>1057</v>
      </c>
      <c r="B496" t="s">
        <v>1058</v>
      </c>
      <c r="C496" t="s">
        <v>1044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IFERROR($A$2+AU496,"上周无销量")</f>
        <v>上周无销量</v>
      </c>
    </row>
    <row r="497" spans="1:48">
      <c r="A497" s="21" t="s">
        <v>1059</v>
      </c>
      <c r="B497" t="s">
        <v>1060</v>
      </c>
      <c r="C497" t="s">
        <v>1044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2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IFERROR($A$2+AU497,"上周无销量")</f>
        <v>上周无销量</v>
      </c>
    </row>
    <row r="498" spans="1:48">
      <c r="A498" s="21" t="s">
        <v>1061</v>
      </c>
      <c r="B498" t="s">
        <v>1062</v>
      </c>
      <c r="C498" t="e">
        <v>#N/A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s">
        <v>54</v>
      </c>
      <c r="AO498" s="23" t="s">
        <v>54</v>
      </c>
      <c r="AP498" s="23" t="s">
        <v>54</v>
      </c>
      <c r="AQ498" s="23" t="s">
        <v>54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IFERROR($A$2+AU498,"上周无销量")</f>
        <v>上周无销量</v>
      </c>
    </row>
    <row r="499" spans="1:48">
      <c r="A499" s="21" t="s">
        <v>1063</v>
      </c>
      <c r="B499" t="s">
        <v>1064</v>
      </c>
      <c r="C499" t="e">
        <v>#N/A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IFERROR($A$2+AU499,"上周无销量")</f>
        <v>上周无销量</v>
      </c>
    </row>
    <row r="500" spans="1:48">
      <c r="A500" s="21" t="s">
        <v>1065</v>
      </c>
      <c r="B500" t="s">
        <v>1066</v>
      </c>
      <c r="C500" t="e">
        <v>#N/A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IFERROR($A$2+AU500,"上周无销量")</f>
        <v>上周无销量</v>
      </c>
    </row>
    <row r="501" spans="1:48">
      <c r="A501" s="21" t="s">
        <v>1067</v>
      </c>
      <c r="B501" t="s">
        <v>1068</v>
      </c>
      <c r="C501" t="e">
        <v>#N/A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0</v>
      </c>
      <c r="AM501">
        <v>0</v>
      </c>
      <c r="AN501" s="23" t="s">
        <v>54</v>
      </c>
      <c r="AO501" s="23" t="s">
        <v>54</v>
      </c>
      <c r="AP501" s="23" t="s">
        <v>54</v>
      </c>
      <c r="AQ501" s="23" t="s">
        <v>54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IFERROR($A$2+AU501,"上周无销量")</f>
        <v>上周无销量</v>
      </c>
    </row>
    <row r="502" spans="1:48">
      <c r="A502" s="21" t="s">
        <v>1069</v>
      </c>
      <c r="B502" t="s">
        <v>1070</v>
      </c>
      <c r="C502" t="e">
        <v>#N/A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s">
        <v>54</v>
      </c>
      <c r="AO502" s="23" t="s">
        <v>54</v>
      </c>
      <c r="AP502" s="23" t="s">
        <v>54</v>
      </c>
      <c r="AQ502" s="23" t="s">
        <v>54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IFERROR($A$2+AU502,"上周无销量")</f>
        <v>上周无销量</v>
      </c>
    </row>
    <row r="503" spans="1:48">
      <c r="A503" s="21" t="s">
        <v>1071</v>
      </c>
      <c r="B503" t="s">
        <v>1072</v>
      </c>
      <c r="C503" t="e">
        <v>#N/A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IFERROR($A$2+AU503,"上周无销量")</f>
        <v>上周无销量</v>
      </c>
    </row>
    <row r="504" spans="1:48">
      <c r="A504" s="21" t="s">
        <v>1073</v>
      </c>
      <c r="B504" t="s">
        <v>1074</v>
      </c>
      <c r="C504" t="e">
        <v>#N/A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s">
        <v>54</v>
      </c>
      <c r="AO504" s="23" t="s">
        <v>54</v>
      </c>
      <c r="AP504" s="23" t="s">
        <v>54</v>
      </c>
      <c r="AQ504" s="23" t="s">
        <v>54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IFERROR($A$2+AU504,"上周无销量")</f>
        <v>上周无销量</v>
      </c>
    </row>
    <row r="505" spans="1:48">
      <c r="A505" s="21" t="s">
        <v>1075</v>
      </c>
      <c r="B505" t="s">
        <v>1076</v>
      </c>
      <c r="C505" t="e">
        <v>#N/A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IFERROR($A$2+AU505,"上周无销量")</f>
        <v>上周无销量</v>
      </c>
    </row>
    <row r="506" spans="1:48">
      <c r="A506" s="21" t="s">
        <v>1077</v>
      </c>
      <c r="B506" t="s">
        <v>1078</v>
      </c>
      <c r="C506" t="e">
        <v>#N/A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IFERROR($A$2+AU506,"上周无销量")</f>
        <v>上周无销量</v>
      </c>
    </row>
    <row r="507" spans="1:48">
      <c r="A507" s="21" t="s">
        <v>1079</v>
      </c>
      <c r="B507" t="s">
        <v>1080</v>
      </c>
      <c r="C507" t="e">
        <v>#N/A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s">
        <v>54</v>
      </c>
      <c r="AO507" s="23" t="s">
        <v>54</v>
      </c>
      <c r="AP507" s="23" t="s">
        <v>54</v>
      </c>
      <c r="AQ507" s="23" t="s">
        <v>54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IFERROR($A$2+AU507,"上周无销量")</f>
        <v>上周无销量</v>
      </c>
    </row>
    <row r="508" spans="1:48">
      <c r="A508" s="21" t="s">
        <v>1081</v>
      </c>
      <c r="B508" t="s">
        <v>1082</v>
      </c>
      <c r="C508" t="e">
        <v>#N/A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0</v>
      </c>
      <c r="AK508">
        <v>0</v>
      </c>
      <c r="AL508">
        <v>0</v>
      </c>
      <c r="AM508">
        <v>0</v>
      </c>
      <c r="AN508" s="23" t="s">
        <v>54</v>
      </c>
      <c r="AO508" s="23" t="s">
        <v>54</v>
      </c>
      <c r="AP508" s="23" t="s">
        <v>54</v>
      </c>
      <c r="AQ508" s="23" t="s">
        <v>54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IFERROR($A$2+AU508,"上周无销量")</f>
        <v>上周无销量</v>
      </c>
    </row>
    <row r="509" spans="1:48">
      <c r="A509" s="21" t="s">
        <v>1083</v>
      </c>
      <c r="B509" t="s">
        <v>1084</v>
      </c>
      <c r="C509" t="e">
        <v>#N/A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IFERROR($A$2+AU509,"上周无销量")</f>
        <v>上周无销量</v>
      </c>
    </row>
    <row r="510" spans="1:48">
      <c r="A510" s="21" t="s">
        <v>1085</v>
      </c>
      <c r="B510" t="s">
        <v>1086</v>
      </c>
      <c r="C510" t="e">
        <v>#N/A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s">
        <v>54</v>
      </c>
      <c r="AO510" s="23" t="s">
        <v>54</v>
      </c>
      <c r="AP510" s="23" t="s">
        <v>54</v>
      </c>
      <c r="AQ510" s="23" t="s">
        <v>54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IFERROR($A$2+AU510,"上周无销量")</f>
        <v>上周无销量</v>
      </c>
    </row>
    <row r="511" spans="1:48">
      <c r="A511" s="21" t="s">
        <v>1087</v>
      </c>
      <c r="B511" t="s">
        <v>1088</v>
      </c>
      <c r="C511" t="e">
        <v>#N/A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IFERROR($A$2+AU511,"上周无销量")</f>
        <v>上周无销量</v>
      </c>
    </row>
    <row r="512" spans="1:48">
      <c r="A512" s="21" t="s">
        <v>1089</v>
      </c>
      <c r="B512" t="s">
        <v>1090</v>
      </c>
      <c r="C512" t="e">
        <v>#N/A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IFERROR($A$2+AU512,"上周无销量")</f>
        <v>上周无销量</v>
      </c>
    </row>
    <row r="513" spans="1:48">
      <c r="A513" s="21" t="s">
        <v>1091</v>
      </c>
      <c r="B513" t="s">
        <v>1092</v>
      </c>
      <c r="C513" t="s">
        <v>1093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IFERROR($A$2+AU513,"上周无销量")</f>
        <v>上周无销量</v>
      </c>
    </row>
    <row r="514" spans="1:48">
      <c r="A514" s="21" t="s">
        <v>1094</v>
      </c>
      <c r="B514" t="s">
        <v>1095</v>
      </c>
      <c r="C514" t="s">
        <v>1093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IFERROR($A$2+AU514,"上周无销量")</f>
        <v>上周无销量</v>
      </c>
    </row>
    <row r="515" spans="1:48">
      <c r="A515" s="21" t="s">
        <v>1096</v>
      </c>
      <c r="B515" t="s">
        <v>1097</v>
      </c>
      <c r="C515" t="s">
        <v>1093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IFERROR($A$2+AU515,"上周无销量")</f>
        <v>上周无销量</v>
      </c>
    </row>
    <row r="516" spans="1:48">
      <c r="A516" s="21" t="s">
        <v>1098</v>
      </c>
      <c r="B516" t="s">
        <v>1099</v>
      </c>
      <c r="C516" t="s">
        <v>1093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IFERROR($A$2+AU516,"上周无销量")</f>
        <v>上周无销量</v>
      </c>
    </row>
    <row r="517" spans="1:48">
      <c r="A517" s="21" t="s">
        <v>1100</v>
      </c>
      <c r="B517" t="s">
        <v>1101</v>
      </c>
      <c r="C517" t="s">
        <v>1093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IFERROR($A$2+AU517,"上周无销量")</f>
        <v>上周无销量</v>
      </c>
    </row>
    <row r="518" spans="1:48">
      <c r="A518" s="21" t="s">
        <v>1102</v>
      </c>
      <c r="B518" t="s">
        <v>1103</v>
      </c>
      <c r="C518" t="s">
        <v>1093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IFERROR($A$2+AU518,"上周无销量")</f>
        <v>上周无销量</v>
      </c>
    </row>
    <row r="519" spans="1:48">
      <c r="A519" s="21" t="s">
        <v>1104</v>
      </c>
      <c r="B519" t="s">
        <v>1105</v>
      </c>
      <c r="C519" t="s">
        <v>1093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IFERROR($A$2+AU519,"上周无销量")</f>
        <v>上周无销量</v>
      </c>
    </row>
    <row r="520" spans="1:48">
      <c r="A520" s="21" t="s">
        <v>1106</v>
      </c>
      <c r="B520" t="s">
        <v>1107</v>
      </c>
      <c r="C520" t="s">
        <v>1093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IFERROR($A$2+AU520,"上周无销量")</f>
        <v>上周无销量</v>
      </c>
    </row>
    <row r="521" spans="1:48">
      <c r="A521" s="21" t="s">
        <v>1108</v>
      </c>
      <c r="B521" t="s">
        <v>1109</v>
      </c>
      <c r="C521" t="s">
        <v>1093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IFERROR($A$2+AU521,"上周无销量")</f>
        <v>上周无销量</v>
      </c>
    </row>
    <row r="522" spans="1:48">
      <c r="A522" s="21" t="s">
        <v>1110</v>
      </c>
      <c r="B522" t="s">
        <v>1111</v>
      </c>
      <c r="C522" t="s">
        <v>1093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IFERROR($A$2+AU522,"上周无销量")</f>
        <v>上周无销量</v>
      </c>
    </row>
    <row r="523" spans="1:48">
      <c r="A523" s="21" t="s">
        <v>1112</v>
      </c>
      <c r="B523" t="s">
        <v>1113</v>
      </c>
      <c r="C523" t="s">
        <v>1093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s">
        <v>54</v>
      </c>
      <c r="AO523" s="23" t="s">
        <v>54</v>
      </c>
      <c r="AP523" s="23" t="s">
        <v>54</v>
      </c>
      <c r="AQ523" s="23" t="s">
        <v>54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IFERROR($A$2+AU523,"上周无销量")</f>
        <v>上周无销量</v>
      </c>
    </row>
    <row r="524" spans="1:48">
      <c r="A524" s="21" t="s">
        <v>1114</v>
      </c>
      <c r="B524" t="s">
        <v>1115</v>
      </c>
      <c r="C524" t="s">
        <v>1093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s">
        <v>54</v>
      </c>
      <c r="AO524" s="23" t="s">
        <v>54</v>
      </c>
      <c r="AP524" s="23" t="s">
        <v>54</v>
      </c>
      <c r="AQ524" s="23" t="s">
        <v>54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IFERROR($A$2+AU524,"上周无销量")</f>
        <v>上周无销量</v>
      </c>
    </row>
    <row r="525" spans="1:48">
      <c r="A525" s="21" t="s">
        <v>1116</v>
      </c>
      <c r="B525" t="s">
        <v>1117</v>
      </c>
      <c r="C525" t="s">
        <v>1093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s">
        <v>54</v>
      </c>
      <c r="AO525" s="23" t="s">
        <v>54</v>
      </c>
      <c r="AP525" s="23" t="s">
        <v>54</v>
      </c>
      <c r="AQ525" s="23" t="s">
        <v>54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IFERROR($A$2+AU525,"上周无销量")</f>
        <v>上周无销量</v>
      </c>
    </row>
    <row r="526" spans="1:48">
      <c r="A526" s="21" t="s">
        <v>1118</v>
      </c>
      <c r="B526" t="s">
        <v>1119</v>
      </c>
      <c r="C526" t="s">
        <v>1093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s">
        <v>54</v>
      </c>
      <c r="AO526" s="23" t="s">
        <v>54</v>
      </c>
      <c r="AP526" s="23" t="s">
        <v>54</v>
      </c>
      <c r="AQ526" s="23" t="s">
        <v>54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IFERROR($A$2+AU526,"上周无销量")</f>
        <v>上周无销量</v>
      </c>
    </row>
    <row r="527" spans="1:48">
      <c r="A527" s="21" t="s">
        <v>1120</v>
      </c>
      <c r="B527" t="s">
        <v>1121</v>
      </c>
      <c r="C527" t="s">
        <v>1093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s">
        <v>54</v>
      </c>
      <c r="AO527" s="23" t="s">
        <v>54</v>
      </c>
      <c r="AP527" s="23" t="s">
        <v>54</v>
      </c>
      <c r="AQ527" s="23" t="s">
        <v>54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IFERROR($A$2+AU527,"上周无销量")</f>
        <v>上周无销量</v>
      </c>
    </row>
    <row r="528" spans="1:48">
      <c r="A528" s="21" t="s">
        <v>1122</v>
      </c>
      <c r="B528" t="s">
        <v>1123</v>
      </c>
      <c r="C528" t="s">
        <v>1124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IFERROR($A$2+AU528,"上周无销量")</f>
        <v>上周无销量</v>
      </c>
    </row>
    <row r="529" spans="1:48">
      <c r="A529" s="21" t="s">
        <v>1125</v>
      </c>
      <c r="B529" t="s">
        <v>1126</v>
      </c>
      <c r="C529" t="s">
        <v>1124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s">
        <v>54</v>
      </c>
      <c r="AO529" s="23" t="s">
        <v>54</v>
      </c>
      <c r="AP529" s="23" t="s">
        <v>54</v>
      </c>
      <c r="AQ529" s="23" t="s">
        <v>54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IFERROR($A$2+AU529,"上周无销量")</f>
        <v>上周无销量</v>
      </c>
    </row>
    <row r="530" spans="1:48">
      <c r="A530" s="21" t="s">
        <v>1127</v>
      </c>
      <c r="B530" t="s">
        <v>1128</v>
      </c>
      <c r="C530" t="s">
        <v>1124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2</v>
      </c>
      <c r="J530" s="33">
        <v>0</v>
      </c>
      <c r="K530" s="33">
        <v>0</v>
      </c>
      <c r="L530" s="33">
        <v>0</v>
      </c>
      <c r="M530">
        <v>2</v>
      </c>
      <c r="N530">
        <v>0</v>
      </c>
      <c r="O530">
        <v>4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33</v>
      </c>
      <c r="AK530">
        <v>27</v>
      </c>
      <c r="AL530">
        <v>34</v>
      </c>
      <c r="AM530">
        <v>21</v>
      </c>
      <c r="AN530" s="23">
        <v>0</v>
      </c>
      <c r="AO530" s="23">
        <v>0</v>
      </c>
      <c r="AP530" s="23">
        <v>0</v>
      </c>
      <c r="AQ530" s="23">
        <v>0</v>
      </c>
      <c r="AR530" s="35">
        <v>0</v>
      </c>
      <c r="AS530" s="35">
        <v>0</v>
      </c>
      <c r="AT530" s="35">
        <v>2</v>
      </c>
      <c r="AU530" s="31" t="str">
        <f t="shared" si="11"/>
        <v>库存为2</v>
      </c>
      <c r="AV530" s="36" t="str">
        <f>IFERROR($A$2+AU530,"上周无销量")</f>
        <v>上周无销量</v>
      </c>
    </row>
    <row r="531" spans="1:48">
      <c r="A531" s="21" t="s">
        <v>1129</v>
      </c>
      <c r="B531" t="s">
        <v>1130</v>
      </c>
      <c r="C531" t="s">
        <v>1124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6</v>
      </c>
      <c r="J531" s="33">
        <v>0</v>
      </c>
      <c r="K531" s="33">
        <v>0</v>
      </c>
      <c r="L531" s="33">
        <v>0</v>
      </c>
      <c r="M531">
        <v>6</v>
      </c>
      <c r="N531">
        <v>0</v>
      </c>
      <c r="O531">
        <v>6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7</v>
      </c>
      <c r="AK531">
        <v>3</v>
      </c>
      <c r="AL531">
        <v>1</v>
      </c>
      <c r="AM531">
        <v>1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6</v>
      </c>
      <c r="AU531" s="31" t="str">
        <f t="shared" si="11"/>
        <v>库存为6</v>
      </c>
      <c r="AV531" s="36" t="str">
        <f>IFERROR($A$2+AU531,"上周无销量")</f>
        <v>上周无销量</v>
      </c>
    </row>
    <row r="532" spans="1:48">
      <c r="A532" s="21" t="s">
        <v>1131</v>
      </c>
      <c r="B532" t="s">
        <v>1132</v>
      </c>
      <c r="C532" t="s">
        <v>1124</v>
      </c>
      <c r="D532" s="31">
        <v>2</v>
      </c>
      <c r="E532" s="31">
        <v>0</v>
      </c>
      <c r="F532" s="31">
        <v>0</v>
      </c>
      <c r="G532" s="31">
        <v>0</v>
      </c>
      <c r="H532" s="32">
        <v>7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4</v>
      </c>
      <c r="AK532">
        <v>2</v>
      </c>
      <c r="AL532">
        <v>1</v>
      </c>
      <c r="AM532">
        <v>4</v>
      </c>
      <c r="AN532" s="23">
        <v>0.5</v>
      </c>
      <c r="AO532" s="23">
        <v>0</v>
      </c>
      <c r="AP532" s="23">
        <v>0</v>
      </c>
      <c r="AQ532" s="23">
        <v>0</v>
      </c>
      <c r="AR532" s="35">
        <v>0.285714285714286</v>
      </c>
      <c r="AS532" s="35">
        <v>17.1428571428571</v>
      </c>
      <c r="AT532" s="35">
        <v>-17.1428571428571</v>
      </c>
      <c r="AU532" s="31">
        <f t="shared" si="11"/>
        <v>0</v>
      </c>
      <c r="AV532" s="36">
        <f>IFERROR($A$2+AU532,"上周无销量")</f>
        <v>43304</v>
      </c>
    </row>
    <row r="533" spans="1:48">
      <c r="A533" s="21" t="s">
        <v>1133</v>
      </c>
      <c r="B533" t="s">
        <v>1134</v>
      </c>
      <c r="C533" t="s">
        <v>1124</v>
      </c>
      <c r="D533" s="31">
        <v>2</v>
      </c>
      <c r="E533" s="31">
        <v>0</v>
      </c>
      <c r="F533" s="31">
        <v>0</v>
      </c>
      <c r="G533" s="31">
        <v>0</v>
      </c>
      <c r="H533" s="32">
        <v>7</v>
      </c>
      <c r="I533">
        <v>3</v>
      </c>
      <c r="J533" s="33">
        <v>0</v>
      </c>
      <c r="K533" s="33">
        <v>0</v>
      </c>
      <c r="L533" s="33">
        <v>0</v>
      </c>
      <c r="M533">
        <v>3</v>
      </c>
      <c r="N533">
        <v>0</v>
      </c>
      <c r="O533">
        <v>3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6</v>
      </c>
      <c r="AK533">
        <v>0</v>
      </c>
      <c r="AL533">
        <v>1</v>
      </c>
      <c r="AM533">
        <v>3</v>
      </c>
      <c r="AN533" s="23">
        <v>0.333333333333333</v>
      </c>
      <c r="AO533" s="23" t="s">
        <v>54</v>
      </c>
      <c r="AP533" s="23">
        <v>0</v>
      </c>
      <c r="AQ533" s="23">
        <v>0</v>
      </c>
      <c r="AR533" s="35">
        <v>0.285714285714286</v>
      </c>
      <c r="AS533" s="35">
        <v>17.1428571428571</v>
      </c>
      <c r="AT533" s="35">
        <v>-14.1428571428571</v>
      </c>
      <c r="AU533" s="31">
        <f t="shared" si="11"/>
        <v>10</v>
      </c>
      <c r="AV533" s="36">
        <f>IFERROR($A$2+AU533,"上周无销量")</f>
        <v>43314</v>
      </c>
    </row>
    <row r="534" spans="1:48">
      <c r="A534" s="21" t="s">
        <v>1135</v>
      </c>
      <c r="B534" t="s">
        <v>1136</v>
      </c>
      <c r="C534" t="s">
        <v>1124</v>
      </c>
      <c r="D534" s="31">
        <v>2</v>
      </c>
      <c r="E534" s="31">
        <v>0</v>
      </c>
      <c r="F534" s="31">
        <v>0</v>
      </c>
      <c r="G534" s="31">
        <v>0</v>
      </c>
      <c r="H534" s="32">
        <v>7</v>
      </c>
      <c r="I534">
        <v>5</v>
      </c>
      <c r="J534" s="33">
        <v>0</v>
      </c>
      <c r="K534" s="33">
        <v>0</v>
      </c>
      <c r="L534" s="33">
        <v>0</v>
      </c>
      <c r="M534">
        <v>5</v>
      </c>
      <c r="N534">
        <v>0</v>
      </c>
      <c r="O534">
        <v>7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10</v>
      </c>
      <c r="AK534">
        <v>7</v>
      </c>
      <c r="AL534">
        <v>0</v>
      </c>
      <c r="AM534">
        <v>2</v>
      </c>
      <c r="AN534" s="23">
        <v>0.2</v>
      </c>
      <c r="AO534" s="23">
        <v>0</v>
      </c>
      <c r="AP534" s="23" t="s">
        <v>54</v>
      </c>
      <c r="AQ534" s="23">
        <v>0</v>
      </c>
      <c r="AR534" s="35">
        <v>0.285714285714286</v>
      </c>
      <c r="AS534" s="35">
        <v>17.1428571428571</v>
      </c>
      <c r="AT534" s="35">
        <v>-12.1428571428571</v>
      </c>
      <c r="AU534" s="31">
        <f t="shared" si="11"/>
        <v>17</v>
      </c>
      <c r="AV534" s="36">
        <f>IFERROR($A$2+AU534,"上周无销量")</f>
        <v>43321</v>
      </c>
    </row>
    <row r="535" spans="1:48">
      <c r="A535" s="21" t="s">
        <v>1137</v>
      </c>
      <c r="B535" t="s">
        <v>1138</v>
      </c>
      <c r="C535" t="s">
        <v>1139</v>
      </c>
      <c r="D535" s="31">
        <v>1</v>
      </c>
      <c r="E535" s="31">
        <v>0</v>
      </c>
      <c r="F535" s="31">
        <v>0</v>
      </c>
      <c r="G535" s="31">
        <v>0</v>
      </c>
      <c r="H535" s="32">
        <v>10</v>
      </c>
      <c r="I535">
        <v>5</v>
      </c>
      <c r="J535" s="33">
        <v>0</v>
      </c>
      <c r="K535" s="33">
        <v>0</v>
      </c>
      <c r="L535" s="33">
        <v>0</v>
      </c>
      <c r="M535">
        <v>5</v>
      </c>
      <c r="N535">
        <v>0</v>
      </c>
      <c r="O535">
        <v>5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10</v>
      </c>
      <c r="AK535">
        <v>13</v>
      </c>
      <c r="AL535">
        <v>2</v>
      </c>
      <c r="AM535">
        <v>2</v>
      </c>
      <c r="AN535" s="23">
        <v>0.1</v>
      </c>
      <c r="AO535" s="23">
        <v>0</v>
      </c>
      <c r="AP535" s="23">
        <v>0</v>
      </c>
      <c r="AQ535" s="23">
        <v>0</v>
      </c>
      <c r="AR535" s="35">
        <v>0.142857142857143</v>
      </c>
      <c r="AS535" s="35">
        <v>8.57142857142857</v>
      </c>
      <c r="AT535" s="35">
        <v>-3.57142857142857</v>
      </c>
      <c r="AU535" s="31">
        <f t="shared" si="11"/>
        <v>35</v>
      </c>
      <c r="AV535" s="36">
        <f>IFERROR($A$2+AU535,"上周无销量")</f>
        <v>43339</v>
      </c>
    </row>
    <row r="536" spans="1:48">
      <c r="A536" s="21" t="s">
        <v>1140</v>
      </c>
      <c r="B536" t="s">
        <v>1141</v>
      </c>
      <c r="C536" t="s">
        <v>1139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6</v>
      </c>
      <c r="J536" s="33">
        <v>0</v>
      </c>
      <c r="K536" s="33">
        <v>0</v>
      </c>
      <c r="L536" s="33">
        <v>0</v>
      </c>
      <c r="M536">
        <v>6</v>
      </c>
      <c r="N536">
        <v>0</v>
      </c>
      <c r="O536">
        <v>6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7</v>
      </c>
      <c r="AK536">
        <v>10</v>
      </c>
      <c r="AL536">
        <v>2</v>
      </c>
      <c r="AM536">
        <v>5</v>
      </c>
      <c r="AN536" s="23">
        <v>0</v>
      </c>
      <c r="AO536" s="23">
        <v>0</v>
      </c>
      <c r="AP536" s="23">
        <v>0</v>
      </c>
      <c r="AQ536" s="23">
        <v>0</v>
      </c>
      <c r="AR536" s="35">
        <v>0</v>
      </c>
      <c r="AS536" s="35">
        <v>0</v>
      </c>
      <c r="AT536" s="35">
        <v>6</v>
      </c>
      <c r="AU536" s="31" t="str">
        <f t="shared" si="11"/>
        <v>库存为6</v>
      </c>
      <c r="AV536" s="36" t="str">
        <f>IFERROR($A$2+AU536,"上周无销量")</f>
        <v>上周无销量</v>
      </c>
    </row>
    <row r="537" spans="1:48">
      <c r="A537" s="21" t="s">
        <v>1142</v>
      </c>
      <c r="B537" t="s">
        <v>1143</v>
      </c>
      <c r="C537" t="s">
        <v>1139</v>
      </c>
      <c r="D537" s="31">
        <v>0</v>
      </c>
      <c r="E537" s="31">
        <v>1</v>
      </c>
      <c r="F537" s="31">
        <v>0</v>
      </c>
      <c r="G537" s="31">
        <v>0</v>
      </c>
      <c r="H537" s="32">
        <v>10</v>
      </c>
      <c r="I537">
        <v>1</v>
      </c>
      <c r="J537" s="33">
        <v>0</v>
      </c>
      <c r="K537" s="33">
        <v>0</v>
      </c>
      <c r="L537" s="33">
        <v>1</v>
      </c>
      <c r="M537">
        <v>2</v>
      </c>
      <c r="N537">
        <v>0</v>
      </c>
      <c r="O537">
        <v>2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15</v>
      </c>
      <c r="AK537">
        <v>10</v>
      </c>
      <c r="AL537">
        <v>3</v>
      </c>
      <c r="AM537">
        <v>4</v>
      </c>
      <c r="AN537" s="23">
        <v>0</v>
      </c>
      <c r="AO537" s="23">
        <v>0.1</v>
      </c>
      <c r="AP537" s="23">
        <v>0</v>
      </c>
      <c r="AQ537" s="23">
        <v>0</v>
      </c>
      <c r="AR537" s="35">
        <v>0</v>
      </c>
      <c r="AS537" s="35">
        <v>0</v>
      </c>
      <c r="AT537" s="35">
        <v>2</v>
      </c>
      <c r="AU537" s="31" t="str">
        <f t="shared" si="11"/>
        <v>库存为2</v>
      </c>
      <c r="AV537" s="36" t="str">
        <f>IFERROR($A$2+AU537,"上周无销量")</f>
        <v>上周无销量</v>
      </c>
    </row>
    <row r="538" spans="1:48">
      <c r="A538" s="21" t="s">
        <v>1144</v>
      </c>
      <c r="B538" t="s">
        <v>1145</v>
      </c>
      <c r="C538" t="s">
        <v>1139</v>
      </c>
      <c r="D538" s="31">
        <v>1</v>
      </c>
      <c r="E538" s="31">
        <v>0</v>
      </c>
      <c r="F538" s="31">
        <v>0</v>
      </c>
      <c r="G538" s="31">
        <v>0</v>
      </c>
      <c r="H538" s="32">
        <v>10</v>
      </c>
      <c r="I538">
        <v>9</v>
      </c>
      <c r="J538" s="33">
        <v>0</v>
      </c>
      <c r="K538" s="33">
        <v>0</v>
      </c>
      <c r="L538" s="33">
        <v>0</v>
      </c>
      <c r="M538">
        <v>9</v>
      </c>
      <c r="N538">
        <v>0</v>
      </c>
      <c r="O538">
        <v>9</v>
      </c>
      <c r="P538">
        <v>155</v>
      </c>
      <c r="Q538">
        <v>960</v>
      </c>
      <c r="R538">
        <v>1849</v>
      </c>
      <c r="S538">
        <v>488</v>
      </c>
      <c r="T538">
        <v>0</v>
      </c>
      <c r="U538">
        <v>3</v>
      </c>
      <c r="V538">
        <v>2</v>
      </c>
      <c r="W538">
        <v>3</v>
      </c>
      <c r="X538" s="23">
        <v>0</v>
      </c>
      <c r="Y538" s="23">
        <v>0.003125</v>
      </c>
      <c r="Z538" s="23">
        <v>0.00108166576527853</v>
      </c>
      <c r="AA538" s="23">
        <v>0.00614754098360656</v>
      </c>
      <c r="AB538">
        <v>0</v>
      </c>
      <c r="AC538">
        <v>0.89</v>
      </c>
      <c r="AD538">
        <v>0.92</v>
      </c>
      <c r="AE538">
        <v>0.64</v>
      </c>
      <c r="AF538" s="23" t="s">
        <v>54</v>
      </c>
      <c r="AG538" s="23">
        <v>0</v>
      </c>
      <c r="AH538" s="23">
        <v>0</v>
      </c>
      <c r="AI538" s="23">
        <v>0</v>
      </c>
      <c r="AJ538">
        <v>6</v>
      </c>
      <c r="AK538">
        <v>15</v>
      </c>
      <c r="AL538">
        <v>5</v>
      </c>
      <c r="AM538">
        <v>0</v>
      </c>
      <c r="AN538" s="23">
        <v>0.166666666666667</v>
      </c>
      <c r="AO538" s="23">
        <v>0</v>
      </c>
      <c r="AP538" s="23">
        <v>0</v>
      </c>
      <c r="AQ538" s="23" t="s">
        <v>54</v>
      </c>
      <c r="AR538" s="35">
        <v>0.142857142857143</v>
      </c>
      <c r="AS538" s="35">
        <v>8.57142857142857</v>
      </c>
      <c r="AT538" s="35">
        <v>0.428571428571429</v>
      </c>
      <c r="AU538" s="31">
        <f t="shared" si="11"/>
        <v>63</v>
      </c>
      <c r="AV538" s="36">
        <f>IFERROR($A$2+AU538,"上周无销量")</f>
        <v>43367</v>
      </c>
    </row>
    <row r="539" spans="1:48">
      <c r="A539" s="21" t="s">
        <v>1146</v>
      </c>
      <c r="B539" t="s">
        <v>1147</v>
      </c>
      <c r="C539" t="s">
        <v>1139</v>
      </c>
      <c r="D539" s="31">
        <v>1</v>
      </c>
      <c r="E539" s="31">
        <v>2</v>
      </c>
      <c r="F539" s="31">
        <v>0</v>
      </c>
      <c r="G539" s="31">
        <v>0</v>
      </c>
      <c r="H539" s="32">
        <v>10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>
        <v>298</v>
      </c>
      <c r="Q539">
        <v>2246</v>
      </c>
      <c r="R539">
        <v>0</v>
      </c>
      <c r="S539">
        <v>0</v>
      </c>
      <c r="T539">
        <v>1</v>
      </c>
      <c r="U539">
        <v>18</v>
      </c>
      <c r="V539">
        <v>0</v>
      </c>
      <c r="W539">
        <v>0</v>
      </c>
      <c r="X539" s="23">
        <v>0.00335570469798658</v>
      </c>
      <c r="Y539" s="23">
        <v>0.00801424755120214</v>
      </c>
      <c r="Z539" s="23" t="s">
        <v>54</v>
      </c>
      <c r="AA539" s="23" t="s">
        <v>54</v>
      </c>
      <c r="AB539">
        <v>0.6</v>
      </c>
      <c r="AC539">
        <v>11.76</v>
      </c>
      <c r="AD539">
        <v>0</v>
      </c>
      <c r="AE539">
        <v>0</v>
      </c>
      <c r="AF539" s="23">
        <v>0.06</v>
      </c>
      <c r="AG539" s="23">
        <v>0.588</v>
      </c>
      <c r="AH539" s="23" t="s">
        <v>54</v>
      </c>
      <c r="AI539" s="23" t="s">
        <v>54</v>
      </c>
      <c r="AJ539">
        <v>4</v>
      </c>
      <c r="AK539">
        <v>23</v>
      </c>
      <c r="AL539">
        <v>5</v>
      </c>
      <c r="AM539">
        <v>1</v>
      </c>
      <c r="AN539" s="23">
        <v>0.25</v>
      </c>
      <c r="AO539" s="23">
        <v>0.0869565217391304</v>
      </c>
      <c r="AP539" s="23">
        <v>0</v>
      </c>
      <c r="AQ539" s="23">
        <v>0</v>
      </c>
      <c r="AR539" s="35">
        <v>0.142857142857143</v>
      </c>
      <c r="AS539" s="35">
        <v>8.57142857142857</v>
      </c>
      <c r="AT539" s="35">
        <v>-8.57142857142857</v>
      </c>
      <c r="AU539" s="31">
        <f t="shared" si="11"/>
        <v>0</v>
      </c>
      <c r="AV539" s="36">
        <f>IFERROR($A$2+AU539,"上周无销量")</f>
        <v>43304</v>
      </c>
    </row>
    <row r="540" spans="1:48">
      <c r="A540" s="21" t="s">
        <v>1148</v>
      </c>
      <c r="B540" t="s">
        <v>1149</v>
      </c>
      <c r="C540" t="s">
        <v>1139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1</v>
      </c>
      <c r="J540" s="33">
        <v>0</v>
      </c>
      <c r="K540" s="33">
        <v>0</v>
      </c>
      <c r="L540" s="33">
        <v>0</v>
      </c>
      <c r="M540">
        <v>1</v>
      </c>
      <c r="N540">
        <v>0</v>
      </c>
      <c r="O540">
        <v>1</v>
      </c>
      <c r="P540">
        <v>4890</v>
      </c>
      <c r="Q540">
        <v>6755</v>
      </c>
      <c r="R540">
        <v>0</v>
      </c>
      <c r="S540">
        <v>0</v>
      </c>
      <c r="T540">
        <v>19</v>
      </c>
      <c r="U540">
        <v>22</v>
      </c>
      <c r="V540">
        <v>0</v>
      </c>
      <c r="W540">
        <v>0</v>
      </c>
      <c r="X540" s="23">
        <v>0.00388548057259714</v>
      </c>
      <c r="Y540" s="23">
        <v>0.00325684678016284</v>
      </c>
      <c r="Z540" s="23" t="s">
        <v>54</v>
      </c>
      <c r="AA540" s="23" t="s">
        <v>54</v>
      </c>
      <c r="AB540">
        <v>12.75</v>
      </c>
      <c r="AC540">
        <v>13.82</v>
      </c>
      <c r="AD540">
        <v>0</v>
      </c>
      <c r="AE540">
        <v>0</v>
      </c>
      <c r="AF540" s="23">
        <v>0</v>
      </c>
      <c r="AG540" s="23">
        <v>0</v>
      </c>
      <c r="AH540" s="23" t="s">
        <v>54</v>
      </c>
      <c r="AI540" s="23" t="s">
        <v>54</v>
      </c>
      <c r="AJ540">
        <v>28</v>
      </c>
      <c r="AK540">
        <v>33</v>
      </c>
      <c r="AL540">
        <v>3</v>
      </c>
      <c r="AM540">
        <v>1</v>
      </c>
      <c r="AN540" s="23">
        <v>0</v>
      </c>
      <c r="AO540" s="23">
        <v>0</v>
      </c>
      <c r="AP540" s="23">
        <v>0</v>
      </c>
      <c r="AQ540" s="23">
        <v>0</v>
      </c>
      <c r="AR540" s="35">
        <v>0</v>
      </c>
      <c r="AS540" s="35">
        <v>0</v>
      </c>
      <c r="AT540" s="35">
        <v>1</v>
      </c>
      <c r="AU540" s="31" t="str">
        <f t="shared" si="11"/>
        <v>库存为1</v>
      </c>
      <c r="AV540" s="36" t="str">
        <f>IFERROR($A$2+AU540,"上周无销量")</f>
        <v>上周无销量</v>
      </c>
    </row>
    <row r="541" spans="1:48">
      <c r="A541" s="21" t="s">
        <v>1150</v>
      </c>
      <c r="B541" t="s">
        <v>1151</v>
      </c>
      <c r="C541" t="s">
        <v>1139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6</v>
      </c>
      <c r="J541" s="33">
        <v>0</v>
      </c>
      <c r="K541" s="33">
        <v>0</v>
      </c>
      <c r="L541" s="33">
        <v>0</v>
      </c>
      <c r="M541">
        <v>6</v>
      </c>
      <c r="N541">
        <v>0</v>
      </c>
      <c r="O541">
        <v>6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9</v>
      </c>
      <c r="AK541">
        <v>6</v>
      </c>
      <c r="AL541">
        <v>2</v>
      </c>
      <c r="AM541">
        <v>3</v>
      </c>
      <c r="AN541" s="23">
        <v>0</v>
      </c>
      <c r="AO541" s="23">
        <v>0</v>
      </c>
      <c r="AP541" s="23">
        <v>0</v>
      </c>
      <c r="AQ541" s="23">
        <v>0</v>
      </c>
      <c r="AR541" s="35">
        <v>0</v>
      </c>
      <c r="AS541" s="35">
        <v>0</v>
      </c>
      <c r="AT541" s="35">
        <v>6</v>
      </c>
      <c r="AU541" s="31" t="str">
        <f t="shared" si="11"/>
        <v>库存为6</v>
      </c>
      <c r="AV541" s="36" t="str">
        <f>IFERROR($A$2+AU541,"上周无销量")</f>
        <v>上周无销量</v>
      </c>
    </row>
    <row r="542" spans="1:48">
      <c r="A542" s="21" t="s">
        <v>1152</v>
      </c>
      <c r="B542" t="s">
        <v>1153</v>
      </c>
      <c r="C542" t="s">
        <v>1139</v>
      </c>
      <c r="D542" s="31">
        <v>3</v>
      </c>
      <c r="E542" s="31">
        <v>0</v>
      </c>
      <c r="F542" s="31">
        <v>0</v>
      </c>
      <c r="G542" s="31">
        <v>0</v>
      </c>
      <c r="H542" s="32">
        <v>10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5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28</v>
      </c>
      <c r="AK542">
        <v>10</v>
      </c>
      <c r="AL542">
        <v>3</v>
      </c>
      <c r="AM542">
        <v>1</v>
      </c>
      <c r="AN542" s="23">
        <v>0.107142857142857</v>
      </c>
      <c r="AO542" s="23">
        <v>0</v>
      </c>
      <c r="AP542" s="23">
        <v>0</v>
      </c>
      <c r="AQ542" s="23">
        <v>0</v>
      </c>
      <c r="AR542" s="35">
        <v>0.428571428571429</v>
      </c>
      <c r="AS542" s="35">
        <v>25.7142857142857</v>
      </c>
      <c r="AT542" s="35">
        <v>-22.7142857142857</v>
      </c>
      <c r="AU542" s="31">
        <f t="shared" si="11"/>
        <v>7</v>
      </c>
      <c r="AV542" s="36">
        <f>IFERROR($A$2+AU542,"上周无销量")</f>
        <v>43311</v>
      </c>
    </row>
    <row r="543" spans="1:48">
      <c r="A543" s="21" t="s">
        <v>1154</v>
      </c>
      <c r="B543" t="s">
        <v>1155</v>
      </c>
      <c r="C543" t="s">
        <v>1139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3</v>
      </c>
      <c r="J543" s="33">
        <v>0</v>
      </c>
      <c r="K543" s="33">
        <v>0</v>
      </c>
      <c r="L543" s="33">
        <v>0</v>
      </c>
      <c r="M543">
        <v>3</v>
      </c>
      <c r="N543">
        <v>0</v>
      </c>
      <c r="O543">
        <v>3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8</v>
      </c>
      <c r="AK543">
        <v>11</v>
      </c>
      <c r="AL543">
        <v>4</v>
      </c>
      <c r="AM543">
        <v>4</v>
      </c>
      <c r="AN543" s="23">
        <v>0</v>
      </c>
      <c r="AO543" s="23">
        <v>0</v>
      </c>
      <c r="AP543" s="23">
        <v>0</v>
      </c>
      <c r="AQ543" s="23">
        <v>0</v>
      </c>
      <c r="AR543" s="35">
        <v>0</v>
      </c>
      <c r="AS543" s="35">
        <v>0</v>
      </c>
      <c r="AT543" s="35">
        <v>3</v>
      </c>
      <c r="AU543" s="31" t="str">
        <f t="shared" si="11"/>
        <v>库存为3</v>
      </c>
      <c r="AV543" s="36" t="str">
        <f>IFERROR($A$2+AU543,"上周无销量")</f>
        <v>上周无销量</v>
      </c>
    </row>
    <row r="544" spans="1:48">
      <c r="A544" s="21" t="s">
        <v>1156</v>
      </c>
      <c r="B544" t="s">
        <v>1157</v>
      </c>
      <c r="C544" t="s">
        <v>1139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5</v>
      </c>
      <c r="J544" s="33">
        <v>0</v>
      </c>
      <c r="K544" s="33">
        <v>0</v>
      </c>
      <c r="L544" s="33">
        <v>0</v>
      </c>
      <c r="M544">
        <v>5</v>
      </c>
      <c r="N544">
        <v>0</v>
      </c>
      <c r="O544">
        <v>4</v>
      </c>
      <c r="P544">
        <v>50</v>
      </c>
      <c r="Q544">
        <v>305</v>
      </c>
      <c r="R544">
        <v>688</v>
      </c>
      <c r="S544">
        <v>552</v>
      </c>
      <c r="T544">
        <v>0</v>
      </c>
      <c r="U544">
        <v>2</v>
      </c>
      <c r="V544">
        <v>3</v>
      </c>
      <c r="W544">
        <v>1</v>
      </c>
      <c r="X544" s="23">
        <v>0</v>
      </c>
      <c r="Y544" s="23">
        <v>0.00655737704918033</v>
      </c>
      <c r="Z544" s="23">
        <v>0.00436046511627907</v>
      </c>
      <c r="AA544" s="23">
        <v>0.00181159420289855</v>
      </c>
      <c r="AB544">
        <v>0</v>
      </c>
      <c r="AC544">
        <v>0.71</v>
      </c>
      <c r="AD544">
        <v>0.83</v>
      </c>
      <c r="AE544">
        <v>0.24</v>
      </c>
      <c r="AF544" s="23" t="s">
        <v>54</v>
      </c>
      <c r="AG544" s="23">
        <v>0</v>
      </c>
      <c r="AH544" s="23">
        <v>0</v>
      </c>
      <c r="AI544" s="23">
        <v>0</v>
      </c>
      <c r="AJ544">
        <v>17</v>
      </c>
      <c r="AK544">
        <v>24</v>
      </c>
      <c r="AL544">
        <v>3</v>
      </c>
      <c r="AM544">
        <v>2</v>
      </c>
      <c r="AN544" s="23">
        <v>0</v>
      </c>
      <c r="AO544" s="23">
        <v>0</v>
      </c>
      <c r="AP544" s="23">
        <v>0</v>
      </c>
      <c r="AQ544" s="23">
        <v>0</v>
      </c>
      <c r="AR544" s="35">
        <v>0</v>
      </c>
      <c r="AS544" s="35">
        <v>0</v>
      </c>
      <c r="AT544" s="35">
        <v>5</v>
      </c>
      <c r="AU544" s="31" t="str">
        <f t="shared" si="11"/>
        <v>库存为5</v>
      </c>
      <c r="AV544" s="36" t="str">
        <f>IFERROR($A$2+AU544,"上周无销量")</f>
        <v>上周无销量</v>
      </c>
    </row>
    <row r="545" spans="1:48">
      <c r="A545" s="21" t="s">
        <v>1158</v>
      </c>
      <c r="B545" t="s">
        <v>1159</v>
      </c>
      <c r="C545" t="s">
        <v>1139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6</v>
      </c>
      <c r="J545" s="33">
        <v>0</v>
      </c>
      <c r="K545" s="33">
        <v>0</v>
      </c>
      <c r="L545" s="33">
        <v>0</v>
      </c>
      <c r="M545">
        <v>6</v>
      </c>
      <c r="N545">
        <v>0</v>
      </c>
      <c r="O545">
        <v>5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9</v>
      </c>
      <c r="AK545">
        <v>10</v>
      </c>
      <c r="AL545">
        <v>1</v>
      </c>
      <c r="AM545">
        <v>3</v>
      </c>
      <c r="AN545" s="23">
        <v>0</v>
      </c>
      <c r="AO545" s="23">
        <v>0</v>
      </c>
      <c r="AP545" s="23">
        <v>0</v>
      </c>
      <c r="AQ545" s="23">
        <v>0</v>
      </c>
      <c r="AR545" s="35">
        <v>0</v>
      </c>
      <c r="AS545" s="35">
        <v>0</v>
      </c>
      <c r="AT545" s="35">
        <v>6</v>
      </c>
      <c r="AU545" s="31" t="str">
        <f t="shared" si="11"/>
        <v>库存为6</v>
      </c>
      <c r="AV545" s="36" t="str">
        <f>IFERROR($A$2+AU545,"上周无销量")</f>
        <v>上周无销量</v>
      </c>
    </row>
    <row r="546" spans="1:48">
      <c r="A546" s="21" t="s">
        <v>1160</v>
      </c>
      <c r="B546" t="s">
        <v>1161</v>
      </c>
      <c r="C546" t="s">
        <v>1139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6</v>
      </c>
      <c r="J546" s="33">
        <v>0</v>
      </c>
      <c r="K546" s="33">
        <v>0</v>
      </c>
      <c r="L546" s="33">
        <v>0</v>
      </c>
      <c r="M546">
        <v>6</v>
      </c>
      <c r="N546">
        <v>0</v>
      </c>
      <c r="O546">
        <v>6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9</v>
      </c>
      <c r="AK546">
        <v>10</v>
      </c>
      <c r="AL546">
        <v>4</v>
      </c>
      <c r="AM546">
        <v>2</v>
      </c>
      <c r="AN546" s="23">
        <v>0</v>
      </c>
      <c r="AO546" s="23">
        <v>0</v>
      </c>
      <c r="AP546" s="23">
        <v>0</v>
      </c>
      <c r="AQ546" s="23">
        <v>0</v>
      </c>
      <c r="AR546" s="35">
        <v>0</v>
      </c>
      <c r="AS546" s="35">
        <v>0</v>
      </c>
      <c r="AT546" s="35">
        <v>6</v>
      </c>
      <c r="AU546" s="31" t="str">
        <f t="shared" si="11"/>
        <v>库存为6</v>
      </c>
      <c r="AV546" s="36" t="str">
        <f>IFERROR($A$2+AU546,"上周无销量")</f>
        <v>上周无销量</v>
      </c>
    </row>
    <row r="547" spans="1:48">
      <c r="A547" s="21" t="s">
        <v>1162</v>
      </c>
      <c r="B547" t="s">
        <v>1163</v>
      </c>
      <c r="C547" t="s">
        <v>1139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6</v>
      </c>
      <c r="J547" s="33">
        <v>0</v>
      </c>
      <c r="K547" s="33">
        <v>0</v>
      </c>
      <c r="L547" s="33">
        <v>0</v>
      </c>
      <c r="M547">
        <v>6</v>
      </c>
      <c r="N547">
        <v>0</v>
      </c>
      <c r="O547">
        <v>6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11</v>
      </c>
      <c r="AK547">
        <v>7</v>
      </c>
      <c r="AL547">
        <v>1</v>
      </c>
      <c r="AM547">
        <v>2</v>
      </c>
      <c r="AN547" s="23">
        <v>0</v>
      </c>
      <c r="AO547" s="23">
        <v>0</v>
      </c>
      <c r="AP547" s="23">
        <v>0</v>
      </c>
      <c r="AQ547" s="23">
        <v>0</v>
      </c>
      <c r="AR547" s="35">
        <v>0</v>
      </c>
      <c r="AS547" s="35">
        <v>0</v>
      </c>
      <c r="AT547" s="35">
        <v>6</v>
      </c>
      <c r="AU547" s="31" t="str">
        <f t="shared" si="11"/>
        <v>库存为6</v>
      </c>
      <c r="AV547" s="36" t="str">
        <f>IFERROR($A$2+AU547,"上周无销量")</f>
        <v>上周无销量</v>
      </c>
    </row>
    <row r="548" spans="1:48">
      <c r="A548" s="21" t="s">
        <v>1164</v>
      </c>
      <c r="B548" t="s">
        <v>1165</v>
      </c>
      <c r="C548" t="s">
        <v>1139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6</v>
      </c>
      <c r="J548" s="33">
        <v>0</v>
      </c>
      <c r="K548" s="33">
        <v>0</v>
      </c>
      <c r="L548" s="33">
        <v>0</v>
      </c>
      <c r="M548">
        <v>6</v>
      </c>
      <c r="N548">
        <v>0</v>
      </c>
      <c r="O548">
        <v>6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9</v>
      </c>
      <c r="AK548">
        <v>12</v>
      </c>
      <c r="AL548">
        <v>3</v>
      </c>
      <c r="AM548">
        <v>2</v>
      </c>
      <c r="AN548" s="23">
        <v>0</v>
      </c>
      <c r="AO548" s="23">
        <v>0</v>
      </c>
      <c r="AP548" s="23">
        <v>0</v>
      </c>
      <c r="AQ548" s="23">
        <v>0</v>
      </c>
      <c r="AR548" s="35">
        <v>0</v>
      </c>
      <c r="AS548" s="35">
        <v>0</v>
      </c>
      <c r="AT548" s="35">
        <v>6</v>
      </c>
      <c r="AU548" s="31" t="str">
        <f t="shared" si="11"/>
        <v>库存为6</v>
      </c>
      <c r="AV548" s="36" t="str">
        <f>IFERROR($A$2+AU548,"上周无销量")</f>
        <v>上周无销量</v>
      </c>
    </row>
    <row r="549" spans="1:48">
      <c r="A549" s="21" t="s">
        <v>1166</v>
      </c>
      <c r="B549" t="s">
        <v>1167</v>
      </c>
      <c r="C549" t="s">
        <v>1139</v>
      </c>
      <c r="D549" s="31">
        <v>0</v>
      </c>
      <c r="E549" s="31">
        <v>1</v>
      </c>
      <c r="F549" s="31">
        <v>0</v>
      </c>
      <c r="G549" s="31">
        <v>0</v>
      </c>
      <c r="H549" s="32">
        <v>10</v>
      </c>
      <c r="I549">
        <v>4</v>
      </c>
      <c r="J549" s="33">
        <v>0</v>
      </c>
      <c r="K549" s="33">
        <v>0</v>
      </c>
      <c r="L549" s="33">
        <v>0</v>
      </c>
      <c r="M549">
        <v>4</v>
      </c>
      <c r="N549">
        <v>0</v>
      </c>
      <c r="O549">
        <v>4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10</v>
      </c>
      <c r="AK549">
        <v>15</v>
      </c>
      <c r="AL549">
        <v>5</v>
      </c>
      <c r="AM549">
        <v>3</v>
      </c>
      <c r="AN549" s="23">
        <v>0</v>
      </c>
      <c r="AO549" s="23">
        <v>0.0666666666666667</v>
      </c>
      <c r="AP549" s="23">
        <v>0</v>
      </c>
      <c r="AQ549" s="23">
        <v>0</v>
      </c>
      <c r="AR549" s="35">
        <v>0</v>
      </c>
      <c r="AS549" s="35">
        <v>0</v>
      </c>
      <c r="AT549" s="35">
        <v>4</v>
      </c>
      <c r="AU549" s="31" t="str">
        <f t="shared" si="11"/>
        <v>库存为4</v>
      </c>
      <c r="AV549" s="36" t="str">
        <f>IFERROR($A$2+AU549,"上周无销量")</f>
        <v>上周无销量</v>
      </c>
    </row>
    <row r="550" spans="1:48">
      <c r="A550" s="21" t="s">
        <v>1168</v>
      </c>
      <c r="B550" t="s">
        <v>1169</v>
      </c>
      <c r="C550" t="s">
        <v>1139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7</v>
      </c>
      <c r="J550" s="33">
        <v>0</v>
      </c>
      <c r="K550" s="33">
        <v>0</v>
      </c>
      <c r="L550" s="33">
        <v>0</v>
      </c>
      <c r="M550">
        <v>7</v>
      </c>
      <c r="N550">
        <v>0</v>
      </c>
      <c r="O550">
        <v>7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8</v>
      </c>
      <c r="AK550">
        <v>9</v>
      </c>
      <c r="AL550">
        <v>2</v>
      </c>
      <c r="AM550">
        <v>2</v>
      </c>
      <c r="AN550" s="23">
        <v>0</v>
      </c>
      <c r="AO550" s="23">
        <v>0</v>
      </c>
      <c r="AP550" s="23">
        <v>0</v>
      </c>
      <c r="AQ550" s="23">
        <v>0</v>
      </c>
      <c r="AR550" s="35">
        <v>0</v>
      </c>
      <c r="AS550" s="35">
        <v>0</v>
      </c>
      <c r="AT550" s="35">
        <v>7</v>
      </c>
      <c r="AU550" s="31" t="str">
        <f t="shared" si="11"/>
        <v>库存为7</v>
      </c>
      <c r="AV550" s="36" t="str">
        <f>IFERROR($A$2+AU550,"上周无销量")</f>
        <v>上周无销量</v>
      </c>
    </row>
    <row r="551" spans="1:48">
      <c r="A551" s="21" t="s">
        <v>1170</v>
      </c>
      <c r="B551" t="s">
        <v>1171</v>
      </c>
      <c r="C551" t="s">
        <v>1139</v>
      </c>
      <c r="D551" s="31">
        <v>0</v>
      </c>
      <c r="E551" s="31">
        <v>1</v>
      </c>
      <c r="F551" s="31">
        <v>0</v>
      </c>
      <c r="G551" s="31">
        <v>0</v>
      </c>
      <c r="H551" s="32">
        <v>10</v>
      </c>
      <c r="I551">
        <v>6</v>
      </c>
      <c r="J551" s="33">
        <v>0</v>
      </c>
      <c r="K551" s="33">
        <v>0</v>
      </c>
      <c r="L551" s="33">
        <v>0</v>
      </c>
      <c r="M551">
        <v>6</v>
      </c>
      <c r="N551">
        <v>0</v>
      </c>
      <c r="O551">
        <v>6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9</v>
      </c>
      <c r="AK551">
        <v>9</v>
      </c>
      <c r="AL551">
        <v>1</v>
      </c>
      <c r="AM551">
        <v>2</v>
      </c>
      <c r="AN551" s="23">
        <v>0</v>
      </c>
      <c r="AO551" s="23">
        <v>0.111111111111111</v>
      </c>
      <c r="AP551" s="23">
        <v>0</v>
      </c>
      <c r="AQ551" s="23">
        <v>0</v>
      </c>
      <c r="AR551" s="35">
        <v>0</v>
      </c>
      <c r="AS551" s="35">
        <v>0</v>
      </c>
      <c r="AT551" s="35">
        <v>6</v>
      </c>
      <c r="AU551" s="31" t="str">
        <f t="shared" si="11"/>
        <v>库存为6</v>
      </c>
      <c r="AV551" s="36" t="str">
        <f>IFERROR($A$2+AU551,"上周无销量")</f>
        <v>上周无销量</v>
      </c>
    </row>
    <row r="552" spans="1:48">
      <c r="A552" s="21" t="s">
        <v>1172</v>
      </c>
      <c r="B552" t="s">
        <v>1173</v>
      </c>
      <c r="C552" t="s">
        <v>1139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7</v>
      </c>
      <c r="J552" s="33">
        <v>0</v>
      </c>
      <c r="K552" s="33">
        <v>0</v>
      </c>
      <c r="L552" s="33">
        <v>0</v>
      </c>
      <c r="M552">
        <v>7</v>
      </c>
      <c r="N552">
        <v>0</v>
      </c>
      <c r="O552">
        <v>7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8</v>
      </c>
      <c r="AK552">
        <v>10</v>
      </c>
      <c r="AL552">
        <v>3</v>
      </c>
      <c r="AM552">
        <v>4</v>
      </c>
      <c r="AN552" s="23">
        <v>0</v>
      </c>
      <c r="AO552" s="23">
        <v>0</v>
      </c>
      <c r="AP552" s="23">
        <v>0</v>
      </c>
      <c r="AQ552" s="23">
        <v>0</v>
      </c>
      <c r="AR552" s="35">
        <v>0</v>
      </c>
      <c r="AS552" s="35">
        <v>0</v>
      </c>
      <c r="AT552" s="35">
        <v>7</v>
      </c>
      <c r="AU552" s="31" t="str">
        <f t="shared" si="11"/>
        <v>库存为7</v>
      </c>
      <c r="AV552" s="36" t="str">
        <f>IFERROR($A$2+AU552,"上周无销量")</f>
        <v>上周无销量</v>
      </c>
    </row>
    <row r="553" spans="1:48">
      <c r="A553" s="21" t="s">
        <v>1174</v>
      </c>
      <c r="B553" t="s">
        <v>1175</v>
      </c>
      <c r="C553" t="s">
        <v>1139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6</v>
      </c>
      <c r="J553" s="33">
        <v>0</v>
      </c>
      <c r="K553" s="33">
        <v>0</v>
      </c>
      <c r="L553" s="33">
        <v>0</v>
      </c>
      <c r="M553">
        <v>6</v>
      </c>
      <c r="N553">
        <v>0</v>
      </c>
      <c r="O553">
        <v>6</v>
      </c>
      <c r="P553">
        <v>117</v>
      </c>
      <c r="Q553">
        <v>582</v>
      </c>
      <c r="R553">
        <v>381</v>
      </c>
      <c r="S553">
        <v>356</v>
      </c>
      <c r="T553">
        <v>1</v>
      </c>
      <c r="U553">
        <v>0</v>
      </c>
      <c r="V553">
        <v>0</v>
      </c>
      <c r="W553">
        <v>3</v>
      </c>
      <c r="X553" s="23">
        <v>0.00854700854700855</v>
      </c>
      <c r="Y553" s="23">
        <v>0</v>
      </c>
      <c r="Z553" s="23">
        <v>0</v>
      </c>
      <c r="AA553" s="23">
        <v>0.00842696629213483</v>
      </c>
      <c r="AB553">
        <v>0.06</v>
      </c>
      <c r="AC553">
        <v>0</v>
      </c>
      <c r="AD553">
        <v>0</v>
      </c>
      <c r="AE553">
        <v>1.14</v>
      </c>
      <c r="AF553" s="23">
        <v>0</v>
      </c>
      <c r="AG553" s="23" t="s">
        <v>54</v>
      </c>
      <c r="AH553" s="23" t="s">
        <v>54</v>
      </c>
      <c r="AI553" s="23">
        <v>0</v>
      </c>
      <c r="AJ553">
        <v>14</v>
      </c>
      <c r="AK553">
        <v>13</v>
      </c>
      <c r="AL553">
        <v>1</v>
      </c>
      <c r="AM553">
        <v>2</v>
      </c>
      <c r="AN553" s="23">
        <v>0</v>
      </c>
      <c r="AO553" s="23">
        <v>0</v>
      </c>
      <c r="AP553" s="23">
        <v>0</v>
      </c>
      <c r="AQ553" s="23">
        <v>0</v>
      </c>
      <c r="AR553" s="35">
        <v>0</v>
      </c>
      <c r="AS553" s="35">
        <v>0</v>
      </c>
      <c r="AT553" s="35">
        <v>6</v>
      </c>
      <c r="AU553" s="31" t="str">
        <f t="shared" si="11"/>
        <v>库存为6</v>
      </c>
      <c r="AV553" s="36" t="str">
        <f>IFERROR($A$2+AU553,"上周无销量")</f>
        <v>上周无销量</v>
      </c>
    </row>
    <row r="554" spans="1:48">
      <c r="A554" s="21" t="s">
        <v>1176</v>
      </c>
      <c r="B554" t="s">
        <v>1177</v>
      </c>
      <c r="C554" t="s">
        <v>1139</v>
      </c>
      <c r="D554" s="31">
        <v>1</v>
      </c>
      <c r="E554" s="31">
        <v>0</v>
      </c>
      <c r="F554" s="31">
        <v>0</v>
      </c>
      <c r="G554" s="31">
        <v>0</v>
      </c>
      <c r="H554" s="32">
        <v>10</v>
      </c>
      <c r="I554">
        <v>6</v>
      </c>
      <c r="J554" s="33">
        <v>0</v>
      </c>
      <c r="K554" s="33">
        <v>0</v>
      </c>
      <c r="L554" s="33">
        <v>0</v>
      </c>
      <c r="M554">
        <v>6</v>
      </c>
      <c r="N554">
        <v>0</v>
      </c>
      <c r="O554">
        <v>6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16</v>
      </c>
      <c r="AK554">
        <v>14</v>
      </c>
      <c r="AL554">
        <v>2</v>
      </c>
      <c r="AM554">
        <v>1</v>
      </c>
      <c r="AN554" s="23">
        <v>0.0625</v>
      </c>
      <c r="AO554" s="23">
        <v>0</v>
      </c>
      <c r="AP554" s="23">
        <v>0</v>
      </c>
      <c r="AQ554" s="23">
        <v>0</v>
      </c>
      <c r="AR554" s="35">
        <v>0.142857142857143</v>
      </c>
      <c r="AS554" s="35">
        <v>8.57142857142857</v>
      </c>
      <c r="AT554" s="35">
        <v>-2.57142857142857</v>
      </c>
      <c r="AU554" s="31">
        <f t="shared" si="11"/>
        <v>42</v>
      </c>
      <c r="AV554" s="36">
        <f>IFERROR($A$2+AU554,"上周无销量")</f>
        <v>43346</v>
      </c>
    </row>
    <row r="555" spans="1:48">
      <c r="A555" s="21" t="s">
        <v>1178</v>
      </c>
      <c r="B555" t="s">
        <v>1179</v>
      </c>
      <c r="C555" t="s">
        <v>1139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7</v>
      </c>
      <c r="J555" s="33">
        <v>0</v>
      </c>
      <c r="K555" s="33">
        <v>0</v>
      </c>
      <c r="L555" s="33">
        <v>0</v>
      </c>
      <c r="M555">
        <v>7</v>
      </c>
      <c r="N555">
        <v>0</v>
      </c>
      <c r="O555">
        <v>7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5</v>
      </c>
      <c r="AK555">
        <v>14</v>
      </c>
      <c r="AL555">
        <v>2</v>
      </c>
      <c r="AM555">
        <v>2</v>
      </c>
      <c r="AN555" s="23">
        <v>0</v>
      </c>
      <c r="AO555" s="23">
        <v>0</v>
      </c>
      <c r="AP555" s="23">
        <v>0</v>
      </c>
      <c r="AQ555" s="23">
        <v>0</v>
      </c>
      <c r="AR555" s="35">
        <v>0</v>
      </c>
      <c r="AS555" s="35">
        <v>0</v>
      </c>
      <c r="AT555" s="35">
        <v>7</v>
      </c>
      <c r="AU555" s="31" t="str">
        <f t="shared" si="11"/>
        <v>库存为7</v>
      </c>
      <c r="AV555" s="36" t="str">
        <f>IFERROR($A$2+AU555,"上周无销量")</f>
        <v>上周无销量</v>
      </c>
    </row>
    <row r="556" spans="1:48">
      <c r="A556" s="21" t="s">
        <v>1180</v>
      </c>
      <c r="B556" t="s">
        <v>1181</v>
      </c>
      <c r="C556" t="s">
        <v>1182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4</v>
      </c>
      <c r="J556" s="33">
        <v>0</v>
      </c>
      <c r="K556" s="33">
        <v>0</v>
      </c>
      <c r="L556" s="33">
        <v>0</v>
      </c>
      <c r="M556">
        <v>4</v>
      </c>
      <c r="N556">
        <v>0</v>
      </c>
      <c r="O556">
        <v>4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15</v>
      </c>
      <c r="AK556">
        <v>10</v>
      </c>
      <c r="AL556">
        <v>4</v>
      </c>
      <c r="AM556">
        <v>0</v>
      </c>
      <c r="AN556" s="23">
        <v>0</v>
      </c>
      <c r="AO556" s="23">
        <v>0</v>
      </c>
      <c r="AP556" s="23">
        <v>0</v>
      </c>
      <c r="AQ556" s="23" t="s">
        <v>54</v>
      </c>
      <c r="AR556" s="35">
        <v>0</v>
      </c>
      <c r="AS556" s="35">
        <v>0</v>
      </c>
      <c r="AT556" s="35">
        <v>4</v>
      </c>
      <c r="AU556" s="31" t="str">
        <f t="shared" si="11"/>
        <v>库存为4</v>
      </c>
      <c r="AV556" s="36" t="str">
        <f>IFERROR($A$2+AU556,"上周无销量")</f>
        <v>上周无销量</v>
      </c>
    </row>
    <row r="557" spans="1:48">
      <c r="A557" s="21" t="s">
        <v>1183</v>
      </c>
      <c r="B557" t="s">
        <v>1184</v>
      </c>
      <c r="C557" t="s">
        <v>1182</v>
      </c>
      <c r="D557" s="31">
        <v>1</v>
      </c>
      <c r="E557" s="31">
        <v>0</v>
      </c>
      <c r="F557" s="31">
        <v>0</v>
      </c>
      <c r="G557" s="31">
        <v>0</v>
      </c>
      <c r="H557" s="32">
        <v>7</v>
      </c>
      <c r="I557">
        <v>1</v>
      </c>
      <c r="J557" s="33">
        <v>0</v>
      </c>
      <c r="K557" s="33">
        <v>0</v>
      </c>
      <c r="L557" s="33">
        <v>0</v>
      </c>
      <c r="M557">
        <v>1</v>
      </c>
      <c r="N557">
        <v>0</v>
      </c>
      <c r="O557">
        <v>1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12</v>
      </c>
      <c r="AK557">
        <v>6</v>
      </c>
      <c r="AL557">
        <v>7</v>
      </c>
      <c r="AM557">
        <v>2</v>
      </c>
      <c r="AN557" s="23">
        <v>0.0833333333333333</v>
      </c>
      <c r="AO557" s="23">
        <v>0</v>
      </c>
      <c r="AP557" s="23">
        <v>0</v>
      </c>
      <c r="AQ557" s="23">
        <v>0</v>
      </c>
      <c r="AR557" s="35">
        <v>0.142857142857143</v>
      </c>
      <c r="AS557" s="35">
        <v>8.57142857142857</v>
      </c>
      <c r="AT557" s="35">
        <v>-7.57142857142857</v>
      </c>
      <c r="AU557" s="31">
        <f t="shared" si="11"/>
        <v>7</v>
      </c>
      <c r="AV557" s="36">
        <f>IFERROR($A$2+AU557,"上周无销量")</f>
        <v>43311</v>
      </c>
    </row>
    <row r="558" spans="1:48">
      <c r="A558" s="21" t="s">
        <v>1185</v>
      </c>
      <c r="B558" t="s">
        <v>1186</v>
      </c>
      <c r="C558" t="s">
        <v>1182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6</v>
      </c>
      <c r="AK558">
        <v>4</v>
      </c>
      <c r="AL558">
        <v>5</v>
      </c>
      <c r="AM558">
        <v>3</v>
      </c>
      <c r="AN558" s="23">
        <v>0</v>
      </c>
      <c r="AO558" s="23">
        <v>0</v>
      </c>
      <c r="AP558" s="23">
        <v>0</v>
      </c>
      <c r="AQ558" s="23">
        <v>0</v>
      </c>
      <c r="AR558" s="35">
        <v>0</v>
      </c>
      <c r="AS558" s="35">
        <v>0</v>
      </c>
      <c r="AT558" s="35">
        <v>4</v>
      </c>
      <c r="AU558" s="31" t="str">
        <f t="shared" si="11"/>
        <v>库存为4</v>
      </c>
      <c r="AV558" s="36" t="str">
        <f>IFERROR($A$2+AU558,"上周无销量")</f>
        <v>上周无销量</v>
      </c>
    </row>
    <row r="559" spans="1:48">
      <c r="A559" s="21" t="s">
        <v>1187</v>
      </c>
      <c r="B559" t="s">
        <v>1188</v>
      </c>
      <c r="C559" t="s">
        <v>1182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7</v>
      </c>
      <c r="AK559">
        <v>3</v>
      </c>
      <c r="AL559">
        <v>3</v>
      </c>
      <c r="AM559">
        <v>2</v>
      </c>
      <c r="AN559" s="23">
        <v>0</v>
      </c>
      <c r="AO559" s="23">
        <v>0</v>
      </c>
      <c r="AP559" s="23">
        <v>0</v>
      </c>
      <c r="AQ559" s="23">
        <v>0</v>
      </c>
      <c r="AR559" s="35">
        <v>0</v>
      </c>
      <c r="AS559" s="35">
        <v>0</v>
      </c>
      <c r="AT559" s="35">
        <v>4</v>
      </c>
      <c r="AU559" s="31" t="str">
        <f t="shared" si="11"/>
        <v>库存为4</v>
      </c>
      <c r="AV559" s="36" t="str">
        <f>IFERROR($A$2+AU559,"上周无销量")</f>
        <v>上周无销量</v>
      </c>
    </row>
    <row r="560" spans="1:48">
      <c r="A560" s="21" t="s">
        <v>1189</v>
      </c>
      <c r="B560" t="s">
        <v>1190</v>
      </c>
      <c r="C560" t="s">
        <v>1182</v>
      </c>
      <c r="D560" s="31">
        <v>2</v>
      </c>
      <c r="E560" s="31">
        <v>0</v>
      </c>
      <c r="F560" s="31">
        <v>0</v>
      </c>
      <c r="G560" s="31">
        <v>0</v>
      </c>
      <c r="H560" s="32">
        <v>7</v>
      </c>
      <c r="I560">
        <v>3</v>
      </c>
      <c r="J560" s="33">
        <v>0</v>
      </c>
      <c r="K560" s="33">
        <v>0</v>
      </c>
      <c r="L560" s="33">
        <v>0</v>
      </c>
      <c r="M560">
        <v>3</v>
      </c>
      <c r="N560">
        <v>0</v>
      </c>
      <c r="O560">
        <v>5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15</v>
      </c>
      <c r="AK560">
        <v>3</v>
      </c>
      <c r="AL560">
        <v>5</v>
      </c>
      <c r="AM560">
        <v>3</v>
      </c>
      <c r="AN560" s="23">
        <v>0.133333333333333</v>
      </c>
      <c r="AO560" s="23">
        <v>0</v>
      </c>
      <c r="AP560" s="23">
        <v>0</v>
      </c>
      <c r="AQ560" s="23">
        <v>0</v>
      </c>
      <c r="AR560" s="35">
        <v>0.285714285714286</v>
      </c>
      <c r="AS560" s="35">
        <v>17.1428571428571</v>
      </c>
      <c r="AT560" s="35">
        <v>-14.1428571428571</v>
      </c>
      <c r="AU560" s="31">
        <f t="shared" si="11"/>
        <v>10</v>
      </c>
      <c r="AV560" s="36">
        <f>IFERROR($A$2+AU560,"上周无销量")</f>
        <v>43314</v>
      </c>
    </row>
    <row r="561" spans="1:48">
      <c r="A561" s="21" t="s">
        <v>1191</v>
      </c>
      <c r="B561" t="s">
        <v>1192</v>
      </c>
      <c r="C561" t="s">
        <v>1182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2</v>
      </c>
      <c r="J561" s="33">
        <v>0</v>
      </c>
      <c r="K561" s="33">
        <v>0</v>
      </c>
      <c r="L561" s="33">
        <v>0</v>
      </c>
      <c r="M561">
        <v>2</v>
      </c>
      <c r="N561">
        <v>0</v>
      </c>
      <c r="O561">
        <v>6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13</v>
      </c>
      <c r="AK561">
        <v>5</v>
      </c>
      <c r="AL561">
        <v>1</v>
      </c>
      <c r="AM561">
        <v>2</v>
      </c>
      <c r="AN561" s="23">
        <v>0</v>
      </c>
      <c r="AO561" s="23">
        <v>0</v>
      </c>
      <c r="AP561" s="23">
        <v>0</v>
      </c>
      <c r="AQ561" s="23">
        <v>0</v>
      </c>
      <c r="AR561" s="35">
        <v>0</v>
      </c>
      <c r="AS561" s="35">
        <v>0</v>
      </c>
      <c r="AT561" s="35">
        <v>2</v>
      </c>
      <c r="AU561" s="31" t="str">
        <f t="shared" si="11"/>
        <v>库存为2</v>
      </c>
      <c r="AV561" s="36" t="str">
        <f>IFERROR($A$2+AU561,"上周无销量")</f>
        <v>上周无销量</v>
      </c>
    </row>
    <row r="562" spans="1:48">
      <c r="A562" s="21" t="s">
        <v>1193</v>
      </c>
      <c r="B562" t="s">
        <v>1194</v>
      </c>
      <c r="C562" t="s">
        <v>1182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7</v>
      </c>
      <c r="J562" s="33">
        <v>0</v>
      </c>
      <c r="K562" s="33">
        <v>0</v>
      </c>
      <c r="L562" s="33">
        <v>0</v>
      </c>
      <c r="M562">
        <v>7</v>
      </c>
      <c r="N562">
        <v>0</v>
      </c>
      <c r="O562">
        <v>7</v>
      </c>
      <c r="P562">
        <v>3433</v>
      </c>
      <c r="Q562">
        <v>6659</v>
      </c>
      <c r="R562">
        <v>0</v>
      </c>
      <c r="S562">
        <v>0</v>
      </c>
      <c r="T562">
        <v>7</v>
      </c>
      <c r="U562">
        <v>10</v>
      </c>
      <c r="V562">
        <v>0</v>
      </c>
      <c r="W562">
        <v>0</v>
      </c>
      <c r="X562" s="23">
        <v>0.00203903291581707</v>
      </c>
      <c r="Y562" s="23">
        <v>0.00150172698603394</v>
      </c>
      <c r="Z562" s="23" t="s">
        <v>54</v>
      </c>
      <c r="AA562" s="23" t="s">
        <v>54</v>
      </c>
      <c r="AB562">
        <v>5.54</v>
      </c>
      <c r="AC562">
        <v>5.8</v>
      </c>
      <c r="AD562">
        <v>0</v>
      </c>
      <c r="AE562">
        <v>0</v>
      </c>
      <c r="AF562" s="23">
        <v>0</v>
      </c>
      <c r="AG562" s="23">
        <v>0</v>
      </c>
      <c r="AH562" s="23" t="s">
        <v>54</v>
      </c>
      <c r="AI562" s="23" t="s">
        <v>54</v>
      </c>
      <c r="AJ562">
        <v>10</v>
      </c>
      <c r="AK562">
        <v>16</v>
      </c>
      <c r="AL562">
        <v>5</v>
      </c>
      <c r="AM562">
        <v>1</v>
      </c>
      <c r="AN562" s="23">
        <v>0</v>
      </c>
      <c r="AO562" s="23">
        <v>0</v>
      </c>
      <c r="AP562" s="23">
        <v>0</v>
      </c>
      <c r="AQ562" s="23">
        <v>0</v>
      </c>
      <c r="AR562" s="35">
        <v>0</v>
      </c>
      <c r="AS562" s="35">
        <v>0</v>
      </c>
      <c r="AT562" s="35">
        <v>7</v>
      </c>
      <c r="AU562" s="31" t="str">
        <f t="shared" si="11"/>
        <v>库存为7</v>
      </c>
      <c r="AV562" s="36" t="str">
        <f>IFERROR($A$2+AU562,"上周无销量")</f>
        <v>上周无销量</v>
      </c>
    </row>
    <row r="563" spans="1:48">
      <c r="A563" s="21" t="s">
        <v>1195</v>
      </c>
      <c r="B563" t="s">
        <v>1196</v>
      </c>
      <c r="C563" t="s">
        <v>1182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5</v>
      </c>
      <c r="J563" s="33">
        <v>0</v>
      </c>
      <c r="K563" s="33">
        <v>0</v>
      </c>
      <c r="L563" s="33">
        <v>0</v>
      </c>
      <c r="M563">
        <v>5</v>
      </c>
      <c r="N563">
        <v>0</v>
      </c>
      <c r="O563">
        <v>5</v>
      </c>
      <c r="P563">
        <v>320</v>
      </c>
      <c r="Q563">
        <v>2160</v>
      </c>
      <c r="R563">
        <v>1627</v>
      </c>
      <c r="S563">
        <v>1388</v>
      </c>
      <c r="T563">
        <v>0</v>
      </c>
      <c r="U563">
        <v>9</v>
      </c>
      <c r="V563">
        <v>5</v>
      </c>
      <c r="W563">
        <v>7</v>
      </c>
      <c r="X563" s="23">
        <v>0</v>
      </c>
      <c r="Y563" s="23">
        <v>0.00416666666666667</v>
      </c>
      <c r="Z563" s="23">
        <v>0.00307314074984634</v>
      </c>
      <c r="AA563" s="23">
        <v>0.00504322766570605</v>
      </c>
      <c r="AB563">
        <v>0</v>
      </c>
      <c r="AC563">
        <v>3.31</v>
      </c>
      <c r="AD563">
        <v>0.87</v>
      </c>
      <c r="AE563">
        <v>2.33</v>
      </c>
      <c r="AF563" s="23" t="s">
        <v>54</v>
      </c>
      <c r="AG563" s="23">
        <v>0</v>
      </c>
      <c r="AH563" s="23">
        <v>0</v>
      </c>
      <c r="AI563" s="23">
        <v>0</v>
      </c>
      <c r="AJ563">
        <v>8</v>
      </c>
      <c r="AK563">
        <v>14</v>
      </c>
      <c r="AL563">
        <v>6</v>
      </c>
      <c r="AM563">
        <v>6</v>
      </c>
      <c r="AN563" s="23">
        <v>0</v>
      </c>
      <c r="AO563" s="23">
        <v>0</v>
      </c>
      <c r="AP563" s="23">
        <v>0</v>
      </c>
      <c r="AQ563" s="23">
        <v>0</v>
      </c>
      <c r="AR563" s="35">
        <v>0</v>
      </c>
      <c r="AS563" s="35">
        <v>0</v>
      </c>
      <c r="AT563" s="35">
        <v>5</v>
      </c>
      <c r="AU563" s="31" t="str">
        <f t="shared" si="11"/>
        <v>库存为5</v>
      </c>
      <c r="AV563" s="36" t="str">
        <f>IFERROR($A$2+AU563,"上周无销量")</f>
        <v>上周无销量</v>
      </c>
    </row>
    <row r="564" spans="1:48">
      <c r="A564" s="21" t="s">
        <v>1197</v>
      </c>
      <c r="B564" t="s">
        <v>1198</v>
      </c>
      <c r="C564" t="s">
        <v>1182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7</v>
      </c>
      <c r="AK564">
        <v>4</v>
      </c>
      <c r="AL564">
        <v>5</v>
      </c>
      <c r="AM564">
        <v>2</v>
      </c>
      <c r="AN564" s="23">
        <v>0</v>
      </c>
      <c r="AO564" s="23">
        <v>0</v>
      </c>
      <c r="AP564" s="23">
        <v>0</v>
      </c>
      <c r="AQ564" s="23">
        <v>0</v>
      </c>
      <c r="AR564" s="35">
        <v>0</v>
      </c>
      <c r="AS564" s="35">
        <v>0</v>
      </c>
      <c r="AT564" s="35">
        <v>4</v>
      </c>
      <c r="AU564" s="31" t="str">
        <f t="shared" si="11"/>
        <v>库存为4</v>
      </c>
      <c r="AV564" s="36" t="str">
        <f>IFERROR($A$2+AU564,"上周无销量")</f>
        <v>上周无销量</v>
      </c>
    </row>
    <row r="565" spans="1:48">
      <c r="A565" s="21" t="s">
        <v>1199</v>
      </c>
      <c r="B565" t="s">
        <v>1200</v>
      </c>
      <c r="C565" t="s">
        <v>1182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3</v>
      </c>
      <c r="J565" s="33">
        <v>0</v>
      </c>
      <c r="K565" s="33">
        <v>0</v>
      </c>
      <c r="L565" s="33">
        <v>0</v>
      </c>
      <c r="M565">
        <v>3</v>
      </c>
      <c r="N565">
        <v>0</v>
      </c>
      <c r="O565">
        <v>3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9</v>
      </c>
      <c r="AK565">
        <v>5</v>
      </c>
      <c r="AL565">
        <v>5</v>
      </c>
      <c r="AM565">
        <v>1</v>
      </c>
      <c r="AN565" s="23">
        <v>0</v>
      </c>
      <c r="AO565" s="23">
        <v>0</v>
      </c>
      <c r="AP565" s="23">
        <v>0</v>
      </c>
      <c r="AQ565" s="23">
        <v>0</v>
      </c>
      <c r="AR565" s="35">
        <v>0</v>
      </c>
      <c r="AS565" s="35">
        <v>0</v>
      </c>
      <c r="AT565" s="35">
        <v>3</v>
      </c>
      <c r="AU565" s="31" t="str">
        <f t="shared" si="11"/>
        <v>库存为3</v>
      </c>
      <c r="AV565" s="36" t="str">
        <f>IFERROR($A$2+AU565,"上周无销量")</f>
        <v>上周无销量</v>
      </c>
    </row>
    <row r="566" spans="1:48">
      <c r="A566" s="21" t="s">
        <v>1201</v>
      </c>
      <c r="B566" t="s">
        <v>1202</v>
      </c>
      <c r="C566" t="s">
        <v>1182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7</v>
      </c>
      <c r="J566" s="33">
        <v>0</v>
      </c>
      <c r="K566" s="33">
        <v>0</v>
      </c>
      <c r="L566" s="33">
        <v>0</v>
      </c>
      <c r="M566">
        <v>7</v>
      </c>
      <c r="N566">
        <v>0</v>
      </c>
      <c r="O566">
        <v>7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9</v>
      </c>
      <c r="AK566">
        <v>7</v>
      </c>
      <c r="AL566">
        <v>4</v>
      </c>
      <c r="AM566">
        <v>0</v>
      </c>
      <c r="AN566" s="23">
        <v>0</v>
      </c>
      <c r="AO566" s="23">
        <v>0</v>
      </c>
      <c r="AP566" s="23">
        <v>0</v>
      </c>
      <c r="AQ566" s="23" t="s">
        <v>54</v>
      </c>
      <c r="AR566" s="35">
        <v>0</v>
      </c>
      <c r="AS566" s="35">
        <v>0</v>
      </c>
      <c r="AT566" s="35">
        <v>7</v>
      </c>
      <c r="AU566" s="31" t="str">
        <f t="shared" si="11"/>
        <v>库存为7</v>
      </c>
      <c r="AV566" s="36" t="str">
        <f>IFERROR($A$2+AU566,"上周无销量")</f>
        <v>上周无销量</v>
      </c>
    </row>
    <row r="567" spans="1:48">
      <c r="A567" s="21" t="s">
        <v>1203</v>
      </c>
      <c r="B567" t="s">
        <v>1204</v>
      </c>
      <c r="C567" t="s">
        <v>1182</v>
      </c>
      <c r="D567" s="31">
        <v>1</v>
      </c>
      <c r="E567" s="31">
        <v>0</v>
      </c>
      <c r="F567" s="31">
        <v>0</v>
      </c>
      <c r="G567" s="31">
        <v>0</v>
      </c>
      <c r="H567" s="32">
        <v>7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5</v>
      </c>
      <c r="AK567">
        <v>8</v>
      </c>
      <c r="AL567">
        <v>2</v>
      </c>
      <c r="AM567">
        <v>3</v>
      </c>
      <c r="AN567" s="23">
        <v>0.2</v>
      </c>
      <c r="AO567" s="23">
        <v>0</v>
      </c>
      <c r="AP567" s="23">
        <v>0</v>
      </c>
      <c r="AQ567" s="23">
        <v>0</v>
      </c>
      <c r="AR567" s="35">
        <v>0.142857142857143</v>
      </c>
      <c r="AS567" s="35">
        <v>8.57142857142857</v>
      </c>
      <c r="AT567" s="35">
        <v>-8.57142857142857</v>
      </c>
      <c r="AU567" s="31">
        <f t="shared" si="11"/>
        <v>0</v>
      </c>
      <c r="AV567" s="36">
        <f>IFERROR($A$2+AU567,"上周无销量")</f>
        <v>43304</v>
      </c>
    </row>
    <row r="568" spans="1:48">
      <c r="A568" s="21" t="s">
        <v>1205</v>
      </c>
      <c r="B568" t="s">
        <v>1206</v>
      </c>
      <c r="C568" t="s">
        <v>1182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4</v>
      </c>
      <c r="J568" s="33">
        <v>0</v>
      </c>
      <c r="K568" s="33">
        <v>0</v>
      </c>
      <c r="L568" s="33">
        <v>0</v>
      </c>
      <c r="M568">
        <v>4</v>
      </c>
      <c r="N568">
        <v>0</v>
      </c>
      <c r="O568">
        <v>4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13</v>
      </c>
      <c r="AK568">
        <v>6</v>
      </c>
      <c r="AL568">
        <v>3</v>
      </c>
      <c r="AM568">
        <v>0</v>
      </c>
      <c r="AN568" s="23">
        <v>0</v>
      </c>
      <c r="AO568" s="23">
        <v>0</v>
      </c>
      <c r="AP568" s="23">
        <v>0</v>
      </c>
      <c r="AQ568" s="23" t="s">
        <v>54</v>
      </c>
      <c r="AR568" s="35">
        <v>0</v>
      </c>
      <c r="AS568" s="35">
        <v>0</v>
      </c>
      <c r="AT568" s="35">
        <v>4</v>
      </c>
      <c r="AU568" s="31" t="str">
        <f t="shared" si="11"/>
        <v>库存为4</v>
      </c>
      <c r="AV568" s="36" t="str">
        <f>IFERROR($A$2+AU568,"上周无销量")</f>
        <v>上周无销量</v>
      </c>
    </row>
    <row r="569" spans="1:48">
      <c r="A569" s="21" t="s">
        <v>1207</v>
      </c>
      <c r="B569" t="s">
        <v>1208</v>
      </c>
      <c r="C569" t="s">
        <v>1182</v>
      </c>
      <c r="D569" s="31">
        <v>1</v>
      </c>
      <c r="E569" s="31">
        <v>0</v>
      </c>
      <c r="F569" s="31">
        <v>0</v>
      </c>
      <c r="G569" s="31">
        <v>0</v>
      </c>
      <c r="H569" s="32">
        <v>7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8</v>
      </c>
      <c r="AK569">
        <v>3</v>
      </c>
      <c r="AL569">
        <v>3</v>
      </c>
      <c r="AM569">
        <v>4</v>
      </c>
      <c r="AN569" s="23">
        <v>0.125</v>
      </c>
      <c r="AO569" s="23">
        <v>0</v>
      </c>
      <c r="AP569" s="23">
        <v>0</v>
      </c>
      <c r="AQ569" s="23">
        <v>0</v>
      </c>
      <c r="AR569" s="35">
        <v>0.142857142857143</v>
      </c>
      <c r="AS569" s="35">
        <v>8.57142857142857</v>
      </c>
      <c r="AT569" s="35">
        <v>-8.57142857142857</v>
      </c>
      <c r="AU569" s="31">
        <f t="shared" si="11"/>
        <v>0</v>
      </c>
      <c r="AV569" s="36">
        <f>IFERROR($A$2+AU569,"上周无销量")</f>
        <v>43304</v>
      </c>
    </row>
    <row r="570" spans="1:48">
      <c r="A570" s="21" t="s">
        <v>1209</v>
      </c>
      <c r="B570" t="s">
        <v>1210</v>
      </c>
      <c r="C570" t="s">
        <v>1211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2</v>
      </c>
      <c r="J570" s="33">
        <v>0</v>
      </c>
      <c r="K570" s="33">
        <v>0</v>
      </c>
      <c r="L570" s="33">
        <v>0</v>
      </c>
      <c r="M570">
        <v>2</v>
      </c>
      <c r="N570">
        <v>0</v>
      </c>
      <c r="O570">
        <v>2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12</v>
      </c>
      <c r="AK570">
        <v>6</v>
      </c>
      <c r="AL570">
        <v>4</v>
      </c>
      <c r="AM570">
        <v>1</v>
      </c>
      <c r="AN570" s="23">
        <v>0</v>
      </c>
      <c r="AO570" s="23">
        <v>0</v>
      </c>
      <c r="AP570" s="23">
        <v>0</v>
      </c>
      <c r="AQ570" s="23">
        <v>0</v>
      </c>
      <c r="AR570" s="35">
        <v>0</v>
      </c>
      <c r="AS570" s="35">
        <v>0</v>
      </c>
      <c r="AT570" s="35">
        <v>2</v>
      </c>
      <c r="AU570" s="31" t="str">
        <f t="shared" si="11"/>
        <v>库存为2</v>
      </c>
      <c r="AV570" s="36" t="str">
        <f>IFERROR($A$2+AU570,"上周无销量")</f>
        <v>上周无销量</v>
      </c>
    </row>
    <row r="571" spans="1:48">
      <c r="A571" s="21" t="s">
        <v>1212</v>
      </c>
      <c r="B571" t="s">
        <v>1213</v>
      </c>
      <c r="C571" t="s">
        <v>1211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5</v>
      </c>
      <c r="J571" s="33">
        <v>0</v>
      </c>
      <c r="K571" s="33">
        <v>0</v>
      </c>
      <c r="L571" s="33">
        <v>0</v>
      </c>
      <c r="M571">
        <v>5</v>
      </c>
      <c r="N571">
        <v>0</v>
      </c>
      <c r="O571">
        <v>5</v>
      </c>
      <c r="P571">
        <v>3344</v>
      </c>
      <c r="Q571">
        <v>3526</v>
      </c>
      <c r="R571">
        <v>0</v>
      </c>
      <c r="S571">
        <v>0</v>
      </c>
      <c r="T571">
        <v>11</v>
      </c>
      <c r="U571">
        <v>11</v>
      </c>
      <c r="V571">
        <v>0</v>
      </c>
      <c r="W571">
        <v>0</v>
      </c>
      <c r="X571" s="23">
        <v>0.00328947368421053</v>
      </c>
      <c r="Y571" s="23">
        <v>0.00311968235961429</v>
      </c>
      <c r="Z571" s="23" t="s">
        <v>54</v>
      </c>
      <c r="AA571" s="23" t="s">
        <v>54</v>
      </c>
      <c r="AB571">
        <v>8.62</v>
      </c>
      <c r="AC571">
        <v>5</v>
      </c>
      <c r="AD571">
        <v>0</v>
      </c>
      <c r="AE571">
        <v>0</v>
      </c>
      <c r="AF571" s="23">
        <v>0</v>
      </c>
      <c r="AG571" s="23">
        <v>0</v>
      </c>
      <c r="AH571" s="23" t="s">
        <v>54</v>
      </c>
      <c r="AI571" s="23" t="s">
        <v>54</v>
      </c>
      <c r="AJ571">
        <v>14</v>
      </c>
      <c r="AK571">
        <v>16</v>
      </c>
      <c r="AL571">
        <v>6</v>
      </c>
      <c r="AM571">
        <v>3</v>
      </c>
      <c r="AN571" s="23">
        <v>0</v>
      </c>
      <c r="AO571" s="23">
        <v>0</v>
      </c>
      <c r="AP571" s="23">
        <v>0</v>
      </c>
      <c r="AQ571" s="23">
        <v>0</v>
      </c>
      <c r="AR571" s="35">
        <v>0</v>
      </c>
      <c r="AS571" s="35">
        <v>0</v>
      </c>
      <c r="AT571" s="35">
        <v>5</v>
      </c>
      <c r="AU571" s="31" t="str">
        <f t="shared" si="11"/>
        <v>库存为5</v>
      </c>
      <c r="AV571" s="36" t="str">
        <f>IFERROR($A$2+AU571,"上周无销量")</f>
        <v>上周无销量</v>
      </c>
    </row>
    <row r="572" spans="1:48">
      <c r="A572" s="21" t="s">
        <v>1214</v>
      </c>
      <c r="B572" t="s">
        <v>1215</v>
      </c>
      <c r="C572" t="s">
        <v>1211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3</v>
      </c>
      <c r="J572" s="33">
        <v>0</v>
      </c>
      <c r="K572" s="33">
        <v>0</v>
      </c>
      <c r="L572" s="33">
        <v>0</v>
      </c>
      <c r="M572">
        <v>3</v>
      </c>
      <c r="N572">
        <v>0</v>
      </c>
      <c r="O572">
        <v>2</v>
      </c>
      <c r="P572">
        <v>4978</v>
      </c>
      <c r="Q572">
        <v>12343</v>
      </c>
      <c r="R572">
        <v>0</v>
      </c>
      <c r="S572">
        <v>0</v>
      </c>
      <c r="T572">
        <v>15</v>
      </c>
      <c r="U572">
        <v>26</v>
      </c>
      <c r="V572">
        <v>0</v>
      </c>
      <c r="W572">
        <v>0</v>
      </c>
      <c r="X572" s="23">
        <v>0.0030132583366814</v>
      </c>
      <c r="Y572" s="23">
        <v>0.00210645710119096</v>
      </c>
      <c r="Z572" s="23" t="s">
        <v>54</v>
      </c>
      <c r="AA572" s="23" t="s">
        <v>54</v>
      </c>
      <c r="AB572">
        <v>11.91</v>
      </c>
      <c r="AC572">
        <v>14.25</v>
      </c>
      <c r="AD572">
        <v>0</v>
      </c>
      <c r="AE572">
        <v>0</v>
      </c>
      <c r="AF572" s="23">
        <v>0</v>
      </c>
      <c r="AG572" s="23">
        <v>0</v>
      </c>
      <c r="AH572" s="23" t="s">
        <v>54</v>
      </c>
      <c r="AI572" s="23" t="s">
        <v>54</v>
      </c>
      <c r="AJ572">
        <v>20</v>
      </c>
      <c r="AK572">
        <v>32</v>
      </c>
      <c r="AL572">
        <v>3</v>
      </c>
      <c r="AM572">
        <v>2</v>
      </c>
      <c r="AN572" s="23">
        <v>0</v>
      </c>
      <c r="AO572" s="23">
        <v>0</v>
      </c>
      <c r="AP572" s="23">
        <v>0</v>
      </c>
      <c r="AQ572" s="23">
        <v>0</v>
      </c>
      <c r="AR572" s="35">
        <v>0</v>
      </c>
      <c r="AS572" s="35">
        <v>0</v>
      </c>
      <c r="AT572" s="35">
        <v>3</v>
      </c>
      <c r="AU572" s="31" t="str">
        <f t="shared" si="11"/>
        <v>库存为3</v>
      </c>
      <c r="AV572" s="36" t="str">
        <f>IFERROR($A$2+AU572,"上周无销量")</f>
        <v>上周无销量</v>
      </c>
    </row>
    <row r="573" spans="1:48">
      <c r="A573" s="21" t="s">
        <v>1216</v>
      </c>
      <c r="B573" t="s">
        <v>1217</v>
      </c>
      <c r="C573" t="s">
        <v>1211</v>
      </c>
      <c r="D573" s="31">
        <v>2</v>
      </c>
      <c r="E573" s="31">
        <v>1</v>
      </c>
      <c r="F573" s="31">
        <v>0</v>
      </c>
      <c r="G573" s="31">
        <v>0</v>
      </c>
      <c r="H573" s="32">
        <v>10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2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19</v>
      </c>
      <c r="AK573">
        <v>16</v>
      </c>
      <c r="AL573">
        <v>4</v>
      </c>
      <c r="AM573">
        <v>3</v>
      </c>
      <c r="AN573" s="23">
        <v>0.105263157894737</v>
      </c>
      <c r="AO573" s="23">
        <v>0.0625</v>
      </c>
      <c r="AP573" s="23">
        <v>0</v>
      </c>
      <c r="AQ573" s="23">
        <v>0</v>
      </c>
      <c r="AR573" s="35">
        <v>0.285714285714286</v>
      </c>
      <c r="AS573" s="35">
        <v>17.1428571428571</v>
      </c>
      <c r="AT573" s="35">
        <v>-17.1428571428571</v>
      </c>
      <c r="AU573" s="31">
        <f t="shared" si="11"/>
        <v>0</v>
      </c>
      <c r="AV573" s="36">
        <f>IFERROR($A$2+AU573,"上周无销量")</f>
        <v>43304</v>
      </c>
    </row>
    <row r="574" spans="1:48">
      <c r="A574" s="21" t="s">
        <v>1218</v>
      </c>
      <c r="B574" t="s">
        <v>1219</v>
      </c>
      <c r="C574" t="s">
        <v>1211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IFERROR($A$2+AU574,"上周无销量")</f>
        <v>上周无销量</v>
      </c>
    </row>
    <row r="575" spans="1:48">
      <c r="A575" s="21" t="s">
        <v>1220</v>
      </c>
      <c r="B575" t="s">
        <v>1221</v>
      </c>
      <c r="C575" t="s">
        <v>1211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IFERROR($A$2+AU575,"上周无销量")</f>
        <v>上周无销量</v>
      </c>
    </row>
    <row r="576" spans="1:48">
      <c r="A576" s="21" t="s">
        <v>1222</v>
      </c>
      <c r="B576" t="s">
        <v>1223</v>
      </c>
      <c r="C576" t="s">
        <v>1211</v>
      </c>
      <c r="D576" s="31">
        <v>0</v>
      </c>
      <c r="E576" s="31">
        <v>0</v>
      </c>
      <c r="F576" s="31">
        <v>0</v>
      </c>
      <c r="G576" s="31">
        <v>1</v>
      </c>
      <c r="H576" s="32">
        <v>10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IFERROR($A$2+AU576,"上周无销量")</f>
        <v>上周无销量</v>
      </c>
    </row>
    <row r="577" spans="1:48">
      <c r="A577" s="21" t="s">
        <v>1224</v>
      </c>
      <c r="B577" t="s">
        <v>1225</v>
      </c>
      <c r="C577" t="s">
        <v>1226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IFERROR($A$2+AU577,"上周无销量")</f>
        <v>上周无销量</v>
      </c>
    </row>
    <row r="578" spans="1:48">
      <c r="A578" s="21" t="s">
        <v>1227</v>
      </c>
      <c r="B578" t="s">
        <v>1228</v>
      </c>
      <c r="C578" t="s">
        <v>1229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1</v>
      </c>
      <c r="J578" s="33">
        <v>0</v>
      </c>
      <c r="K578" s="33">
        <v>0</v>
      </c>
      <c r="L578" s="33">
        <v>0</v>
      </c>
      <c r="M578">
        <v>1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5">
        <v>0</v>
      </c>
      <c r="AS578" s="35">
        <v>0</v>
      </c>
      <c r="AT578" s="35">
        <v>1</v>
      </c>
      <c r="AU578" s="31" t="str">
        <f t="shared" si="11"/>
        <v>库存为1</v>
      </c>
      <c r="AV578" s="36" t="str">
        <f>IFERROR($A$2+AU578,"上周无销量")</f>
        <v>上周无销量</v>
      </c>
    </row>
    <row r="579" spans="1:48">
      <c r="A579" s="21" t="s">
        <v>1230</v>
      </c>
      <c r="B579" t="s">
        <v>1231</v>
      </c>
      <c r="C579" t="s">
        <v>1232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IFERROR($A$2+AU579,"上周无销量")</f>
        <v>上周无销量</v>
      </c>
    </row>
    <row r="580" spans="1:48">
      <c r="A580" s="21" t="s">
        <v>1233</v>
      </c>
      <c r="B580" t="s">
        <v>1234</v>
      </c>
      <c r="C580" t="s">
        <v>1232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IFERROR($A$2+AU580,"上周无销量")</f>
        <v>上周无销量</v>
      </c>
    </row>
    <row r="581" spans="1:48">
      <c r="A581" s="21" t="s">
        <v>1235</v>
      </c>
      <c r="B581" t="s">
        <v>1236</v>
      </c>
      <c r="C581" t="s">
        <v>1237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11</v>
      </c>
      <c r="AL581">
        <v>7</v>
      </c>
      <c r="AM581">
        <v>5</v>
      </c>
      <c r="AN581" s="23" t="s">
        <v>54</v>
      </c>
      <c r="AO581" s="23">
        <v>0</v>
      </c>
      <c r="AP581" s="23">
        <v>0</v>
      </c>
      <c r="AQ581" s="23">
        <v>0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IFERROR($A$2+AU581,"上周无销量")</f>
        <v>上周无销量</v>
      </c>
    </row>
    <row r="582" spans="1:48">
      <c r="A582" s="21" t="s">
        <v>1238</v>
      </c>
      <c r="B582" t="s">
        <v>1239</v>
      </c>
      <c r="C582" t="s">
        <v>1237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IFERROR($A$2+AU582,"上周无销量")</f>
        <v>上周无销量</v>
      </c>
    </row>
    <row r="583" spans="1:48">
      <c r="A583" s="21" t="s">
        <v>1240</v>
      </c>
      <c r="B583" t="s">
        <v>1241</v>
      </c>
      <c r="C583" t="s">
        <v>1242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6</v>
      </c>
      <c r="AK583">
        <v>34</v>
      </c>
      <c r="AL583">
        <v>19</v>
      </c>
      <c r="AM583">
        <v>16</v>
      </c>
      <c r="AN583" s="23">
        <v>0</v>
      </c>
      <c r="AO583" s="23">
        <v>0</v>
      </c>
      <c r="AP583" s="23">
        <v>0</v>
      </c>
      <c r="AQ583" s="23">
        <v>0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IFERROR($A$2+AU583,"上周无销量")</f>
        <v>上周无销量</v>
      </c>
    </row>
    <row r="584" spans="1:48">
      <c r="A584" s="21" t="s">
        <v>1243</v>
      </c>
      <c r="B584" t="s">
        <v>1244</v>
      </c>
      <c r="C584" t="s">
        <v>1242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IFERROR($A$2+AU584,"上周无销量")</f>
        <v>上周无销量</v>
      </c>
    </row>
    <row r="585" spans="1:48">
      <c r="A585" s="21" t="s">
        <v>1245</v>
      </c>
      <c r="B585" t="s">
        <v>1246</v>
      </c>
      <c r="C585" t="s">
        <v>1242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2</v>
      </c>
      <c r="AK585">
        <v>12</v>
      </c>
      <c r="AL585">
        <v>7</v>
      </c>
      <c r="AM585">
        <v>11</v>
      </c>
      <c r="AN585" s="23">
        <v>0</v>
      </c>
      <c r="AO585" s="23">
        <v>0</v>
      </c>
      <c r="AP585" s="23">
        <v>0</v>
      </c>
      <c r="AQ585" s="23">
        <v>0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IFERROR($A$2+AU585,"上周无销量")</f>
        <v>上周无销量</v>
      </c>
    </row>
    <row r="586" spans="1:48">
      <c r="A586" s="21" t="s">
        <v>1247</v>
      </c>
      <c r="B586" t="s">
        <v>1248</v>
      </c>
      <c r="C586" t="s">
        <v>1242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IFERROR($A$2+AU586,"上周无销量")</f>
        <v>上周无销量</v>
      </c>
    </row>
    <row r="587" spans="1:48">
      <c r="A587" s="21" t="s">
        <v>1249</v>
      </c>
      <c r="B587" t="s">
        <v>1250</v>
      </c>
      <c r="C587" t="s">
        <v>1242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IFERROR($A$2+AU587,"上周无销量")</f>
        <v>上周无销量</v>
      </c>
    </row>
    <row r="588" spans="1:48">
      <c r="A588" s="21" t="s">
        <v>1251</v>
      </c>
      <c r="B588" t="s">
        <v>1252</v>
      </c>
      <c r="C588" t="s">
        <v>1242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IFERROR($A$2+AU588,"上周无销量")</f>
        <v>上周无销量</v>
      </c>
    </row>
    <row r="589" spans="1:48">
      <c r="A589" s="21" t="s">
        <v>1253</v>
      </c>
      <c r="B589" t="s">
        <v>1254</v>
      </c>
      <c r="C589" t="s">
        <v>1255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IFERROR($A$2+AU589,"上周无销量")</f>
        <v>上周无销量</v>
      </c>
    </row>
    <row r="590" spans="1:48">
      <c r="A590" s="21" t="s">
        <v>1256</v>
      </c>
      <c r="B590" t="s">
        <v>1257</v>
      </c>
      <c r="C590" t="s">
        <v>1255</v>
      </c>
      <c r="D590" s="31">
        <v>0</v>
      </c>
      <c r="E590" s="31">
        <v>0</v>
      </c>
      <c r="F590" s="31">
        <v>1</v>
      </c>
      <c r="G590" s="31">
        <v>1</v>
      </c>
      <c r="H590" s="32">
        <v>10.98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5</v>
      </c>
      <c r="AK590">
        <v>19</v>
      </c>
      <c r="AL590">
        <v>7</v>
      </c>
      <c r="AM590">
        <v>7</v>
      </c>
      <c r="AN590" s="23">
        <v>0</v>
      </c>
      <c r="AO590" s="23">
        <v>0</v>
      </c>
      <c r="AP590" s="23">
        <v>0.142857142857143</v>
      </c>
      <c r="AQ590" s="23">
        <v>0.142857142857143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IFERROR($A$2+AU590,"上周无销量")</f>
        <v>上周无销量</v>
      </c>
    </row>
    <row r="591" spans="1:48">
      <c r="A591" s="21" t="s">
        <v>1258</v>
      </c>
      <c r="B591" t="s">
        <v>1259</v>
      </c>
      <c r="C591" t="s">
        <v>1255</v>
      </c>
      <c r="D591" s="31">
        <v>1</v>
      </c>
      <c r="E591" s="31">
        <v>0</v>
      </c>
      <c r="F591" s="31">
        <v>0</v>
      </c>
      <c r="G591" s="31">
        <v>0</v>
      </c>
      <c r="H591" s="32">
        <v>15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1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8</v>
      </c>
      <c r="AK591">
        <v>8</v>
      </c>
      <c r="AL591">
        <v>8</v>
      </c>
      <c r="AM591">
        <v>9</v>
      </c>
      <c r="AN591" s="23">
        <v>0.125</v>
      </c>
      <c r="AO591" s="23">
        <v>0</v>
      </c>
      <c r="AP591" s="23">
        <v>0</v>
      </c>
      <c r="AQ591" s="23">
        <v>0</v>
      </c>
      <c r="AR591" s="35">
        <v>0.142857142857143</v>
      </c>
      <c r="AS591" s="35">
        <v>8.57142857142857</v>
      </c>
      <c r="AT591" s="35">
        <v>-8.57142857142857</v>
      </c>
      <c r="AU591" s="31">
        <f t="shared" si="12"/>
        <v>0</v>
      </c>
      <c r="AV591" s="36">
        <f>IFERROR($A$2+AU591,"上周无销量")</f>
        <v>43304</v>
      </c>
    </row>
    <row r="592" spans="1:48">
      <c r="A592" s="21" t="s">
        <v>1260</v>
      </c>
      <c r="B592" t="s">
        <v>1261</v>
      </c>
      <c r="C592" t="s">
        <v>1255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IFERROR($A$2+AU592,"上周无销量")</f>
        <v>上周无销量</v>
      </c>
    </row>
    <row r="593" spans="1:48">
      <c r="A593" s="21" t="s">
        <v>1262</v>
      </c>
      <c r="B593" t="s">
        <v>1263</v>
      </c>
      <c r="C593" t="s">
        <v>1255</v>
      </c>
      <c r="D593" s="31">
        <v>0</v>
      </c>
      <c r="E593" s="31">
        <v>0</v>
      </c>
      <c r="F593" s="31">
        <v>1</v>
      </c>
      <c r="G593" s="31">
        <v>1</v>
      </c>
      <c r="H593" s="32">
        <v>12.98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8</v>
      </c>
      <c r="AK593">
        <v>19</v>
      </c>
      <c r="AL593">
        <v>16</v>
      </c>
      <c r="AM593">
        <v>4</v>
      </c>
      <c r="AN593" s="23">
        <v>0</v>
      </c>
      <c r="AO593" s="23">
        <v>0</v>
      </c>
      <c r="AP593" s="23">
        <v>0.0625</v>
      </c>
      <c r="AQ593" s="23">
        <v>0.25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IFERROR($A$2+AU593,"上周无销量")</f>
        <v>上周无销量</v>
      </c>
    </row>
    <row r="594" spans="1:48">
      <c r="A594" s="21" t="s">
        <v>1264</v>
      </c>
      <c r="B594" t="s">
        <v>1265</v>
      </c>
      <c r="C594" t="s">
        <v>1255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IFERROR($A$2+AU594,"上周无销量")</f>
        <v>上周无销量</v>
      </c>
    </row>
    <row r="595" spans="1:48">
      <c r="A595" s="21" t="s">
        <v>1266</v>
      </c>
      <c r="B595" t="s">
        <v>1267</v>
      </c>
      <c r="C595" t="s">
        <v>1255</v>
      </c>
      <c r="D595" s="31">
        <v>0</v>
      </c>
      <c r="E595" s="31">
        <v>0</v>
      </c>
      <c r="F595" s="31">
        <v>1</v>
      </c>
      <c r="G595" s="31">
        <v>0</v>
      </c>
      <c r="H595" s="32">
        <v>19.98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11</v>
      </c>
      <c r="AL595">
        <v>17</v>
      </c>
      <c r="AM595">
        <v>6</v>
      </c>
      <c r="AN595" s="23" t="s">
        <v>54</v>
      </c>
      <c r="AO595" s="23">
        <v>0</v>
      </c>
      <c r="AP595" s="23">
        <v>0.0588235294117647</v>
      </c>
      <c r="AQ595" s="23">
        <v>0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IFERROR($A$2+AU595,"上周无销量")</f>
        <v>上周无销量</v>
      </c>
    </row>
    <row r="596" spans="1:48">
      <c r="A596" s="21" t="s">
        <v>1268</v>
      </c>
      <c r="B596" t="s">
        <v>1269</v>
      </c>
      <c r="C596" t="s">
        <v>1255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IFERROR($A$2+AU596,"上周无销量")</f>
        <v>上周无销量</v>
      </c>
    </row>
    <row r="597" spans="1:48">
      <c r="A597" s="21" t="s">
        <v>1270</v>
      </c>
      <c r="B597" t="s">
        <v>1271</v>
      </c>
      <c r="C597" t="s">
        <v>1255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IFERROR($A$2+AU597,"上周无销量")</f>
        <v>上周无销量</v>
      </c>
    </row>
    <row r="598" spans="1:48">
      <c r="A598" s="21" t="s">
        <v>1272</v>
      </c>
      <c r="B598" t="s">
        <v>1273</v>
      </c>
      <c r="C598" t="s">
        <v>1274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IFERROR($A$2+AU598,"上周无销量")</f>
        <v>上周无销量</v>
      </c>
    </row>
    <row r="599" spans="1:48">
      <c r="A599" s="21" t="s">
        <v>1275</v>
      </c>
      <c r="B599" t="s">
        <v>1276</v>
      </c>
      <c r="C599" t="s">
        <v>1274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IFERROR($A$2+AU599,"上周无销量")</f>
        <v>上周无销量</v>
      </c>
    </row>
    <row r="600" spans="1:48">
      <c r="A600" s="21" t="s">
        <v>1277</v>
      </c>
      <c r="B600" t="s">
        <v>1278</v>
      </c>
      <c r="C600" t="s">
        <v>1279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IFERROR($A$2+AU600,"上周无销量")</f>
        <v>上周无销量</v>
      </c>
    </row>
    <row r="601" spans="1:48">
      <c r="A601" s="21" t="s">
        <v>1280</v>
      </c>
      <c r="B601" t="s">
        <v>1281</v>
      </c>
      <c r="C601" t="s">
        <v>1279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IFERROR($A$2+AU601,"上周无销量")</f>
        <v>上周无销量</v>
      </c>
    </row>
    <row r="602" spans="1:48">
      <c r="A602" s="21" t="s">
        <v>1282</v>
      </c>
      <c r="B602" t="s">
        <v>1283</v>
      </c>
      <c r="C602" t="s">
        <v>1284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IFERROR($A$2+AU602,"上周无销量")</f>
        <v>上周无销量</v>
      </c>
    </row>
    <row r="603" spans="1:48">
      <c r="A603" s="21" t="s">
        <v>1285</v>
      </c>
      <c r="B603" t="s">
        <v>1286</v>
      </c>
      <c r="C603" t="s">
        <v>1287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1</v>
      </c>
      <c r="AK603">
        <v>5</v>
      </c>
      <c r="AL603">
        <v>10</v>
      </c>
      <c r="AM603">
        <v>1</v>
      </c>
      <c r="AN603" s="23">
        <v>0</v>
      </c>
      <c r="AO603" s="23">
        <v>0</v>
      </c>
      <c r="AP603" s="23">
        <v>0</v>
      </c>
      <c r="AQ603" s="23">
        <v>0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IFERROR($A$2+AU603,"上周无销量")</f>
        <v>上周无销量</v>
      </c>
    </row>
    <row r="604" spans="1:48">
      <c r="A604" s="21" t="s">
        <v>1288</v>
      </c>
      <c r="B604" t="s">
        <v>1289</v>
      </c>
      <c r="C604" t="s">
        <v>1287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1</v>
      </c>
      <c r="J604" s="33">
        <v>0</v>
      </c>
      <c r="K604" s="33">
        <v>0</v>
      </c>
      <c r="L604" s="33">
        <v>0</v>
      </c>
      <c r="M604">
        <v>1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6</v>
      </c>
      <c r="AK604">
        <v>5</v>
      </c>
      <c r="AL604">
        <v>3</v>
      </c>
      <c r="AM604">
        <v>3</v>
      </c>
      <c r="AN604" s="23">
        <v>0</v>
      </c>
      <c r="AO604" s="23">
        <v>0</v>
      </c>
      <c r="AP604" s="23">
        <v>0</v>
      </c>
      <c r="AQ604" s="23">
        <v>0</v>
      </c>
      <c r="AR604" s="35">
        <v>0</v>
      </c>
      <c r="AS604" s="35">
        <v>0</v>
      </c>
      <c r="AT604" s="35">
        <v>1</v>
      </c>
      <c r="AU604" s="31" t="str">
        <f t="shared" si="12"/>
        <v>库存为1</v>
      </c>
      <c r="AV604" s="36" t="str">
        <f>IFERROR($A$2+AU604,"上周无销量")</f>
        <v>上周无销量</v>
      </c>
    </row>
    <row r="605" spans="1:48">
      <c r="A605" s="21" t="s">
        <v>1290</v>
      </c>
      <c r="B605" t="s">
        <v>1291</v>
      </c>
      <c r="C605" t="s">
        <v>1287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IFERROR($A$2+AU605,"上周无销量")</f>
        <v>上周无销量</v>
      </c>
    </row>
    <row r="606" spans="1:48">
      <c r="A606" s="21" t="s">
        <v>1292</v>
      </c>
      <c r="B606" t="s">
        <v>1293</v>
      </c>
      <c r="C606" t="s">
        <v>1294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IFERROR($A$2+AU606,"上周无销量")</f>
        <v>上周无销量</v>
      </c>
    </row>
    <row r="607" spans="1:48">
      <c r="A607" s="21" t="s">
        <v>1295</v>
      </c>
      <c r="B607" t="s">
        <v>1296</v>
      </c>
      <c r="C607" t="s">
        <v>1294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IFERROR($A$2+AU607,"上周无销量")</f>
        <v>上周无销量</v>
      </c>
    </row>
    <row r="608" spans="1:48">
      <c r="A608" s="21" t="s">
        <v>1297</v>
      </c>
      <c r="B608" t="s">
        <v>1298</v>
      </c>
      <c r="C608" t="s">
        <v>1294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IFERROR($A$2+AU608,"上周无销量")</f>
        <v>上周无销量</v>
      </c>
    </row>
    <row r="609" spans="1:48">
      <c r="A609" s="21" t="s">
        <v>1299</v>
      </c>
      <c r="B609" t="s">
        <v>1300</v>
      </c>
      <c r="C609" t="s">
        <v>1294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IFERROR($A$2+AU609,"上周无销量")</f>
        <v>上周无销量</v>
      </c>
    </row>
    <row r="610" spans="1:48">
      <c r="A610" s="21" t="s">
        <v>1301</v>
      </c>
      <c r="B610" t="s">
        <v>1302</v>
      </c>
      <c r="C610" t="s">
        <v>1294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IFERROR($A$2+AU610,"上周无销量")</f>
        <v>上周无销量</v>
      </c>
    </row>
    <row r="611" spans="1:48">
      <c r="A611" s="21" t="s">
        <v>1303</v>
      </c>
      <c r="B611" t="s">
        <v>1304</v>
      </c>
      <c r="C611" t="s">
        <v>1294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IFERROR($A$2+AU611,"上周无销量")</f>
        <v>上周无销量</v>
      </c>
    </row>
    <row r="612" spans="1:48">
      <c r="A612" s="21" t="s">
        <v>1305</v>
      </c>
      <c r="B612" t="s">
        <v>1306</v>
      </c>
      <c r="C612" t="s">
        <v>1294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IFERROR($A$2+AU612,"上周无销量")</f>
        <v>上周无销量</v>
      </c>
    </row>
    <row r="613" spans="1:48">
      <c r="A613" s="21" t="s">
        <v>1307</v>
      </c>
      <c r="B613" t="s">
        <v>1308</v>
      </c>
      <c r="C613" t="s">
        <v>1294</v>
      </c>
      <c r="D613" s="31">
        <v>1</v>
      </c>
      <c r="E613" s="31">
        <v>1</v>
      </c>
      <c r="F613" s="31">
        <v>0</v>
      </c>
      <c r="G613" s="31">
        <v>0</v>
      </c>
      <c r="H613" s="32">
        <v>12.5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5</v>
      </c>
      <c r="AK613">
        <v>15</v>
      </c>
      <c r="AL613">
        <v>7</v>
      </c>
      <c r="AM613">
        <v>11</v>
      </c>
      <c r="AN613" s="23">
        <v>0.2</v>
      </c>
      <c r="AO613" s="23">
        <v>0.0666666666666667</v>
      </c>
      <c r="AP613" s="23">
        <v>0</v>
      </c>
      <c r="AQ613" s="23">
        <v>0</v>
      </c>
      <c r="AR613" s="35">
        <v>0.142857142857143</v>
      </c>
      <c r="AS613" s="35">
        <v>8.57142857142857</v>
      </c>
      <c r="AT613" s="35">
        <v>-8.57142857142857</v>
      </c>
      <c r="AU613" s="31">
        <f t="shared" si="12"/>
        <v>0</v>
      </c>
      <c r="AV613" s="36">
        <f>IFERROR($A$2+AU613,"上周无销量")</f>
        <v>43304</v>
      </c>
    </row>
    <row r="614" spans="1:48">
      <c r="A614" s="21" t="s">
        <v>1309</v>
      </c>
      <c r="B614" t="s">
        <v>1310</v>
      </c>
      <c r="C614" t="s">
        <v>1311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IFERROR($A$2+AU614,"上周无销量")</f>
        <v>上周无销量</v>
      </c>
    </row>
    <row r="615" spans="1:48">
      <c r="A615" s="21" t="s">
        <v>1312</v>
      </c>
      <c r="B615" t="s">
        <v>1310</v>
      </c>
      <c r="C615" t="s">
        <v>1311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IFERROR($A$2+AU615,"上周无销量")</f>
        <v>上周无销量</v>
      </c>
    </row>
    <row r="616" spans="1:48">
      <c r="A616" s="21" t="s">
        <v>1313</v>
      </c>
      <c r="B616" t="s">
        <v>1314</v>
      </c>
      <c r="C616" t="s">
        <v>1315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IFERROR($A$2+AU616,"上周无销量")</f>
        <v>上周无销量</v>
      </c>
    </row>
    <row r="617" spans="1:48">
      <c r="A617" s="21" t="s">
        <v>1316</v>
      </c>
      <c r="B617" t="s">
        <v>1317</v>
      </c>
      <c r="C617" t="s">
        <v>1315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IFERROR($A$2+AU617,"上周无销量")</f>
        <v>上周无销量</v>
      </c>
    </row>
    <row r="618" spans="1:48">
      <c r="A618" s="21" t="s">
        <v>1318</v>
      </c>
      <c r="B618" t="s">
        <v>1319</v>
      </c>
      <c r="C618" t="s">
        <v>1315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IFERROR($A$2+AU618,"上周无销量")</f>
        <v>上周无销量</v>
      </c>
    </row>
    <row r="619" spans="1:48">
      <c r="A619" s="21" t="s">
        <v>1320</v>
      </c>
      <c r="B619" t="s">
        <v>1321</v>
      </c>
      <c r="C619" t="s">
        <v>1315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IFERROR($A$2+AU619,"上周无销量")</f>
        <v>上周无销量</v>
      </c>
    </row>
    <row r="620" spans="1:48">
      <c r="A620" s="21" t="s">
        <v>1322</v>
      </c>
      <c r="B620" t="s">
        <v>1323</v>
      </c>
      <c r="C620" t="s">
        <v>1315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5">
        <v>0</v>
      </c>
      <c r="AS620" s="35">
        <v>0</v>
      </c>
      <c r="AT620" s="35">
        <v>0</v>
      </c>
      <c r="AU620" s="31" t="str">
        <f t="shared" si="12"/>
        <v>库存为0</v>
      </c>
      <c r="AV620" s="36" t="str">
        <f>IFERROR($A$2+AU620,"上周无销量")</f>
        <v>上周无销量</v>
      </c>
    </row>
    <row r="621" spans="1:48">
      <c r="A621" s="21" t="s">
        <v>1324</v>
      </c>
      <c r="B621" t="s">
        <v>1325</v>
      </c>
      <c r="C621" t="s">
        <v>1315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0</v>
      </c>
      <c r="J621" s="33">
        <v>0</v>
      </c>
      <c r="K621" s="33">
        <v>0</v>
      </c>
      <c r="L621" s="33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5">
        <v>0</v>
      </c>
      <c r="AS621" s="35">
        <v>0</v>
      </c>
      <c r="AT621" s="35">
        <v>0</v>
      </c>
      <c r="AU621" s="31" t="str">
        <f t="shared" si="12"/>
        <v>库存为0</v>
      </c>
      <c r="AV621" s="36" t="str">
        <f>IFERROR($A$2+AU621,"上周无销量")</f>
        <v>上周无销量</v>
      </c>
    </row>
    <row r="622" spans="1:48">
      <c r="A622" s="21" t="s">
        <v>1326</v>
      </c>
      <c r="B622" t="s">
        <v>1327</v>
      </c>
      <c r="C622" t="s">
        <v>1315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0</v>
      </c>
      <c r="J622" s="33">
        <v>0</v>
      </c>
      <c r="K622" s="33">
        <v>0</v>
      </c>
      <c r="L622" s="33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5">
        <v>0</v>
      </c>
      <c r="AS622" s="35">
        <v>0</v>
      </c>
      <c r="AT622" s="35">
        <v>0</v>
      </c>
      <c r="AU622" s="31" t="str">
        <f t="shared" si="12"/>
        <v>库存为0</v>
      </c>
      <c r="AV622" s="36" t="str">
        <f>IFERROR($A$2+AU622,"上周无销量")</f>
        <v>上周无销量</v>
      </c>
    </row>
    <row r="623" spans="1:48">
      <c r="A623" s="21" t="s">
        <v>1328</v>
      </c>
      <c r="B623" t="s">
        <v>1329</v>
      </c>
      <c r="C623" t="s">
        <v>1315</v>
      </c>
      <c r="D623" s="31">
        <v>0</v>
      </c>
      <c r="E623" s="31">
        <v>1</v>
      </c>
      <c r="F623" s="31">
        <v>0</v>
      </c>
      <c r="G623" s="31">
        <v>0</v>
      </c>
      <c r="H623" s="32">
        <v>18.98</v>
      </c>
      <c r="I623">
        <v>1</v>
      </c>
      <c r="J623" s="33">
        <v>0</v>
      </c>
      <c r="K623" s="33">
        <v>0</v>
      </c>
      <c r="L623" s="33">
        <v>0</v>
      </c>
      <c r="M623">
        <v>1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3</v>
      </c>
      <c r="AL623">
        <v>0</v>
      </c>
      <c r="AM623">
        <v>0</v>
      </c>
      <c r="AN623" s="23" t="s">
        <v>54</v>
      </c>
      <c r="AO623" s="23">
        <v>0.333333333333333</v>
      </c>
      <c r="AP623" s="23" t="s">
        <v>54</v>
      </c>
      <c r="AQ623" s="23" t="s">
        <v>54</v>
      </c>
      <c r="AR623" s="35">
        <v>0</v>
      </c>
      <c r="AS623" s="35">
        <v>0</v>
      </c>
      <c r="AT623" s="35">
        <v>1</v>
      </c>
      <c r="AU623" s="31" t="str">
        <f t="shared" si="12"/>
        <v>库存为1</v>
      </c>
      <c r="AV623" s="36" t="str">
        <f>IFERROR($A$2+AU623,"上周无销量")</f>
        <v>上周无销量</v>
      </c>
    </row>
    <row r="624" spans="1:48">
      <c r="A624" s="21" t="s">
        <v>1330</v>
      </c>
      <c r="B624" t="s">
        <v>1331</v>
      </c>
      <c r="C624" t="s">
        <v>1315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0</v>
      </c>
      <c r="J624" s="33">
        <v>0</v>
      </c>
      <c r="K624" s="33">
        <v>0</v>
      </c>
      <c r="L624" s="33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5">
        <v>0</v>
      </c>
      <c r="AS624" s="35">
        <v>0</v>
      </c>
      <c r="AT624" s="35">
        <v>0</v>
      </c>
      <c r="AU624" s="31" t="str">
        <f t="shared" si="12"/>
        <v>库存为0</v>
      </c>
      <c r="AV624" s="36" t="str">
        <f>IFERROR($A$2+AU624,"上周无销量")</f>
        <v>上周无销量</v>
      </c>
    </row>
    <row r="625" spans="1:48">
      <c r="A625" s="21" t="s">
        <v>1332</v>
      </c>
      <c r="B625" t="s">
        <v>1333</v>
      </c>
      <c r="C625" t="s">
        <v>1315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0</v>
      </c>
      <c r="J625" s="33">
        <v>0</v>
      </c>
      <c r="K625" s="33">
        <v>0</v>
      </c>
      <c r="L625" s="33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5">
        <v>0</v>
      </c>
      <c r="AS625" s="35">
        <v>0</v>
      </c>
      <c r="AT625" s="35">
        <v>0</v>
      </c>
      <c r="AU625" s="31" t="str">
        <f t="shared" si="12"/>
        <v>库存为0</v>
      </c>
      <c r="AV625" s="36" t="str">
        <f>IFERROR($A$2+AU625,"上周无销量")</f>
        <v>上周无销量</v>
      </c>
    </row>
    <row r="626" spans="1:48">
      <c r="A626" s="21" t="s">
        <v>1334</v>
      </c>
      <c r="B626" t="s">
        <v>1335</v>
      </c>
      <c r="C626" t="s">
        <v>1315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5">
        <v>0</v>
      </c>
      <c r="AS626" s="35">
        <v>0</v>
      </c>
      <c r="AT626" s="35">
        <v>0</v>
      </c>
      <c r="AU626" s="31" t="str">
        <f t="shared" si="12"/>
        <v>库存为0</v>
      </c>
      <c r="AV626" s="36" t="str">
        <f>IFERROR($A$2+AU626,"上周无销量")</f>
        <v>上周无销量</v>
      </c>
    </row>
    <row r="627" spans="1:48">
      <c r="A627" s="21" t="s">
        <v>1336</v>
      </c>
      <c r="B627" t="s">
        <v>1337</v>
      </c>
      <c r="C627" t="s">
        <v>1315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5">
        <v>0</v>
      </c>
      <c r="AS627" s="35">
        <v>0</v>
      </c>
      <c r="AT627" s="35">
        <v>0</v>
      </c>
      <c r="AU627" s="31" t="str">
        <f t="shared" si="12"/>
        <v>库存为0</v>
      </c>
      <c r="AV627" s="36" t="str">
        <f>IFERROR($A$2+AU627,"上周无销量")</f>
        <v>上周无销量</v>
      </c>
    </row>
    <row r="628" spans="1:48">
      <c r="A628" s="21" t="s">
        <v>1338</v>
      </c>
      <c r="B628" t="s">
        <v>1339</v>
      </c>
      <c r="C628" t="s">
        <v>1315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IFERROR($A$2+AU628,"上周无销量")</f>
        <v>上周无销量</v>
      </c>
    </row>
    <row r="629" spans="1:48">
      <c r="A629" s="21" t="s">
        <v>1340</v>
      </c>
      <c r="B629" t="s">
        <v>1341</v>
      </c>
      <c r="C629" t="s">
        <v>1315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IFERROR($A$2+AU629,"上周无销量")</f>
        <v>上周无销量</v>
      </c>
    </row>
    <row r="630" spans="1:48">
      <c r="A630" s="21" t="s">
        <v>1342</v>
      </c>
      <c r="B630" t="s">
        <v>1343</v>
      </c>
      <c r="C630" t="s">
        <v>1315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IFERROR($A$2+AU630,"上周无销量")</f>
        <v>上周无销量</v>
      </c>
    </row>
    <row r="631" spans="1:48">
      <c r="A631" s="21" t="s">
        <v>1344</v>
      </c>
      <c r="B631" t="s">
        <v>1345</v>
      </c>
      <c r="C631" t="s">
        <v>1315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IFERROR($A$2+AU631,"上周无销量")</f>
        <v>上周无销量</v>
      </c>
    </row>
    <row r="632" spans="1:48">
      <c r="A632" s="21" t="s">
        <v>1346</v>
      </c>
      <c r="B632" t="s">
        <v>1347</v>
      </c>
      <c r="C632" t="s">
        <v>1315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IFERROR($A$2+AU632,"上周无销量")</f>
        <v>上周无销量</v>
      </c>
    </row>
    <row r="633" spans="1:48">
      <c r="A633" s="21" t="s">
        <v>1348</v>
      </c>
      <c r="B633" t="s">
        <v>1349</v>
      </c>
      <c r="C633" t="s">
        <v>1315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IFERROR($A$2+AU633,"上周无销量")</f>
        <v>上周无销量</v>
      </c>
    </row>
    <row r="634" spans="1:48">
      <c r="A634" s="21" t="s">
        <v>1350</v>
      </c>
      <c r="B634" t="s">
        <v>1351</v>
      </c>
      <c r="C634" t="s">
        <v>1315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IFERROR($A$2+AU634,"上周无销量")</f>
        <v>上周无销量</v>
      </c>
    </row>
    <row r="635" spans="1:48">
      <c r="A635" s="21" t="s">
        <v>1352</v>
      </c>
      <c r="B635" t="s">
        <v>1353</v>
      </c>
      <c r="C635" t="s">
        <v>1315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s">
        <v>54</v>
      </c>
      <c r="AO635" s="23" t="s">
        <v>54</v>
      </c>
      <c r="AP635" s="23" t="s">
        <v>54</v>
      </c>
      <c r="AQ635" s="23" t="s">
        <v>54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IFERROR($A$2+AU635,"上周无销量")</f>
        <v>上周无销量</v>
      </c>
    </row>
    <row r="636" spans="1:48">
      <c r="A636" s="21" t="s">
        <v>1354</v>
      </c>
      <c r="B636" t="s">
        <v>1355</v>
      </c>
      <c r="C636" t="s">
        <v>1356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IFERROR($A$2+AU636,"上周无销量")</f>
        <v>上周无销量</v>
      </c>
    </row>
    <row r="637" spans="1:48">
      <c r="A637" s="21" t="s">
        <v>1357</v>
      </c>
      <c r="B637" t="s">
        <v>1358</v>
      </c>
      <c r="C637" t="s">
        <v>1356</v>
      </c>
      <c r="D637" s="31">
        <v>0</v>
      </c>
      <c r="E637" s="31">
        <v>1</v>
      </c>
      <c r="F637" s="31">
        <v>0</v>
      </c>
      <c r="G637" s="31">
        <v>0</v>
      </c>
      <c r="H637" s="32">
        <v>15.98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1</v>
      </c>
      <c r="AL637">
        <v>13</v>
      </c>
      <c r="AM637">
        <v>4</v>
      </c>
      <c r="AN637" s="23" t="s">
        <v>54</v>
      </c>
      <c r="AO637" s="23">
        <v>1</v>
      </c>
      <c r="AP637" s="23">
        <v>0</v>
      </c>
      <c r="AQ637" s="23">
        <v>0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IFERROR($A$2+AU637,"上周无销量")</f>
        <v>上周无销量</v>
      </c>
    </row>
    <row r="638" spans="1:48">
      <c r="A638" s="21" t="s">
        <v>1359</v>
      </c>
      <c r="B638" t="s">
        <v>1360</v>
      </c>
      <c r="C638" t="s">
        <v>1356</v>
      </c>
      <c r="D638" s="31">
        <v>0</v>
      </c>
      <c r="E638" s="31">
        <v>0</v>
      </c>
      <c r="F638" s="31">
        <v>0</v>
      </c>
      <c r="G638" s="31">
        <v>3</v>
      </c>
      <c r="H638" s="32">
        <v>9.98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1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22</v>
      </c>
      <c r="AN638" s="23" t="s">
        <v>54</v>
      </c>
      <c r="AO638" s="23" t="s">
        <v>54</v>
      </c>
      <c r="AP638" s="23" t="s">
        <v>54</v>
      </c>
      <c r="AQ638" s="23">
        <v>0.136363636363636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IFERROR($A$2+AU638,"上周无销量")</f>
        <v>上周无销量</v>
      </c>
    </row>
    <row r="639" spans="1:48">
      <c r="A639" s="21" t="s">
        <v>1361</v>
      </c>
      <c r="B639" t="s">
        <v>1362</v>
      </c>
      <c r="C639" t="s">
        <v>1356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s">
        <v>54</v>
      </c>
      <c r="AO639" s="23" t="s">
        <v>54</v>
      </c>
      <c r="AP639" s="23" t="s">
        <v>54</v>
      </c>
      <c r="AQ639" s="23" t="s">
        <v>54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IFERROR($A$2+AU639,"上周无销量")</f>
        <v>上周无销量</v>
      </c>
    </row>
    <row r="640" spans="1:48">
      <c r="A640" s="21" t="s">
        <v>1363</v>
      </c>
      <c r="B640" t="s">
        <v>1364</v>
      </c>
      <c r="C640" t="s">
        <v>1356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IFERROR($A$2+AU640,"上周无销量")</f>
        <v>上周无销量</v>
      </c>
    </row>
    <row r="641" spans="1:48">
      <c r="A641" s="21" t="s">
        <v>1365</v>
      </c>
      <c r="B641" t="s">
        <v>1366</v>
      </c>
      <c r="C641" t="s">
        <v>1356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2</v>
      </c>
      <c r="AK641">
        <v>19</v>
      </c>
      <c r="AL641">
        <v>8</v>
      </c>
      <c r="AM641">
        <v>8</v>
      </c>
      <c r="AN641" s="23">
        <v>0</v>
      </c>
      <c r="AO641" s="23">
        <v>0</v>
      </c>
      <c r="AP641" s="23">
        <v>0</v>
      </c>
      <c r="AQ641" s="23">
        <v>0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IFERROR($A$2+AU641,"上周无销量")</f>
        <v>上周无销量</v>
      </c>
    </row>
    <row r="642" spans="1:48">
      <c r="A642" s="21" t="s">
        <v>1367</v>
      </c>
      <c r="B642" t="s">
        <v>1368</v>
      </c>
      <c r="C642" t="s">
        <v>1356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s">
        <v>54</v>
      </c>
      <c r="AO642" s="23" t="s">
        <v>54</v>
      </c>
      <c r="AP642" s="23" t="s">
        <v>54</v>
      </c>
      <c r="AQ642" s="23" t="s">
        <v>54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IFERROR($A$2+AU642,"上周无销量")</f>
        <v>上周无销量</v>
      </c>
    </row>
    <row r="643" spans="1:48">
      <c r="A643" s="21" t="s">
        <v>1369</v>
      </c>
      <c r="B643" t="s">
        <v>1370</v>
      </c>
      <c r="C643" t="s">
        <v>1356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IFERROR($A$2+AU643,"上周无销量")</f>
        <v>上周无销量</v>
      </c>
    </row>
    <row r="644" spans="1:48">
      <c r="A644" s="21" t="s">
        <v>1371</v>
      </c>
      <c r="B644" t="s">
        <v>1372</v>
      </c>
      <c r="C644" t="s">
        <v>1356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s">
        <v>54</v>
      </c>
      <c r="AO644" s="23" t="s">
        <v>54</v>
      </c>
      <c r="AP644" s="23" t="s">
        <v>54</v>
      </c>
      <c r="AQ644" s="23" t="s">
        <v>54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IFERROR($A$2+AU644,"上周无销量")</f>
        <v>上周无销量</v>
      </c>
    </row>
    <row r="645" spans="1:48">
      <c r="A645" s="21" t="s">
        <v>1373</v>
      </c>
      <c r="B645" t="s">
        <v>1374</v>
      </c>
      <c r="C645" t="s">
        <v>1375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IFERROR($A$2+AU645,"上周无销量")</f>
        <v>上周无销量</v>
      </c>
    </row>
    <row r="646" spans="1:48">
      <c r="A646" s="21" t="s">
        <v>1376</v>
      </c>
      <c r="B646" t="s">
        <v>1377</v>
      </c>
      <c r="C646" t="s">
        <v>1375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2</v>
      </c>
      <c r="AL646">
        <v>0</v>
      </c>
      <c r="AM646">
        <v>1</v>
      </c>
      <c r="AN646" s="23" t="s">
        <v>54</v>
      </c>
      <c r="AO646" s="23">
        <v>0</v>
      </c>
      <c r="AP646" s="23" t="s">
        <v>54</v>
      </c>
      <c r="AQ646" s="23">
        <v>0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IFERROR($A$2+AU646,"上周无销量")</f>
        <v>上周无销量</v>
      </c>
    </row>
    <row r="647" spans="1:48">
      <c r="A647" s="21" t="s">
        <v>1378</v>
      </c>
      <c r="B647" t="s">
        <v>1379</v>
      </c>
      <c r="C647" t="s">
        <v>1375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6</v>
      </c>
      <c r="AL647">
        <v>7</v>
      </c>
      <c r="AM647">
        <v>0</v>
      </c>
      <c r="AN647" s="23" t="s">
        <v>54</v>
      </c>
      <c r="AO647" s="23">
        <v>0</v>
      </c>
      <c r="AP647" s="23">
        <v>0</v>
      </c>
      <c r="AQ647" s="23" t="s">
        <v>54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IFERROR($A$2+AU647,"上周无销量")</f>
        <v>上周无销量</v>
      </c>
    </row>
    <row r="648" spans="1:48">
      <c r="A648" s="21" t="s">
        <v>1380</v>
      </c>
      <c r="B648" t="s">
        <v>1381</v>
      </c>
      <c r="C648" t="s">
        <v>1375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IFERROR($A$2+AU648,"上周无销量")</f>
        <v>上周无销量</v>
      </c>
    </row>
    <row r="649" spans="1:48">
      <c r="A649" s="21" t="s">
        <v>1382</v>
      </c>
      <c r="B649" t="s">
        <v>1383</v>
      </c>
      <c r="C649" t="s">
        <v>1375</v>
      </c>
      <c r="D649" s="31">
        <v>0</v>
      </c>
      <c r="E649" s="31">
        <v>0</v>
      </c>
      <c r="F649" s="31">
        <v>2</v>
      </c>
      <c r="G649" s="31">
        <v>0</v>
      </c>
      <c r="H649" s="32">
        <v>14.98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257</v>
      </c>
      <c r="S649">
        <v>749</v>
      </c>
      <c r="T649">
        <v>0</v>
      </c>
      <c r="U649">
        <v>0</v>
      </c>
      <c r="V649">
        <v>0</v>
      </c>
      <c r="W649">
        <v>2</v>
      </c>
      <c r="X649" s="23" t="s">
        <v>54</v>
      </c>
      <c r="Y649" s="23" t="s">
        <v>54</v>
      </c>
      <c r="Z649" s="23">
        <v>0</v>
      </c>
      <c r="AA649" s="23">
        <v>0.00267022696929239</v>
      </c>
      <c r="AB649">
        <v>0</v>
      </c>
      <c r="AC649">
        <v>0</v>
      </c>
      <c r="AD649">
        <v>0</v>
      </c>
      <c r="AE649">
        <v>0.31</v>
      </c>
      <c r="AF649" s="23" t="s">
        <v>54</v>
      </c>
      <c r="AG649" s="23" t="s">
        <v>54</v>
      </c>
      <c r="AH649" s="23" t="s">
        <v>54</v>
      </c>
      <c r="AI649" s="23">
        <v>0</v>
      </c>
      <c r="AJ649">
        <v>1</v>
      </c>
      <c r="AK649">
        <v>0</v>
      </c>
      <c r="AL649">
        <v>4</v>
      </c>
      <c r="AM649">
        <v>2</v>
      </c>
      <c r="AN649" s="23">
        <v>0</v>
      </c>
      <c r="AO649" s="23" t="s">
        <v>54</v>
      </c>
      <c r="AP649" s="23">
        <v>0.5</v>
      </c>
      <c r="AQ649" s="23">
        <v>0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IFERROR($A$2+AU649,"上周无销量")</f>
        <v>上周无销量</v>
      </c>
    </row>
    <row r="650" spans="1:48">
      <c r="A650" s="21" t="s">
        <v>1384</v>
      </c>
      <c r="B650" t="s">
        <v>1385</v>
      </c>
      <c r="C650" t="s">
        <v>1375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1</v>
      </c>
      <c r="AK650">
        <v>2</v>
      </c>
      <c r="AL650">
        <v>3</v>
      </c>
      <c r="AM650">
        <v>2</v>
      </c>
      <c r="AN650" s="23">
        <v>0</v>
      </c>
      <c r="AO650" s="23">
        <v>0</v>
      </c>
      <c r="AP650" s="23">
        <v>0</v>
      </c>
      <c r="AQ650" s="23">
        <v>0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IFERROR($A$2+AU650,"上周无销量")</f>
        <v>上周无销量</v>
      </c>
    </row>
    <row r="651" spans="1:48">
      <c r="A651" s="21" t="s">
        <v>1386</v>
      </c>
      <c r="B651" t="s">
        <v>1387</v>
      </c>
      <c r="C651" t="s">
        <v>1375</v>
      </c>
      <c r="D651" s="31">
        <v>0</v>
      </c>
      <c r="E651" s="31">
        <v>0</v>
      </c>
      <c r="F651" s="31">
        <v>3</v>
      </c>
      <c r="G651" s="31">
        <v>0</v>
      </c>
      <c r="H651" s="32">
        <v>12.98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3</v>
      </c>
      <c r="AL651">
        <v>2</v>
      </c>
      <c r="AM651">
        <v>1</v>
      </c>
      <c r="AN651" s="23" t="s">
        <v>54</v>
      </c>
      <c r="AO651" s="23">
        <v>0</v>
      </c>
      <c r="AP651" s="23">
        <v>1.5</v>
      </c>
      <c r="AQ651" s="23">
        <v>0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IFERROR($A$2+AU651,"上周无销量")</f>
        <v>上周无销量</v>
      </c>
    </row>
    <row r="652" spans="1:48">
      <c r="A652" s="21" t="s">
        <v>1388</v>
      </c>
      <c r="B652" t="s">
        <v>1389</v>
      </c>
      <c r="C652" t="s">
        <v>1375</v>
      </c>
      <c r="D652" s="31">
        <v>0</v>
      </c>
      <c r="E652" s="31">
        <v>1</v>
      </c>
      <c r="F652" s="31">
        <v>0</v>
      </c>
      <c r="G652" s="31">
        <v>0</v>
      </c>
      <c r="H652" s="32">
        <v>15.98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1</v>
      </c>
      <c r="AK652">
        <v>3</v>
      </c>
      <c r="AL652">
        <v>4</v>
      </c>
      <c r="AM652">
        <v>0</v>
      </c>
      <c r="AN652" s="23">
        <v>0</v>
      </c>
      <c r="AO652" s="23">
        <v>0.333333333333333</v>
      </c>
      <c r="AP652" s="23">
        <v>0</v>
      </c>
      <c r="AQ652" s="23" t="s">
        <v>54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IFERROR($A$2+AU652,"上周无销量")</f>
        <v>上周无销量</v>
      </c>
    </row>
    <row r="653" spans="1:48">
      <c r="A653" s="21" t="s">
        <v>1390</v>
      </c>
      <c r="B653" t="s">
        <v>1391</v>
      </c>
      <c r="C653" t="s">
        <v>1375</v>
      </c>
      <c r="D653" s="31">
        <v>0</v>
      </c>
      <c r="E653" s="31">
        <v>0</v>
      </c>
      <c r="F653" s="31">
        <v>1</v>
      </c>
      <c r="G653" s="31">
        <v>0</v>
      </c>
      <c r="H653" s="32">
        <v>15.98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1</v>
      </c>
      <c r="AL653">
        <v>4</v>
      </c>
      <c r="AM653">
        <v>2</v>
      </c>
      <c r="AN653" s="23" t="s">
        <v>54</v>
      </c>
      <c r="AO653" s="23">
        <v>0</v>
      </c>
      <c r="AP653" s="23">
        <v>0.25</v>
      </c>
      <c r="AQ653" s="23">
        <v>0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IFERROR($A$2+AU653,"上周无销量")</f>
        <v>上周无销量</v>
      </c>
    </row>
    <row r="654" spans="1:48">
      <c r="A654" s="21" t="s">
        <v>1392</v>
      </c>
      <c r="B654" t="s">
        <v>1393</v>
      </c>
      <c r="C654" t="s">
        <v>1375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3</v>
      </c>
      <c r="AL654">
        <v>3</v>
      </c>
      <c r="AM654">
        <v>4</v>
      </c>
      <c r="AN654" s="23" t="s">
        <v>54</v>
      </c>
      <c r="AO654" s="23">
        <v>0</v>
      </c>
      <c r="AP654" s="23">
        <v>0</v>
      </c>
      <c r="AQ654" s="23">
        <v>0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IFERROR($A$2+AU654,"上周无销量")</f>
        <v>上周无销量</v>
      </c>
    </row>
    <row r="655" spans="1:48">
      <c r="A655" s="21" t="s">
        <v>1394</v>
      </c>
      <c r="B655" t="s">
        <v>1395</v>
      </c>
      <c r="C655" t="s">
        <v>1375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3</v>
      </c>
      <c r="AL655">
        <v>1</v>
      </c>
      <c r="AM655">
        <v>3</v>
      </c>
      <c r="AN655" s="23" t="s">
        <v>54</v>
      </c>
      <c r="AO655" s="23">
        <v>0</v>
      </c>
      <c r="AP655" s="23">
        <v>0</v>
      </c>
      <c r="AQ655" s="23">
        <v>0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IFERROR($A$2+AU655,"上周无销量")</f>
        <v>上周无销量</v>
      </c>
    </row>
    <row r="656" spans="1:48">
      <c r="A656" s="21" t="s">
        <v>1396</v>
      </c>
      <c r="B656" t="s">
        <v>1397</v>
      </c>
      <c r="C656" t="s">
        <v>1375</v>
      </c>
      <c r="D656" s="31">
        <v>0</v>
      </c>
      <c r="E656" s="31">
        <v>0</v>
      </c>
      <c r="F656" s="31">
        <v>1</v>
      </c>
      <c r="G656" s="31">
        <v>0</v>
      </c>
      <c r="H656" s="32">
        <v>12.98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1</v>
      </c>
      <c r="AK656">
        <v>3</v>
      </c>
      <c r="AL656">
        <v>3</v>
      </c>
      <c r="AM656">
        <v>1</v>
      </c>
      <c r="AN656" s="23">
        <v>0</v>
      </c>
      <c r="AO656" s="23">
        <v>0</v>
      </c>
      <c r="AP656" s="23">
        <v>0.333333333333333</v>
      </c>
      <c r="AQ656" s="23">
        <v>0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IFERROR($A$2+AU656,"上周无销量")</f>
        <v>上周无销量</v>
      </c>
    </row>
    <row r="657" spans="1:48">
      <c r="A657" s="21" t="s">
        <v>1398</v>
      </c>
      <c r="B657" t="s">
        <v>1399</v>
      </c>
      <c r="C657" t="s">
        <v>1375</v>
      </c>
      <c r="D657" s="31">
        <v>0</v>
      </c>
      <c r="E657" s="31">
        <v>1</v>
      </c>
      <c r="F657" s="31">
        <v>0</v>
      </c>
      <c r="G657" s="31">
        <v>1</v>
      </c>
      <c r="H657" s="32">
        <v>15.98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4</v>
      </c>
      <c r="AL657">
        <v>8</v>
      </c>
      <c r="AM657">
        <v>3</v>
      </c>
      <c r="AN657" s="23" t="s">
        <v>54</v>
      </c>
      <c r="AO657" s="23">
        <v>0.25</v>
      </c>
      <c r="AP657" s="23">
        <v>0</v>
      </c>
      <c r="AQ657" s="23">
        <v>0.333333333333333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IFERROR($A$2+AU657,"上周无销量")</f>
        <v>上周无销量</v>
      </c>
    </row>
    <row r="658" spans="1:48">
      <c r="A658" s="21" t="s">
        <v>1400</v>
      </c>
      <c r="B658" t="s">
        <v>1401</v>
      </c>
      <c r="C658" t="s">
        <v>1375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1</v>
      </c>
      <c r="AK658">
        <v>4</v>
      </c>
      <c r="AL658">
        <v>2</v>
      </c>
      <c r="AM658">
        <v>0</v>
      </c>
      <c r="AN658" s="23">
        <v>0</v>
      </c>
      <c r="AO658" s="23">
        <v>0</v>
      </c>
      <c r="AP658" s="23">
        <v>0</v>
      </c>
      <c r="AQ658" s="23" t="s">
        <v>54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IFERROR($A$2+AU658,"上周无销量")</f>
        <v>上周无销量</v>
      </c>
    </row>
    <row r="659" spans="1:48">
      <c r="A659" s="21" t="s">
        <v>1402</v>
      </c>
      <c r="B659" t="s">
        <v>1403</v>
      </c>
      <c r="C659" t="s">
        <v>1375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3</v>
      </c>
      <c r="AL659">
        <v>8</v>
      </c>
      <c r="AM659">
        <v>3</v>
      </c>
      <c r="AN659" s="23" t="s">
        <v>54</v>
      </c>
      <c r="AO659" s="23">
        <v>0</v>
      </c>
      <c r="AP659" s="23">
        <v>0</v>
      </c>
      <c r="AQ659" s="23">
        <v>0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IFERROR($A$2+AU659,"上周无销量")</f>
        <v>上周无销量</v>
      </c>
    </row>
    <row r="660" spans="1:48">
      <c r="A660" s="21" t="s">
        <v>1404</v>
      </c>
      <c r="B660" t="s">
        <v>1405</v>
      </c>
      <c r="C660" t="s">
        <v>1375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2</v>
      </c>
      <c r="AL660">
        <v>2</v>
      </c>
      <c r="AM660">
        <v>4</v>
      </c>
      <c r="AN660" s="23" t="s">
        <v>54</v>
      </c>
      <c r="AO660" s="23">
        <v>0</v>
      </c>
      <c r="AP660" s="23">
        <v>0</v>
      </c>
      <c r="AQ660" s="23">
        <v>0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IFERROR($A$2+AU660,"上周无销量")</f>
        <v>上周无销量</v>
      </c>
    </row>
    <row r="661" spans="1:48">
      <c r="A661" s="21" t="s">
        <v>1406</v>
      </c>
      <c r="B661" t="s">
        <v>1407</v>
      </c>
      <c r="C661" t="s">
        <v>1375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1</v>
      </c>
      <c r="AK661">
        <v>2</v>
      </c>
      <c r="AL661">
        <v>3</v>
      </c>
      <c r="AM661">
        <v>1</v>
      </c>
      <c r="AN661" s="23">
        <v>0</v>
      </c>
      <c r="AO661" s="23">
        <v>0</v>
      </c>
      <c r="AP661" s="23">
        <v>0</v>
      </c>
      <c r="AQ661" s="23">
        <v>0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IFERROR($A$2+AU661,"上周无销量")</f>
        <v>上周无销量</v>
      </c>
    </row>
    <row r="662" spans="1:48">
      <c r="A662" s="21" t="s">
        <v>1408</v>
      </c>
      <c r="B662" t="s">
        <v>1409</v>
      </c>
      <c r="C662" t="s">
        <v>1375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2</v>
      </c>
      <c r="AL662">
        <v>6</v>
      </c>
      <c r="AM662">
        <v>1</v>
      </c>
      <c r="AN662" s="23" t="s">
        <v>54</v>
      </c>
      <c r="AO662" s="23">
        <v>0</v>
      </c>
      <c r="AP662" s="23">
        <v>0</v>
      </c>
      <c r="AQ662" s="23">
        <v>0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IFERROR($A$2+AU662,"上周无销量")</f>
        <v>上周无销量</v>
      </c>
    </row>
    <row r="663" spans="1:48">
      <c r="A663" s="21" t="s">
        <v>1410</v>
      </c>
      <c r="B663" t="s">
        <v>1411</v>
      </c>
      <c r="C663" t="s">
        <v>1375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4</v>
      </c>
      <c r="AL663">
        <v>5</v>
      </c>
      <c r="AM663">
        <v>4</v>
      </c>
      <c r="AN663" s="23" t="s">
        <v>54</v>
      </c>
      <c r="AO663" s="23">
        <v>0</v>
      </c>
      <c r="AP663" s="23">
        <v>0</v>
      </c>
      <c r="AQ663" s="23">
        <v>0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IFERROR($A$2+AU663,"上周无销量")</f>
        <v>上周无销量</v>
      </c>
    </row>
    <row r="664" spans="1:48">
      <c r="A664" s="21" t="s">
        <v>1412</v>
      </c>
      <c r="B664" t="s">
        <v>1413</v>
      </c>
      <c r="C664" t="s">
        <v>1375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1</v>
      </c>
      <c r="AL664">
        <v>6</v>
      </c>
      <c r="AM664">
        <v>4</v>
      </c>
      <c r="AN664" s="23" t="s">
        <v>54</v>
      </c>
      <c r="AO664" s="23">
        <v>0</v>
      </c>
      <c r="AP664" s="23">
        <v>0</v>
      </c>
      <c r="AQ664" s="23">
        <v>0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IFERROR($A$2+AU664,"上周无销量")</f>
        <v>上周无销量</v>
      </c>
    </row>
    <row r="665" spans="1:48">
      <c r="A665" s="21" t="s">
        <v>1414</v>
      </c>
      <c r="B665" t="s">
        <v>1415</v>
      </c>
      <c r="C665" t="s">
        <v>1375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1</v>
      </c>
      <c r="AL665">
        <v>0</v>
      </c>
      <c r="AM665">
        <v>1</v>
      </c>
      <c r="AN665" s="23" t="s">
        <v>54</v>
      </c>
      <c r="AO665" s="23">
        <v>0</v>
      </c>
      <c r="AP665" s="23" t="s">
        <v>54</v>
      </c>
      <c r="AQ665" s="23">
        <v>0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IFERROR($A$2+AU665,"上周无销量")</f>
        <v>上周无销量</v>
      </c>
    </row>
    <row r="666" spans="1:48">
      <c r="A666" s="21" t="s">
        <v>1416</v>
      </c>
      <c r="B666" t="s">
        <v>1417</v>
      </c>
      <c r="C666" t="s">
        <v>1375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0</v>
      </c>
      <c r="J666" s="33">
        <v>0</v>
      </c>
      <c r="K666" s="33">
        <v>0</v>
      </c>
      <c r="L666" s="33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1</v>
      </c>
      <c r="AL666">
        <v>0</v>
      </c>
      <c r="AM666">
        <v>0</v>
      </c>
      <c r="AN666" s="23" t="s">
        <v>54</v>
      </c>
      <c r="AO666" s="23">
        <v>0</v>
      </c>
      <c r="AP666" s="23" t="s">
        <v>54</v>
      </c>
      <c r="AQ666" s="23" t="s">
        <v>54</v>
      </c>
      <c r="AR666" s="35">
        <v>0</v>
      </c>
      <c r="AS666" s="35">
        <v>0</v>
      </c>
      <c r="AT666" s="35">
        <v>0</v>
      </c>
      <c r="AU666" s="31" t="str">
        <f t="shared" si="13"/>
        <v>库存为0</v>
      </c>
      <c r="AV666" s="36" t="str">
        <f>IFERROR($A$2+AU666,"上周无销量")</f>
        <v>上周无销量</v>
      </c>
    </row>
    <row r="667" spans="1:48">
      <c r="A667" s="21" t="s">
        <v>1418</v>
      </c>
      <c r="B667" t="s">
        <v>1419</v>
      </c>
      <c r="C667" t="s">
        <v>1375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1</v>
      </c>
      <c r="AK667">
        <v>3</v>
      </c>
      <c r="AL667">
        <v>2</v>
      </c>
      <c r="AM667">
        <v>0</v>
      </c>
      <c r="AN667" s="23">
        <v>0</v>
      </c>
      <c r="AO667" s="23">
        <v>0</v>
      </c>
      <c r="AP667" s="23">
        <v>0</v>
      </c>
      <c r="AQ667" s="23" t="s">
        <v>54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IFERROR($A$2+AU667,"上周无销量")</f>
        <v>上周无销量</v>
      </c>
    </row>
    <row r="668" spans="1:48">
      <c r="A668" s="21" t="s">
        <v>1420</v>
      </c>
      <c r="B668" t="s">
        <v>1421</v>
      </c>
      <c r="C668" t="s">
        <v>1375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1</v>
      </c>
      <c r="AK668">
        <v>4</v>
      </c>
      <c r="AL668">
        <v>3</v>
      </c>
      <c r="AM668">
        <v>0</v>
      </c>
      <c r="AN668" s="23">
        <v>0</v>
      </c>
      <c r="AO668" s="23">
        <v>0</v>
      </c>
      <c r="AP668" s="23">
        <v>0</v>
      </c>
      <c r="AQ668" s="23" t="s">
        <v>54</v>
      </c>
      <c r="AR668" s="35">
        <v>0</v>
      </c>
      <c r="AS668" s="35">
        <v>0</v>
      </c>
      <c r="AT668" s="35">
        <v>0</v>
      </c>
      <c r="AU668" s="31" t="str">
        <f t="shared" si="13"/>
        <v>库存为0</v>
      </c>
      <c r="AV668" s="36" t="str">
        <f>IFERROR($A$2+AU668,"上周无销量")</f>
        <v>上周无销量</v>
      </c>
    </row>
    <row r="669" spans="1:48">
      <c r="A669" s="21" t="s">
        <v>1422</v>
      </c>
      <c r="B669" t="s">
        <v>1423</v>
      </c>
      <c r="C669" t="s">
        <v>1375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1</v>
      </c>
      <c r="AK669">
        <v>2</v>
      </c>
      <c r="AL669">
        <v>1</v>
      </c>
      <c r="AM669">
        <v>2</v>
      </c>
      <c r="AN669" s="23">
        <v>0</v>
      </c>
      <c r="AO669" s="23">
        <v>0</v>
      </c>
      <c r="AP669" s="23">
        <v>0</v>
      </c>
      <c r="AQ669" s="23">
        <v>0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IFERROR($A$2+AU669,"上周无销量")</f>
        <v>上周无销量</v>
      </c>
    </row>
    <row r="670" spans="1:48">
      <c r="A670" s="21" t="s">
        <v>1424</v>
      </c>
      <c r="B670" t="s">
        <v>1425</v>
      </c>
      <c r="C670" t="s">
        <v>1375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4</v>
      </c>
      <c r="J670" s="33">
        <v>0</v>
      </c>
      <c r="K670" s="33">
        <v>0</v>
      </c>
      <c r="L670" s="33">
        <v>0</v>
      </c>
      <c r="M670">
        <v>4</v>
      </c>
      <c r="N670">
        <v>0</v>
      </c>
      <c r="O670">
        <v>4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5</v>
      </c>
      <c r="AK670">
        <v>6</v>
      </c>
      <c r="AL670">
        <v>4</v>
      </c>
      <c r="AM670">
        <v>3</v>
      </c>
      <c r="AN670" s="23">
        <v>0</v>
      </c>
      <c r="AO670" s="23">
        <v>0</v>
      </c>
      <c r="AP670" s="23">
        <v>0</v>
      </c>
      <c r="AQ670" s="23">
        <v>0</v>
      </c>
      <c r="AR670" s="35">
        <v>0</v>
      </c>
      <c r="AS670" s="35">
        <v>0</v>
      </c>
      <c r="AT670" s="35">
        <v>4</v>
      </c>
      <c r="AU670" s="31" t="str">
        <f t="shared" si="13"/>
        <v>库存为4</v>
      </c>
      <c r="AV670" s="36" t="str">
        <f>IFERROR($A$2+AU670,"上周无销量")</f>
        <v>上周无销量</v>
      </c>
    </row>
    <row r="671" spans="1:48">
      <c r="A671" s="21" t="s">
        <v>1426</v>
      </c>
      <c r="B671" t="s">
        <v>1427</v>
      </c>
      <c r="C671" t="s">
        <v>1375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2</v>
      </c>
      <c r="AL671">
        <v>3</v>
      </c>
      <c r="AM671">
        <v>0</v>
      </c>
      <c r="AN671" s="23" t="s">
        <v>54</v>
      </c>
      <c r="AO671" s="23">
        <v>0</v>
      </c>
      <c r="AP671" s="23">
        <v>0</v>
      </c>
      <c r="AQ671" s="23" t="s">
        <v>54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IFERROR($A$2+AU671,"上周无销量")</f>
        <v>上周无销量</v>
      </c>
    </row>
    <row r="672" spans="1:48">
      <c r="A672" s="21" t="s">
        <v>1428</v>
      </c>
      <c r="B672" t="s">
        <v>1429</v>
      </c>
      <c r="C672" t="s">
        <v>1375</v>
      </c>
      <c r="D672" s="31">
        <v>0</v>
      </c>
      <c r="E672" s="31">
        <v>0</v>
      </c>
      <c r="F672" s="31">
        <v>1</v>
      </c>
      <c r="G672" s="31">
        <v>0</v>
      </c>
      <c r="H672" s="32">
        <v>15.98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3</v>
      </c>
      <c r="AL672">
        <v>6</v>
      </c>
      <c r="AM672">
        <v>3</v>
      </c>
      <c r="AN672" s="23" t="s">
        <v>54</v>
      </c>
      <c r="AO672" s="23">
        <v>0</v>
      </c>
      <c r="AP672" s="23">
        <v>0.166666666666667</v>
      </c>
      <c r="AQ672" s="23">
        <v>0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IFERROR($A$2+AU672,"上周无销量")</f>
        <v>上周无销量</v>
      </c>
    </row>
    <row r="673" spans="1:48">
      <c r="A673" s="21" t="s">
        <v>1430</v>
      </c>
      <c r="B673" t="s">
        <v>1431</v>
      </c>
      <c r="C673" t="s">
        <v>1375</v>
      </c>
      <c r="D673" s="31">
        <v>0</v>
      </c>
      <c r="E673" s="31">
        <v>0</v>
      </c>
      <c r="F673" s="31">
        <v>0</v>
      </c>
      <c r="G673" s="31">
        <v>2</v>
      </c>
      <c r="H673" s="32">
        <v>14.98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>
        <v>0</v>
      </c>
      <c r="Q673">
        <v>21929</v>
      </c>
      <c r="R673">
        <v>80366</v>
      </c>
      <c r="S673">
        <v>5069</v>
      </c>
      <c r="T673">
        <v>0</v>
      </c>
      <c r="U673">
        <v>14</v>
      </c>
      <c r="V673">
        <v>78</v>
      </c>
      <c r="W673">
        <v>13</v>
      </c>
      <c r="X673" s="23" t="s">
        <v>54</v>
      </c>
      <c r="Y673" s="23">
        <v>0.000638424004742578</v>
      </c>
      <c r="Z673" s="23">
        <v>0.000970559689420899</v>
      </c>
      <c r="AA673" s="23">
        <v>0.00256460840402446</v>
      </c>
      <c r="AB673">
        <v>0</v>
      </c>
      <c r="AC673">
        <v>6.48</v>
      </c>
      <c r="AD673">
        <v>32.91</v>
      </c>
      <c r="AE673">
        <v>3.18</v>
      </c>
      <c r="AF673" s="23" t="s">
        <v>54</v>
      </c>
      <c r="AG673" s="23">
        <v>0</v>
      </c>
      <c r="AH673" s="23">
        <v>0</v>
      </c>
      <c r="AI673" s="23">
        <v>0.106141522029372</v>
      </c>
      <c r="AJ673">
        <v>0</v>
      </c>
      <c r="AK673">
        <v>9</v>
      </c>
      <c r="AL673">
        <v>48</v>
      </c>
      <c r="AM673">
        <v>6</v>
      </c>
      <c r="AN673" s="23" t="s">
        <v>54</v>
      </c>
      <c r="AO673" s="23">
        <v>0</v>
      </c>
      <c r="AP673" s="23">
        <v>0</v>
      </c>
      <c r="AQ673" s="23">
        <v>0.333333333333333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IFERROR($A$2+AU673,"上周无销量")</f>
        <v>上周无销量</v>
      </c>
    </row>
    <row r="674" spans="1:48">
      <c r="A674" s="21" t="s">
        <v>1432</v>
      </c>
      <c r="B674" t="s">
        <v>1433</v>
      </c>
      <c r="C674" t="s">
        <v>1375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1</v>
      </c>
      <c r="AK674">
        <v>5</v>
      </c>
      <c r="AL674">
        <v>3</v>
      </c>
      <c r="AM674">
        <v>1</v>
      </c>
      <c r="AN674" s="23">
        <v>0</v>
      </c>
      <c r="AO674" s="23">
        <v>0</v>
      </c>
      <c r="AP674" s="23">
        <v>0</v>
      </c>
      <c r="AQ674" s="23">
        <v>0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IFERROR($A$2+AU674,"上周无销量")</f>
        <v>上周无销量</v>
      </c>
    </row>
    <row r="675" spans="1:48">
      <c r="A675" s="21" t="s">
        <v>1434</v>
      </c>
      <c r="B675" t="s">
        <v>1435</v>
      </c>
      <c r="C675" t="s">
        <v>1375</v>
      </c>
      <c r="D675" s="31">
        <v>0</v>
      </c>
      <c r="E675" s="31">
        <v>1</v>
      </c>
      <c r="F675" s="31">
        <v>1</v>
      </c>
      <c r="G675" s="31">
        <v>0</v>
      </c>
      <c r="H675" s="32">
        <v>12.98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1</v>
      </c>
      <c r="AK675">
        <v>4</v>
      </c>
      <c r="AL675">
        <v>5</v>
      </c>
      <c r="AM675">
        <v>1</v>
      </c>
      <c r="AN675" s="23">
        <v>0</v>
      </c>
      <c r="AO675" s="23">
        <v>0.25</v>
      </c>
      <c r="AP675" s="23">
        <v>0.2</v>
      </c>
      <c r="AQ675" s="23">
        <v>0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IFERROR($A$2+AU675,"上周无销量")</f>
        <v>上周无销量</v>
      </c>
    </row>
    <row r="676" spans="1:48">
      <c r="A676" s="21" t="s">
        <v>1436</v>
      </c>
      <c r="B676" t="s">
        <v>1437</v>
      </c>
      <c r="C676" t="s">
        <v>1375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1</v>
      </c>
      <c r="AK676">
        <v>5</v>
      </c>
      <c r="AL676">
        <v>3</v>
      </c>
      <c r="AM676">
        <v>2</v>
      </c>
      <c r="AN676" s="23">
        <v>0</v>
      </c>
      <c r="AO676" s="23">
        <v>0</v>
      </c>
      <c r="AP676" s="23">
        <v>0</v>
      </c>
      <c r="AQ676" s="23">
        <v>0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IFERROR($A$2+AU676,"上周无销量")</f>
        <v>上周无销量</v>
      </c>
    </row>
    <row r="677" spans="1:48">
      <c r="A677" s="21" t="s">
        <v>1438</v>
      </c>
      <c r="B677" t="s">
        <v>1439</v>
      </c>
      <c r="C677" t="s">
        <v>1375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1</v>
      </c>
      <c r="J677" s="33">
        <v>0</v>
      </c>
      <c r="K677" s="33">
        <v>0</v>
      </c>
      <c r="L677" s="33">
        <v>0</v>
      </c>
      <c r="M677">
        <v>1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2</v>
      </c>
      <c r="AL677">
        <v>4</v>
      </c>
      <c r="AM677">
        <v>4</v>
      </c>
      <c r="AN677" s="23" t="s">
        <v>54</v>
      </c>
      <c r="AO677" s="23">
        <v>0</v>
      </c>
      <c r="AP677" s="23">
        <v>0</v>
      </c>
      <c r="AQ677" s="23">
        <v>0</v>
      </c>
      <c r="AR677" s="35">
        <v>0</v>
      </c>
      <c r="AS677" s="35">
        <v>0</v>
      </c>
      <c r="AT677" s="35">
        <v>1</v>
      </c>
      <c r="AU677" s="31" t="str">
        <f t="shared" si="13"/>
        <v>库存为1</v>
      </c>
      <c r="AV677" s="36" t="str">
        <f>IFERROR($A$2+AU677,"上周无销量")</f>
        <v>上周无销量</v>
      </c>
    </row>
    <row r="678" spans="1:48">
      <c r="A678" s="21" t="s">
        <v>1440</v>
      </c>
      <c r="B678" t="s">
        <v>1441</v>
      </c>
      <c r="C678" t="s">
        <v>1375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1</v>
      </c>
      <c r="AK678">
        <v>3</v>
      </c>
      <c r="AL678">
        <v>2</v>
      </c>
      <c r="AM678">
        <v>0</v>
      </c>
      <c r="AN678" s="23">
        <v>0</v>
      </c>
      <c r="AO678" s="23">
        <v>0</v>
      </c>
      <c r="AP678" s="23">
        <v>0</v>
      </c>
      <c r="AQ678" s="23" t="s">
        <v>54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IFERROR($A$2+AU678,"上周无销量")</f>
        <v>上周无销量</v>
      </c>
    </row>
    <row r="679" spans="1:48">
      <c r="A679" s="21" t="s">
        <v>1442</v>
      </c>
      <c r="B679" t="s">
        <v>1443</v>
      </c>
      <c r="C679" t="s">
        <v>1375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1</v>
      </c>
      <c r="AL679">
        <v>4</v>
      </c>
      <c r="AM679">
        <v>0</v>
      </c>
      <c r="AN679" s="23" t="s">
        <v>54</v>
      </c>
      <c r="AO679" s="23">
        <v>0</v>
      </c>
      <c r="AP679" s="23">
        <v>0</v>
      </c>
      <c r="AQ679" s="23" t="s">
        <v>54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IFERROR($A$2+AU679,"上周无销量")</f>
        <v>上周无销量</v>
      </c>
    </row>
    <row r="680" spans="1:48">
      <c r="A680" s="21" t="s">
        <v>1444</v>
      </c>
      <c r="B680" t="s">
        <v>1445</v>
      </c>
      <c r="C680" t="s">
        <v>1375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7</v>
      </c>
      <c r="AL680">
        <v>2</v>
      </c>
      <c r="AM680">
        <v>13</v>
      </c>
      <c r="AN680" s="23" t="s">
        <v>54</v>
      </c>
      <c r="AO680" s="23">
        <v>0</v>
      </c>
      <c r="AP680" s="23">
        <v>0</v>
      </c>
      <c r="AQ680" s="23">
        <v>0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IFERROR($A$2+AU680,"上周无销量")</f>
        <v>上周无销量</v>
      </c>
    </row>
    <row r="681" spans="1:48">
      <c r="A681" s="21" t="s">
        <v>1446</v>
      </c>
      <c r="B681" t="s">
        <v>1447</v>
      </c>
      <c r="C681" t="s">
        <v>1375</v>
      </c>
      <c r="D681" s="31">
        <v>0</v>
      </c>
      <c r="E681" s="31">
        <v>1</v>
      </c>
      <c r="F681" s="31">
        <v>0</v>
      </c>
      <c r="G681" s="31">
        <v>0</v>
      </c>
      <c r="H681" s="32">
        <v>15.98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2</v>
      </c>
      <c r="AL681">
        <v>1</v>
      </c>
      <c r="AM681">
        <v>2</v>
      </c>
      <c r="AN681" s="23" t="s">
        <v>54</v>
      </c>
      <c r="AO681" s="23">
        <v>0.5</v>
      </c>
      <c r="AP681" s="23">
        <v>0</v>
      </c>
      <c r="AQ681" s="23">
        <v>0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IFERROR($A$2+AU681,"上周无销量")</f>
        <v>上周无销量</v>
      </c>
    </row>
    <row r="682" spans="1:48">
      <c r="A682" s="21" t="s">
        <v>1448</v>
      </c>
      <c r="B682" t="s">
        <v>1449</v>
      </c>
      <c r="C682" t="s">
        <v>1375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1</v>
      </c>
      <c r="AK682">
        <v>5</v>
      </c>
      <c r="AL682">
        <v>2</v>
      </c>
      <c r="AM682">
        <v>1</v>
      </c>
      <c r="AN682" s="23">
        <v>0</v>
      </c>
      <c r="AO682" s="23">
        <v>0</v>
      </c>
      <c r="AP682" s="23">
        <v>0</v>
      </c>
      <c r="AQ682" s="23">
        <v>0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IFERROR($A$2+AU682,"上周无销量")</f>
        <v>上周无销量</v>
      </c>
    </row>
    <row r="683" spans="1:48">
      <c r="A683" s="21" t="s">
        <v>1450</v>
      </c>
      <c r="B683" t="s">
        <v>1451</v>
      </c>
      <c r="C683" t="s">
        <v>1375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2</v>
      </c>
      <c r="AL683">
        <v>2</v>
      </c>
      <c r="AM683">
        <v>2</v>
      </c>
      <c r="AN683" s="23" t="s">
        <v>54</v>
      </c>
      <c r="AO683" s="23">
        <v>0</v>
      </c>
      <c r="AP683" s="23">
        <v>0</v>
      </c>
      <c r="AQ683" s="23">
        <v>0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IFERROR($A$2+AU683,"上周无销量")</f>
        <v>上周无销量</v>
      </c>
    </row>
    <row r="684" spans="1:48">
      <c r="A684" s="21" t="s">
        <v>1452</v>
      </c>
      <c r="B684" t="s">
        <v>1453</v>
      </c>
      <c r="C684" t="s">
        <v>1375</v>
      </c>
      <c r="D684" s="31">
        <v>0</v>
      </c>
      <c r="E684" s="31">
        <v>0</v>
      </c>
      <c r="F684" s="31">
        <v>3</v>
      </c>
      <c r="G684" s="31">
        <v>0</v>
      </c>
      <c r="H684" s="32">
        <v>14.98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338</v>
      </c>
      <c r="S684">
        <v>459</v>
      </c>
      <c r="T684">
        <v>0</v>
      </c>
      <c r="U684">
        <v>0</v>
      </c>
      <c r="V684">
        <v>0</v>
      </c>
      <c r="W684">
        <v>1</v>
      </c>
      <c r="X684" s="23" t="s">
        <v>54</v>
      </c>
      <c r="Y684" s="23" t="s">
        <v>54</v>
      </c>
      <c r="Z684" s="23">
        <v>0</v>
      </c>
      <c r="AA684" s="23">
        <v>0.00217864923747277</v>
      </c>
      <c r="AB684">
        <v>0</v>
      </c>
      <c r="AC684">
        <v>0</v>
      </c>
      <c r="AD684">
        <v>0</v>
      </c>
      <c r="AE684">
        <v>0.21</v>
      </c>
      <c r="AF684" s="23" t="s">
        <v>54</v>
      </c>
      <c r="AG684" s="23" t="s">
        <v>54</v>
      </c>
      <c r="AH684" s="23" t="s">
        <v>54</v>
      </c>
      <c r="AI684" s="23">
        <v>0</v>
      </c>
      <c r="AJ684">
        <v>0</v>
      </c>
      <c r="AK684">
        <v>0</v>
      </c>
      <c r="AL684">
        <v>1</v>
      </c>
      <c r="AM684">
        <v>4</v>
      </c>
      <c r="AN684" s="23" t="s">
        <v>54</v>
      </c>
      <c r="AO684" s="23" t="s">
        <v>54</v>
      </c>
      <c r="AP684" s="23">
        <v>3</v>
      </c>
      <c r="AQ684" s="23">
        <v>0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IFERROR($A$2+AU684,"上周无销量")</f>
        <v>上周无销量</v>
      </c>
    </row>
    <row r="685" spans="1:48">
      <c r="A685" s="21" t="s">
        <v>1454</v>
      </c>
      <c r="B685" t="s">
        <v>1455</v>
      </c>
      <c r="C685" t="s">
        <v>1375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1</v>
      </c>
      <c r="AL685">
        <v>5</v>
      </c>
      <c r="AM685">
        <v>1</v>
      </c>
      <c r="AN685" s="23" t="s">
        <v>54</v>
      </c>
      <c r="AO685" s="23">
        <v>0</v>
      </c>
      <c r="AP685" s="23">
        <v>0</v>
      </c>
      <c r="AQ685" s="23">
        <v>0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IFERROR($A$2+AU685,"上周无销量")</f>
        <v>上周无销量</v>
      </c>
    </row>
    <row r="686" spans="1:48">
      <c r="A686" s="21" t="s">
        <v>1456</v>
      </c>
      <c r="B686" t="s">
        <v>1457</v>
      </c>
      <c r="C686" t="s">
        <v>1375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2</v>
      </c>
      <c r="J686" s="33">
        <v>0</v>
      </c>
      <c r="K686" s="33">
        <v>0</v>
      </c>
      <c r="L686" s="33">
        <v>0</v>
      </c>
      <c r="M686">
        <v>2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26</v>
      </c>
      <c r="AK686">
        <v>3</v>
      </c>
      <c r="AL686">
        <v>4</v>
      </c>
      <c r="AM686">
        <v>3</v>
      </c>
      <c r="AN686" s="23">
        <v>0</v>
      </c>
      <c r="AO686" s="23">
        <v>0</v>
      </c>
      <c r="AP686" s="23">
        <v>0</v>
      </c>
      <c r="AQ686" s="23">
        <v>0</v>
      </c>
      <c r="AR686" s="35">
        <v>0</v>
      </c>
      <c r="AS686" s="35">
        <v>0</v>
      </c>
      <c r="AT686" s="35">
        <v>2</v>
      </c>
      <c r="AU686" s="31" t="str">
        <f t="shared" si="13"/>
        <v>库存为2</v>
      </c>
      <c r="AV686" s="36" t="str">
        <f>IFERROR($A$2+AU686,"上周无销量")</f>
        <v>上周无销量</v>
      </c>
    </row>
    <row r="687" spans="1:48">
      <c r="A687" s="21" t="s">
        <v>1458</v>
      </c>
      <c r="B687" t="s">
        <v>1459</v>
      </c>
      <c r="C687" t="s">
        <v>1375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2</v>
      </c>
      <c r="AK687">
        <v>3</v>
      </c>
      <c r="AL687">
        <v>0</v>
      </c>
      <c r="AM687">
        <v>2</v>
      </c>
      <c r="AN687" s="23">
        <v>0</v>
      </c>
      <c r="AO687" s="23">
        <v>0</v>
      </c>
      <c r="AP687" s="23" t="s">
        <v>54</v>
      </c>
      <c r="AQ687" s="23">
        <v>0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IFERROR($A$2+AU687,"上周无销量")</f>
        <v>上周无销量</v>
      </c>
    </row>
    <row r="688" spans="1:48">
      <c r="A688" s="21" t="s">
        <v>1460</v>
      </c>
      <c r="B688" t="s">
        <v>1461</v>
      </c>
      <c r="C688" t="s">
        <v>1462</v>
      </c>
      <c r="D688" s="31">
        <v>0</v>
      </c>
      <c r="E688" s="31">
        <v>0</v>
      </c>
      <c r="F688" s="31">
        <v>0</v>
      </c>
      <c r="G688" s="31">
        <v>2</v>
      </c>
      <c r="H688" s="32">
        <v>10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1</v>
      </c>
      <c r="AN688" s="23" t="s">
        <v>54</v>
      </c>
      <c r="AO688" s="23" t="s">
        <v>54</v>
      </c>
      <c r="AP688" s="23" t="s">
        <v>54</v>
      </c>
      <c r="AQ688" s="23">
        <v>2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IFERROR($A$2+AU688,"上周无销量")</f>
        <v>上周无销量</v>
      </c>
    </row>
    <row r="689" spans="1:48">
      <c r="A689" s="21" t="s">
        <v>1463</v>
      </c>
      <c r="B689" t="s">
        <v>1464</v>
      </c>
      <c r="C689" t="s">
        <v>1462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IFERROR($A$2+AU689,"上周无销量")</f>
        <v>上周无销量</v>
      </c>
    </row>
    <row r="690" spans="1:48">
      <c r="A690" s="21" t="s">
        <v>1465</v>
      </c>
      <c r="B690" t="s">
        <v>1466</v>
      </c>
      <c r="C690" t="s">
        <v>1462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s">
        <v>54</v>
      </c>
      <c r="AO690" s="23" t="s">
        <v>54</v>
      </c>
      <c r="AP690" s="23" t="s">
        <v>54</v>
      </c>
      <c r="AQ690" s="23" t="s">
        <v>54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IFERROR($A$2+AU690,"上周无销量")</f>
        <v>上周无销量</v>
      </c>
    </row>
    <row r="691" spans="1:48">
      <c r="A691" s="21" t="s">
        <v>1467</v>
      </c>
      <c r="B691" t="s">
        <v>1468</v>
      </c>
      <c r="C691" t="s">
        <v>1462</v>
      </c>
      <c r="D691" s="31">
        <v>1</v>
      </c>
      <c r="E691" s="31">
        <v>0</v>
      </c>
      <c r="F691" s="31">
        <v>0</v>
      </c>
      <c r="G691" s="31">
        <v>0</v>
      </c>
      <c r="H691" s="32">
        <v>10.75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3</v>
      </c>
      <c r="AK691">
        <v>0</v>
      </c>
      <c r="AL691">
        <v>0</v>
      </c>
      <c r="AM691">
        <v>0</v>
      </c>
      <c r="AN691" s="23">
        <v>0.333333333333333</v>
      </c>
      <c r="AO691" s="23" t="s">
        <v>54</v>
      </c>
      <c r="AP691" s="23" t="s">
        <v>54</v>
      </c>
      <c r="AQ691" s="23" t="s">
        <v>54</v>
      </c>
      <c r="AR691" s="35">
        <v>0.142857142857143</v>
      </c>
      <c r="AS691" s="35">
        <v>8.57142857142857</v>
      </c>
      <c r="AT691" s="35">
        <v>-8.57142857142857</v>
      </c>
      <c r="AU691" s="31">
        <f t="shared" si="13"/>
        <v>0</v>
      </c>
      <c r="AV691" s="36">
        <f>IFERROR($A$2+AU691,"上周无销量")</f>
        <v>43304</v>
      </c>
    </row>
    <row r="692" spans="1:48">
      <c r="A692" s="21" t="s">
        <v>1469</v>
      </c>
      <c r="B692" t="s">
        <v>1470</v>
      </c>
      <c r="C692" t="s">
        <v>1462</v>
      </c>
      <c r="D692" s="31">
        <v>0</v>
      </c>
      <c r="E692" s="31">
        <v>0</v>
      </c>
      <c r="F692" s="31">
        <v>1</v>
      </c>
      <c r="G692" s="31">
        <v>1</v>
      </c>
      <c r="H692" s="32">
        <v>10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6</v>
      </c>
      <c r="AN692" s="23" t="s">
        <v>54</v>
      </c>
      <c r="AO692" s="23" t="s">
        <v>54</v>
      </c>
      <c r="AP692" s="23" t="s">
        <v>54</v>
      </c>
      <c r="AQ692" s="23">
        <v>0.166666666666667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IFERROR($A$2+AU692,"上周无销量")</f>
        <v>上周无销量</v>
      </c>
    </row>
    <row r="693" spans="1:48">
      <c r="A693" s="21" t="s">
        <v>1471</v>
      </c>
      <c r="B693" t="s">
        <v>1472</v>
      </c>
      <c r="C693" t="s">
        <v>1462</v>
      </c>
      <c r="D693" s="31">
        <v>0</v>
      </c>
      <c r="E693" s="31">
        <v>0</v>
      </c>
      <c r="F693" s="31">
        <v>2</v>
      </c>
      <c r="G693" s="31">
        <v>0</v>
      </c>
      <c r="H693" s="32">
        <v>9.05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3</v>
      </c>
      <c r="AL693">
        <v>5</v>
      </c>
      <c r="AM693">
        <v>4</v>
      </c>
      <c r="AN693" s="23" t="s">
        <v>54</v>
      </c>
      <c r="AO693" s="23">
        <v>0</v>
      </c>
      <c r="AP693" s="23">
        <v>0.4</v>
      </c>
      <c r="AQ693" s="23">
        <v>0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IFERROR($A$2+AU693,"上周无销量")</f>
        <v>上周无销量</v>
      </c>
    </row>
    <row r="694" spans="1:48">
      <c r="A694" s="21" t="s">
        <v>1473</v>
      </c>
      <c r="B694" t="s">
        <v>1474</v>
      </c>
      <c r="C694" t="s">
        <v>1462</v>
      </c>
      <c r="D694" s="31">
        <v>0</v>
      </c>
      <c r="E694" s="31">
        <v>0</v>
      </c>
      <c r="F694" s="31">
        <v>1</v>
      </c>
      <c r="G694" s="31">
        <v>0</v>
      </c>
      <c r="H694" s="32">
        <v>10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3</v>
      </c>
      <c r="AM694">
        <v>0</v>
      </c>
      <c r="AN694" s="23" t="s">
        <v>54</v>
      </c>
      <c r="AO694" s="23" t="s">
        <v>54</v>
      </c>
      <c r="AP694" s="23">
        <v>0.333333333333333</v>
      </c>
      <c r="AQ694" s="23" t="s">
        <v>54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IFERROR($A$2+AU694,"上周无销量")</f>
        <v>上周无销量</v>
      </c>
    </row>
    <row r="695" spans="1:48">
      <c r="A695" s="21" t="s">
        <v>1475</v>
      </c>
      <c r="B695" t="s">
        <v>1476</v>
      </c>
      <c r="C695" t="s">
        <v>1462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s">
        <v>54</v>
      </c>
      <c r="AO695" s="23" t="s">
        <v>54</v>
      </c>
      <c r="AP695" s="23" t="s">
        <v>54</v>
      </c>
      <c r="AQ695" s="23" t="s">
        <v>54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IFERROR($A$2+AU695,"上周无销量")</f>
        <v>上周无销量</v>
      </c>
    </row>
    <row r="696" spans="1:48">
      <c r="A696" s="21" t="s">
        <v>1477</v>
      </c>
      <c r="B696" t="s">
        <v>1478</v>
      </c>
      <c r="C696" t="s">
        <v>1462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s">
        <v>54</v>
      </c>
      <c r="AO696" s="23" t="s">
        <v>54</v>
      </c>
      <c r="AP696" s="23" t="s">
        <v>54</v>
      </c>
      <c r="AQ696" s="23" t="s">
        <v>54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IFERROR($A$2+AU696,"上周无销量")</f>
        <v>上周无销量</v>
      </c>
    </row>
    <row r="697" spans="1:48">
      <c r="A697" s="21" t="s">
        <v>1479</v>
      </c>
      <c r="B697" t="s">
        <v>1480</v>
      </c>
      <c r="C697" t="s">
        <v>1462</v>
      </c>
      <c r="D697" s="31">
        <v>0</v>
      </c>
      <c r="E697" s="31">
        <v>0</v>
      </c>
      <c r="F697" s="31">
        <v>1</v>
      </c>
      <c r="G697" s="31">
        <v>0</v>
      </c>
      <c r="H697" s="32">
        <v>9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3</v>
      </c>
      <c r="AK697">
        <v>6</v>
      </c>
      <c r="AL697">
        <v>8</v>
      </c>
      <c r="AM697">
        <v>6</v>
      </c>
      <c r="AN697" s="23">
        <v>0</v>
      </c>
      <c r="AO697" s="23">
        <v>0</v>
      </c>
      <c r="AP697" s="23">
        <v>0.125</v>
      </c>
      <c r="AQ697" s="23">
        <v>0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IFERROR($A$2+AU697,"上周无销量")</f>
        <v>上周无销量</v>
      </c>
    </row>
    <row r="698" spans="1:48">
      <c r="A698" s="21" t="s">
        <v>1481</v>
      </c>
      <c r="B698" t="s">
        <v>1482</v>
      </c>
      <c r="C698" t="s">
        <v>1462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IFERROR($A$2+AU698,"上周无销量")</f>
        <v>上周无销量</v>
      </c>
    </row>
    <row r="699" spans="1:48">
      <c r="A699" s="21" t="s">
        <v>1483</v>
      </c>
      <c r="B699" t="s">
        <v>1484</v>
      </c>
      <c r="C699" t="s">
        <v>1462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s">
        <v>54</v>
      </c>
      <c r="AO699" s="23" t="s">
        <v>54</v>
      </c>
      <c r="AP699" s="23" t="s">
        <v>54</v>
      </c>
      <c r="AQ699" s="23" t="s">
        <v>54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IFERROR($A$2+AU699,"上周无销量")</f>
        <v>上周无销量</v>
      </c>
    </row>
    <row r="700" spans="1:48">
      <c r="A700" s="21" t="s">
        <v>1485</v>
      </c>
      <c r="B700" t="s">
        <v>1486</v>
      </c>
      <c r="C700" t="s">
        <v>1462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IFERROR($A$2+AU700,"上周无销量")</f>
        <v>上周无销量</v>
      </c>
    </row>
    <row r="701" spans="1:48">
      <c r="A701" s="21" t="s">
        <v>1487</v>
      </c>
      <c r="B701" t="s">
        <v>1488</v>
      </c>
      <c r="C701" t="s">
        <v>1462</v>
      </c>
      <c r="D701" s="31">
        <v>0</v>
      </c>
      <c r="E701" s="31">
        <v>0</v>
      </c>
      <c r="F701" s="31">
        <v>0</v>
      </c>
      <c r="G701" s="31">
        <v>1</v>
      </c>
      <c r="H701" s="32">
        <v>8.69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2</v>
      </c>
      <c r="AK701">
        <v>5</v>
      </c>
      <c r="AL701">
        <v>6</v>
      </c>
      <c r="AM701">
        <v>4</v>
      </c>
      <c r="AN701" s="23">
        <v>0</v>
      </c>
      <c r="AO701" s="23">
        <v>0</v>
      </c>
      <c r="AP701" s="23">
        <v>0</v>
      </c>
      <c r="AQ701" s="23">
        <v>0.25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IFERROR($A$2+AU701,"上周无销量")</f>
        <v>上周无销量</v>
      </c>
    </row>
    <row r="702" spans="1:48">
      <c r="A702" s="21" t="s">
        <v>1489</v>
      </c>
      <c r="B702" t="s">
        <v>1490</v>
      </c>
      <c r="C702" t="s">
        <v>1462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s">
        <v>54</v>
      </c>
      <c r="AO702" s="23" t="s">
        <v>54</v>
      </c>
      <c r="AP702" s="23" t="s">
        <v>54</v>
      </c>
      <c r="AQ702" s="23" t="s">
        <v>54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IFERROR($A$2+AU702,"上周无销量")</f>
        <v>上周无销量</v>
      </c>
    </row>
    <row r="703" spans="1:48">
      <c r="A703" s="21" t="s">
        <v>1491</v>
      </c>
      <c r="B703" t="s">
        <v>1492</v>
      </c>
      <c r="C703" t="s">
        <v>1462</v>
      </c>
      <c r="D703" s="31">
        <v>1</v>
      </c>
      <c r="E703" s="31">
        <v>1</v>
      </c>
      <c r="F703" s="31">
        <v>2</v>
      </c>
      <c r="G703" s="31">
        <v>0</v>
      </c>
      <c r="H703" s="32">
        <v>10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8</v>
      </c>
      <c r="AK703">
        <v>1</v>
      </c>
      <c r="AL703">
        <v>12</v>
      </c>
      <c r="AM703">
        <v>12</v>
      </c>
      <c r="AN703" s="23">
        <v>0.125</v>
      </c>
      <c r="AO703" s="23">
        <v>1</v>
      </c>
      <c r="AP703" s="23">
        <v>0.166666666666667</v>
      </c>
      <c r="AQ703" s="23">
        <v>0</v>
      </c>
      <c r="AR703" s="35">
        <v>0.142857142857143</v>
      </c>
      <c r="AS703" s="35">
        <v>8.57142857142857</v>
      </c>
      <c r="AT703" s="35">
        <v>-8.57142857142857</v>
      </c>
      <c r="AU703" s="31">
        <f t="shared" si="13"/>
        <v>0</v>
      </c>
      <c r="AV703" s="36">
        <f>IFERROR($A$2+AU703,"上周无销量")</f>
        <v>43304</v>
      </c>
    </row>
    <row r="704" spans="1:48">
      <c r="A704" s="21" t="s">
        <v>1493</v>
      </c>
      <c r="B704" t="s">
        <v>1494</v>
      </c>
      <c r="C704" t="s">
        <v>1462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s">
        <v>54</v>
      </c>
      <c r="AO704" s="23" t="s">
        <v>54</v>
      </c>
      <c r="AP704" s="23" t="s">
        <v>54</v>
      </c>
      <c r="AQ704" s="23" t="s">
        <v>54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IFERROR($A$2+AU704,"上周无销量")</f>
        <v>上周无销量</v>
      </c>
    </row>
    <row r="705" spans="1:48">
      <c r="A705" s="21" t="s">
        <v>1495</v>
      </c>
      <c r="B705" t="s">
        <v>1496</v>
      </c>
      <c r="C705" t="s">
        <v>1462</v>
      </c>
      <c r="D705" s="31">
        <v>0</v>
      </c>
      <c r="E705" s="31">
        <v>0</v>
      </c>
      <c r="F705" s="31">
        <v>4</v>
      </c>
      <c r="G705" s="31">
        <v>1</v>
      </c>
      <c r="H705" s="32">
        <v>10.596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12</v>
      </c>
      <c r="AM705">
        <v>10</v>
      </c>
      <c r="AN705" s="23" t="s">
        <v>54</v>
      </c>
      <c r="AO705" s="23" t="s">
        <v>54</v>
      </c>
      <c r="AP705" s="23">
        <v>0.333333333333333</v>
      </c>
      <c r="AQ705" s="23">
        <v>0.1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IFERROR($A$2+AU705,"上周无销量")</f>
        <v>上周无销量</v>
      </c>
    </row>
    <row r="706" spans="1:48">
      <c r="A706" s="21" t="s">
        <v>1497</v>
      </c>
      <c r="B706" t="s">
        <v>1498</v>
      </c>
      <c r="C706" t="s">
        <v>1462</v>
      </c>
      <c r="D706" s="31">
        <v>0</v>
      </c>
      <c r="E706" s="31">
        <v>0</v>
      </c>
      <c r="F706" s="31">
        <v>2</v>
      </c>
      <c r="G706" s="31">
        <v>2</v>
      </c>
      <c r="H706" s="32">
        <v>10.745</v>
      </c>
      <c r="I706">
        <v>1</v>
      </c>
      <c r="J706" s="33">
        <v>0</v>
      </c>
      <c r="K706" s="33">
        <v>0</v>
      </c>
      <c r="L706" s="33">
        <v>0</v>
      </c>
      <c r="M706">
        <v>1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8</v>
      </c>
      <c r="AK706">
        <v>8</v>
      </c>
      <c r="AL706">
        <v>4</v>
      </c>
      <c r="AM706">
        <v>7</v>
      </c>
      <c r="AN706" s="23">
        <v>0</v>
      </c>
      <c r="AO706" s="23">
        <v>0</v>
      </c>
      <c r="AP706" s="23">
        <v>0.5</v>
      </c>
      <c r="AQ706" s="23">
        <v>0.285714285714286</v>
      </c>
      <c r="AR706" s="35">
        <v>0</v>
      </c>
      <c r="AS706" s="35">
        <v>0</v>
      </c>
      <c r="AT706" s="35">
        <v>1</v>
      </c>
      <c r="AU706" s="31" t="str">
        <f t="shared" si="13"/>
        <v>库存为1</v>
      </c>
      <c r="AV706" s="36" t="str">
        <f>IFERROR($A$2+AU706,"上周无销量")</f>
        <v>上周无销量</v>
      </c>
    </row>
    <row r="707" spans="1:48">
      <c r="A707" s="21" t="s">
        <v>1499</v>
      </c>
      <c r="B707" t="s">
        <v>1500</v>
      </c>
      <c r="C707" t="s">
        <v>1462</v>
      </c>
      <c r="D707" s="31">
        <v>0</v>
      </c>
      <c r="E707" s="31">
        <v>0</v>
      </c>
      <c r="F707" s="31">
        <v>2</v>
      </c>
      <c r="G707" s="31">
        <v>0</v>
      </c>
      <c r="H707" s="32">
        <v>10</v>
      </c>
      <c r="I707">
        <v>1</v>
      </c>
      <c r="J707" s="33">
        <v>0</v>
      </c>
      <c r="K707" s="33">
        <v>0</v>
      </c>
      <c r="L707" s="33">
        <v>0</v>
      </c>
      <c r="M707">
        <v>1</v>
      </c>
      <c r="N707">
        <v>0</v>
      </c>
      <c r="O707">
        <v>0</v>
      </c>
      <c r="P707">
        <v>0</v>
      </c>
      <c r="Q707">
        <v>0</v>
      </c>
      <c r="R707">
        <v>1120</v>
      </c>
      <c r="S707">
        <v>2566</v>
      </c>
      <c r="T707">
        <v>0</v>
      </c>
      <c r="U707">
        <v>0</v>
      </c>
      <c r="V707">
        <v>25</v>
      </c>
      <c r="W707">
        <v>36</v>
      </c>
      <c r="X707" s="23" t="s">
        <v>54</v>
      </c>
      <c r="Y707" s="23" t="s">
        <v>54</v>
      </c>
      <c r="Z707" s="23">
        <v>0.0223214285714286</v>
      </c>
      <c r="AA707" s="23">
        <v>0.0140296180826189</v>
      </c>
      <c r="AB707">
        <v>0</v>
      </c>
      <c r="AC707">
        <v>0</v>
      </c>
      <c r="AD707">
        <v>16.09</v>
      </c>
      <c r="AE707">
        <v>27.89</v>
      </c>
      <c r="AF707" s="23" t="s">
        <v>54</v>
      </c>
      <c r="AG707" s="23" t="s">
        <v>54</v>
      </c>
      <c r="AH707" s="23">
        <v>0.8045</v>
      </c>
      <c r="AI707" s="23">
        <v>0</v>
      </c>
      <c r="AJ707">
        <v>1</v>
      </c>
      <c r="AK707">
        <v>0</v>
      </c>
      <c r="AL707">
        <v>22</v>
      </c>
      <c r="AM707">
        <v>25</v>
      </c>
      <c r="AN707" s="23">
        <v>0</v>
      </c>
      <c r="AO707" s="23" t="s">
        <v>54</v>
      </c>
      <c r="AP707" s="23">
        <v>0.0909090909090909</v>
      </c>
      <c r="AQ707" s="23">
        <v>0</v>
      </c>
      <c r="AR707" s="35">
        <v>0</v>
      </c>
      <c r="AS707" s="35">
        <v>0</v>
      </c>
      <c r="AT707" s="35">
        <v>1</v>
      </c>
      <c r="AU707" s="31" t="str">
        <f t="shared" si="13"/>
        <v>库存为1</v>
      </c>
      <c r="AV707" s="36" t="str">
        <f>IFERROR($A$2+AU707,"上周无销量")</f>
        <v>上周无销量</v>
      </c>
    </row>
    <row r="708" spans="1:48">
      <c r="A708" s="21" t="s">
        <v>1501</v>
      </c>
      <c r="B708" t="s">
        <v>1502</v>
      </c>
      <c r="C708" t="s">
        <v>1462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s">
        <v>54</v>
      </c>
      <c r="AO708" s="23" t="s">
        <v>54</v>
      </c>
      <c r="AP708" s="23" t="s">
        <v>54</v>
      </c>
      <c r="AQ708" s="23" t="s">
        <v>54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IFERROR($A$2+AU708,"上周无销量")</f>
        <v>上周无销量</v>
      </c>
    </row>
    <row r="709" spans="1:48">
      <c r="A709" s="21" t="s">
        <v>1503</v>
      </c>
      <c r="B709" t="s">
        <v>1504</v>
      </c>
      <c r="C709" t="s">
        <v>1462</v>
      </c>
      <c r="D709" s="31">
        <v>0</v>
      </c>
      <c r="E709" s="31">
        <v>0</v>
      </c>
      <c r="F709" s="31">
        <v>1</v>
      </c>
      <c r="G709" s="31">
        <v>0</v>
      </c>
      <c r="H709" s="32">
        <v>10</v>
      </c>
      <c r="I709">
        <v>1</v>
      </c>
      <c r="J709" s="33">
        <v>0</v>
      </c>
      <c r="K709" s="33">
        <v>0</v>
      </c>
      <c r="L709" s="33">
        <v>0</v>
      </c>
      <c r="M709">
        <v>1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2</v>
      </c>
      <c r="AK709">
        <v>3</v>
      </c>
      <c r="AL709">
        <v>6</v>
      </c>
      <c r="AM709">
        <v>8</v>
      </c>
      <c r="AN709" s="23">
        <v>0</v>
      </c>
      <c r="AO709" s="23">
        <v>0</v>
      </c>
      <c r="AP709" s="23">
        <v>0.166666666666667</v>
      </c>
      <c r="AQ709" s="23">
        <v>0</v>
      </c>
      <c r="AR709" s="35">
        <v>0</v>
      </c>
      <c r="AS709" s="35">
        <v>0</v>
      </c>
      <c r="AT709" s="35">
        <v>1</v>
      </c>
      <c r="AU709" s="31" t="str">
        <f t="shared" ref="AU709:AU772" si="14">IF(AR709="","库存为"&amp;M709,IF(AS709=0,"库存为"&amp;M709,INT(M709/AR709)))</f>
        <v>库存为1</v>
      </c>
      <c r="AV709" s="36" t="str">
        <f>IFERROR($A$2+AU709,"上周无销量")</f>
        <v>上周无销量</v>
      </c>
    </row>
    <row r="710" spans="1:48">
      <c r="A710" s="21" t="s">
        <v>1505</v>
      </c>
      <c r="B710" t="s">
        <v>1506</v>
      </c>
      <c r="C710" t="s">
        <v>1462</v>
      </c>
      <c r="D710" s="31">
        <v>0</v>
      </c>
      <c r="E710" s="31">
        <v>2</v>
      </c>
      <c r="F710" s="31">
        <v>2</v>
      </c>
      <c r="G710" s="31">
        <v>0</v>
      </c>
      <c r="H710" s="32">
        <v>10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4</v>
      </c>
      <c r="AL710">
        <v>9</v>
      </c>
      <c r="AM710">
        <v>4</v>
      </c>
      <c r="AN710" s="23" t="s">
        <v>54</v>
      </c>
      <c r="AO710" s="23">
        <v>0.5</v>
      </c>
      <c r="AP710" s="23">
        <v>0.222222222222222</v>
      </c>
      <c r="AQ710" s="23">
        <v>0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IFERROR($A$2+AU710,"上周无销量")</f>
        <v>上周无销量</v>
      </c>
    </row>
    <row r="711" spans="1:48">
      <c r="A711" s="21" t="s">
        <v>1507</v>
      </c>
      <c r="B711" t="s">
        <v>1508</v>
      </c>
      <c r="C711" t="s">
        <v>1462</v>
      </c>
      <c r="D711" s="31">
        <v>0</v>
      </c>
      <c r="E711" s="31">
        <v>0</v>
      </c>
      <c r="F711" s="31">
        <v>0</v>
      </c>
      <c r="G711" s="31">
        <v>2</v>
      </c>
      <c r="H711" s="32">
        <v>10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1</v>
      </c>
      <c r="AK711">
        <v>10</v>
      </c>
      <c r="AL711">
        <v>16</v>
      </c>
      <c r="AM711">
        <v>5</v>
      </c>
      <c r="AN711" s="23">
        <v>0</v>
      </c>
      <c r="AO711" s="23">
        <v>0</v>
      </c>
      <c r="AP711" s="23">
        <v>0</v>
      </c>
      <c r="AQ711" s="23">
        <v>0.4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IFERROR($A$2+AU711,"上周无销量")</f>
        <v>上周无销量</v>
      </c>
    </row>
    <row r="712" spans="1:48">
      <c r="A712" s="21" t="s">
        <v>1509</v>
      </c>
      <c r="B712" t="s">
        <v>1510</v>
      </c>
      <c r="C712" t="s">
        <v>1462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IFERROR($A$2+AU712,"上周无销量")</f>
        <v>上周无销量</v>
      </c>
    </row>
    <row r="713" spans="1:48">
      <c r="A713" s="21" t="s">
        <v>1511</v>
      </c>
      <c r="B713" t="s">
        <v>1512</v>
      </c>
      <c r="C713" t="s">
        <v>1462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IFERROR($A$2+AU713,"上周无销量")</f>
        <v>上周无销量</v>
      </c>
    </row>
    <row r="714" spans="1:48">
      <c r="A714" s="21" t="s">
        <v>1513</v>
      </c>
      <c r="B714" t="s">
        <v>1514</v>
      </c>
      <c r="C714" t="s">
        <v>1462</v>
      </c>
      <c r="D714" s="31">
        <v>0</v>
      </c>
      <c r="E714" s="31">
        <v>0</v>
      </c>
      <c r="F714" s="31">
        <v>4</v>
      </c>
      <c r="G714" s="31">
        <v>3</v>
      </c>
      <c r="H714" s="32">
        <v>10</v>
      </c>
      <c r="I714">
        <v>1</v>
      </c>
      <c r="J714" s="33">
        <v>0</v>
      </c>
      <c r="K714" s="33">
        <v>0</v>
      </c>
      <c r="L714" s="33">
        <v>0</v>
      </c>
      <c r="M714">
        <v>1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7</v>
      </c>
      <c r="AK714">
        <v>1</v>
      </c>
      <c r="AL714">
        <v>1</v>
      </c>
      <c r="AM714">
        <v>1</v>
      </c>
      <c r="AN714" s="23">
        <v>0</v>
      </c>
      <c r="AO714" s="23">
        <v>0</v>
      </c>
      <c r="AP714" s="23">
        <v>4</v>
      </c>
      <c r="AQ714" s="23">
        <v>3</v>
      </c>
      <c r="AR714" s="35">
        <v>0</v>
      </c>
      <c r="AS714" s="35">
        <v>0</v>
      </c>
      <c r="AT714" s="35">
        <v>1</v>
      </c>
      <c r="AU714" s="31" t="str">
        <f t="shared" si="14"/>
        <v>库存为1</v>
      </c>
      <c r="AV714" s="36" t="str">
        <f>IFERROR($A$2+AU714,"上周无销量")</f>
        <v>上周无销量</v>
      </c>
    </row>
    <row r="715" spans="1:48">
      <c r="A715" s="21" t="s">
        <v>1515</v>
      </c>
      <c r="B715" t="s">
        <v>1516</v>
      </c>
      <c r="C715" t="s">
        <v>1462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s">
        <v>54</v>
      </c>
      <c r="AO715" s="23" t="s">
        <v>54</v>
      </c>
      <c r="AP715" s="23" t="s">
        <v>54</v>
      </c>
      <c r="AQ715" s="23" t="s">
        <v>54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IFERROR($A$2+AU715,"上周无销量")</f>
        <v>上周无销量</v>
      </c>
    </row>
    <row r="716" spans="1:48">
      <c r="A716" s="21" t="s">
        <v>1517</v>
      </c>
      <c r="B716" t="s">
        <v>1518</v>
      </c>
      <c r="C716" t="s">
        <v>1517</v>
      </c>
      <c r="D716" s="31">
        <v>0</v>
      </c>
      <c r="E716" s="31">
        <v>1</v>
      </c>
      <c r="F716" s="31">
        <v>0</v>
      </c>
      <c r="G716" s="31">
        <v>0</v>
      </c>
      <c r="H716" s="32">
        <v>10.99</v>
      </c>
      <c r="I716">
        <v>3</v>
      </c>
      <c r="J716" s="33">
        <v>0</v>
      </c>
      <c r="K716" s="33">
        <v>0</v>
      </c>
      <c r="L716" s="33">
        <v>0</v>
      </c>
      <c r="M716">
        <v>3</v>
      </c>
      <c r="N716">
        <v>0</v>
      </c>
      <c r="O716">
        <v>3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37</v>
      </c>
      <c r="AK716">
        <v>36</v>
      </c>
      <c r="AL716">
        <v>14</v>
      </c>
      <c r="AM716">
        <v>4</v>
      </c>
      <c r="AN716" s="23">
        <v>0</v>
      </c>
      <c r="AO716" s="23">
        <v>0.0277777777777778</v>
      </c>
      <c r="AP716" s="23">
        <v>0</v>
      </c>
      <c r="AQ716" s="23">
        <v>0</v>
      </c>
      <c r="AR716" s="35">
        <v>0</v>
      </c>
      <c r="AS716" s="35">
        <v>0</v>
      </c>
      <c r="AT716" s="35">
        <v>3</v>
      </c>
      <c r="AU716" s="31" t="str">
        <f t="shared" si="14"/>
        <v>库存为3</v>
      </c>
      <c r="AV716" s="36" t="str">
        <f>IFERROR($A$2+AU716,"上周无销量")</f>
        <v>上周无销量</v>
      </c>
    </row>
    <row r="717" spans="1:48">
      <c r="A717" s="21" t="s">
        <v>1519</v>
      </c>
      <c r="B717" t="s">
        <v>1520</v>
      </c>
      <c r="C717" t="s">
        <v>1521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s">
        <v>54</v>
      </c>
      <c r="AO717" s="23" t="s">
        <v>54</v>
      </c>
      <c r="AP717" s="23" t="s">
        <v>54</v>
      </c>
      <c r="AQ717" s="23" t="s">
        <v>54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IFERROR($A$2+AU717,"上周无销量")</f>
        <v>上周无销量</v>
      </c>
    </row>
    <row r="718" spans="1:48">
      <c r="A718" s="21" t="s">
        <v>1522</v>
      </c>
      <c r="B718" t="s">
        <v>1523</v>
      </c>
      <c r="C718" t="s">
        <v>1521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s">
        <v>54</v>
      </c>
      <c r="AO718" s="23" t="s">
        <v>54</v>
      </c>
      <c r="AP718" s="23" t="s">
        <v>54</v>
      </c>
      <c r="AQ718" s="23" t="s">
        <v>54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IFERROR($A$2+AU718,"上周无销量")</f>
        <v>上周无销量</v>
      </c>
    </row>
    <row r="719" spans="1:48">
      <c r="A719" s="21" t="s">
        <v>1524</v>
      </c>
      <c r="B719" t="s">
        <v>1525</v>
      </c>
      <c r="C719" t="s">
        <v>1521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s">
        <v>54</v>
      </c>
      <c r="AO719" s="23" t="s">
        <v>54</v>
      </c>
      <c r="AP719" s="23" t="s">
        <v>54</v>
      </c>
      <c r="AQ719" s="23" t="s">
        <v>54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IFERROR($A$2+AU719,"上周无销量")</f>
        <v>上周无销量</v>
      </c>
    </row>
    <row r="720" spans="1:48">
      <c r="A720" s="21" t="s">
        <v>1526</v>
      </c>
      <c r="B720" t="s">
        <v>1527</v>
      </c>
      <c r="C720" t="s">
        <v>1521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IFERROR($A$2+AU720,"上周无销量")</f>
        <v>上周无销量</v>
      </c>
    </row>
    <row r="721" spans="1:48">
      <c r="A721" s="21" t="s">
        <v>1528</v>
      </c>
      <c r="B721" t="s">
        <v>1529</v>
      </c>
      <c r="C721" t="s">
        <v>1521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IFERROR($A$2+AU721,"上周无销量")</f>
        <v>上周无销量</v>
      </c>
    </row>
    <row r="722" spans="1:48">
      <c r="A722" s="21" t="s">
        <v>1530</v>
      </c>
      <c r="B722" t="s">
        <v>1531</v>
      </c>
      <c r="C722" t="s">
        <v>1521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IFERROR($A$2+AU722,"上周无销量")</f>
        <v>上周无销量</v>
      </c>
    </row>
    <row r="723" spans="1:48">
      <c r="A723" s="21" t="s">
        <v>1532</v>
      </c>
      <c r="B723" t="s">
        <v>1533</v>
      </c>
      <c r="C723" t="s">
        <v>1521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IFERROR($A$2+AU723,"上周无销量")</f>
        <v>上周无销量</v>
      </c>
    </row>
    <row r="724" spans="1:48">
      <c r="A724" s="21" t="s">
        <v>1534</v>
      </c>
      <c r="B724" t="s">
        <v>1535</v>
      </c>
      <c r="C724" t="s">
        <v>1521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IFERROR($A$2+AU724,"上周无销量")</f>
        <v>上周无销量</v>
      </c>
    </row>
    <row r="725" spans="1:48">
      <c r="A725" s="21" t="s">
        <v>1536</v>
      </c>
      <c r="B725" t="s">
        <v>1537</v>
      </c>
      <c r="C725" t="s">
        <v>1521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IFERROR($A$2+AU725,"上周无销量")</f>
        <v>上周无销量</v>
      </c>
    </row>
    <row r="726" spans="1:48">
      <c r="A726" s="21" t="s">
        <v>1538</v>
      </c>
      <c r="B726" t="s">
        <v>1539</v>
      </c>
      <c r="C726" t="s">
        <v>1521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IFERROR($A$2+AU726,"上周无销量")</f>
        <v>上周无销量</v>
      </c>
    </row>
    <row r="727" spans="1:48">
      <c r="A727" s="21" t="s">
        <v>1540</v>
      </c>
      <c r="B727" t="s">
        <v>1541</v>
      </c>
      <c r="C727" t="s">
        <v>1521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IFERROR($A$2+AU727,"上周无销量")</f>
        <v>上周无销量</v>
      </c>
    </row>
    <row r="728" spans="1:48">
      <c r="A728" s="21" t="s">
        <v>1542</v>
      </c>
      <c r="B728" t="s">
        <v>1543</v>
      </c>
      <c r="C728" t="s">
        <v>1521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IFERROR($A$2+AU728,"上周无销量")</f>
        <v>上周无销量</v>
      </c>
    </row>
    <row r="729" spans="1:48">
      <c r="A729" s="21" t="s">
        <v>1544</v>
      </c>
      <c r="B729" t="s">
        <v>1545</v>
      </c>
      <c r="C729" t="s">
        <v>1521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IFERROR($A$2+AU729,"上周无销量")</f>
        <v>上周无销量</v>
      </c>
    </row>
    <row r="730" spans="1:48">
      <c r="A730" s="21" t="s">
        <v>1546</v>
      </c>
      <c r="B730" t="s">
        <v>1547</v>
      </c>
      <c r="C730" t="s">
        <v>1521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IFERROR($A$2+AU730,"上周无销量")</f>
        <v>上周无销量</v>
      </c>
    </row>
    <row r="731" spans="1:48">
      <c r="A731" s="21" t="s">
        <v>1548</v>
      </c>
      <c r="B731" t="s">
        <v>1549</v>
      </c>
      <c r="C731" t="s">
        <v>1521</v>
      </c>
      <c r="D731" s="31">
        <v>1</v>
      </c>
      <c r="E731" s="31">
        <v>0</v>
      </c>
      <c r="F731" s="31">
        <v>0</v>
      </c>
      <c r="G731" s="31">
        <v>0</v>
      </c>
      <c r="H731" s="32">
        <v>18.99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s">
        <v>54</v>
      </c>
      <c r="AO731" s="23" t="s">
        <v>54</v>
      </c>
      <c r="AP731" s="23" t="s">
        <v>54</v>
      </c>
      <c r="AQ731" s="23" t="s">
        <v>54</v>
      </c>
      <c r="AR731" s="35">
        <v>0.142857142857143</v>
      </c>
      <c r="AS731" s="35">
        <v>8.57142857142857</v>
      </c>
      <c r="AT731" s="35">
        <v>-8.57142857142857</v>
      </c>
      <c r="AU731" s="31">
        <f t="shared" si="14"/>
        <v>0</v>
      </c>
      <c r="AV731" s="36">
        <f>IFERROR($A$2+AU731,"上周无销量")</f>
        <v>43304</v>
      </c>
    </row>
    <row r="732" spans="1:48">
      <c r="A732" s="21" t="s">
        <v>1550</v>
      </c>
      <c r="B732" t="s">
        <v>1551</v>
      </c>
      <c r="C732" t="s">
        <v>1521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s">
        <v>54</v>
      </c>
      <c r="AO732" s="23" t="s">
        <v>54</v>
      </c>
      <c r="AP732" s="23" t="s">
        <v>54</v>
      </c>
      <c r="AQ732" s="23" t="s">
        <v>54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IFERROR($A$2+AU732,"上周无销量")</f>
        <v>上周无销量</v>
      </c>
    </row>
    <row r="733" spans="1:48">
      <c r="A733" s="21" t="s">
        <v>1552</v>
      </c>
      <c r="B733" t="s">
        <v>1553</v>
      </c>
      <c r="C733" t="s">
        <v>1521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s">
        <v>54</v>
      </c>
      <c r="AO733" s="23" t="s">
        <v>54</v>
      </c>
      <c r="AP733" s="23" t="s">
        <v>54</v>
      </c>
      <c r="AQ733" s="23" t="s">
        <v>54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IFERROR($A$2+AU733,"上周无销量")</f>
        <v>上周无销量</v>
      </c>
    </row>
    <row r="734" spans="1:48">
      <c r="A734" s="21" t="s">
        <v>1554</v>
      </c>
      <c r="B734" t="s">
        <v>1555</v>
      </c>
      <c r="C734" t="s">
        <v>1521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IFERROR($A$2+AU734,"上周无销量")</f>
        <v>上周无销量</v>
      </c>
    </row>
    <row r="735" spans="1:48">
      <c r="A735" s="21" t="s">
        <v>1556</v>
      </c>
      <c r="B735" t="s">
        <v>1557</v>
      </c>
      <c r="C735" t="s">
        <v>1521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IFERROR($A$2+AU735,"上周无销量")</f>
        <v>上周无销量</v>
      </c>
    </row>
    <row r="736" spans="1:48">
      <c r="A736" s="21" t="s">
        <v>1558</v>
      </c>
      <c r="B736" t="s">
        <v>1559</v>
      </c>
      <c r="C736" t="s">
        <v>1521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IFERROR($A$2+AU736,"上周无销量")</f>
        <v>上周无销量</v>
      </c>
    </row>
    <row r="737" spans="1:48">
      <c r="A737" s="21" t="s">
        <v>1560</v>
      </c>
      <c r="B737" t="s">
        <v>1561</v>
      </c>
      <c r="C737" t="s">
        <v>1521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IFERROR($A$2+AU737,"上周无销量")</f>
        <v>上周无销量</v>
      </c>
    </row>
    <row r="738" spans="1:48">
      <c r="A738" s="21" t="s">
        <v>1562</v>
      </c>
      <c r="B738" t="s">
        <v>1563</v>
      </c>
      <c r="C738" t="s">
        <v>1521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IFERROR($A$2+AU738,"上周无销量")</f>
        <v>上周无销量</v>
      </c>
    </row>
    <row r="739" spans="1:48">
      <c r="A739" s="21" t="s">
        <v>1564</v>
      </c>
      <c r="B739" t="s">
        <v>1565</v>
      </c>
      <c r="C739" t="s">
        <v>1521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s">
        <v>54</v>
      </c>
      <c r="AO739" s="23" t="s">
        <v>54</v>
      </c>
      <c r="AP739" s="23" t="s">
        <v>54</v>
      </c>
      <c r="AQ739" s="23" t="s">
        <v>54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IFERROR($A$2+AU739,"上周无销量")</f>
        <v>上周无销量</v>
      </c>
    </row>
    <row r="740" spans="1:48">
      <c r="A740" s="21" t="s">
        <v>1566</v>
      </c>
      <c r="B740" t="s">
        <v>1567</v>
      </c>
      <c r="C740" t="s">
        <v>1521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IFERROR($A$2+AU740,"上周无销量")</f>
        <v>上周无销量</v>
      </c>
    </row>
    <row r="741" spans="1:48">
      <c r="A741" s="21" t="s">
        <v>1568</v>
      </c>
      <c r="B741" t="s">
        <v>1569</v>
      </c>
      <c r="C741" t="s">
        <v>1521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s">
        <v>54</v>
      </c>
      <c r="AO741" s="23" t="s">
        <v>54</v>
      </c>
      <c r="AP741" s="23" t="s">
        <v>54</v>
      </c>
      <c r="AQ741" s="23" t="s">
        <v>54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IFERROR($A$2+AU741,"上周无销量")</f>
        <v>上周无销量</v>
      </c>
    </row>
    <row r="742" spans="1:48">
      <c r="A742" s="21" t="s">
        <v>1570</v>
      </c>
      <c r="B742" t="s">
        <v>1571</v>
      </c>
      <c r="C742" t="s">
        <v>1521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s">
        <v>54</v>
      </c>
      <c r="AO742" s="23" t="s">
        <v>54</v>
      </c>
      <c r="AP742" s="23" t="s">
        <v>54</v>
      </c>
      <c r="AQ742" s="23" t="s">
        <v>54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IFERROR($A$2+AU742,"上周无销量")</f>
        <v>上周无销量</v>
      </c>
    </row>
    <row r="743" spans="1:48">
      <c r="A743" s="21" t="s">
        <v>1572</v>
      </c>
      <c r="B743" t="s">
        <v>1573</v>
      </c>
      <c r="C743" t="s">
        <v>1521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s">
        <v>54</v>
      </c>
      <c r="AO743" s="23" t="s">
        <v>54</v>
      </c>
      <c r="AP743" s="23" t="s">
        <v>54</v>
      </c>
      <c r="AQ743" s="23" t="s">
        <v>54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IFERROR($A$2+AU743,"上周无销量")</f>
        <v>上周无销量</v>
      </c>
    </row>
    <row r="744" spans="1:48">
      <c r="A744" s="21" t="s">
        <v>1574</v>
      </c>
      <c r="B744" t="s">
        <v>1575</v>
      </c>
      <c r="C744" t="s">
        <v>1521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s">
        <v>54</v>
      </c>
      <c r="AO744" s="23" t="s">
        <v>54</v>
      </c>
      <c r="AP744" s="23" t="s">
        <v>54</v>
      </c>
      <c r="AQ744" s="23" t="s">
        <v>54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IFERROR($A$2+AU744,"上周无销量")</f>
        <v>上周无销量</v>
      </c>
    </row>
    <row r="745" spans="1:48">
      <c r="A745" s="21" t="s">
        <v>1576</v>
      </c>
      <c r="B745" t="s">
        <v>1577</v>
      </c>
      <c r="C745" t="s">
        <v>1521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s">
        <v>54</v>
      </c>
      <c r="AO745" s="23" t="s">
        <v>54</v>
      </c>
      <c r="AP745" s="23" t="s">
        <v>54</v>
      </c>
      <c r="AQ745" s="23" t="s">
        <v>54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IFERROR($A$2+AU745,"上周无销量")</f>
        <v>上周无销量</v>
      </c>
    </row>
    <row r="746" spans="1:48">
      <c r="A746" s="21" t="s">
        <v>1578</v>
      </c>
      <c r="B746" t="s">
        <v>1579</v>
      </c>
      <c r="C746" t="s">
        <v>1521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s">
        <v>54</v>
      </c>
      <c r="AO746" s="23" t="s">
        <v>54</v>
      </c>
      <c r="AP746" s="23" t="s">
        <v>54</v>
      </c>
      <c r="AQ746" s="23" t="s">
        <v>54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IFERROR($A$2+AU746,"上周无销量")</f>
        <v>上周无销量</v>
      </c>
    </row>
    <row r="747" spans="1:48">
      <c r="A747" s="21" t="s">
        <v>1580</v>
      </c>
      <c r="B747" t="s">
        <v>1581</v>
      </c>
      <c r="C747" t="s">
        <v>1521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s">
        <v>54</v>
      </c>
      <c r="AO747" s="23" t="s">
        <v>54</v>
      </c>
      <c r="AP747" s="23" t="s">
        <v>54</v>
      </c>
      <c r="AQ747" s="23" t="s">
        <v>54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IFERROR($A$2+AU747,"上周无销量")</f>
        <v>上周无销量</v>
      </c>
    </row>
    <row r="748" spans="1:48">
      <c r="A748" s="21" t="s">
        <v>1582</v>
      </c>
      <c r="B748" t="s">
        <v>1583</v>
      </c>
      <c r="C748" t="s">
        <v>1521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s">
        <v>54</v>
      </c>
      <c r="AO748" s="23" t="s">
        <v>54</v>
      </c>
      <c r="AP748" s="23" t="s">
        <v>54</v>
      </c>
      <c r="AQ748" s="23" t="s">
        <v>54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IFERROR($A$2+AU748,"上周无销量")</f>
        <v>上周无销量</v>
      </c>
    </row>
    <row r="749" spans="1:48">
      <c r="A749" s="21" t="s">
        <v>1584</v>
      </c>
      <c r="B749" t="s">
        <v>1585</v>
      </c>
      <c r="C749" t="s">
        <v>1521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IFERROR($A$2+AU749,"上周无销量")</f>
        <v>上周无销量</v>
      </c>
    </row>
    <row r="750" spans="1:48">
      <c r="A750" s="21" t="s">
        <v>1586</v>
      </c>
      <c r="B750" t="s">
        <v>1587</v>
      </c>
      <c r="C750" t="s">
        <v>1588</v>
      </c>
      <c r="D750" s="31">
        <v>7</v>
      </c>
      <c r="E750" s="31">
        <v>6</v>
      </c>
      <c r="F750" s="31">
        <v>6</v>
      </c>
      <c r="G750" s="31">
        <v>3</v>
      </c>
      <c r="H750" s="32">
        <v>24.945</v>
      </c>
      <c r="I750">
        <v>18</v>
      </c>
      <c r="J750" s="33">
        <v>5</v>
      </c>
      <c r="K750" s="33">
        <v>0</v>
      </c>
      <c r="L750" s="33">
        <v>0</v>
      </c>
      <c r="M750">
        <v>23</v>
      </c>
      <c r="N750">
        <v>1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135</v>
      </c>
      <c r="AK750">
        <v>89</v>
      </c>
      <c r="AL750">
        <v>40</v>
      </c>
      <c r="AM750">
        <v>36</v>
      </c>
      <c r="AN750" s="23">
        <v>0.0518518518518519</v>
      </c>
      <c r="AO750" s="23">
        <v>0.0674157303370786</v>
      </c>
      <c r="AP750" s="23">
        <v>0.15</v>
      </c>
      <c r="AQ750" s="23">
        <v>0.0833333333333333</v>
      </c>
      <c r="AR750" s="35">
        <v>1</v>
      </c>
      <c r="AS750" s="35">
        <v>60</v>
      </c>
      <c r="AT750" s="35">
        <v>-37</v>
      </c>
      <c r="AU750" s="31">
        <f t="shared" si="14"/>
        <v>23</v>
      </c>
      <c r="AV750" s="36">
        <f>IFERROR($A$2+AU750,"上周无销量")</f>
        <v>43327</v>
      </c>
    </row>
    <row r="751" spans="1:48">
      <c r="A751" s="21" t="s">
        <v>1589</v>
      </c>
      <c r="B751" t="s">
        <v>1590</v>
      </c>
      <c r="C751" t="s">
        <v>1588</v>
      </c>
      <c r="D751" s="31">
        <v>10</v>
      </c>
      <c r="E751" s="31">
        <v>19</v>
      </c>
      <c r="F751" s="31">
        <v>8</v>
      </c>
      <c r="G751" s="31">
        <v>9</v>
      </c>
      <c r="H751" s="32">
        <v>18.99</v>
      </c>
      <c r="I751">
        <v>11</v>
      </c>
      <c r="J751" s="33">
        <v>0</v>
      </c>
      <c r="K751" s="33">
        <v>0</v>
      </c>
      <c r="L751" s="33">
        <v>0</v>
      </c>
      <c r="M751">
        <v>11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121</v>
      </c>
      <c r="AK751">
        <v>120</v>
      </c>
      <c r="AL751">
        <v>50</v>
      </c>
      <c r="AM751">
        <v>46</v>
      </c>
      <c r="AN751" s="23">
        <v>0.0826446280991736</v>
      </c>
      <c r="AO751" s="23">
        <v>0.158333333333333</v>
      </c>
      <c r="AP751" s="23">
        <v>0.16</v>
      </c>
      <c r="AQ751" s="23">
        <v>0.195652173913043</v>
      </c>
      <c r="AR751" s="35">
        <v>1.42857142857143</v>
      </c>
      <c r="AS751" s="35">
        <v>85.7142857142857</v>
      </c>
      <c r="AT751" s="35">
        <v>-74.7142857142857</v>
      </c>
      <c r="AU751" s="31">
        <f t="shared" si="14"/>
        <v>7</v>
      </c>
      <c r="AV751" s="36">
        <f>IFERROR($A$2+AU751,"上周无销量")</f>
        <v>43311</v>
      </c>
    </row>
    <row r="752" spans="1:48">
      <c r="A752" s="21" t="s">
        <v>1591</v>
      </c>
      <c r="B752" t="s">
        <v>1592</v>
      </c>
      <c r="C752" t="s">
        <v>1588</v>
      </c>
      <c r="D752" s="31">
        <v>27</v>
      </c>
      <c r="E752" s="31">
        <v>22</v>
      </c>
      <c r="F752" s="31">
        <v>29</v>
      </c>
      <c r="G752" s="31">
        <v>17</v>
      </c>
      <c r="H752" s="32">
        <v>13.99</v>
      </c>
      <c r="I752">
        <v>14</v>
      </c>
      <c r="J752" s="33">
        <v>0</v>
      </c>
      <c r="K752" s="33">
        <v>0</v>
      </c>
      <c r="L752" s="33">
        <v>24</v>
      </c>
      <c r="M752">
        <v>38</v>
      </c>
      <c r="N752">
        <v>0</v>
      </c>
      <c r="O752">
        <v>0</v>
      </c>
      <c r="P752">
        <v>6835</v>
      </c>
      <c r="Q752">
        <v>5486</v>
      </c>
      <c r="R752">
        <v>3173</v>
      </c>
      <c r="S752">
        <v>1007</v>
      </c>
      <c r="T752">
        <v>75</v>
      </c>
      <c r="U752">
        <v>64</v>
      </c>
      <c r="V752">
        <v>68</v>
      </c>
      <c r="W752">
        <v>14</v>
      </c>
      <c r="X752" s="23">
        <v>0.0109729334308705</v>
      </c>
      <c r="Y752" s="23">
        <v>0.011666059059424</v>
      </c>
      <c r="Z752" s="23">
        <v>0.0214308225653955</v>
      </c>
      <c r="AA752" s="23">
        <v>0.0139026812313803</v>
      </c>
      <c r="AB752">
        <v>56.32</v>
      </c>
      <c r="AC752">
        <v>52.18</v>
      </c>
      <c r="AD752">
        <v>43.09</v>
      </c>
      <c r="AE752">
        <v>10.08</v>
      </c>
      <c r="AF752" s="23">
        <v>0.149101209858894</v>
      </c>
      <c r="AG752" s="23">
        <v>0.169536682045617</v>
      </c>
      <c r="AH752" s="23">
        <v>0.106208868403539</v>
      </c>
      <c r="AI752" s="23">
        <v>0.0423832149014002</v>
      </c>
      <c r="AJ752">
        <v>281</v>
      </c>
      <c r="AK752">
        <v>277</v>
      </c>
      <c r="AL752">
        <v>140</v>
      </c>
      <c r="AM752">
        <v>117</v>
      </c>
      <c r="AN752" s="23">
        <v>0.096085409252669</v>
      </c>
      <c r="AO752" s="23">
        <v>0.0794223826714801</v>
      </c>
      <c r="AP752" s="23">
        <v>0.207142857142857</v>
      </c>
      <c r="AQ752" s="23">
        <v>0.145299145299145</v>
      </c>
      <c r="AR752" s="35">
        <v>3.85714285714286</v>
      </c>
      <c r="AS752" s="35">
        <v>231.428571428571</v>
      </c>
      <c r="AT752" s="35">
        <v>-193.428571428571</v>
      </c>
      <c r="AU752" s="31">
        <f t="shared" si="14"/>
        <v>9</v>
      </c>
      <c r="AV752" s="36">
        <f>IFERROR($A$2+AU752,"上周无销量")</f>
        <v>43313</v>
      </c>
    </row>
    <row r="753" spans="1:48">
      <c r="A753" s="21" t="s">
        <v>1593</v>
      </c>
      <c r="B753" t="s">
        <v>1594</v>
      </c>
      <c r="C753" t="s">
        <v>1588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140</v>
      </c>
      <c r="AK753">
        <v>95</v>
      </c>
      <c r="AL753">
        <v>85</v>
      </c>
      <c r="AM753">
        <v>76</v>
      </c>
      <c r="AN753" s="23">
        <v>0</v>
      </c>
      <c r="AO753" s="23">
        <v>0</v>
      </c>
      <c r="AP753" s="23">
        <v>0</v>
      </c>
      <c r="AQ753" s="23">
        <v>0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IFERROR($A$2+AU753,"上周无销量")</f>
        <v>上周无销量</v>
      </c>
    </row>
    <row r="754" spans="1:48">
      <c r="A754" s="21" t="s">
        <v>1595</v>
      </c>
      <c r="B754" t="s">
        <v>1596</v>
      </c>
      <c r="C754" t="s">
        <v>1588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204</v>
      </c>
      <c r="AK754">
        <v>0</v>
      </c>
      <c r="AL754">
        <v>110</v>
      </c>
      <c r="AM754">
        <v>87</v>
      </c>
      <c r="AN754" s="23">
        <v>0</v>
      </c>
      <c r="AO754" s="23" t="s">
        <v>54</v>
      </c>
      <c r="AP754" s="23">
        <v>0</v>
      </c>
      <c r="AQ754" s="23">
        <v>0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IFERROR($A$2+AU754,"上周无销量")</f>
        <v>上周无销量</v>
      </c>
    </row>
    <row r="755" spans="1:48">
      <c r="A755" s="21" t="s">
        <v>1597</v>
      </c>
      <c r="B755" t="s">
        <v>1598</v>
      </c>
      <c r="C755" t="s">
        <v>1588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176</v>
      </c>
      <c r="AK755">
        <v>283</v>
      </c>
      <c r="AL755">
        <v>170</v>
      </c>
      <c r="AM755">
        <v>175</v>
      </c>
      <c r="AN755" s="23">
        <v>0</v>
      </c>
      <c r="AO755" s="23">
        <v>0</v>
      </c>
      <c r="AP755" s="23">
        <v>0</v>
      </c>
      <c r="AQ755" s="23">
        <v>0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IFERROR($A$2+AU755,"上周无销量")</f>
        <v>上周无销量</v>
      </c>
    </row>
    <row r="756" spans="1:48">
      <c r="A756" s="21" t="s">
        <v>1599</v>
      </c>
      <c r="B756" t="s">
        <v>1600</v>
      </c>
      <c r="C756" t="s">
        <v>1588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IFERROR($A$2+AU756,"上周无销量")</f>
        <v>上周无销量</v>
      </c>
    </row>
    <row r="757" spans="1:48">
      <c r="A757" s="21" t="s">
        <v>1601</v>
      </c>
      <c r="B757" t="s">
        <v>1602</v>
      </c>
      <c r="C757" t="s">
        <v>1588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s">
        <v>54</v>
      </c>
      <c r="AO757" s="23" t="s">
        <v>54</v>
      </c>
      <c r="AP757" s="23" t="s">
        <v>54</v>
      </c>
      <c r="AQ757" s="23" t="s">
        <v>54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IFERROR($A$2+AU757,"上周无销量")</f>
        <v>上周无销量</v>
      </c>
    </row>
    <row r="758" spans="1:48">
      <c r="A758" s="21" t="s">
        <v>1603</v>
      </c>
      <c r="B758" t="s">
        <v>1604</v>
      </c>
      <c r="C758" t="s">
        <v>1588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s">
        <v>54</v>
      </c>
      <c r="AO758" s="23" t="s">
        <v>54</v>
      </c>
      <c r="AP758" s="23" t="s">
        <v>54</v>
      </c>
      <c r="AQ758" s="23" t="s">
        <v>54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IFERROR($A$2+AU758,"上周无销量")</f>
        <v>上周无销量</v>
      </c>
    </row>
    <row r="759" spans="1:48">
      <c r="A759" s="21" t="s">
        <v>1605</v>
      </c>
      <c r="B759" t="s">
        <v>1606</v>
      </c>
      <c r="C759" t="s">
        <v>1588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97</v>
      </c>
      <c r="AK759">
        <v>77</v>
      </c>
      <c r="AL759">
        <v>53</v>
      </c>
      <c r="AM759">
        <v>48</v>
      </c>
      <c r="AN759" s="23">
        <v>0</v>
      </c>
      <c r="AO759" s="23">
        <v>0</v>
      </c>
      <c r="AP759" s="23">
        <v>0</v>
      </c>
      <c r="AQ759" s="23">
        <v>0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IFERROR($A$2+AU759,"上周无销量")</f>
        <v>上周无销量</v>
      </c>
    </row>
    <row r="760" spans="1:48">
      <c r="A760" s="21" t="s">
        <v>1607</v>
      </c>
      <c r="B760" t="s">
        <v>1608</v>
      </c>
      <c r="C760" t="s">
        <v>1588</v>
      </c>
      <c r="D760" s="31">
        <v>0</v>
      </c>
      <c r="E760" s="31">
        <v>0</v>
      </c>
      <c r="F760" s="31">
        <v>2</v>
      </c>
      <c r="G760" s="31">
        <v>0</v>
      </c>
      <c r="H760" s="32">
        <v>18.99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106</v>
      </c>
      <c r="AK760">
        <v>112</v>
      </c>
      <c r="AL760">
        <v>78</v>
      </c>
      <c r="AM760">
        <v>57</v>
      </c>
      <c r="AN760" s="23">
        <v>0</v>
      </c>
      <c r="AO760" s="23">
        <v>0</v>
      </c>
      <c r="AP760" s="23">
        <v>0.0256410256410256</v>
      </c>
      <c r="AQ760" s="23">
        <v>0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IFERROR($A$2+AU760,"上周无销量")</f>
        <v>上周无销量</v>
      </c>
    </row>
    <row r="761" spans="1:48">
      <c r="A761" s="21" t="s">
        <v>1609</v>
      </c>
      <c r="B761" t="s">
        <v>1610</v>
      </c>
      <c r="C761" t="s">
        <v>1588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302</v>
      </c>
      <c r="AK761">
        <v>265</v>
      </c>
      <c r="AL761">
        <v>179</v>
      </c>
      <c r="AM761">
        <v>144</v>
      </c>
      <c r="AN761" s="23">
        <v>0</v>
      </c>
      <c r="AO761" s="23">
        <v>0</v>
      </c>
      <c r="AP761" s="23">
        <v>0</v>
      </c>
      <c r="AQ761" s="23">
        <v>0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IFERROR($A$2+AU761,"上周无销量")</f>
        <v>上周无销量</v>
      </c>
    </row>
    <row r="762" spans="1:48">
      <c r="A762" s="21" t="s">
        <v>1611</v>
      </c>
      <c r="B762" t="s">
        <v>1612</v>
      </c>
      <c r="C762" t="s">
        <v>1588</v>
      </c>
      <c r="D762" s="31">
        <v>10</v>
      </c>
      <c r="E762" s="31">
        <v>7</v>
      </c>
      <c r="F762" s="31">
        <v>6</v>
      </c>
      <c r="G762" s="31">
        <v>3</v>
      </c>
      <c r="H762" s="32">
        <v>24.99</v>
      </c>
      <c r="I762">
        <v>3</v>
      </c>
      <c r="J762" s="33">
        <v>14</v>
      </c>
      <c r="K762" s="33">
        <v>0</v>
      </c>
      <c r="L762" s="33">
        <v>11</v>
      </c>
      <c r="M762">
        <v>28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174</v>
      </c>
      <c r="AK762">
        <v>108</v>
      </c>
      <c r="AL762">
        <v>75</v>
      </c>
      <c r="AM762">
        <v>39</v>
      </c>
      <c r="AN762" s="23">
        <v>0.0574712643678161</v>
      </c>
      <c r="AO762" s="23">
        <v>0.0648148148148148</v>
      </c>
      <c r="AP762" s="23">
        <v>0.08</v>
      </c>
      <c r="AQ762" s="23">
        <v>0.0769230769230769</v>
      </c>
      <c r="AR762" s="35">
        <v>1.42857142857143</v>
      </c>
      <c r="AS762" s="35">
        <v>85.7142857142857</v>
      </c>
      <c r="AT762" s="35">
        <v>-57.7142857142857</v>
      </c>
      <c r="AU762" s="31">
        <f t="shared" si="14"/>
        <v>19</v>
      </c>
      <c r="AV762" s="36">
        <f>IFERROR($A$2+AU762,"上周无销量")</f>
        <v>43323</v>
      </c>
    </row>
    <row r="763" spans="1:48">
      <c r="A763" s="21" t="s">
        <v>1613</v>
      </c>
      <c r="B763" t="s">
        <v>1614</v>
      </c>
      <c r="C763" t="s">
        <v>1588</v>
      </c>
      <c r="D763" s="31">
        <v>11</v>
      </c>
      <c r="E763" s="31">
        <v>16</v>
      </c>
      <c r="F763" s="31">
        <v>15</v>
      </c>
      <c r="G763" s="31">
        <v>13</v>
      </c>
      <c r="H763" s="32">
        <v>18.99</v>
      </c>
      <c r="I763">
        <v>13</v>
      </c>
      <c r="J763" s="33">
        <v>80</v>
      </c>
      <c r="K763" s="33">
        <v>0</v>
      </c>
      <c r="L763" s="33">
        <v>9</v>
      </c>
      <c r="M763">
        <v>102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83</v>
      </c>
      <c r="AK763">
        <v>117</v>
      </c>
      <c r="AL763">
        <v>68</v>
      </c>
      <c r="AM763">
        <v>41</v>
      </c>
      <c r="AN763" s="23">
        <v>0.132530120481928</v>
      </c>
      <c r="AO763" s="23">
        <v>0.136752136752137</v>
      </c>
      <c r="AP763" s="23">
        <v>0.220588235294118</v>
      </c>
      <c r="AQ763" s="23">
        <v>0.317073170731707</v>
      </c>
      <c r="AR763" s="35">
        <v>1.57142857142857</v>
      </c>
      <c r="AS763" s="35">
        <v>94.2857142857143</v>
      </c>
      <c r="AT763" s="35">
        <v>7.71428571428572</v>
      </c>
      <c r="AU763" s="31">
        <f t="shared" si="14"/>
        <v>64</v>
      </c>
      <c r="AV763" s="36">
        <f>IFERROR($A$2+AU763,"上周无销量")</f>
        <v>43368</v>
      </c>
    </row>
    <row r="764" spans="1:48">
      <c r="A764" s="21" t="s">
        <v>1615</v>
      </c>
      <c r="B764" t="s">
        <v>1616</v>
      </c>
      <c r="C764" t="s">
        <v>1588</v>
      </c>
      <c r="D764" s="31">
        <v>29</v>
      </c>
      <c r="E764" s="31">
        <v>17</v>
      </c>
      <c r="F764" s="31">
        <v>27</v>
      </c>
      <c r="G764" s="31">
        <v>13</v>
      </c>
      <c r="H764" s="32">
        <v>13.978488372093</v>
      </c>
      <c r="I764">
        <v>38</v>
      </c>
      <c r="J764" s="33">
        <v>160</v>
      </c>
      <c r="K764" s="33">
        <v>0</v>
      </c>
      <c r="L764" s="33">
        <v>0</v>
      </c>
      <c r="M764">
        <v>198</v>
      </c>
      <c r="N764">
        <v>0</v>
      </c>
      <c r="O764">
        <v>0</v>
      </c>
      <c r="P764">
        <v>29867</v>
      </c>
      <c r="Q764">
        <v>32349</v>
      </c>
      <c r="R764">
        <v>43678</v>
      </c>
      <c r="S764">
        <v>8106</v>
      </c>
      <c r="T764">
        <v>237</v>
      </c>
      <c r="U764">
        <v>303</v>
      </c>
      <c r="V764">
        <v>346</v>
      </c>
      <c r="W764">
        <v>58</v>
      </c>
      <c r="X764" s="23">
        <v>0.00793517929487394</v>
      </c>
      <c r="Y764" s="23">
        <v>0.00936659556709636</v>
      </c>
      <c r="Z764" s="23">
        <v>0.00792160813224049</v>
      </c>
      <c r="AA764" s="23">
        <v>0.00715519368369109</v>
      </c>
      <c r="AB764">
        <v>185.5</v>
      </c>
      <c r="AC764">
        <v>238.13</v>
      </c>
      <c r="AD764">
        <v>268.12</v>
      </c>
      <c r="AE764">
        <v>45.19</v>
      </c>
      <c r="AF764" s="23">
        <v>0.457599674147039</v>
      </c>
      <c r="AG764" s="23">
        <v>1.00208596852209</v>
      </c>
      <c r="AH764" s="23">
        <v>0.710403736515288</v>
      </c>
      <c r="AI764" s="23">
        <v>0.248678809440778</v>
      </c>
      <c r="AJ764">
        <v>377</v>
      </c>
      <c r="AK764">
        <v>303</v>
      </c>
      <c r="AL764">
        <v>212</v>
      </c>
      <c r="AM764">
        <v>100</v>
      </c>
      <c r="AN764" s="23">
        <v>0.0769230769230769</v>
      </c>
      <c r="AO764" s="23">
        <v>0.0561056105610561</v>
      </c>
      <c r="AP764" s="23">
        <v>0.127358490566038</v>
      </c>
      <c r="AQ764" s="23">
        <v>0.13</v>
      </c>
      <c r="AR764" s="35">
        <v>4.14285714285714</v>
      </c>
      <c r="AS764" s="35">
        <v>248.571428571429</v>
      </c>
      <c r="AT764" s="35">
        <v>-50.5714285714286</v>
      </c>
      <c r="AU764" s="31">
        <f t="shared" si="14"/>
        <v>47</v>
      </c>
      <c r="AV764" s="36">
        <f>IFERROR($A$2+AU764,"上周无销量")</f>
        <v>43351</v>
      </c>
    </row>
    <row r="765" spans="1:48">
      <c r="A765" s="21" t="s">
        <v>1617</v>
      </c>
      <c r="B765" t="s">
        <v>1618</v>
      </c>
      <c r="C765" t="s">
        <v>1588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284</v>
      </c>
      <c r="AK765">
        <v>219</v>
      </c>
      <c r="AL765">
        <v>126</v>
      </c>
      <c r="AM765">
        <v>122</v>
      </c>
      <c r="AN765" s="23">
        <v>0</v>
      </c>
      <c r="AO765" s="23">
        <v>0</v>
      </c>
      <c r="AP765" s="23">
        <v>0</v>
      </c>
      <c r="AQ765" s="23">
        <v>0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IFERROR($A$2+AU765,"上周无销量")</f>
        <v>上周无销量</v>
      </c>
    </row>
    <row r="766" spans="1:48">
      <c r="A766" s="21" t="s">
        <v>1619</v>
      </c>
      <c r="B766" t="s">
        <v>1620</v>
      </c>
      <c r="C766" t="s">
        <v>1588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386</v>
      </c>
      <c r="AK766">
        <v>323</v>
      </c>
      <c r="AL766">
        <v>201</v>
      </c>
      <c r="AM766">
        <v>186</v>
      </c>
      <c r="AN766" s="23">
        <v>0</v>
      </c>
      <c r="AO766" s="23">
        <v>0</v>
      </c>
      <c r="AP766" s="23">
        <v>0</v>
      </c>
      <c r="AQ766" s="23">
        <v>0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IFERROR($A$2+AU766,"上周无销量")</f>
        <v>上周无销量</v>
      </c>
    </row>
    <row r="767" spans="1:48">
      <c r="A767" s="21" t="s">
        <v>1621</v>
      </c>
      <c r="B767" t="s">
        <v>1622</v>
      </c>
      <c r="C767" t="s">
        <v>1588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1519</v>
      </c>
      <c r="AK767">
        <v>1158</v>
      </c>
      <c r="AL767">
        <v>648</v>
      </c>
      <c r="AM767">
        <v>607</v>
      </c>
      <c r="AN767" s="23">
        <v>0</v>
      </c>
      <c r="AO767" s="23">
        <v>0</v>
      </c>
      <c r="AP767" s="23">
        <v>0</v>
      </c>
      <c r="AQ767" s="23">
        <v>0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IFERROR($A$2+AU767,"上周无销量")</f>
        <v>上周无销量</v>
      </c>
    </row>
    <row r="768" spans="1:48">
      <c r="A768" s="21" t="s">
        <v>1623</v>
      </c>
      <c r="B768" t="s">
        <v>1624</v>
      </c>
      <c r="C768" t="s">
        <v>1588</v>
      </c>
      <c r="D768" s="31">
        <v>3</v>
      </c>
      <c r="E768" s="31">
        <v>3</v>
      </c>
      <c r="F768" s="31">
        <v>3</v>
      </c>
      <c r="G768" s="31">
        <v>3</v>
      </c>
      <c r="H768" s="32">
        <v>24.99</v>
      </c>
      <c r="I768">
        <v>11</v>
      </c>
      <c r="J768" s="33">
        <v>10</v>
      </c>
      <c r="K768" s="33">
        <v>0</v>
      </c>
      <c r="L768" s="33">
        <v>0</v>
      </c>
      <c r="M768">
        <v>21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97</v>
      </c>
      <c r="AK768">
        <v>56</v>
      </c>
      <c r="AL768">
        <v>34</v>
      </c>
      <c r="AM768">
        <v>33</v>
      </c>
      <c r="AN768" s="23">
        <v>0.0309278350515464</v>
      </c>
      <c r="AO768" s="23">
        <v>0.0535714285714286</v>
      </c>
      <c r="AP768" s="23">
        <v>0.0882352941176471</v>
      </c>
      <c r="AQ768" s="23">
        <v>0.0909090909090909</v>
      </c>
      <c r="AR768" s="35">
        <v>0.428571428571429</v>
      </c>
      <c r="AS768" s="35">
        <v>25.7142857142857</v>
      </c>
      <c r="AT768" s="35">
        <v>-4.71428571428571</v>
      </c>
      <c r="AU768" s="31">
        <f t="shared" si="14"/>
        <v>49</v>
      </c>
      <c r="AV768" s="36">
        <f>IFERROR($A$2+AU768,"上周无销量")</f>
        <v>43353</v>
      </c>
    </row>
    <row r="769" spans="1:48">
      <c r="A769" s="21" t="s">
        <v>1625</v>
      </c>
      <c r="B769" t="s">
        <v>1626</v>
      </c>
      <c r="C769" t="s">
        <v>1588</v>
      </c>
      <c r="D769" s="31">
        <v>3</v>
      </c>
      <c r="E769" s="31">
        <v>6</v>
      </c>
      <c r="F769" s="31">
        <v>1</v>
      </c>
      <c r="G769" s="31">
        <v>3</v>
      </c>
      <c r="H769" s="32">
        <v>18.99</v>
      </c>
      <c r="I769">
        <v>23</v>
      </c>
      <c r="J769" s="33">
        <v>5</v>
      </c>
      <c r="K769" s="33">
        <v>0</v>
      </c>
      <c r="L769" s="33">
        <v>0</v>
      </c>
      <c r="M769">
        <v>28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71</v>
      </c>
      <c r="AK769">
        <v>66</v>
      </c>
      <c r="AL769">
        <v>39</v>
      </c>
      <c r="AM769">
        <v>26</v>
      </c>
      <c r="AN769" s="23">
        <v>0.0422535211267606</v>
      </c>
      <c r="AO769" s="23">
        <v>0.0909090909090909</v>
      </c>
      <c r="AP769" s="23">
        <v>0.0256410256410256</v>
      </c>
      <c r="AQ769" s="23">
        <v>0.115384615384615</v>
      </c>
      <c r="AR769" s="35">
        <v>0.428571428571429</v>
      </c>
      <c r="AS769" s="35">
        <v>25.7142857142857</v>
      </c>
      <c r="AT769" s="35">
        <v>2.28571428571429</v>
      </c>
      <c r="AU769" s="31">
        <f t="shared" si="14"/>
        <v>65</v>
      </c>
      <c r="AV769" s="36">
        <f>IFERROR($A$2+AU769,"上周无销量")</f>
        <v>43369</v>
      </c>
    </row>
    <row r="770" spans="1:48">
      <c r="A770" s="21" t="s">
        <v>1627</v>
      </c>
      <c r="B770" t="s">
        <v>1628</v>
      </c>
      <c r="C770" t="s">
        <v>1588</v>
      </c>
      <c r="D770" s="31">
        <v>8</v>
      </c>
      <c r="E770" s="31">
        <v>12</v>
      </c>
      <c r="F770" s="31">
        <v>7</v>
      </c>
      <c r="G770" s="31">
        <v>4</v>
      </c>
      <c r="H770" s="32">
        <v>13.99</v>
      </c>
      <c r="I770">
        <v>11</v>
      </c>
      <c r="J770" s="33">
        <v>0</v>
      </c>
      <c r="K770" s="33">
        <v>0</v>
      </c>
      <c r="L770" s="33">
        <v>0</v>
      </c>
      <c r="M770">
        <v>11</v>
      </c>
      <c r="N770">
        <v>0</v>
      </c>
      <c r="O770">
        <v>0</v>
      </c>
      <c r="P770">
        <v>711</v>
      </c>
      <c r="Q770">
        <v>0</v>
      </c>
      <c r="R770">
        <v>0</v>
      </c>
      <c r="S770">
        <v>0</v>
      </c>
      <c r="T770">
        <v>4</v>
      </c>
      <c r="U770">
        <v>0</v>
      </c>
      <c r="V770">
        <v>0</v>
      </c>
      <c r="W770">
        <v>0</v>
      </c>
      <c r="X770" s="23">
        <v>0.00562587904360056</v>
      </c>
      <c r="Y770" s="23" t="s">
        <v>54</v>
      </c>
      <c r="Z770" s="23" t="s">
        <v>54</v>
      </c>
      <c r="AA770" s="23" t="s">
        <v>54</v>
      </c>
      <c r="AB770">
        <v>2.39</v>
      </c>
      <c r="AC770">
        <v>0</v>
      </c>
      <c r="AD770">
        <v>0</v>
      </c>
      <c r="AE770">
        <v>0</v>
      </c>
      <c r="AF770" s="23">
        <v>0.0213545389563974</v>
      </c>
      <c r="AG770" s="23" t="s">
        <v>54</v>
      </c>
      <c r="AH770" s="23" t="s">
        <v>54</v>
      </c>
      <c r="AI770" s="23" t="s">
        <v>54</v>
      </c>
      <c r="AJ770">
        <v>216</v>
      </c>
      <c r="AK770">
        <v>167</v>
      </c>
      <c r="AL770">
        <v>77</v>
      </c>
      <c r="AM770">
        <v>71</v>
      </c>
      <c r="AN770" s="23">
        <v>0.037037037037037</v>
      </c>
      <c r="AO770" s="23">
        <v>0.0718562874251497</v>
      </c>
      <c r="AP770" s="23">
        <v>0.0909090909090909</v>
      </c>
      <c r="AQ770" s="23">
        <v>0.0563380281690141</v>
      </c>
      <c r="AR770" s="35">
        <v>1.14285714285714</v>
      </c>
      <c r="AS770" s="35">
        <v>68.5714285714286</v>
      </c>
      <c r="AT770" s="35">
        <v>-57.5714285714286</v>
      </c>
      <c r="AU770" s="31">
        <f t="shared" si="14"/>
        <v>9</v>
      </c>
      <c r="AV770" s="36">
        <f>IFERROR($A$2+AU770,"上周无销量")</f>
        <v>43313</v>
      </c>
    </row>
    <row r="771" spans="1:48">
      <c r="A771" s="21" t="s">
        <v>1629</v>
      </c>
      <c r="B771" t="s">
        <v>1630</v>
      </c>
      <c r="C771" t="s">
        <v>1588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1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292</v>
      </c>
      <c r="AK771">
        <v>235</v>
      </c>
      <c r="AL771">
        <v>160</v>
      </c>
      <c r="AM771">
        <v>105</v>
      </c>
      <c r="AN771" s="23">
        <v>0</v>
      </c>
      <c r="AO771" s="23">
        <v>0</v>
      </c>
      <c r="AP771" s="23">
        <v>0</v>
      </c>
      <c r="AQ771" s="23">
        <v>0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IFERROR($A$2+AU771,"上周无销量")</f>
        <v>上周无销量</v>
      </c>
    </row>
    <row r="772" spans="1:48">
      <c r="A772" s="21" t="s">
        <v>1631</v>
      </c>
      <c r="B772" t="s">
        <v>1632</v>
      </c>
      <c r="C772" t="s">
        <v>1588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319</v>
      </c>
      <c r="AK772">
        <v>324</v>
      </c>
      <c r="AL772">
        <v>197</v>
      </c>
      <c r="AM772">
        <v>150</v>
      </c>
      <c r="AN772" s="23">
        <v>0</v>
      </c>
      <c r="AO772" s="23">
        <v>0</v>
      </c>
      <c r="AP772" s="23">
        <v>0</v>
      </c>
      <c r="AQ772" s="23">
        <v>0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IFERROR($A$2+AU772,"上周无销量")</f>
        <v>上周无销量</v>
      </c>
    </row>
    <row r="773" spans="1:48">
      <c r="A773" s="21" t="s">
        <v>1633</v>
      </c>
      <c r="B773" t="s">
        <v>1634</v>
      </c>
      <c r="C773" t="s">
        <v>1588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411</v>
      </c>
      <c r="AK773">
        <v>404</v>
      </c>
      <c r="AL773">
        <v>245</v>
      </c>
      <c r="AM773">
        <v>175</v>
      </c>
      <c r="AN773" s="23">
        <v>0</v>
      </c>
      <c r="AO773" s="23">
        <v>0</v>
      </c>
      <c r="AP773" s="23">
        <v>0</v>
      </c>
      <c r="AQ773" s="23">
        <v>0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IFERROR($A$2+AU773,"上周无销量")</f>
        <v>上周无销量</v>
      </c>
    </row>
    <row r="774" spans="1:48">
      <c r="A774" s="21" t="s">
        <v>1635</v>
      </c>
      <c r="B774" t="s">
        <v>1636</v>
      </c>
      <c r="C774" t="s">
        <v>1588</v>
      </c>
      <c r="D774" s="31">
        <v>5</v>
      </c>
      <c r="E774" s="31">
        <v>4</v>
      </c>
      <c r="F774" s="31">
        <v>3</v>
      </c>
      <c r="G774" s="31">
        <v>3</v>
      </c>
      <c r="H774" s="32">
        <v>25.99</v>
      </c>
      <c r="I774">
        <v>10</v>
      </c>
      <c r="J774" s="33">
        <v>12</v>
      </c>
      <c r="K774" s="33">
        <v>0</v>
      </c>
      <c r="L774" s="33">
        <v>0</v>
      </c>
      <c r="M774">
        <v>22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103</v>
      </c>
      <c r="AK774">
        <v>59</v>
      </c>
      <c r="AL774">
        <v>39</v>
      </c>
      <c r="AM774">
        <v>36</v>
      </c>
      <c r="AN774" s="23">
        <v>0.0485436893203883</v>
      </c>
      <c r="AO774" s="23">
        <v>0.0677966101694915</v>
      </c>
      <c r="AP774" s="23">
        <v>0.0769230769230769</v>
      </c>
      <c r="AQ774" s="23">
        <v>0.0833333333333333</v>
      </c>
      <c r="AR774" s="35">
        <v>0.714285714285714</v>
      </c>
      <c r="AS774" s="35">
        <v>42.8571428571429</v>
      </c>
      <c r="AT774" s="35">
        <v>-20.8571428571429</v>
      </c>
      <c r="AU774" s="31">
        <f t="shared" si="15"/>
        <v>30</v>
      </c>
      <c r="AV774" s="36">
        <f>IFERROR($A$2+AU774,"上周无销量")</f>
        <v>43334</v>
      </c>
    </row>
    <row r="775" spans="1:48">
      <c r="A775" s="21" t="s">
        <v>1637</v>
      </c>
      <c r="B775" t="s">
        <v>1638</v>
      </c>
      <c r="C775" t="s">
        <v>1588</v>
      </c>
      <c r="D775" s="31">
        <v>3</v>
      </c>
      <c r="E775" s="31">
        <v>2</v>
      </c>
      <c r="F775" s="31">
        <v>3</v>
      </c>
      <c r="G775" s="31">
        <v>1</v>
      </c>
      <c r="H775" s="32">
        <v>18.99</v>
      </c>
      <c r="I775">
        <v>16</v>
      </c>
      <c r="J775" s="33">
        <v>10</v>
      </c>
      <c r="K775" s="33">
        <v>0</v>
      </c>
      <c r="L775" s="33">
        <v>1</v>
      </c>
      <c r="M775">
        <v>27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61</v>
      </c>
      <c r="AK775">
        <v>46</v>
      </c>
      <c r="AL775">
        <v>26</v>
      </c>
      <c r="AM775">
        <v>24</v>
      </c>
      <c r="AN775" s="23">
        <v>0.0491803278688525</v>
      </c>
      <c r="AO775" s="23">
        <v>0.0434782608695652</v>
      </c>
      <c r="AP775" s="23">
        <v>0.115384615384615</v>
      </c>
      <c r="AQ775" s="23">
        <v>0.0416666666666667</v>
      </c>
      <c r="AR775" s="35">
        <v>0.428571428571429</v>
      </c>
      <c r="AS775" s="35">
        <v>25.7142857142857</v>
      </c>
      <c r="AT775" s="35">
        <v>1.28571428571429</v>
      </c>
      <c r="AU775" s="31">
        <f t="shared" si="15"/>
        <v>63</v>
      </c>
      <c r="AV775" s="36">
        <f>IFERROR($A$2+AU775,"上周无销量")</f>
        <v>43367</v>
      </c>
    </row>
    <row r="776" spans="1:48">
      <c r="A776" s="21" t="s">
        <v>1639</v>
      </c>
      <c r="B776" t="s">
        <v>1640</v>
      </c>
      <c r="C776" t="s">
        <v>1588</v>
      </c>
      <c r="D776" s="31">
        <v>10</v>
      </c>
      <c r="E776" s="31">
        <v>7</v>
      </c>
      <c r="F776" s="31">
        <v>9</v>
      </c>
      <c r="G776" s="31">
        <v>3</v>
      </c>
      <c r="H776" s="32">
        <v>13.99</v>
      </c>
      <c r="I776">
        <v>55</v>
      </c>
      <c r="J776" s="33">
        <v>0</v>
      </c>
      <c r="K776" s="33">
        <v>0</v>
      </c>
      <c r="L776" s="33">
        <v>43</v>
      </c>
      <c r="M776">
        <v>98</v>
      </c>
      <c r="N776">
        <v>0</v>
      </c>
      <c r="O776">
        <v>0</v>
      </c>
      <c r="P776">
        <v>2385</v>
      </c>
      <c r="Q776">
        <v>0</v>
      </c>
      <c r="R776">
        <v>3243</v>
      </c>
      <c r="S776">
        <v>979</v>
      </c>
      <c r="T776">
        <v>23</v>
      </c>
      <c r="U776">
        <v>0</v>
      </c>
      <c r="V776">
        <v>24</v>
      </c>
      <c r="W776">
        <v>4</v>
      </c>
      <c r="X776" s="23">
        <v>0.00964360587002096</v>
      </c>
      <c r="Y776" s="23" t="s">
        <v>54</v>
      </c>
      <c r="Z776" s="23">
        <v>0.00740055504162812</v>
      </c>
      <c r="AA776" s="23">
        <v>0.00408580183861083</v>
      </c>
      <c r="AB776">
        <v>12.76</v>
      </c>
      <c r="AC776">
        <v>0</v>
      </c>
      <c r="AD776">
        <v>15.29</v>
      </c>
      <c r="AE776">
        <v>2.64</v>
      </c>
      <c r="AF776" s="23">
        <v>0.0912080057183703</v>
      </c>
      <c r="AG776" s="23" t="s">
        <v>54</v>
      </c>
      <c r="AH776" s="23">
        <v>0.121435946310857</v>
      </c>
      <c r="AI776" s="23">
        <v>0.0629020729092209</v>
      </c>
      <c r="AJ776">
        <v>189</v>
      </c>
      <c r="AK776">
        <v>163</v>
      </c>
      <c r="AL776">
        <v>83</v>
      </c>
      <c r="AM776">
        <v>81</v>
      </c>
      <c r="AN776" s="23">
        <v>0.0529100529100529</v>
      </c>
      <c r="AO776" s="23">
        <v>0.0429447852760736</v>
      </c>
      <c r="AP776" s="23">
        <v>0.108433734939759</v>
      </c>
      <c r="AQ776" s="23">
        <v>0.037037037037037</v>
      </c>
      <c r="AR776" s="35">
        <v>1.42857142857143</v>
      </c>
      <c r="AS776" s="35">
        <v>85.7142857142857</v>
      </c>
      <c r="AT776" s="35">
        <v>12.2857142857143</v>
      </c>
      <c r="AU776" s="31">
        <f t="shared" si="15"/>
        <v>68</v>
      </c>
      <c r="AV776" s="36">
        <f>IFERROR($A$2+AU776,"上周无销量")</f>
        <v>43372</v>
      </c>
    </row>
    <row r="777" spans="1:48">
      <c r="A777" s="21" t="s">
        <v>1641</v>
      </c>
      <c r="B777" t="s">
        <v>1642</v>
      </c>
      <c r="C777" t="s">
        <v>1588</v>
      </c>
      <c r="D777" s="31">
        <v>3</v>
      </c>
      <c r="E777" s="31">
        <v>0</v>
      </c>
      <c r="F777" s="31">
        <v>2</v>
      </c>
      <c r="G777" s="31">
        <v>3</v>
      </c>
      <c r="H777" s="32">
        <v>24.99</v>
      </c>
      <c r="I777">
        <v>5</v>
      </c>
      <c r="J777" s="33">
        <v>0</v>
      </c>
      <c r="K777" s="33">
        <v>0</v>
      </c>
      <c r="L777" s="33">
        <v>0</v>
      </c>
      <c r="M777">
        <v>5</v>
      </c>
      <c r="N777">
        <v>0</v>
      </c>
      <c r="O777">
        <v>5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95</v>
      </c>
      <c r="AK777">
        <v>73</v>
      </c>
      <c r="AL777">
        <v>31</v>
      </c>
      <c r="AM777">
        <v>33</v>
      </c>
      <c r="AN777" s="23">
        <v>0.0315789473684211</v>
      </c>
      <c r="AO777" s="23">
        <v>0</v>
      </c>
      <c r="AP777" s="23">
        <v>0.0645161290322581</v>
      </c>
      <c r="AQ777" s="23">
        <v>0.0909090909090909</v>
      </c>
      <c r="AR777" s="35">
        <v>0.428571428571429</v>
      </c>
      <c r="AS777" s="35">
        <v>25.7142857142857</v>
      </c>
      <c r="AT777" s="35">
        <v>-20.7142857142857</v>
      </c>
      <c r="AU777" s="31">
        <f t="shared" si="15"/>
        <v>11</v>
      </c>
      <c r="AV777" s="36">
        <f>IFERROR($A$2+AU777,"上周无销量")</f>
        <v>43315</v>
      </c>
    </row>
    <row r="778" spans="1:48">
      <c r="A778" s="21" t="s">
        <v>1643</v>
      </c>
      <c r="B778" t="s">
        <v>1644</v>
      </c>
      <c r="C778" t="s">
        <v>1588</v>
      </c>
      <c r="D778" s="31">
        <v>1</v>
      </c>
      <c r="E778" s="31">
        <v>1</v>
      </c>
      <c r="F778" s="31">
        <v>1</v>
      </c>
      <c r="G778" s="31">
        <v>2</v>
      </c>
      <c r="H778" s="32">
        <v>18.792</v>
      </c>
      <c r="I778">
        <v>7</v>
      </c>
      <c r="J778" s="33">
        <v>0</v>
      </c>
      <c r="K778" s="33">
        <v>0</v>
      </c>
      <c r="L778" s="33">
        <v>0</v>
      </c>
      <c r="M778">
        <v>7</v>
      </c>
      <c r="N778">
        <v>0</v>
      </c>
      <c r="O778">
        <v>7</v>
      </c>
      <c r="P778">
        <v>0</v>
      </c>
      <c r="Q778">
        <v>0</v>
      </c>
      <c r="R778">
        <v>21</v>
      </c>
      <c r="S778">
        <v>13</v>
      </c>
      <c r="T778">
        <v>0</v>
      </c>
      <c r="U778">
        <v>0</v>
      </c>
      <c r="V778">
        <v>0</v>
      </c>
      <c r="W778">
        <v>0</v>
      </c>
      <c r="X778" s="23" t="s">
        <v>54</v>
      </c>
      <c r="Y778" s="23" t="s">
        <v>54</v>
      </c>
      <c r="Z778" s="23">
        <v>0</v>
      </c>
      <c r="AA778" s="23">
        <v>0</v>
      </c>
      <c r="AB778">
        <v>0</v>
      </c>
      <c r="AC778">
        <v>0</v>
      </c>
      <c r="AD778">
        <v>0</v>
      </c>
      <c r="AE778">
        <v>0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79</v>
      </c>
      <c r="AK778">
        <v>57</v>
      </c>
      <c r="AL778">
        <v>33</v>
      </c>
      <c r="AM778">
        <v>34</v>
      </c>
      <c r="AN778" s="23">
        <v>0.0126582278481013</v>
      </c>
      <c r="AO778" s="23">
        <v>0.0175438596491228</v>
      </c>
      <c r="AP778" s="23">
        <v>0.0303030303030303</v>
      </c>
      <c r="AQ778" s="23">
        <v>0.0588235294117647</v>
      </c>
      <c r="AR778" s="35">
        <v>0.142857142857143</v>
      </c>
      <c r="AS778" s="35">
        <v>8.57142857142857</v>
      </c>
      <c r="AT778" s="35">
        <v>-1.57142857142857</v>
      </c>
      <c r="AU778" s="31">
        <f t="shared" si="15"/>
        <v>49</v>
      </c>
      <c r="AV778" s="36">
        <f>IFERROR($A$2+AU778,"上周无销量")</f>
        <v>43353</v>
      </c>
    </row>
    <row r="779" spans="1:48">
      <c r="A779" s="21" t="s">
        <v>1645</v>
      </c>
      <c r="B779" t="s">
        <v>1646</v>
      </c>
      <c r="C779" t="s">
        <v>1588</v>
      </c>
      <c r="D779" s="31">
        <v>0</v>
      </c>
      <c r="E779" s="31">
        <v>0</v>
      </c>
      <c r="F779" s="31">
        <v>1</v>
      </c>
      <c r="G779" s="31">
        <v>0</v>
      </c>
      <c r="H779" s="32">
        <v>13.99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137</v>
      </c>
      <c r="AK779">
        <v>117</v>
      </c>
      <c r="AL779">
        <v>54</v>
      </c>
      <c r="AM779">
        <v>60</v>
      </c>
      <c r="AN779" s="23">
        <v>0</v>
      </c>
      <c r="AO779" s="23">
        <v>0</v>
      </c>
      <c r="AP779" s="23">
        <v>0.0185185185185185</v>
      </c>
      <c r="AQ779" s="23">
        <v>0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IFERROR($A$2+AU779,"上周无销量")</f>
        <v>上周无销量</v>
      </c>
    </row>
    <row r="780" spans="1:48">
      <c r="A780" s="21" t="s">
        <v>1647</v>
      </c>
      <c r="B780" t="s">
        <v>1648</v>
      </c>
      <c r="C780" t="s">
        <v>1588</v>
      </c>
      <c r="D780" s="31">
        <v>6</v>
      </c>
      <c r="E780" s="31">
        <v>1</v>
      </c>
      <c r="F780" s="31">
        <v>3</v>
      </c>
      <c r="G780" s="31">
        <v>0</v>
      </c>
      <c r="H780" s="32">
        <v>24.99</v>
      </c>
      <c r="I780">
        <v>10</v>
      </c>
      <c r="J780" s="33">
        <v>0</v>
      </c>
      <c r="K780" s="33">
        <v>0</v>
      </c>
      <c r="L780" s="33">
        <v>0</v>
      </c>
      <c r="M780">
        <v>10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72</v>
      </c>
      <c r="AK780">
        <v>62</v>
      </c>
      <c r="AL780">
        <v>28</v>
      </c>
      <c r="AM780">
        <v>25</v>
      </c>
      <c r="AN780" s="23">
        <v>0.0833333333333333</v>
      </c>
      <c r="AO780" s="23">
        <v>0.0161290322580645</v>
      </c>
      <c r="AP780" s="23">
        <v>0.107142857142857</v>
      </c>
      <c r="AQ780" s="23">
        <v>0</v>
      </c>
      <c r="AR780" s="35">
        <v>0.857142857142857</v>
      </c>
      <c r="AS780" s="35">
        <v>51.4285714285714</v>
      </c>
      <c r="AT780" s="35">
        <v>-41.4285714285714</v>
      </c>
      <c r="AU780" s="31">
        <f t="shared" si="15"/>
        <v>11</v>
      </c>
      <c r="AV780" s="36">
        <f>IFERROR($A$2+AU780,"上周无销量")</f>
        <v>43315</v>
      </c>
    </row>
    <row r="781" spans="1:48">
      <c r="A781" s="21" t="s">
        <v>1649</v>
      </c>
      <c r="B781" t="s">
        <v>1650</v>
      </c>
      <c r="C781" t="s">
        <v>1588</v>
      </c>
      <c r="D781" s="31">
        <v>5</v>
      </c>
      <c r="E781" s="31">
        <v>4</v>
      </c>
      <c r="F781" s="31">
        <v>5</v>
      </c>
      <c r="G781" s="31">
        <v>1</v>
      </c>
      <c r="H781" s="32">
        <v>18.99</v>
      </c>
      <c r="I781">
        <v>11</v>
      </c>
      <c r="J781" s="33">
        <v>0</v>
      </c>
      <c r="K781" s="33">
        <v>0</v>
      </c>
      <c r="L781" s="33">
        <v>0</v>
      </c>
      <c r="M781">
        <v>11</v>
      </c>
      <c r="N781">
        <v>0</v>
      </c>
      <c r="O781">
        <v>0</v>
      </c>
      <c r="P781">
        <v>0</v>
      </c>
      <c r="Q781">
        <v>0</v>
      </c>
      <c r="R781">
        <v>53</v>
      </c>
      <c r="S781">
        <v>23</v>
      </c>
      <c r="T781">
        <v>0</v>
      </c>
      <c r="U781">
        <v>0</v>
      </c>
      <c r="V781">
        <v>0</v>
      </c>
      <c r="W781">
        <v>0</v>
      </c>
      <c r="X781" s="23" t="s">
        <v>54</v>
      </c>
      <c r="Y781" s="23" t="s">
        <v>54</v>
      </c>
      <c r="Z781" s="23">
        <v>0</v>
      </c>
      <c r="AA781" s="23">
        <v>0</v>
      </c>
      <c r="AB781">
        <v>0</v>
      </c>
      <c r="AC781">
        <v>0</v>
      </c>
      <c r="AD781">
        <v>0</v>
      </c>
      <c r="AE781">
        <v>0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96</v>
      </c>
      <c r="AK781">
        <v>66</v>
      </c>
      <c r="AL781">
        <v>35</v>
      </c>
      <c r="AM781">
        <v>34</v>
      </c>
      <c r="AN781" s="23">
        <v>0.0520833333333333</v>
      </c>
      <c r="AO781" s="23">
        <v>0.0606060606060606</v>
      </c>
      <c r="AP781" s="23">
        <v>0.142857142857143</v>
      </c>
      <c r="AQ781" s="23">
        <v>0.0294117647058824</v>
      </c>
      <c r="AR781" s="35">
        <v>0.714285714285714</v>
      </c>
      <c r="AS781" s="35">
        <v>42.8571428571429</v>
      </c>
      <c r="AT781" s="35">
        <v>-31.8571428571429</v>
      </c>
      <c r="AU781" s="31">
        <f t="shared" si="15"/>
        <v>15</v>
      </c>
      <c r="AV781" s="36">
        <f>IFERROR($A$2+AU781,"上周无销量")</f>
        <v>43319</v>
      </c>
    </row>
    <row r="782" spans="1:48">
      <c r="A782" s="21" t="s">
        <v>1651</v>
      </c>
      <c r="B782" t="s">
        <v>1652</v>
      </c>
      <c r="C782" t="s">
        <v>1588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159</v>
      </c>
      <c r="AK782">
        <v>148</v>
      </c>
      <c r="AL782">
        <v>65</v>
      </c>
      <c r="AM782">
        <v>68</v>
      </c>
      <c r="AN782" s="23">
        <v>0</v>
      </c>
      <c r="AO782" s="23">
        <v>0</v>
      </c>
      <c r="AP782" s="23">
        <v>0</v>
      </c>
      <c r="AQ782" s="23">
        <v>0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IFERROR($A$2+AU782,"上周无销量")</f>
        <v>上周无销量</v>
      </c>
    </row>
    <row r="783" spans="1:48">
      <c r="A783" s="21" t="s">
        <v>1653</v>
      </c>
      <c r="B783" t="s">
        <v>1594</v>
      </c>
      <c r="C783" t="s">
        <v>1588</v>
      </c>
      <c r="D783" s="31">
        <v>14</v>
      </c>
      <c r="E783" s="31">
        <v>12</v>
      </c>
      <c r="F783" s="31">
        <v>12</v>
      </c>
      <c r="G783" s="31">
        <v>12</v>
      </c>
      <c r="H783" s="32">
        <v>24.99</v>
      </c>
      <c r="I783">
        <v>11</v>
      </c>
      <c r="J783" s="33">
        <v>35</v>
      </c>
      <c r="K783" s="33">
        <v>2</v>
      </c>
      <c r="L783" s="33">
        <v>3</v>
      </c>
      <c r="M783">
        <v>51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140</v>
      </c>
      <c r="AK783">
        <v>95</v>
      </c>
      <c r="AL783">
        <v>85</v>
      </c>
      <c r="AM783">
        <v>76</v>
      </c>
      <c r="AN783" s="23">
        <v>0.1</v>
      </c>
      <c r="AO783" s="23">
        <v>0.126315789473684</v>
      </c>
      <c r="AP783" s="23">
        <v>0.141176470588235</v>
      </c>
      <c r="AQ783" s="23">
        <v>0.157894736842105</v>
      </c>
      <c r="AR783" s="35">
        <v>2</v>
      </c>
      <c r="AS783" s="35">
        <v>120</v>
      </c>
      <c r="AT783" s="35">
        <v>-69</v>
      </c>
      <c r="AU783" s="31">
        <f t="shared" si="15"/>
        <v>25</v>
      </c>
      <c r="AV783" s="36">
        <f>IFERROR($A$2+AU783,"上周无销量")</f>
        <v>43329</v>
      </c>
    </row>
    <row r="784" spans="1:48">
      <c r="A784" s="21" t="s">
        <v>1654</v>
      </c>
      <c r="B784" t="s">
        <v>1596</v>
      </c>
      <c r="C784" t="s">
        <v>1588</v>
      </c>
      <c r="D784" s="31">
        <v>22</v>
      </c>
      <c r="E784" s="31">
        <v>2</v>
      </c>
      <c r="F784" s="31">
        <v>22</v>
      </c>
      <c r="G784" s="31">
        <v>28</v>
      </c>
      <c r="H784" s="32">
        <v>18.99</v>
      </c>
      <c r="I784">
        <v>42</v>
      </c>
      <c r="J784" s="33">
        <v>63</v>
      </c>
      <c r="K784" s="33">
        <v>0</v>
      </c>
      <c r="L784" s="33">
        <v>21</v>
      </c>
      <c r="M784">
        <v>126</v>
      </c>
      <c r="N784">
        <v>1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204</v>
      </c>
      <c r="AK784">
        <v>0</v>
      </c>
      <c r="AL784">
        <v>110</v>
      </c>
      <c r="AM784">
        <v>87</v>
      </c>
      <c r="AN784" s="23">
        <v>0.107843137254902</v>
      </c>
      <c r="AO784" s="23" t="s">
        <v>54</v>
      </c>
      <c r="AP784" s="23">
        <v>0.2</v>
      </c>
      <c r="AQ784" s="23">
        <v>0.32183908045977</v>
      </c>
      <c r="AR784" s="35">
        <v>3.14285714285714</v>
      </c>
      <c r="AS784" s="35">
        <v>188.571428571429</v>
      </c>
      <c r="AT784" s="35">
        <v>-62.5714285714286</v>
      </c>
      <c r="AU784" s="31">
        <f t="shared" si="15"/>
        <v>40</v>
      </c>
      <c r="AV784" s="36">
        <f>IFERROR($A$2+AU784,"上周无销量")</f>
        <v>43344</v>
      </c>
    </row>
    <row r="785" spans="1:48">
      <c r="A785" s="21" t="s">
        <v>1655</v>
      </c>
      <c r="B785" t="s">
        <v>1598</v>
      </c>
      <c r="C785" t="s">
        <v>1588</v>
      </c>
      <c r="D785" s="31">
        <v>7</v>
      </c>
      <c r="E785" s="31">
        <v>40</v>
      </c>
      <c r="F785" s="31">
        <v>40</v>
      </c>
      <c r="G785" s="31">
        <v>21</v>
      </c>
      <c r="H785" s="32">
        <v>13.99</v>
      </c>
      <c r="I785">
        <v>94</v>
      </c>
      <c r="J785" s="33">
        <v>0</v>
      </c>
      <c r="K785" s="33">
        <v>0</v>
      </c>
      <c r="L785" s="33">
        <v>159</v>
      </c>
      <c r="M785">
        <v>253</v>
      </c>
      <c r="N785">
        <v>1</v>
      </c>
      <c r="O785">
        <v>0</v>
      </c>
      <c r="P785">
        <v>0</v>
      </c>
      <c r="Q785">
        <v>0</v>
      </c>
      <c r="R785">
        <v>49</v>
      </c>
      <c r="S785">
        <v>678</v>
      </c>
      <c r="T785">
        <v>0</v>
      </c>
      <c r="U785">
        <v>0</v>
      </c>
      <c r="V785">
        <v>1</v>
      </c>
      <c r="W785">
        <v>3</v>
      </c>
      <c r="X785" s="23" t="s">
        <v>54</v>
      </c>
      <c r="Y785" s="23" t="s">
        <v>54</v>
      </c>
      <c r="Z785" s="23">
        <v>0.0204081632653061</v>
      </c>
      <c r="AA785" s="23">
        <v>0.00442477876106195</v>
      </c>
      <c r="AB785">
        <v>0</v>
      </c>
      <c r="AC785">
        <v>0</v>
      </c>
      <c r="AD785">
        <v>0.69</v>
      </c>
      <c r="AE785">
        <v>2.29</v>
      </c>
      <c r="AF785" s="23" t="s">
        <v>54</v>
      </c>
      <c r="AG785" s="23" t="s">
        <v>54</v>
      </c>
      <c r="AH785" s="23">
        <v>0.00123302358827734</v>
      </c>
      <c r="AI785" s="23">
        <v>0.00779468327717077</v>
      </c>
      <c r="AJ785">
        <v>176</v>
      </c>
      <c r="AK785">
        <v>283</v>
      </c>
      <c r="AL785">
        <v>170</v>
      </c>
      <c r="AM785">
        <v>175</v>
      </c>
      <c r="AN785" s="23">
        <v>0.0397727272727273</v>
      </c>
      <c r="AO785" s="23">
        <v>0.141342756183746</v>
      </c>
      <c r="AP785" s="23">
        <v>0.235294117647059</v>
      </c>
      <c r="AQ785" s="23">
        <v>0.12</v>
      </c>
      <c r="AR785" s="35">
        <v>1</v>
      </c>
      <c r="AS785" s="35">
        <v>60</v>
      </c>
      <c r="AT785" s="35">
        <v>193</v>
      </c>
      <c r="AU785" s="31">
        <f t="shared" si="15"/>
        <v>253</v>
      </c>
      <c r="AV785" s="36">
        <f>IFERROR($A$2+AU785,"上周无销量")</f>
        <v>43557</v>
      </c>
    </row>
    <row r="786" spans="1:48">
      <c r="A786" s="21" t="s">
        <v>1656</v>
      </c>
      <c r="B786" t="s">
        <v>1606</v>
      </c>
      <c r="C786" t="s">
        <v>1588</v>
      </c>
      <c r="D786" s="31">
        <v>4</v>
      </c>
      <c r="E786" s="31">
        <v>10</v>
      </c>
      <c r="F786" s="31">
        <v>4</v>
      </c>
      <c r="G786" s="31">
        <v>2</v>
      </c>
      <c r="H786" s="32">
        <v>24.99</v>
      </c>
      <c r="I786">
        <v>33</v>
      </c>
      <c r="J786" s="33">
        <v>0</v>
      </c>
      <c r="K786" s="33">
        <v>0</v>
      </c>
      <c r="L786" s="33">
        <v>40</v>
      </c>
      <c r="M786">
        <v>73</v>
      </c>
      <c r="N786">
        <v>1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97</v>
      </c>
      <c r="AK786">
        <v>77</v>
      </c>
      <c r="AL786">
        <v>53</v>
      </c>
      <c r="AM786">
        <v>48</v>
      </c>
      <c r="AN786" s="23">
        <v>0.0412371134020619</v>
      </c>
      <c r="AO786" s="23">
        <v>0.12987012987013</v>
      </c>
      <c r="AP786" s="23">
        <v>0.0754716981132075</v>
      </c>
      <c r="AQ786" s="23">
        <v>0.0416666666666667</v>
      </c>
      <c r="AR786" s="35">
        <v>0.571428571428571</v>
      </c>
      <c r="AS786" s="35">
        <v>34.2857142857143</v>
      </c>
      <c r="AT786" s="35">
        <v>38.7142857142857</v>
      </c>
      <c r="AU786" s="31">
        <f t="shared" si="15"/>
        <v>127</v>
      </c>
      <c r="AV786" s="36">
        <f>IFERROR($A$2+AU786,"上周无销量")</f>
        <v>43431</v>
      </c>
    </row>
    <row r="787" spans="1:48">
      <c r="A787" s="21" t="s">
        <v>1657</v>
      </c>
      <c r="B787" t="s">
        <v>1608</v>
      </c>
      <c r="C787" t="s">
        <v>1588</v>
      </c>
      <c r="D787" s="31">
        <v>15</v>
      </c>
      <c r="E787" s="31">
        <v>15</v>
      </c>
      <c r="F787" s="31">
        <v>8</v>
      </c>
      <c r="G787" s="31">
        <v>9</v>
      </c>
      <c r="H787" s="32">
        <v>18.99</v>
      </c>
      <c r="I787">
        <v>43</v>
      </c>
      <c r="J787" s="33">
        <v>60</v>
      </c>
      <c r="K787" s="33">
        <v>0</v>
      </c>
      <c r="L787" s="33">
        <v>21</v>
      </c>
      <c r="M787">
        <v>124</v>
      </c>
      <c r="N787">
        <v>2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106</v>
      </c>
      <c r="AK787">
        <v>112</v>
      </c>
      <c r="AL787">
        <v>78</v>
      </c>
      <c r="AM787">
        <v>57</v>
      </c>
      <c r="AN787" s="23">
        <v>0.141509433962264</v>
      </c>
      <c r="AO787" s="23">
        <v>0.133928571428571</v>
      </c>
      <c r="AP787" s="23">
        <v>0.102564102564103</v>
      </c>
      <c r="AQ787" s="23">
        <v>0.157894736842105</v>
      </c>
      <c r="AR787" s="35">
        <v>2.14285714285714</v>
      </c>
      <c r="AS787" s="35">
        <v>128.571428571429</v>
      </c>
      <c r="AT787" s="35">
        <v>-4.57142857142856</v>
      </c>
      <c r="AU787" s="31">
        <f t="shared" si="15"/>
        <v>57</v>
      </c>
      <c r="AV787" s="36">
        <f>IFERROR($A$2+AU787,"上周无销量")</f>
        <v>43361</v>
      </c>
    </row>
    <row r="788" spans="1:48">
      <c r="A788" s="21" t="s">
        <v>1658</v>
      </c>
      <c r="B788" t="s">
        <v>1610</v>
      </c>
      <c r="C788" t="s">
        <v>1588</v>
      </c>
      <c r="D788" s="31">
        <v>20</v>
      </c>
      <c r="E788" s="31">
        <v>23</v>
      </c>
      <c r="F788" s="31">
        <v>31</v>
      </c>
      <c r="G788" s="31">
        <v>13</v>
      </c>
      <c r="H788" s="32">
        <v>13.99</v>
      </c>
      <c r="I788">
        <v>129</v>
      </c>
      <c r="J788" s="33">
        <v>85</v>
      </c>
      <c r="K788" s="33">
        <v>0</v>
      </c>
      <c r="L788" s="33">
        <v>5</v>
      </c>
      <c r="M788">
        <v>219</v>
      </c>
      <c r="N788">
        <v>1</v>
      </c>
      <c r="O788">
        <v>0</v>
      </c>
      <c r="P788">
        <v>4899</v>
      </c>
      <c r="Q788">
        <v>2275</v>
      </c>
      <c r="R788">
        <v>4230</v>
      </c>
      <c r="S788">
        <v>1801</v>
      </c>
      <c r="T788">
        <v>51</v>
      </c>
      <c r="U788">
        <v>28</v>
      </c>
      <c r="V788">
        <v>32</v>
      </c>
      <c r="W788">
        <v>5</v>
      </c>
      <c r="X788" s="23">
        <v>0.0104102878138396</v>
      </c>
      <c r="Y788" s="23">
        <v>0.0123076923076923</v>
      </c>
      <c r="Z788" s="23">
        <v>0.00756501182033097</v>
      </c>
      <c r="AA788" s="23">
        <v>0.00277623542476402</v>
      </c>
      <c r="AB788">
        <v>36.72</v>
      </c>
      <c r="AC788">
        <v>16.05</v>
      </c>
      <c r="AD788">
        <v>18.02</v>
      </c>
      <c r="AE788">
        <v>2.35</v>
      </c>
      <c r="AF788" s="23">
        <v>0.131236597569693</v>
      </c>
      <c r="AG788" s="23">
        <v>0.0498803493178357</v>
      </c>
      <c r="AH788" s="23">
        <v>0.0415504161959003</v>
      </c>
      <c r="AI788" s="23">
        <v>0.012921317424534</v>
      </c>
      <c r="AJ788">
        <v>302</v>
      </c>
      <c r="AK788">
        <v>265</v>
      </c>
      <c r="AL788">
        <v>179</v>
      </c>
      <c r="AM788">
        <v>144</v>
      </c>
      <c r="AN788" s="23">
        <v>0.0662251655629139</v>
      </c>
      <c r="AO788" s="23">
        <v>0.0867924528301887</v>
      </c>
      <c r="AP788" s="23">
        <v>0.173184357541899</v>
      </c>
      <c r="AQ788" s="23">
        <v>0.0902777777777778</v>
      </c>
      <c r="AR788" s="35">
        <v>2.85714285714286</v>
      </c>
      <c r="AS788" s="35">
        <v>171.428571428571</v>
      </c>
      <c r="AT788" s="35">
        <v>47.5714285714286</v>
      </c>
      <c r="AU788" s="31">
        <f t="shared" si="15"/>
        <v>76</v>
      </c>
      <c r="AV788" s="36">
        <f>IFERROR($A$2+AU788,"上周无销量")</f>
        <v>43380</v>
      </c>
    </row>
    <row r="789" spans="1:48">
      <c r="A789" s="21" t="s">
        <v>1659</v>
      </c>
      <c r="B789" t="s">
        <v>1618</v>
      </c>
      <c r="C789" t="s">
        <v>1588</v>
      </c>
      <c r="D789" s="31">
        <v>14</v>
      </c>
      <c r="E789" s="31">
        <v>11</v>
      </c>
      <c r="F789" s="31">
        <v>17</v>
      </c>
      <c r="G789" s="31">
        <v>8</v>
      </c>
      <c r="H789" s="32">
        <v>24.99</v>
      </c>
      <c r="I789">
        <v>17</v>
      </c>
      <c r="J789" s="33">
        <v>60</v>
      </c>
      <c r="K789" s="33">
        <v>20</v>
      </c>
      <c r="L789" s="33">
        <v>2</v>
      </c>
      <c r="M789">
        <v>99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284</v>
      </c>
      <c r="AK789">
        <v>219</v>
      </c>
      <c r="AL789">
        <v>126</v>
      </c>
      <c r="AM789">
        <v>122</v>
      </c>
      <c r="AN789" s="23">
        <v>0.0492957746478873</v>
      </c>
      <c r="AO789" s="23">
        <v>0.0502283105022831</v>
      </c>
      <c r="AP789" s="23">
        <v>0.134920634920635</v>
      </c>
      <c r="AQ789" s="23">
        <v>0.0655737704918033</v>
      </c>
      <c r="AR789" s="35">
        <v>2</v>
      </c>
      <c r="AS789" s="35">
        <v>120</v>
      </c>
      <c r="AT789" s="35">
        <v>-21</v>
      </c>
      <c r="AU789" s="31">
        <f t="shared" si="15"/>
        <v>49</v>
      </c>
      <c r="AV789" s="36">
        <f>IFERROR($A$2+AU789,"上周无销量")</f>
        <v>43353</v>
      </c>
    </row>
    <row r="790" spans="1:48">
      <c r="A790" s="21" t="s">
        <v>1660</v>
      </c>
      <c r="B790" t="s">
        <v>1620</v>
      </c>
      <c r="C790" t="s">
        <v>1588</v>
      </c>
      <c r="D790" s="31">
        <v>35</v>
      </c>
      <c r="E790" s="31">
        <v>18</v>
      </c>
      <c r="F790" s="31">
        <v>32</v>
      </c>
      <c r="G790" s="31">
        <v>23</v>
      </c>
      <c r="H790" s="32">
        <v>18.99</v>
      </c>
      <c r="I790">
        <v>77</v>
      </c>
      <c r="J790" s="33">
        <v>75</v>
      </c>
      <c r="K790" s="33">
        <v>2</v>
      </c>
      <c r="L790" s="33">
        <v>36</v>
      </c>
      <c r="M790">
        <v>190</v>
      </c>
      <c r="N790">
        <v>1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386</v>
      </c>
      <c r="AK790">
        <v>323</v>
      </c>
      <c r="AL790">
        <v>201</v>
      </c>
      <c r="AM790">
        <v>186</v>
      </c>
      <c r="AN790" s="23">
        <v>0.0906735751295337</v>
      </c>
      <c r="AO790" s="23">
        <v>0.0557275541795666</v>
      </c>
      <c r="AP790" s="23">
        <v>0.159203980099502</v>
      </c>
      <c r="AQ790" s="23">
        <v>0.123655913978495</v>
      </c>
      <c r="AR790" s="35">
        <v>5</v>
      </c>
      <c r="AS790" s="35">
        <v>300</v>
      </c>
      <c r="AT790" s="35">
        <v>-110</v>
      </c>
      <c r="AU790" s="31">
        <f t="shared" si="15"/>
        <v>38</v>
      </c>
      <c r="AV790" s="36">
        <f>IFERROR($A$2+AU790,"上周无销量")</f>
        <v>43342</v>
      </c>
    </row>
    <row r="791" spans="1:48">
      <c r="A791" s="21" t="s">
        <v>1661</v>
      </c>
      <c r="B791" t="s">
        <v>1622</v>
      </c>
      <c r="C791" t="s">
        <v>1588</v>
      </c>
      <c r="D791" s="31">
        <v>53</v>
      </c>
      <c r="E791" s="31">
        <v>66</v>
      </c>
      <c r="F791" s="31">
        <v>45</v>
      </c>
      <c r="G791" s="31">
        <v>34</v>
      </c>
      <c r="H791" s="32">
        <v>13.99</v>
      </c>
      <c r="I791">
        <v>97</v>
      </c>
      <c r="J791" s="33">
        <v>67</v>
      </c>
      <c r="K791" s="33">
        <v>0</v>
      </c>
      <c r="L791" s="33">
        <v>121</v>
      </c>
      <c r="M791">
        <v>285</v>
      </c>
      <c r="N791">
        <v>0</v>
      </c>
      <c r="O791">
        <v>0</v>
      </c>
      <c r="P791">
        <v>172363</v>
      </c>
      <c r="Q791">
        <v>177592</v>
      </c>
      <c r="R791">
        <v>194803</v>
      </c>
      <c r="S791">
        <v>124968</v>
      </c>
      <c r="T791">
        <v>1148</v>
      </c>
      <c r="U791">
        <v>1180</v>
      </c>
      <c r="V791">
        <v>1289</v>
      </c>
      <c r="W791">
        <v>710</v>
      </c>
      <c r="X791" s="23">
        <v>0.00666036214268724</v>
      </c>
      <c r="Y791" s="23">
        <v>0.00664444344339835</v>
      </c>
      <c r="Z791" s="23">
        <v>0.00661694121753772</v>
      </c>
      <c r="AA791" s="23">
        <v>0.0056814544523398</v>
      </c>
      <c r="AB791">
        <v>998.07</v>
      </c>
      <c r="AC791">
        <v>983.86</v>
      </c>
      <c r="AD791">
        <v>1088.88</v>
      </c>
      <c r="AE791">
        <v>519.73</v>
      </c>
      <c r="AF791" s="23">
        <v>1.34606929477929</v>
      </c>
      <c r="AG791" s="23">
        <v>1.0655446531072</v>
      </c>
      <c r="AH791" s="23">
        <v>1.72961639266143</v>
      </c>
      <c r="AI791" s="23">
        <v>1.09265021233654</v>
      </c>
      <c r="AJ791">
        <v>1519</v>
      </c>
      <c r="AK791">
        <v>1158</v>
      </c>
      <c r="AL791">
        <v>648</v>
      </c>
      <c r="AM791">
        <v>607</v>
      </c>
      <c r="AN791" s="23">
        <v>0.0348913759052008</v>
      </c>
      <c r="AO791" s="23">
        <v>0.0569948186528497</v>
      </c>
      <c r="AP791" s="23">
        <v>0.0694444444444444</v>
      </c>
      <c r="AQ791" s="23">
        <v>0.0560131795716639</v>
      </c>
      <c r="AR791" s="35">
        <v>7.57142857142857</v>
      </c>
      <c r="AS791" s="35">
        <v>454.285714285714</v>
      </c>
      <c r="AT791" s="35">
        <v>-169.285714285714</v>
      </c>
      <c r="AU791" s="31">
        <f t="shared" si="15"/>
        <v>37</v>
      </c>
      <c r="AV791" s="36">
        <f>IFERROR($A$2+AU791,"上周无销量")</f>
        <v>43341</v>
      </c>
    </row>
    <row r="792" spans="1:48">
      <c r="A792" s="21" t="s">
        <v>1662</v>
      </c>
      <c r="B792" t="s">
        <v>1630</v>
      </c>
      <c r="C792" t="s">
        <v>1588</v>
      </c>
      <c r="D792" s="31">
        <v>31</v>
      </c>
      <c r="E792" s="31">
        <v>32</v>
      </c>
      <c r="F792" s="31">
        <v>34</v>
      </c>
      <c r="G792" s="31">
        <v>15</v>
      </c>
      <c r="H792" s="32">
        <v>24.9722321428571</v>
      </c>
      <c r="I792">
        <v>19</v>
      </c>
      <c r="J792" s="33">
        <v>50</v>
      </c>
      <c r="K792" s="33">
        <v>1</v>
      </c>
      <c r="L792" s="33">
        <v>25</v>
      </c>
      <c r="M792">
        <v>95</v>
      </c>
      <c r="N792">
        <v>1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292</v>
      </c>
      <c r="AK792">
        <v>235</v>
      </c>
      <c r="AL792">
        <v>160</v>
      </c>
      <c r="AM792">
        <v>105</v>
      </c>
      <c r="AN792" s="23">
        <v>0.106164383561644</v>
      </c>
      <c r="AO792" s="23">
        <v>0.136170212765957</v>
      </c>
      <c r="AP792" s="23">
        <v>0.2125</v>
      </c>
      <c r="AQ792" s="23">
        <v>0.142857142857143</v>
      </c>
      <c r="AR792" s="35">
        <v>4.42857142857143</v>
      </c>
      <c r="AS792" s="35">
        <v>265.714285714286</v>
      </c>
      <c r="AT792" s="35">
        <v>-170.714285714286</v>
      </c>
      <c r="AU792" s="31">
        <f t="shared" si="15"/>
        <v>21</v>
      </c>
      <c r="AV792" s="36">
        <f>IFERROR($A$2+AU792,"上周无销量")</f>
        <v>43325</v>
      </c>
    </row>
    <row r="793" spans="1:48">
      <c r="A793" s="21" t="s">
        <v>1663</v>
      </c>
      <c r="B793" t="s">
        <v>1632</v>
      </c>
      <c r="C793" t="s">
        <v>1588</v>
      </c>
      <c r="D793" s="31">
        <v>41</v>
      </c>
      <c r="E793" s="31">
        <v>38</v>
      </c>
      <c r="F793" s="31">
        <v>36</v>
      </c>
      <c r="G793" s="31">
        <v>36</v>
      </c>
      <c r="H793" s="32">
        <v>18.99</v>
      </c>
      <c r="I793">
        <v>79</v>
      </c>
      <c r="J793" s="33">
        <v>190</v>
      </c>
      <c r="K793" s="33">
        <v>0</v>
      </c>
      <c r="L793" s="33">
        <v>58</v>
      </c>
      <c r="M793">
        <v>327</v>
      </c>
      <c r="N793">
        <v>0</v>
      </c>
      <c r="O793">
        <v>0</v>
      </c>
      <c r="P793">
        <v>0</v>
      </c>
      <c r="Q793">
        <v>0</v>
      </c>
      <c r="R793">
        <v>82</v>
      </c>
      <c r="S793">
        <v>0</v>
      </c>
      <c r="T793">
        <v>0</v>
      </c>
      <c r="U793">
        <v>0</v>
      </c>
      <c r="V793">
        <v>2</v>
      </c>
      <c r="W793">
        <v>0</v>
      </c>
      <c r="X793" s="23" t="s">
        <v>54</v>
      </c>
      <c r="Y793" s="23" t="s">
        <v>54</v>
      </c>
      <c r="Z793" s="23">
        <v>0.024390243902439</v>
      </c>
      <c r="AA793" s="23" t="s">
        <v>54</v>
      </c>
      <c r="AB793">
        <v>0</v>
      </c>
      <c r="AC793">
        <v>0</v>
      </c>
      <c r="AD793">
        <v>0.93</v>
      </c>
      <c r="AE793">
        <v>0</v>
      </c>
      <c r="AF793" s="23" t="s">
        <v>54</v>
      </c>
      <c r="AG793" s="23" t="s">
        <v>54</v>
      </c>
      <c r="AH793" s="23">
        <v>0.00136036510444093</v>
      </c>
      <c r="AI793" s="23" t="s">
        <v>54</v>
      </c>
      <c r="AJ793">
        <v>319</v>
      </c>
      <c r="AK793">
        <v>324</v>
      </c>
      <c r="AL793">
        <v>197</v>
      </c>
      <c r="AM793">
        <v>150</v>
      </c>
      <c r="AN793" s="23">
        <v>0.128526645768025</v>
      </c>
      <c r="AO793" s="23">
        <v>0.117283950617284</v>
      </c>
      <c r="AP793" s="23">
        <v>0.182741116751269</v>
      </c>
      <c r="AQ793" s="23">
        <v>0.24</v>
      </c>
      <c r="AR793" s="35">
        <v>5.85714285714286</v>
      </c>
      <c r="AS793" s="35">
        <v>351.428571428571</v>
      </c>
      <c r="AT793" s="35">
        <v>-24.4285714285714</v>
      </c>
      <c r="AU793" s="31">
        <f t="shared" si="15"/>
        <v>55</v>
      </c>
      <c r="AV793" s="36">
        <f>IFERROR($A$2+AU793,"上周无销量")</f>
        <v>43359</v>
      </c>
    </row>
    <row r="794" spans="1:48">
      <c r="A794" s="21" t="s">
        <v>1664</v>
      </c>
      <c r="B794" t="s">
        <v>1634</v>
      </c>
      <c r="C794" t="s">
        <v>1588</v>
      </c>
      <c r="D794" s="31">
        <v>56</v>
      </c>
      <c r="E794" s="31">
        <v>56</v>
      </c>
      <c r="F794" s="31">
        <v>48</v>
      </c>
      <c r="G794" s="31">
        <v>28</v>
      </c>
      <c r="H794" s="32">
        <v>13.99</v>
      </c>
      <c r="I794">
        <v>47</v>
      </c>
      <c r="J794" s="33">
        <v>129</v>
      </c>
      <c r="K794" s="33">
        <v>2</v>
      </c>
      <c r="L794" s="33">
        <v>98</v>
      </c>
      <c r="M794">
        <v>276</v>
      </c>
      <c r="N794">
        <v>1</v>
      </c>
      <c r="O794">
        <v>0</v>
      </c>
      <c r="P794">
        <v>5493</v>
      </c>
      <c r="Q794">
        <v>10760</v>
      </c>
      <c r="R794">
        <v>25605</v>
      </c>
      <c r="S794">
        <v>4078</v>
      </c>
      <c r="T794">
        <v>80</v>
      </c>
      <c r="U794">
        <v>128</v>
      </c>
      <c r="V794">
        <v>186</v>
      </c>
      <c r="W794">
        <v>33</v>
      </c>
      <c r="X794" s="23">
        <v>0.0145639905334062</v>
      </c>
      <c r="Y794" s="23">
        <v>0.0118959107806691</v>
      </c>
      <c r="Z794" s="23">
        <v>0.00726420620972466</v>
      </c>
      <c r="AA794" s="23">
        <v>0.00809220205983325</v>
      </c>
      <c r="AB794">
        <v>46.66</v>
      </c>
      <c r="AC794">
        <v>88.45</v>
      </c>
      <c r="AD794">
        <v>152.95</v>
      </c>
      <c r="AE794">
        <v>26.4</v>
      </c>
      <c r="AF794" s="23">
        <v>0.0595578474420504</v>
      </c>
      <c r="AG794" s="23">
        <v>0.112899520065353</v>
      </c>
      <c r="AH794" s="23">
        <v>0.227766857279009</v>
      </c>
      <c r="AI794" s="23">
        <v>0.0673950781170224</v>
      </c>
      <c r="AJ794">
        <v>411</v>
      </c>
      <c r="AK794">
        <v>404</v>
      </c>
      <c r="AL794">
        <v>245</v>
      </c>
      <c r="AM794">
        <v>175</v>
      </c>
      <c r="AN794" s="23">
        <v>0.13625304136253</v>
      </c>
      <c r="AO794" s="23">
        <v>0.138613861386139</v>
      </c>
      <c r="AP794" s="23">
        <v>0.195918367346939</v>
      </c>
      <c r="AQ794" s="23">
        <v>0.16</v>
      </c>
      <c r="AR794" s="35">
        <v>8</v>
      </c>
      <c r="AS794" s="35">
        <v>480</v>
      </c>
      <c r="AT794" s="35">
        <v>-204</v>
      </c>
      <c r="AU794" s="31">
        <f t="shared" si="15"/>
        <v>34</v>
      </c>
      <c r="AV794" s="36">
        <f>IFERROR($A$2+AU794,"上周无销量")</f>
        <v>43338</v>
      </c>
    </row>
    <row r="795" spans="1:48">
      <c r="A795" s="21" t="s">
        <v>1665</v>
      </c>
      <c r="B795" t="s">
        <v>1642</v>
      </c>
      <c r="C795" t="s">
        <v>1588</v>
      </c>
      <c r="D795" s="31">
        <v>5</v>
      </c>
      <c r="E795" s="31">
        <v>0</v>
      </c>
      <c r="F795" s="31">
        <v>1</v>
      </c>
      <c r="G795" s="31">
        <v>1</v>
      </c>
      <c r="H795" s="32">
        <v>24.99</v>
      </c>
      <c r="I795">
        <v>43</v>
      </c>
      <c r="J795" s="33">
        <v>0</v>
      </c>
      <c r="K795" s="33">
        <v>0</v>
      </c>
      <c r="L795" s="33">
        <v>0</v>
      </c>
      <c r="M795">
        <v>43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95</v>
      </c>
      <c r="AK795">
        <v>73</v>
      </c>
      <c r="AL795">
        <v>31</v>
      </c>
      <c r="AM795">
        <v>33</v>
      </c>
      <c r="AN795" s="23">
        <v>0.0526315789473684</v>
      </c>
      <c r="AO795" s="23">
        <v>0</v>
      </c>
      <c r="AP795" s="23">
        <v>0.032258064516129</v>
      </c>
      <c r="AQ795" s="23">
        <v>0.0303030303030303</v>
      </c>
      <c r="AR795" s="35">
        <v>0.714285714285714</v>
      </c>
      <c r="AS795" s="35">
        <v>42.8571428571429</v>
      </c>
      <c r="AT795" s="35">
        <v>0.142857142857139</v>
      </c>
      <c r="AU795" s="31">
        <f t="shared" si="15"/>
        <v>60</v>
      </c>
      <c r="AV795" s="36">
        <f>IFERROR($A$2+AU795,"上周无销量")</f>
        <v>43364</v>
      </c>
    </row>
    <row r="796" spans="1:48">
      <c r="A796" s="21" t="s">
        <v>1666</v>
      </c>
      <c r="B796" t="s">
        <v>1644</v>
      </c>
      <c r="C796" t="s">
        <v>1588</v>
      </c>
      <c r="D796" s="31">
        <v>2</v>
      </c>
      <c r="E796" s="31">
        <v>3</v>
      </c>
      <c r="F796" s="31">
        <v>2</v>
      </c>
      <c r="G796" s="31">
        <v>1</v>
      </c>
      <c r="H796" s="32">
        <v>18.99</v>
      </c>
      <c r="I796">
        <v>63</v>
      </c>
      <c r="J796" s="33">
        <v>0</v>
      </c>
      <c r="K796" s="33">
        <v>0</v>
      </c>
      <c r="L796" s="33">
        <v>0</v>
      </c>
      <c r="M796">
        <v>63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79</v>
      </c>
      <c r="AK796">
        <v>57</v>
      </c>
      <c r="AL796">
        <v>33</v>
      </c>
      <c r="AM796">
        <v>34</v>
      </c>
      <c r="AN796" s="23">
        <v>0.0253164556962025</v>
      </c>
      <c r="AO796" s="23">
        <v>0.0526315789473684</v>
      </c>
      <c r="AP796" s="23">
        <v>0.0606060606060606</v>
      </c>
      <c r="AQ796" s="23">
        <v>0.0294117647058824</v>
      </c>
      <c r="AR796" s="35">
        <v>0.285714285714286</v>
      </c>
      <c r="AS796" s="35">
        <v>17.1428571428571</v>
      </c>
      <c r="AT796" s="35">
        <v>45.8571428571429</v>
      </c>
      <c r="AU796" s="31">
        <f t="shared" si="15"/>
        <v>220</v>
      </c>
      <c r="AV796" s="36">
        <f>IFERROR($A$2+AU796,"上周无销量")</f>
        <v>43524</v>
      </c>
    </row>
    <row r="797" spans="1:48">
      <c r="A797" s="21" t="s">
        <v>1667</v>
      </c>
      <c r="B797" t="s">
        <v>1646</v>
      </c>
      <c r="C797" t="s">
        <v>1588</v>
      </c>
      <c r="D797" s="31">
        <v>5</v>
      </c>
      <c r="E797" s="31">
        <v>4</v>
      </c>
      <c r="F797" s="31">
        <v>2</v>
      </c>
      <c r="G797" s="31">
        <v>3</v>
      </c>
      <c r="H797" s="32">
        <v>13.99</v>
      </c>
      <c r="I797">
        <v>44</v>
      </c>
      <c r="J797" s="33">
        <v>0</v>
      </c>
      <c r="K797" s="33">
        <v>8</v>
      </c>
      <c r="L797" s="33">
        <v>1</v>
      </c>
      <c r="M797">
        <v>53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137</v>
      </c>
      <c r="AK797">
        <v>117</v>
      </c>
      <c r="AL797">
        <v>54</v>
      </c>
      <c r="AM797">
        <v>60</v>
      </c>
      <c r="AN797" s="23">
        <v>0.0364963503649635</v>
      </c>
      <c r="AO797" s="23">
        <v>0.0341880341880342</v>
      </c>
      <c r="AP797" s="23">
        <v>0.037037037037037</v>
      </c>
      <c r="AQ797" s="23">
        <v>0.05</v>
      </c>
      <c r="AR797" s="35">
        <v>0.714285714285714</v>
      </c>
      <c r="AS797" s="35">
        <v>42.8571428571429</v>
      </c>
      <c r="AT797" s="35">
        <v>10.1428571428571</v>
      </c>
      <c r="AU797" s="31">
        <f t="shared" si="15"/>
        <v>74</v>
      </c>
      <c r="AV797" s="36">
        <f>IFERROR($A$2+AU797,"上周无销量")</f>
        <v>43378</v>
      </c>
    </row>
    <row r="798" spans="1:48">
      <c r="A798" s="21" t="s">
        <v>1668</v>
      </c>
      <c r="B798" t="s">
        <v>1648</v>
      </c>
      <c r="C798" t="s">
        <v>1588</v>
      </c>
      <c r="D798" s="31">
        <v>1</v>
      </c>
      <c r="E798" s="31">
        <v>2</v>
      </c>
      <c r="F798" s="31">
        <v>0</v>
      </c>
      <c r="G798" s="31">
        <v>0</v>
      </c>
      <c r="H798" s="32">
        <v>24.99</v>
      </c>
      <c r="I798">
        <v>77</v>
      </c>
      <c r="J798" s="33">
        <v>0</v>
      </c>
      <c r="K798" s="33">
        <v>0</v>
      </c>
      <c r="L798" s="33">
        <v>0</v>
      </c>
      <c r="M798">
        <v>77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72</v>
      </c>
      <c r="AK798">
        <v>62</v>
      </c>
      <c r="AL798">
        <v>28</v>
      </c>
      <c r="AM798">
        <v>25</v>
      </c>
      <c r="AN798" s="23">
        <v>0.0138888888888889</v>
      </c>
      <c r="AO798" s="23">
        <v>0.032258064516129</v>
      </c>
      <c r="AP798" s="23">
        <v>0</v>
      </c>
      <c r="AQ798" s="23">
        <v>0</v>
      </c>
      <c r="AR798" s="35">
        <v>0.142857142857143</v>
      </c>
      <c r="AS798" s="35">
        <v>8.57142857142857</v>
      </c>
      <c r="AT798" s="35">
        <v>68.4285714285714</v>
      </c>
      <c r="AU798" s="31">
        <f t="shared" si="15"/>
        <v>539</v>
      </c>
      <c r="AV798" s="36">
        <f>IFERROR($A$2+AU798,"上周无销量")</f>
        <v>43843</v>
      </c>
    </row>
    <row r="799" spans="1:48">
      <c r="A799" s="21" t="s">
        <v>1669</v>
      </c>
      <c r="B799" t="s">
        <v>1650</v>
      </c>
      <c r="C799" t="s">
        <v>1588</v>
      </c>
      <c r="D799" s="31">
        <v>1</v>
      </c>
      <c r="E799" s="31">
        <v>2</v>
      </c>
      <c r="F799" s="31">
        <v>0</v>
      </c>
      <c r="G799" s="31">
        <v>2</v>
      </c>
      <c r="H799" s="32">
        <v>18.99</v>
      </c>
      <c r="I799">
        <v>79</v>
      </c>
      <c r="J799" s="33">
        <v>0</v>
      </c>
      <c r="K799" s="33">
        <v>0</v>
      </c>
      <c r="L799" s="33">
        <v>0</v>
      </c>
      <c r="M799">
        <v>79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96</v>
      </c>
      <c r="AK799">
        <v>66</v>
      </c>
      <c r="AL799">
        <v>35</v>
      </c>
      <c r="AM799">
        <v>34</v>
      </c>
      <c r="AN799" s="23">
        <v>0.0104166666666667</v>
      </c>
      <c r="AO799" s="23">
        <v>0.0303030303030303</v>
      </c>
      <c r="AP799" s="23">
        <v>0</v>
      </c>
      <c r="AQ799" s="23">
        <v>0.0588235294117647</v>
      </c>
      <c r="AR799" s="35">
        <v>0.142857142857143</v>
      </c>
      <c r="AS799" s="35">
        <v>8.57142857142857</v>
      </c>
      <c r="AT799" s="35">
        <v>70.4285714285714</v>
      </c>
      <c r="AU799" s="31">
        <f t="shared" si="15"/>
        <v>553</v>
      </c>
      <c r="AV799" s="36">
        <f>IFERROR($A$2+AU799,"上周无销量")</f>
        <v>43857</v>
      </c>
    </row>
    <row r="800" spans="1:48">
      <c r="A800" s="21" t="s">
        <v>1670</v>
      </c>
      <c r="B800" t="s">
        <v>1652</v>
      </c>
      <c r="C800" t="s">
        <v>1588</v>
      </c>
      <c r="D800" s="31">
        <v>8</v>
      </c>
      <c r="E800" s="31">
        <v>6</v>
      </c>
      <c r="F800" s="31">
        <v>7</v>
      </c>
      <c r="G800" s="31">
        <v>4</v>
      </c>
      <c r="H800" s="32">
        <v>13.99</v>
      </c>
      <c r="I800">
        <v>136</v>
      </c>
      <c r="J800" s="33">
        <v>0</v>
      </c>
      <c r="K800" s="33">
        <v>0</v>
      </c>
      <c r="L800" s="33">
        <v>0</v>
      </c>
      <c r="M800">
        <v>136</v>
      </c>
      <c r="N800">
        <v>0</v>
      </c>
      <c r="O800">
        <v>0</v>
      </c>
      <c r="P800">
        <v>4181</v>
      </c>
      <c r="Q800">
        <v>1731</v>
      </c>
      <c r="R800">
        <v>2139</v>
      </c>
      <c r="S800">
        <v>4900</v>
      </c>
      <c r="T800">
        <v>35</v>
      </c>
      <c r="U800">
        <v>18</v>
      </c>
      <c r="V800">
        <v>22</v>
      </c>
      <c r="W800">
        <v>23</v>
      </c>
      <c r="X800" s="23">
        <v>0.00837120306146855</v>
      </c>
      <c r="Y800" s="23">
        <v>0.0103986135181976</v>
      </c>
      <c r="Z800" s="23">
        <v>0.0102851799906498</v>
      </c>
      <c r="AA800" s="23">
        <v>0.00469387755102041</v>
      </c>
      <c r="AB800">
        <v>23.23</v>
      </c>
      <c r="AC800">
        <v>14.01</v>
      </c>
      <c r="AD800">
        <v>15.85</v>
      </c>
      <c r="AE800">
        <v>22.42</v>
      </c>
      <c r="AF800" s="23">
        <v>0.207558970693352</v>
      </c>
      <c r="AG800" s="23">
        <v>0.166904932094353</v>
      </c>
      <c r="AH800" s="23">
        <v>0.161850301235576</v>
      </c>
      <c r="AI800" s="23">
        <v>0.400643316654753</v>
      </c>
      <c r="AJ800">
        <v>159</v>
      </c>
      <c r="AK800">
        <v>148</v>
      </c>
      <c r="AL800">
        <v>65</v>
      </c>
      <c r="AM800">
        <v>68</v>
      </c>
      <c r="AN800" s="23">
        <v>0.050314465408805</v>
      </c>
      <c r="AO800" s="23">
        <v>0.0405405405405405</v>
      </c>
      <c r="AP800" s="23">
        <v>0.107692307692308</v>
      </c>
      <c r="AQ800" s="23">
        <v>0.0588235294117647</v>
      </c>
      <c r="AR800" s="35">
        <v>1.14285714285714</v>
      </c>
      <c r="AS800" s="35">
        <v>68.5714285714286</v>
      </c>
      <c r="AT800" s="35">
        <v>67.4285714285714</v>
      </c>
      <c r="AU800" s="31">
        <f t="shared" si="15"/>
        <v>119</v>
      </c>
      <c r="AV800" s="36">
        <f>IFERROR($A$2+AU800,"上周无销量")</f>
        <v>43423</v>
      </c>
    </row>
    <row r="801" spans="1:48">
      <c r="A801" s="21" t="s">
        <v>1671</v>
      </c>
      <c r="B801" t="s">
        <v>1672</v>
      </c>
      <c r="C801" t="s">
        <v>1673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s">
        <v>54</v>
      </c>
      <c r="AO801" s="23" t="s">
        <v>54</v>
      </c>
      <c r="AP801" s="23" t="s">
        <v>54</v>
      </c>
      <c r="AQ801" s="23" t="s">
        <v>54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IFERROR($A$2+AU801,"上周无销量")</f>
        <v>上周无销量</v>
      </c>
    </row>
    <row r="802" spans="1:48">
      <c r="A802" s="21" t="s">
        <v>1674</v>
      </c>
      <c r="B802" t="s">
        <v>1675</v>
      </c>
      <c r="C802" t="s">
        <v>1673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s">
        <v>54</v>
      </c>
      <c r="AO802" s="23" t="s">
        <v>54</v>
      </c>
      <c r="AP802" s="23" t="s">
        <v>54</v>
      </c>
      <c r="AQ802" s="23" t="s">
        <v>54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IFERROR($A$2+AU802,"上周无销量")</f>
        <v>上周无销量</v>
      </c>
    </row>
    <row r="803" spans="1:48">
      <c r="A803" s="21" t="s">
        <v>1676</v>
      </c>
      <c r="B803" t="s">
        <v>1677</v>
      </c>
      <c r="C803" t="s">
        <v>1673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IFERROR($A$2+AU803,"上周无销量")</f>
        <v>上周无销量</v>
      </c>
    </row>
    <row r="804" spans="1:48">
      <c r="A804" s="21" t="s">
        <v>1678</v>
      </c>
      <c r="B804" t="s">
        <v>1679</v>
      </c>
      <c r="C804" t="s">
        <v>1680</v>
      </c>
      <c r="D804" s="31">
        <v>0</v>
      </c>
      <c r="E804" s="31">
        <v>0</v>
      </c>
      <c r="F804" s="31">
        <v>0</v>
      </c>
      <c r="G804" s="31">
        <v>1</v>
      </c>
      <c r="H804" s="32">
        <v>9.99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1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s">
        <v>54</v>
      </c>
      <c r="AO804" s="23" t="s">
        <v>54</v>
      </c>
      <c r="AP804" s="23" t="s">
        <v>54</v>
      </c>
      <c r="AQ804" s="23" t="s">
        <v>54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IFERROR($A$2+AU804,"上周无销量")</f>
        <v>上周无销量</v>
      </c>
    </row>
    <row r="805" spans="1:48">
      <c r="A805" s="21" t="s">
        <v>1681</v>
      </c>
      <c r="B805" t="s">
        <v>1682</v>
      </c>
      <c r="C805" t="s">
        <v>1680</v>
      </c>
      <c r="D805" s="31">
        <v>1</v>
      </c>
      <c r="E805" s="31">
        <v>2</v>
      </c>
      <c r="F805" s="31">
        <v>1</v>
      </c>
      <c r="G805" s="31">
        <v>0</v>
      </c>
      <c r="H805" s="32">
        <v>9.99</v>
      </c>
      <c r="I805">
        <v>4</v>
      </c>
      <c r="J805" s="33">
        <v>0</v>
      </c>
      <c r="K805" s="33">
        <v>0</v>
      </c>
      <c r="L805" s="33">
        <v>2</v>
      </c>
      <c r="M805">
        <v>6</v>
      </c>
      <c r="N805">
        <v>0</v>
      </c>
      <c r="O805">
        <v>5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31</v>
      </c>
      <c r="AK805">
        <v>19</v>
      </c>
      <c r="AL805">
        <v>7</v>
      </c>
      <c r="AM805">
        <v>4</v>
      </c>
      <c r="AN805" s="23">
        <v>0.032258064516129</v>
      </c>
      <c r="AO805" s="23">
        <v>0.105263157894737</v>
      </c>
      <c r="AP805" s="23">
        <v>0.142857142857143</v>
      </c>
      <c r="AQ805" s="23">
        <v>0</v>
      </c>
      <c r="AR805" s="35">
        <v>0.142857142857143</v>
      </c>
      <c r="AS805" s="35">
        <v>8.57142857142857</v>
      </c>
      <c r="AT805" s="35">
        <v>-2.57142857142857</v>
      </c>
      <c r="AU805" s="31">
        <f t="shared" si="15"/>
        <v>42</v>
      </c>
      <c r="AV805" s="36">
        <f>IFERROR($A$2+AU805,"上周无销量")</f>
        <v>43346</v>
      </c>
    </row>
    <row r="806" spans="1:48">
      <c r="A806" s="21" t="s">
        <v>1683</v>
      </c>
      <c r="B806" t="s">
        <v>1684</v>
      </c>
      <c r="C806" t="s">
        <v>1680</v>
      </c>
      <c r="D806" s="31">
        <v>0</v>
      </c>
      <c r="E806" s="31">
        <v>1</v>
      </c>
      <c r="F806" s="31">
        <v>0</v>
      </c>
      <c r="G806" s="31">
        <v>0</v>
      </c>
      <c r="H806" s="32">
        <v>9.99</v>
      </c>
      <c r="I806">
        <v>2</v>
      </c>
      <c r="J806" s="33">
        <v>0</v>
      </c>
      <c r="K806" s="33">
        <v>0</v>
      </c>
      <c r="L806" s="33">
        <v>0</v>
      </c>
      <c r="M806">
        <v>2</v>
      </c>
      <c r="N806">
        <v>0</v>
      </c>
      <c r="O806">
        <v>1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11</v>
      </c>
      <c r="AK806">
        <v>10</v>
      </c>
      <c r="AL806">
        <v>8</v>
      </c>
      <c r="AM806">
        <v>9</v>
      </c>
      <c r="AN806" s="23">
        <v>0</v>
      </c>
      <c r="AO806" s="23">
        <v>0.1</v>
      </c>
      <c r="AP806" s="23">
        <v>0</v>
      </c>
      <c r="AQ806" s="23">
        <v>0</v>
      </c>
      <c r="AR806" s="35">
        <v>0</v>
      </c>
      <c r="AS806" s="35">
        <v>0</v>
      </c>
      <c r="AT806" s="35">
        <v>2</v>
      </c>
      <c r="AU806" s="31" t="str">
        <f t="shared" si="15"/>
        <v>库存为2</v>
      </c>
      <c r="AV806" s="36" t="str">
        <f>IFERROR($A$2+AU806,"上周无销量")</f>
        <v>上周无销量</v>
      </c>
    </row>
    <row r="807" spans="1:48">
      <c r="A807" s="21" t="s">
        <v>1685</v>
      </c>
      <c r="B807" t="s">
        <v>1686</v>
      </c>
      <c r="C807" t="s">
        <v>1680</v>
      </c>
      <c r="D807" s="31">
        <v>1</v>
      </c>
      <c r="E807" s="31">
        <v>1</v>
      </c>
      <c r="F807" s="31">
        <v>1</v>
      </c>
      <c r="G807" s="31">
        <v>0</v>
      </c>
      <c r="H807" s="32">
        <v>9.99</v>
      </c>
      <c r="I807">
        <v>6</v>
      </c>
      <c r="J807" s="33">
        <v>0</v>
      </c>
      <c r="K807" s="33">
        <v>0</v>
      </c>
      <c r="L807" s="33">
        <v>0</v>
      </c>
      <c r="M807">
        <v>6</v>
      </c>
      <c r="N807">
        <v>0</v>
      </c>
      <c r="O807">
        <v>7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10</v>
      </c>
      <c r="AK807">
        <v>13</v>
      </c>
      <c r="AL807">
        <v>9</v>
      </c>
      <c r="AM807">
        <v>3</v>
      </c>
      <c r="AN807" s="23">
        <v>0.1</v>
      </c>
      <c r="AO807" s="23">
        <v>0.0769230769230769</v>
      </c>
      <c r="AP807" s="23">
        <v>0.111111111111111</v>
      </c>
      <c r="AQ807" s="23">
        <v>0</v>
      </c>
      <c r="AR807" s="35">
        <v>0.142857142857143</v>
      </c>
      <c r="AS807" s="35">
        <v>8.57142857142857</v>
      </c>
      <c r="AT807" s="35">
        <v>-2.57142857142857</v>
      </c>
      <c r="AU807" s="31">
        <f t="shared" si="15"/>
        <v>42</v>
      </c>
      <c r="AV807" s="36">
        <f>IFERROR($A$2+AU807,"上周无销量")</f>
        <v>43346</v>
      </c>
    </row>
    <row r="808" spans="1:48">
      <c r="A808" s="21" t="s">
        <v>1687</v>
      </c>
      <c r="B808" t="s">
        <v>1688</v>
      </c>
      <c r="C808" t="s">
        <v>1680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12</v>
      </c>
      <c r="J808" s="33">
        <v>0</v>
      </c>
      <c r="K808" s="33">
        <v>0</v>
      </c>
      <c r="L808" s="33">
        <v>0</v>
      </c>
      <c r="M808">
        <v>12</v>
      </c>
      <c r="N808">
        <v>0</v>
      </c>
      <c r="O808">
        <v>12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2</v>
      </c>
      <c r="AK808">
        <v>9</v>
      </c>
      <c r="AL808">
        <v>4</v>
      </c>
      <c r="AM808">
        <v>2</v>
      </c>
      <c r="AN808" s="23">
        <v>0</v>
      </c>
      <c r="AO808" s="23">
        <v>0</v>
      </c>
      <c r="AP808" s="23">
        <v>0</v>
      </c>
      <c r="AQ808" s="23">
        <v>0</v>
      </c>
      <c r="AR808" s="35">
        <v>0</v>
      </c>
      <c r="AS808" s="35">
        <v>0</v>
      </c>
      <c r="AT808" s="35">
        <v>12</v>
      </c>
      <c r="AU808" s="31" t="str">
        <f t="shared" si="15"/>
        <v>库存为12</v>
      </c>
      <c r="AV808" s="36" t="str">
        <f>IFERROR($A$2+AU808,"上周无销量")</f>
        <v>上周无销量</v>
      </c>
    </row>
    <row r="809" spans="1:48">
      <c r="A809" s="21" t="s">
        <v>1689</v>
      </c>
      <c r="B809" t="s">
        <v>1690</v>
      </c>
      <c r="C809" t="s">
        <v>1680</v>
      </c>
      <c r="D809" s="31">
        <v>0</v>
      </c>
      <c r="E809" s="31">
        <v>1</v>
      </c>
      <c r="F809" s="31">
        <v>0</v>
      </c>
      <c r="G809" s="31">
        <v>0</v>
      </c>
      <c r="H809" s="32">
        <v>9.99</v>
      </c>
      <c r="I809">
        <v>11</v>
      </c>
      <c r="J809" s="33">
        <v>0</v>
      </c>
      <c r="K809" s="33">
        <v>0</v>
      </c>
      <c r="L809" s="33">
        <v>0</v>
      </c>
      <c r="M809">
        <v>11</v>
      </c>
      <c r="N809">
        <v>0</v>
      </c>
      <c r="O809">
        <v>11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5</v>
      </c>
      <c r="AK809">
        <v>4</v>
      </c>
      <c r="AL809">
        <v>2</v>
      </c>
      <c r="AM809">
        <v>1</v>
      </c>
      <c r="AN809" s="23">
        <v>0</v>
      </c>
      <c r="AO809" s="23">
        <v>0.25</v>
      </c>
      <c r="AP809" s="23">
        <v>0</v>
      </c>
      <c r="AQ809" s="23">
        <v>0</v>
      </c>
      <c r="AR809" s="35">
        <v>0</v>
      </c>
      <c r="AS809" s="35">
        <v>0</v>
      </c>
      <c r="AT809" s="35">
        <v>11</v>
      </c>
      <c r="AU809" s="31" t="str">
        <f t="shared" si="15"/>
        <v>库存为11</v>
      </c>
      <c r="AV809" s="36" t="str">
        <f>IFERROR($A$2+AU809,"上周无销量")</f>
        <v>上周无销量</v>
      </c>
    </row>
    <row r="810" spans="1:48">
      <c r="A810" s="21" t="s">
        <v>1691</v>
      </c>
      <c r="B810" t="s">
        <v>1692</v>
      </c>
      <c r="C810" t="s">
        <v>1680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7</v>
      </c>
      <c r="J810" s="33">
        <v>0</v>
      </c>
      <c r="K810" s="33">
        <v>0</v>
      </c>
      <c r="L810" s="33">
        <v>3</v>
      </c>
      <c r="M810">
        <v>10</v>
      </c>
      <c r="N810">
        <v>0</v>
      </c>
      <c r="O810">
        <v>10</v>
      </c>
      <c r="P810">
        <v>6340</v>
      </c>
      <c r="Q810">
        <v>5069</v>
      </c>
      <c r="R810">
        <v>2808</v>
      </c>
      <c r="S810">
        <v>2246</v>
      </c>
      <c r="T810">
        <v>21</v>
      </c>
      <c r="U810">
        <v>23</v>
      </c>
      <c r="V810">
        <v>8</v>
      </c>
      <c r="W810">
        <v>11</v>
      </c>
      <c r="X810" s="23">
        <v>0.00331230283911672</v>
      </c>
      <c r="Y810" s="23">
        <v>0.00453738409942789</v>
      </c>
      <c r="Z810" s="23">
        <v>0.00284900284900285</v>
      </c>
      <c r="AA810" s="23">
        <v>0.00489759572573464</v>
      </c>
      <c r="AB810">
        <v>11.01</v>
      </c>
      <c r="AC810">
        <v>14.56</v>
      </c>
      <c r="AD810">
        <v>3.61</v>
      </c>
      <c r="AE810">
        <v>5.84</v>
      </c>
      <c r="AF810" s="23">
        <v>0</v>
      </c>
      <c r="AG810" s="23">
        <v>0</v>
      </c>
      <c r="AH810" s="23">
        <v>0</v>
      </c>
      <c r="AI810" s="23">
        <v>0</v>
      </c>
      <c r="AJ810">
        <v>20</v>
      </c>
      <c r="AK810">
        <v>26</v>
      </c>
      <c r="AL810">
        <v>7</v>
      </c>
      <c r="AM810">
        <v>7</v>
      </c>
      <c r="AN810" s="23">
        <v>0</v>
      </c>
      <c r="AO810" s="23">
        <v>0</v>
      </c>
      <c r="AP810" s="23">
        <v>0</v>
      </c>
      <c r="AQ810" s="23">
        <v>0</v>
      </c>
      <c r="AR810" s="35">
        <v>0</v>
      </c>
      <c r="AS810" s="35">
        <v>0</v>
      </c>
      <c r="AT810" s="35">
        <v>10</v>
      </c>
      <c r="AU810" s="31" t="str">
        <f t="shared" si="15"/>
        <v>库存为10</v>
      </c>
      <c r="AV810" s="36" t="str">
        <f>IFERROR($A$2+AU810,"上周无销量")</f>
        <v>上周无销量</v>
      </c>
    </row>
    <row r="811" spans="1:48">
      <c r="A811" s="21" t="s">
        <v>1693</v>
      </c>
      <c r="B811" t="s">
        <v>1694</v>
      </c>
      <c r="C811" t="s">
        <v>1680</v>
      </c>
      <c r="D811" s="31">
        <v>0</v>
      </c>
      <c r="E811" s="31">
        <v>0</v>
      </c>
      <c r="F811" s="31">
        <v>1</v>
      </c>
      <c r="G811" s="31">
        <v>0</v>
      </c>
      <c r="H811" s="32">
        <v>9.99</v>
      </c>
      <c r="I811">
        <v>6</v>
      </c>
      <c r="J811" s="33">
        <v>0</v>
      </c>
      <c r="K811" s="33">
        <v>0</v>
      </c>
      <c r="L811" s="33">
        <v>3</v>
      </c>
      <c r="M811">
        <v>9</v>
      </c>
      <c r="N811">
        <v>0</v>
      </c>
      <c r="O811">
        <v>9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12</v>
      </c>
      <c r="AK811">
        <v>7</v>
      </c>
      <c r="AL811">
        <v>4</v>
      </c>
      <c r="AM811">
        <v>3</v>
      </c>
      <c r="AN811" s="23">
        <v>0</v>
      </c>
      <c r="AO811" s="23">
        <v>0</v>
      </c>
      <c r="AP811" s="23">
        <v>0.25</v>
      </c>
      <c r="AQ811" s="23">
        <v>0</v>
      </c>
      <c r="AR811" s="35">
        <v>0</v>
      </c>
      <c r="AS811" s="35">
        <v>0</v>
      </c>
      <c r="AT811" s="35">
        <v>9</v>
      </c>
      <c r="AU811" s="31" t="str">
        <f t="shared" si="15"/>
        <v>库存为9</v>
      </c>
      <c r="AV811" s="36" t="str">
        <f>IFERROR($A$2+AU811,"上周无销量")</f>
        <v>上周无销量</v>
      </c>
    </row>
    <row r="812" spans="1:48">
      <c r="A812" s="21" t="s">
        <v>1695</v>
      </c>
      <c r="B812" t="s">
        <v>1696</v>
      </c>
      <c r="C812" t="s">
        <v>1680</v>
      </c>
      <c r="D812" s="31">
        <v>1</v>
      </c>
      <c r="E812" s="31">
        <v>0</v>
      </c>
      <c r="F812" s="31">
        <v>2</v>
      </c>
      <c r="G812" s="31">
        <v>0</v>
      </c>
      <c r="H812" s="32">
        <v>9.99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8</v>
      </c>
      <c r="AK812">
        <v>14</v>
      </c>
      <c r="AL812">
        <v>8</v>
      </c>
      <c r="AM812">
        <v>8</v>
      </c>
      <c r="AN812" s="23">
        <v>0.125</v>
      </c>
      <c r="AO812" s="23">
        <v>0</v>
      </c>
      <c r="AP812" s="23">
        <v>0.25</v>
      </c>
      <c r="AQ812" s="23">
        <v>0</v>
      </c>
      <c r="AR812" s="35">
        <v>0.142857142857143</v>
      </c>
      <c r="AS812" s="35">
        <v>8.57142857142857</v>
      </c>
      <c r="AT812" s="35">
        <v>-8.57142857142857</v>
      </c>
      <c r="AU812" s="31">
        <f t="shared" si="15"/>
        <v>0</v>
      </c>
      <c r="AV812" s="36">
        <f>IFERROR($A$2+AU812,"上周无销量")</f>
        <v>43304</v>
      </c>
    </row>
    <row r="813" spans="1:48">
      <c r="A813" s="21" t="s">
        <v>1697</v>
      </c>
      <c r="B813" t="s">
        <v>1698</v>
      </c>
      <c r="C813" t="s">
        <v>1680</v>
      </c>
      <c r="D813" s="31">
        <v>1</v>
      </c>
      <c r="E813" s="31">
        <v>1</v>
      </c>
      <c r="F813" s="31">
        <v>0</v>
      </c>
      <c r="G813" s="31">
        <v>0</v>
      </c>
      <c r="H813" s="32">
        <v>9.99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7</v>
      </c>
      <c r="AL813">
        <v>10</v>
      </c>
      <c r="AM813">
        <v>4</v>
      </c>
      <c r="AN813" s="23" t="s">
        <v>54</v>
      </c>
      <c r="AO813" s="23">
        <v>0.142857142857143</v>
      </c>
      <c r="AP813" s="23">
        <v>0</v>
      </c>
      <c r="AQ813" s="23">
        <v>0</v>
      </c>
      <c r="AR813" s="35">
        <v>0.142857142857143</v>
      </c>
      <c r="AS813" s="35">
        <v>8.57142857142857</v>
      </c>
      <c r="AT813" s="35">
        <v>-8.57142857142857</v>
      </c>
      <c r="AU813" s="31">
        <f t="shared" si="15"/>
        <v>0</v>
      </c>
      <c r="AV813" s="36">
        <f>IFERROR($A$2+AU813,"上周无销量")</f>
        <v>43304</v>
      </c>
    </row>
    <row r="814" spans="1:48">
      <c r="A814" s="21" t="s">
        <v>1699</v>
      </c>
      <c r="B814" t="s">
        <v>1700</v>
      </c>
      <c r="C814" t="s">
        <v>1680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4</v>
      </c>
      <c r="J814" s="33">
        <v>0</v>
      </c>
      <c r="K814" s="33">
        <v>0</v>
      </c>
      <c r="L814" s="33">
        <v>0</v>
      </c>
      <c r="M814">
        <v>4</v>
      </c>
      <c r="N814">
        <v>0</v>
      </c>
      <c r="O814">
        <v>3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13</v>
      </c>
      <c r="AK814">
        <v>8</v>
      </c>
      <c r="AL814">
        <v>5</v>
      </c>
      <c r="AM814">
        <v>6</v>
      </c>
      <c r="AN814" s="23">
        <v>0</v>
      </c>
      <c r="AO814" s="23">
        <v>0</v>
      </c>
      <c r="AP814" s="23">
        <v>0</v>
      </c>
      <c r="AQ814" s="23">
        <v>0</v>
      </c>
      <c r="AR814" s="35">
        <v>0</v>
      </c>
      <c r="AS814" s="35">
        <v>0</v>
      </c>
      <c r="AT814" s="35">
        <v>4</v>
      </c>
      <c r="AU814" s="31" t="str">
        <f t="shared" si="15"/>
        <v>库存为4</v>
      </c>
      <c r="AV814" s="36" t="str">
        <f>IFERROR($A$2+AU814,"上周无销量")</f>
        <v>上周无销量</v>
      </c>
    </row>
    <row r="815" spans="1:48">
      <c r="A815" s="21" t="s">
        <v>1701</v>
      </c>
      <c r="B815" t="s">
        <v>1702</v>
      </c>
      <c r="C815" t="s">
        <v>1680</v>
      </c>
      <c r="D815" s="31">
        <v>0</v>
      </c>
      <c r="E815" s="31">
        <v>1</v>
      </c>
      <c r="F815" s="31">
        <v>0</v>
      </c>
      <c r="G815" s="31">
        <v>0</v>
      </c>
      <c r="H815" s="32">
        <v>9.99</v>
      </c>
      <c r="I815">
        <v>3</v>
      </c>
      <c r="J815" s="33">
        <v>0</v>
      </c>
      <c r="K815" s="33">
        <v>0</v>
      </c>
      <c r="L815" s="33">
        <v>0</v>
      </c>
      <c r="M815">
        <v>3</v>
      </c>
      <c r="N815">
        <v>0</v>
      </c>
      <c r="O815">
        <v>4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8</v>
      </c>
      <c r="AK815">
        <v>4</v>
      </c>
      <c r="AL815">
        <v>9</v>
      </c>
      <c r="AM815">
        <v>1</v>
      </c>
      <c r="AN815" s="23">
        <v>0</v>
      </c>
      <c r="AO815" s="23">
        <v>0.25</v>
      </c>
      <c r="AP815" s="23">
        <v>0</v>
      </c>
      <c r="AQ815" s="23">
        <v>0</v>
      </c>
      <c r="AR815" s="35">
        <v>0</v>
      </c>
      <c r="AS815" s="35">
        <v>0</v>
      </c>
      <c r="AT815" s="35">
        <v>3</v>
      </c>
      <c r="AU815" s="31" t="str">
        <f t="shared" si="15"/>
        <v>库存为3</v>
      </c>
      <c r="AV815" s="36" t="str">
        <f>IFERROR($A$2+AU815,"上周无销量")</f>
        <v>上周无销量</v>
      </c>
    </row>
    <row r="816" spans="1:48">
      <c r="A816" s="21" t="s">
        <v>1703</v>
      </c>
      <c r="B816" t="s">
        <v>1704</v>
      </c>
      <c r="C816" t="s">
        <v>1680</v>
      </c>
      <c r="D816" s="31">
        <v>2</v>
      </c>
      <c r="E816" s="31">
        <v>1</v>
      </c>
      <c r="F816" s="31">
        <v>0</v>
      </c>
      <c r="G816" s="31">
        <v>0</v>
      </c>
      <c r="H816" s="32">
        <v>9.99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17</v>
      </c>
      <c r="AK816">
        <v>12</v>
      </c>
      <c r="AL816">
        <v>3</v>
      </c>
      <c r="AM816">
        <v>8</v>
      </c>
      <c r="AN816" s="23">
        <v>0.117647058823529</v>
      </c>
      <c r="AO816" s="23">
        <v>0.0833333333333333</v>
      </c>
      <c r="AP816" s="23">
        <v>0</v>
      </c>
      <c r="AQ816" s="23">
        <v>0</v>
      </c>
      <c r="AR816" s="35">
        <v>0.285714285714286</v>
      </c>
      <c r="AS816" s="35">
        <v>17.1428571428571</v>
      </c>
      <c r="AT816" s="35">
        <v>-17.1428571428571</v>
      </c>
      <c r="AU816" s="31">
        <f t="shared" si="15"/>
        <v>0</v>
      </c>
      <c r="AV816" s="36">
        <f>IFERROR($A$2+AU816,"上周无销量")</f>
        <v>43304</v>
      </c>
    </row>
    <row r="817" spans="1:48">
      <c r="A817" s="21" t="s">
        <v>1705</v>
      </c>
      <c r="B817" t="s">
        <v>1706</v>
      </c>
      <c r="C817" t="s">
        <v>1680</v>
      </c>
      <c r="D817" s="31">
        <v>0</v>
      </c>
      <c r="E817" s="31">
        <v>0</v>
      </c>
      <c r="F817" s="31">
        <v>0</v>
      </c>
      <c r="G817" s="31">
        <v>1</v>
      </c>
      <c r="H817" s="32">
        <v>9.99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s">
        <v>54</v>
      </c>
      <c r="AO817" s="23" t="s">
        <v>54</v>
      </c>
      <c r="AP817" s="23" t="s">
        <v>54</v>
      </c>
      <c r="AQ817" s="23" t="s">
        <v>54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IFERROR($A$2+AU817,"上周无销量")</f>
        <v>上周无销量</v>
      </c>
    </row>
    <row r="818" spans="1:48">
      <c r="A818" s="21" t="s">
        <v>1707</v>
      </c>
      <c r="B818" t="s">
        <v>1708</v>
      </c>
      <c r="C818" t="s">
        <v>1680</v>
      </c>
      <c r="D818" s="31">
        <v>0</v>
      </c>
      <c r="E818" s="31">
        <v>0</v>
      </c>
      <c r="F818" s="31">
        <v>3</v>
      </c>
      <c r="G818" s="31">
        <v>0</v>
      </c>
      <c r="H818" s="32">
        <v>9.99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2</v>
      </c>
      <c r="AM818">
        <v>1</v>
      </c>
      <c r="AN818" s="23" t="s">
        <v>54</v>
      </c>
      <c r="AO818" s="23" t="s">
        <v>54</v>
      </c>
      <c r="AP818" s="23">
        <v>1.5</v>
      </c>
      <c r="AQ818" s="23">
        <v>0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IFERROR($A$2+AU818,"上周无销量")</f>
        <v>上周无销量</v>
      </c>
    </row>
    <row r="819" spans="1:48">
      <c r="A819" s="21" t="s">
        <v>1709</v>
      </c>
      <c r="B819" t="s">
        <v>1710</v>
      </c>
      <c r="C819" t="s">
        <v>1680</v>
      </c>
      <c r="D819" s="31">
        <v>1</v>
      </c>
      <c r="E819" s="31">
        <v>0</v>
      </c>
      <c r="F819" s="31">
        <v>0</v>
      </c>
      <c r="G819" s="31">
        <v>0</v>
      </c>
      <c r="H819" s="32">
        <v>9.99</v>
      </c>
      <c r="I819">
        <v>0</v>
      </c>
      <c r="J819" s="33">
        <v>0</v>
      </c>
      <c r="K819" s="33">
        <v>0</v>
      </c>
      <c r="L819" s="33">
        <v>1</v>
      </c>
      <c r="M819">
        <v>1</v>
      </c>
      <c r="N819">
        <v>0</v>
      </c>
      <c r="O819">
        <v>3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16</v>
      </c>
      <c r="AK819">
        <v>14</v>
      </c>
      <c r="AL819">
        <v>5</v>
      </c>
      <c r="AM819">
        <v>2</v>
      </c>
      <c r="AN819" s="23">
        <v>0.0625</v>
      </c>
      <c r="AO819" s="23">
        <v>0</v>
      </c>
      <c r="AP819" s="23">
        <v>0</v>
      </c>
      <c r="AQ819" s="23">
        <v>0</v>
      </c>
      <c r="AR819" s="35">
        <v>0.142857142857143</v>
      </c>
      <c r="AS819" s="35">
        <v>8.57142857142857</v>
      </c>
      <c r="AT819" s="35">
        <v>-7.57142857142857</v>
      </c>
      <c r="AU819" s="31">
        <f t="shared" si="15"/>
        <v>7</v>
      </c>
      <c r="AV819" s="36">
        <f>IFERROR($A$2+AU819,"上周无销量")</f>
        <v>43311</v>
      </c>
    </row>
    <row r="820" spans="1:48">
      <c r="A820" s="21" t="s">
        <v>1711</v>
      </c>
      <c r="B820" t="s">
        <v>1712</v>
      </c>
      <c r="C820" t="s">
        <v>1713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4</v>
      </c>
      <c r="J820" s="33">
        <v>0</v>
      </c>
      <c r="K820" s="33">
        <v>0</v>
      </c>
      <c r="L820" s="33">
        <v>0</v>
      </c>
      <c r="M820">
        <v>4</v>
      </c>
      <c r="N820">
        <v>0</v>
      </c>
      <c r="O820">
        <v>4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2</v>
      </c>
      <c r="AK820">
        <v>3</v>
      </c>
      <c r="AL820">
        <v>0</v>
      </c>
      <c r="AM820">
        <v>3</v>
      </c>
      <c r="AN820" s="23">
        <v>0</v>
      </c>
      <c r="AO820" s="23">
        <v>0</v>
      </c>
      <c r="AP820" s="23" t="s">
        <v>54</v>
      </c>
      <c r="AQ820" s="23">
        <v>0</v>
      </c>
      <c r="AR820" s="35">
        <v>0</v>
      </c>
      <c r="AS820" s="35">
        <v>0</v>
      </c>
      <c r="AT820" s="35">
        <v>4</v>
      </c>
      <c r="AU820" s="31" t="str">
        <f t="shared" si="15"/>
        <v>库存为4</v>
      </c>
      <c r="AV820" s="36" t="str">
        <f>IFERROR($A$2+AU820,"上周无销量")</f>
        <v>上周无销量</v>
      </c>
    </row>
    <row r="821" spans="1:48">
      <c r="A821" s="21" t="s">
        <v>1714</v>
      </c>
      <c r="B821" t="s">
        <v>1715</v>
      </c>
      <c r="C821" t="s">
        <v>1713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4</v>
      </c>
      <c r="J821" s="33">
        <v>0</v>
      </c>
      <c r="K821" s="33">
        <v>0</v>
      </c>
      <c r="L821" s="33">
        <v>0</v>
      </c>
      <c r="M821">
        <v>4</v>
      </c>
      <c r="N821">
        <v>0</v>
      </c>
      <c r="O821">
        <v>4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3</v>
      </c>
      <c r="AK821">
        <v>0</v>
      </c>
      <c r="AL821">
        <v>1</v>
      </c>
      <c r="AM821">
        <v>2</v>
      </c>
      <c r="AN821" s="23">
        <v>0</v>
      </c>
      <c r="AO821" s="23" t="s">
        <v>54</v>
      </c>
      <c r="AP821" s="23">
        <v>0</v>
      </c>
      <c r="AQ821" s="23">
        <v>0</v>
      </c>
      <c r="AR821" s="35">
        <v>0</v>
      </c>
      <c r="AS821" s="35">
        <v>0</v>
      </c>
      <c r="AT821" s="35">
        <v>4</v>
      </c>
      <c r="AU821" s="31" t="str">
        <f t="shared" si="15"/>
        <v>库存为4</v>
      </c>
      <c r="AV821" s="36" t="str">
        <f>IFERROR($A$2+AU821,"上周无销量")</f>
        <v>上周无销量</v>
      </c>
    </row>
    <row r="822" spans="1:48">
      <c r="A822" s="21" t="s">
        <v>1716</v>
      </c>
      <c r="B822" t="s">
        <v>1717</v>
      </c>
      <c r="C822" t="s">
        <v>1713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4</v>
      </c>
      <c r="J822" s="33">
        <v>0</v>
      </c>
      <c r="K822" s="33">
        <v>0</v>
      </c>
      <c r="L822" s="33">
        <v>0</v>
      </c>
      <c r="M822">
        <v>4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3</v>
      </c>
      <c r="AK822">
        <v>3</v>
      </c>
      <c r="AL822">
        <v>0</v>
      </c>
      <c r="AM822">
        <v>3</v>
      </c>
      <c r="AN822" s="23">
        <v>0</v>
      </c>
      <c r="AO822" s="23">
        <v>0</v>
      </c>
      <c r="AP822" s="23" t="s">
        <v>54</v>
      </c>
      <c r="AQ822" s="23">
        <v>0</v>
      </c>
      <c r="AR822" s="35">
        <v>0</v>
      </c>
      <c r="AS822" s="35">
        <v>0</v>
      </c>
      <c r="AT822" s="35">
        <v>4</v>
      </c>
      <c r="AU822" s="31" t="str">
        <f t="shared" si="15"/>
        <v>库存为4</v>
      </c>
      <c r="AV822" s="36" t="str">
        <f>IFERROR($A$2+AU822,"上周无销量")</f>
        <v>上周无销量</v>
      </c>
    </row>
    <row r="823" spans="1:48">
      <c r="A823" s="21" t="s">
        <v>1718</v>
      </c>
      <c r="B823" t="s">
        <v>1719</v>
      </c>
      <c r="C823" t="s">
        <v>1713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4</v>
      </c>
      <c r="J823" s="33">
        <v>0</v>
      </c>
      <c r="K823" s="33">
        <v>0</v>
      </c>
      <c r="L823" s="33">
        <v>0</v>
      </c>
      <c r="M823">
        <v>4</v>
      </c>
      <c r="N823">
        <v>0</v>
      </c>
      <c r="O823">
        <v>4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3</v>
      </c>
      <c r="AK823">
        <v>1</v>
      </c>
      <c r="AL823">
        <v>0</v>
      </c>
      <c r="AM823">
        <v>4</v>
      </c>
      <c r="AN823" s="23">
        <v>0</v>
      </c>
      <c r="AO823" s="23">
        <v>0</v>
      </c>
      <c r="AP823" s="23" t="s">
        <v>54</v>
      </c>
      <c r="AQ823" s="23">
        <v>0</v>
      </c>
      <c r="AR823" s="35">
        <v>0</v>
      </c>
      <c r="AS823" s="35">
        <v>0</v>
      </c>
      <c r="AT823" s="35">
        <v>4</v>
      </c>
      <c r="AU823" s="31" t="str">
        <f t="shared" si="15"/>
        <v>库存为4</v>
      </c>
      <c r="AV823" s="36" t="str">
        <f>IFERROR($A$2+AU823,"上周无销量")</f>
        <v>上周无销量</v>
      </c>
    </row>
    <row r="824" spans="1:48">
      <c r="A824" s="21" t="s">
        <v>1720</v>
      </c>
      <c r="B824" t="s">
        <v>1721</v>
      </c>
      <c r="C824" t="s">
        <v>1713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4</v>
      </c>
      <c r="J824" s="33">
        <v>0</v>
      </c>
      <c r="K824" s="33">
        <v>0</v>
      </c>
      <c r="L824" s="33">
        <v>0</v>
      </c>
      <c r="M824">
        <v>4</v>
      </c>
      <c r="N824">
        <v>0</v>
      </c>
      <c r="O824">
        <v>4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5</v>
      </c>
      <c r="AK824">
        <v>3</v>
      </c>
      <c r="AL824">
        <v>1</v>
      </c>
      <c r="AM824">
        <v>1</v>
      </c>
      <c r="AN824" s="23">
        <v>0</v>
      </c>
      <c r="AO824" s="23">
        <v>0</v>
      </c>
      <c r="AP824" s="23">
        <v>0</v>
      </c>
      <c r="AQ824" s="23">
        <v>0</v>
      </c>
      <c r="AR824" s="35">
        <v>0</v>
      </c>
      <c r="AS824" s="35">
        <v>0</v>
      </c>
      <c r="AT824" s="35">
        <v>4</v>
      </c>
      <c r="AU824" s="31" t="str">
        <f t="shared" si="15"/>
        <v>库存为4</v>
      </c>
      <c r="AV824" s="36" t="str">
        <f>IFERROR($A$2+AU824,"上周无销量")</f>
        <v>上周无销量</v>
      </c>
    </row>
    <row r="825" spans="1:48">
      <c r="A825" s="21" t="s">
        <v>1722</v>
      </c>
      <c r="B825" t="s">
        <v>1723</v>
      </c>
      <c r="C825" t="s">
        <v>1713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4</v>
      </c>
      <c r="J825" s="33">
        <v>0</v>
      </c>
      <c r="K825" s="33">
        <v>0</v>
      </c>
      <c r="L825" s="33">
        <v>0</v>
      </c>
      <c r="M825">
        <v>4</v>
      </c>
      <c r="N825">
        <v>0</v>
      </c>
      <c r="O825">
        <v>4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3</v>
      </c>
      <c r="AK825">
        <v>0</v>
      </c>
      <c r="AL825">
        <v>1</v>
      </c>
      <c r="AM825">
        <v>2</v>
      </c>
      <c r="AN825" s="23">
        <v>0</v>
      </c>
      <c r="AO825" s="23" t="s">
        <v>54</v>
      </c>
      <c r="AP825" s="23">
        <v>0</v>
      </c>
      <c r="AQ825" s="23">
        <v>0</v>
      </c>
      <c r="AR825" s="35">
        <v>0</v>
      </c>
      <c r="AS825" s="35">
        <v>0</v>
      </c>
      <c r="AT825" s="35">
        <v>4</v>
      </c>
      <c r="AU825" s="31" t="str">
        <f t="shared" si="15"/>
        <v>库存为4</v>
      </c>
      <c r="AV825" s="36" t="str">
        <f>IFERROR($A$2+AU825,"上周无销量")</f>
        <v>上周无销量</v>
      </c>
    </row>
    <row r="826" spans="1:48">
      <c r="A826" s="21" t="s">
        <v>1724</v>
      </c>
      <c r="B826" t="s">
        <v>1725</v>
      </c>
      <c r="C826" t="s">
        <v>1713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4</v>
      </c>
      <c r="J826" s="33">
        <v>0</v>
      </c>
      <c r="K826" s="33">
        <v>0</v>
      </c>
      <c r="L826" s="33">
        <v>0</v>
      </c>
      <c r="M826">
        <v>4</v>
      </c>
      <c r="N826">
        <v>0</v>
      </c>
      <c r="O826">
        <v>4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3</v>
      </c>
      <c r="AK826">
        <v>2</v>
      </c>
      <c r="AL826">
        <v>1</v>
      </c>
      <c r="AM826">
        <v>2</v>
      </c>
      <c r="AN826" s="23">
        <v>0</v>
      </c>
      <c r="AO826" s="23">
        <v>0</v>
      </c>
      <c r="AP826" s="23">
        <v>0</v>
      </c>
      <c r="AQ826" s="23">
        <v>0</v>
      </c>
      <c r="AR826" s="35">
        <v>0</v>
      </c>
      <c r="AS826" s="35">
        <v>0</v>
      </c>
      <c r="AT826" s="35">
        <v>4</v>
      </c>
      <c r="AU826" s="31" t="str">
        <f t="shared" si="15"/>
        <v>库存为4</v>
      </c>
      <c r="AV826" s="36" t="str">
        <f>IFERROR($A$2+AU826,"上周无销量")</f>
        <v>上周无销量</v>
      </c>
    </row>
    <row r="827" spans="1:48">
      <c r="A827" s="21" t="s">
        <v>1726</v>
      </c>
      <c r="B827" t="s">
        <v>1727</v>
      </c>
      <c r="C827" t="s">
        <v>1713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4</v>
      </c>
      <c r="J827" s="33">
        <v>0</v>
      </c>
      <c r="K827" s="33">
        <v>0</v>
      </c>
      <c r="L827" s="33">
        <v>0</v>
      </c>
      <c r="M827">
        <v>4</v>
      </c>
      <c r="N827">
        <v>0</v>
      </c>
      <c r="O827">
        <v>4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3</v>
      </c>
      <c r="AK827">
        <v>1</v>
      </c>
      <c r="AL827">
        <v>2</v>
      </c>
      <c r="AM827">
        <v>1</v>
      </c>
      <c r="AN827" s="23">
        <v>0</v>
      </c>
      <c r="AO827" s="23">
        <v>0</v>
      </c>
      <c r="AP827" s="23">
        <v>0</v>
      </c>
      <c r="AQ827" s="23">
        <v>0</v>
      </c>
      <c r="AR827" s="35">
        <v>0</v>
      </c>
      <c r="AS827" s="35">
        <v>0</v>
      </c>
      <c r="AT827" s="35">
        <v>4</v>
      </c>
      <c r="AU827" s="31" t="str">
        <f t="shared" si="15"/>
        <v>库存为4</v>
      </c>
      <c r="AV827" s="36" t="str">
        <f>IFERROR($A$2+AU827,"上周无销量")</f>
        <v>上周无销量</v>
      </c>
    </row>
    <row r="828" spans="1:48">
      <c r="A828" s="21" t="s">
        <v>1728</v>
      </c>
      <c r="B828" t="s">
        <v>1729</v>
      </c>
      <c r="C828" t="s">
        <v>1713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4</v>
      </c>
      <c r="J828" s="33">
        <v>0</v>
      </c>
      <c r="K828" s="33">
        <v>0</v>
      </c>
      <c r="L828" s="33">
        <v>0</v>
      </c>
      <c r="M828">
        <v>4</v>
      </c>
      <c r="N828">
        <v>0</v>
      </c>
      <c r="O828">
        <v>4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2</v>
      </c>
      <c r="AK828">
        <v>1</v>
      </c>
      <c r="AL828">
        <v>2</v>
      </c>
      <c r="AM828">
        <v>2</v>
      </c>
      <c r="AN828" s="23">
        <v>0</v>
      </c>
      <c r="AO828" s="23">
        <v>0</v>
      </c>
      <c r="AP828" s="23">
        <v>0</v>
      </c>
      <c r="AQ828" s="23">
        <v>0</v>
      </c>
      <c r="AR828" s="35">
        <v>0</v>
      </c>
      <c r="AS828" s="35">
        <v>0</v>
      </c>
      <c r="AT828" s="35">
        <v>4</v>
      </c>
      <c r="AU828" s="31" t="str">
        <f t="shared" si="15"/>
        <v>库存为4</v>
      </c>
      <c r="AV828" s="36" t="str">
        <f>IFERROR($A$2+AU828,"上周无销量")</f>
        <v>上周无销量</v>
      </c>
    </row>
    <row r="829" spans="1:48">
      <c r="A829" s="21" t="s">
        <v>1730</v>
      </c>
      <c r="B829" t="s">
        <v>1731</v>
      </c>
      <c r="C829" t="s">
        <v>1713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4</v>
      </c>
      <c r="J829" s="33">
        <v>0</v>
      </c>
      <c r="K829" s="33">
        <v>0</v>
      </c>
      <c r="L829" s="33">
        <v>0</v>
      </c>
      <c r="M829">
        <v>4</v>
      </c>
      <c r="N829">
        <v>0</v>
      </c>
      <c r="O829">
        <v>4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3</v>
      </c>
      <c r="AK829">
        <v>1</v>
      </c>
      <c r="AL829">
        <v>3</v>
      </c>
      <c r="AM829">
        <v>4</v>
      </c>
      <c r="AN829" s="23">
        <v>0</v>
      </c>
      <c r="AO829" s="23">
        <v>0</v>
      </c>
      <c r="AP829" s="23">
        <v>0</v>
      </c>
      <c r="AQ829" s="23">
        <v>0</v>
      </c>
      <c r="AR829" s="35">
        <v>0</v>
      </c>
      <c r="AS829" s="35">
        <v>0</v>
      </c>
      <c r="AT829" s="35">
        <v>4</v>
      </c>
      <c r="AU829" s="31" t="str">
        <f t="shared" si="15"/>
        <v>库存为4</v>
      </c>
      <c r="AV829" s="36" t="str">
        <f>IFERROR($A$2+AU829,"上周无销量")</f>
        <v>上周无销量</v>
      </c>
    </row>
    <row r="830" spans="1:48">
      <c r="A830" s="21" t="s">
        <v>1732</v>
      </c>
      <c r="B830" t="s">
        <v>1733</v>
      </c>
      <c r="C830" t="s">
        <v>1713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4</v>
      </c>
      <c r="J830" s="33">
        <v>0</v>
      </c>
      <c r="K830" s="33">
        <v>0</v>
      </c>
      <c r="L830" s="33">
        <v>0</v>
      </c>
      <c r="M830">
        <v>4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3</v>
      </c>
      <c r="AK830">
        <v>1</v>
      </c>
      <c r="AL830">
        <v>1</v>
      </c>
      <c r="AM830">
        <v>1</v>
      </c>
      <c r="AN830" s="23">
        <v>0</v>
      </c>
      <c r="AO830" s="23">
        <v>0</v>
      </c>
      <c r="AP830" s="23">
        <v>0</v>
      </c>
      <c r="AQ830" s="23">
        <v>0</v>
      </c>
      <c r="AR830" s="35">
        <v>0</v>
      </c>
      <c r="AS830" s="35">
        <v>0</v>
      </c>
      <c r="AT830" s="35">
        <v>4</v>
      </c>
      <c r="AU830" s="31" t="str">
        <f t="shared" si="15"/>
        <v>库存为4</v>
      </c>
      <c r="AV830" s="36" t="str">
        <f>IFERROR($A$2+AU830,"上周无销量")</f>
        <v>上周无销量</v>
      </c>
    </row>
    <row r="831" spans="1:48">
      <c r="A831" s="21" t="s">
        <v>1734</v>
      </c>
      <c r="B831" t="s">
        <v>1735</v>
      </c>
      <c r="C831" t="s">
        <v>1713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4</v>
      </c>
      <c r="J831" s="33">
        <v>0</v>
      </c>
      <c r="K831" s="33">
        <v>0</v>
      </c>
      <c r="L831" s="33">
        <v>0</v>
      </c>
      <c r="M831">
        <v>4</v>
      </c>
      <c r="N831">
        <v>0</v>
      </c>
      <c r="O831">
        <v>4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3</v>
      </c>
      <c r="AK831">
        <v>1</v>
      </c>
      <c r="AL831">
        <v>0</v>
      </c>
      <c r="AM831">
        <v>0</v>
      </c>
      <c r="AN831" s="23">
        <v>0</v>
      </c>
      <c r="AO831" s="23">
        <v>0</v>
      </c>
      <c r="AP831" s="23" t="s">
        <v>54</v>
      </c>
      <c r="AQ831" s="23" t="s">
        <v>54</v>
      </c>
      <c r="AR831" s="35">
        <v>0</v>
      </c>
      <c r="AS831" s="35">
        <v>0</v>
      </c>
      <c r="AT831" s="35">
        <v>4</v>
      </c>
      <c r="AU831" s="31" t="str">
        <f t="shared" si="15"/>
        <v>库存为4</v>
      </c>
      <c r="AV831" s="36" t="str">
        <f>IFERROR($A$2+AU831,"上周无销量")</f>
        <v>上周无销量</v>
      </c>
    </row>
    <row r="832" spans="1:48">
      <c r="A832" s="21" t="s">
        <v>1736</v>
      </c>
      <c r="B832" t="s">
        <v>1737</v>
      </c>
      <c r="C832" t="s">
        <v>1713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4</v>
      </c>
      <c r="J832" s="33">
        <v>0</v>
      </c>
      <c r="K832" s="33">
        <v>0</v>
      </c>
      <c r="L832" s="33">
        <v>0</v>
      </c>
      <c r="M832">
        <v>4</v>
      </c>
      <c r="N832">
        <v>0</v>
      </c>
      <c r="O832">
        <v>4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3</v>
      </c>
      <c r="AK832">
        <v>0</v>
      </c>
      <c r="AL832">
        <v>1</v>
      </c>
      <c r="AM832">
        <v>3</v>
      </c>
      <c r="AN832" s="23">
        <v>0</v>
      </c>
      <c r="AO832" s="23" t="s">
        <v>54</v>
      </c>
      <c r="AP832" s="23">
        <v>0</v>
      </c>
      <c r="AQ832" s="23">
        <v>0</v>
      </c>
      <c r="AR832" s="35">
        <v>0</v>
      </c>
      <c r="AS832" s="35">
        <v>0</v>
      </c>
      <c r="AT832" s="35">
        <v>4</v>
      </c>
      <c r="AU832" s="31" t="str">
        <f t="shared" si="15"/>
        <v>库存为4</v>
      </c>
      <c r="AV832" s="36" t="str">
        <f>IFERROR($A$2+AU832,"上周无销量")</f>
        <v>上周无销量</v>
      </c>
    </row>
    <row r="833" spans="1:48">
      <c r="A833" s="21" t="s">
        <v>1738</v>
      </c>
      <c r="B833" t="s">
        <v>1739</v>
      </c>
      <c r="C833" t="s">
        <v>1713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4</v>
      </c>
      <c r="J833" s="33">
        <v>0</v>
      </c>
      <c r="K833" s="33">
        <v>0</v>
      </c>
      <c r="L833" s="33">
        <v>0</v>
      </c>
      <c r="M833">
        <v>4</v>
      </c>
      <c r="N833">
        <v>0</v>
      </c>
      <c r="O833">
        <v>4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3</v>
      </c>
      <c r="AK833">
        <v>0</v>
      </c>
      <c r="AL833">
        <v>1</v>
      </c>
      <c r="AM833">
        <v>2</v>
      </c>
      <c r="AN833" s="23">
        <v>0</v>
      </c>
      <c r="AO833" s="23" t="s">
        <v>54</v>
      </c>
      <c r="AP833" s="23">
        <v>0</v>
      </c>
      <c r="AQ833" s="23">
        <v>0</v>
      </c>
      <c r="AR833" s="35">
        <v>0</v>
      </c>
      <c r="AS833" s="35">
        <v>0</v>
      </c>
      <c r="AT833" s="35">
        <v>4</v>
      </c>
      <c r="AU833" s="31" t="str">
        <f t="shared" si="15"/>
        <v>库存为4</v>
      </c>
      <c r="AV833" s="36" t="str">
        <f>IFERROR($A$2+AU833,"上周无销量")</f>
        <v>上周无销量</v>
      </c>
    </row>
    <row r="834" spans="1:48">
      <c r="A834" s="21" t="s">
        <v>1740</v>
      </c>
      <c r="B834" t="s">
        <v>1741</v>
      </c>
      <c r="C834" t="s">
        <v>1713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4</v>
      </c>
      <c r="J834" s="33">
        <v>0</v>
      </c>
      <c r="K834" s="33">
        <v>0</v>
      </c>
      <c r="L834" s="33">
        <v>0</v>
      </c>
      <c r="M834">
        <v>4</v>
      </c>
      <c r="N834">
        <v>0</v>
      </c>
      <c r="O834">
        <v>4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3</v>
      </c>
      <c r="AK834">
        <v>2</v>
      </c>
      <c r="AL834">
        <v>0</v>
      </c>
      <c r="AM834">
        <v>2</v>
      </c>
      <c r="AN834" s="23">
        <v>0</v>
      </c>
      <c r="AO834" s="23">
        <v>0</v>
      </c>
      <c r="AP834" s="23" t="s">
        <v>54</v>
      </c>
      <c r="AQ834" s="23">
        <v>0</v>
      </c>
      <c r="AR834" s="35">
        <v>0</v>
      </c>
      <c r="AS834" s="35">
        <v>0</v>
      </c>
      <c r="AT834" s="35">
        <v>4</v>
      </c>
      <c r="AU834" s="31" t="str">
        <f t="shared" si="15"/>
        <v>库存为4</v>
      </c>
      <c r="AV834" s="36" t="str">
        <f>IFERROR($A$2+AU834,"上周无销量")</f>
        <v>上周无销量</v>
      </c>
    </row>
    <row r="835" spans="1:48">
      <c r="A835" s="21" t="s">
        <v>1742</v>
      </c>
      <c r="B835" t="s">
        <v>1743</v>
      </c>
      <c r="C835" t="s">
        <v>1713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4</v>
      </c>
      <c r="J835" s="33">
        <v>0</v>
      </c>
      <c r="K835" s="33">
        <v>0</v>
      </c>
      <c r="L835" s="33">
        <v>0</v>
      </c>
      <c r="M835">
        <v>4</v>
      </c>
      <c r="N835">
        <v>0</v>
      </c>
      <c r="O835">
        <v>4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4</v>
      </c>
      <c r="AK835">
        <v>1</v>
      </c>
      <c r="AL835">
        <v>1</v>
      </c>
      <c r="AM835">
        <v>2</v>
      </c>
      <c r="AN835" s="23">
        <v>0</v>
      </c>
      <c r="AO835" s="23">
        <v>0</v>
      </c>
      <c r="AP835" s="23">
        <v>0</v>
      </c>
      <c r="AQ835" s="23">
        <v>0</v>
      </c>
      <c r="AR835" s="35">
        <v>0</v>
      </c>
      <c r="AS835" s="35">
        <v>0</v>
      </c>
      <c r="AT835" s="35">
        <v>4</v>
      </c>
      <c r="AU835" s="31" t="str">
        <f t="shared" si="15"/>
        <v>库存为4</v>
      </c>
      <c r="AV835" s="36" t="str">
        <f>IFERROR($A$2+AU835,"上周无销量")</f>
        <v>上周无销量</v>
      </c>
    </row>
    <row r="836" spans="1:48">
      <c r="A836" s="21" t="s">
        <v>1744</v>
      </c>
      <c r="B836" t="s">
        <v>1745</v>
      </c>
      <c r="C836" t="s">
        <v>1713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4</v>
      </c>
      <c r="J836" s="33">
        <v>0</v>
      </c>
      <c r="K836" s="33">
        <v>0</v>
      </c>
      <c r="L836" s="33">
        <v>0</v>
      </c>
      <c r="M836">
        <v>4</v>
      </c>
      <c r="N836">
        <v>0</v>
      </c>
      <c r="O836">
        <v>4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4</v>
      </c>
      <c r="AK836">
        <v>2</v>
      </c>
      <c r="AL836">
        <v>1</v>
      </c>
      <c r="AM836">
        <v>1</v>
      </c>
      <c r="AN836" s="23">
        <v>0</v>
      </c>
      <c r="AO836" s="23">
        <v>0</v>
      </c>
      <c r="AP836" s="23">
        <v>0</v>
      </c>
      <c r="AQ836" s="23">
        <v>0</v>
      </c>
      <c r="AR836" s="35">
        <v>0</v>
      </c>
      <c r="AS836" s="35">
        <v>0</v>
      </c>
      <c r="AT836" s="35">
        <v>4</v>
      </c>
      <c r="AU836" s="31" t="str">
        <f t="shared" si="15"/>
        <v>库存为4</v>
      </c>
      <c r="AV836" s="36" t="str">
        <f>IFERROR($A$2+AU836,"上周无销量")</f>
        <v>上周无销量</v>
      </c>
    </row>
    <row r="837" spans="1:48">
      <c r="A837" s="21" t="s">
        <v>1746</v>
      </c>
      <c r="B837" t="s">
        <v>1747</v>
      </c>
      <c r="C837" t="s">
        <v>1713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4</v>
      </c>
      <c r="J837" s="33">
        <v>0</v>
      </c>
      <c r="K837" s="33">
        <v>0</v>
      </c>
      <c r="L837" s="33">
        <v>0</v>
      </c>
      <c r="M837">
        <v>4</v>
      </c>
      <c r="N837">
        <v>0</v>
      </c>
      <c r="O837">
        <v>4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3</v>
      </c>
      <c r="AK837">
        <v>3</v>
      </c>
      <c r="AL837">
        <v>0</v>
      </c>
      <c r="AM837">
        <v>3</v>
      </c>
      <c r="AN837" s="23">
        <v>0</v>
      </c>
      <c r="AO837" s="23">
        <v>0</v>
      </c>
      <c r="AP837" s="23" t="s">
        <v>54</v>
      </c>
      <c r="AQ837" s="23">
        <v>0</v>
      </c>
      <c r="AR837" s="35">
        <v>0</v>
      </c>
      <c r="AS837" s="35">
        <v>0</v>
      </c>
      <c r="AT837" s="35">
        <v>4</v>
      </c>
      <c r="AU837" s="31" t="str">
        <f t="shared" ref="AU837:AU861" si="16">IF(AR837="","库存为"&amp;M837,IF(AS837=0,"库存为"&amp;M837,INT(M837/AR837)))</f>
        <v>库存为4</v>
      </c>
      <c r="AV837" s="36" t="str">
        <f>IFERROR($A$2+AU837,"上周无销量")</f>
        <v>上周无销量</v>
      </c>
    </row>
    <row r="838" spans="1:48">
      <c r="A838" s="21" t="s">
        <v>1748</v>
      </c>
      <c r="B838" t="s">
        <v>1749</v>
      </c>
      <c r="C838" t="s">
        <v>1713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4</v>
      </c>
      <c r="J838" s="33">
        <v>0</v>
      </c>
      <c r="K838" s="33">
        <v>0</v>
      </c>
      <c r="L838" s="33">
        <v>0</v>
      </c>
      <c r="M838">
        <v>4</v>
      </c>
      <c r="N838">
        <v>0</v>
      </c>
      <c r="O838">
        <v>4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6</v>
      </c>
      <c r="AK838">
        <v>6</v>
      </c>
      <c r="AL838">
        <v>0</v>
      </c>
      <c r="AM838">
        <v>2</v>
      </c>
      <c r="AN838" s="23">
        <v>0</v>
      </c>
      <c r="AO838" s="23">
        <v>0</v>
      </c>
      <c r="AP838" s="23" t="s">
        <v>54</v>
      </c>
      <c r="AQ838" s="23">
        <v>0</v>
      </c>
      <c r="AR838" s="35">
        <v>0</v>
      </c>
      <c r="AS838" s="35">
        <v>0</v>
      </c>
      <c r="AT838" s="35">
        <v>4</v>
      </c>
      <c r="AU838" s="31" t="str">
        <f t="shared" si="16"/>
        <v>库存为4</v>
      </c>
      <c r="AV838" s="36" t="str">
        <f>IFERROR($A$2+AU838,"上周无销量")</f>
        <v>上周无销量</v>
      </c>
    </row>
    <row r="839" spans="1:48">
      <c r="A839" s="21" t="s">
        <v>1750</v>
      </c>
      <c r="B839" t="s">
        <v>1751</v>
      </c>
      <c r="C839" t="s">
        <v>1713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4</v>
      </c>
      <c r="J839" s="33">
        <v>0</v>
      </c>
      <c r="K839" s="33">
        <v>0</v>
      </c>
      <c r="L839" s="33">
        <v>0</v>
      </c>
      <c r="M839">
        <v>4</v>
      </c>
      <c r="N839">
        <v>0</v>
      </c>
      <c r="O839">
        <v>4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2</v>
      </c>
      <c r="AK839">
        <v>2</v>
      </c>
      <c r="AL839">
        <v>1</v>
      </c>
      <c r="AM839">
        <v>3</v>
      </c>
      <c r="AN839" s="23">
        <v>0</v>
      </c>
      <c r="AO839" s="23">
        <v>0</v>
      </c>
      <c r="AP839" s="23">
        <v>0</v>
      </c>
      <c r="AQ839" s="23">
        <v>0</v>
      </c>
      <c r="AR839" s="35">
        <v>0</v>
      </c>
      <c r="AS839" s="35">
        <v>0</v>
      </c>
      <c r="AT839" s="35">
        <v>4</v>
      </c>
      <c r="AU839" s="31" t="str">
        <f t="shared" si="16"/>
        <v>库存为4</v>
      </c>
      <c r="AV839" s="36" t="str">
        <f>IFERROR($A$2+AU839,"上周无销量")</f>
        <v>上周无销量</v>
      </c>
    </row>
    <row r="840" spans="1:48">
      <c r="A840" s="21" t="s">
        <v>1752</v>
      </c>
      <c r="B840" t="s">
        <v>1753</v>
      </c>
      <c r="C840" t="s">
        <v>1713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1</v>
      </c>
      <c r="J840" s="33">
        <v>0</v>
      </c>
      <c r="K840" s="33">
        <v>0</v>
      </c>
      <c r="L840" s="33">
        <v>0</v>
      </c>
      <c r="M840">
        <v>1</v>
      </c>
      <c r="N840">
        <v>0</v>
      </c>
      <c r="O840">
        <v>1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8</v>
      </c>
      <c r="AK840">
        <v>1</v>
      </c>
      <c r="AL840">
        <v>4</v>
      </c>
      <c r="AM840">
        <v>0</v>
      </c>
      <c r="AN840" s="23">
        <v>0</v>
      </c>
      <c r="AO840" s="23">
        <v>0</v>
      </c>
      <c r="AP840" s="23">
        <v>0</v>
      </c>
      <c r="AQ840" s="23" t="s">
        <v>54</v>
      </c>
      <c r="AR840" s="35">
        <v>0</v>
      </c>
      <c r="AS840" s="35">
        <v>0</v>
      </c>
      <c r="AT840" s="35">
        <v>1</v>
      </c>
      <c r="AU840" s="31" t="str">
        <f t="shared" si="16"/>
        <v>库存为1</v>
      </c>
      <c r="AV840" s="36" t="str">
        <f>IFERROR($A$2+AU840,"上周无销量")</f>
        <v>上周无销量</v>
      </c>
    </row>
    <row r="841" spans="1:48">
      <c r="A841" s="21" t="s">
        <v>1754</v>
      </c>
      <c r="B841" t="s">
        <v>1755</v>
      </c>
      <c r="C841" t="s">
        <v>1713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2</v>
      </c>
      <c r="J841" s="33">
        <v>0</v>
      </c>
      <c r="K841" s="33">
        <v>0</v>
      </c>
      <c r="L841" s="33">
        <v>0</v>
      </c>
      <c r="M841">
        <v>2</v>
      </c>
      <c r="N841">
        <v>0</v>
      </c>
      <c r="O841">
        <v>2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3</v>
      </c>
      <c r="AK841">
        <v>0</v>
      </c>
      <c r="AL841">
        <v>2</v>
      </c>
      <c r="AM841">
        <v>2</v>
      </c>
      <c r="AN841" s="23">
        <v>0</v>
      </c>
      <c r="AO841" s="23" t="s">
        <v>54</v>
      </c>
      <c r="AP841" s="23">
        <v>0</v>
      </c>
      <c r="AQ841" s="23">
        <v>0</v>
      </c>
      <c r="AR841" s="35">
        <v>0</v>
      </c>
      <c r="AS841" s="35">
        <v>0</v>
      </c>
      <c r="AT841" s="35">
        <v>2</v>
      </c>
      <c r="AU841" s="31" t="str">
        <f t="shared" si="16"/>
        <v>库存为2</v>
      </c>
      <c r="AV841" s="36" t="str">
        <f>IFERROR($A$2+AU841,"上周无销量")</f>
        <v>上周无销量</v>
      </c>
    </row>
    <row r="842" spans="1:48">
      <c r="A842" s="21" t="s">
        <v>1756</v>
      </c>
      <c r="B842" t="s">
        <v>1757</v>
      </c>
      <c r="C842" t="s">
        <v>1713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3</v>
      </c>
      <c r="J842" s="33">
        <v>0</v>
      </c>
      <c r="K842" s="33">
        <v>0</v>
      </c>
      <c r="L842" s="33">
        <v>0</v>
      </c>
      <c r="M842">
        <v>3</v>
      </c>
      <c r="N842">
        <v>0</v>
      </c>
      <c r="O842">
        <v>3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2</v>
      </c>
      <c r="AK842">
        <v>1</v>
      </c>
      <c r="AL842">
        <v>2</v>
      </c>
      <c r="AM842">
        <v>0</v>
      </c>
      <c r="AN842" s="23">
        <v>0</v>
      </c>
      <c r="AO842" s="23">
        <v>0</v>
      </c>
      <c r="AP842" s="23">
        <v>0</v>
      </c>
      <c r="AQ842" s="23" t="s">
        <v>54</v>
      </c>
      <c r="AR842" s="35">
        <v>0</v>
      </c>
      <c r="AS842" s="35">
        <v>0</v>
      </c>
      <c r="AT842" s="35">
        <v>3</v>
      </c>
      <c r="AU842" s="31" t="str">
        <f t="shared" si="16"/>
        <v>库存为3</v>
      </c>
      <c r="AV842" s="36" t="str">
        <f>IFERROR($A$2+AU842,"上周无销量")</f>
        <v>上周无销量</v>
      </c>
    </row>
    <row r="843" spans="1:48">
      <c r="A843" s="21" t="s">
        <v>1758</v>
      </c>
      <c r="B843" t="s">
        <v>1759</v>
      </c>
      <c r="C843" t="s">
        <v>1713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1</v>
      </c>
      <c r="J843" s="33">
        <v>0</v>
      </c>
      <c r="K843" s="33">
        <v>0</v>
      </c>
      <c r="L843" s="33">
        <v>0</v>
      </c>
      <c r="M843">
        <v>1</v>
      </c>
      <c r="N843">
        <v>0</v>
      </c>
      <c r="O843">
        <v>1</v>
      </c>
      <c r="P843">
        <v>186</v>
      </c>
      <c r="Q843">
        <v>274</v>
      </c>
      <c r="R843">
        <v>285</v>
      </c>
      <c r="S843">
        <v>59</v>
      </c>
      <c r="T843">
        <v>0</v>
      </c>
      <c r="U843">
        <v>0</v>
      </c>
      <c r="V843">
        <v>0</v>
      </c>
      <c r="W843">
        <v>0</v>
      </c>
      <c r="X843" s="23">
        <v>0</v>
      </c>
      <c r="Y843" s="23">
        <v>0</v>
      </c>
      <c r="Z843" s="23">
        <v>0</v>
      </c>
      <c r="AA843" s="23">
        <v>0</v>
      </c>
      <c r="AB843">
        <v>0</v>
      </c>
      <c r="AC843">
        <v>0</v>
      </c>
      <c r="AD843">
        <v>0</v>
      </c>
      <c r="AE843">
        <v>0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3</v>
      </c>
      <c r="AK843">
        <v>3</v>
      </c>
      <c r="AL843">
        <v>0</v>
      </c>
      <c r="AM843">
        <v>2</v>
      </c>
      <c r="AN843" s="23">
        <v>0</v>
      </c>
      <c r="AO843" s="23">
        <v>0</v>
      </c>
      <c r="AP843" s="23" t="s">
        <v>54</v>
      </c>
      <c r="AQ843" s="23">
        <v>0</v>
      </c>
      <c r="AR843" s="35">
        <v>0</v>
      </c>
      <c r="AS843" s="35">
        <v>0</v>
      </c>
      <c r="AT843" s="35">
        <v>1</v>
      </c>
      <c r="AU843" s="31" t="str">
        <f t="shared" si="16"/>
        <v>库存为1</v>
      </c>
      <c r="AV843" s="36" t="str">
        <f>IFERROR($A$2+AU843,"上周无销量")</f>
        <v>上周无销量</v>
      </c>
    </row>
    <row r="844" spans="1:48">
      <c r="A844" s="21" t="s">
        <v>1760</v>
      </c>
      <c r="B844" t="s">
        <v>1761</v>
      </c>
      <c r="C844" t="s">
        <v>1713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4</v>
      </c>
      <c r="J844" s="33">
        <v>0</v>
      </c>
      <c r="K844" s="33">
        <v>0</v>
      </c>
      <c r="L844" s="33">
        <v>0</v>
      </c>
      <c r="M844">
        <v>4</v>
      </c>
      <c r="N844">
        <v>0</v>
      </c>
      <c r="O844">
        <v>4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4</v>
      </c>
      <c r="AK844">
        <v>1</v>
      </c>
      <c r="AL844">
        <v>3</v>
      </c>
      <c r="AM844">
        <v>1</v>
      </c>
      <c r="AN844" s="23">
        <v>0</v>
      </c>
      <c r="AO844" s="23">
        <v>0</v>
      </c>
      <c r="AP844" s="23">
        <v>0</v>
      </c>
      <c r="AQ844" s="23">
        <v>0</v>
      </c>
      <c r="AR844" s="35">
        <v>0</v>
      </c>
      <c r="AS844" s="35">
        <v>0</v>
      </c>
      <c r="AT844" s="35">
        <v>4</v>
      </c>
      <c r="AU844" s="31" t="str">
        <f t="shared" si="16"/>
        <v>库存为4</v>
      </c>
      <c r="AV844" s="36" t="str">
        <f>IFERROR($A$2+AU844,"上周无销量")</f>
        <v>上周无销量</v>
      </c>
    </row>
    <row r="845" spans="1:48">
      <c r="A845" s="21" t="s">
        <v>1762</v>
      </c>
      <c r="B845" t="s">
        <v>1763</v>
      </c>
      <c r="C845" t="s">
        <v>1713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4</v>
      </c>
      <c r="J845" s="33">
        <v>0</v>
      </c>
      <c r="K845" s="33">
        <v>0</v>
      </c>
      <c r="L845" s="33">
        <v>0</v>
      </c>
      <c r="M845">
        <v>4</v>
      </c>
      <c r="N845">
        <v>0</v>
      </c>
      <c r="O845">
        <v>4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2</v>
      </c>
      <c r="AK845">
        <v>1</v>
      </c>
      <c r="AL845">
        <v>2</v>
      </c>
      <c r="AM845">
        <v>2</v>
      </c>
      <c r="AN845" s="23">
        <v>0</v>
      </c>
      <c r="AO845" s="23">
        <v>0</v>
      </c>
      <c r="AP845" s="23">
        <v>0</v>
      </c>
      <c r="AQ845" s="23">
        <v>0</v>
      </c>
      <c r="AR845" s="35">
        <v>0</v>
      </c>
      <c r="AS845" s="35">
        <v>0</v>
      </c>
      <c r="AT845" s="35">
        <v>4</v>
      </c>
      <c r="AU845" s="31" t="str">
        <f t="shared" si="16"/>
        <v>库存为4</v>
      </c>
      <c r="AV845" s="36" t="str">
        <f>IFERROR($A$2+AU845,"上周无销量")</f>
        <v>上周无销量</v>
      </c>
    </row>
    <row r="846" spans="1:48">
      <c r="A846" s="21" t="s">
        <v>1764</v>
      </c>
      <c r="B846" t="s">
        <v>1765</v>
      </c>
      <c r="C846" t="s">
        <v>1713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4</v>
      </c>
      <c r="J846" s="33">
        <v>0</v>
      </c>
      <c r="K846" s="33">
        <v>0</v>
      </c>
      <c r="L846" s="33">
        <v>0</v>
      </c>
      <c r="M846">
        <v>4</v>
      </c>
      <c r="N846">
        <v>0</v>
      </c>
      <c r="O846">
        <v>4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</v>
      </c>
      <c r="AK846">
        <v>2</v>
      </c>
      <c r="AL846">
        <v>2</v>
      </c>
      <c r="AM846">
        <v>3</v>
      </c>
      <c r="AN846" s="23">
        <v>0</v>
      </c>
      <c r="AO846" s="23">
        <v>0</v>
      </c>
      <c r="AP846" s="23">
        <v>0</v>
      </c>
      <c r="AQ846" s="23">
        <v>0</v>
      </c>
      <c r="AR846" s="35">
        <v>0</v>
      </c>
      <c r="AS846" s="35">
        <v>0</v>
      </c>
      <c r="AT846" s="35">
        <v>4</v>
      </c>
      <c r="AU846" s="31" t="str">
        <f t="shared" si="16"/>
        <v>库存为4</v>
      </c>
      <c r="AV846" s="36" t="str">
        <f>IFERROR($A$2+AU846,"上周无销量")</f>
        <v>上周无销量</v>
      </c>
    </row>
    <row r="847" spans="1:48">
      <c r="A847" s="21" t="s">
        <v>1766</v>
      </c>
      <c r="B847" t="s">
        <v>1767</v>
      </c>
      <c r="C847" t="s">
        <v>1713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3</v>
      </c>
      <c r="J847" s="33">
        <v>0</v>
      </c>
      <c r="K847" s="33">
        <v>0</v>
      </c>
      <c r="L847" s="33">
        <v>0</v>
      </c>
      <c r="M847">
        <v>3</v>
      </c>
      <c r="N847">
        <v>0</v>
      </c>
      <c r="O847">
        <v>3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2</v>
      </c>
      <c r="AK847">
        <v>0</v>
      </c>
      <c r="AL847">
        <v>1</v>
      </c>
      <c r="AM847">
        <v>1</v>
      </c>
      <c r="AN847" s="23">
        <v>0</v>
      </c>
      <c r="AO847" s="23" t="s">
        <v>54</v>
      </c>
      <c r="AP847" s="23">
        <v>0</v>
      </c>
      <c r="AQ847" s="23">
        <v>0</v>
      </c>
      <c r="AR847" s="35">
        <v>0</v>
      </c>
      <c r="AS847" s="35">
        <v>0</v>
      </c>
      <c r="AT847" s="35">
        <v>3</v>
      </c>
      <c r="AU847" s="31" t="str">
        <f t="shared" si="16"/>
        <v>库存为3</v>
      </c>
      <c r="AV847" s="36" t="str">
        <f>IFERROR($A$2+AU847,"上周无销量")</f>
        <v>上周无销量</v>
      </c>
    </row>
    <row r="848" spans="1:48">
      <c r="A848" s="21" t="s">
        <v>1768</v>
      </c>
      <c r="B848" t="s">
        <v>1769</v>
      </c>
      <c r="C848" t="s">
        <v>1713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4</v>
      </c>
      <c r="J848" s="33">
        <v>0</v>
      </c>
      <c r="K848" s="33">
        <v>0</v>
      </c>
      <c r="L848" s="33">
        <v>0</v>
      </c>
      <c r="M848">
        <v>4</v>
      </c>
      <c r="N848">
        <v>0</v>
      </c>
      <c r="O848">
        <v>4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4</v>
      </c>
      <c r="AK848">
        <v>1</v>
      </c>
      <c r="AL848">
        <v>2</v>
      </c>
      <c r="AM848">
        <v>2</v>
      </c>
      <c r="AN848" s="23">
        <v>0</v>
      </c>
      <c r="AO848" s="23">
        <v>0</v>
      </c>
      <c r="AP848" s="23">
        <v>0</v>
      </c>
      <c r="AQ848" s="23">
        <v>0</v>
      </c>
      <c r="AR848" s="35">
        <v>0</v>
      </c>
      <c r="AS848" s="35">
        <v>0</v>
      </c>
      <c r="AT848" s="35">
        <v>4</v>
      </c>
      <c r="AU848" s="31" t="str">
        <f t="shared" si="16"/>
        <v>库存为4</v>
      </c>
      <c r="AV848" s="36" t="str">
        <f>IFERROR($A$2+AU848,"上周无销量")</f>
        <v>上周无销量</v>
      </c>
    </row>
    <row r="849" spans="1:48">
      <c r="A849" s="21" t="s">
        <v>1770</v>
      </c>
      <c r="B849" t="s">
        <v>1771</v>
      </c>
      <c r="C849" t="s">
        <v>1713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4</v>
      </c>
      <c r="J849" s="33">
        <v>0</v>
      </c>
      <c r="K849" s="33">
        <v>0</v>
      </c>
      <c r="L849" s="33">
        <v>0</v>
      </c>
      <c r="M849">
        <v>4</v>
      </c>
      <c r="N849">
        <v>0</v>
      </c>
      <c r="O849">
        <v>4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3</v>
      </c>
      <c r="AK849">
        <v>1</v>
      </c>
      <c r="AL849">
        <v>0</v>
      </c>
      <c r="AM849">
        <v>1</v>
      </c>
      <c r="AN849" s="23">
        <v>0</v>
      </c>
      <c r="AO849" s="23">
        <v>0</v>
      </c>
      <c r="AP849" s="23" t="s">
        <v>54</v>
      </c>
      <c r="AQ849" s="23">
        <v>0</v>
      </c>
      <c r="AR849" s="35">
        <v>0</v>
      </c>
      <c r="AS849" s="35">
        <v>0</v>
      </c>
      <c r="AT849" s="35">
        <v>4</v>
      </c>
      <c r="AU849" s="31" t="str">
        <f t="shared" si="16"/>
        <v>库存为4</v>
      </c>
      <c r="AV849" s="36" t="str">
        <f>IFERROR($A$2+AU849,"上周无销量")</f>
        <v>上周无销量</v>
      </c>
    </row>
    <row r="850" spans="1:48">
      <c r="A850" s="21" t="s">
        <v>1772</v>
      </c>
      <c r="B850" t="s">
        <v>1773</v>
      </c>
      <c r="C850" t="s">
        <v>1713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4</v>
      </c>
      <c r="J850" s="33">
        <v>0</v>
      </c>
      <c r="K850" s="33">
        <v>0</v>
      </c>
      <c r="L850" s="33">
        <v>0</v>
      </c>
      <c r="M850">
        <v>4</v>
      </c>
      <c r="N850">
        <v>0</v>
      </c>
      <c r="O850">
        <v>4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3</v>
      </c>
      <c r="AK850">
        <v>1</v>
      </c>
      <c r="AL850">
        <v>0</v>
      </c>
      <c r="AM850">
        <v>2</v>
      </c>
      <c r="AN850" s="23">
        <v>0</v>
      </c>
      <c r="AO850" s="23">
        <v>0</v>
      </c>
      <c r="AP850" s="23" t="s">
        <v>54</v>
      </c>
      <c r="AQ850" s="23">
        <v>0</v>
      </c>
      <c r="AR850" s="35">
        <v>0</v>
      </c>
      <c r="AS850" s="35">
        <v>0</v>
      </c>
      <c r="AT850" s="35">
        <v>4</v>
      </c>
      <c r="AU850" s="31" t="str">
        <f t="shared" si="16"/>
        <v>库存为4</v>
      </c>
      <c r="AV850" s="36" t="str">
        <f>IFERROR($A$2+AU850,"上周无销量")</f>
        <v>上周无销量</v>
      </c>
    </row>
    <row r="851" spans="1:48">
      <c r="A851" s="21" t="s">
        <v>1774</v>
      </c>
      <c r="B851" t="s">
        <v>1775</v>
      </c>
      <c r="C851" t="s">
        <v>1713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4</v>
      </c>
      <c r="J851" s="33">
        <v>0</v>
      </c>
      <c r="K851" s="33">
        <v>0</v>
      </c>
      <c r="L851" s="33">
        <v>0</v>
      </c>
      <c r="M851">
        <v>4</v>
      </c>
      <c r="N851">
        <v>0</v>
      </c>
      <c r="O851">
        <v>4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2</v>
      </c>
      <c r="AK851">
        <v>1</v>
      </c>
      <c r="AL851">
        <v>2</v>
      </c>
      <c r="AM851">
        <v>3</v>
      </c>
      <c r="AN851" s="23">
        <v>0</v>
      </c>
      <c r="AO851" s="23">
        <v>0</v>
      </c>
      <c r="AP851" s="23">
        <v>0</v>
      </c>
      <c r="AQ851" s="23">
        <v>0</v>
      </c>
      <c r="AR851" s="35">
        <v>0</v>
      </c>
      <c r="AS851" s="35">
        <v>0</v>
      </c>
      <c r="AT851" s="35">
        <v>4</v>
      </c>
      <c r="AU851" s="31" t="str">
        <f t="shared" si="16"/>
        <v>库存为4</v>
      </c>
      <c r="AV851" s="36" t="str">
        <f>IFERROR($A$2+AU851,"上周无销量")</f>
        <v>上周无销量</v>
      </c>
    </row>
    <row r="852" spans="1:48">
      <c r="A852" s="21" t="s">
        <v>1776</v>
      </c>
      <c r="B852" t="s">
        <v>1777</v>
      </c>
      <c r="C852" t="s">
        <v>1713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4</v>
      </c>
      <c r="J852" s="33">
        <v>0</v>
      </c>
      <c r="K852" s="33">
        <v>0</v>
      </c>
      <c r="L852" s="33">
        <v>0</v>
      </c>
      <c r="M852">
        <v>4</v>
      </c>
      <c r="N852">
        <v>0</v>
      </c>
      <c r="O852">
        <v>4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4</v>
      </c>
      <c r="AK852">
        <v>1</v>
      </c>
      <c r="AL852">
        <v>1</v>
      </c>
      <c r="AM852">
        <v>3</v>
      </c>
      <c r="AN852" s="23">
        <v>0</v>
      </c>
      <c r="AO852" s="23">
        <v>0</v>
      </c>
      <c r="AP852" s="23">
        <v>0</v>
      </c>
      <c r="AQ852" s="23">
        <v>0</v>
      </c>
      <c r="AR852" s="35">
        <v>0</v>
      </c>
      <c r="AS852" s="35">
        <v>0</v>
      </c>
      <c r="AT852" s="35">
        <v>4</v>
      </c>
      <c r="AU852" s="31" t="str">
        <f t="shared" si="16"/>
        <v>库存为4</v>
      </c>
      <c r="AV852" s="36" t="str">
        <f>IFERROR($A$2+AU852,"上周无销量")</f>
        <v>上周无销量</v>
      </c>
    </row>
    <row r="853" spans="1:48">
      <c r="A853" s="21" t="s">
        <v>1778</v>
      </c>
      <c r="B853" t="s">
        <v>1779</v>
      </c>
      <c r="C853" t="s">
        <v>1713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4</v>
      </c>
      <c r="J853" s="33">
        <v>0</v>
      </c>
      <c r="K853" s="33">
        <v>0</v>
      </c>
      <c r="L853" s="33">
        <v>0</v>
      </c>
      <c r="M853">
        <v>4</v>
      </c>
      <c r="N853">
        <v>0</v>
      </c>
      <c r="O853">
        <v>4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1</v>
      </c>
      <c r="AK853">
        <v>0</v>
      </c>
      <c r="AL853">
        <v>2</v>
      </c>
      <c r="AM853">
        <v>3</v>
      </c>
      <c r="AN853" s="23">
        <v>0</v>
      </c>
      <c r="AO853" s="23" t="s">
        <v>54</v>
      </c>
      <c r="AP853" s="23">
        <v>0</v>
      </c>
      <c r="AQ853" s="23">
        <v>0</v>
      </c>
      <c r="AR853" s="35">
        <v>0</v>
      </c>
      <c r="AS853" s="35">
        <v>0</v>
      </c>
      <c r="AT853" s="35">
        <v>4</v>
      </c>
      <c r="AU853" s="31" t="str">
        <f t="shared" si="16"/>
        <v>库存为4</v>
      </c>
      <c r="AV853" s="36" t="str">
        <f>IFERROR($A$2+AU853,"上周无销量")</f>
        <v>上周无销量</v>
      </c>
    </row>
    <row r="854" spans="1:48">
      <c r="A854" s="21" t="s">
        <v>1780</v>
      </c>
      <c r="B854" t="s">
        <v>1781</v>
      </c>
      <c r="C854" t="s">
        <v>1713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4</v>
      </c>
      <c r="J854" s="33">
        <v>0</v>
      </c>
      <c r="K854" s="33">
        <v>0</v>
      </c>
      <c r="L854" s="33">
        <v>0</v>
      </c>
      <c r="M854">
        <v>4</v>
      </c>
      <c r="N854">
        <v>0</v>
      </c>
      <c r="O854">
        <v>4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3</v>
      </c>
      <c r="AK854">
        <v>1</v>
      </c>
      <c r="AL854">
        <v>2</v>
      </c>
      <c r="AM854">
        <v>4</v>
      </c>
      <c r="AN854" s="23">
        <v>0</v>
      </c>
      <c r="AO854" s="23">
        <v>0</v>
      </c>
      <c r="AP854" s="23">
        <v>0</v>
      </c>
      <c r="AQ854" s="23">
        <v>0</v>
      </c>
      <c r="AR854" s="35">
        <v>0</v>
      </c>
      <c r="AS854" s="35">
        <v>0</v>
      </c>
      <c r="AT854" s="35">
        <v>4</v>
      </c>
      <c r="AU854" s="31" t="str">
        <f t="shared" si="16"/>
        <v>库存为4</v>
      </c>
      <c r="AV854" s="36" t="str">
        <f>IFERROR($A$2+AU854,"上周无销量")</f>
        <v>上周无销量</v>
      </c>
    </row>
    <row r="855" spans="1:48">
      <c r="A855" s="21" t="s">
        <v>1782</v>
      </c>
      <c r="B855" t="s">
        <v>1783</v>
      </c>
      <c r="C855" t="s">
        <v>1713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3</v>
      </c>
      <c r="J855" s="33">
        <v>0</v>
      </c>
      <c r="K855" s="33">
        <v>0</v>
      </c>
      <c r="L855" s="33">
        <v>0</v>
      </c>
      <c r="M855">
        <v>3</v>
      </c>
      <c r="N855">
        <v>0</v>
      </c>
      <c r="O855">
        <v>3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2</v>
      </c>
      <c r="AK855">
        <v>1</v>
      </c>
      <c r="AL855">
        <v>2</v>
      </c>
      <c r="AM855">
        <v>1</v>
      </c>
      <c r="AN855" s="23">
        <v>0</v>
      </c>
      <c r="AO855" s="23">
        <v>0</v>
      </c>
      <c r="AP855" s="23">
        <v>0</v>
      </c>
      <c r="AQ855" s="23">
        <v>0</v>
      </c>
      <c r="AR855" s="35">
        <v>0</v>
      </c>
      <c r="AS855" s="35">
        <v>0</v>
      </c>
      <c r="AT855" s="35">
        <v>3</v>
      </c>
      <c r="AU855" s="31" t="str">
        <f t="shared" si="16"/>
        <v>库存为3</v>
      </c>
      <c r="AV855" s="36" t="str">
        <f>IFERROR($A$2+AU855,"上周无销量")</f>
        <v>上周无销量</v>
      </c>
    </row>
    <row r="856" spans="1:48">
      <c r="A856" s="21" t="s">
        <v>1784</v>
      </c>
      <c r="B856" t="s">
        <v>1785</v>
      </c>
      <c r="C856" t="e">
        <v>#N/A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s">
        <v>54</v>
      </c>
      <c r="AO856" s="23" t="s">
        <v>54</v>
      </c>
      <c r="AP856" s="23" t="s">
        <v>54</v>
      </c>
      <c r="AQ856" s="23" t="s">
        <v>54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IFERROR($A$2+AU856,"上周无销量")</f>
        <v>上周无销量</v>
      </c>
    </row>
    <row r="857" spans="1:48">
      <c r="A857" s="21" t="s">
        <v>1786</v>
      </c>
      <c r="B857" t="s">
        <v>1787</v>
      </c>
      <c r="C857" t="e">
        <v>#N/A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s">
        <v>54</v>
      </c>
      <c r="AO857" s="23" t="s">
        <v>54</v>
      </c>
      <c r="AP857" s="23" t="s">
        <v>54</v>
      </c>
      <c r="AQ857" s="23" t="s">
        <v>54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IFERROR($A$2+AU857,"上周无销量")</f>
        <v>上周无销量</v>
      </c>
    </row>
    <row r="858" spans="1:48">
      <c r="A858" s="21" t="s">
        <v>1788</v>
      </c>
      <c r="B858" t="s">
        <v>1789</v>
      </c>
      <c r="C858" t="e">
        <v>#N/A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s">
        <v>54</v>
      </c>
      <c r="AO858" s="23" t="s">
        <v>54</v>
      </c>
      <c r="AP858" s="23" t="s">
        <v>54</v>
      </c>
      <c r="AQ858" s="23" t="s">
        <v>54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IFERROR($A$2+AU858,"上周无销量")</f>
        <v>上周无销量</v>
      </c>
    </row>
    <row r="859" spans="1:48">
      <c r="A859" s="21" t="s">
        <v>1790</v>
      </c>
      <c r="B859" t="s">
        <v>1791</v>
      </c>
      <c r="C859" t="s">
        <v>1792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s">
        <v>54</v>
      </c>
      <c r="AO859" s="23" t="s">
        <v>54</v>
      </c>
      <c r="AP859" s="23" t="s">
        <v>54</v>
      </c>
      <c r="AQ859" s="23" t="s">
        <v>54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IFERROR($A$2+AU859,"上周无销量")</f>
        <v>上周无销量</v>
      </c>
    </row>
    <row r="860" spans="1:48">
      <c r="A860" s="21" t="s">
        <v>1793</v>
      </c>
      <c r="B860" t="s">
        <v>1794</v>
      </c>
      <c r="C860" t="s">
        <v>1792</v>
      </c>
      <c r="D860" s="31">
        <v>5</v>
      </c>
      <c r="E860" s="31">
        <v>0</v>
      </c>
      <c r="F860" s="31">
        <v>0</v>
      </c>
      <c r="G860" s="31">
        <v>0</v>
      </c>
      <c r="H860" s="32">
        <v>7</v>
      </c>
      <c r="I860">
        <v>4</v>
      </c>
      <c r="J860" s="33">
        <v>0</v>
      </c>
      <c r="K860" s="33">
        <v>0</v>
      </c>
      <c r="L860" s="33">
        <v>0</v>
      </c>
      <c r="M860">
        <v>4</v>
      </c>
      <c r="N860">
        <v>0</v>
      </c>
      <c r="O860">
        <v>6</v>
      </c>
      <c r="P860">
        <v>101</v>
      </c>
      <c r="Q860">
        <v>184</v>
      </c>
      <c r="R860">
        <v>252</v>
      </c>
      <c r="S860">
        <v>151</v>
      </c>
      <c r="T860">
        <v>1</v>
      </c>
      <c r="U860">
        <v>0</v>
      </c>
      <c r="V860">
        <v>3</v>
      </c>
      <c r="W860">
        <v>2</v>
      </c>
      <c r="X860" s="23">
        <v>0.0099009900990099</v>
      </c>
      <c r="Y860" s="23">
        <v>0</v>
      </c>
      <c r="Z860" s="23">
        <v>0.0119047619047619</v>
      </c>
      <c r="AA860" s="23">
        <v>0.0132450331125828</v>
      </c>
      <c r="AB860">
        <v>0.52</v>
      </c>
      <c r="AC860">
        <v>0</v>
      </c>
      <c r="AD860">
        <v>1.24</v>
      </c>
      <c r="AE860">
        <v>0.37</v>
      </c>
      <c r="AF860" s="23">
        <v>0.0148571428571429</v>
      </c>
      <c r="AG860" s="23" t="s">
        <v>54</v>
      </c>
      <c r="AH860" s="23">
        <v>0</v>
      </c>
      <c r="AI860" s="23">
        <v>0</v>
      </c>
      <c r="AJ860">
        <v>27</v>
      </c>
      <c r="AK860">
        <v>10</v>
      </c>
      <c r="AL860">
        <v>12</v>
      </c>
      <c r="AM860">
        <v>3</v>
      </c>
      <c r="AN860" s="23">
        <v>0.185185185185185</v>
      </c>
      <c r="AO860" s="23">
        <v>0</v>
      </c>
      <c r="AP860" s="23">
        <v>0</v>
      </c>
      <c r="AQ860" s="23">
        <v>0</v>
      </c>
      <c r="AR860" s="35">
        <v>0.714285714285714</v>
      </c>
      <c r="AS860" s="35">
        <v>42.8571428571429</v>
      </c>
      <c r="AT860" s="35">
        <v>-38.8571428571429</v>
      </c>
      <c r="AU860" s="31">
        <f t="shared" si="16"/>
        <v>5</v>
      </c>
      <c r="AV860" s="36">
        <f>IFERROR($A$2+AU860,"上周无销量")</f>
        <v>43309</v>
      </c>
    </row>
    <row r="861" spans="1:48">
      <c r="A861" s="21" t="s">
        <v>1795</v>
      </c>
      <c r="B861" t="s">
        <v>1796</v>
      </c>
      <c r="C861" t="s">
        <v>1792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7</v>
      </c>
      <c r="J861" s="33">
        <v>0</v>
      </c>
      <c r="K861" s="33">
        <v>0</v>
      </c>
      <c r="L861" s="33">
        <v>0</v>
      </c>
      <c r="M861">
        <v>7</v>
      </c>
      <c r="N861">
        <v>0</v>
      </c>
      <c r="O861">
        <v>7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12</v>
      </c>
      <c r="AK861">
        <v>13</v>
      </c>
      <c r="AL861">
        <v>5</v>
      </c>
      <c r="AM861">
        <v>2</v>
      </c>
      <c r="AN861" s="23">
        <v>0</v>
      </c>
      <c r="AO861" s="23">
        <v>0</v>
      </c>
      <c r="AP861" s="23">
        <v>0</v>
      </c>
      <c r="AQ861" s="23">
        <v>0</v>
      </c>
      <c r="AR861" s="35">
        <v>0</v>
      </c>
      <c r="AS861" s="35">
        <v>0</v>
      </c>
      <c r="AT861" s="35">
        <v>7</v>
      </c>
      <c r="AU861" s="31" t="str">
        <f t="shared" si="16"/>
        <v>库存为7</v>
      </c>
      <c r="AV861" s="36" t="str">
        <f>IFERROR($A$2+AU861,"上周无销量")</f>
        <v>上周无销量</v>
      </c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5477" operator="lessThan">
      <formula>20</formula>
    </cfRule>
    <cfRule type="cellIs" dxfId="1" priority="45476" operator="greaterThan">
      <formula>120</formula>
    </cfRule>
    <cfRule type="containsText" dxfId="2" priority="45475" operator="between" text="库存为">
      <formula>NOT(ISERROR(SEARCH("库存为",AU2)))</formula>
    </cfRule>
  </conditionalFormatting>
  <conditionalFormatting sqref="AU6">
    <cfRule type="cellIs" dxfId="0" priority="2568" operator="lessThan">
      <formula>20</formula>
    </cfRule>
    <cfRule type="cellIs" dxfId="1" priority="1712" operator="greaterThan">
      <formula>120</formula>
    </cfRule>
    <cfRule type="containsText" dxfId="2" priority="856" operator="between" text="库存为">
      <formula>NOT(ISERROR(SEARCH("库存为",AU6)))</formula>
    </cfRule>
  </conditionalFormatting>
  <conditionalFormatting sqref="AU7">
    <cfRule type="cellIs" dxfId="0" priority="2567" operator="lessThan">
      <formula>20</formula>
    </cfRule>
    <cfRule type="cellIs" dxfId="1" priority="1711" operator="greaterThan">
      <formula>120</formula>
    </cfRule>
    <cfRule type="containsText" dxfId="2" priority="855" operator="between" text="库存为">
      <formula>NOT(ISERROR(SEARCH("库存为",AU7)))</formula>
    </cfRule>
  </conditionalFormatting>
  <conditionalFormatting sqref="AU8">
    <cfRule type="cellIs" dxfId="0" priority="2566" operator="lessThan">
      <formula>20</formula>
    </cfRule>
    <cfRule type="cellIs" dxfId="1" priority="1710" operator="greaterThan">
      <formula>120</formula>
    </cfRule>
    <cfRule type="containsText" dxfId="2" priority="854" operator="between" text="库存为">
      <formula>NOT(ISERROR(SEARCH("库存为",AU8)))</formula>
    </cfRule>
  </conditionalFormatting>
  <conditionalFormatting sqref="AU9">
    <cfRule type="cellIs" dxfId="0" priority="2565" operator="lessThan">
      <formula>20</formula>
    </cfRule>
    <cfRule type="cellIs" dxfId="1" priority="1709" operator="greaterThan">
      <formula>120</formula>
    </cfRule>
    <cfRule type="containsText" dxfId="2" priority="853" operator="between" text="库存为">
      <formula>NOT(ISERROR(SEARCH("库存为",AU9)))</formula>
    </cfRule>
  </conditionalFormatting>
  <conditionalFormatting sqref="AU10">
    <cfRule type="cellIs" dxfId="0" priority="2564" operator="lessThan">
      <formula>20</formula>
    </cfRule>
    <cfRule type="cellIs" dxfId="1" priority="1708" operator="greaterThan">
      <formula>120</formula>
    </cfRule>
    <cfRule type="containsText" dxfId="2" priority="852" operator="between" text="库存为">
      <formula>NOT(ISERROR(SEARCH("库存为",AU10)))</formula>
    </cfRule>
  </conditionalFormatting>
  <conditionalFormatting sqref="AU11">
    <cfRule type="cellIs" dxfId="0" priority="2563" operator="lessThan">
      <formula>20</formula>
    </cfRule>
    <cfRule type="cellIs" dxfId="1" priority="1707" operator="greaterThan">
      <formula>120</formula>
    </cfRule>
    <cfRule type="containsText" dxfId="2" priority="851" operator="between" text="库存为">
      <formula>NOT(ISERROR(SEARCH("库存为",AU11)))</formula>
    </cfRule>
  </conditionalFormatting>
  <conditionalFormatting sqref="AU12">
    <cfRule type="cellIs" dxfId="0" priority="2562" operator="lessThan">
      <formula>20</formula>
    </cfRule>
    <cfRule type="cellIs" dxfId="1" priority="1706" operator="greaterThan">
      <formula>120</formula>
    </cfRule>
    <cfRule type="containsText" dxfId="2" priority="850" operator="between" text="库存为">
      <formula>NOT(ISERROR(SEARCH("库存为",AU12)))</formula>
    </cfRule>
  </conditionalFormatting>
  <conditionalFormatting sqref="AU13">
    <cfRule type="cellIs" dxfId="0" priority="2561" operator="lessThan">
      <formula>20</formula>
    </cfRule>
    <cfRule type="cellIs" dxfId="1" priority="1705" operator="greaterThan">
      <formula>120</formula>
    </cfRule>
    <cfRule type="containsText" dxfId="2" priority="849" operator="between" text="库存为">
      <formula>NOT(ISERROR(SEARCH("库存为",AU13)))</formula>
    </cfRule>
  </conditionalFormatting>
  <conditionalFormatting sqref="AU14">
    <cfRule type="cellIs" dxfId="0" priority="2560" operator="lessThan">
      <formula>20</formula>
    </cfRule>
    <cfRule type="cellIs" dxfId="1" priority="1704" operator="greaterThan">
      <formula>120</formula>
    </cfRule>
    <cfRule type="containsText" dxfId="2" priority="848" operator="between" text="库存为">
      <formula>NOT(ISERROR(SEARCH("库存为",AU14)))</formula>
    </cfRule>
  </conditionalFormatting>
  <conditionalFormatting sqref="AU15">
    <cfRule type="cellIs" dxfId="0" priority="2559" operator="lessThan">
      <formula>20</formula>
    </cfRule>
    <cfRule type="cellIs" dxfId="1" priority="1703" operator="greaterThan">
      <formula>120</formula>
    </cfRule>
    <cfRule type="containsText" dxfId="2" priority="847" operator="between" text="库存为">
      <formula>NOT(ISERROR(SEARCH("库存为",AU15)))</formula>
    </cfRule>
  </conditionalFormatting>
  <conditionalFormatting sqref="AU16">
    <cfRule type="cellIs" dxfId="0" priority="2558" operator="lessThan">
      <formula>20</formula>
    </cfRule>
    <cfRule type="cellIs" dxfId="1" priority="1702" operator="greaterThan">
      <formula>120</formula>
    </cfRule>
    <cfRule type="containsText" dxfId="2" priority="846" operator="between" text="库存为">
      <formula>NOT(ISERROR(SEARCH("库存为",AU16)))</formula>
    </cfRule>
  </conditionalFormatting>
  <conditionalFormatting sqref="AU17">
    <cfRule type="cellIs" dxfId="0" priority="2557" operator="lessThan">
      <formula>20</formula>
    </cfRule>
    <cfRule type="cellIs" dxfId="1" priority="1701" operator="greaterThan">
      <formula>120</formula>
    </cfRule>
    <cfRule type="containsText" dxfId="2" priority="845" operator="between" text="库存为">
      <formula>NOT(ISERROR(SEARCH("库存为",AU17)))</formula>
    </cfRule>
  </conditionalFormatting>
  <conditionalFormatting sqref="AU18">
    <cfRule type="cellIs" dxfId="0" priority="2556" operator="lessThan">
      <formula>20</formula>
    </cfRule>
    <cfRule type="cellIs" dxfId="1" priority="1700" operator="greaterThan">
      <formula>120</formula>
    </cfRule>
    <cfRule type="containsText" dxfId="2" priority="844" operator="between" text="库存为">
      <formula>NOT(ISERROR(SEARCH("库存为",AU18)))</formula>
    </cfRule>
  </conditionalFormatting>
  <conditionalFormatting sqref="AU19">
    <cfRule type="cellIs" dxfId="0" priority="2555" operator="lessThan">
      <formula>20</formula>
    </cfRule>
    <cfRule type="cellIs" dxfId="1" priority="1699" operator="greaterThan">
      <formula>120</formula>
    </cfRule>
    <cfRule type="containsText" dxfId="2" priority="843" operator="between" text="库存为">
      <formula>NOT(ISERROR(SEARCH("库存为",AU19)))</formula>
    </cfRule>
  </conditionalFormatting>
  <conditionalFormatting sqref="AU20">
    <cfRule type="cellIs" dxfId="0" priority="2554" operator="lessThan">
      <formula>20</formula>
    </cfRule>
    <cfRule type="cellIs" dxfId="1" priority="1698" operator="greaterThan">
      <formula>120</formula>
    </cfRule>
    <cfRule type="containsText" dxfId="2" priority="842" operator="between" text="库存为">
      <formula>NOT(ISERROR(SEARCH("库存为",AU20)))</formula>
    </cfRule>
  </conditionalFormatting>
  <conditionalFormatting sqref="AU21">
    <cfRule type="cellIs" dxfId="0" priority="2553" operator="lessThan">
      <formula>20</formula>
    </cfRule>
    <cfRule type="cellIs" dxfId="1" priority="1697" operator="greaterThan">
      <formula>120</formula>
    </cfRule>
    <cfRule type="containsText" dxfId="2" priority="841" operator="between" text="库存为">
      <formula>NOT(ISERROR(SEARCH("库存为",AU21)))</formula>
    </cfRule>
  </conditionalFormatting>
  <conditionalFormatting sqref="AU22">
    <cfRule type="cellIs" dxfId="0" priority="2552" operator="lessThan">
      <formula>20</formula>
    </cfRule>
    <cfRule type="cellIs" dxfId="1" priority="1696" operator="greaterThan">
      <formula>120</formula>
    </cfRule>
    <cfRule type="containsText" dxfId="2" priority="840" operator="between" text="库存为">
      <formula>NOT(ISERROR(SEARCH("库存为",AU22)))</formula>
    </cfRule>
  </conditionalFormatting>
  <conditionalFormatting sqref="AU23">
    <cfRule type="cellIs" dxfId="0" priority="2551" operator="lessThan">
      <formula>20</formula>
    </cfRule>
    <cfRule type="cellIs" dxfId="1" priority="1695" operator="greaterThan">
      <formula>120</formula>
    </cfRule>
    <cfRule type="containsText" dxfId="2" priority="839" operator="between" text="库存为">
      <formula>NOT(ISERROR(SEARCH("库存为",AU23)))</formula>
    </cfRule>
  </conditionalFormatting>
  <conditionalFormatting sqref="AU24">
    <cfRule type="cellIs" dxfId="0" priority="2550" operator="lessThan">
      <formula>20</formula>
    </cfRule>
    <cfRule type="cellIs" dxfId="1" priority="1694" operator="greaterThan">
      <formula>120</formula>
    </cfRule>
    <cfRule type="containsText" dxfId="2" priority="838" operator="between" text="库存为">
      <formula>NOT(ISERROR(SEARCH("库存为",AU24)))</formula>
    </cfRule>
  </conditionalFormatting>
  <conditionalFormatting sqref="AU25">
    <cfRule type="cellIs" dxfId="0" priority="2549" operator="lessThan">
      <formula>20</formula>
    </cfRule>
    <cfRule type="cellIs" dxfId="1" priority="1693" operator="greaterThan">
      <formula>120</formula>
    </cfRule>
    <cfRule type="containsText" dxfId="2" priority="837" operator="between" text="库存为">
      <formula>NOT(ISERROR(SEARCH("库存为",AU25)))</formula>
    </cfRule>
  </conditionalFormatting>
  <conditionalFormatting sqref="AU26">
    <cfRule type="cellIs" dxfId="0" priority="2548" operator="lessThan">
      <formula>20</formula>
    </cfRule>
    <cfRule type="cellIs" dxfId="1" priority="1692" operator="greaterThan">
      <formula>120</formula>
    </cfRule>
    <cfRule type="containsText" dxfId="2" priority="836" operator="between" text="库存为">
      <formula>NOT(ISERROR(SEARCH("库存为",AU26)))</formula>
    </cfRule>
  </conditionalFormatting>
  <conditionalFormatting sqref="AU27">
    <cfRule type="cellIs" dxfId="0" priority="2547" operator="lessThan">
      <formula>20</formula>
    </cfRule>
    <cfRule type="cellIs" dxfId="1" priority="1691" operator="greaterThan">
      <formula>120</formula>
    </cfRule>
    <cfRule type="containsText" dxfId="2" priority="835" operator="between" text="库存为">
      <formula>NOT(ISERROR(SEARCH("库存为",AU27)))</formula>
    </cfRule>
  </conditionalFormatting>
  <conditionalFormatting sqref="AU28">
    <cfRule type="cellIs" dxfId="0" priority="2546" operator="lessThan">
      <formula>20</formula>
    </cfRule>
    <cfRule type="cellIs" dxfId="1" priority="1690" operator="greaterThan">
      <formula>120</formula>
    </cfRule>
    <cfRule type="containsText" dxfId="2" priority="834" operator="between" text="库存为">
      <formula>NOT(ISERROR(SEARCH("库存为",AU28)))</formula>
    </cfRule>
  </conditionalFormatting>
  <conditionalFormatting sqref="AU29">
    <cfRule type="cellIs" dxfId="0" priority="2545" operator="lessThan">
      <formula>20</formula>
    </cfRule>
    <cfRule type="cellIs" dxfId="1" priority="1689" operator="greaterThan">
      <formula>120</formula>
    </cfRule>
    <cfRule type="containsText" dxfId="2" priority="833" operator="between" text="库存为">
      <formula>NOT(ISERROR(SEARCH("库存为",AU29)))</formula>
    </cfRule>
  </conditionalFormatting>
  <conditionalFormatting sqref="AU30">
    <cfRule type="cellIs" dxfId="0" priority="2544" operator="lessThan">
      <formula>20</formula>
    </cfRule>
    <cfRule type="cellIs" dxfId="1" priority="1688" operator="greaterThan">
      <formula>120</formula>
    </cfRule>
    <cfRule type="containsText" dxfId="2" priority="832" operator="between" text="库存为">
      <formula>NOT(ISERROR(SEARCH("库存为",AU30)))</formula>
    </cfRule>
  </conditionalFormatting>
  <conditionalFormatting sqref="AU31">
    <cfRule type="cellIs" dxfId="0" priority="2543" operator="lessThan">
      <formula>20</formula>
    </cfRule>
    <cfRule type="cellIs" dxfId="1" priority="1687" operator="greaterThan">
      <formula>120</formula>
    </cfRule>
    <cfRule type="containsText" dxfId="2" priority="831" operator="between" text="库存为">
      <formula>NOT(ISERROR(SEARCH("库存为",AU31)))</formula>
    </cfRule>
  </conditionalFormatting>
  <conditionalFormatting sqref="AU32">
    <cfRule type="cellIs" dxfId="0" priority="2542" operator="lessThan">
      <formula>20</formula>
    </cfRule>
    <cfRule type="cellIs" dxfId="1" priority="1686" operator="greaterThan">
      <formula>120</formula>
    </cfRule>
    <cfRule type="containsText" dxfId="2" priority="830" operator="between" text="库存为">
      <formula>NOT(ISERROR(SEARCH("库存为",AU32)))</formula>
    </cfRule>
  </conditionalFormatting>
  <conditionalFormatting sqref="AU33">
    <cfRule type="cellIs" dxfId="0" priority="2541" operator="lessThan">
      <formula>20</formula>
    </cfRule>
    <cfRule type="cellIs" dxfId="1" priority="1685" operator="greaterThan">
      <formula>120</formula>
    </cfRule>
    <cfRule type="containsText" dxfId="2" priority="829" operator="between" text="库存为">
      <formula>NOT(ISERROR(SEARCH("库存为",AU33)))</formula>
    </cfRule>
  </conditionalFormatting>
  <conditionalFormatting sqref="AU34">
    <cfRule type="cellIs" dxfId="0" priority="2540" operator="lessThan">
      <formula>20</formula>
    </cfRule>
    <cfRule type="cellIs" dxfId="1" priority="1684" operator="greaterThan">
      <formula>120</formula>
    </cfRule>
    <cfRule type="containsText" dxfId="2" priority="828" operator="between" text="库存为">
      <formula>NOT(ISERROR(SEARCH("库存为",AU34)))</formula>
    </cfRule>
  </conditionalFormatting>
  <conditionalFormatting sqref="AU35">
    <cfRule type="cellIs" dxfId="0" priority="2539" operator="lessThan">
      <formula>20</formula>
    </cfRule>
    <cfRule type="cellIs" dxfId="1" priority="1683" operator="greaterThan">
      <formula>120</formula>
    </cfRule>
    <cfRule type="containsText" dxfId="2" priority="827" operator="between" text="库存为">
      <formula>NOT(ISERROR(SEARCH("库存为",AU35)))</formula>
    </cfRule>
  </conditionalFormatting>
  <conditionalFormatting sqref="AU36">
    <cfRule type="cellIs" dxfId="0" priority="2538" operator="lessThan">
      <formula>20</formula>
    </cfRule>
    <cfRule type="cellIs" dxfId="1" priority="1682" operator="greaterThan">
      <formula>120</formula>
    </cfRule>
    <cfRule type="containsText" dxfId="2" priority="826" operator="between" text="库存为">
      <formula>NOT(ISERROR(SEARCH("库存为",AU36)))</formula>
    </cfRule>
  </conditionalFormatting>
  <conditionalFormatting sqref="AU37">
    <cfRule type="cellIs" dxfId="0" priority="2537" operator="lessThan">
      <formula>20</formula>
    </cfRule>
    <cfRule type="cellIs" dxfId="1" priority="1681" operator="greaterThan">
      <formula>120</formula>
    </cfRule>
    <cfRule type="containsText" dxfId="2" priority="825" operator="between" text="库存为">
      <formula>NOT(ISERROR(SEARCH("库存为",AU37)))</formula>
    </cfRule>
  </conditionalFormatting>
  <conditionalFormatting sqref="AU38">
    <cfRule type="cellIs" dxfId="0" priority="2536" operator="lessThan">
      <formula>20</formula>
    </cfRule>
    <cfRule type="cellIs" dxfId="1" priority="1680" operator="greaterThan">
      <formula>120</formula>
    </cfRule>
    <cfRule type="containsText" dxfId="2" priority="824" operator="between" text="库存为">
      <formula>NOT(ISERROR(SEARCH("库存为",AU38)))</formula>
    </cfRule>
  </conditionalFormatting>
  <conditionalFormatting sqref="AU39">
    <cfRule type="cellIs" dxfId="0" priority="2535" operator="lessThan">
      <formula>20</formula>
    </cfRule>
    <cfRule type="cellIs" dxfId="1" priority="1679" operator="greaterThan">
      <formula>120</formula>
    </cfRule>
    <cfRule type="containsText" dxfId="2" priority="823" operator="between" text="库存为">
      <formula>NOT(ISERROR(SEARCH("库存为",AU39)))</formula>
    </cfRule>
  </conditionalFormatting>
  <conditionalFormatting sqref="AU40">
    <cfRule type="cellIs" dxfId="0" priority="2534" operator="lessThan">
      <formula>20</formula>
    </cfRule>
    <cfRule type="cellIs" dxfId="1" priority="1678" operator="greaterThan">
      <formula>120</formula>
    </cfRule>
    <cfRule type="containsText" dxfId="2" priority="822" operator="between" text="库存为">
      <formula>NOT(ISERROR(SEARCH("库存为",AU40)))</formula>
    </cfRule>
  </conditionalFormatting>
  <conditionalFormatting sqref="AU41">
    <cfRule type="cellIs" dxfId="0" priority="2533" operator="lessThan">
      <formula>20</formula>
    </cfRule>
    <cfRule type="cellIs" dxfId="1" priority="1677" operator="greaterThan">
      <formula>120</formula>
    </cfRule>
    <cfRule type="containsText" dxfId="2" priority="821" operator="between" text="库存为">
      <formula>NOT(ISERROR(SEARCH("库存为",AU41)))</formula>
    </cfRule>
  </conditionalFormatting>
  <conditionalFormatting sqref="AU42">
    <cfRule type="cellIs" dxfId="0" priority="2532" operator="lessThan">
      <formula>20</formula>
    </cfRule>
    <cfRule type="cellIs" dxfId="1" priority="1676" operator="greaterThan">
      <formula>120</formula>
    </cfRule>
    <cfRule type="containsText" dxfId="2" priority="820" operator="between" text="库存为">
      <formula>NOT(ISERROR(SEARCH("库存为",AU42)))</formula>
    </cfRule>
  </conditionalFormatting>
  <conditionalFormatting sqref="AU43">
    <cfRule type="cellIs" dxfId="0" priority="2531" operator="lessThan">
      <formula>20</formula>
    </cfRule>
    <cfRule type="cellIs" dxfId="1" priority="1675" operator="greaterThan">
      <formula>120</formula>
    </cfRule>
    <cfRule type="containsText" dxfId="2" priority="819" operator="between" text="库存为">
      <formula>NOT(ISERROR(SEARCH("库存为",AU43)))</formula>
    </cfRule>
  </conditionalFormatting>
  <conditionalFormatting sqref="AU44">
    <cfRule type="cellIs" dxfId="0" priority="2530" operator="lessThan">
      <formula>20</formula>
    </cfRule>
    <cfRule type="cellIs" dxfId="1" priority="1674" operator="greaterThan">
      <formula>120</formula>
    </cfRule>
    <cfRule type="containsText" dxfId="2" priority="818" operator="between" text="库存为">
      <formula>NOT(ISERROR(SEARCH("库存为",AU44)))</formula>
    </cfRule>
  </conditionalFormatting>
  <conditionalFormatting sqref="AU45">
    <cfRule type="cellIs" dxfId="0" priority="2529" operator="lessThan">
      <formula>20</formula>
    </cfRule>
    <cfRule type="cellIs" dxfId="1" priority="1673" operator="greaterThan">
      <formula>120</formula>
    </cfRule>
    <cfRule type="containsText" dxfId="2" priority="817" operator="between" text="库存为">
      <formula>NOT(ISERROR(SEARCH("库存为",AU45)))</formula>
    </cfRule>
  </conditionalFormatting>
  <conditionalFormatting sqref="AU46">
    <cfRule type="cellIs" dxfId="0" priority="2528" operator="lessThan">
      <formula>20</formula>
    </cfRule>
    <cfRule type="cellIs" dxfId="1" priority="1672" operator="greaterThan">
      <formula>120</formula>
    </cfRule>
    <cfRule type="containsText" dxfId="2" priority="816" operator="between" text="库存为">
      <formula>NOT(ISERROR(SEARCH("库存为",AU46)))</formula>
    </cfRule>
  </conditionalFormatting>
  <conditionalFormatting sqref="AU47">
    <cfRule type="cellIs" dxfId="0" priority="2527" operator="lessThan">
      <formula>20</formula>
    </cfRule>
    <cfRule type="cellIs" dxfId="1" priority="1671" operator="greaterThan">
      <formula>120</formula>
    </cfRule>
    <cfRule type="containsText" dxfId="2" priority="815" operator="between" text="库存为">
      <formula>NOT(ISERROR(SEARCH("库存为",AU47)))</formula>
    </cfRule>
  </conditionalFormatting>
  <conditionalFormatting sqref="AU48">
    <cfRule type="cellIs" dxfId="0" priority="2526" operator="lessThan">
      <formula>20</formula>
    </cfRule>
    <cfRule type="cellIs" dxfId="1" priority="1670" operator="greaterThan">
      <formula>120</formula>
    </cfRule>
    <cfRule type="containsText" dxfId="2" priority="814" operator="between" text="库存为">
      <formula>NOT(ISERROR(SEARCH("库存为",AU48)))</formula>
    </cfRule>
  </conditionalFormatting>
  <conditionalFormatting sqref="AU49">
    <cfRule type="cellIs" dxfId="0" priority="2525" operator="lessThan">
      <formula>20</formula>
    </cfRule>
    <cfRule type="cellIs" dxfId="1" priority="1669" operator="greaterThan">
      <formula>120</formula>
    </cfRule>
    <cfRule type="containsText" dxfId="2" priority="813" operator="between" text="库存为">
      <formula>NOT(ISERROR(SEARCH("库存为",AU49)))</formula>
    </cfRule>
  </conditionalFormatting>
  <conditionalFormatting sqref="AU50">
    <cfRule type="cellIs" dxfId="0" priority="2524" operator="lessThan">
      <formula>20</formula>
    </cfRule>
    <cfRule type="cellIs" dxfId="1" priority="1668" operator="greaterThan">
      <formula>120</formula>
    </cfRule>
    <cfRule type="containsText" dxfId="2" priority="812" operator="between" text="库存为">
      <formula>NOT(ISERROR(SEARCH("库存为",AU50)))</formula>
    </cfRule>
  </conditionalFormatting>
  <conditionalFormatting sqref="AU51">
    <cfRule type="cellIs" dxfId="0" priority="2523" operator="lessThan">
      <formula>20</formula>
    </cfRule>
    <cfRule type="cellIs" dxfId="1" priority="1667" operator="greaterThan">
      <formula>120</formula>
    </cfRule>
    <cfRule type="containsText" dxfId="2" priority="811" operator="between" text="库存为">
      <formula>NOT(ISERROR(SEARCH("库存为",AU51)))</formula>
    </cfRule>
  </conditionalFormatting>
  <conditionalFormatting sqref="AU52">
    <cfRule type="cellIs" dxfId="0" priority="2522" operator="lessThan">
      <formula>20</formula>
    </cfRule>
    <cfRule type="cellIs" dxfId="1" priority="1666" operator="greaterThan">
      <formula>120</formula>
    </cfRule>
    <cfRule type="containsText" dxfId="2" priority="810" operator="between" text="库存为">
      <formula>NOT(ISERROR(SEARCH("库存为",AU52)))</formula>
    </cfRule>
  </conditionalFormatting>
  <conditionalFormatting sqref="AU53">
    <cfRule type="cellIs" dxfId="0" priority="2521" operator="lessThan">
      <formula>20</formula>
    </cfRule>
    <cfRule type="cellIs" dxfId="1" priority="1665" operator="greaterThan">
      <formula>120</formula>
    </cfRule>
    <cfRule type="containsText" dxfId="2" priority="809" operator="between" text="库存为">
      <formula>NOT(ISERROR(SEARCH("库存为",AU53)))</formula>
    </cfRule>
  </conditionalFormatting>
  <conditionalFormatting sqref="AU54">
    <cfRule type="cellIs" dxfId="0" priority="2520" operator="lessThan">
      <formula>20</formula>
    </cfRule>
    <cfRule type="cellIs" dxfId="1" priority="1664" operator="greaterThan">
      <formula>120</formula>
    </cfRule>
    <cfRule type="containsText" dxfId="2" priority="808" operator="between" text="库存为">
      <formula>NOT(ISERROR(SEARCH("库存为",AU54)))</formula>
    </cfRule>
  </conditionalFormatting>
  <conditionalFormatting sqref="AU55">
    <cfRule type="cellIs" dxfId="0" priority="2519" operator="lessThan">
      <formula>20</formula>
    </cfRule>
    <cfRule type="cellIs" dxfId="1" priority="1663" operator="greaterThan">
      <formula>120</formula>
    </cfRule>
    <cfRule type="containsText" dxfId="2" priority="807" operator="between" text="库存为">
      <formula>NOT(ISERROR(SEARCH("库存为",AU55)))</formula>
    </cfRule>
  </conditionalFormatting>
  <conditionalFormatting sqref="AU56">
    <cfRule type="cellIs" dxfId="0" priority="2518" operator="lessThan">
      <formula>20</formula>
    </cfRule>
    <cfRule type="cellIs" dxfId="1" priority="1662" operator="greaterThan">
      <formula>120</formula>
    </cfRule>
    <cfRule type="containsText" dxfId="2" priority="806" operator="between" text="库存为">
      <formula>NOT(ISERROR(SEARCH("库存为",AU56)))</formula>
    </cfRule>
  </conditionalFormatting>
  <conditionalFormatting sqref="AU57">
    <cfRule type="cellIs" dxfId="0" priority="2517" operator="lessThan">
      <formula>20</formula>
    </cfRule>
    <cfRule type="cellIs" dxfId="1" priority="1661" operator="greaterThan">
      <formula>120</formula>
    </cfRule>
    <cfRule type="containsText" dxfId="2" priority="805" operator="between" text="库存为">
      <formula>NOT(ISERROR(SEARCH("库存为",AU57)))</formula>
    </cfRule>
  </conditionalFormatting>
  <conditionalFormatting sqref="AU58">
    <cfRule type="cellIs" dxfId="0" priority="2516" operator="lessThan">
      <formula>20</formula>
    </cfRule>
    <cfRule type="cellIs" dxfId="1" priority="1660" operator="greaterThan">
      <formula>120</formula>
    </cfRule>
    <cfRule type="containsText" dxfId="2" priority="804" operator="between" text="库存为">
      <formula>NOT(ISERROR(SEARCH("库存为",AU58)))</formula>
    </cfRule>
  </conditionalFormatting>
  <conditionalFormatting sqref="AU59">
    <cfRule type="cellIs" dxfId="0" priority="2515" operator="lessThan">
      <formula>20</formula>
    </cfRule>
    <cfRule type="cellIs" dxfId="1" priority="1659" operator="greaterThan">
      <formula>120</formula>
    </cfRule>
    <cfRule type="containsText" dxfId="2" priority="803" operator="between" text="库存为">
      <formula>NOT(ISERROR(SEARCH("库存为",AU59)))</formula>
    </cfRule>
  </conditionalFormatting>
  <conditionalFormatting sqref="AU60">
    <cfRule type="cellIs" dxfId="0" priority="2514" operator="lessThan">
      <formula>20</formula>
    </cfRule>
    <cfRule type="cellIs" dxfId="1" priority="1658" operator="greaterThan">
      <formula>120</formula>
    </cfRule>
    <cfRule type="containsText" dxfId="2" priority="802" operator="between" text="库存为">
      <formula>NOT(ISERROR(SEARCH("库存为",AU60)))</formula>
    </cfRule>
  </conditionalFormatting>
  <conditionalFormatting sqref="AU61">
    <cfRule type="cellIs" dxfId="0" priority="2513" operator="lessThan">
      <formula>20</formula>
    </cfRule>
    <cfRule type="cellIs" dxfId="1" priority="1657" operator="greaterThan">
      <formula>120</formula>
    </cfRule>
    <cfRule type="containsText" dxfId="2" priority="801" operator="between" text="库存为">
      <formula>NOT(ISERROR(SEARCH("库存为",AU61)))</formula>
    </cfRule>
  </conditionalFormatting>
  <conditionalFormatting sqref="AU62">
    <cfRule type="cellIs" dxfId="0" priority="2512" operator="lessThan">
      <formula>20</formula>
    </cfRule>
    <cfRule type="cellIs" dxfId="1" priority="1656" operator="greaterThan">
      <formula>120</formula>
    </cfRule>
    <cfRule type="containsText" dxfId="2" priority="800" operator="between" text="库存为">
      <formula>NOT(ISERROR(SEARCH("库存为",AU62)))</formula>
    </cfRule>
  </conditionalFormatting>
  <conditionalFormatting sqref="AU63">
    <cfRule type="cellIs" dxfId="0" priority="2511" operator="lessThan">
      <formula>20</formula>
    </cfRule>
    <cfRule type="cellIs" dxfId="1" priority="1655" operator="greaterThan">
      <formula>120</formula>
    </cfRule>
    <cfRule type="containsText" dxfId="2" priority="799" operator="between" text="库存为">
      <formula>NOT(ISERROR(SEARCH("库存为",AU63)))</formula>
    </cfRule>
  </conditionalFormatting>
  <conditionalFormatting sqref="AU64">
    <cfRule type="cellIs" dxfId="0" priority="2510" operator="lessThan">
      <formula>20</formula>
    </cfRule>
    <cfRule type="cellIs" dxfId="1" priority="1654" operator="greaterThan">
      <formula>120</formula>
    </cfRule>
    <cfRule type="containsText" dxfId="2" priority="798" operator="between" text="库存为">
      <formula>NOT(ISERROR(SEARCH("库存为",AU64)))</formula>
    </cfRule>
  </conditionalFormatting>
  <conditionalFormatting sqref="AU65">
    <cfRule type="cellIs" dxfId="0" priority="2509" operator="lessThan">
      <formula>20</formula>
    </cfRule>
    <cfRule type="cellIs" dxfId="1" priority="1653" operator="greaterThan">
      <formula>120</formula>
    </cfRule>
    <cfRule type="containsText" dxfId="2" priority="797" operator="between" text="库存为">
      <formula>NOT(ISERROR(SEARCH("库存为",AU65)))</formula>
    </cfRule>
  </conditionalFormatting>
  <conditionalFormatting sqref="AU66">
    <cfRule type="cellIs" dxfId="0" priority="2508" operator="lessThan">
      <formula>20</formula>
    </cfRule>
    <cfRule type="cellIs" dxfId="1" priority="1652" operator="greaterThan">
      <formula>120</formula>
    </cfRule>
    <cfRule type="containsText" dxfId="2" priority="796" operator="between" text="库存为">
      <formula>NOT(ISERROR(SEARCH("库存为",AU66)))</formula>
    </cfRule>
  </conditionalFormatting>
  <conditionalFormatting sqref="AU67">
    <cfRule type="cellIs" dxfId="0" priority="2507" operator="lessThan">
      <formula>20</formula>
    </cfRule>
    <cfRule type="cellIs" dxfId="1" priority="1651" operator="greaterThan">
      <formula>120</formula>
    </cfRule>
    <cfRule type="containsText" dxfId="2" priority="795" operator="between" text="库存为">
      <formula>NOT(ISERROR(SEARCH("库存为",AU67)))</formula>
    </cfRule>
  </conditionalFormatting>
  <conditionalFormatting sqref="AU68">
    <cfRule type="cellIs" dxfId="0" priority="2506" operator="lessThan">
      <formula>20</formula>
    </cfRule>
    <cfRule type="cellIs" dxfId="1" priority="1650" operator="greaterThan">
      <formula>120</formula>
    </cfRule>
    <cfRule type="containsText" dxfId="2" priority="794" operator="between" text="库存为">
      <formula>NOT(ISERROR(SEARCH("库存为",AU68)))</formula>
    </cfRule>
  </conditionalFormatting>
  <conditionalFormatting sqref="AU69">
    <cfRule type="cellIs" dxfId="0" priority="2505" operator="lessThan">
      <formula>20</formula>
    </cfRule>
    <cfRule type="cellIs" dxfId="1" priority="1649" operator="greaterThan">
      <formula>120</formula>
    </cfRule>
    <cfRule type="containsText" dxfId="2" priority="793" operator="between" text="库存为">
      <formula>NOT(ISERROR(SEARCH("库存为",AU69)))</formula>
    </cfRule>
  </conditionalFormatting>
  <conditionalFormatting sqref="AU70">
    <cfRule type="cellIs" dxfId="0" priority="2504" operator="lessThan">
      <formula>20</formula>
    </cfRule>
    <cfRule type="cellIs" dxfId="1" priority="1648" operator="greaterThan">
      <formula>120</formula>
    </cfRule>
    <cfRule type="containsText" dxfId="2" priority="792" operator="between" text="库存为">
      <formula>NOT(ISERROR(SEARCH("库存为",AU70)))</formula>
    </cfRule>
  </conditionalFormatting>
  <conditionalFormatting sqref="AU71">
    <cfRule type="cellIs" dxfId="0" priority="2503" operator="lessThan">
      <formula>20</formula>
    </cfRule>
    <cfRule type="cellIs" dxfId="1" priority="1647" operator="greaterThan">
      <formula>120</formula>
    </cfRule>
    <cfRule type="containsText" dxfId="2" priority="791" operator="between" text="库存为">
      <formula>NOT(ISERROR(SEARCH("库存为",AU71)))</formula>
    </cfRule>
  </conditionalFormatting>
  <conditionalFormatting sqref="AU72">
    <cfRule type="cellIs" dxfId="0" priority="2502" operator="lessThan">
      <formula>20</formula>
    </cfRule>
    <cfRule type="cellIs" dxfId="1" priority="1646" operator="greaterThan">
      <formula>120</formula>
    </cfRule>
    <cfRule type="containsText" dxfId="2" priority="790" operator="between" text="库存为">
      <formula>NOT(ISERROR(SEARCH("库存为",AU72)))</formula>
    </cfRule>
  </conditionalFormatting>
  <conditionalFormatting sqref="AU73">
    <cfRule type="cellIs" dxfId="0" priority="2501" operator="lessThan">
      <formula>20</formula>
    </cfRule>
    <cfRule type="cellIs" dxfId="1" priority="1645" operator="greaterThan">
      <formula>120</formula>
    </cfRule>
    <cfRule type="containsText" dxfId="2" priority="789" operator="between" text="库存为">
      <formula>NOT(ISERROR(SEARCH("库存为",AU73)))</formula>
    </cfRule>
  </conditionalFormatting>
  <conditionalFormatting sqref="AU74">
    <cfRule type="cellIs" dxfId="0" priority="2500" operator="lessThan">
      <formula>20</formula>
    </cfRule>
    <cfRule type="cellIs" dxfId="1" priority="1644" operator="greaterThan">
      <formula>120</formula>
    </cfRule>
    <cfRule type="containsText" dxfId="2" priority="788" operator="between" text="库存为">
      <formula>NOT(ISERROR(SEARCH("库存为",AU74)))</formula>
    </cfRule>
  </conditionalFormatting>
  <conditionalFormatting sqref="AU75">
    <cfRule type="cellIs" dxfId="0" priority="2499" operator="lessThan">
      <formula>20</formula>
    </cfRule>
    <cfRule type="cellIs" dxfId="1" priority="1643" operator="greaterThan">
      <formula>120</formula>
    </cfRule>
    <cfRule type="containsText" dxfId="2" priority="787" operator="between" text="库存为">
      <formula>NOT(ISERROR(SEARCH("库存为",AU75)))</formula>
    </cfRule>
  </conditionalFormatting>
  <conditionalFormatting sqref="AU76">
    <cfRule type="cellIs" dxfId="0" priority="2498" operator="lessThan">
      <formula>20</formula>
    </cfRule>
    <cfRule type="cellIs" dxfId="1" priority="1642" operator="greaterThan">
      <formula>120</formula>
    </cfRule>
    <cfRule type="containsText" dxfId="2" priority="786" operator="between" text="库存为">
      <formula>NOT(ISERROR(SEARCH("库存为",AU76)))</formula>
    </cfRule>
  </conditionalFormatting>
  <conditionalFormatting sqref="AU77">
    <cfRule type="cellIs" dxfId="0" priority="2497" operator="lessThan">
      <formula>20</formula>
    </cfRule>
    <cfRule type="cellIs" dxfId="1" priority="1641" operator="greaterThan">
      <formula>120</formula>
    </cfRule>
    <cfRule type="containsText" dxfId="2" priority="785" operator="between" text="库存为">
      <formula>NOT(ISERROR(SEARCH("库存为",AU77)))</formula>
    </cfRule>
  </conditionalFormatting>
  <conditionalFormatting sqref="AU78">
    <cfRule type="cellIs" dxfId="0" priority="2496" operator="lessThan">
      <formula>20</formula>
    </cfRule>
    <cfRule type="cellIs" dxfId="1" priority="1640" operator="greaterThan">
      <formula>120</formula>
    </cfRule>
    <cfRule type="containsText" dxfId="2" priority="784" operator="between" text="库存为">
      <formula>NOT(ISERROR(SEARCH("库存为",AU78)))</formula>
    </cfRule>
  </conditionalFormatting>
  <conditionalFormatting sqref="AU79">
    <cfRule type="cellIs" dxfId="0" priority="2495" operator="lessThan">
      <formula>20</formula>
    </cfRule>
    <cfRule type="cellIs" dxfId="1" priority="1639" operator="greaterThan">
      <formula>120</formula>
    </cfRule>
    <cfRule type="containsText" dxfId="2" priority="783" operator="between" text="库存为">
      <formula>NOT(ISERROR(SEARCH("库存为",AU79)))</formula>
    </cfRule>
  </conditionalFormatting>
  <conditionalFormatting sqref="AU80">
    <cfRule type="cellIs" dxfId="0" priority="2494" operator="lessThan">
      <formula>20</formula>
    </cfRule>
    <cfRule type="cellIs" dxfId="1" priority="1638" operator="greaterThan">
      <formula>120</formula>
    </cfRule>
    <cfRule type="containsText" dxfId="2" priority="782" operator="between" text="库存为">
      <formula>NOT(ISERROR(SEARCH("库存为",AU80)))</formula>
    </cfRule>
  </conditionalFormatting>
  <conditionalFormatting sqref="AU81">
    <cfRule type="cellIs" dxfId="0" priority="2493" operator="lessThan">
      <formula>20</formula>
    </cfRule>
    <cfRule type="cellIs" dxfId="1" priority="1637" operator="greaterThan">
      <formula>120</formula>
    </cfRule>
    <cfRule type="containsText" dxfId="2" priority="781" operator="between" text="库存为">
      <formula>NOT(ISERROR(SEARCH("库存为",AU81)))</formula>
    </cfRule>
  </conditionalFormatting>
  <conditionalFormatting sqref="AU82">
    <cfRule type="cellIs" dxfId="0" priority="2492" operator="lessThan">
      <formula>20</formula>
    </cfRule>
    <cfRule type="cellIs" dxfId="1" priority="1636" operator="greaterThan">
      <formula>120</formula>
    </cfRule>
    <cfRule type="containsText" dxfId="2" priority="780" operator="between" text="库存为">
      <formula>NOT(ISERROR(SEARCH("库存为",AU82)))</formula>
    </cfRule>
  </conditionalFormatting>
  <conditionalFormatting sqref="AU83">
    <cfRule type="cellIs" dxfId="0" priority="2491" operator="lessThan">
      <formula>20</formula>
    </cfRule>
    <cfRule type="cellIs" dxfId="1" priority="1635" operator="greaterThan">
      <formula>120</formula>
    </cfRule>
    <cfRule type="containsText" dxfId="2" priority="779" operator="between" text="库存为">
      <formula>NOT(ISERROR(SEARCH("库存为",AU83)))</formula>
    </cfRule>
  </conditionalFormatting>
  <conditionalFormatting sqref="AU84">
    <cfRule type="cellIs" dxfId="0" priority="2490" operator="lessThan">
      <formula>20</formula>
    </cfRule>
    <cfRule type="cellIs" dxfId="1" priority="1634" operator="greaterThan">
      <formula>120</formula>
    </cfRule>
    <cfRule type="containsText" dxfId="2" priority="778" operator="between" text="库存为">
      <formula>NOT(ISERROR(SEARCH("库存为",AU84)))</formula>
    </cfRule>
  </conditionalFormatting>
  <conditionalFormatting sqref="AU85">
    <cfRule type="cellIs" dxfId="0" priority="2489" operator="lessThan">
      <formula>20</formula>
    </cfRule>
    <cfRule type="cellIs" dxfId="1" priority="1633" operator="greaterThan">
      <formula>120</formula>
    </cfRule>
    <cfRule type="containsText" dxfId="2" priority="777" operator="between" text="库存为">
      <formula>NOT(ISERROR(SEARCH("库存为",AU85)))</formula>
    </cfRule>
  </conditionalFormatting>
  <conditionalFormatting sqref="AU86">
    <cfRule type="cellIs" dxfId="0" priority="2488" operator="lessThan">
      <formula>20</formula>
    </cfRule>
    <cfRule type="cellIs" dxfId="1" priority="1632" operator="greaterThan">
      <formula>120</formula>
    </cfRule>
    <cfRule type="containsText" dxfId="2" priority="776" operator="between" text="库存为">
      <formula>NOT(ISERROR(SEARCH("库存为",AU86)))</formula>
    </cfRule>
  </conditionalFormatting>
  <conditionalFormatting sqref="AU87">
    <cfRule type="cellIs" dxfId="0" priority="2487" operator="lessThan">
      <formula>20</formula>
    </cfRule>
    <cfRule type="cellIs" dxfId="1" priority="1631" operator="greaterThan">
      <formula>120</formula>
    </cfRule>
    <cfRule type="containsText" dxfId="2" priority="775" operator="between" text="库存为">
      <formula>NOT(ISERROR(SEARCH("库存为",AU87)))</formula>
    </cfRule>
  </conditionalFormatting>
  <conditionalFormatting sqref="AU88">
    <cfRule type="cellIs" dxfId="0" priority="2486" operator="lessThan">
      <formula>20</formula>
    </cfRule>
    <cfRule type="cellIs" dxfId="1" priority="1630" operator="greaterThan">
      <formula>120</formula>
    </cfRule>
    <cfRule type="containsText" dxfId="2" priority="774" operator="between" text="库存为">
      <formula>NOT(ISERROR(SEARCH("库存为",AU88)))</formula>
    </cfRule>
  </conditionalFormatting>
  <conditionalFormatting sqref="AU89">
    <cfRule type="cellIs" dxfId="0" priority="2485" operator="lessThan">
      <formula>20</formula>
    </cfRule>
    <cfRule type="cellIs" dxfId="1" priority="1629" operator="greaterThan">
      <formula>120</formula>
    </cfRule>
    <cfRule type="containsText" dxfId="2" priority="773" operator="between" text="库存为">
      <formula>NOT(ISERROR(SEARCH("库存为",AU89)))</formula>
    </cfRule>
  </conditionalFormatting>
  <conditionalFormatting sqref="AU90">
    <cfRule type="cellIs" dxfId="0" priority="2484" operator="lessThan">
      <formula>20</formula>
    </cfRule>
    <cfRule type="cellIs" dxfId="1" priority="1628" operator="greaterThan">
      <formula>120</formula>
    </cfRule>
    <cfRule type="containsText" dxfId="2" priority="772" operator="between" text="库存为">
      <formula>NOT(ISERROR(SEARCH("库存为",AU90)))</formula>
    </cfRule>
  </conditionalFormatting>
  <conditionalFormatting sqref="AU91">
    <cfRule type="cellIs" dxfId="0" priority="2483" operator="lessThan">
      <formula>20</formula>
    </cfRule>
    <cfRule type="cellIs" dxfId="1" priority="1627" operator="greaterThan">
      <formula>120</formula>
    </cfRule>
    <cfRule type="containsText" dxfId="2" priority="771" operator="between" text="库存为">
      <formula>NOT(ISERROR(SEARCH("库存为",AU91)))</formula>
    </cfRule>
  </conditionalFormatting>
  <conditionalFormatting sqref="AU92">
    <cfRule type="cellIs" dxfId="0" priority="2482" operator="lessThan">
      <formula>20</formula>
    </cfRule>
    <cfRule type="cellIs" dxfId="1" priority="1626" operator="greaterThan">
      <formula>120</formula>
    </cfRule>
    <cfRule type="containsText" dxfId="2" priority="770" operator="between" text="库存为">
      <formula>NOT(ISERROR(SEARCH("库存为",AU92)))</formula>
    </cfRule>
  </conditionalFormatting>
  <conditionalFormatting sqref="AU93">
    <cfRule type="cellIs" dxfId="0" priority="2481" operator="lessThan">
      <formula>20</formula>
    </cfRule>
    <cfRule type="cellIs" dxfId="1" priority="1625" operator="greaterThan">
      <formula>120</formula>
    </cfRule>
    <cfRule type="containsText" dxfId="2" priority="769" operator="between" text="库存为">
      <formula>NOT(ISERROR(SEARCH("库存为",AU93)))</formula>
    </cfRule>
  </conditionalFormatting>
  <conditionalFormatting sqref="AU94">
    <cfRule type="cellIs" dxfId="0" priority="2480" operator="lessThan">
      <formula>20</formula>
    </cfRule>
    <cfRule type="cellIs" dxfId="1" priority="1624" operator="greaterThan">
      <formula>120</formula>
    </cfRule>
    <cfRule type="containsText" dxfId="2" priority="768" operator="between" text="库存为">
      <formula>NOT(ISERROR(SEARCH("库存为",AU94)))</formula>
    </cfRule>
  </conditionalFormatting>
  <conditionalFormatting sqref="AU95">
    <cfRule type="cellIs" dxfId="0" priority="2479" operator="lessThan">
      <formula>20</formula>
    </cfRule>
    <cfRule type="cellIs" dxfId="1" priority="1623" operator="greaterThan">
      <formula>120</formula>
    </cfRule>
    <cfRule type="containsText" dxfId="2" priority="767" operator="between" text="库存为">
      <formula>NOT(ISERROR(SEARCH("库存为",AU95)))</formula>
    </cfRule>
  </conditionalFormatting>
  <conditionalFormatting sqref="AU96">
    <cfRule type="cellIs" dxfId="0" priority="2478" operator="lessThan">
      <formula>20</formula>
    </cfRule>
    <cfRule type="cellIs" dxfId="1" priority="1622" operator="greaterThan">
      <formula>120</formula>
    </cfRule>
    <cfRule type="containsText" dxfId="2" priority="766" operator="between" text="库存为">
      <formula>NOT(ISERROR(SEARCH("库存为",AU96)))</formula>
    </cfRule>
  </conditionalFormatting>
  <conditionalFormatting sqref="AU97">
    <cfRule type="cellIs" dxfId="0" priority="2477" operator="lessThan">
      <formula>20</formula>
    </cfRule>
    <cfRule type="cellIs" dxfId="1" priority="1621" operator="greaterThan">
      <formula>120</formula>
    </cfRule>
    <cfRule type="containsText" dxfId="2" priority="765" operator="between" text="库存为">
      <formula>NOT(ISERROR(SEARCH("库存为",AU97)))</formula>
    </cfRule>
  </conditionalFormatting>
  <conditionalFormatting sqref="AU98">
    <cfRule type="cellIs" dxfId="0" priority="2476" operator="lessThan">
      <formula>20</formula>
    </cfRule>
    <cfRule type="cellIs" dxfId="1" priority="1620" operator="greaterThan">
      <formula>120</formula>
    </cfRule>
    <cfRule type="containsText" dxfId="2" priority="764" operator="between" text="库存为">
      <formula>NOT(ISERROR(SEARCH("库存为",AU98)))</formula>
    </cfRule>
  </conditionalFormatting>
  <conditionalFormatting sqref="AU99">
    <cfRule type="cellIs" dxfId="0" priority="2475" operator="lessThan">
      <formula>20</formula>
    </cfRule>
    <cfRule type="cellIs" dxfId="1" priority="1619" operator="greaterThan">
      <formula>120</formula>
    </cfRule>
    <cfRule type="containsText" dxfId="2" priority="763" operator="between" text="库存为">
      <formula>NOT(ISERROR(SEARCH("库存为",AU99)))</formula>
    </cfRule>
  </conditionalFormatting>
  <conditionalFormatting sqref="AU100">
    <cfRule type="cellIs" dxfId="0" priority="2474" operator="lessThan">
      <formula>20</formula>
    </cfRule>
    <cfRule type="cellIs" dxfId="1" priority="1618" operator="greaterThan">
      <formula>120</formula>
    </cfRule>
    <cfRule type="containsText" dxfId="2" priority="762" operator="between" text="库存为">
      <formula>NOT(ISERROR(SEARCH("库存为",AU100)))</formula>
    </cfRule>
  </conditionalFormatting>
  <conditionalFormatting sqref="AU101">
    <cfRule type="cellIs" dxfId="0" priority="2473" operator="lessThan">
      <formula>20</formula>
    </cfRule>
    <cfRule type="cellIs" dxfId="1" priority="1617" operator="greaterThan">
      <formula>120</formula>
    </cfRule>
    <cfRule type="containsText" dxfId="2" priority="761" operator="between" text="库存为">
      <formula>NOT(ISERROR(SEARCH("库存为",AU101)))</formula>
    </cfRule>
  </conditionalFormatting>
  <conditionalFormatting sqref="AU102">
    <cfRule type="cellIs" dxfId="0" priority="2472" operator="lessThan">
      <formula>20</formula>
    </cfRule>
    <cfRule type="cellIs" dxfId="1" priority="1616" operator="greaterThan">
      <formula>120</formula>
    </cfRule>
    <cfRule type="containsText" dxfId="2" priority="760" operator="between" text="库存为">
      <formula>NOT(ISERROR(SEARCH("库存为",AU102)))</formula>
    </cfRule>
  </conditionalFormatting>
  <conditionalFormatting sqref="AU103">
    <cfRule type="cellIs" dxfId="0" priority="2471" operator="lessThan">
      <formula>20</formula>
    </cfRule>
    <cfRule type="cellIs" dxfId="1" priority="1615" operator="greaterThan">
      <formula>120</formula>
    </cfRule>
    <cfRule type="containsText" dxfId="2" priority="759" operator="between" text="库存为">
      <formula>NOT(ISERROR(SEARCH("库存为",AU103)))</formula>
    </cfRule>
  </conditionalFormatting>
  <conditionalFormatting sqref="AU104">
    <cfRule type="cellIs" dxfId="0" priority="2470" operator="lessThan">
      <formula>20</formula>
    </cfRule>
    <cfRule type="cellIs" dxfId="1" priority="1614" operator="greaterThan">
      <formula>120</formula>
    </cfRule>
    <cfRule type="containsText" dxfId="2" priority="758" operator="between" text="库存为">
      <formula>NOT(ISERROR(SEARCH("库存为",AU104)))</formula>
    </cfRule>
  </conditionalFormatting>
  <conditionalFormatting sqref="AU105">
    <cfRule type="cellIs" dxfId="0" priority="2469" operator="lessThan">
      <formula>20</formula>
    </cfRule>
    <cfRule type="cellIs" dxfId="1" priority="1613" operator="greaterThan">
      <formula>120</formula>
    </cfRule>
    <cfRule type="containsText" dxfId="2" priority="757" operator="between" text="库存为">
      <formula>NOT(ISERROR(SEARCH("库存为",AU105)))</formula>
    </cfRule>
  </conditionalFormatting>
  <conditionalFormatting sqref="AU106">
    <cfRule type="cellIs" dxfId="0" priority="2468" operator="lessThan">
      <formula>20</formula>
    </cfRule>
    <cfRule type="cellIs" dxfId="1" priority="1612" operator="greaterThan">
      <formula>120</formula>
    </cfRule>
    <cfRule type="containsText" dxfId="2" priority="756" operator="between" text="库存为">
      <formula>NOT(ISERROR(SEARCH("库存为",AU106)))</formula>
    </cfRule>
  </conditionalFormatting>
  <conditionalFormatting sqref="AU107">
    <cfRule type="cellIs" dxfId="0" priority="2467" operator="lessThan">
      <formula>20</formula>
    </cfRule>
    <cfRule type="cellIs" dxfId="1" priority="1611" operator="greaterThan">
      <formula>120</formula>
    </cfRule>
    <cfRule type="containsText" dxfId="2" priority="755" operator="between" text="库存为">
      <formula>NOT(ISERROR(SEARCH("库存为",AU107)))</formula>
    </cfRule>
  </conditionalFormatting>
  <conditionalFormatting sqref="AU108">
    <cfRule type="cellIs" dxfId="0" priority="2466" operator="lessThan">
      <formula>20</formula>
    </cfRule>
    <cfRule type="cellIs" dxfId="1" priority="1610" operator="greaterThan">
      <formula>120</formula>
    </cfRule>
    <cfRule type="containsText" dxfId="2" priority="754" operator="between" text="库存为">
      <formula>NOT(ISERROR(SEARCH("库存为",AU108)))</formula>
    </cfRule>
  </conditionalFormatting>
  <conditionalFormatting sqref="AU109">
    <cfRule type="cellIs" dxfId="0" priority="2465" operator="lessThan">
      <formula>20</formula>
    </cfRule>
    <cfRule type="cellIs" dxfId="1" priority="1609" operator="greaterThan">
      <formula>120</formula>
    </cfRule>
    <cfRule type="containsText" dxfId="2" priority="753" operator="between" text="库存为">
      <formula>NOT(ISERROR(SEARCH("库存为",AU109)))</formula>
    </cfRule>
  </conditionalFormatting>
  <conditionalFormatting sqref="AU110">
    <cfRule type="cellIs" dxfId="0" priority="2464" operator="lessThan">
      <formula>20</formula>
    </cfRule>
    <cfRule type="cellIs" dxfId="1" priority="1608" operator="greaterThan">
      <formula>120</formula>
    </cfRule>
    <cfRule type="containsText" dxfId="2" priority="752" operator="between" text="库存为">
      <formula>NOT(ISERROR(SEARCH("库存为",AU110)))</formula>
    </cfRule>
  </conditionalFormatting>
  <conditionalFormatting sqref="AU111">
    <cfRule type="cellIs" dxfId="0" priority="2463" operator="lessThan">
      <formula>20</formula>
    </cfRule>
    <cfRule type="cellIs" dxfId="1" priority="1607" operator="greaterThan">
      <formula>120</formula>
    </cfRule>
    <cfRule type="containsText" dxfId="2" priority="751" operator="between" text="库存为">
      <formula>NOT(ISERROR(SEARCH("库存为",AU111)))</formula>
    </cfRule>
  </conditionalFormatting>
  <conditionalFormatting sqref="AU112">
    <cfRule type="cellIs" dxfId="0" priority="2462" operator="lessThan">
      <formula>20</formula>
    </cfRule>
    <cfRule type="cellIs" dxfId="1" priority="1606" operator="greaterThan">
      <formula>120</formula>
    </cfRule>
    <cfRule type="containsText" dxfId="2" priority="750" operator="between" text="库存为">
      <formula>NOT(ISERROR(SEARCH("库存为",AU112)))</formula>
    </cfRule>
  </conditionalFormatting>
  <conditionalFormatting sqref="AU113">
    <cfRule type="cellIs" dxfId="0" priority="2461" operator="lessThan">
      <formula>20</formula>
    </cfRule>
    <cfRule type="cellIs" dxfId="1" priority="1605" operator="greaterThan">
      <formula>120</formula>
    </cfRule>
    <cfRule type="containsText" dxfId="2" priority="749" operator="between" text="库存为">
      <formula>NOT(ISERROR(SEARCH("库存为",AU113)))</formula>
    </cfRule>
  </conditionalFormatting>
  <conditionalFormatting sqref="AU114">
    <cfRule type="cellIs" dxfId="0" priority="2460" operator="lessThan">
      <formula>20</formula>
    </cfRule>
    <cfRule type="cellIs" dxfId="1" priority="1604" operator="greaterThan">
      <formula>120</formula>
    </cfRule>
    <cfRule type="containsText" dxfId="2" priority="748" operator="between" text="库存为">
      <formula>NOT(ISERROR(SEARCH("库存为",AU114)))</formula>
    </cfRule>
  </conditionalFormatting>
  <conditionalFormatting sqref="AU115">
    <cfRule type="cellIs" dxfId="0" priority="2459" operator="lessThan">
      <formula>20</formula>
    </cfRule>
    <cfRule type="cellIs" dxfId="1" priority="1603" operator="greaterThan">
      <formula>120</formula>
    </cfRule>
    <cfRule type="containsText" dxfId="2" priority="747" operator="between" text="库存为">
      <formula>NOT(ISERROR(SEARCH("库存为",AU115)))</formula>
    </cfRule>
  </conditionalFormatting>
  <conditionalFormatting sqref="AU116">
    <cfRule type="cellIs" dxfId="0" priority="2458" operator="lessThan">
      <formula>20</formula>
    </cfRule>
    <cfRule type="cellIs" dxfId="1" priority="1602" operator="greaterThan">
      <formula>120</formula>
    </cfRule>
    <cfRule type="containsText" dxfId="2" priority="746" operator="between" text="库存为">
      <formula>NOT(ISERROR(SEARCH("库存为",AU116)))</formula>
    </cfRule>
  </conditionalFormatting>
  <conditionalFormatting sqref="AU117">
    <cfRule type="cellIs" dxfId="0" priority="2457" operator="lessThan">
      <formula>20</formula>
    </cfRule>
    <cfRule type="cellIs" dxfId="1" priority="1601" operator="greaterThan">
      <formula>120</formula>
    </cfRule>
    <cfRule type="containsText" dxfId="2" priority="745" operator="between" text="库存为">
      <formula>NOT(ISERROR(SEARCH("库存为",AU117)))</formula>
    </cfRule>
  </conditionalFormatting>
  <conditionalFormatting sqref="AU118">
    <cfRule type="cellIs" dxfId="0" priority="2456" operator="lessThan">
      <formula>20</formula>
    </cfRule>
    <cfRule type="cellIs" dxfId="1" priority="1600" operator="greaterThan">
      <formula>120</formula>
    </cfRule>
    <cfRule type="containsText" dxfId="2" priority="744" operator="between" text="库存为">
      <formula>NOT(ISERROR(SEARCH("库存为",AU118)))</formula>
    </cfRule>
  </conditionalFormatting>
  <conditionalFormatting sqref="AU119">
    <cfRule type="cellIs" dxfId="0" priority="2455" operator="lessThan">
      <formula>20</formula>
    </cfRule>
    <cfRule type="cellIs" dxfId="1" priority="1599" operator="greaterThan">
      <formula>120</formula>
    </cfRule>
    <cfRule type="containsText" dxfId="2" priority="743" operator="between" text="库存为">
      <formula>NOT(ISERROR(SEARCH("库存为",AU119)))</formula>
    </cfRule>
  </conditionalFormatting>
  <conditionalFormatting sqref="AU120">
    <cfRule type="cellIs" dxfId="0" priority="2454" operator="lessThan">
      <formula>20</formula>
    </cfRule>
    <cfRule type="cellIs" dxfId="1" priority="1598" operator="greaterThan">
      <formula>120</formula>
    </cfRule>
    <cfRule type="containsText" dxfId="2" priority="742" operator="between" text="库存为">
      <formula>NOT(ISERROR(SEARCH("库存为",AU120)))</formula>
    </cfRule>
  </conditionalFormatting>
  <conditionalFormatting sqref="AU121">
    <cfRule type="cellIs" dxfId="0" priority="2453" operator="lessThan">
      <formula>20</formula>
    </cfRule>
    <cfRule type="cellIs" dxfId="1" priority="1597" operator="greaterThan">
      <formula>120</formula>
    </cfRule>
    <cfRule type="containsText" dxfId="2" priority="741" operator="between" text="库存为">
      <formula>NOT(ISERROR(SEARCH("库存为",AU121)))</formula>
    </cfRule>
  </conditionalFormatting>
  <conditionalFormatting sqref="AU122">
    <cfRule type="cellIs" dxfId="0" priority="2452" operator="lessThan">
      <formula>20</formula>
    </cfRule>
    <cfRule type="cellIs" dxfId="1" priority="1596" operator="greaterThan">
      <formula>120</formula>
    </cfRule>
    <cfRule type="containsText" dxfId="2" priority="740" operator="between" text="库存为">
      <formula>NOT(ISERROR(SEARCH("库存为",AU122)))</formula>
    </cfRule>
  </conditionalFormatting>
  <conditionalFormatting sqref="AU123">
    <cfRule type="cellIs" dxfId="0" priority="2451" operator="lessThan">
      <formula>20</formula>
    </cfRule>
    <cfRule type="cellIs" dxfId="1" priority="1595" operator="greaterThan">
      <formula>120</formula>
    </cfRule>
    <cfRule type="containsText" dxfId="2" priority="739" operator="between" text="库存为">
      <formula>NOT(ISERROR(SEARCH("库存为",AU123)))</formula>
    </cfRule>
  </conditionalFormatting>
  <conditionalFormatting sqref="AU124">
    <cfRule type="cellIs" dxfId="0" priority="2450" operator="lessThan">
      <formula>20</formula>
    </cfRule>
    <cfRule type="cellIs" dxfId="1" priority="1594" operator="greaterThan">
      <formula>120</formula>
    </cfRule>
    <cfRule type="containsText" dxfId="2" priority="738" operator="between" text="库存为">
      <formula>NOT(ISERROR(SEARCH("库存为",AU124)))</formula>
    </cfRule>
  </conditionalFormatting>
  <conditionalFormatting sqref="AU125">
    <cfRule type="cellIs" dxfId="0" priority="2449" operator="lessThan">
      <formula>20</formula>
    </cfRule>
    <cfRule type="cellIs" dxfId="1" priority="1593" operator="greaterThan">
      <formula>120</formula>
    </cfRule>
    <cfRule type="containsText" dxfId="2" priority="737" operator="between" text="库存为">
      <formula>NOT(ISERROR(SEARCH("库存为",AU125)))</formula>
    </cfRule>
  </conditionalFormatting>
  <conditionalFormatting sqref="AU126">
    <cfRule type="cellIs" dxfId="0" priority="2448" operator="lessThan">
      <formula>20</formula>
    </cfRule>
    <cfRule type="cellIs" dxfId="1" priority="1592" operator="greaterThan">
      <formula>120</formula>
    </cfRule>
    <cfRule type="containsText" dxfId="2" priority="736" operator="between" text="库存为">
      <formula>NOT(ISERROR(SEARCH("库存为",AU126)))</formula>
    </cfRule>
  </conditionalFormatting>
  <conditionalFormatting sqref="AU127">
    <cfRule type="cellIs" dxfId="0" priority="2447" operator="lessThan">
      <formula>20</formula>
    </cfRule>
    <cfRule type="cellIs" dxfId="1" priority="1591" operator="greaterThan">
      <formula>120</formula>
    </cfRule>
    <cfRule type="containsText" dxfId="2" priority="735" operator="between" text="库存为">
      <formula>NOT(ISERROR(SEARCH("库存为",AU127)))</formula>
    </cfRule>
  </conditionalFormatting>
  <conditionalFormatting sqref="AU128">
    <cfRule type="cellIs" dxfId="0" priority="2446" operator="lessThan">
      <formula>20</formula>
    </cfRule>
    <cfRule type="cellIs" dxfId="1" priority="1590" operator="greaterThan">
      <formula>120</formula>
    </cfRule>
    <cfRule type="containsText" dxfId="2" priority="734" operator="between" text="库存为">
      <formula>NOT(ISERROR(SEARCH("库存为",AU128)))</formula>
    </cfRule>
  </conditionalFormatting>
  <conditionalFormatting sqref="AU129">
    <cfRule type="cellIs" dxfId="0" priority="2445" operator="lessThan">
      <formula>20</formula>
    </cfRule>
    <cfRule type="cellIs" dxfId="1" priority="1589" operator="greaterThan">
      <formula>120</formula>
    </cfRule>
    <cfRule type="containsText" dxfId="2" priority="733" operator="between" text="库存为">
      <formula>NOT(ISERROR(SEARCH("库存为",AU129)))</formula>
    </cfRule>
  </conditionalFormatting>
  <conditionalFormatting sqref="AU130">
    <cfRule type="cellIs" dxfId="0" priority="2444" operator="lessThan">
      <formula>20</formula>
    </cfRule>
    <cfRule type="cellIs" dxfId="1" priority="1588" operator="greaterThan">
      <formula>120</formula>
    </cfRule>
    <cfRule type="containsText" dxfId="2" priority="732" operator="between" text="库存为">
      <formula>NOT(ISERROR(SEARCH("库存为",AU130)))</formula>
    </cfRule>
  </conditionalFormatting>
  <conditionalFormatting sqref="AU131">
    <cfRule type="cellIs" dxfId="0" priority="2443" operator="lessThan">
      <formula>20</formula>
    </cfRule>
    <cfRule type="cellIs" dxfId="1" priority="1587" operator="greaterThan">
      <formula>120</formula>
    </cfRule>
    <cfRule type="containsText" dxfId="2" priority="731" operator="between" text="库存为">
      <formula>NOT(ISERROR(SEARCH("库存为",AU131)))</formula>
    </cfRule>
  </conditionalFormatting>
  <conditionalFormatting sqref="AU132">
    <cfRule type="cellIs" dxfId="0" priority="2442" operator="lessThan">
      <formula>20</formula>
    </cfRule>
    <cfRule type="cellIs" dxfId="1" priority="1586" operator="greaterThan">
      <formula>120</formula>
    </cfRule>
    <cfRule type="containsText" dxfId="2" priority="730" operator="between" text="库存为">
      <formula>NOT(ISERROR(SEARCH("库存为",AU132)))</formula>
    </cfRule>
  </conditionalFormatting>
  <conditionalFormatting sqref="AU133">
    <cfRule type="cellIs" dxfId="0" priority="2441" operator="lessThan">
      <formula>20</formula>
    </cfRule>
    <cfRule type="cellIs" dxfId="1" priority="1585" operator="greaterThan">
      <formula>120</formula>
    </cfRule>
    <cfRule type="containsText" dxfId="2" priority="729" operator="between" text="库存为">
      <formula>NOT(ISERROR(SEARCH("库存为",AU133)))</formula>
    </cfRule>
  </conditionalFormatting>
  <conditionalFormatting sqref="AU134">
    <cfRule type="cellIs" dxfId="0" priority="2440" operator="lessThan">
      <formula>20</formula>
    </cfRule>
    <cfRule type="cellIs" dxfId="1" priority="1584" operator="greaterThan">
      <formula>120</formula>
    </cfRule>
    <cfRule type="containsText" dxfId="2" priority="728" operator="between" text="库存为">
      <formula>NOT(ISERROR(SEARCH("库存为",AU134)))</formula>
    </cfRule>
  </conditionalFormatting>
  <conditionalFormatting sqref="AU135">
    <cfRule type="cellIs" dxfId="0" priority="2439" operator="lessThan">
      <formula>20</formula>
    </cfRule>
    <cfRule type="cellIs" dxfId="1" priority="1583" operator="greaterThan">
      <formula>120</formula>
    </cfRule>
    <cfRule type="containsText" dxfId="2" priority="727" operator="between" text="库存为">
      <formula>NOT(ISERROR(SEARCH("库存为",AU135)))</formula>
    </cfRule>
  </conditionalFormatting>
  <conditionalFormatting sqref="AU136">
    <cfRule type="cellIs" dxfId="0" priority="2438" operator="lessThan">
      <formula>20</formula>
    </cfRule>
    <cfRule type="cellIs" dxfId="1" priority="1582" operator="greaterThan">
      <formula>120</formula>
    </cfRule>
    <cfRule type="containsText" dxfId="2" priority="726" operator="between" text="库存为">
      <formula>NOT(ISERROR(SEARCH("库存为",AU136)))</formula>
    </cfRule>
  </conditionalFormatting>
  <conditionalFormatting sqref="AU137">
    <cfRule type="cellIs" dxfId="0" priority="2437" operator="lessThan">
      <formula>20</formula>
    </cfRule>
    <cfRule type="cellIs" dxfId="1" priority="1581" operator="greaterThan">
      <formula>120</formula>
    </cfRule>
    <cfRule type="containsText" dxfId="2" priority="725" operator="between" text="库存为">
      <formula>NOT(ISERROR(SEARCH("库存为",AU137)))</formula>
    </cfRule>
  </conditionalFormatting>
  <conditionalFormatting sqref="AU138">
    <cfRule type="cellIs" dxfId="0" priority="2436" operator="lessThan">
      <formula>20</formula>
    </cfRule>
    <cfRule type="cellIs" dxfId="1" priority="1580" operator="greaterThan">
      <formula>120</formula>
    </cfRule>
    <cfRule type="containsText" dxfId="2" priority="724" operator="between" text="库存为">
      <formula>NOT(ISERROR(SEARCH("库存为",AU138)))</formula>
    </cfRule>
  </conditionalFormatting>
  <conditionalFormatting sqref="AU139">
    <cfRule type="cellIs" dxfId="0" priority="2435" operator="lessThan">
      <formula>20</formula>
    </cfRule>
    <cfRule type="cellIs" dxfId="1" priority="1579" operator="greaterThan">
      <formula>120</formula>
    </cfRule>
    <cfRule type="containsText" dxfId="2" priority="723" operator="between" text="库存为">
      <formula>NOT(ISERROR(SEARCH("库存为",AU139)))</formula>
    </cfRule>
  </conditionalFormatting>
  <conditionalFormatting sqref="AU140">
    <cfRule type="cellIs" dxfId="0" priority="2434" operator="lessThan">
      <formula>20</formula>
    </cfRule>
    <cfRule type="cellIs" dxfId="1" priority="1578" operator="greaterThan">
      <formula>120</formula>
    </cfRule>
    <cfRule type="containsText" dxfId="2" priority="722" operator="between" text="库存为">
      <formula>NOT(ISERROR(SEARCH("库存为",AU140)))</formula>
    </cfRule>
  </conditionalFormatting>
  <conditionalFormatting sqref="AU141">
    <cfRule type="cellIs" dxfId="0" priority="2433" operator="lessThan">
      <formula>20</formula>
    </cfRule>
    <cfRule type="cellIs" dxfId="1" priority="1577" operator="greaterThan">
      <formula>120</formula>
    </cfRule>
    <cfRule type="containsText" dxfId="2" priority="721" operator="between" text="库存为">
      <formula>NOT(ISERROR(SEARCH("库存为",AU141)))</formula>
    </cfRule>
  </conditionalFormatting>
  <conditionalFormatting sqref="AU142">
    <cfRule type="cellIs" dxfId="0" priority="2432" operator="lessThan">
      <formula>20</formula>
    </cfRule>
    <cfRule type="cellIs" dxfId="1" priority="1576" operator="greaterThan">
      <formula>120</formula>
    </cfRule>
    <cfRule type="containsText" dxfId="2" priority="720" operator="between" text="库存为">
      <formula>NOT(ISERROR(SEARCH("库存为",AU142)))</formula>
    </cfRule>
  </conditionalFormatting>
  <conditionalFormatting sqref="AU143">
    <cfRule type="cellIs" dxfId="0" priority="2431" operator="lessThan">
      <formula>20</formula>
    </cfRule>
    <cfRule type="cellIs" dxfId="1" priority="1575" operator="greaterThan">
      <formula>120</formula>
    </cfRule>
    <cfRule type="containsText" dxfId="2" priority="719" operator="between" text="库存为">
      <formula>NOT(ISERROR(SEARCH("库存为",AU143)))</formula>
    </cfRule>
  </conditionalFormatting>
  <conditionalFormatting sqref="AU144">
    <cfRule type="cellIs" dxfId="0" priority="2430" operator="lessThan">
      <formula>20</formula>
    </cfRule>
    <cfRule type="cellIs" dxfId="1" priority="1574" operator="greaterThan">
      <formula>120</formula>
    </cfRule>
    <cfRule type="containsText" dxfId="2" priority="718" operator="between" text="库存为">
      <formula>NOT(ISERROR(SEARCH("库存为",AU144)))</formula>
    </cfRule>
  </conditionalFormatting>
  <conditionalFormatting sqref="AU145">
    <cfRule type="cellIs" dxfId="0" priority="2429" operator="lessThan">
      <formula>20</formula>
    </cfRule>
    <cfRule type="cellIs" dxfId="1" priority="1573" operator="greaterThan">
      <formula>120</formula>
    </cfRule>
    <cfRule type="containsText" dxfId="2" priority="717" operator="between" text="库存为">
      <formula>NOT(ISERROR(SEARCH("库存为",AU145)))</formula>
    </cfRule>
  </conditionalFormatting>
  <conditionalFormatting sqref="AU146">
    <cfRule type="cellIs" dxfId="0" priority="2428" operator="lessThan">
      <formula>20</formula>
    </cfRule>
    <cfRule type="cellIs" dxfId="1" priority="1572" operator="greaterThan">
      <formula>120</formula>
    </cfRule>
    <cfRule type="containsText" dxfId="2" priority="716" operator="between" text="库存为">
      <formula>NOT(ISERROR(SEARCH("库存为",AU146)))</formula>
    </cfRule>
  </conditionalFormatting>
  <conditionalFormatting sqref="AU147">
    <cfRule type="cellIs" dxfId="0" priority="2427" operator="lessThan">
      <formula>20</formula>
    </cfRule>
    <cfRule type="cellIs" dxfId="1" priority="1571" operator="greaterThan">
      <formula>120</formula>
    </cfRule>
    <cfRule type="containsText" dxfId="2" priority="715" operator="between" text="库存为">
      <formula>NOT(ISERROR(SEARCH("库存为",AU147)))</formula>
    </cfRule>
  </conditionalFormatting>
  <conditionalFormatting sqref="AU148">
    <cfRule type="cellIs" dxfId="0" priority="2426" operator="lessThan">
      <formula>20</formula>
    </cfRule>
    <cfRule type="cellIs" dxfId="1" priority="1570" operator="greaterThan">
      <formula>120</formula>
    </cfRule>
    <cfRule type="containsText" dxfId="2" priority="714" operator="between" text="库存为">
      <formula>NOT(ISERROR(SEARCH("库存为",AU148)))</formula>
    </cfRule>
  </conditionalFormatting>
  <conditionalFormatting sqref="AU149">
    <cfRule type="cellIs" dxfId="0" priority="2425" operator="lessThan">
      <formula>20</formula>
    </cfRule>
    <cfRule type="cellIs" dxfId="1" priority="1569" operator="greaterThan">
      <formula>120</formula>
    </cfRule>
    <cfRule type="containsText" dxfId="2" priority="713" operator="between" text="库存为">
      <formula>NOT(ISERROR(SEARCH("库存为",AU149)))</formula>
    </cfRule>
  </conditionalFormatting>
  <conditionalFormatting sqref="AU150">
    <cfRule type="cellIs" dxfId="0" priority="2424" operator="lessThan">
      <formula>20</formula>
    </cfRule>
    <cfRule type="cellIs" dxfId="1" priority="1568" operator="greaterThan">
      <formula>120</formula>
    </cfRule>
    <cfRule type="containsText" dxfId="2" priority="712" operator="between" text="库存为">
      <formula>NOT(ISERROR(SEARCH("库存为",AU150)))</formula>
    </cfRule>
  </conditionalFormatting>
  <conditionalFormatting sqref="AU151">
    <cfRule type="cellIs" dxfId="0" priority="2423" operator="lessThan">
      <formula>20</formula>
    </cfRule>
    <cfRule type="cellIs" dxfId="1" priority="1567" operator="greaterThan">
      <formula>120</formula>
    </cfRule>
    <cfRule type="containsText" dxfId="2" priority="711" operator="between" text="库存为">
      <formula>NOT(ISERROR(SEARCH("库存为",AU151)))</formula>
    </cfRule>
  </conditionalFormatting>
  <conditionalFormatting sqref="AU152">
    <cfRule type="cellIs" dxfId="0" priority="2422" operator="lessThan">
      <formula>20</formula>
    </cfRule>
    <cfRule type="cellIs" dxfId="1" priority="1566" operator="greaterThan">
      <formula>120</formula>
    </cfRule>
    <cfRule type="containsText" dxfId="2" priority="710" operator="between" text="库存为">
      <formula>NOT(ISERROR(SEARCH("库存为",AU152)))</formula>
    </cfRule>
  </conditionalFormatting>
  <conditionalFormatting sqref="AU153">
    <cfRule type="cellIs" dxfId="0" priority="2421" operator="lessThan">
      <formula>20</formula>
    </cfRule>
    <cfRule type="cellIs" dxfId="1" priority="1565" operator="greaterThan">
      <formula>120</formula>
    </cfRule>
    <cfRule type="containsText" dxfId="2" priority="709" operator="between" text="库存为">
      <formula>NOT(ISERROR(SEARCH("库存为",AU153)))</formula>
    </cfRule>
  </conditionalFormatting>
  <conditionalFormatting sqref="AU154">
    <cfRule type="cellIs" dxfId="0" priority="2420" operator="lessThan">
      <formula>20</formula>
    </cfRule>
    <cfRule type="cellIs" dxfId="1" priority="1564" operator="greaterThan">
      <formula>120</formula>
    </cfRule>
    <cfRule type="containsText" dxfId="2" priority="708" operator="between" text="库存为">
      <formula>NOT(ISERROR(SEARCH("库存为",AU154)))</formula>
    </cfRule>
  </conditionalFormatting>
  <conditionalFormatting sqref="AU155">
    <cfRule type="cellIs" dxfId="0" priority="2419" operator="lessThan">
      <formula>20</formula>
    </cfRule>
    <cfRule type="cellIs" dxfId="1" priority="1563" operator="greaterThan">
      <formula>120</formula>
    </cfRule>
    <cfRule type="containsText" dxfId="2" priority="707" operator="between" text="库存为">
      <formula>NOT(ISERROR(SEARCH("库存为",AU155)))</formula>
    </cfRule>
  </conditionalFormatting>
  <conditionalFormatting sqref="AU156">
    <cfRule type="cellIs" dxfId="0" priority="2418" operator="lessThan">
      <formula>20</formula>
    </cfRule>
    <cfRule type="cellIs" dxfId="1" priority="1562" operator="greaterThan">
      <formula>120</formula>
    </cfRule>
    <cfRule type="containsText" dxfId="2" priority="706" operator="between" text="库存为">
      <formula>NOT(ISERROR(SEARCH("库存为",AU156)))</formula>
    </cfRule>
  </conditionalFormatting>
  <conditionalFormatting sqref="AU157">
    <cfRule type="cellIs" dxfId="0" priority="2417" operator="lessThan">
      <formula>20</formula>
    </cfRule>
    <cfRule type="cellIs" dxfId="1" priority="1561" operator="greaterThan">
      <formula>120</formula>
    </cfRule>
    <cfRule type="containsText" dxfId="2" priority="705" operator="between" text="库存为">
      <formula>NOT(ISERROR(SEARCH("库存为",AU157)))</formula>
    </cfRule>
  </conditionalFormatting>
  <conditionalFormatting sqref="AU158">
    <cfRule type="cellIs" dxfId="0" priority="2416" operator="lessThan">
      <formula>20</formula>
    </cfRule>
    <cfRule type="cellIs" dxfId="1" priority="1560" operator="greaterThan">
      <formula>120</formula>
    </cfRule>
    <cfRule type="containsText" dxfId="2" priority="704" operator="between" text="库存为">
      <formula>NOT(ISERROR(SEARCH("库存为",AU158)))</formula>
    </cfRule>
  </conditionalFormatting>
  <conditionalFormatting sqref="AU159">
    <cfRule type="cellIs" dxfId="0" priority="2415" operator="lessThan">
      <formula>20</formula>
    </cfRule>
    <cfRule type="cellIs" dxfId="1" priority="1559" operator="greaterThan">
      <formula>120</formula>
    </cfRule>
    <cfRule type="containsText" dxfId="2" priority="703" operator="between" text="库存为">
      <formula>NOT(ISERROR(SEARCH("库存为",AU159)))</formula>
    </cfRule>
  </conditionalFormatting>
  <conditionalFormatting sqref="AU160">
    <cfRule type="cellIs" dxfId="0" priority="2414" operator="lessThan">
      <formula>20</formula>
    </cfRule>
    <cfRule type="cellIs" dxfId="1" priority="1558" operator="greaterThan">
      <formula>120</formula>
    </cfRule>
    <cfRule type="containsText" dxfId="2" priority="702" operator="between" text="库存为">
      <formula>NOT(ISERROR(SEARCH("库存为",AU160)))</formula>
    </cfRule>
  </conditionalFormatting>
  <conditionalFormatting sqref="AU161">
    <cfRule type="cellIs" dxfId="0" priority="2413" operator="lessThan">
      <formula>20</formula>
    </cfRule>
    <cfRule type="cellIs" dxfId="1" priority="1557" operator="greaterThan">
      <formula>120</formula>
    </cfRule>
    <cfRule type="containsText" dxfId="2" priority="701" operator="between" text="库存为">
      <formula>NOT(ISERROR(SEARCH("库存为",AU161)))</formula>
    </cfRule>
  </conditionalFormatting>
  <conditionalFormatting sqref="AU162">
    <cfRule type="cellIs" dxfId="0" priority="2412" operator="lessThan">
      <formula>20</formula>
    </cfRule>
    <cfRule type="cellIs" dxfId="1" priority="1556" operator="greaterThan">
      <formula>120</formula>
    </cfRule>
    <cfRule type="containsText" dxfId="2" priority="700" operator="between" text="库存为">
      <formula>NOT(ISERROR(SEARCH("库存为",AU162)))</formula>
    </cfRule>
  </conditionalFormatting>
  <conditionalFormatting sqref="AU163">
    <cfRule type="cellIs" dxfId="0" priority="2411" operator="lessThan">
      <formula>20</formula>
    </cfRule>
    <cfRule type="cellIs" dxfId="1" priority="1555" operator="greaterThan">
      <formula>120</formula>
    </cfRule>
    <cfRule type="containsText" dxfId="2" priority="699" operator="between" text="库存为">
      <formula>NOT(ISERROR(SEARCH("库存为",AU163)))</formula>
    </cfRule>
  </conditionalFormatting>
  <conditionalFormatting sqref="AU164">
    <cfRule type="cellIs" dxfId="0" priority="2410" operator="lessThan">
      <formula>20</formula>
    </cfRule>
    <cfRule type="cellIs" dxfId="1" priority="1554" operator="greaterThan">
      <formula>120</formula>
    </cfRule>
    <cfRule type="containsText" dxfId="2" priority="698" operator="between" text="库存为">
      <formula>NOT(ISERROR(SEARCH("库存为",AU164)))</formula>
    </cfRule>
  </conditionalFormatting>
  <conditionalFormatting sqref="AU165">
    <cfRule type="cellIs" dxfId="0" priority="2409" operator="lessThan">
      <formula>20</formula>
    </cfRule>
    <cfRule type="cellIs" dxfId="1" priority="1553" operator="greaterThan">
      <formula>120</formula>
    </cfRule>
    <cfRule type="containsText" dxfId="2" priority="697" operator="between" text="库存为">
      <formula>NOT(ISERROR(SEARCH("库存为",AU165)))</formula>
    </cfRule>
  </conditionalFormatting>
  <conditionalFormatting sqref="AU166">
    <cfRule type="cellIs" dxfId="0" priority="2408" operator="lessThan">
      <formula>20</formula>
    </cfRule>
    <cfRule type="cellIs" dxfId="1" priority="1552" operator="greaterThan">
      <formula>120</formula>
    </cfRule>
    <cfRule type="containsText" dxfId="2" priority="696" operator="between" text="库存为">
      <formula>NOT(ISERROR(SEARCH("库存为",AU166)))</formula>
    </cfRule>
  </conditionalFormatting>
  <conditionalFormatting sqref="AU167">
    <cfRule type="cellIs" dxfId="0" priority="2407" operator="lessThan">
      <formula>20</formula>
    </cfRule>
    <cfRule type="cellIs" dxfId="1" priority="1551" operator="greaterThan">
      <formula>120</formula>
    </cfRule>
    <cfRule type="containsText" dxfId="2" priority="695" operator="between" text="库存为">
      <formula>NOT(ISERROR(SEARCH("库存为",AU167)))</formula>
    </cfRule>
  </conditionalFormatting>
  <conditionalFormatting sqref="AU168">
    <cfRule type="cellIs" dxfId="0" priority="2406" operator="lessThan">
      <formula>20</formula>
    </cfRule>
    <cfRule type="cellIs" dxfId="1" priority="1550" operator="greaterThan">
      <formula>120</formula>
    </cfRule>
    <cfRule type="containsText" dxfId="2" priority="694" operator="between" text="库存为">
      <formula>NOT(ISERROR(SEARCH("库存为",AU168)))</formula>
    </cfRule>
  </conditionalFormatting>
  <conditionalFormatting sqref="AU169">
    <cfRule type="cellIs" dxfId="0" priority="2405" operator="lessThan">
      <formula>20</formula>
    </cfRule>
    <cfRule type="cellIs" dxfId="1" priority="1549" operator="greaterThan">
      <formula>120</formula>
    </cfRule>
    <cfRule type="containsText" dxfId="2" priority="693" operator="between" text="库存为">
      <formula>NOT(ISERROR(SEARCH("库存为",AU169)))</formula>
    </cfRule>
  </conditionalFormatting>
  <conditionalFormatting sqref="AU170">
    <cfRule type="cellIs" dxfId="0" priority="2404" operator="lessThan">
      <formula>20</formula>
    </cfRule>
    <cfRule type="cellIs" dxfId="1" priority="1548" operator="greaterThan">
      <formula>120</formula>
    </cfRule>
    <cfRule type="containsText" dxfId="2" priority="692" operator="between" text="库存为">
      <formula>NOT(ISERROR(SEARCH("库存为",AU170)))</formula>
    </cfRule>
  </conditionalFormatting>
  <conditionalFormatting sqref="AU171">
    <cfRule type="cellIs" dxfId="0" priority="2403" operator="lessThan">
      <formula>20</formula>
    </cfRule>
    <cfRule type="cellIs" dxfId="1" priority="1547" operator="greaterThan">
      <formula>120</formula>
    </cfRule>
    <cfRule type="containsText" dxfId="2" priority="691" operator="between" text="库存为">
      <formula>NOT(ISERROR(SEARCH("库存为",AU171)))</formula>
    </cfRule>
  </conditionalFormatting>
  <conditionalFormatting sqref="AU172">
    <cfRule type="cellIs" dxfId="0" priority="2402" operator="lessThan">
      <formula>20</formula>
    </cfRule>
    <cfRule type="cellIs" dxfId="1" priority="1546" operator="greaterThan">
      <formula>120</formula>
    </cfRule>
    <cfRule type="containsText" dxfId="2" priority="690" operator="between" text="库存为">
      <formula>NOT(ISERROR(SEARCH("库存为",AU172)))</formula>
    </cfRule>
  </conditionalFormatting>
  <conditionalFormatting sqref="AU173">
    <cfRule type="cellIs" dxfId="0" priority="2401" operator="lessThan">
      <formula>20</formula>
    </cfRule>
    <cfRule type="cellIs" dxfId="1" priority="1545" operator="greaterThan">
      <formula>120</formula>
    </cfRule>
    <cfRule type="containsText" dxfId="2" priority="689" operator="between" text="库存为">
      <formula>NOT(ISERROR(SEARCH("库存为",AU173)))</formula>
    </cfRule>
  </conditionalFormatting>
  <conditionalFormatting sqref="AU174">
    <cfRule type="cellIs" dxfId="0" priority="2400" operator="lessThan">
      <formula>20</formula>
    </cfRule>
    <cfRule type="cellIs" dxfId="1" priority="1544" operator="greaterThan">
      <formula>120</formula>
    </cfRule>
    <cfRule type="containsText" dxfId="2" priority="688" operator="between" text="库存为">
      <formula>NOT(ISERROR(SEARCH("库存为",AU174)))</formula>
    </cfRule>
  </conditionalFormatting>
  <conditionalFormatting sqref="AU175">
    <cfRule type="cellIs" dxfId="0" priority="2399" operator="lessThan">
      <formula>20</formula>
    </cfRule>
    <cfRule type="cellIs" dxfId="1" priority="1543" operator="greaterThan">
      <formula>120</formula>
    </cfRule>
    <cfRule type="containsText" dxfId="2" priority="687" operator="between" text="库存为">
      <formula>NOT(ISERROR(SEARCH("库存为",AU175)))</formula>
    </cfRule>
  </conditionalFormatting>
  <conditionalFormatting sqref="AU176">
    <cfRule type="cellIs" dxfId="0" priority="2398" operator="lessThan">
      <formula>20</formula>
    </cfRule>
    <cfRule type="cellIs" dxfId="1" priority="1542" operator="greaterThan">
      <formula>120</formula>
    </cfRule>
    <cfRule type="containsText" dxfId="2" priority="686" operator="between" text="库存为">
      <formula>NOT(ISERROR(SEARCH("库存为",AU176)))</formula>
    </cfRule>
  </conditionalFormatting>
  <conditionalFormatting sqref="AU177">
    <cfRule type="cellIs" dxfId="0" priority="2397" operator="lessThan">
      <formula>20</formula>
    </cfRule>
    <cfRule type="cellIs" dxfId="1" priority="1541" operator="greaterThan">
      <formula>120</formula>
    </cfRule>
    <cfRule type="containsText" dxfId="2" priority="685" operator="between" text="库存为">
      <formula>NOT(ISERROR(SEARCH("库存为",AU177)))</formula>
    </cfRule>
  </conditionalFormatting>
  <conditionalFormatting sqref="AU178">
    <cfRule type="cellIs" dxfId="0" priority="2396" operator="lessThan">
      <formula>20</formula>
    </cfRule>
    <cfRule type="cellIs" dxfId="1" priority="1540" operator="greaterThan">
      <formula>120</formula>
    </cfRule>
    <cfRule type="containsText" dxfId="2" priority="684" operator="between" text="库存为">
      <formula>NOT(ISERROR(SEARCH("库存为",AU178)))</formula>
    </cfRule>
  </conditionalFormatting>
  <conditionalFormatting sqref="AU179">
    <cfRule type="cellIs" dxfId="0" priority="2395" operator="lessThan">
      <formula>20</formula>
    </cfRule>
    <cfRule type="cellIs" dxfId="1" priority="1539" operator="greaterThan">
      <formula>120</formula>
    </cfRule>
    <cfRule type="containsText" dxfId="2" priority="683" operator="between" text="库存为">
      <formula>NOT(ISERROR(SEARCH("库存为",AU179)))</formula>
    </cfRule>
  </conditionalFormatting>
  <conditionalFormatting sqref="AU180">
    <cfRule type="cellIs" dxfId="0" priority="2394" operator="lessThan">
      <formula>20</formula>
    </cfRule>
    <cfRule type="cellIs" dxfId="1" priority="1538" operator="greaterThan">
      <formula>120</formula>
    </cfRule>
    <cfRule type="containsText" dxfId="2" priority="682" operator="between" text="库存为">
      <formula>NOT(ISERROR(SEARCH("库存为",AU180)))</formula>
    </cfRule>
  </conditionalFormatting>
  <conditionalFormatting sqref="AU181">
    <cfRule type="cellIs" dxfId="0" priority="2393" operator="lessThan">
      <formula>20</formula>
    </cfRule>
    <cfRule type="cellIs" dxfId="1" priority="1537" operator="greaterThan">
      <formula>120</formula>
    </cfRule>
    <cfRule type="containsText" dxfId="2" priority="681" operator="between" text="库存为">
      <formula>NOT(ISERROR(SEARCH("库存为",AU181)))</formula>
    </cfRule>
  </conditionalFormatting>
  <conditionalFormatting sqref="AU182">
    <cfRule type="cellIs" dxfId="0" priority="2392" operator="lessThan">
      <formula>20</formula>
    </cfRule>
    <cfRule type="cellIs" dxfId="1" priority="1536" operator="greaterThan">
      <formula>120</formula>
    </cfRule>
    <cfRule type="containsText" dxfId="2" priority="680" operator="between" text="库存为">
      <formula>NOT(ISERROR(SEARCH("库存为",AU182)))</formula>
    </cfRule>
  </conditionalFormatting>
  <conditionalFormatting sqref="AU183">
    <cfRule type="cellIs" dxfId="0" priority="2391" operator="lessThan">
      <formula>20</formula>
    </cfRule>
    <cfRule type="cellIs" dxfId="1" priority="1535" operator="greaterThan">
      <formula>120</formula>
    </cfRule>
    <cfRule type="containsText" dxfId="2" priority="679" operator="between" text="库存为">
      <formula>NOT(ISERROR(SEARCH("库存为",AU183)))</formula>
    </cfRule>
  </conditionalFormatting>
  <conditionalFormatting sqref="AU184">
    <cfRule type="cellIs" dxfId="0" priority="2390" operator="lessThan">
      <formula>20</formula>
    </cfRule>
    <cfRule type="cellIs" dxfId="1" priority="1534" operator="greaterThan">
      <formula>120</formula>
    </cfRule>
    <cfRule type="containsText" dxfId="2" priority="678" operator="between" text="库存为">
      <formula>NOT(ISERROR(SEARCH("库存为",AU184)))</formula>
    </cfRule>
  </conditionalFormatting>
  <conditionalFormatting sqref="AU185">
    <cfRule type="cellIs" dxfId="0" priority="2389" operator="lessThan">
      <formula>20</formula>
    </cfRule>
    <cfRule type="cellIs" dxfId="1" priority="1533" operator="greaterThan">
      <formula>120</formula>
    </cfRule>
    <cfRule type="containsText" dxfId="2" priority="677" operator="between" text="库存为">
      <formula>NOT(ISERROR(SEARCH("库存为",AU185)))</formula>
    </cfRule>
  </conditionalFormatting>
  <conditionalFormatting sqref="AU186">
    <cfRule type="cellIs" dxfId="0" priority="2388" operator="lessThan">
      <formula>20</formula>
    </cfRule>
    <cfRule type="cellIs" dxfId="1" priority="1532" operator="greaterThan">
      <formula>120</formula>
    </cfRule>
    <cfRule type="containsText" dxfId="2" priority="676" operator="between" text="库存为">
      <formula>NOT(ISERROR(SEARCH("库存为",AU186)))</formula>
    </cfRule>
  </conditionalFormatting>
  <conditionalFormatting sqref="AU187">
    <cfRule type="cellIs" dxfId="0" priority="2387" operator="lessThan">
      <formula>20</formula>
    </cfRule>
    <cfRule type="cellIs" dxfId="1" priority="1531" operator="greaterThan">
      <formula>120</formula>
    </cfRule>
    <cfRule type="containsText" dxfId="2" priority="675" operator="between" text="库存为">
      <formula>NOT(ISERROR(SEARCH("库存为",AU187)))</formula>
    </cfRule>
  </conditionalFormatting>
  <conditionalFormatting sqref="AU188">
    <cfRule type="cellIs" dxfId="0" priority="2386" operator="lessThan">
      <formula>20</formula>
    </cfRule>
    <cfRule type="cellIs" dxfId="1" priority="1530" operator="greaterThan">
      <formula>120</formula>
    </cfRule>
    <cfRule type="containsText" dxfId="2" priority="674" operator="between" text="库存为">
      <formula>NOT(ISERROR(SEARCH("库存为",AU188)))</formula>
    </cfRule>
  </conditionalFormatting>
  <conditionalFormatting sqref="AU189">
    <cfRule type="cellIs" dxfId="0" priority="2385" operator="lessThan">
      <formula>20</formula>
    </cfRule>
    <cfRule type="cellIs" dxfId="1" priority="1529" operator="greaterThan">
      <formula>120</formula>
    </cfRule>
    <cfRule type="containsText" dxfId="2" priority="673" operator="between" text="库存为">
      <formula>NOT(ISERROR(SEARCH("库存为",AU189)))</formula>
    </cfRule>
  </conditionalFormatting>
  <conditionalFormatting sqref="AU190">
    <cfRule type="cellIs" dxfId="0" priority="2384" operator="lessThan">
      <formula>20</formula>
    </cfRule>
    <cfRule type="cellIs" dxfId="1" priority="1528" operator="greaterThan">
      <formula>120</formula>
    </cfRule>
    <cfRule type="containsText" dxfId="2" priority="672" operator="between" text="库存为">
      <formula>NOT(ISERROR(SEARCH("库存为",AU190)))</formula>
    </cfRule>
  </conditionalFormatting>
  <conditionalFormatting sqref="AU191">
    <cfRule type="cellIs" dxfId="0" priority="2383" operator="lessThan">
      <formula>20</formula>
    </cfRule>
    <cfRule type="cellIs" dxfId="1" priority="1527" operator="greaterThan">
      <formula>120</formula>
    </cfRule>
    <cfRule type="containsText" dxfId="2" priority="671" operator="between" text="库存为">
      <formula>NOT(ISERROR(SEARCH("库存为",AU191)))</formula>
    </cfRule>
  </conditionalFormatting>
  <conditionalFormatting sqref="AU192">
    <cfRule type="cellIs" dxfId="0" priority="2382" operator="lessThan">
      <formula>20</formula>
    </cfRule>
    <cfRule type="cellIs" dxfId="1" priority="1526" operator="greaterThan">
      <formula>120</formula>
    </cfRule>
    <cfRule type="containsText" dxfId="2" priority="670" operator="between" text="库存为">
      <formula>NOT(ISERROR(SEARCH("库存为",AU192)))</formula>
    </cfRule>
  </conditionalFormatting>
  <conditionalFormatting sqref="AU193">
    <cfRule type="cellIs" dxfId="0" priority="2381" operator="lessThan">
      <formula>20</formula>
    </cfRule>
    <cfRule type="cellIs" dxfId="1" priority="1525" operator="greaterThan">
      <formula>120</formula>
    </cfRule>
    <cfRule type="containsText" dxfId="2" priority="669" operator="between" text="库存为">
      <formula>NOT(ISERROR(SEARCH("库存为",AU193)))</formula>
    </cfRule>
  </conditionalFormatting>
  <conditionalFormatting sqref="AU194">
    <cfRule type="cellIs" dxfId="0" priority="2380" operator="lessThan">
      <formula>20</formula>
    </cfRule>
    <cfRule type="cellIs" dxfId="1" priority="1524" operator="greaterThan">
      <formula>120</formula>
    </cfRule>
    <cfRule type="containsText" dxfId="2" priority="668" operator="between" text="库存为">
      <formula>NOT(ISERROR(SEARCH("库存为",AU194)))</formula>
    </cfRule>
  </conditionalFormatting>
  <conditionalFormatting sqref="AU195">
    <cfRule type="cellIs" dxfId="0" priority="2379" operator="lessThan">
      <formula>20</formula>
    </cfRule>
    <cfRule type="cellIs" dxfId="1" priority="1523" operator="greaterThan">
      <formula>120</formula>
    </cfRule>
    <cfRule type="containsText" dxfId="2" priority="667" operator="between" text="库存为">
      <formula>NOT(ISERROR(SEARCH("库存为",AU195)))</formula>
    </cfRule>
  </conditionalFormatting>
  <conditionalFormatting sqref="AU196">
    <cfRule type="cellIs" dxfId="0" priority="2378" operator="lessThan">
      <formula>20</formula>
    </cfRule>
    <cfRule type="cellIs" dxfId="1" priority="1522" operator="greaterThan">
      <formula>120</formula>
    </cfRule>
    <cfRule type="containsText" dxfId="2" priority="666" operator="between" text="库存为">
      <formula>NOT(ISERROR(SEARCH("库存为",AU196)))</formula>
    </cfRule>
  </conditionalFormatting>
  <conditionalFormatting sqref="AU197">
    <cfRule type="cellIs" dxfId="0" priority="2377" operator="lessThan">
      <formula>20</formula>
    </cfRule>
    <cfRule type="cellIs" dxfId="1" priority="1521" operator="greaterThan">
      <formula>120</formula>
    </cfRule>
    <cfRule type="containsText" dxfId="2" priority="665" operator="between" text="库存为">
      <formula>NOT(ISERROR(SEARCH("库存为",AU197)))</formula>
    </cfRule>
  </conditionalFormatting>
  <conditionalFormatting sqref="AU198">
    <cfRule type="cellIs" dxfId="0" priority="2376" operator="lessThan">
      <formula>20</formula>
    </cfRule>
    <cfRule type="cellIs" dxfId="1" priority="1520" operator="greaterThan">
      <formula>120</formula>
    </cfRule>
    <cfRule type="containsText" dxfId="2" priority="664" operator="between" text="库存为">
      <formula>NOT(ISERROR(SEARCH("库存为",AU198)))</formula>
    </cfRule>
  </conditionalFormatting>
  <conditionalFormatting sqref="AU199">
    <cfRule type="cellIs" dxfId="0" priority="2375" operator="lessThan">
      <formula>20</formula>
    </cfRule>
    <cfRule type="cellIs" dxfId="1" priority="1519" operator="greaterThan">
      <formula>120</formula>
    </cfRule>
    <cfRule type="containsText" dxfId="2" priority="663" operator="between" text="库存为">
      <formula>NOT(ISERROR(SEARCH("库存为",AU199)))</formula>
    </cfRule>
  </conditionalFormatting>
  <conditionalFormatting sqref="AU200">
    <cfRule type="cellIs" dxfId="0" priority="2374" operator="lessThan">
      <formula>20</formula>
    </cfRule>
    <cfRule type="cellIs" dxfId="1" priority="1518" operator="greaterThan">
      <formula>120</formula>
    </cfRule>
    <cfRule type="containsText" dxfId="2" priority="662" operator="between" text="库存为">
      <formula>NOT(ISERROR(SEARCH("库存为",AU200)))</formula>
    </cfRule>
  </conditionalFormatting>
  <conditionalFormatting sqref="AU201">
    <cfRule type="cellIs" dxfId="0" priority="2373" operator="lessThan">
      <formula>20</formula>
    </cfRule>
    <cfRule type="cellIs" dxfId="1" priority="1517" operator="greaterThan">
      <formula>120</formula>
    </cfRule>
    <cfRule type="containsText" dxfId="2" priority="661" operator="between" text="库存为">
      <formula>NOT(ISERROR(SEARCH("库存为",AU201)))</formula>
    </cfRule>
  </conditionalFormatting>
  <conditionalFormatting sqref="AU202">
    <cfRule type="cellIs" dxfId="0" priority="2372" operator="lessThan">
      <formula>20</formula>
    </cfRule>
    <cfRule type="cellIs" dxfId="1" priority="1516" operator="greaterThan">
      <formula>120</formula>
    </cfRule>
    <cfRule type="containsText" dxfId="2" priority="660" operator="between" text="库存为">
      <formula>NOT(ISERROR(SEARCH("库存为",AU202)))</formula>
    </cfRule>
  </conditionalFormatting>
  <conditionalFormatting sqref="AU203">
    <cfRule type="cellIs" dxfId="0" priority="2371" operator="lessThan">
      <formula>20</formula>
    </cfRule>
    <cfRule type="cellIs" dxfId="1" priority="1515" operator="greaterThan">
      <formula>120</formula>
    </cfRule>
    <cfRule type="containsText" dxfId="2" priority="659" operator="between" text="库存为">
      <formula>NOT(ISERROR(SEARCH("库存为",AU203)))</formula>
    </cfRule>
  </conditionalFormatting>
  <conditionalFormatting sqref="AU204">
    <cfRule type="cellIs" dxfId="0" priority="2370" operator="lessThan">
      <formula>20</formula>
    </cfRule>
    <cfRule type="cellIs" dxfId="1" priority="1514" operator="greaterThan">
      <formula>120</formula>
    </cfRule>
    <cfRule type="containsText" dxfId="2" priority="658" operator="between" text="库存为">
      <formula>NOT(ISERROR(SEARCH("库存为",AU204)))</formula>
    </cfRule>
  </conditionalFormatting>
  <conditionalFormatting sqref="AU205">
    <cfRule type="cellIs" dxfId="0" priority="2369" operator="lessThan">
      <formula>20</formula>
    </cfRule>
    <cfRule type="cellIs" dxfId="1" priority="1513" operator="greaterThan">
      <formula>120</formula>
    </cfRule>
    <cfRule type="containsText" dxfId="2" priority="657" operator="between" text="库存为">
      <formula>NOT(ISERROR(SEARCH("库存为",AU205)))</formula>
    </cfRule>
  </conditionalFormatting>
  <conditionalFormatting sqref="AU206">
    <cfRule type="cellIs" dxfId="0" priority="2368" operator="lessThan">
      <formula>20</formula>
    </cfRule>
    <cfRule type="cellIs" dxfId="1" priority="1512" operator="greaterThan">
      <formula>120</formula>
    </cfRule>
    <cfRule type="containsText" dxfId="2" priority="656" operator="between" text="库存为">
      <formula>NOT(ISERROR(SEARCH("库存为",AU206)))</formula>
    </cfRule>
  </conditionalFormatting>
  <conditionalFormatting sqref="AU207">
    <cfRule type="cellIs" dxfId="0" priority="2367" operator="lessThan">
      <formula>20</formula>
    </cfRule>
    <cfRule type="cellIs" dxfId="1" priority="1511" operator="greaterThan">
      <formula>120</formula>
    </cfRule>
    <cfRule type="containsText" dxfId="2" priority="655" operator="between" text="库存为">
      <formula>NOT(ISERROR(SEARCH("库存为",AU207)))</formula>
    </cfRule>
  </conditionalFormatting>
  <conditionalFormatting sqref="AU208">
    <cfRule type="cellIs" dxfId="0" priority="2366" operator="lessThan">
      <formula>20</formula>
    </cfRule>
    <cfRule type="cellIs" dxfId="1" priority="1510" operator="greaterThan">
      <formula>120</formula>
    </cfRule>
    <cfRule type="containsText" dxfId="2" priority="654" operator="between" text="库存为">
      <formula>NOT(ISERROR(SEARCH("库存为",AU208)))</formula>
    </cfRule>
  </conditionalFormatting>
  <conditionalFormatting sqref="AU209">
    <cfRule type="cellIs" dxfId="0" priority="2365" operator="lessThan">
      <formula>20</formula>
    </cfRule>
    <cfRule type="cellIs" dxfId="1" priority="1509" operator="greaterThan">
      <formula>120</formula>
    </cfRule>
    <cfRule type="containsText" dxfId="2" priority="653" operator="between" text="库存为">
      <formula>NOT(ISERROR(SEARCH("库存为",AU209)))</formula>
    </cfRule>
  </conditionalFormatting>
  <conditionalFormatting sqref="AU210">
    <cfRule type="cellIs" dxfId="0" priority="2364" operator="lessThan">
      <formula>20</formula>
    </cfRule>
    <cfRule type="cellIs" dxfId="1" priority="1508" operator="greaterThan">
      <formula>120</formula>
    </cfRule>
    <cfRule type="containsText" dxfId="2" priority="652" operator="between" text="库存为">
      <formula>NOT(ISERROR(SEARCH("库存为",AU210)))</formula>
    </cfRule>
  </conditionalFormatting>
  <conditionalFormatting sqref="AU211">
    <cfRule type="cellIs" dxfId="0" priority="2363" operator="lessThan">
      <formula>20</formula>
    </cfRule>
    <cfRule type="cellIs" dxfId="1" priority="1507" operator="greaterThan">
      <formula>120</formula>
    </cfRule>
    <cfRule type="containsText" dxfId="2" priority="651" operator="between" text="库存为">
      <formula>NOT(ISERROR(SEARCH("库存为",AU211)))</formula>
    </cfRule>
  </conditionalFormatting>
  <conditionalFormatting sqref="AU212">
    <cfRule type="cellIs" dxfId="0" priority="2362" operator="lessThan">
      <formula>20</formula>
    </cfRule>
    <cfRule type="cellIs" dxfId="1" priority="1506" operator="greaterThan">
      <formula>120</formula>
    </cfRule>
    <cfRule type="containsText" dxfId="2" priority="650" operator="between" text="库存为">
      <formula>NOT(ISERROR(SEARCH("库存为",AU212)))</formula>
    </cfRule>
  </conditionalFormatting>
  <conditionalFormatting sqref="AU213">
    <cfRule type="cellIs" dxfId="0" priority="2361" operator="lessThan">
      <formula>20</formula>
    </cfRule>
    <cfRule type="cellIs" dxfId="1" priority="1505" operator="greaterThan">
      <formula>120</formula>
    </cfRule>
    <cfRule type="containsText" dxfId="2" priority="649" operator="between" text="库存为">
      <formula>NOT(ISERROR(SEARCH("库存为",AU213)))</formula>
    </cfRule>
  </conditionalFormatting>
  <conditionalFormatting sqref="AU214">
    <cfRule type="cellIs" dxfId="0" priority="2360" operator="lessThan">
      <formula>20</formula>
    </cfRule>
    <cfRule type="cellIs" dxfId="1" priority="1504" operator="greaterThan">
      <formula>120</formula>
    </cfRule>
    <cfRule type="containsText" dxfId="2" priority="648" operator="between" text="库存为">
      <formula>NOT(ISERROR(SEARCH("库存为",AU214)))</formula>
    </cfRule>
  </conditionalFormatting>
  <conditionalFormatting sqref="AU215">
    <cfRule type="cellIs" dxfId="0" priority="2359" operator="lessThan">
      <formula>20</formula>
    </cfRule>
    <cfRule type="cellIs" dxfId="1" priority="1503" operator="greaterThan">
      <formula>120</formula>
    </cfRule>
    <cfRule type="containsText" dxfId="2" priority="647" operator="between" text="库存为">
      <formula>NOT(ISERROR(SEARCH("库存为",AU215)))</formula>
    </cfRule>
  </conditionalFormatting>
  <conditionalFormatting sqref="AU216">
    <cfRule type="cellIs" dxfId="0" priority="2358" operator="lessThan">
      <formula>20</formula>
    </cfRule>
    <cfRule type="cellIs" dxfId="1" priority="1502" operator="greaterThan">
      <formula>120</formula>
    </cfRule>
    <cfRule type="containsText" dxfId="2" priority="646" operator="between" text="库存为">
      <formula>NOT(ISERROR(SEARCH("库存为",AU216)))</formula>
    </cfRule>
  </conditionalFormatting>
  <conditionalFormatting sqref="AU217">
    <cfRule type="cellIs" dxfId="0" priority="2357" operator="lessThan">
      <formula>20</formula>
    </cfRule>
    <cfRule type="cellIs" dxfId="1" priority="1501" operator="greaterThan">
      <formula>120</formula>
    </cfRule>
    <cfRule type="containsText" dxfId="2" priority="645" operator="between" text="库存为">
      <formula>NOT(ISERROR(SEARCH("库存为",AU217)))</formula>
    </cfRule>
  </conditionalFormatting>
  <conditionalFormatting sqref="AU218">
    <cfRule type="cellIs" dxfId="0" priority="2356" operator="lessThan">
      <formula>20</formula>
    </cfRule>
    <cfRule type="cellIs" dxfId="1" priority="1500" operator="greaterThan">
      <formula>120</formula>
    </cfRule>
    <cfRule type="containsText" dxfId="2" priority="644" operator="between" text="库存为">
      <formula>NOT(ISERROR(SEARCH("库存为",AU218)))</formula>
    </cfRule>
  </conditionalFormatting>
  <conditionalFormatting sqref="AU219">
    <cfRule type="cellIs" dxfId="0" priority="2355" operator="lessThan">
      <formula>20</formula>
    </cfRule>
    <cfRule type="cellIs" dxfId="1" priority="1499" operator="greaterThan">
      <formula>120</formula>
    </cfRule>
    <cfRule type="containsText" dxfId="2" priority="643" operator="between" text="库存为">
      <formula>NOT(ISERROR(SEARCH("库存为",AU219)))</formula>
    </cfRule>
  </conditionalFormatting>
  <conditionalFormatting sqref="AU220">
    <cfRule type="cellIs" dxfId="0" priority="2354" operator="lessThan">
      <formula>20</formula>
    </cfRule>
    <cfRule type="cellIs" dxfId="1" priority="1498" operator="greaterThan">
      <formula>120</formula>
    </cfRule>
    <cfRule type="containsText" dxfId="2" priority="642" operator="between" text="库存为">
      <formula>NOT(ISERROR(SEARCH("库存为",AU220)))</formula>
    </cfRule>
  </conditionalFormatting>
  <conditionalFormatting sqref="AU221">
    <cfRule type="cellIs" dxfId="0" priority="2353" operator="lessThan">
      <formula>20</formula>
    </cfRule>
    <cfRule type="cellIs" dxfId="1" priority="1497" operator="greaterThan">
      <formula>120</formula>
    </cfRule>
    <cfRule type="containsText" dxfId="2" priority="641" operator="between" text="库存为">
      <formula>NOT(ISERROR(SEARCH("库存为",AU221)))</formula>
    </cfRule>
  </conditionalFormatting>
  <conditionalFormatting sqref="AU222">
    <cfRule type="cellIs" dxfId="0" priority="2352" operator="lessThan">
      <formula>20</formula>
    </cfRule>
    <cfRule type="cellIs" dxfId="1" priority="1496" operator="greaterThan">
      <formula>120</formula>
    </cfRule>
    <cfRule type="containsText" dxfId="2" priority="640" operator="between" text="库存为">
      <formula>NOT(ISERROR(SEARCH("库存为",AU222)))</formula>
    </cfRule>
  </conditionalFormatting>
  <conditionalFormatting sqref="AU223">
    <cfRule type="cellIs" dxfId="0" priority="2351" operator="lessThan">
      <formula>20</formula>
    </cfRule>
    <cfRule type="cellIs" dxfId="1" priority="1495" operator="greaterThan">
      <formula>120</formula>
    </cfRule>
    <cfRule type="containsText" dxfId="2" priority="639" operator="between" text="库存为">
      <formula>NOT(ISERROR(SEARCH("库存为",AU223)))</formula>
    </cfRule>
  </conditionalFormatting>
  <conditionalFormatting sqref="AU224">
    <cfRule type="cellIs" dxfId="0" priority="2350" operator="lessThan">
      <formula>20</formula>
    </cfRule>
    <cfRule type="cellIs" dxfId="1" priority="1494" operator="greaterThan">
      <formula>120</formula>
    </cfRule>
    <cfRule type="containsText" dxfId="2" priority="638" operator="between" text="库存为">
      <formula>NOT(ISERROR(SEARCH("库存为",AU224)))</formula>
    </cfRule>
  </conditionalFormatting>
  <conditionalFormatting sqref="AU225">
    <cfRule type="cellIs" dxfId="0" priority="2349" operator="lessThan">
      <formula>20</formula>
    </cfRule>
    <cfRule type="cellIs" dxfId="1" priority="1493" operator="greaterThan">
      <formula>120</formula>
    </cfRule>
    <cfRule type="containsText" dxfId="2" priority="637" operator="between" text="库存为">
      <formula>NOT(ISERROR(SEARCH("库存为",AU225)))</formula>
    </cfRule>
  </conditionalFormatting>
  <conditionalFormatting sqref="AU226">
    <cfRule type="cellIs" dxfId="0" priority="2348" operator="lessThan">
      <formula>20</formula>
    </cfRule>
    <cfRule type="cellIs" dxfId="1" priority="1492" operator="greaterThan">
      <formula>120</formula>
    </cfRule>
    <cfRule type="containsText" dxfId="2" priority="636" operator="between" text="库存为">
      <formula>NOT(ISERROR(SEARCH("库存为",AU226)))</formula>
    </cfRule>
  </conditionalFormatting>
  <conditionalFormatting sqref="AU227">
    <cfRule type="cellIs" dxfId="0" priority="2347" operator="lessThan">
      <formula>20</formula>
    </cfRule>
    <cfRule type="cellIs" dxfId="1" priority="1491" operator="greaterThan">
      <formula>120</formula>
    </cfRule>
    <cfRule type="containsText" dxfId="2" priority="635" operator="between" text="库存为">
      <formula>NOT(ISERROR(SEARCH("库存为",AU227)))</formula>
    </cfRule>
  </conditionalFormatting>
  <conditionalFormatting sqref="AU228">
    <cfRule type="cellIs" dxfId="0" priority="2346" operator="lessThan">
      <formula>20</formula>
    </cfRule>
    <cfRule type="cellIs" dxfId="1" priority="1490" operator="greaterThan">
      <formula>120</formula>
    </cfRule>
    <cfRule type="containsText" dxfId="2" priority="634" operator="between" text="库存为">
      <formula>NOT(ISERROR(SEARCH("库存为",AU228)))</formula>
    </cfRule>
  </conditionalFormatting>
  <conditionalFormatting sqref="AU229">
    <cfRule type="cellIs" dxfId="0" priority="2345" operator="lessThan">
      <formula>20</formula>
    </cfRule>
    <cfRule type="cellIs" dxfId="1" priority="1489" operator="greaterThan">
      <formula>120</formula>
    </cfRule>
    <cfRule type="containsText" dxfId="2" priority="633" operator="between" text="库存为">
      <formula>NOT(ISERROR(SEARCH("库存为",AU229)))</formula>
    </cfRule>
  </conditionalFormatting>
  <conditionalFormatting sqref="AU230">
    <cfRule type="cellIs" dxfId="0" priority="2344" operator="lessThan">
      <formula>20</formula>
    </cfRule>
    <cfRule type="cellIs" dxfId="1" priority="1488" operator="greaterThan">
      <formula>120</formula>
    </cfRule>
    <cfRule type="containsText" dxfId="2" priority="632" operator="between" text="库存为">
      <formula>NOT(ISERROR(SEARCH("库存为",AU230)))</formula>
    </cfRule>
  </conditionalFormatting>
  <conditionalFormatting sqref="AU231">
    <cfRule type="cellIs" dxfId="0" priority="2343" operator="lessThan">
      <formula>20</formula>
    </cfRule>
    <cfRule type="cellIs" dxfId="1" priority="1487" operator="greaterThan">
      <formula>120</formula>
    </cfRule>
    <cfRule type="containsText" dxfId="2" priority="631" operator="between" text="库存为">
      <formula>NOT(ISERROR(SEARCH("库存为",AU231)))</formula>
    </cfRule>
  </conditionalFormatting>
  <conditionalFormatting sqref="AU232">
    <cfRule type="cellIs" dxfId="0" priority="2342" operator="lessThan">
      <formula>20</formula>
    </cfRule>
    <cfRule type="cellIs" dxfId="1" priority="1486" operator="greaterThan">
      <formula>120</formula>
    </cfRule>
    <cfRule type="containsText" dxfId="2" priority="630" operator="between" text="库存为">
      <formula>NOT(ISERROR(SEARCH("库存为",AU232)))</formula>
    </cfRule>
  </conditionalFormatting>
  <conditionalFormatting sqref="AU233">
    <cfRule type="cellIs" dxfId="0" priority="2341" operator="lessThan">
      <formula>20</formula>
    </cfRule>
    <cfRule type="cellIs" dxfId="1" priority="1485" operator="greaterThan">
      <formula>120</formula>
    </cfRule>
    <cfRule type="containsText" dxfId="2" priority="629" operator="between" text="库存为">
      <formula>NOT(ISERROR(SEARCH("库存为",AU233)))</formula>
    </cfRule>
  </conditionalFormatting>
  <conditionalFormatting sqref="AU234">
    <cfRule type="cellIs" dxfId="0" priority="2340" operator="lessThan">
      <formula>20</formula>
    </cfRule>
    <cfRule type="cellIs" dxfId="1" priority="1484" operator="greaterThan">
      <formula>120</formula>
    </cfRule>
    <cfRule type="containsText" dxfId="2" priority="628" operator="between" text="库存为">
      <formula>NOT(ISERROR(SEARCH("库存为",AU234)))</formula>
    </cfRule>
  </conditionalFormatting>
  <conditionalFormatting sqref="AU235">
    <cfRule type="cellIs" dxfId="0" priority="2339" operator="lessThan">
      <formula>20</formula>
    </cfRule>
    <cfRule type="cellIs" dxfId="1" priority="1483" operator="greaterThan">
      <formula>120</formula>
    </cfRule>
    <cfRule type="containsText" dxfId="2" priority="627" operator="between" text="库存为">
      <formula>NOT(ISERROR(SEARCH("库存为",AU235)))</formula>
    </cfRule>
  </conditionalFormatting>
  <conditionalFormatting sqref="AU236">
    <cfRule type="cellIs" dxfId="0" priority="2338" operator="lessThan">
      <formula>20</formula>
    </cfRule>
    <cfRule type="cellIs" dxfId="1" priority="1482" operator="greaterThan">
      <formula>120</formula>
    </cfRule>
    <cfRule type="containsText" dxfId="2" priority="626" operator="between" text="库存为">
      <formula>NOT(ISERROR(SEARCH("库存为",AU236)))</formula>
    </cfRule>
  </conditionalFormatting>
  <conditionalFormatting sqref="AU237">
    <cfRule type="cellIs" dxfId="0" priority="2337" operator="lessThan">
      <formula>20</formula>
    </cfRule>
    <cfRule type="cellIs" dxfId="1" priority="1481" operator="greaterThan">
      <formula>120</formula>
    </cfRule>
    <cfRule type="containsText" dxfId="2" priority="625" operator="between" text="库存为">
      <formula>NOT(ISERROR(SEARCH("库存为",AU237)))</formula>
    </cfRule>
  </conditionalFormatting>
  <conditionalFormatting sqref="AU238">
    <cfRule type="cellIs" dxfId="0" priority="2336" operator="lessThan">
      <formula>20</formula>
    </cfRule>
    <cfRule type="cellIs" dxfId="1" priority="1480" operator="greaterThan">
      <formula>120</formula>
    </cfRule>
    <cfRule type="containsText" dxfId="2" priority="624" operator="between" text="库存为">
      <formula>NOT(ISERROR(SEARCH("库存为",AU238)))</formula>
    </cfRule>
  </conditionalFormatting>
  <conditionalFormatting sqref="AU239">
    <cfRule type="cellIs" dxfId="0" priority="2335" operator="lessThan">
      <formula>20</formula>
    </cfRule>
    <cfRule type="cellIs" dxfId="1" priority="1479" operator="greaterThan">
      <formula>120</formula>
    </cfRule>
    <cfRule type="containsText" dxfId="2" priority="623" operator="between" text="库存为">
      <formula>NOT(ISERROR(SEARCH("库存为",AU239)))</formula>
    </cfRule>
  </conditionalFormatting>
  <conditionalFormatting sqref="AU240">
    <cfRule type="cellIs" dxfId="0" priority="2334" operator="lessThan">
      <formula>20</formula>
    </cfRule>
    <cfRule type="cellIs" dxfId="1" priority="1478" operator="greaterThan">
      <formula>120</formula>
    </cfRule>
    <cfRule type="containsText" dxfId="2" priority="622" operator="between" text="库存为">
      <formula>NOT(ISERROR(SEARCH("库存为",AU240)))</formula>
    </cfRule>
  </conditionalFormatting>
  <conditionalFormatting sqref="AU241">
    <cfRule type="cellIs" dxfId="0" priority="2333" operator="lessThan">
      <formula>20</formula>
    </cfRule>
    <cfRule type="cellIs" dxfId="1" priority="1477" operator="greaterThan">
      <formula>120</formula>
    </cfRule>
    <cfRule type="containsText" dxfId="2" priority="621" operator="between" text="库存为">
      <formula>NOT(ISERROR(SEARCH("库存为",AU241)))</formula>
    </cfRule>
  </conditionalFormatting>
  <conditionalFormatting sqref="AU242">
    <cfRule type="cellIs" dxfId="0" priority="2332" operator="lessThan">
      <formula>20</formula>
    </cfRule>
    <cfRule type="cellIs" dxfId="1" priority="1476" operator="greaterThan">
      <formula>120</formula>
    </cfRule>
    <cfRule type="containsText" dxfId="2" priority="620" operator="between" text="库存为">
      <formula>NOT(ISERROR(SEARCH("库存为",AU242)))</formula>
    </cfRule>
  </conditionalFormatting>
  <conditionalFormatting sqref="AU243">
    <cfRule type="cellIs" dxfId="0" priority="2331" operator="lessThan">
      <formula>20</formula>
    </cfRule>
    <cfRule type="cellIs" dxfId="1" priority="1475" operator="greaterThan">
      <formula>120</formula>
    </cfRule>
    <cfRule type="containsText" dxfId="2" priority="619" operator="between" text="库存为">
      <formula>NOT(ISERROR(SEARCH("库存为",AU243)))</formula>
    </cfRule>
  </conditionalFormatting>
  <conditionalFormatting sqref="AU244">
    <cfRule type="cellIs" dxfId="0" priority="2330" operator="lessThan">
      <formula>20</formula>
    </cfRule>
    <cfRule type="cellIs" dxfId="1" priority="1474" operator="greaterThan">
      <formula>120</formula>
    </cfRule>
    <cfRule type="containsText" dxfId="2" priority="618" operator="between" text="库存为">
      <formula>NOT(ISERROR(SEARCH("库存为",AU244)))</formula>
    </cfRule>
  </conditionalFormatting>
  <conditionalFormatting sqref="AU245">
    <cfRule type="cellIs" dxfId="0" priority="2329" operator="lessThan">
      <formula>20</formula>
    </cfRule>
    <cfRule type="cellIs" dxfId="1" priority="1473" operator="greaterThan">
      <formula>120</formula>
    </cfRule>
    <cfRule type="containsText" dxfId="2" priority="617" operator="between" text="库存为">
      <formula>NOT(ISERROR(SEARCH("库存为",AU245)))</formula>
    </cfRule>
  </conditionalFormatting>
  <conditionalFormatting sqref="AU246">
    <cfRule type="cellIs" dxfId="0" priority="2328" operator="lessThan">
      <formula>20</formula>
    </cfRule>
    <cfRule type="cellIs" dxfId="1" priority="1472" operator="greaterThan">
      <formula>120</formula>
    </cfRule>
    <cfRule type="containsText" dxfId="2" priority="616" operator="between" text="库存为">
      <formula>NOT(ISERROR(SEARCH("库存为",AU246)))</formula>
    </cfRule>
  </conditionalFormatting>
  <conditionalFormatting sqref="AU247">
    <cfRule type="cellIs" dxfId="0" priority="2327" operator="lessThan">
      <formula>20</formula>
    </cfRule>
    <cfRule type="cellIs" dxfId="1" priority="1471" operator="greaterThan">
      <formula>120</formula>
    </cfRule>
    <cfRule type="containsText" dxfId="2" priority="615" operator="between" text="库存为">
      <formula>NOT(ISERROR(SEARCH("库存为",AU247)))</formula>
    </cfRule>
  </conditionalFormatting>
  <conditionalFormatting sqref="AU248">
    <cfRule type="cellIs" dxfId="0" priority="2326" operator="lessThan">
      <formula>20</formula>
    </cfRule>
    <cfRule type="cellIs" dxfId="1" priority="1470" operator="greaterThan">
      <formula>120</formula>
    </cfRule>
    <cfRule type="containsText" dxfId="2" priority="614" operator="between" text="库存为">
      <formula>NOT(ISERROR(SEARCH("库存为",AU248)))</formula>
    </cfRule>
  </conditionalFormatting>
  <conditionalFormatting sqref="AU249">
    <cfRule type="cellIs" dxfId="0" priority="2325" operator="lessThan">
      <formula>20</formula>
    </cfRule>
    <cfRule type="cellIs" dxfId="1" priority="1469" operator="greaterThan">
      <formula>120</formula>
    </cfRule>
    <cfRule type="containsText" dxfId="2" priority="613" operator="between" text="库存为">
      <formula>NOT(ISERROR(SEARCH("库存为",AU249)))</formula>
    </cfRule>
  </conditionalFormatting>
  <conditionalFormatting sqref="AU250">
    <cfRule type="cellIs" dxfId="0" priority="2324" operator="lessThan">
      <formula>20</formula>
    </cfRule>
    <cfRule type="cellIs" dxfId="1" priority="1468" operator="greaterThan">
      <formula>120</formula>
    </cfRule>
    <cfRule type="containsText" dxfId="2" priority="612" operator="between" text="库存为">
      <formula>NOT(ISERROR(SEARCH("库存为",AU250)))</formula>
    </cfRule>
  </conditionalFormatting>
  <conditionalFormatting sqref="AU251">
    <cfRule type="cellIs" dxfId="0" priority="2323" operator="lessThan">
      <formula>20</formula>
    </cfRule>
    <cfRule type="cellIs" dxfId="1" priority="1467" operator="greaterThan">
      <formula>120</formula>
    </cfRule>
    <cfRule type="containsText" dxfId="2" priority="611" operator="between" text="库存为">
      <formula>NOT(ISERROR(SEARCH("库存为",AU251)))</formula>
    </cfRule>
  </conditionalFormatting>
  <conditionalFormatting sqref="AU252">
    <cfRule type="cellIs" dxfId="0" priority="2322" operator="lessThan">
      <formula>20</formula>
    </cfRule>
    <cfRule type="cellIs" dxfId="1" priority="1466" operator="greaterThan">
      <formula>120</formula>
    </cfRule>
    <cfRule type="containsText" dxfId="2" priority="610" operator="between" text="库存为">
      <formula>NOT(ISERROR(SEARCH("库存为",AU252)))</formula>
    </cfRule>
  </conditionalFormatting>
  <conditionalFormatting sqref="AU253">
    <cfRule type="cellIs" dxfId="0" priority="2321" operator="lessThan">
      <formula>20</formula>
    </cfRule>
    <cfRule type="cellIs" dxfId="1" priority="1465" operator="greaterThan">
      <formula>120</formula>
    </cfRule>
    <cfRule type="containsText" dxfId="2" priority="609" operator="between" text="库存为">
      <formula>NOT(ISERROR(SEARCH("库存为",AU253)))</formula>
    </cfRule>
  </conditionalFormatting>
  <conditionalFormatting sqref="AU254">
    <cfRule type="cellIs" dxfId="0" priority="2320" operator="lessThan">
      <formula>20</formula>
    </cfRule>
    <cfRule type="cellIs" dxfId="1" priority="1464" operator="greaterThan">
      <formula>120</formula>
    </cfRule>
    <cfRule type="containsText" dxfId="2" priority="608" operator="between" text="库存为">
      <formula>NOT(ISERROR(SEARCH("库存为",AU254)))</formula>
    </cfRule>
  </conditionalFormatting>
  <conditionalFormatting sqref="AU255">
    <cfRule type="cellIs" dxfId="0" priority="2319" operator="lessThan">
      <formula>20</formula>
    </cfRule>
    <cfRule type="cellIs" dxfId="1" priority="1463" operator="greaterThan">
      <formula>120</formula>
    </cfRule>
    <cfRule type="containsText" dxfId="2" priority="607" operator="between" text="库存为">
      <formula>NOT(ISERROR(SEARCH("库存为",AU255)))</formula>
    </cfRule>
  </conditionalFormatting>
  <conditionalFormatting sqref="AU256">
    <cfRule type="cellIs" dxfId="0" priority="2318" operator="lessThan">
      <formula>20</formula>
    </cfRule>
    <cfRule type="cellIs" dxfId="1" priority="1462" operator="greaterThan">
      <formula>120</formula>
    </cfRule>
    <cfRule type="containsText" dxfId="2" priority="606" operator="between" text="库存为">
      <formula>NOT(ISERROR(SEARCH("库存为",AU256)))</formula>
    </cfRule>
  </conditionalFormatting>
  <conditionalFormatting sqref="AU257">
    <cfRule type="cellIs" dxfId="0" priority="2317" operator="lessThan">
      <formula>20</formula>
    </cfRule>
    <cfRule type="cellIs" dxfId="1" priority="1461" operator="greaterThan">
      <formula>120</formula>
    </cfRule>
    <cfRule type="containsText" dxfId="2" priority="605" operator="between" text="库存为">
      <formula>NOT(ISERROR(SEARCH("库存为",AU257)))</formula>
    </cfRule>
  </conditionalFormatting>
  <conditionalFormatting sqref="AU258">
    <cfRule type="cellIs" dxfId="0" priority="2316" operator="lessThan">
      <formula>20</formula>
    </cfRule>
    <cfRule type="cellIs" dxfId="1" priority="1460" operator="greaterThan">
      <formula>120</formula>
    </cfRule>
    <cfRule type="containsText" dxfId="2" priority="604" operator="between" text="库存为">
      <formula>NOT(ISERROR(SEARCH("库存为",AU258)))</formula>
    </cfRule>
  </conditionalFormatting>
  <conditionalFormatting sqref="AU259">
    <cfRule type="cellIs" dxfId="0" priority="2315" operator="lessThan">
      <formula>20</formula>
    </cfRule>
    <cfRule type="cellIs" dxfId="1" priority="1459" operator="greaterThan">
      <formula>120</formula>
    </cfRule>
    <cfRule type="containsText" dxfId="2" priority="603" operator="between" text="库存为">
      <formula>NOT(ISERROR(SEARCH("库存为",AU259)))</formula>
    </cfRule>
  </conditionalFormatting>
  <conditionalFormatting sqref="AU260">
    <cfRule type="cellIs" dxfId="0" priority="2314" operator="lessThan">
      <formula>20</formula>
    </cfRule>
    <cfRule type="cellIs" dxfId="1" priority="1458" operator="greaterThan">
      <formula>120</formula>
    </cfRule>
    <cfRule type="containsText" dxfId="2" priority="602" operator="between" text="库存为">
      <formula>NOT(ISERROR(SEARCH("库存为",AU260)))</formula>
    </cfRule>
  </conditionalFormatting>
  <conditionalFormatting sqref="AU261">
    <cfRule type="cellIs" dxfId="0" priority="2313" operator="lessThan">
      <formula>20</formula>
    </cfRule>
    <cfRule type="cellIs" dxfId="1" priority="1457" operator="greaterThan">
      <formula>120</formula>
    </cfRule>
    <cfRule type="containsText" dxfId="2" priority="601" operator="between" text="库存为">
      <formula>NOT(ISERROR(SEARCH("库存为",AU261)))</formula>
    </cfRule>
  </conditionalFormatting>
  <conditionalFormatting sqref="AU262">
    <cfRule type="cellIs" dxfId="0" priority="2312" operator="lessThan">
      <formula>20</formula>
    </cfRule>
    <cfRule type="cellIs" dxfId="1" priority="1456" operator="greaterThan">
      <formula>120</formula>
    </cfRule>
    <cfRule type="containsText" dxfId="2" priority="600" operator="between" text="库存为">
      <formula>NOT(ISERROR(SEARCH("库存为",AU262)))</formula>
    </cfRule>
  </conditionalFormatting>
  <conditionalFormatting sqref="AU263">
    <cfRule type="cellIs" dxfId="0" priority="2311" operator="lessThan">
      <formula>20</formula>
    </cfRule>
    <cfRule type="cellIs" dxfId="1" priority="1455" operator="greaterThan">
      <formula>120</formula>
    </cfRule>
    <cfRule type="containsText" dxfId="2" priority="599" operator="between" text="库存为">
      <formula>NOT(ISERROR(SEARCH("库存为",AU263)))</formula>
    </cfRule>
  </conditionalFormatting>
  <conditionalFormatting sqref="AU264">
    <cfRule type="cellIs" dxfId="0" priority="2310" operator="lessThan">
      <formula>20</formula>
    </cfRule>
    <cfRule type="cellIs" dxfId="1" priority="1454" operator="greaterThan">
      <formula>120</formula>
    </cfRule>
    <cfRule type="containsText" dxfId="2" priority="598" operator="between" text="库存为">
      <formula>NOT(ISERROR(SEARCH("库存为",AU264)))</formula>
    </cfRule>
  </conditionalFormatting>
  <conditionalFormatting sqref="AU265">
    <cfRule type="cellIs" dxfId="0" priority="2309" operator="lessThan">
      <formula>20</formula>
    </cfRule>
    <cfRule type="cellIs" dxfId="1" priority="1453" operator="greaterThan">
      <formula>120</formula>
    </cfRule>
    <cfRule type="containsText" dxfId="2" priority="597" operator="between" text="库存为">
      <formula>NOT(ISERROR(SEARCH("库存为",AU265)))</formula>
    </cfRule>
  </conditionalFormatting>
  <conditionalFormatting sqref="AU266">
    <cfRule type="cellIs" dxfId="0" priority="2308" operator="lessThan">
      <formula>20</formula>
    </cfRule>
    <cfRule type="cellIs" dxfId="1" priority="1452" operator="greaterThan">
      <formula>120</formula>
    </cfRule>
    <cfRule type="containsText" dxfId="2" priority="596" operator="between" text="库存为">
      <formula>NOT(ISERROR(SEARCH("库存为",AU266)))</formula>
    </cfRule>
  </conditionalFormatting>
  <conditionalFormatting sqref="AU267">
    <cfRule type="cellIs" dxfId="0" priority="2307" operator="lessThan">
      <formula>20</formula>
    </cfRule>
    <cfRule type="cellIs" dxfId="1" priority="1451" operator="greaterThan">
      <formula>120</formula>
    </cfRule>
    <cfRule type="containsText" dxfId="2" priority="595" operator="between" text="库存为">
      <formula>NOT(ISERROR(SEARCH("库存为",AU267)))</formula>
    </cfRule>
  </conditionalFormatting>
  <conditionalFormatting sqref="AU268">
    <cfRule type="cellIs" dxfId="0" priority="2306" operator="lessThan">
      <formula>20</formula>
    </cfRule>
    <cfRule type="cellIs" dxfId="1" priority="1450" operator="greaterThan">
      <formula>120</formula>
    </cfRule>
    <cfRule type="containsText" dxfId="2" priority="594" operator="between" text="库存为">
      <formula>NOT(ISERROR(SEARCH("库存为",AU268)))</formula>
    </cfRule>
  </conditionalFormatting>
  <conditionalFormatting sqref="AU269">
    <cfRule type="cellIs" dxfId="0" priority="2305" operator="lessThan">
      <formula>20</formula>
    </cfRule>
    <cfRule type="cellIs" dxfId="1" priority="1449" operator="greaterThan">
      <formula>120</formula>
    </cfRule>
    <cfRule type="containsText" dxfId="2" priority="593" operator="between" text="库存为">
      <formula>NOT(ISERROR(SEARCH("库存为",AU269)))</formula>
    </cfRule>
  </conditionalFormatting>
  <conditionalFormatting sqref="AU270">
    <cfRule type="cellIs" dxfId="0" priority="2304" operator="lessThan">
      <formula>20</formula>
    </cfRule>
    <cfRule type="cellIs" dxfId="1" priority="1448" operator="greaterThan">
      <formula>120</formula>
    </cfRule>
    <cfRule type="containsText" dxfId="2" priority="592" operator="between" text="库存为">
      <formula>NOT(ISERROR(SEARCH("库存为",AU270)))</formula>
    </cfRule>
  </conditionalFormatting>
  <conditionalFormatting sqref="AU271">
    <cfRule type="cellIs" dxfId="0" priority="2303" operator="lessThan">
      <formula>20</formula>
    </cfRule>
    <cfRule type="cellIs" dxfId="1" priority="1447" operator="greaterThan">
      <formula>120</formula>
    </cfRule>
    <cfRule type="containsText" dxfId="2" priority="591" operator="between" text="库存为">
      <formula>NOT(ISERROR(SEARCH("库存为",AU271)))</formula>
    </cfRule>
  </conditionalFormatting>
  <conditionalFormatting sqref="AU272">
    <cfRule type="cellIs" dxfId="0" priority="2302" operator="lessThan">
      <formula>20</formula>
    </cfRule>
    <cfRule type="cellIs" dxfId="1" priority="1446" operator="greaterThan">
      <formula>120</formula>
    </cfRule>
    <cfRule type="containsText" dxfId="2" priority="590" operator="between" text="库存为">
      <formula>NOT(ISERROR(SEARCH("库存为",AU272)))</formula>
    </cfRule>
  </conditionalFormatting>
  <conditionalFormatting sqref="AU273">
    <cfRule type="cellIs" dxfId="0" priority="2301" operator="lessThan">
      <formula>20</formula>
    </cfRule>
    <cfRule type="cellIs" dxfId="1" priority="1445" operator="greaterThan">
      <formula>120</formula>
    </cfRule>
    <cfRule type="containsText" dxfId="2" priority="589" operator="between" text="库存为">
      <formula>NOT(ISERROR(SEARCH("库存为",AU273)))</formula>
    </cfRule>
  </conditionalFormatting>
  <conditionalFormatting sqref="AU274">
    <cfRule type="cellIs" dxfId="0" priority="2300" operator="lessThan">
      <formula>20</formula>
    </cfRule>
    <cfRule type="cellIs" dxfId="1" priority="1444" operator="greaterThan">
      <formula>120</formula>
    </cfRule>
    <cfRule type="containsText" dxfId="2" priority="588" operator="between" text="库存为">
      <formula>NOT(ISERROR(SEARCH("库存为",AU274)))</formula>
    </cfRule>
  </conditionalFormatting>
  <conditionalFormatting sqref="AU275">
    <cfRule type="cellIs" dxfId="0" priority="2299" operator="lessThan">
      <formula>20</formula>
    </cfRule>
    <cfRule type="cellIs" dxfId="1" priority="1443" operator="greaterThan">
      <formula>120</formula>
    </cfRule>
    <cfRule type="containsText" dxfId="2" priority="587" operator="between" text="库存为">
      <formula>NOT(ISERROR(SEARCH("库存为",AU275)))</formula>
    </cfRule>
  </conditionalFormatting>
  <conditionalFormatting sqref="AU276">
    <cfRule type="cellIs" dxfId="0" priority="2298" operator="lessThan">
      <formula>20</formula>
    </cfRule>
    <cfRule type="cellIs" dxfId="1" priority="1442" operator="greaterThan">
      <formula>120</formula>
    </cfRule>
    <cfRule type="containsText" dxfId="2" priority="586" operator="between" text="库存为">
      <formula>NOT(ISERROR(SEARCH("库存为",AU276)))</formula>
    </cfRule>
  </conditionalFormatting>
  <conditionalFormatting sqref="AU277">
    <cfRule type="cellIs" dxfId="0" priority="2297" operator="lessThan">
      <formula>20</formula>
    </cfRule>
    <cfRule type="cellIs" dxfId="1" priority="1441" operator="greaterThan">
      <formula>120</formula>
    </cfRule>
    <cfRule type="containsText" dxfId="2" priority="585" operator="between" text="库存为">
      <formula>NOT(ISERROR(SEARCH("库存为",AU277)))</formula>
    </cfRule>
  </conditionalFormatting>
  <conditionalFormatting sqref="AU278">
    <cfRule type="cellIs" dxfId="0" priority="2296" operator="lessThan">
      <formula>20</formula>
    </cfRule>
    <cfRule type="cellIs" dxfId="1" priority="1440" operator="greaterThan">
      <formula>120</formula>
    </cfRule>
    <cfRule type="containsText" dxfId="2" priority="584" operator="between" text="库存为">
      <formula>NOT(ISERROR(SEARCH("库存为",AU278)))</formula>
    </cfRule>
  </conditionalFormatting>
  <conditionalFormatting sqref="AU279">
    <cfRule type="cellIs" dxfId="0" priority="2295" operator="lessThan">
      <formula>20</formula>
    </cfRule>
    <cfRule type="cellIs" dxfId="1" priority="1439" operator="greaterThan">
      <formula>120</formula>
    </cfRule>
    <cfRule type="containsText" dxfId="2" priority="583" operator="between" text="库存为">
      <formula>NOT(ISERROR(SEARCH("库存为",AU279)))</formula>
    </cfRule>
  </conditionalFormatting>
  <conditionalFormatting sqref="AU280">
    <cfRule type="cellIs" dxfId="0" priority="2294" operator="lessThan">
      <formula>20</formula>
    </cfRule>
    <cfRule type="cellIs" dxfId="1" priority="1438" operator="greaterThan">
      <formula>120</formula>
    </cfRule>
    <cfRule type="containsText" dxfId="2" priority="582" operator="between" text="库存为">
      <formula>NOT(ISERROR(SEARCH("库存为",AU280)))</formula>
    </cfRule>
  </conditionalFormatting>
  <conditionalFormatting sqref="AU281">
    <cfRule type="cellIs" dxfId="0" priority="2293" operator="lessThan">
      <formula>20</formula>
    </cfRule>
    <cfRule type="cellIs" dxfId="1" priority="1437" operator="greaterThan">
      <formula>120</formula>
    </cfRule>
    <cfRule type="containsText" dxfId="2" priority="581" operator="between" text="库存为">
      <formula>NOT(ISERROR(SEARCH("库存为",AU281)))</formula>
    </cfRule>
  </conditionalFormatting>
  <conditionalFormatting sqref="AU282">
    <cfRule type="cellIs" dxfId="0" priority="2292" operator="lessThan">
      <formula>20</formula>
    </cfRule>
    <cfRule type="cellIs" dxfId="1" priority="1436" operator="greaterThan">
      <formula>120</formula>
    </cfRule>
    <cfRule type="containsText" dxfId="2" priority="580" operator="between" text="库存为">
      <formula>NOT(ISERROR(SEARCH("库存为",AU282)))</formula>
    </cfRule>
  </conditionalFormatting>
  <conditionalFormatting sqref="AU283">
    <cfRule type="cellIs" dxfId="0" priority="2291" operator="lessThan">
      <formula>20</formula>
    </cfRule>
    <cfRule type="cellIs" dxfId="1" priority="1435" operator="greaterThan">
      <formula>120</formula>
    </cfRule>
    <cfRule type="containsText" dxfId="2" priority="579" operator="between" text="库存为">
      <formula>NOT(ISERROR(SEARCH("库存为",AU283)))</formula>
    </cfRule>
  </conditionalFormatting>
  <conditionalFormatting sqref="AU284">
    <cfRule type="cellIs" dxfId="0" priority="2290" operator="lessThan">
      <formula>20</formula>
    </cfRule>
    <cfRule type="cellIs" dxfId="1" priority="1434" operator="greaterThan">
      <formula>120</formula>
    </cfRule>
    <cfRule type="containsText" dxfId="2" priority="578" operator="between" text="库存为">
      <formula>NOT(ISERROR(SEARCH("库存为",AU284)))</formula>
    </cfRule>
  </conditionalFormatting>
  <conditionalFormatting sqref="AU285">
    <cfRule type="cellIs" dxfId="0" priority="2289" operator="lessThan">
      <formula>20</formula>
    </cfRule>
    <cfRule type="cellIs" dxfId="1" priority="1433" operator="greaterThan">
      <formula>120</formula>
    </cfRule>
    <cfRule type="containsText" dxfId="2" priority="577" operator="between" text="库存为">
      <formula>NOT(ISERROR(SEARCH("库存为",AU285)))</formula>
    </cfRule>
  </conditionalFormatting>
  <conditionalFormatting sqref="AU286">
    <cfRule type="cellIs" dxfId="0" priority="2288" operator="lessThan">
      <formula>20</formula>
    </cfRule>
    <cfRule type="cellIs" dxfId="1" priority="1432" operator="greaterThan">
      <formula>120</formula>
    </cfRule>
    <cfRule type="containsText" dxfId="2" priority="576" operator="between" text="库存为">
      <formula>NOT(ISERROR(SEARCH("库存为",AU286)))</formula>
    </cfRule>
  </conditionalFormatting>
  <conditionalFormatting sqref="AU287">
    <cfRule type="cellIs" dxfId="0" priority="2287" operator="lessThan">
      <formula>20</formula>
    </cfRule>
    <cfRule type="cellIs" dxfId="1" priority="1431" operator="greaterThan">
      <formula>120</formula>
    </cfRule>
    <cfRule type="containsText" dxfId="2" priority="575" operator="between" text="库存为">
      <formula>NOT(ISERROR(SEARCH("库存为",AU287)))</formula>
    </cfRule>
  </conditionalFormatting>
  <conditionalFormatting sqref="AU288">
    <cfRule type="cellIs" dxfId="0" priority="2286" operator="lessThan">
      <formula>20</formula>
    </cfRule>
    <cfRule type="cellIs" dxfId="1" priority="1430" operator="greaterThan">
      <formula>120</formula>
    </cfRule>
    <cfRule type="containsText" dxfId="2" priority="574" operator="between" text="库存为">
      <formula>NOT(ISERROR(SEARCH("库存为",AU288)))</formula>
    </cfRule>
  </conditionalFormatting>
  <conditionalFormatting sqref="AU289">
    <cfRule type="cellIs" dxfId="0" priority="2285" operator="lessThan">
      <formula>20</formula>
    </cfRule>
    <cfRule type="cellIs" dxfId="1" priority="1429" operator="greaterThan">
      <formula>120</formula>
    </cfRule>
    <cfRule type="containsText" dxfId="2" priority="573" operator="between" text="库存为">
      <formula>NOT(ISERROR(SEARCH("库存为",AU289)))</formula>
    </cfRule>
  </conditionalFormatting>
  <conditionalFormatting sqref="AU290">
    <cfRule type="cellIs" dxfId="0" priority="2284" operator="lessThan">
      <formula>20</formula>
    </cfRule>
    <cfRule type="cellIs" dxfId="1" priority="1428" operator="greaterThan">
      <formula>120</formula>
    </cfRule>
    <cfRule type="containsText" dxfId="2" priority="572" operator="between" text="库存为">
      <formula>NOT(ISERROR(SEARCH("库存为",AU290)))</formula>
    </cfRule>
  </conditionalFormatting>
  <conditionalFormatting sqref="AU291">
    <cfRule type="cellIs" dxfId="0" priority="2283" operator="lessThan">
      <formula>20</formula>
    </cfRule>
    <cfRule type="cellIs" dxfId="1" priority="1427" operator="greaterThan">
      <formula>120</formula>
    </cfRule>
    <cfRule type="containsText" dxfId="2" priority="571" operator="between" text="库存为">
      <formula>NOT(ISERROR(SEARCH("库存为",AU291)))</formula>
    </cfRule>
  </conditionalFormatting>
  <conditionalFormatting sqref="AU292">
    <cfRule type="cellIs" dxfId="0" priority="2282" operator="lessThan">
      <formula>20</formula>
    </cfRule>
    <cfRule type="cellIs" dxfId="1" priority="1426" operator="greaterThan">
      <formula>120</formula>
    </cfRule>
    <cfRule type="containsText" dxfId="2" priority="570" operator="between" text="库存为">
      <formula>NOT(ISERROR(SEARCH("库存为",AU292)))</formula>
    </cfRule>
  </conditionalFormatting>
  <conditionalFormatting sqref="AU293">
    <cfRule type="cellIs" dxfId="0" priority="2281" operator="lessThan">
      <formula>20</formula>
    </cfRule>
    <cfRule type="cellIs" dxfId="1" priority="1425" operator="greaterThan">
      <formula>120</formula>
    </cfRule>
    <cfRule type="containsText" dxfId="2" priority="569" operator="between" text="库存为">
      <formula>NOT(ISERROR(SEARCH("库存为",AU293)))</formula>
    </cfRule>
  </conditionalFormatting>
  <conditionalFormatting sqref="AU294">
    <cfRule type="cellIs" dxfId="0" priority="2280" operator="lessThan">
      <formula>20</formula>
    </cfRule>
    <cfRule type="cellIs" dxfId="1" priority="1424" operator="greaterThan">
      <formula>120</formula>
    </cfRule>
    <cfRule type="containsText" dxfId="2" priority="568" operator="between" text="库存为">
      <formula>NOT(ISERROR(SEARCH("库存为",AU294)))</formula>
    </cfRule>
  </conditionalFormatting>
  <conditionalFormatting sqref="AU295">
    <cfRule type="cellIs" dxfId="0" priority="2279" operator="lessThan">
      <formula>20</formula>
    </cfRule>
    <cfRule type="cellIs" dxfId="1" priority="1423" operator="greaterThan">
      <formula>120</formula>
    </cfRule>
    <cfRule type="containsText" dxfId="2" priority="567" operator="between" text="库存为">
      <formula>NOT(ISERROR(SEARCH("库存为",AU295)))</formula>
    </cfRule>
  </conditionalFormatting>
  <conditionalFormatting sqref="AU296">
    <cfRule type="cellIs" dxfId="0" priority="2278" operator="lessThan">
      <formula>20</formula>
    </cfRule>
    <cfRule type="cellIs" dxfId="1" priority="1422" operator="greaterThan">
      <formula>120</formula>
    </cfRule>
    <cfRule type="containsText" dxfId="2" priority="566" operator="between" text="库存为">
      <formula>NOT(ISERROR(SEARCH("库存为",AU296)))</formula>
    </cfRule>
  </conditionalFormatting>
  <conditionalFormatting sqref="AU297">
    <cfRule type="cellIs" dxfId="0" priority="2277" operator="lessThan">
      <formula>20</formula>
    </cfRule>
    <cfRule type="cellIs" dxfId="1" priority="1421" operator="greaterThan">
      <formula>120</formula>
    </cfRule>
    <cfRule type="containsText" dxfId="2" priority="565" operator="between" text="库存为">
      <formula>NOT(ISERROR(SEARCH("库存为",AU297)))</formula>
    </cfRule>
  </conditionalFormatting>
  <conditionalFormatting sqref="AU298">
    <cfRule type="cellIs" dxfId="0" priority="2276" operator="lessThan">
      <formula>20</formula>
    </cfRule>
    <cfRule type="cellIs" dxfId="1" priority="1420" operator="greaterThan">
      <formula>120</formula>
    </cfRule>
    <cfRule type="containsText" dxfId="2" priority="564" operator="between" text="库存为">
      <formula>NOT(ISERROR(SEARCH("库存为",AU298)))</formula>
    </cfRule>
  </conditionalFormatting>
  <conditionalFormatting sqref="AU299">
    <cfRule type="cellIs" dxfId="0" priority="2275" operator="lessThan">
      <formula>20</formula>
    </cfRule>
    <cfRule type="cellIs" dxfId="1" priority="1419" operator="greaterThan">
      <formula>120</formula>
    </cfRule>
    <cfRule type="containsText" dxfId="2" priority="563" operator="between" text="库存为">
      <formula>NOT(ISERROR(SEARCH("库存为",AU299)))</formula>
    </cfRule>
  </conditionalFormatting>
  <conditionalFormatting sqref="AU300">
    <cfRule type="cellIs" dxfId="0" priority="2274" operator="lessThan">
      <formula>20</formula>
    </cfRule>
    <cfRule type="cellIs" dxfId="1" priority="1418" operator="greaterThan">
      <formula>120</formula>
    </cfRule>
    <cfRule type="containsText" dxfId="2" priority="562" operator="between" text="库存为">
      <formula>NOT(ISERROR(SEARCH("库存为",AU300)))</formula>
    </cfRule>
  </conditionalFormatting>
  <conditionalFormatting sqref="AU301">
    <cfRule type="cellIs" dxfId="0" priority="2273" operator="lessThan">
      <formula>20</formula>
    </cfRule>
    <cfRule type="cellIs" dxfId="1" priority="1417" operator="greaterThan">
      <formula>120</formula>
    </cfRule>
    <cfRule type="containsText" dxfId="2" priority="561" operator="between" text="库存为">
      <formula>NOT(ISERROR(SEARCH("库存为",AU301)))</formula>
    </cfRule>
  </conditionalFormatting>
  <conditionalFormatting sqref="AU302">
    <cfRule type="cellIs" dxfId="0" priority="2272" operator="lessThan">
      <formula>20</formula>
    </cfRule>
    <cfRule type="cellIs" dxfId="1" priority="1416" operator="greaterThan">
      <formula>120</formula>
    </cfRule>
    <cfRule type="containsText" dxfId="2" priority="560" operator="between" text="库存为">
      <formula>NOT(ISERROR(SEARCH("库存为",AU302)))</formula>
    </cfRule>
  </conditionalFormatting>
  <conditionalFormatting sqref="AU303">
    <cfRule type="cellIs" dxfId="0" priority="2271" operator="lessThan">
      <formula>20</formula>
    </cfRule>
    <cfRule type="cellIs" dxfId="1" priority="1415" operator="greaterThan">
      <formula>120</formula>
    </cfRule>
    <cfRule type="containsText" dxfId="2" priority="559" operator="between" text="库存为">
      <formula>NOT(ISERROR(SEARCH("库存为",AU303)))</formula>
    </cfRule>
  </conditionalFormatting>
  <conditionalFormatting sqref="AU304">
    <cfRule type="cellIs" dxfId="0" priority="2270" operator="lessThan">
      <formula>20</formula>
    </cfRule>
    <cfRule type="cellIs" dxfId="1" priority="1414" operator="greaterThan">
      <formula>120</formula>
    </cfRule>
    <cfRule type="containsText" dxfId="2" priority="558" operator="between" text="库存为">
      <formula>NOT(ISERROR(SEARCH("库存为",AU304)))</formula>
    </cfRule>
  </conditionalFormatting>
  <conditionalFormatting sqref="AU305">
    <cfRule type="cellIs" dxfId="0" priority="2269" operator="lessThan">
      <formula>20</formula>
    </cfRule>
    <cfRule type="cellIs" dxfId="1" priority="1413" operator="greaterThan">
      <formula>120</formula>
    </cfRule>
    <cfRule type="containsText" dxfId="2" priority="557" operator="between" text="库存为">
      <formula>NOT(ISERROR(SEARCH("库存为",AU305)))</formula>
    </cfRule>
  </conditionalFormatting>
  <conditionalFormatting sqref="AU306">
    <cfRule type="cellIs" dxfId="0" priority="2268" operator="lessThan">
      <formula>20</formula>
    </cfRule>
    <cfRule type="cellIs" dxfId="1" priority="1412" operator="greaterThan">
      <formula>120</formula>
    </cfRule>
    <cfRule type="containsText" dxfId="2" priority="556" operator="between" text="库存为">
      <formula>NOT(ISERROR(SEARCH("库存为",AU306)))</formula>
    </cfRule>
  </conditionalFormatting>
  <conditionalFormatting sqref="AU307">
    <cfRule type="cellIs" dxfId="0" priority="2267" operator="lessThan">
      <formula>20</formula>
    </cfRule>
    <cfRule type="cellIs" dxfId="1" priority="1411" operator="greaterThan">
      <formula>120</formula>
    </cfRule>
    <cfRule type="containsText" dxfId="2" priority="555" operator="between" text="库存为">
      <formula>NOT(ISERROR(SEARCH("库存为",AU307)))</formula>
    </cfRule>
  </conditionalFormatting>
  <conditionalFormatting sqref="AU308">
    <cfRule type="cellIs" dxfId="0" priority="2266" operator="lessThan">
      <formula>20</formula>
    </cfRule>
    <cfRule type="cellIs" dxfId="1" priority="1410" operator="greaterThan">
      <formula>120</formula>
    </cfRule>
    <cfRule type="containsText" dxfId="2" priority="554" operator="between" text="库存为">
      <formula>NOT(ISERROR(SEARCH("库存为",AU308)))</formula>
    </cfRule>
  </conditionalFormatting>
  <conditionalFormatting sqref="AU309">
    <cfRule type="cellIs" dxfId="0" priority="2265" operator="lessThan">
      <formula>20</formula>
    </cfRule>
    <cfRule type="cellIs" dxfId="1" priority="1409" operator="greaterThan">
      <formula>120</formula>
    </cfRule>
    <cfRule type="containsText" dxfId="2" priority="553" operator="between" text="库存为">
      <formula>NOT(ISERROR(SEARCH("库存为",AU309)))</formula>
    </cfRule>
  </conditionalFormatting>
  <conditionalFormatting sqref="AU310">
    <cfRule type="cellIs" dxfId="0" priority="2264" operator="lessThan">
      <formula>20</formula>
    </cfRule>
    <cfRule type="cellIs" dxfId="1" priority="1408" operator="greaterThan">
      <formula>120</formula>
    </cfRule>
    <cfRule type="containsText" dxfId="2" priority="552" operator="between" text="库存为">
      <formula>NOT(ISERROR(SEARCH("库存为",AU310)))</formula>
    </cfRule>
  </conditionalFormatting>
  <conditionalFormatting sqref="AU311">
    <cfRule type="cellIs" dxfId="0" priority="2263" operator="lessThan">
      <formula>20</formula>
    </cfRule>
    <cfRule type="cellIs" dxfId="1" priority="1407" operator="greaterThan">
      <formula>120</formula>
    </cfRule>
    <cfRule type="containsText" dxfId="2" priority="551" operator="between" text="库存为">
      <formula>NOT(ISERROR(SEARCH("库存为",AU311)))</formula>
    </cfRule>
  </conditionalFormatting>
  <conditionalFormatting sqref="AU312">
    <cfRule type="cellIs" dxfId="0" priority="2262" operator="lessThan">
      <formula>20</formula>
    </cfRule>
    <cfRule type="cellIs" dxfId="1" priority="1406" operator="greaterThan">
      <formula>120</formula>
    </cfRule>
    <cfRule type="containsText" dxfId="2" priority="550" operator="between" text="库存为">
      <formula>NOT(ISERROR(SEARCH("库存为",AU312)))</formula>
    </cfRule>
  </conditionalFormatting>
  <conditionalFormatting sqref="AU313">
    <cfRule type="cellIs" dxfId="0" priority="2261" operator="lessThan">
      <formula>20</formula>
    </cfRule>
    <cfRule type="cellIs" dxfId="1" priority="1405" operator="greaterThan">
      <formula>120</formula>
    </cfRule>
    <cfRule type="containsText" dxfId="2" priority="549" operator="between" text="库存为">
      <formula>NOT(ISERROR(SEARCH("库存为",AU313)))</formula>
    </cfRule>
  </conditionalFormatting>
  <conditionalFormatting sqref="AU314">
    <cfRule type="cellIs" dxfId="0" priority="2260" operator="lessThan">
      <formula>20</formula>
    </cfRule>
    <cfRule type="cellIs" dxfId="1" priority="1404" operator="greaterThan">
      <formula>120</formula>
    </cfRule>
    <cfRule type="containsText" dxfId="2" priority="548" operator="between" text="库存为">
      <formula>NOT(ISERROR(SEARCH("库存为",AU314)))</formula>
    </cfRule>
  </conditionalFormatting>
  <conditionalFormatting sqref="AU315">
    <cfRule type="cellIs" dxfId="0" priority="2259" operator="lessThan">
      <formula>20</formula>
    </cfRule>
    <cfRule type="cellIs" dxfId="1" priority="1403" operator="greaterThan">
      <formula>120</formula>
    </cfRule>
    <cfRule type="containsText" dxfId="2" priority="547" operator="between" text="库存为">
      <formula>NOT(ISERROR(SEARCH("库存为",AU315)))</formula>
    </cfRule>
  </conditionalFormatting>
  <conditionalFormatting sqref="AU316">
    <cfRule type="cellIs" dxfId="0" priority="2258" operator="lessThan">
      <formula>20</formula>
    </cfRule>
    <cfRule type="cellIs" dxfId="1" priority="1402" operator="greaterThan">
      <formula>120</formula>
    </cfRule>
    <cfRule type="containsText" dxfId="2" priority="546" operator="between" text="库存为">
      <formula>NOT(ISERROR(SEARCH("库存为",AU316)))</formula>
    </cfRule>
  </conditionalFormatting>
  <conditionalFormatting sqref="AU317">
    <cfRule type="cellIs" dxfId="0" priority="2257" operator="lessThan">
      <formula>20</formula>
    </cfRule>
    <cfRule type="cellIs" dxfId="1" priority="1401" operator="greaterThan">
      <formula>120</formula>
    </cfRule>
    <cfRule type="containsText" dxfId="2" priority="545" operator="between" text="库存为">
      <formula>NOT(ISERROR(SEARCH("库存为",AU317)))</formula>
    </cfRule>
  </conditionalFormatting>
  <conditionalFormatting sqref="AU318">
    <cfRule type="cellIs" dxfId="0" priority="2256" operator="lessThan">
      <formula>20</formula>
    </cfRule>
    <cfRule type="cellIs" dxfId="1" priority="1400" operator="greaterThan">
      <formula>120</formula>
    </cfRule>
    <cfRule type="containsText" dxfId="2" priority="544" operator="between" text="库存为">
      <formula>NOT(ISERROR(SEARCH("库存为",AU318)))</formula>
    </cfRule>
  </conditionalFormatting>
  <conditionalFormatting sqref="AU319">
    <cfRule type="cellIs" dxfId="0" priority="2255" operator="lessThan">
      <formula>20</formula>
    </cfRule>
    <cfRule type="cellIs" dxfId="1" priority="1399" operator="greaterThan">
      <formula>120</formula>
    </cfRule>
    <cfRule type="containsText" dxfId="2" priority="543" operator="between" text="库存为">
      <formula>NOT(ISERROR(SEARCH("库存为",AU319)))</formula>
    </cfRule>
  </conditionalFormatting>
  <conditionalFormatting sqref="AU320">
    <cfRule type="cellIs" dxfId="0" priority="2254" operator="lessThan">
      <formula>20</formula>
    </cfRule>
    <cfRule type="cellIs" dxfId="1" priority="1398" operator="greaterThan">
      <formula>120</formula>
    </cfRule>
    <cfRule type="containsText" dxfId="2" priority="542" operator="between" text="库存为">
      <formula>NOT(ISERROR(SEARCH("库存为",AU320)))</formula>
    </cfRule>
  </conditionalFormatting>
  <conditionalFormatting sqref="AU321">
    <cfRule type="cellIs" dxfId="0" priority="2253" operator="lessThan">
      <formula>20</formula>
    </cfRule>
    <cfRule type="cellIs" dxfId="1" priority="1397" operator="greaterThan">
      <formula>120</formula>
    </cfRule>
    <cfRule type="containsText" dxfId="2" priority="541" operator="between" text="库存为">
      <formula>NOT(ISERROR(SEARCH("库存为",AU321)))</formula>
    </cfRule>
  </conditionalFormatting>
  <conditionalFormatting sqref="AU322">
    <cfRule type="cellIs" dxfId="0" priority="2252" operator="lessThan">
      <formula>20</formula>
    </cfRule>
    <cfRule type="cellIs" dxfId="1" priority="1396" operator="greaterThan">
      <formula>120</formula>
    </cfRule>
    <cfRule type="containsText" dxfId="2" priority="540" operator="between" text="库存为">
      <formula>NOT(ISERROR(SEARCH("库存为",AU322)))</formula>
    </cfRule>
  </conditionalFormatting>
  <conditionalFormatting sqref="AU323">
    <cfRule type="cellIs" dxfId="0" priority="2251" operator="lessThan">
      <formula>20</formula>
    </cfRule>
    <cfRule type="cellIs" dxfId="1" priority="1395" operator="greaterThan">
      <formula>120</formula>
    </cfRule>
    <cfRule type="containsText" dxfId="2" priority="539" operator="between" text="库存为">
      <formula>NOT(ISERROR(SEARCH("库存为",AU323)))</formula>
    </cfRule>
  </conditionalFormatting>
  <conditionalFormatting sqref="AU324">
    <cfRule type="cellIs" dxfId="0" priority="2250" operator="lessThan">
      <formula>20</formula>
    </cfRule>
    <cfRule type="cellIs" dxfId="1" priority="1394" operator="greaterThan">
      <formula>120</formula>
    </cfRule>
    <cfRule type="containsText" dxfId="2" priority="538" operator="between" text="库存为">
      <formula>NOT(ISERROR(SEARCH("库存为",AU324)))</formula>
    </cfRule>
  </conditionalFormatting>
  <conditionalFormatting sqref="AU325">
    <cfRule type="cellIs" dxfId="0" priority="2249" operator="lessThan">
      <formula>20</formula>
    </cfRule>
    <cfRule type="cellIs" dxfId="1" priority="1393" operator="greaterThan">
      <formula>120</formula>
    </cfRule>
    <cfRule type="containsText" dxfId="2" priority="537" operator="between" text="库存为">
      <formula>NOT(ISERROR(SEARCH("库存为",AU325)))</formula>
    </cfRule>
  </conditionalFormatting>
  <conditionalFormatting sqref="AU326">
    <cfRule type="cellIs" dxfId="0" priority="2248" operator="lessThan">
      <formula>20</formula>
    </cfRule>
    <cfRule type="cellIs" dxfId="1" priority="1392" operator="greaterThan">
      <formula>120</formula>
    </cfRule>
    <cfRule type="containsText" dxfId="2" priority="536" operator="between" text="库存为">
      <formula>NOT(ISERROR(SEARCH("库存为",AU326)))</formula>
    </cfRule>
  </conditionalFormatting>
  <conditionalFormatting sqref="AU327">
    <cfRule type="cellIs" dxfId="0" priority="2247" operator="lessThan">
      <formula>20</formula>
    </cfRule>
    <cfRule type="cellIs" dxfId="1" priority="1391" operator="greaterThan">
      <formula>120</formula>
    </cfRule>
    <cfRule type="containsText" dxfId="2" priority="535" operator="between" text="库存为">
      <formula>NOT(ISERROR(SEARCH("库存为",AU327)))</formula>
    </cfRule>
  </conditionalFormatting>
  <conditionalFormatting sqref="AU328">
    <cfRule type="cellIs" dxfId="0" priority="2246" operator="lessThan">
      <formula>20</formula>
    </cfRule>
    <cfRule type="cellIs" dxfId="1" priority="1390" operator="greaterThan">
      <formula>120</formula>
    </cfRule>
    <cfRule type="containsText" dxfId="2" priority="534" operator="between" text="库存为">
      <formula>NOT(ISERROR(SEARCH("库存为",AU328)))</formula>
    </cfRule>
  </conditionalFormatting>
  <conditionalFormatting sqref="AU329">
    <cfRule type="cellIs" dxfId="0" priority="2245" operator="lessThan">
      <formula>20</formula>
    </cfRule>
    <cfRule type="cellIs" dxfId="1" priority="1389" operator="greaterThan">
      <formula>120</formula>
    </cfRule>
    <cfRule type="containsText" dxfId="2" priority="533" operator="between" text="库存为">
      <formula>NOT(ISERROR(SEARCH("库存为",AU329)))</formula>
    </cfRule>
  </conditionalFormatting>
  <conditionalFormatting sqref="AU330">
    <cfRule type="cellIs" dxfId="0" priority="2244" operator="lessThan">
      <formula>20</formula>
    </cfRule>
    <cfRule type="cellIs" dxfId="1" priority="1388" operator="greaterThan">
      <formula>120</formula>
    </cfRule>
    <cfRule type="containsText" dxfId="2" priority="532" operator="between" text="库存为">
      <formula>NOT(ISERROR(SEARCH("库存为",AU330)))</formula>
    </cfRule>
  </conditionalFormatting>
  <conditionalFormatting sqref="AU331">
    <cfRule type="cellIs" dxfId="0" priority="2243" operator="lessThan">
      <formula>20</formula>
    </cfRule>
    <cfRule type="cellIs" dxfId="1" priority="1387" operator="greaterThan">
      <formula>120</formula>
    </cfRule>
    <cfRule type="containsText" dxfId="2" priority="531" operator="between" text="库存为">
      <formula>NOT(ISERROR(SEARCH("库存为",AU331)))</formula>
    </cfRule>
  </conditionalFormatting>
  <conditionalFormatting sqref="AU332">
    <cfRule type="cellIs" dxfId="0" priority="2242" operator="lessThan">
      <formula>20</formula>
    </cfRule>
    <cfRule type="cellIs" dxfId="1" priority="1386" operator="greaterThan">
      <formula>120</formula>
    </cfRule>
    <cfRule type="containsText" dxfId="2" priority="530" operator="between" text="库存为">
      <formula>NOT(ISERROR(SEARCH("库存为",AU332)))</formula>
    </cfRule>
  </conditionalFormatting>
  <conditionalFormatting sqref="AU333">
    <cfRule type="cellIs" dxfId="0" priority="2241" operator="lessThan">
      <formula>20</formula>
    </cfRule>
    <cfRule type="cellIs" dxfId="1" priority="1385" operator="greaterThan">
      <formula>120</formula>
    </cfRule>
    <cfRule type="containsText" dxfId="2" priority="529" operator="between" text="库存为">
      <formula>NOT(ISERROR(SEARCH("库存为",AU333)))</formula>
    </cfRule>
  </conditionalFormatting>
  <conditionalFormatting sqref="AU334">
    <cfRule type="cellIs" dxfId="0" priority="2240" operator="lessThan">
      <formula>20</formula>
    </cfRule>
    <cfRule type="cellIs" dxfId="1" priority="1384" operator="greaterThan">
      <formula>120</formula>
    </cfRule>
    <cfRule type="containsText" dxfId="2" priority="528" operator="between" text="库存为">
      <formula>NOT(ISERROR(SEARCH("库存为",AU334)))</formula>
    </cfRule>
  </conditionalFormatting>
  <conditionalFormatting sqref="AU335">
    <cfRule type="cellIs" dxfId="0" priority="2239" operator="lessThan">
      <formula>20</formula>
    </cfRule>
    <cfRule type="cellIs" dxfId="1" priority="1383" operator="greaterThan">
      <formula>120</formula>
    </cfRule>
    <cfRule type="containsText" dxfId="2" priority="527" operator="between" text="库存为">
      <formula>NOT(ISERROR(SEARCH("库存为",AU335)))</formula>
    </cfRule>
  </conditionalFormatting>
  <conditionalFormatting sqref="AU336">
    <cfRule type="cellIs" dxfId="0" priority="2238" operator="lessThan">
      <formula>20</formula>
    </cfRule>
    <cfRule type="cellIs" dxfId="1" priority="1382" operator="greaterThan">
      <formula>120</formula>
    </cfRule>
    <cfRule type="containsText" dxfId="2" priority="526" operator="between" text="库存为">
      <formula>NOT(ISERROR(SEARCH("库存为",AU336)))</formula>
    </cfRule>
  </conditionalFormatting>
  <conditionalFormatting sqref="AU337">
    <cfRule type="cellIs" dxfId="0" priority="2237" operator="lessThan">
      <formula>20</formula>
    </cfRule>
    <cfRule type="cellIs" dxfId="1" priority="1381" operator="greaterThan">
      <formula>120</formula>
    </cfRule>
    <cfRule type="containsText" dxfId="2" priority="525" operator="between" text="库存为">
      <formula>NOT(ISERROR(SEARCH("库存为",AU337)))</formula>
    </cfRule>
  </conditionalFormatting>
  <conditionalFormatting sqref="AU338">
    <cfRule type="cellIs" dxfId="0" priority="2236" operator="lessThan">
      <formula>20</formula>
    </cfRule>
    <cfRule type="cellIs" dxfId="1" priority="1380" operator="greaterThan">
      <formula>120</formula>
    </cfRule>
    <cfRule type="containsText" dxfId="2" priority="524" operator="between" text="库存为">
      <formula>NOT(ISERROR(SEARCH("库存为",AU338)))</formula>
    </cfRule>
  </conditionalFormatting>
  <conditionalFormatting sqref="AU339">
    <cfRule type="cellIs" dxfId="0" priority="2235" operator="lessThan">
      <formula>20</formula>
    </cfRule>
    <cfRule type="cellIs" dxfId="1" priority="1379" operator="greaterThan">
      <formula>120</formula>
    </cfRule>
    <cfRule type="containsText" dxfId="2" priority="523" operator="between" text="库存为">
      <formula>NOT(ISERROR(SEARCH("库存为",AU339)))</formula>
    </cfRule>
  </conditionalFormatting>
  <conditionalFormatting sqref="AU340">
    <cfRule type="cellIs" dxfId="0" priority="2234" operator="lessThan">
      <formula>20</formula>
    </cfRule>
    <cfRule type="cellIs" dxfId="1" priority="1378" operator="greaterThan">
      <formula>120</formula>
    </cfRule>
    <cfRule type="containsText" dxfId="2" priority="522" operator="between" text="库存为">
      <formula>NOT(ISERROR(SEARCH("库存为",AU340)))</formula>
    </cfRule>
  </conditionalFormatting>
  <conditionalFormatting sqref="AU341">
    <cfRule type="cellIs" dxfId="0" priority="2233" operator="lessThan">
      <formula>20</formula>
    </cfRule>
    <cfRule type="cellIs" dxfId="1" priority="1377" operator="greaterThan">
      <formula>120</formula>
    </cfRule>
    <cfRule type="containsText" dxfId="2" priority="521" operator="between" text="库存为">
      <formula>NOT(ISERROR(SEARCH("库存为",AU341)))</formula>
    </cfRule>
  </conditionalFormatting>
  <conditionalFormatting sqref="AU342">
    <cfRule type="cellIs" dxfId="0" priority="2232" operator="lessThan">
      <formula>20</formula>
    </cfRule>
    <cfRule type="cellIs" dxfId="1" priority="1376" operator="greaterThan">
      <formula>120</formula>
    </cfRule>
    <cfRule type="containsText" dxfId="2" priority="520" operator="between" text="库存为">
      <formula>NOT(ISERROR(SEARCH("库存为",AU342)))</formula>
    </cfRule>
  </conditionalFormatting>
  <conditionalFormatting sqref="AU343">
    <cfRule type="cellIs" dxfId="0" priority="2231" operator="lessThan">
      <formula>20</formula>
    </cfRule>
    <cfRule type="cellIs" dxfId="1" priority="1375" operator="greaterThan">
      <formula>120</formula>
    </cfRule>
    <cfRule type="containsText" dxfId="2" priority="519" operator="between" text="库存为">
      <formula>NOT(ISERROR(SEARCH("库存为",AU343)))</formula>
    </cfRule>
  </conditionalFormatting>
  <conditionalFormatting sqref="AU344">
    <cfRule type="cellIs" dxfId="0" priority="2230" operator="lessThan">
      <formula>20</formula>
    </cfRule>
    <cfRule type="cellIs" dxfId="1" priority="1374" operator="greaterThan">
      <formula>120</formula>
    </cfRule>
    <cfRule type="containsText" dxfId="2" priority="518" operator="between" text="库存为">
      <formula>NOT(ISERROR(SEARCH("库存为",AU344)))</formula>
    </cfRule>
  </conditionalFormatting>
  <conditionalFormatting sqref="AU345">
    <cfRule type="cellIs" dxfId="0" priority="2229" operator="lessThan">
      <formula>20</formula>
    </cfRule>
    <cfRule type="cellIs" dxfId="1" priority="1373" operator="greaterThan">
      <formula>120</formula>
    </cfRule>
    <cfRule type="containsText" dxfId="2" priority="517" operator="between" text="库存为">
      <formula>NOT(ISERROR(SEARCH("库存为",AU345)))</formula>
    </cfRule>
  </conditionalFormatting>
  <conditionalFormatting sqref="AU346">
    <cfRule type="cellIs" dxfId="0" priority="2228" operator="lessThan">
      <formula>20</formula>
    </cfRule>
    <cfRule type="cellIs" dxfId="1" priority="1372" operator="greaterThan">
      <formula>120</formula>
    </cfRule>
    <cfRule type="containsText" dxfId="2" priority="516" operator="between" text="库存为">
      <formula>NOT(ISERROR(SEARCH("库存为",AU346)))</formula>
    </cfRule>
  </conditionalFormatting>
  <conditionalFormatting sqref="AU347">
    <cfRule type="cellIs" dxfId="0" priority="2227" operator="lessThan">
      <formula>20</formula>
    </cfRule>
    <cfRule type="cellIs" dxfId="1" priority="1371" operator="greaterThan">
      <formula>120</formula>
    </cfRule>
    <cfRule type="containsText" dxfId="2" priority="515" operator="between" text="库存为">
      <formula>NOT(ISERROR(SEARCH("库存为",AU347)))</formula>
    </cfRule>
  </conditionalFormatting>
  <conditionalFormatting sqref="AU348">
    <cfRule type="cellIs" dxfId="0" priority="2226" operator="lessThan">
      <formula>20</formula>
    </cfRule>
    <cfRule type="cellIs" dxfId="1" priority="1370" operator="greaterThan">
      <formula>120</formula>
    </cfRule>
    <cfRule type="containsText" dxfId="2" priority="514" operator="between" text="库存为">
      <formula>NOT(ISERROR(SEARCH("库存为",AU348)))</formula>
    </cfRule>
  </conditionalFormatting>
  <conditionalFormatting sqref="AU349">
    <cfRule type="cellIs" dxfId="0" priority="2225" operator="lessThan">
      <formula>20</formula>
    </cfRule>
    <cfRule type="cellIs" dxfId="1" priority="1369" operator="greaterThan">
      <formula>120</formula>
    </cfRule>
    <cfRule type="containsText" dxfId="2" priority="513" operator="between" text="库存为">
      <formula>NOT(ISERROR(SEARCH("库存为",AU349)))</formula>
    </cfRule>
  </conditionalFormatting>
  <conditionalFormatting sqref="AU350">
    <cfRule type="cellIs" dxfId="0" priority="2224" operator="lessThan">
      <formula>20</formula>
    </cfRule>
    <cfRule type="cellIs" dxfId="1" priority="1368" operator="greaterThan">
      <formula>120</formula>
    </cfRule>
    <cfRule type="containsText" dxfId="2" priority="512" operator="between" text="库存为">
      <formula>NOT(ISERROR(SEARCH("库存为",AU350)))</formula>
    </cfRule>
  </conditionalFormatting>
  <conditionalFormatting sqref="AU351">
    <cfRule type="cellIs" dxfId="0" priority="2223" operator="lessThan">
      <formula>20</formula>
    </cfRule>
    <cfRule type="cellIs" dxfId="1" priority="1367" operator="greaterThan">
      <formula>120</formula>
    </cfRule>
    <cfRule type="containsText" dxfId="2" priority="511" operator="between" text="库存为">
      <formula>NOT(ISERROR(SEARCH("库存为",AU351)))</formula>
    </cfRule>
  </conditionalFormatting>
  <conditionalFormatting sqref="AU352">
    <cfRule type="cellIs" dxfId="0" priority="2222" operator="lessThan">
      <formula>20</formula>
    </cfRule>
    <cfRule type="cellIs" dxfId="1" priority="1366" operator="greaterThan">
      <formula>120</formula>
    </cfRule>
    <cfRule type="containsText" dxfId="2" priority="510" operator="between" text="库存为">
      <formula>NOT(ISERROR(SEARCH("库存为",AU352)))</formula>
    </cfRule>
  </conditionalFormatting>
  <conditionalFormatting sqref="AU353">
    <cfRule type="cellIs" dxfId="0" priority="2221" operator="lessThan">
      <formula>20</formula>
    </cfRule>
    <cfRule type="cellIs" dxfId="1" priority="1365" operator="greaterThan">
      <formula>120</formula>
    </cfRule>
    <cfRule type="containsText" dxfId="2" priority="509" operator="between" text="库存为">
      <formula>NOT(ISERROR(SEARCH("库存为",AU353)))</formula>
    </cfRule>
  </conditionalFormatting>
  <conditionalFormatting sqref="AU354">
    <cfRule type="cellIs" dxfId="0" priority="2220" operator="lessThan">
      <formula>20</formula>
    </cfRule>
    <cfRule type="cellIs" dxfId="1" priority="1364" operator="greaterThan">
      <formula>120</formula>
    </cfRule>
    <cfRule type="containsText" dxfId="2" priority="508" operator="between" text="库存为">
      <formula>NOT(ISERROR(SEARCH("库存为",AU354)))</formula>
    </cfRule>
  </conditionalFormatting>
  <conditionalFormatting sqref="AU355">
    <cfRule type="cellIs" dxfId="0" priority="2219" operator="lessThan">
      <formula>20</formula>
    </cfRule>
    <cfRule type="cellIs" dxfId="1" priority="1363" operator="greaterThan">
      <formula>120</formula>
    </cfRule>
    <cfRule type="containsText" dxfId="2" priority="507" operator="between" text="库存为">
      <formula>NOT(ISERROR(SEARCH("库存为",AU355)))</formula>
    </cfRule>
  </conditionalFormatting>
  <conditionalFormatting sqref="AU356">
    <cfRule type="cellIs" dxfId="0" priority="2218" operator="lessThan">
      <formula>20</formula>
    </cfRule>
    <cfRule type="cellIs" dxfId="1" priority="1362" operator="greaterThan">
      <formula>120</formula>
    </cfRule>
    <cfRule type="containsText" dxfId="2" priority="506" operator="between" text="库存为">
      <formula>NOT(ISERROR(SEARCH("库存为",AU356)))</formula>
    </cfRule>
  </conditionalFormatting>
  <conditionalFormatting sqref="AU357">
    <cfRule type="cellIs" dxfId="0" priority="2217" operator="lessThan">
      <formula>20</formula>
    </cfRule>
    <cfRule type="cellIs" dxfId="1" priority="1361" operator="greaterThan">
      <formula>120</formula>
    </cfRule>
    <cfRule type="containsText" dxfId="2" priority="505" operator="between" text="库存为">
      <formula>NOT(ISERROR(SEARCH("库存为",AU357)))</formula>
    </cfRule>
  </conditionalFormatting>
  <conditionalFormatting sqref="AU358">
    <cfRule type="cellIs" dxfId="0" priority="2216" operator="lessThan">
      <formula>20</formula>
    </cfRule>
    <cfRule type="cellIs" dxfId="1" priority="1360" operator="greaterThan">
      <formula>120</formula>
    </cfRule>
    <cfRule type="containsText" dxfId="2" priority="504" operator="between" text="库存为">
      <formula>NOT(ISERROR(SEARCH("库存为",AU358)))</formula>
    </cfRule>
  </conditionalFormatting>
  <conditionalFormatting sqref="AU359">
    <cfRule type="cellIs" dxfId="0" priority="2215" operator="lessThan">
      <formula>20</formula>
    </cfRule>
    <cfRule type="cellIs" dxfId="1" priority="1359" operator="greaterThan">
      <formula>120</formula>
    </cfRule>
    <cfRule type="containsText" dxfId="2" priority="503" operator="between" text="库存为">
      <formula>NOT(ISERROR(SEARCH("库存为",AU359)))</formula>
    </cfRule>
  </conditionalFormatting>
  <conditionalFormatting sqref="AU360">
    <cfRule type="cellIs" dxfId="0" priority="2214" operator="lessThan">
      <formula>20</formula>
    </cfRule>
    <cfRule type="cellIs" dxfId="1" priority="1358" operator="greaterThan">
      <formula>120</formula>
    </cfRule>
    <cfRule type="containsText" dxfId="2" priority="502" operator="between" text="库存为">
      <formula>NOT(ISERROR(SEARCH("库存为",AU360)))</formula>
    </cfRule>
  </conditionalFormatting>
  <conditionalFormatting sqref="AU361">
    <cfRule type="cellIs" dxfId="0" priority="2213" operator="lessThan">
      <formula>20</formula>
    </cfRule>
    <cfRule type="cellIs" dxfId="1" priority="1357" operator="greaterThan">
      <formula>120</formula>
    </cfRule>
    <cfRule type="containsText" dxfId="2" priority="501" operator="between" text="库存为">
      <formula>NOT(ISERROR(SEARCH("库存为",AU361)))</formula>
    </cfRule>
  </conditionalFormatting>
  <conditionalFormatting sqref="AU362">
    <cfRule type="cellIs" dxfId="0" priority="2212" operator="lessThan">
      <formula>20</formula>
    </cfRule>
    <cfRule type="cellIs" dxfId="1" priority="1356" operator="greaterThan">
      <formula>120</formula>
    </cfRule>
    <cfRule type="containsText" dxfId="2" priority="500" operator="between" text="库存为">
      <formula>NOT(ISERROR(SEARCH("库存为",AU362)))</formula>
    </cfRule>
  </conditionalFormatting>
  <conditionalFormatting sqref="AU363">
    <cfRule type="cellIs" dxfId="0" priority="2211" operator="lessThan">
      <formula>20</formula>
    </cfRule>
    <cfRule type="cellIs" dxfId="1" priority="1355" operator="greaterThan">
      <formula>120</formula>
    </cfRule>
    <cfRule type="containsText" dxfId="2" priority="499" operator="between" text="库存为">
      <formula>NOT(ISERROR(SEARCH("库存为",AU363)))</formula>
    </cfRule>
  </conditionalFormatting>
  <conditionalFormatting sqref="AU364">
    <cfRule type="cellIs" dxfId="0" priority="2210" operator="lessThan">
      <formula>20</formula>
    </cfRule>
    <cfRule type="cellIs" dxfId="1" priority="1354" operator="greaterThan">
      <formula>120</formula>
    </cfRule>
    <cfRule type="containsText" dxfId="2" priority="498" operator="between" text="库存为">
      <formula>NOT(ISERROR(SEARCH("库存为",AU364)))</formula>
    </cfRule>
  </conditionalFormatting>
  <conditionalFormatting sqref="AU365">
    <cfRule type="cellIs" dxfId="0" priority="2209" operator="lessThan">
      <formula>20</formula>
    </cfRule>
    <cfRule type="cellIs" dxfId="1" priority="1353" operator="greaterThan">
      <formula>120</formula>
    </cfRule>
    <cfRule type="containsText" dxfId="2" priority="497" operator="between" text="库存为">
      <formula>NOT(ISERROR(SEARCH("库存为",AU365)))</formula>
    </cfRule>
  </conditionalFormatting>
  <conditionalFormatting sqref="AU366">
    <cfRule type="cellIs" dxfId="0" priority="2208" operator="lessThan">
      <formula>20</formula>
    </cfRule>
    <cfRule type="cellIs" dxfId="1" priority="1352" operator="greaterThan">
      <formula>120</formula>
    </cfRule>
    <cfRule type="containsText" dxfId="2" priority="496" operator="between" text="库存为">
      <formula>NOT(ISERROR(SEARCH("库存为",AU366)))</formula>
    </cfRule>
  </conditionalFormatting>
  <conditionalFormatting sqref="AU367">
    <cfRule type="cellIs" dxfId="0" priority="2207" operator="lessThan">
      <formula>20</formula>
    </cfRule>
    <cfRule type="cellIs" dxfId="1" priority="1351" operator="greaterThan">
      <formula>120</formula>
    </cfRule>
    <cfRule type="containsText" dxfId="2" priority="495" operator="between" text="库存为">
      <formula>NOT(ISERROR(SEARCH("库存为",AU367)))</formula>
    </cfRule>
  </conditionalFormatting>
  <conditionalFormatting sqref="AU368">
    <cfRule type="cellIs" dxfId="0" priority="2206" operator="lessThan">
      <formula>20</formula>
    </cfRule>
    <cfRule type="cellIs" dxfId="1" priority="1350" operator="greaterThan">
      <formula>120</formula>
    </cfRule>
    <cfRule type="containsText" dxfId="2" priority="494" operator="between" text="库存为">
      <formula>NOT(ISERROR(SEARCH("库存为",AU368)))</formula>
    </cfRule>
  </conditionalFormatting>
  <conditionalFormatting sqref="AU369">
    <cfRule type="cellIs" dxfId="0" priority="2205" operator="lessThan">
      <formula>20</formula>
    </cfRule>
    <cfRule type="cellIs" dxfId="1" priority="1349" operator="greaterThan">
      <formula>120</formula>
    </cfRule>
    <cfRule type="containsText" dxfId="2" priority="493" operator="between" text="库存为">
      <formula>NOT(ISERROR(SEARCH("库存为",AU369)))</formula>
    </cfRule>
  </conditionalFormatting>
  <conditionalFormatting sqref="AU370">
    <cfRule type="cellIs" dxfId="0" priority="2204" operator="lessThan">
      <formula>20</formula>
    </cfRule>
    <cfRule type="cellIs" dxfId="1" priority="1348" operator="greaterThan">
      <formula>120</formula>
    </cfRule>
    <cfRule type="containsText" dxfId="2" priority="492" operator="between" text="库存为">
      <formula>NOT(ISERROR(SEARCH("库存为",AU370)))</formula>
    </cfRule>
  </conditionalFormatting>
  <conditionalFormatting sqref="AU371">
    <cfRule type="cellIs" dxfId="0" priority="2203" operator="lessThan">
      <formula>20</formula>
    </cfRule>
    <cfRule type="cellIs" dxfId="1" priority="1347" operator="greaterThan">
      <formula>120</formula>
    </cfRule>
    <cfRule type="containsText" dxfId="2" priority="491" operator="between" text="库存为">
      <formula>NOT(ISERROR(SEARCH("库存为",AU371)))</formula>
    </cfRule>
  </conditionalFormatting>
  <conditionalFormatting sqref="AU372">
    <cfRule type="cellIs" dxfId="0" priority="2202" operator="lessThan">
      <formula>20</formula>
    </cfRule>
    <cfRule type="cellIs" dxfId="1" priority="1346" operator="greaterThan">
      <formula>120</formula>
    </cfRule>
    <cfRule type="containsText" dxfId="2" priority="490" operator="between" text="库存为">
      <formula>NOT(ISERROR(SEARCH("库存为",AU372)))</formula>
    </cfRule>
  </conditionalFormatting>
  <conditionalFormatting sqref="AU373">
    <cfRule type="cellIs" dxfId="0" priority="2201" operator="lessThan">
      <formula>20</formula>
    </cfRule>
    <cfRule type="cellIs" dxfId="1" priority="1345" operator="greaterThan">
      <formula>120</formula>
    </cfRule>
    <cfRule type="containsText" dxfId="2" priority="489" operator="between" text="库存为">
      <formula>NOT(ISERROR(SEARCH("库存为",AU373)))</formula>
    </cfRule>
  </conditionalFormatting>
  <conditionalFormatting sqref="AU374">
    <cfRule type="cellIs" dxfId="0" priority="2200" operator="lessThan">
      <formula>20</formula>
    </cfRule>
    <cfRule type="cellIs" dxfId="1" priority="1344" operator="greaterThan">
      <formula>120</formula>
    </cfRule>
    <cfRule type="containsText" dxfId="2" priority="488" operator="between" text="库存为">
      <formula>NOT(ISERROR(SEARCH("库存为",AU374)))</formula>
    </cfRule>
  </conditionalFormatting>
  <conditionalFormatting sqref="AU375">
    <cfRule type="cellIs" dxfId="0" priority="2199" operator="lessThan">
      <formula>20</formula>
    </cfRule>
    <cfRule type="cellIs" dxfId="1" priority="1343" operator="greaterThan">
      <formula>120</formula>
    </cfRule>
    <cfRule type="containsText" dxfId="2" priority="487" operator="between" text="库存为">
      <formula>NOT(ISERROR(SEARCH("库存为",AU375)))</formula>
    </cfRule>
  </conditionalFormatting>
  <conditionalFormatting sqref="AU376">
    <cfRule type="cellIs" dxfId="0" priority="2198" operator="lessThan">
      <formula>20</formula>
    </cfRule>
    <cfRule type="cellIs" dxfId="1" priority="1342" operator="greaterThan">
      <formula>120</formula>
    </cfRule>
    <cfRule type="containsText" dxfId="2" priority="486" operator="between" text="库存为">
      <formula>NOT(ISERROR(SEARCH("库存为",AU376)))</formula>
    </cfRule>
  </conditionalFormatting>
  <conditionalFormatting sqref="AU377">
    <cfRule type="cellIs" dxfId="0" priority="2197" operator="lessThan">
      <formula>20</formula>
    </cfRule>
    <cfRule type="cellIs" dxfId="1" priority="1341" operator="greaterThan">
      <formula>120</formula>
    </cfRule>
    <cfRule type="containsText" dxfId="2" priority="485" operator="between" text="库存为">
      <formula>NOT(ISERROR(SEARCH("库存为",AU377)))</formula>
    </cfRule>
  </conditionalFormatting>
  <conditionalFormatting sqref="AU378">
    <cfRule type="cellIs" dxfId="0" priority="2196" operator="lessThan">
      <formula>20</formula>
    </cfRule>
    <cfRule type="cellIs" dxfId="1" priority="1340" operator="greaterThan">
      <formula>120</formula>
    </cfRule>
    <cfRule type="containsText" dxfId="2" priority="484" operator="between" text="库存为">
      <formula>NOT(ISERROR(SEARCH("库存为",AU378)))</formula>
    </cfRule>
  </conditionalFormatting>
  <conditionalFormatting sqref="AU379">
    <cfRule type="cellIs" dxfId="0" priority="2195" operator="lessThan">
      <formula>20</formula>
    </cfRule>
    <cfRule type="cellIs" dxfId="1" priority="1339" operator="greaterThan">
      <formula>120</formula>
    </cfRule>
    <cfRule type="containsText" dxfId="2" priority="483" operator="between" text="库存为">
      <formula>NOT(ISERROR(SEARCH("库存为",AU379)))</formula>
    </cfRule>
  </conditionalFormatting>
  <conditionalFormatting sqref="AU380">
    <cfRule type="cellIs" dxfId="0" priority="2194" operator="lessThan">
      <formula>20</formula>
    </cfRule>
    <cfRule type="cellIs" dxfId="1" priority="1338" operator="greaterThan">
      <formula>120</formula>
    </cfRule>
    <cfRule type="containsText" dxfId="2" priority="482" operator="between" text="库存为">
      <formula>NOT(ISERROR(SEARCH("库存为",AU380)))</formula>
    </cfRule>
  </conditionalFormatting>
  <conditionalFormatting sqref="AU381">
    <cfRule type="cellIs" dxfId="0" priority="2193" operator="lessThan">
      <formula>20</formula>
    </cfRule>
    <cfRule type="cellIs" dxfId="1" priority="1337" operator="greaterThan">
      <formula>120</formula>
    </cfRule>
    <cfRule type="containsText" dxfId="2" priority="481" operator="between" text="库存为">
      <formula>NOT(ISERROR(SEARCH("库存为",AU381)))</formula>
    </cfRule>
  </conditionalFormatting>
  <conditionalFormatting sqref="AU382">
    <cfRule type="cellIs" dxfId="0" priority="2192" operator="lessThan">
      <formula>20</formula>
    </cfRule>
    <cfRule type="cellIs" dxfId="1" priority="1336" operator="greaterThan">
      <formula>120</formula>
    </cfRule>
    <cfRule type="containsText" dxfId="2" priority="480" operator="between" text="库存为">
      <formula>NOT(ISERROR(SEARCH("库存为",AU382)))</formula>
    </cfRule>
  </conditionalFormatting>
  <conditionalFormatting sqref="AU383">
    <cfRule type="cellIs" dxfId="0" priority="2191" operator="lessThan">
      <formula>20</formula>
    </cfRule>
    <cfRule type="cellIs" dxfId="1" priority="1335" operator="greaterThan">
      <formula>120</formula>
    </cfRule>
    <cfRule type="containsText" dxfId="2" priority="479" operator="between" text="库存为">
      <formula>NOT(ISERROR(SEARCH("库存为",AU383)))</formula>
    </cfRule>
  </conditionalFormatting>
  <conditionalFormatting sqref="AU384">
    <cfRule type="cellIs" dxfId="0" priority="2190" operator="lessThan">
      <formula>20</formula>
    </cfRule>
    <cfRule type="cellIs" dxfId="1" priority="1334" operator="greaterThan">
      <formula>120</formula>
    </cfRule>
    <cfRule type="containsText" dxfId="2" priority="478" operator="between" text="库存为">
      <formula>NOT(ISERROR(SEARCH("库存为",AU384)))</formula>
    </cfRule>
  </conditionalFormatting>
  <conditionalFormatting sqref="AU385">
    <cfRule type="cellIs" dxfId="0" priority="2189" operator="lessThan">
      <formula>20</formula>
    </cfRule>
    <cfRule type="cellIs" dxfId="1" priority="1333" operator="greaterThan">
      <formula>120</formula>
    </cfRule>
    <cfRule type="containsText" dxfId="2" priority="477" operator="between" text="库存为">
      <formula>NOT(ISERROR(SEARCH("库存为",AU385)))</formula>
    </cfRule>
  </conditionalFormatting>
  <conditionalFormatting sqref="AU386">
    <cfRule type="cellIs" dxfId="0" priority="2188" operator="lessThan">
      <formula>20</formula>
    </cfRule>
    <cfRule type="cellIs" dxfId="1" priority="1332" operator="greaterThan">
      <formula>120</formula>
    </cfRule>
    <cfRule type="containsText" dxfId="2" priority="476" operator="between" text="库存为">
      <formula>NOT(ISERROR(SEARCH("库存为",AU386)))</formula>
    </cfRule>
  </conditionalFormatting>
  <conditionalFormatting sqref="AU387">
    <cfRule type="cellIs" dxfId="0" priority="2187" operator="lessThan">
      <formula>20</formula>
    </cfRule>
    <cfRule type="cellIs" dxfId="1" priority="1331" operator="greaterThan">
      <formula>120</formula>
    </cfRule>
    <cfRule type="containsText" dxfId="2" priority="475" operator="between" text="库存为">
      <formula>NOT(ISERROR(SEARCH("库存为",AU387)))</formula>
    </cfRule>
  </conditionalFormatting>
  <conditionalFormatting sqref="AU388">
    <cfRule type="cellIs" dxfId="0" priority="2186" operator="lessThan">
      <formula>20</formula>
    </cfRule>
    <cfRule type="cellIs" dxfId="1" priority="1330" operator="greaterThan">
      <formula>120</formula>
    </cfRule>
    <cfRule type="containsText" dxfId="2" priority="474" operator="between" text="库存为">
      <formula>NOT(ISERROR(SEARCH("库存为",AU388)))</formula>
    </cfRule>
  </conditionalFormatting>
  <conditionalFormatting sqref="AU389">
    <cfRule type="cellIs" dxfId="0" priority="2185" operator="lessThan">
      <formula>20</formula>
    </cfRule>
    <cfRule type="cellIs" dxfId="1" priority="1329" operator="greaterThan">
      <formula>120</formula>
    </cfRule>
    <cfRule type="containsText" dxfId="2" priority="473" operator="between" text="库存为">
      <formula>NOT(ISERROR(SEARCH("库存为",AU389)))</formula>
    </cfRule>
  </conditionalFormatting>
  <conditionalFormatting sqref="AU390">
    <cfRule type="cellIs" dxfId="0" priority="2184" operator="lessThan">
      <formula>20</formula>
    </cfRule>
    <cfRule type="cellIs" dxfId="1" priority="1328" operator="greaterThan">
      <formula>120</formula>
    </cfRule>
    <cfRule type="containsText" dxfId="2" priority="472" operator="between" text="库存为">
      <formula>NOT(ISERROR(SEARCH("库存为",AU390)))</formula>
    </cfRule>
  </conditionalFormatting>
  <conditionalFormatting sqref="AU391">
    <cfRule type="cellIs" dxfId="0" priority="2183" operator="lessThan">
      <formula>20</formula>
    </cfRule>
    <cfRule type="cellIs" dxfId="1" priority="1327" operator="greaterThan">
      <formula>120</formula>
    </cfRule>
    <cfRule type="containsText" dxfId="2" priority="471" operator="between" text="库存为">
      <formula>NOT(ISERROR(SEARCH("库存为",AU391)))</formula>
    </cfRule>
  </conditionalFormatting>
  <conditionalFormatting sqref="AU392">
    <cfRule type="cellIs" dxfId="0" priority="2182" operator="lessThan">
      <formula>20</formula>
    </cfRule>
    <cfRule type="cellIs" dxfId="1" priority="1326" operator="greaterThan">
      <formula>120</formula>
    </cfRule>
    <cfRule type="containsText" dxfId="2" priority="470" operator="between" text="库存为">
      <formula>NOT(ISERROR(SEARCH("库存为",AU392)))</formula>
    </cfRule>
  </conditionalFormatting>
  <conditionalFormatting sqref="AU393">
    <cfRule type="cellIs" dxfId="0" priority="2181" operator="lessThan">
      <formula>20</formula>
    </cfRule>
    <cfRule type="cellIs" dxfId="1" priority="1325" operator="greaterThan">
      <formula>120</formula>
    </cfRule>
    <cfRule type="containsText" dxfId="2" priority="469" operator="between" text="库存为">
      <formula>NOT(ISERROR(SEARCH("库存为",AU393)))</formula>
    </cfRule>
  </conditionalFormatting>
  <conditionalFormatting sqref="AU394">
    <cfRule type="cellIs" dxfId="0" priority="2180" operator="lessThan">
      <formula>20</formula>
    </cfRule>
    <cfRule type="cellIs" dxfId="1" priority="1324" operator="greaterThan">
      <formula>120</formula>
    </cfRule>
    <cfRule type="containsText" dxfId="2" priority="468" operator="between" text="库存为">
      <formula>NOT(ISERROR(SEARCH("库存为",AU394)))</formula>
    </cfRule>
  </conditionalFormatting>
  <conditionalFormatting sqref="AU395">
    <cfRule type="cellIs" dxfId="0" priority="2179" operator="lessThan">
      <formula>20</formula>
    </cfRule>
    <cfRule type="cellIs" dxfId="1" priority="1323" operator="greaterThan">
      <formula>120</formula>
    </cfRule>
    <cfRule type="containsText" dxfId="2" priority="467" operator="between" text="库存为">
      <formula>NOT(ISERROR(SEARCH("库存为",AU395)))</formula>
    </cfRule>
  </conditionalFormatting>
  <conditionalFormatting sqref="AU396">
    <cfRule type="cellIs" dxfId="0" priority="2178" operator="lessThan">
      <formula>20</formula>
    </cfRule>
    <cfRule type="cellIs" dxfId="1" priority="1322" operator="greaterThan">
      <formula>120</formula>
    </cfRule>
    <cfRule type="containsText" dxfId="2" priority="466" operator="between" text="库存为">
      <formula>NOT(ISERROR(SEARCH("库存为",AU396)))</formula>
    </cfRule>
  </conditionalFormatting>
  <conditionalFormatting sqref="AU397">
    <cfRule type="cellIs" dxfId="0" priority="2177" operator="lessThan">
      <formula>20</formula>
    </cfRule>
    <cfRule type="cellIs" dxfId="1" priority="1321" operator="greaterThan">
      <formula>120</formula>
    </cfRule>
    <cfRule type="containsText" dxfId="2" priority="465" operator="between" text="库存为">
      <formula>NOT(ISERROR(SEARCH("库存为",AU397)))</formula>
    </cfRule>
  </conditionalFormatting>
  <conditionalFormatting sqref="AU398">
    <cfRule type="cellIs" dxfId="0" priority="2176" operator="lessThan">
      <formula>20</formula>
    </cfRule>
    <cfRule type="cellIs" dxfId="1" priority="1320" operator="greaterThan">
      <formula>120</formula>
    </cfRule>
    <cfRule type="containsText" dxfId="2" priority="464" operator="between" text="库存为">
      <formula>NOT(ISERROR(SEARCH("库存为",AU398)))</formula>
    </cfRule>
  </conditionalFormatting>
  <conditionalFormatting sqref="AU399">
    <cfRule type="cellIs" dxfId="0" priority="2175" operator="lessThan">
      <formula>20</formula>
    </cfRule>
    <cfRule type="cellIs" dxfId="1" priority="1319" operator="greaterThan">
      <formula>120</formula>
    </cfRule>
    <cfRule type="containsText" dxfId="2" priority="463" operator="between" text="库存为">
      <formula>NOT(ISERROR(SEARCH("库存为",AU399)))</formula>
    </cfRule>
  </conditionalFormatting>
  <conditionalFormatting sqref="AU400">
    <cfRule type="cellIs" dxfId="0" priority="2174" operator="lessThan">
      <formula>20</formula>
    </cfRule>
    <cfRule type="cellIs" dxfId="1" priority="1318" operator="greaterThan">
      <formula>120</formula>
    </cfRule>
    <cfRule type="containsText" dxfId="2" priority="462" operator="between" text="库存为">
      <formula>NOT(ISERROR(SEARCH("库存为",AU400)))</formula>
    </cfRule>
  </conditionalFormatting>
  <conditionalFormatting sqref="AU401">
    <cfRule type="cellIs" dxfId="0" priority="2173" operator="lessThan">
      <formula>20</formula>
    </cfRule>
    <cfRule type="cellIs" dxfId="1" priority="1317" operator="greaterThan">
      <formula>120</formula>
    </cfRule>
    <cfRule type="containsText" dxfId="2" priority="461" operator="between" text="库存为">
      <formula>NOT(ISERROR(SEARCH("库存为",AU401)))</formula>
    </cfRule>
  </conditionalFormatting>
  <conditionalFormatting sqref="AU402">
    <cfRule type="cellIs" dxfId="0" priority="2172" operator="lessThan">
      <formula>20</formula>
    </cfRule>
    <cfRule type="cellIs" dxfId="1" priority="1316" operator="greaterThan">
      <formula>120</formula>
    </cfRule>
    <cfRule type="containsText" dxfId="2" priority="460" operator="between" text="库存为">
      <formula>NOT(ISERROR(SEARCH("库存为",AU402)))</formula>
    </cfRule>
  </conditionalFormatting>
  <conditionalFormatting sqref="AU403">
    <cfRule type="cellIs" dxfId="0" priority="2171" operator="lessThan">
      <formula>20</formula>
    </cfRule>
    <cfRule type="cellIs" dxfId="1" priority="1315" operator="greaterThan">
      <formula>120</formula>
    </cfRule>
    <cfRule type="containsText" dxfId="2" priority="459" operator="between" text="库存为">
      <formula>NOT(ISERROR(SEARCH("库存为",AU403)))</formula>
    </cfRule>
  </conditionalFormatting>
  <conditionalFormatting sqref="AU404">
    <cfRule type="cellIs" dxfId="0" priority="2170" operator="lessThan">
      <formula>20</formula>
    </cfRule>
    <cfRule type="cellIs" dxfId="1" priority="1314" operator="greaterThan">
      <formula>120</formula>
    </cfRule>
    <cfRule type="containsText" dxfId="2" priority="458" operator="between" text="库存为">
      <formula>NOT(ISERROR(SEARCH("库存为",AU404)))</formula>
    </cfRule>
  </conditionalFormatting>
  <conditionalFormatting sqref="AU405">
    <cfRule type="cellIs" dxfId="0" priority="2169" operator="lessThan">
      <formula>20</formula>
    </cfRule>
    <cfRule type="cellIs" dxfId="1" priority="1313" operator="greaterThan">
      <formula>120</formula>
    </cfRule>
    <cfRule type="containsText" dxfId="2" priority="457" operator="between" text="库存为">
      <formula>NOT(ISERROR(SEARCH("库存为",AU405)))</formula>
    </cfRule>
  </conditionalFormatting>
  <conditionalFormatting sqref="AU406">
    <cfRule type="cellIs" dxfId="0" priority="2168" operator="lessThan">
      <formula>20</formula>
    </cfRule>
    <cfRule type="cellIs" dxfId="1" priority="1312" operator="greaterThan">
      <formula>120</formula>
    </cfRule>
    <cfRule type="containsText" dxfId="2" priority="456" operator="between" text="库存为">
      <formula>NOT(ISERROR(SEARCH("库存为",AU406)))</formula>
    </cfRule>
  </conditionalFormatting>
  <conditionalFormatting sqref="AU407">
    <cfRule type="cellIs" dxfId="0" priority="2167" operator="lessThan">
      <formula>20</formula>
    </cfRule>
    <cfRule type="cellIs" dxfId="1" priority="1311" operator="greaterThan">
      <formula>120</formula>
    </cfRule>
    <cfRule type="containsText" dxfId="2" priority="455" operator="between" text="库存为">
      <formula>NOT(ISERROR(SEARCH("库存为",AU407)))</formula>
    </cfRule>
  </conditionalFormatting>
  <conditionalFormatting sqref="AU408">
    <cfRule type="cellIs" dxfId="0" priority="2166" operator="lessThan">
      <formula>20</formula>
    </cfRule>
    <cfRule type="cellIs" dxfId="1" priority="1310" operator="greaterThan">
      <formula>120</formula>
    </cfRule>
    <cfRule type="containsText" dxfId="2" priority="454" operator="between" text="库存为">
      <formula>NOT(ISERROR(SEARCH("库存为",AU408)))</formula>
    </cfRule>
  </conditionalFormatting>
  <conditionalFormatting sqref="AU409">
    <cfRule type="cellIs" dxfId="0" priority="2165" operator="lessThan">
      <formula>20</formula>
    </cfRule>
    <cfRule type="cellIs" dxfId="1" priority="1309" operator="greaterThan">
      <formula>120</formula>
    </cfRule>
    <cfRule type="containsText" dxfId="2" priority="453" operator="between" text="库存为">
      <formula>NOT(ISERROR(SEARCH("库存为",AU409)))</formula>
    </cfRule>
  </conditionalFormatting>
  <conditionalFormatting sqref="AU410">
    <cfRule type="cellIs" dxfId="0" priority="2164" operator="lessThan">
      <formula>20</formula>
    </cfRule>
    <cfRule type="cellIs" dxfId="1" priority="1308" operator="greaterThan">
      <formula>120</formula>
    </cfRule>
    <cfRule type="containsText" dxfId="2" priority="452" operator="between" text="库存为">
      <formula>NOT(ISERROR(SEARCH("库存为",AU410)))</formula>
    </cfRule>
  </conditionalFormatting>
  <conditionalFormatting sqref="AU411">
    <cfRule type="cellIs" dxfId="0" priority="2163" operator="lessThan">
      <formula>20</formula>
    </cfRule>
    <cfRule type="cellIs" dxfId="1" priority="1307" operator="greaterThan">
      <formula>120</formula>
    </cfRule>
    <cfRule type="containsText" dxfId="2" priority="451" operator="between" text="库存为">
      <formula>NOT(ISERROR(SEARCH("库存为",AU411)))</formula>
    </cfRule>
  </conditionalFormatting>
  <conditionalFormatting sqref="AU412">
    <cfRule type="cellIs" dxfId="0" priority="2162" operator="lessThan">
      <formula>20</formula>
    </cfRule>
    <cfRule type="cellIs" dxfId="1" priority="1306" operator="greaterThan">
      <formula>120</formula>
    </cfRule>
    <cfRule type="containsText" dxfId="2" priority="450" operator="between" text="库存为">
      <formula>NOT(ISERROR(SEARCH("库存为",AU412)))</formula>
    </cfRule>
  </conditionalFormatting>
  <conditionalFormatting sqref="AU413">
    <cfRule type="cellIs" dxfId="0" priority="2161" operator="lessThan">
      <formula>20</formula>
    </cfRule>
    <cfRule type="cellIs" dxfId="1" priority="1305" operator="greaterThan">
      <formula>120</formula>
    </cfRule>
    <cfRule type="containsText" dxfId="2" priority="449" operator="between" text="库存为">
      <formula>NOT(ISERROR(SEARCH("库存为",AU413)))</formula>
    </cfRule>
  </conditionalFormatting>
  <conditionalFormatting sqref="AU414">
    <cfRule type="cellIs" dxfId="0" priority="2160" operator="lessThan">
      <formula>20</formula>
    </cfRule>
    <cfRule type="cellIs" dxfId="1" priority="1304" operator="greaterThan">
      <formula>120</formula>
    </cfRule>
    <cfRule type="containsText" dxfId="2" priority="448" operator="between" text="库存为">
      <formula>NOT(ISERROR(SEARCH("库存为",AU414)))</formula>
    </cfRule>
  </conditionalFormatting>
  <conditionalFormatting sqref="AU415">
    <cfRule type="cellIs" dxfId="0" priority="2159" operator="lessThan">
      <formula>20</formula>
    </cfRule>
    <cfRule type="cellIs" dxfId="1" priority="1303" operator="greaterThan">
      <formula>120</formula>
    </cfRule>
    <cfRule type="containsText" dxfId="2" priority="447" operator="between" text="库存为">
      <formula>NOT(ISERROR(SEARCH("库存为",AU415)))</formula>
    </cfRule>
  </conditionalFormatting>
  <conditionalFormatting sqref="AU416">
    <cfRule type="cellIs" dxfId="0" priority="2158" operator="lessThan">
      <formula>20</formula>
    </cfRule>
    <cfRule type="cellIs" dxfId="1" priority="1302" operator="greaterThan">
      <formula>120</formula>
    </cfRule>
    <cfRule type="containsText" dxfId="2" priority="446" operator="between" text="库存为">
      <formula>NOT(ISERROR(SEARCH("库存为",AU416)))</formula>
    </cfRule>
  </conditionalFormatting>
  <conditionalFormatting sqref="AU417">
    <cfRule type="cellIs" dxfId="0" priority="2157" operator="lessThan">
      <formula>20</formula>
    </cfRule>
    <cfRule type="cellIs" dxfId="1" priority="1301" operator="greaterThan">
      <formula>120</formula>
    </cfRule>
    <cfRule type="containsText" dxfId="2" priority="445" operator="between" text="库存为">
      <formula>NOT(ISERROR(SEARCH("库存为",AU417)))</formula>
    </cfRule>
  </conditionalFormatting>
  <conditionalFormatting sqref="AU418">
    <cfRule type="cellIs" dxfId="0" priority="2156" operator="lessThan">
      <formula>20</formula>
    </cfRule>
    <cfRule type="cellIs" dxfId="1" priority="1300" operator="greaterThan">
      <formula>120</formula>
    </cfRule>
    <cfRule type="containsText" dxfId="2" priority="444" operator="between" text="库存为">
      <formula>NOT(ISERROR(SEARCH("库存为",AU418)))</formula>
    </cfRule>
  </conditionalFormatting>
  <conditionalFormatting sqref="AU419">
    <cfRule type="cellIs" dxfId="0" priority="2155" operator="lessThan">
      <formula>20</formula>
    </cfRule>
    <cfRule type="cellIs" dxfId="1" priority="1299" operator="greaterThan">
      <formula>120</formula>
    </cfRule>
    <cfRule type="containsText" dxfId="2" priority="443" operator="between" text="库存为">
      <formula>NOT(ISERROR(SEARCH("库存为",AU419)))</formula>
    </cfRule>
  </conditionalFormatting>
  <conditionalFormatting sqref="AU420">
    <cfRule type="cellIs" dxfId="0" priority="2154" operator="lessThan">
      <formula>20</formula>
    </cfRule>
    <cfRule type="cellIs" dxfId="1" priority="1298" operator="greaterThan">
      <formula>120</formula>
    </cfRule>
    <cfRule type="containsText" dxfId="2" priority="442" operator="between" text="库存为">
      <formula>NOT(ISERROR(SEARCH("库存为",AU420)))</formula>
    </cfRule>
  </conditionalFormatting>
  <conditionalFormatting sqref="AU421">
    <cfRule type="cellIs" dxfId="0" priority="2153" operator="lessThan">
      <formula>20</formula>
    </cfRule>
    <cfRule type="cellIs" dxfId="1" priority="1297" operator="greaterThan">
      <formula>120</formula>
    </cfRule>
    <cfRule type="containsText" dxfId="2" priority="441" operator="between" text="库存为">
      <formula>NOT(ISERROR(SEARCH("库存为",AU421)))</formula>
    </cfRule>
  </conditionalFormatting>
  <conditionalFormatting sqref="AU422">
    <cfRule type="cellIs" dxfId="0" priority="2152" operator="lessThan">
      <formula>20</formula>
    </cfRule>
    <cfRule type="cellIs" dxfId="1" priority="1296" operator="greaterThan">
      <formula>120</formula>
    </cfRule>
    <cfRule type="containsText" dxfId="2" priority="440" operator="between" text="库存为">
      <formula>NOT(ISERROR(SEARCH("库存为",AU422)))</formula>
    </cfRule>
  </conditionalFormatting>
  <conditionalFormatting sqref="AU423">
    <cfRule type="cellIs" dxfId="0" priority="2151" operator="lessThan">
      <formula>20</formula>
    </cfRule>
    <cfRule type="cellIs" dxfId="1" priority="1295" operator="greaterThan">
      <formula>120</formula>
    </cfRule>
    <cfRule type="containsText" dxfId="2" priority="439" operator="between" text="库存为">
      <formula>NOT(ISERROR(SEARCH("库存为",AU423)))</formula>
    </cfRule>
  </conditionalFormatting>
  <conditionalFormatting sqref="AU424">
    <cfRule type="cellIs" dxfId="0" priority="2150" operator="lessThan">
      <formula>20</formula>
    </cfRule>
    <cfRule type="cellIs" dxfId="1" priority="1294" operator="greaterThan">
      <formula>120</formula>
    </cfRule>
    <cfRule type="containsText" dxfId="2" priority="438" operator="between" text="库存为">
      <formula>NOT(ISERROR(SEARCH("库存为",AU424)))</formula>
    </cfRule>
  </conditionalFormatting>
  <conditionalFormatting sqref="AU425">
    <cfRule type="cellIs" dxfId="0" priority="2149" operator="lessThan">
      <formula>20</formula>
    </cfRule>
    <cfRule type="cellIs" dxfId="1" priority="1293" operator="greaterThan">
      <formula>120</formula>
    </cfRule>
    <cfRule type="containsText" dxfId="2" priority="437" operator="between" text="库存为">
      <formula>NOT(ISERROR(SEARCH("库存为",AU425)))</formula>
    </cfRule>
  </conditionalFormatting>
  <conditionalFormatting sqref="AU426">
    <cfRule type="cellIs" dxfId="0" priority="2148" operator="lessThan">
      <formula>20</formula>
    </cfRule>
    <cfRule type="cellIs" dxfId="1" priority="1292" operator="greaterThan">
      <formula>120</formula>
    </cfRule>
    <cfRule type="containsText" dxfId="2" priority="436" operator="between" text="库存为">
      <formula>NOT(ISERROR(SEARCH("库存为",AU426)))</formula>
    </cfRule>
  </conditionalFormatting>
  <conditionalFormatting sqref="AU427">
    <cfRule type="cellIs" dxfId="0" priority="2147" operator="lessThan">
      <formula>20</formula>
    </cfRule>
    <cfRule type="cellIs" dxfId="1" priority="1291" operator="greaterThan">
      <formula>120</formula>
    </cfRule>
    <cfRule type="containsText" dxfId="2" priority="435" operator="between" text="库存为">
      <formula>NOT(ISERROR(SEARCH("库存为",AU427)))</formula>
    </cfRule>
  </conditionalFormatting>
  <conditionalFormatting sqref="AU428">
    <cfRule type="cellIs" dxfId="0" priority="2146" operator="lessThan">
      <formula>20</formula>
    </cfRule>
    <cfRule type="cellIs" dxfId="1" priority="1290" operator="greaterThan">
      <formula>120</formula>
    </cfRule>
    <cfRule type="containsText" dxfId="2" priority="434" operator="between" text="库存为">
      <formula>NOT(ISERROR(SEARCH("库存为",AU428)))</formula>
    </cfRule>
  </conditionalFormatting>
  <conditionalFormatting sqref="AU429">
    <cfRule type="cellIs" dxfId="0" priority="2145" operator="lessThan">
      <formula>20</formula>
    </cfRule>
    <cfRule type="cellIs" dxfId="1" priority="1289" operator="greaterThan">
      <formula>120</formula>
    </cfRule>
    <cfRule type="containsText" dxfId="2" priority="433" operator="between" text="库存为">
      <formula>NOT(ISERROR(SEARCH("库存为",AU429)))</formula>
    </cfRule>
  </conditionalFormatting>
  <conditionalFormatting sqref="AU430">
    <cfRule type="cellIs" dxfId="0" priority="2144" operator="lessThan">
      <formula>20</formula>
    </cfRule>
    <cfRule type="cellIs" dxfId="1" priority="1288" operator="greaterThan">
      <formula>120</formula>
    </cfRule>
    <cfRule type="containsText" dxfId="2" priority="432" operator="between" text="库存为">
      <formula>NOT(ISERROR(SEARCH("库存为",AU430)))</formula>
    </cfRule>
  </conditionalFormatting>
  <conditionalFormatting sqref="AU431">
    <cfRule type="cellIs" dxfId="0" priority="2143" operator="lessThan">
      <formula>20</formula>
    </cfRule>
    <cfRule type="cellIs" dxfId="1" priority="1287" operator="greaterThan">
      <formula>120</formula>
    </cfRule>
    <cfRule type="containsText" dxfId="2" priority="431" operator="between" text="库存为">
      <formula>NOT(ISERROR(SEARCH("库存为",AU431)))</formula>
    </cfRule>
  </conditionalFormatting>
  <conditionalFormatting sqref="AU432">
    <cfRule type="cellIs" dxfId="0" priority="2142" operator="lessThan">
      <formula>20</formula>
    </cfRule>
    <cfRule type="cellIs" dxfId="1" priority="1286" operator="greaterThan">
      <formula>120</formula>
    </cfRule>
    <cfRule type="containsText" dxfId="2" priority="430" operator="between" text="库存为">
      <formula>NOT(ISERROR(SEARCH("库存为",AU432)))</formula>
    </cfRule>
  </conditionalFormatting>
  <conditionalFormatting sqref="AU433">
    <cfRule type="cellIs" dxfId="0" priority="2141" operator="lessThan">
      <formula>20</formula>
    </cfRule>
    <cfRule type="cellIs" dxfId="1" priority="1285" operator="greaterThan">
      <formula>120</formula>
    </cfRule>
    <cfRule type="containsText" dxfId="2" priority="429" operator="between" text="库存为">
      <formula>NOT(ISERROR(SEARCH("库存为",AU433)))</formula>
    </cfRule>
  </conditionalFormatting>
  <conditionalFormatting sqref="AU434">
    <cfRule type="cellIs" dxfId="0" priority="2140" operator="lessThan">
      <formula>20</formula>
    </cfRule>
    <cfRule type="cellIs" dxfId="1" priority="1284" operator="greaterThan">
      <formula>120</formula>
    </cfRule>
    <cfRule type="containsText" dxfId="2" priority="428" operator="between" text="库存为">
      <formula>NOT(ISERROR(SEARCH("库存为",AU434)))</formula>
    </cfRule>
  </conditionalFormatting>
  <conditionalFormatting sqref="AU435">
    <cfRule type="cellIs" dxfId="0" priority="2139" operator="lessThan">
      <formula>20</formula>
    </cfRule>
    <cfRule type="cellIs" dxfId="1" priority="1283" operator="greaterThan">
      <formula>120</formula>
    </cfRule>
    <cfRule type="containsText" dxfId="2" priority="427" operator="between" text="库存为">
      <formula>NOT(ISERROR(SEARCH("库存为",AU435)))</formula>
    </cfRule>
  </conditionalFormatting>
  <conditionalFormatting sqref="AU436">
    <cfRule type="cellIs" dxfId="0" priority="2138" operator="lessThan">
      <formula>20</formula>
    </cfRule>
    <cfRule type="cellIs" dxfId="1" priority="1282" operator="greaterThan">
      <formula>120</formula>
    </cfRule>
    <cfRule type="containsText" dxfId="2" priority="426" operator="between" text="库存为">
      <formula>NOT(ISERROR(SEARCH("库存为",AU436)))</formula>
    </cfRule>
  </conditionalFormatting>
  <conditionalFormatting sqref="AU437">
    <cfRule type="cellIs" dxfId="0" priority="2137" operator="lessThan">
      <formula>20</formula>
    </cfRule>
    <cfRule type="cellIs" dxfId="1" priority="1281" operator="greaterThan">
      <formula>120</formula>
    </cfRule>
    <cfRule type="containsText" dxfId="2" priority="425" operator="between" text="库存为">
      <formula>NOT(ISERROR(SEARCH("库存为",AU437)))</formula>
    </cfRule>
  </conditionalFormatting>
  <conditionalFormatting sqref="AU438">
    <cfRule type="cellIs" dxfId="0" priority="2136" operator="lessThan">
      <formula>20</formula>
    </cfRule>
    <cfRule type="cellIs" dxfId="1" priority="1280" operator="greaterThan">
      <formula>120</formula>
    </cfRule>
    <cfRule type="containsText" dxfId="2" priority="424" operator="between" text="库存为">
      <formula>NOT(ISERROR(SEARCH("库存为",AU438)))</formula>
    </cfRule>
  </conditionalFormatting>
  <conditionalFormatting sqref="AU439">
    <cfRule type="cellIs" dxfId="0" priority="2135" operator="lessThan">
      <formula>20</formula>
    </cfRule>
    <cfRule type="cellIs" dxfId="1" priority="1279" operator="greaterThan">
      <formula>120</formula>
    </cfRule>
    <cfRule type="containsText" dxfId="2" priority="423" operator="between" text="库存为">
      <formula>NOT(ISERROR(SEARCH("库存为",AU439)))</formula>
    </cfRule>
  </conditionalFormatting>
  <conditionalFormatting sqref="AU440">
    <cfRule type="cellIs" dxfId="0" priority="2134" operator="lessThan">
      <formula>20</formula>
    </cfRule>
    <cfRule type="cellIs" dxfId="1" priority="1278" operator="greaterThan">
      <formula>120</formula>
    </cfRule>
    <cfRule type="containsText" dxfId="2" priority="422" operator="between" text="库存为">
      <formula>NOT(ISERROR(SEARCH("库存为",AU440)))</formula>
    </cfRule>
  </conditionalFormatting>
  <conditionalFormatting sqref="AU441">
    <cfRule type="cellIs" dxfId="0" priority="2133" operator="lessThan">
      <formula>20</formula>
    </cfRule>
    <cfRule type="cellIs" dxfId="1" priority="1277" operator="greaterThan">
      <formula>120</formula>
    </cfRule>
    <cfRule type="containsText" dxfId="2" priority="421" operator="between" text="库存为">
      <formula>NOT(ISERROR(SEARCH("库存为",AU441)))</formula>
    </cfRule>
  </conditionalFormatting>
  <conditionalFormatting sqref="AU442">
    <cfRule type="cellIs" dxfId="0" priority="2132" operator="lessThan">
      <formula>20</formula>
    </cfRule>
    <cfRule type="cellIs" dxfId="1" priority="1276" operator="greaterThan">
      <formula>120</formula>
    </cfRule>
    <cfRule type="containsText" dxfId="2" priority="420" operator="between" text="库存为">
      <formula>NOT(ISERROR(SEARCH("库存为",AU442)))</formula>
    </cfRule>
  </conditionalFormatting>
  <conditionalFormatting sqref="AU443">
    <cfRule type="cellIs" dxfId="0" priority="2131" operator="lessThan">
      <formula>20</formula>
    </cfRule>
    <cfRule type="cellIs" dxfId="1" priority="1275" operator="greaterThan">
      <formula>120</formula>
    </cfRule>
    <cfRule type="containsText" dxfId="2" priority="419" operator="between" text="库存为">
      <formula>NOT(ISERROR(SEARCH("库存为",AU443)))</formula>
    </cfRule>
  </conditionalFormatting>
  <conditionalFormatting sqref="AU444">
    <cfRule type="cellIs" dxfId="0" priority="2130" operator="lessThan">
      <formula>20</formula>
    </cfRule>
    <cfRule type="cellIs" dxfId="1" priority="1274" operator="greaterThan">
      <formula>120</formula>
    </cfRule>
    <cfRule type="containsText" dxfId="2" priority="418" operator="between" text="库存为">
      <formula>NOT(ISERROR(SEARCH("库存为",AU444)))</formula>
    </cfRule>
  </conditionalFormatting>
  <conditionalFormatting sqref="AU445">
    <cfRule type="cellIs" dxfId="0" priority="2129" operator="lessThan">
      <formula>20</formula>
    </cfRule>
    <cfRule type="cellIs" dxfId="1" priority="1273" operator="greaterThan">
      <formula>120</formula>
    </cfRule>
    <cfRule type="containsText" dxfId="2" priority="417" operator="between" text="库存为">
      <formula>NOT(ISERROR(SEARCH("库存为",AU445)))</formula>
    </cfRule>
  </conditionalFormatting>
  <conditionalFormatting sqref="AU446">
    <cfRule type="cellIs" dxfId="0" priority="2128" operator="lessThan">
      <formula>20</formula>
    </cfRule>
    <cfRule type="cellIs" dxfId="1" priority="1272" operator="greaterThan">
      <formula>120</formula>
    </cfRule>
    <cfRule type="containsText" dxfId="2" priority="416" operator="between" text="库存为">
      <formula>NOT(ISERROR(SEARCH("库存为",AU446)))</formula>
    </cfRule>
  </conditionalFormatting>
  <conditionalFormatting sqref="AU447">
    <cfRule type="cellIs" dxfId="0" priority="2127" operator="lessThan">
      <formula>20</formula>
    </cfRule>
    <cfRule type="cellIs" dxfId="1" priority="1271" operator="greaterThan">
      <formula>120</formula>
    </cfRule>
    <cfRule type="containsText" dxfId="2" priority="415" operator="between" text="库存为">
      <formula>NOT(ISERROR(SEARCH("库存为",AU447)))</formula>
    </cfRule>
  </conditionalFormatting>
  <conditionalFormatting sqref="AU448">
    <cfRule type="cellIs" dxfId="0" priority="2126" operator="lessThan">
      <formula>20</formula>
    </cfRule>
    <cfRule type="cellIs" dxfId="1" priority="1270" operator="greaterThan">
      <formula>120</formula>
    </cfRule>
    <cfRule type="containsText" dxfId="2" priority="414" operator="between" text="库存为">
      <formula>NOT(ISERROR(SEARCH("库存为",AU448)))</formula>
    </cfRule>
  </conditionalFormatting>
  <conditionalFormatting sqref="AU449">
    <cfRule type="cellIs" dxfId="0" priority="2125" operator="lessThan">
      <formula>20</formula>
    </cfRule>
    <cfRule type="cellIs" dxfId="1" priority="1269" operator="greaterThan">
      <formula>120</formula>
    </cfRule>
    <cfRule type="containsText" dxfId="2" priority="413" operator="between" text="库存为">
      <formula>NOT(ISERROR(SEARCH("库存为",AU449)))</formula>
    </cfRule>
  </conditionalFormatting>
  <conditionalFormatting sqref="AU450">
    <cfRule type="cellIs" dxfId="0" priority="2124" operator="lessThan">
      <formula>20</formula>
    </cfRule>
    <cfRule type="cellIs" dxfId="1" priority="1268" operator="greaterThan">
      <formula>120</formula>
    </cfRule>
    <cfRule type="containsText" dxfId="2" priority="412" operator="between" text="库存为">
      <formula>NOT(ISERROR(SEARCH("库存为",AU450)))</formula>
    </cfRule>
  </conditionalFormatting>
  <conditionalFormatting sqref="AU451">
    <cfRule type="cellIs" dxfId="0" priority="2123" operator="lessThan">
      <formula>20</formula>
    </cfRule>
    <cfRule type="cellIs" dxfId="1" priority="1267" operator="greaterThan">
      <formula>120</formula>
    </cfRule>
    <cfRule type="containsText" dxfId="2" priority="411" operator="between" text="库存为">
      <formula>NOT(ISERROR(SEARCH("库存为",AU451)))</formula>
    </cfRule>
  </conditionalFormatting>
  <conditionalFormatting sqref="AU452">
    <cfRule type="cellIs" dxfId="0" priority="2122" operator="lessThan">
      <formula>20</formula>
    </cfRule>
    <cfRule type="cellIs" dxfId="1" priority="1266" operator="greaterThan">
      <formula>120</formula>
    </cfRule>
    <cfRule type="containsText" dxfId="2" priority="410" operator="between" text="库存为">
      <formula>NOT(ISERROR(SEARCH("库存为",AU452)))</formula>
    </cfRule>
  </conditionalFormatting>
  <conditionalFormatting sqref="AU453">
    <cfRule type="cellIs" dxfId="0" priority="2121" operator="lessThan">
      <formula>20</formula>
    </cfRule>
    <cfRule type="cellIs" dxfId="1" priority="1265" operator="greaterThan">
      <formula>120</formula>
    </cfRule>
    <cfRule type="containsText" dxfId="2" priority="409" operator="between" text="库存为">
      <formula>NOT(ISERROR(SEARCH("库存为",AU453)))</formula>
    </cfRule>
  </conditionalFormatting>
  <conditionalFormatting sqref="AU454">
    <cfRule type="cellIs" dxfId="0" priority="2120" operator="lessThan">
      <formula>20</formula>
    </cfRule>
    <cfRule type="cellIs" dxfId="1" priority="1264" operator="greaterThan">
      <formula>120</formula>
    </cfRule>
    <cfRule type="containsText" dxfId="2" priority="408" operator="between" text="库存为">
      <formula>NOT(ISERROR(SEARCH("库存为",AU454)))</formula>
    </cfRule>
  </conditionalFormatting>
  <conditionalFormatting sqref="AU455">
    <cfRule type="cellIs" dxfId="0" priority="2119" operator="lessThan">
      <formula>20</formula>
    </cfRule>
    <cfRule type="cellIs" dxfId="1" priority="1263" operator="greaterThan">
      <formula>120</formula>
    </cfRule>
    <cfRule type="containsText" dxfId="2" priority="407" operator="between" text="库存为">
      <formula>NOT(ISERROR(SEARCH("库存为",AU455)))</formula>
    </cfRule>
  </conditionalFormatting>
  <conditionalFormatting sqref="AU456">
    <cfRule type="cellIs" dxfId="0" priority="2118" operator="lessThan">
      <formula>20</formula>
    </cfRule>
    <cfRule type="cellIs" dxfId="1" priority="1262" operator="greaterThan">
      <formula>120</formula>
    </cfRule>
    <cfRule type="containsText" dxfId="2" priority="406" operator="between" text="库存为">
      <formula>NOT(ISERROR(SEARCH("库存为",AU456)))</formula>
    </cfRule>
  </conditionalFormatting>
  <conditionalFormatting sqref="AU457">
    <cfRule type="cellIs" dxfId="0" priority="2117" operator="lessThan">
      <formula>20</formula>
    </cfRule>
    <cfRule type="cellIs" dxfId="1" priority="1261" operator="greaterThan">
      <formula>120</formula>
    </cfRule>
    <cfRule type="containsText" dxfId="2" priority="405" operator="between" text="库存为">
      <formula>NOT(ISERROR(SEARCH("库存为",AU457)))</formula>
    </cfRule>
  </conditionalFormatting>
  <conditionalFormatting sqref="AU458">
    <cfRule type="cellIs" dxfId="0" priority="2116" operator="lessThan">
      <formula>20</formula>
    </cfRule>
    <cfRule type="cellIs" dxfId="1" priority="1260" operator="greaterThan">
      <formula>120</formula>
    </cfRule>
    <cfRule type="containsText" dxfId="2" priority="404" operator="between" text="库存为">
      <formula>NOT(ISERROR(SEARCH("库存为",AU458)))</formula>
    </cfRule>
  </conditionalFormatting>
  <conditionalFormatting sqref="AU459">
    <cfRule type="cellIs" dxfId="0" priority="2115" operator="lessThan">
      <formula>20</formula>
    </cfRule>
    <cfRule type="cellIs" dxfId="1" priority="1259" operator="greaterThan">
      <formula>120</formula>
    </cfRule>
    <cfRule type="containsText" dxfId="2" priority="403" operator="between" text="库存为">
      <formula>NOT(ISERROR(SEARCH("库存为",AU459)))</formula>
    </cfRule>
  </conditionalFormatting>
  <conditionalFormatting sqref="AU460">
    <cfRule type="cellIs" dxfId="0" priority="2114" operator="lessThan">
      <formula>20</formula>
    </cfRule>
    <cfRule type="cellIs" dxfId="1" priority="1258" operator="greaterThan">
      <formula>120</formula>
    </cfRule>
    <cfRule type="containsText" dxfId="2" priority="402" operator="between" text="库存为">
      <formula>NOT(ISERROR(SEARCH("库存为",AU460)))</formula>
    </cfRule>
  </conditionalFormatting>
  <conditionalFormatting sqref="AU461">
    <cfRule type="cellIs" dxfId="0" priority="2113" operator="lessThan">
      <formula>20</formula>
    </cfRule>
    <cfRule type="cellIs" dxfId="1" priority="1257" operator="greaterThan">
      <formula>120</formula>
    </cfRule>
    <cfRule type="containsText" dxfId="2" priority="401" operator="between" text="库存为">
      <formula>NOT(ISERROR(SEARCH("库存为",AU461)))</formula>
    </cfRule>
  </conditionalFormatting>
  <conditionalFormatting sqref="AU462">
    <cfRule type="cellIs" dxfId="0" priority="2112" operator="lessThan">
      <formula>20</formula>
    </cfRule>
    <cfRule type="cellIs" dxfId="1" priority="1256" operator="greaterThan">
      <formula>120</formula>
    </cfRule>
    <cfRule type="containsText" dxfId="2" priority="400" operator="between" text="库存为">
      <formula>NOT(ISERROR(SEARCH("库存为",AU462)))</formula>
    </cfRule>
  </conditionalFormatting>
  <conditionalFormatting sqref="AU463">
    <cfRule type="cellIs" dxfId="0" priority="2111" operator="lessThan">
      <formula>20</formula>
    </cfRule>
    <cfRule type="cellIs" dxfId="1" priority="1255" operator="greaterThan">
      <formula>120</formula>
    </cfRule>
    <cfRule type="containsText" dxfId="2" priority="399" operator="between" text="库存为">
      <formula>NOT(ISERROR(SEARCH("库存为",AU463)))</formula>
    </cfRule>
  </conditionalFormatting>
  <conditionalFormatting sqref="AU464">
    <cfRule type="cellIs" dxfId="0" priority="2110" operator="lessThan">
      <formula>20</formula>
    </cfRule>
    <cfRule type="cellIs" dxfId="1" priority="1254" operator="greaterThan">
      <formula>120</formula>
    </cfRule>
    <cfRule type="containsText" dxfId="2" priority="398" operator="between" text="库存为">
      <formula>NOT(ISERROR(SEARCH("库存为",AU464)))</formula>
    </cfRule>
  </conditionalFormatting>
  <conditionalFormatting sqref="AU465">
    <cfRule type="cellIs" dxfId="0" priority="2109" operator="lessThan">
      <formula>20</formula>
    </cfRule>
    <cfRule type="cellIs" dxfId="1" priority="1253" operator="greaterThan">
      <formula>120</formula>
    </cfRule>
    <cfRule type="containsText" dxfId="2" priority="397" operator="between" text="库存为">
      <formula>NOT(ISERROR(SEARCH("库存为",AU465)))</formula>
    </cfRule>
  </conditionalFormatting>
  <conditionalFormatting sqref="AU466">
    <cfRule type="cellIs" dxfId="0" priority="2108" operator="lessThan">
      <formula>20</formula>
    </cfRule>
    <cfRule type="cellIs" dxfId="1" priority="1252" operator="greaterThan">
      <formula>120</formula>
    </cfRule>
    <cfRule type="containsText" dxfId="2" priority="396" operator="between" text="库存为">
      <formula>NOT(ISERROR(SEARCH("库存为",AU466)))</formula>
    </cfRule>
  </conditionalFormatting>
  <conditionalFormatting sqref="AU467">
    <cfRule type="cellIs" dxfId="0" priority="2107" operator="lessThan">
      <formula>20</formula>
    </cfRule>
    <cfRule type="cellIs" dxfId="1" priority="1251" operator="greaterThan">
      <formula>120</formula>
    </cfRule>
    <cfRule type="containsText" dxfId="2" priority="395" operator="between" text="库存为">
      <formula>NOT(ISERROR(SEARCH("库存为",AU467)))</formula>
    </cfRule>
  </conditionalFormatting>
  <conditionalFormatting sqref="AU468">
    <cfRule type="cellIs" dxfId="0" priority="2106" operator="lessThan">
      <formula>20</formula>
    </cfRule>
    <cfRule type="cellIs" dxfId="1" priority="1250" operator="greaterThan">
      <formula>120</formula>
    </cfRule>
    <cfRule type="containsText" dxfId="2" priority="394" operator="between" text="库存为">
      <formula>NOT(ISERROR(SEARCH("库存为",AU468)))</formula>
    </cfRule>
  </conditionalFormatting>
  <conditionalFormatting sqref="AU469">
    <cfRule type="cellIs" dxfId="0" priority="2105" operator="lessThan">
      <formula>20</formula>
    </cfRule>
    <cfRule type="cellIs" dxfId="1" priority="1249" operator="greaterThan">
      <formula>120</formula>
    </cfRule>
    <cfRule type="containsText" dxfId="2" priority="393" operator="between" text="库存为">
      <formula>NOT(ISERROR(SEARCH("库存为",AU469)))</formula>
    </cfRule>
  </conditionalFormatting>
  <conditionalFormatting sqref="AU470">
    <cfRule type="cellIs" dxfId="0" priority="2104" operator="lessThan">
      <formula>20</formula>
    </cfRule>
    <cfRule type="cellIs" dxfId="1" priority="1248" operator="greaterThan">
      <formula>120</formula>
    </cfRule>
    <cfRule type="containsText" dxfId="2" priority="392" operator="between" text="库存为">
      <formula>NOT(ISERROR(SEARCH("库存为",AU470)))</formula>
    </cfRule>
  </conditionalFormatting>
  <conditionalFormatting sqref="AU471">
    <cfRule type="cellIs" dxfId="0" priority="2103" operator="lessThan">
      <formula>20</formula>
    </cfRule>
    <cfRule type="cellIs" dxfId="1" priority="1247" operator="greaterThan">
      <formula>120</formula>
    </cfRule>
    <cfRule type="containsText" dxfId="2" priority="391" operator="between" text="库存为">
      <formula>NOT(ISERROR(SEARCH("库存为",AU471)))</formula>
    </cfRule>
  </conditionalFormatting>
  <conditionalFormatting sqref="AU472">
    <cfRule type="cellIs" dxfId="0" priority="2102" operator="lessThan">
      <formula>20</formula>
    </cfRule>
    <cfRule type="cellIs" dxfId="1" priority="1246" operator="greaterThan">
      <formula>120</formula>
    </cfRule>
    <cfRule type="containsText" dxfId="2" priority="390" operator="between" text="库存为">
      <formula>NOT(ISERROR(SEARCH("库存为",AU472)))</formula>
    </cfRule>
  </conditionalFormatting>
  <conditionalFormatting sqref="AU473">
    <cfRule type="cellIs" dxfId="0" priority="2101" operator="lessThan">
      <formula>20</formula>
    </cfRule>
    <cfRule type="cellIs" dxfId="1" priority="1245" operator="greaterThan">
      <formula>120</formula>
    </cfRule>
    <cfRule type="containsText" dxfId="2" priority="389" operator="between" text="库存为">
      <formula>NOT(ISERROR(SEARCH("库存为",AU473)))</formula>
    </cfRule>
  </conditionalFormatting>
  <conditionalFormatting sqref="AU474">
    <cfRule type="cellIs" dxfId="0" priority="2100" operator="lessThan">
      <formula>20</formula>
    </cfRule>
    <cfRule type="cellIs" dxfId="1" priority="1244" operator="greaterThan">
      <formula>120</formula>
    </cfRule>
    <cfRule type="containsText" dxfId="2" priority="388" operator="between" text="库存为">
      <formula>NOT(ISERROR(SEARCH("库存为",AU474)))</formula>
    </cfRule>
  </conditionalFormatting>
  <conditionalFormatting sqref="AU475">
    <cfRule type="cellIs" dxfId="0" priority="2099" operator="lessThan">
      <formula>20</formula>
    </cfRule>
    <cfRule type="cellIs" dxfId="1" priority="1243" operator="greaterThan">
      <formula>120</formula>
    </cfRule>
    <cfRule type="containsText" dxfId="2" priority="387" operator="between" text="库存为">
      <formula>NOT(ISERROR(SEARCH("库存为",AU475)))</formula>
    </cfRule>
  </conditionalFormatting>
  <conditionalFormatting sqref="AU476">
    <cfRule type="cellIs" dxfId="0" priority="2098" operator="lessThan">
      <formula>20</formula>
    </cfRule>
    <cfRule type="cellIs" dxfId="1" priority="1242" operator="greaterThan">
      <formula>120</formula>
    </cfRule>
    <cfRule type="containsText" dxfId="2" priority="386" operator="between" text="库存为">
      <formula>NOT(ISERROR(SEARCH("库存为",AU476)))</formula>
    </cfRule>
  </conditionalFormatting>
  <conditionalFormatting sqref="AU477">
    <cfRule type="cellIs" dxfId="0" priority="2097" operator="lessThan">
      <formula>20</formula>
    </cfRule>
    <cfRule type="cellIs" dxfId="1" priority="1241" operator="greaterThan">
      <formula>120</formula>
    </cfRule>
    <cfRule type="containsText" dxfId="2" priority="385" operator="between" text="库存为">
      <formula>NOT(ISERROR(SEARCH("库存为",AU477)))</formula>
    </cfRule>
  </conditionalFormatting>
  <conditionalFormatting sqref="AU478">
    <cfRule type="cellIs" dxfId="0" priority="2096" operator="lessThan">
      <formula>20</formula>
    </cfRule>
    <cfRule type="cellIs" dxfId="1" priority="1240" operator="greaterThan">
      <formula>120</formula>
    </cfRule>
    <cfRule type="containsText" dxfId="2" priority="384" operator="between" text="库存为">
      <formula>NOT(ISERROR(SEARCH("库存为",AU478)))</formula>
    </cfRule>
  </conditionalFormatting>
  <conditionalFormatting sqref="AU479">
    <cfRule type="cellIs" dxfId="0" priority="2095" operator="lessThan">
      <formula>20</formula>
    </cfRule>
    <cfRule type="cellIs" dxfId="1" priority="1239" operator="greaterThan">
      <formula>120</formula>
    </cfRule>
    <cfRule type="containsText" dxfId="2" priority="383" operator="between" text="库存为">
      <formula>NOT(ISERROR(SEARCH("库存为",AU479)))</formula>
    </cfRule>
  </conditionalFormatting>
  <conditionalFormatting sqref="AU480">
    <cfRule type="cellIs" dxfId="0" priority="2094" operator="lessThan">
      <formula>20</formula>
    </cfRule>
    <cfRule type="cellIs" dxfId="1" priority="1238" operator="greaterThan">
      <formula>120</formula>
    </cfRule>
    <cfRule type="containsText" dxfId="2" priority="382" operator="between" text="库存为">
      <formula>NOT(ISERROR(SEARCH("库存为",AU480)))</formula>
    </cfRule>
  </conditionalFormatting>
  <conditionalFormatting sqref="AU481">
    <cfRule type="cellIs" dxfId="0" priority="2093" operator="lessThan">
      <formula>20</formula>
    </cfRule>
    <cfRule type="cellIs" dxfId="1" priority="1237" operator="greaterThan">
      <formula>120</formula>
    </cfRule>
    <cfRule type="containsText" dxfId="2" priority="381" operator="between" text="库存为">
      <formula>NOT(ISERROR(SEARCH("库存为",AU481)))</formula>
    </cfRule>
  </conditionalFormatting>
  <conditionalFormatting sqref="AU482">
    <cfRule type="cellIs" dxfId="0" priority="2092" operator="lessThan">
      <formula>20</formula>
    </cfRule>
    <cfRule type="cellIs" dxfId="1" priority="1236" operator="greaterThan">
      <formula>120</formula>
    </cfRule>
    <cfRule type="containsText" dxfId="2" priority="380" operator="between" text="库存为">
      <formula>NOT(ISERROR(SEARCH("库存为",AU482)))</formula>
    </cfRule>
  </conditionalFormatting>
  <conditionalFormatting sqref="AU483">
    <cfRule type="cellIs" dxfId="0" priority="2091" operator="lessThan">
      <formula>20</formula>
    </cfRule>
    <cfRule type="cellIs" dxfId="1" priority="1235" operator="greaterThan">
      <formula>120</formula>
    </cfRule>
    <cfRule type="containsText" dxfId="2" priority="379" operator="between" text="库存为">
      <formula>NOT(ISERROR(SEARCH("库存为",AU483)))</formula>
    </cfRule>
  </conditionalFormatting>
  <conditionalFormatting sqref="AU484">
    <cfRule type="cellIs" dxfId="0" priority="2090" operator="lessThan">
      <formula>20</formula>
    </cfRule>
    <cfRule type="cellIs" dxfId="1" priority="1234" operator="greaterThan">
      <formula>120</formula>
    </cfRule>
    <cfRule type="containsText" dxfId="2" priority="378" operator="between" text="库存为">
      <formula>NOT(ISERROR(SEARCH("库存为",AU484)))</formula>
    </cfRule>
  </conditionalFormatting>
  <conditionalFormatting sqref="AU485">
    <cfRule type="cellIs" dxfId="0" priority="2089" operator="lessThan">
      <formula>20</formula>
    </cfRule>
    <cfRule type="cellIs" dxfId="1" priority="1233" operator="greaterThan">
      <formula>120</formula>
    </cfRule>
    <cfRule type="containsText" dxfId="2" priority="377" operator="between" text="库存为">
      <formula>NOT(ISERROR(SEARCH("库存为",AU485)))</formula>
    </cfRule>
  </conditionalFormatting>
  <conditionalFormatting sqref="AU486">
    <cfRule type="cellIs" dxfId="0" priority="2088" operator="lessThan">
      <formula>20</formula>
    </cfRule>
    <cfRule type="cellIs" dxfId="1" priority="1232" operator="greaterThan">
      <formula>120</formula>
    </cfRule>
    <cfRule type="containsText" dxfId="2" priority="376" operator="between" text="库存为">
      <formula>NOT(ISERROR(SEARCH("库存为",AU486)))</formula>
    </cfRule>
  </conditionalFormatting>
  <conditionalFormatting sqref="AU487">
    <cfRule type="cellIs" dxfId="0" priority="2087" operator="lessThan">
      <formula>20</formula>
    </cfRule>
    <cfRule type="cellIs" dxfId="1" priority="1231" operator="greaterThan">
      <formula>120</formula>
    </cfRule>
    <cfRule type="containsText" dxfId="2" priority="375" operator="between" text="库存为">
      <formula>NOT(ISERROR(SEARCH("库存为",AU487)))</formula>
    </cfRule>
  </conditionalFormatting>
  <conditionalFormatting sqref="AU488">
    <cfRule type="cellIs" dxfId="0" priority="2086" operator="lessThan">
      <formula>20</formula>
    </cfRule>
    <cfRule type="cellIs" dxfId="1" priority="1230" operator="greaterThan">
      <formula>120</formula>
    </cfRule>
    <cfRule type="containsText" dxfId="2" priority="374" operator="between" text="库存为">
      <formula>NOT(ISERROR(SEARCH("库存为",AU488)))</formula>
    </cfRule>
  </conditionalFormatting>
  <conditionalFormatting sqref="AU489">
    <cfRule type="cellIs" dxfId="0" priority="2085" operator="lessThan">
      <formula>20</formula>
    </cfRule>
    <cfRule type="cellIs" dxfId="1" priority="1229" operator="greaterThan">
      <formula>120</formula>
    </cfRule>
    <cfRule type="containsText" dxfId="2" priority="373" operator="between" text="库存为">
      <formula>NOT(ISERROR(SEARCH("库存为",AU489)))</formula>
    </cfRule>
  </conditionalFormatting>
  <conditionalFormatting sqref="AU490">
    <cfRule type="cellIs" dxfId="0" priority="2084" operator="lessThan">
      <formula>20</formula>
    </cfRule>
    <cfRule type="cellIs" dxfId="1" priority="1228" operator="greaterThan">
      <formula>120</formula>
    </cfRule>
    <cfRule type="containsText" dxfId="2" priority="372" operator="between" text="库存为">
      <formula>NOT(ISERROR(SEARCH("库存为",AU490)))</formula>
    </cfRule>
  </conditionalFormatting>
  <conditionalFormatting sqref="AU491">
    <cfRule type="cellIs" dxfId="0" priority="2083" operator="lessThan">
      <formula>20</formula>
    </cfRule>
    <cfRule type="cellIs" dxfId="1" priority="1227" operator="greaterThan">
      <formula>120</formula>
    </cfRule>
    <cfRule type="containsText" dxfId="2" priority="371" operator="between" text="库存为">
      <formula>NOT(ISERROR(SEARCH("库存为",AU491)))</formula>
    </cfRule>
  </conditionalFormatting>
  <conditionalFormatting sqref="AU492">
    <cfRule type="cellIs" dxfId="0" priority="2082" operator="lessThan">
      <formula>20</formula>
    </cfRule>
    <cfRule type="cellIs" dxfId="1" priority="1226" operator="greaterThan">
      <formula>120</formula>
    </cfRule>
    <cfRule type="containsText" dxfId="2" priority="370" operator="between" text="库存为">
      <formula>NOT(ISERROR(SEARCH("库存为",AU492)))</formula>
    </cfRule>
  </conditionalFormatting>
  <conditionalFormatting sqref="AU493">
    <cfRule type="cellIs" dxfId="0" priority="2081" operator="lessThan">
      <formula>20</formula>
    </cfRule>
    <cfRule type="cellIs" dxfId="1" priority="1225" operator="greaterThan">
      <formula>120</formula>
    </cfRule>
    <cfRule type="containsText" dxfId="2" priority="369" operator="between" text="库存为">
      <formula>NOT(ISERROR(SEARCH("库存为",AU493)))</formula>
    </cfRule>
  </conditionalFormatting>
  <conditionalFormatting sqref="AU494">
    <cfRule type="cellIs" dxfId="0" priority="2080" operator="lessThan">
      <formula>20</formula>
    </cfRule>
    <cfRule type="cellIs" dxfId="1" priority="1224" operator="greaterThan">
      <formula>120</formula>
    </cfRule>
    <cfRule type="containsText" dxfId="2" priority="368" operator="between" text="库存为">
      <formula>NOT(ISERROR(SEARCH("库存为",AU494)))</formula>
    </cfRule>
  </conditionalFormatting>
  <conditionalFormatting sqref="AU495">
    <cfRule type="cellIs" dxfId="0" priority="2079" operator="lessThan">
      <formula>20</formula>
    </cfRule>
    <cfRule type="cellIs" dxfId="1" priority="1223" operator="greaterThan">
      <formula>120</formula>
    </cfRule>
    <cfRule type="containsText" dxfId="2" priority="367" operator="between" text="库存为">
      <formula>NOT(ISERROR(SEARCH("库存为",AU495)))</formula>
    </cfRule>
  </conditionalFormatting>
  <conditionalFormatting sqref="AU496">
    <cfRule type="cellIs" dxfId="0" priority="2078" operator="lessThan">
      <formula>20</formula>
    </cfRule>
    <cfRule type="cellIs" dxfId="1" priority="1222" operator="greaterThan">
      <formula>120</formula>
    </cfRule>
    <cfRule type="containsText" dxfId="2" priority="366" operator="between" text="库存为">
      <formula>NOT(ISERROR(SEARCH("库存为",AU496)))</formula>
    </cfRule>
  </conditionalFormatting>
  <conditionalFormatting sqref="AU497">
    <cfRule type="cellIs" dxfId="0" priority="2077" operator="lessThan">
      <formula>20</formula>
    </cfRule>
    <cfRule type="cellIs" dxfId="1" priority="1221" operator="greaterThan">
      <formula>120</formula>
    </cfRule>
    <cfRule type="containsText" dxfId="2" priority="365" operator="between" text="库存为">
      <formula>NOT(ISERROR(SEARCH("库存为",AU497)))</formula>
    </cfRule>
  </conditionalFormatting>
  <conditionalFormatting sqref="AU498">
    <cfRule type="cellIs" dxfId="0" priority="2076" operator="lessThan">
      <formula>20</formula>
    </cfRule>
    <cfRule type="cellIs" dxfId="1" priority="1220" operator="greaterThan">
      <formula>120</formula>
    </cfRule>
    <cfRule type="containsText" dxfId="2" priority="364" operator="between" text="库存为">
      <formula>NOT(ISERROR(SEARCH("库存为",AU498)))</formula>
    </cfRule>
  </conditionalFormatting>
  <conditionalFormatting sqref="AU499">
    <cfRule type="cellIs" dxfId="0" priority="2075" operator="lessThan">
      <formula>20</formula>
    </cfRule>
    <cfRule type="cellIs" dxfId="1" priority="1219" operator="greaterThan">
      <formula>120</formula>
    </cfRule>
    <cfRule type="containsText" dxfId="2" priority="363" operator="between" text="库存为">
      <formula>NOT(ISERROR(SEARCH("库存为",AU499)))</formula>
    </cfRule>
  </conditionalFormatting>
  <conditionalFormatting sqref="AU500">
    <cfRule type="cellIs" dxfId="0" priority="2074" operator="lessThan">
      <formula>20</formula>
    </cfRule>
    <cfRule type="cellIs" dxfId="1" priority="1218" operator="greaterThan">
      <formula>120</formula>
    </cfRule>
    <cfRule type="containsText" dxfId="2" priority="362" operator="between" text="库存为">
      <formula>NOT(ISERROR(SEARCH("库存为",AU500)))</formula>
    </cfRule>
  </conditionalFormatting>
  <conditionalFormatting sqref="AU501">
    <cfRule type="cellIs" dxfId="0" priority="2073" operator="lessThan">
      <formula>20</formula>
    </cfRule>
    <cfRule type="cellIs" dxfId="1" priority="1217" operator="greaterThan">
      <formula>120</formula>
    </cfRule>
    <cfRule type="containsText" dxfId="2" priority="361" operator="between" text="库存为">
      <formula>NOT(ISERROR(SEARCH("库存为",AU501)))</formula>
    </cfRule>
  </conditionalFormatting>
  <conditionalFormatting sqref="AU502">
    <cfRule type="cellIs" dxfId="0" priority="2072" operator="lessThan">
      <formula>20</formula>
    </cfRule>
    <cfRule type="cellIs" dxfId="1" priority="1216" operator="greaterThan">
      <formula>120</formula>
    </cfRule>
    <cfRule type="containsText" dxfId="2" priority="360" operator="between" text="库存为">
      <formula>NOT(ISERROR(SEARCH("库存为",AU502)))</formula>
    </cfRule>
  </conditionalFormatting>
  <conditionalFormatting sqref="AU503">
    <cfRule type="cellIs" dxfId="0" priority="2071" operator="lessThan">
      <formula>20</formula>
    </cfRule>
    <cfRule type="cellIs" dxfId="1" priority="1215" operator="greaterThan">
      <formula>120</formula>
    </cfRule>
    <cfRule type="containsText" dxfId="2" priority="359" operator="between" text="库存为">
      <formula>NOT(ISERROR(SEARCH("库存为",AU503)))</formula>
    </cfRule>
  </conditionalFormatting>
  <conditionalFormatting sqref="AU504">
    <cfRule type="cellIs" dxfId="0" priority="2070" operator="lessThan">
      <formula>20</formula>
    </cfRule>
    <cfRule type="cellIs" dxfId="1" priority="1214" operator="greaterThan">
      <formula>120</formula>
    </cfRule>
    <cfRule type="containsText" dxfId="2" priority="358" operator="between" text="库存为">
      <formula>NOT(ISERROR(SEARCH("库存为",AU504)))</formula>
    </cfRule>
  </conditionalFormatting>
  <conditionalFormatting sqref="AU505">
    <cfRule type="cellIs" dxfId="0" priority="2069" operator="lessThan">
      <formula>20</formula>
    </cfRule>
    <cfRule type="cellIs" dxfId="1" priority="1213" operator="greaterThan">
      <formula>120</formula>
    </cfRule>
    <cfRule type="containsText" dxfId="2" priority="357" operator="between" text="库存为">
      <formula>NOT(ISERROR(SEARCH("库存为",AU505)))</formula>
    </cfRule>
  </conditionalFormatting>
  <conditionalFormatting sqref="AU506">
    <cfRule type="cellIs" dxfId="0" priority="2068" operator="lessThan">
      <formula>20</formula>
    </cfRule>
    <cfRule type="cellIs" dxfId="1" priority="1212" operator="greaterThan">
      <formula>120</formula>
    </cfRule>
    <cfRule type="containsText" dxfId="2" priority="356" operator="between" text="库存为">
      <formula>NOT(ISERROR(SEARCH("库存为",AU506)))</formula>
    </cfRule>
  </conditionalFormatting>
  <conditionalFormatting sqref="AU507">
    <cfRule type="cellIs" dxfId="0" priority="2067" operator="lessThan">
      <formula>20</formula>
    </cfRule>
    <cfRule type="cellIs" dxfId="1" priority="1211" operator="greaterThan">
      <formula>120</formula>
    </cfRule>
    <cfRule type="containsText" dxfId="2" priority="355" operator="between" text="库存为">
      <formula>NOT(ISERROR(SEARCH("库存为",AU507)))</formula>
    </cfRule>
  </conditionalFormatting>
  <conditionalFormatting sqref="AU508">
    <cfRule type="cellIs" dxfId="0" priority="2066" operator="lessThan">
      <formula>20</formula>
    </cfRule>
    <cfRule type="cellIs" dxfId="1" priority="1210" operator="greaterThan">
      <formula>120</formula>
    </cfRule>
    <cfRule type="containsText" dxfId="2" priority="354" operator="between" text="库存为">
      <formula>NOT(ISERROR(SEARCH("库存为",AU508)))</formula>
    </cfRule>
  </conditionalFormatting>
  <conditionalFormatting sqref="AU509">
    <cfRule type="cellIs" dxfId="0" priority="2065" operator="lessThan">
      <formula>20</formula>
    </cfRule>
    <cfRule type="cellIs" dxfId="1" priority="1209" operator="greaterThan">
      <formula>120</formula>
    </cfRule>
    <cfRule type="containsText" dxfId="2" priority="353" operator="between" text="库存为">
      <formula>NOT(ISERROR(SEARCH("库存为",AU509)))</formula>
    </cfRule>
  </conditionalFormatting>
  <conditionalFormatting sqref="AU510">
    <cfRule type="cellIs" dxfId="0" priority="2064" operator="lessThan">
      <formula>20</formula>
    </cfRule>
    <cfRule type="cellIs" dxfId="1" priority="1208" operator="greaterThan">
      <formula>120</formula>
    </cfRule>
    <cfRule type="containsText" dxfId="2" priority="352" operator="between" text="库存为">
      <formula>NOT(ISERROR(SEARCH("库存为",AU510)))</formula>
    </cfRule>
  </conditionalFormatting>
  <conditionalFormatting sqref="AU511">
    <cfRule type="cellIs" dxfId="0" priority="2063" operator="lessThan">
      <formula>20</formula>
    </cfRule>
    <cfRule type="cellIs" dxfId="1" priority="1207" operator="greaterThan">
      <formula>120</formula>
    </cfRule>
    <cfRule type="containsText" dxfId="2" priority="351" operator="between" text="库存为">
      <formula>NOT(ISERROR(SEARCH("库存为",AU511)))</formula>
    </cfRule>
  </conditionalFormatting>
  <conditionalFormatting sqref="AU512">
    <cfRule type="cellIs" dxfId="0" priority="2062" operator="lessThan">
      <formula>20</formula>
    </cfRule>
    <cfRule type="cellIs" dxfId="1" priority="1206" operator="greaterThan">
      <formula>120</formula>
    </cfRule>
    <cfRule type="containsText" dxfId="2" priority="350" operator="between" text="库存为">
      <formula>NOT(ISERROR(SEARCH("库存为",AU512)))</formula>
    </cfRule>
  </conditionalFormatting>
  <conditionalFormatting sqref="AU513">
    <cfRule type="cellIs" dxfId="0" priority="2061" operator="lessThan">
      <formula>20</formula>
    </cfRule>
    <cfRule type="cellIs" dxfId="1" priority="1205" operator="greaterThan">
      <formula>120</formula>
    </cfRule>
    <cfRule type="containsText" dxfId="2" priority="349" operator="between" text="库存为">
      <formula>NOT(ISERROR(SEARCH("库存为",AU513)))</formula>
    </cfRule>
  </conditionalFormatting>
  <conditionalFormatting sqref="AU514">
    <cfRule type="cellIs" dxfId="0" priority="2060" operator="lessThan">
      <formula>20</formula>
    </cfRule>
    <cfRule type="cellIs" dxfId="1" priority="1204" operator="greaterThan">
      <formula>120</formula>
    </cfRule>
    <cfRule type="containsText" dxfId="2" priority="348" operator="between" text="库存为">
      <formula>NOT(ISERROR(SEARCH("库存为",AU514)))</formula>
    </cfRule>
  </conditionalFormatting>
  <conditionalFormatting sqref="AU515">
    <cfRule type="cellIs" dxfId="0" priority="2059" operator="lessThan">
      <formula>20</formula>
    </cfRule>
    <cfRule type="cellIs" dxfId="1" priority="1203" operator="greaterThan">
      <formula>120</formula>
    </cfRule>
    <cfRule type="containsText" dxfId="2" priority="347" operator="between" text="库存为">
      <formula>NOT(ISERROR(SEARCH("库存为",AU515)))</formula>
    </cfRule>
  </conditionalFormatting>
  <conditionalFormatting sqref="AU516">
    <cfRule type="cellIs" dxfId="0" priority="2058" operator="lessThan">
      <formula>20</formula>
    </cfRule>
    <cfRule type="cellIs" dxfId="1" priority="1202" operator="greaterThan">
      <formula>120</formula>
    </cfRule>
    <cfRule type="containsText" dxfId="2" priority="346" operator="between" text="库存为">
      <formula>NOT(ISERROR(SEARCH("库存为",AU516)))</formula>
    </cfRule>
  </conditionalFormatting>
  <conditionalFormatting sqref="AU517">
    <cfRule type="cellIs" dxfId="0" priority="2057" operator="lessThan">
      <formula>20</formula>
    </cfRule>
    <cfRule type="cellIs" dxfId="1" priority="1201" operator="greaterThan">
      <formula>120</formula>
    </cfRule>
    <cfRule type="containsText" dxfId="2" priority="345" operator="between" text="库存为">
      <formula>NOT(ISERROR(SEARCH("库存为",AU517)))</formula>
    </cfRule>
  </conditionalFormatting>
  <conditionalFormatting sqref="AU518">
    <cfRule type="cellIs" dxfId="0" priority="2056" operator="lessThan">
      <formula>20</formula>
    </cfRule>
    <cfRule type="cellIs" dxfId="1" priority="1200" operator="greaterThan">
      <formula>120</formula>
    </cfRule>
    <cfRule type="containsText" dxfId="2" priority="344" operator="between" text="库存为">
      <formula>NOT(ISERROR(SEARCH("库存为",AU518)))</formula>
    </cfRule>
  </conditionalFormatting>
  <conditionalFormatting sqref="AU519">
    <cfRule type="cellIs" dxfId="0" priority="2055" operator="lessThan">
      <formula>20</formula>
    </cfRule>
    <cfRule type="cellIs" dxfId="1" priority="1199" operator="greaterThan">
      <formula>120</formula>
    </cfRule>
    <cfRule type="containsText" dxfId="2" priority="343" operator="between" text="库存为">
      <formula>NOT(ISERROR(SEARCH("库存为",AU519)))</formula>
    </cfRule>
  </conditionalFormatting>
  <conditionalFormatting sqref="AU520">
    <cfRule type="cellIs" dxfId="0" priority="2054" operator="lessThan">
      <formula>20</formula>
    </cfRule>
    <cfRule type="cellIs" dxfId="1" priority="1198" operator="greaterThan">
      <formula>120</formula>
    </cfRule>
    <cfRule type="containsText" dxfId="2" priority="342" operator="between" text="库存为">
      <formula>NOT(ISERROR(SEARCH("库存为",AU520)))</formula>
    </cfRule>
  </conditionalFormatting>
  <conditionalFormatting sqref="AU521">
    <cfRule type="cellIs" dxfId="0" priority="2053" operator="lessThan">
      <formula>20</formula>
    </cfRule>
    <cfRule type="cellIs" dxfId="1" priority="1197" operator="greaterThan">
      <formula>120</formula>
    </cfRule>
    <cfRule type="containsText" dxfId="2" priority="341" operator="between" text="库存为">
      <formula>NOT(ISERROR(SEARCH("库存为",AU521)))</formula>
    </cfRule>
  </conditionalFormatting>
  <conditionalFormatting sqref="AU522">
    <cfRule type="cellIs" dxfId="0" priority="2052" operator="lessThan">
      <formula>20</formula>
    </cfRule>
    <cfRule type="cellIs" dxfId="1" priority="1196" operator="greaterThan">
      <formula>120</formula>
    </cfRule>
    <cfRule type="containsText" dxfId="2" priority="340" operator="between" text="库存为">
      <formula>NOT(ISERROR(SEARCH("库存为",AU522)))</formula>
    </cfRule>
  </conditionalFormatting>
  <conditionalFormatting sqref="AU523">
    <cfRule type="cellIs" dxfId="0" priority="2051" operator="lessThan">
      <formula>20</formula>
    </cfRule>
    <cfRule type="cellIs" dxfId="1" priority="1195" operator="greaterThan">
      <formula>120</formula>
    </cfRule>
    <cfRule type="containsText" dxfId="2" priority="339" operator="between" text="库存为">
      <formula>NOT(ISERROR(SEARCH("库存为",AU523)))</formula>
    </cfRule>
  </conditionalFormatting>
  <conditionalFormatting sqref="AU524">
    <cfRule type="cellIs" dxfId="0" priority="2050" operator="lessThan">
      <formula>20</formula>
    </cfRule>
    <cfRule type="cellIs" dxfId="1" priority="1194" operator="greaterThan">
      <formula>120</formula>
    </cfRule>
    <cfRule type="containsText" dxfId="2" priority="338" operator="between" text="库存为">
      <formula>NOT(ISERROR(SEARCH("库存为",AU524)))</formula>
    </cfRule>
  </conditionalFormatting>
  <conditionalFormatting sqref="AU525">
    <cfRule type="cellIs" dxfId="0" priority="2049" operator="lessThan">
      <formula>20</formula>
    </cfRule>
    <cfRule type="cellIs" dxfId="1" priority="1193" operator="greaterThan">
      <formula>120</formula>
    </cfRule>
    <cfRule type="containsText" dxfId="2" priority="337" operator="between" text="库存为">
      <formula>NOT(ISERROR(SEARCH("库存为",AU525)))</formula>
    </cfRule>
  </conditionalFormatting>
  <conditionalFormatting sqref="AU526">
    <cfRule type="cellIs" dxfId="0" priority="2048" operator="lessThan">
      <formula>20</formula>
    </cfRule>
    <cfRule type="cellIs" dxfId="1" priority="1192" operator="greaterThan">
      <formula>120</formula>
    </cfRule>
    <cfRule type="containsText" dxfId="2" priority="336" operator="between" text="库存为">
      <formula>NOT(ISERROR(SEARCH("库存为",AU526)))</formula>
    </cfRule>
  </conditionalFormatting>
  <conditionalFormatting sqref="AU527">
    <cfRule type="cellIs" dxfId="0" priority="2047" operator="lessThan">
      <formula>20</formula>
    </cfRule>
    <cfRule type="cellIs" dxfId="1" priority="1191" operator="greaterThan">
      <formula>120</formula>
    </cfRule>
    <cfRule type="containsText" dxfId="2" priority="335" operator="between" text="库存为">
      <formula>NOT(ISERROR(SEARCH("库存为",AU527)))</formula>
    </cfRule>
  </conditionalFormatting>
  <conditionalFormatting sqref="AU528">
    <cfRule type="cellIs" dxfId="0" priority="2046" operator="lessThan">
      <formula>20</formula>
    </cfRule>
    <cfRule type="cellIs" dxfId="1" priority="1190" operator="greaterThan">
      <formula>120</formula>
    </cfRule>
    <cfRule type="containsText" dxfId="2" priority="334" operator="between" text="库存为">
      <formula>NOT(ISERROR(SEARCH("库存为",AU528)))</formula>
    </cfRule>
  </conditionalFormatting>
  <conditionalFormatting sqref="AU529">
    <cfRule type="cellIs" dxfId="0" priority="2045" operator="lessThan">
      <formula>20</formula>
    </cfRule>
    <cfRule type="cellIs" dxfId="1" priority="1189" operator="greaterThan">
      <formula>120</formula>
    </cfRule>
    <cfRule type="containsText" dxfId="2" priority="333" operator="between" text="库存为">
      <formula>NOT(ISERROR(SEARCH("库存为",AU529)))</formula>
    </cfRule>
  </conditionalFormatting>
  <conditionalFormatting sqref="AU530">
    <cfRule type="cellIs" dxfId="0" priority="2044" operator="lessThan">
      <formula>20</formula>
    </cfRule>
    <cfRule type="cellIs" dxfId="1" priority="1188" operator="greaterThan">
      <formula>120</formula>
    </cfRule>
    <cfRule type="containsText" dxfId="2" priority="332" operator="between" text="库存为">
      <formula>NOT(ISERROR(SEARCH("库存为",AU530)))</formula>
    </cfRule>
  </conditionalFormatting>
  <conditionalFormatting sqref="AU531">
    <cfRule type="cellIs" dxfId="0" priority="2043" operator="lessThan">
      <formula>20</formula>
    </cfRule>
    <cfRule type="cellIs" dxfId="1" priority="1187" operator="greaterThan">
      <formula>120</formula>
    </cfRule>
    <cfRule type="containsText" dxfId="2" priority="331" operator="between" text="库存为">
      <formula>NOT(ISERROR(SEARCH("库存为",AU531)))</formula>
    </cfRule>
  </conditionalFormatting>
  <conditionalFormatting sqref="AU532">
    <cfRule type="cellIs" dxfId="0" priority="2042" operator="lessThan">
      <formula>20</formula>
    </cfRule>
    <cfRule type="cellIs" dxfId="1" priority="1186" operator="greaterThan">
      <formula>120</formula>
    </cfRule>
    <cfRule type="containsText" dxfId="2" priority="330" operator="between" text="库存为">
      <formula>NOT(ISERROR(SEARCH("库存为",AU532)))</formula>
    </cfRule>
  </conditionalFormatting>
  <conditionalFormatting sqref="AU533">
    <cfRule type="cellIs" dxfId="0" priority="2041" operator="lessThan">
      <formula>20</formula>
    </cfRule>
    <cfRule type="cellIs" dxfId="1" priority="1185" operator="greaterThan">
      <formula>120</formula>
    </cfRule>
    <cfRule type="containsText" dxfId="2" priority="329" operator="between" text="库存为">
      <formula>NOT(ISERROR(SEARCH("库存为",AU533)))</formula>
    </cfRule>
  </conditionalFormatting>
  <conditionalFormatting sqref="AU534">
    <cfRule type="cellIs" dxfId="0" priority="2040" operator="lessThan">
      <formula>20</formula>
    </cfRule>
    <cfRule type="cellIs" dxfId="1" priority="1184" operator="greaterThan">
      <formula>120</formula>
    </cfRule>
    <cfRule type="containsText" dxfId="2" priority="328" operator="between" text="库存为">
      <formula>NOT(ISERROR(SEARCH("库存为",AU534)))</formula>
    </cfRule>
  </conditionalFormatting>
  <conditionalFormatting sqref="AU535">
    <cfRule type="cellIs" dxfId="0" priority="2039" operator="lessThan">
      <formula>20</formula>
    </cfRule>
    <cfRule type="cellIs" dxfId="1" priority="1183" operator="greaterThan">
      <formula>120</formula>
    </cfRule>
    <cfRule type="containsText" dxfId="2" priority="327" operator="between" text="库存为">
      <formula>NOT(ISERROR(SEARCH("库存为",AU535)))</formula>
    </cfRule>
  </conditionalFormatting>
  <conditionalFormatting sqref="AU536">
    <cfRule type="cellIs" dxfId="0" priority="2038" operator="lessThan">
      <formula>20</formula>
    </cfRule>
    <cfRule type="cellIs" dxfId="1" priority="1182" operator="greaterThan">
      <formula>120</formula>
    </cfRule>
    <cfRule type="containsText" dxfId="2" priority="326" operator="between" text="库存为">
      <formula>NOT(ISERROR(SEARCH("库存为",AU536)))</formula>
    </cfRule>
  </conditionalFormatting>
  <conditionalFormatting sqref="AU537">
    <cfRule type="cellIs" dxfId="0" priority="2037" operator="lessThan">
      <formula>20</formula>
    </cfRule>
    <cfRule type="cellIs" dxfId="1" priority="1181" operator="greaterThan">
      <formula>120</formula>
    </cfRule>
    <cfRule type="containsText" dxfId="2" priority="325" operator="between" text="库存为">
      <formula>NOT(ISERROR(SEARCH("库存为",AU537)))</formula>
    </cfRule>
  </conditionalFormatting>
  <conditionalFormatting sqref="AU538">
    <cfRule type="cellIs" dxfId="0" priority="2036" operator="lessThan">
      <formula>20</formula>
    </cfRule>
    <cfRule type="cellIs" dxfId="1" priority="1180" operator="greaterThan">
      <formula>120</formula>
    </cfRule>
    <cfRule type="containsText" dxfId="2" priority="324" operator="between" text="库存为">
      <formula>NOT(ISERROR(SEARCH("库存为",AU538)))</formula>
    </cfRule>
  </conditionalFormatting>
  <conditionalFormatting sqref="AU539">
    <cfRule type="cellIs" dxfId="0" priority="2035" operator="lessThan">
      <formula>20</formula>
    </cfRule>
    <cfRule type="cellIs" dxfId="1" priority="1179" operator="greaterThan">
      <formula>120</formula>
    </cfRule>
    <cfRule type="containsText" dxfId="2" priority="323" operator="between" text="库存为">
      <formula>NOT(ISERROR(SEARCH("库存为",AU539)))</formula>
    </cfRule>
  </conditionalFormatting>
  <conditionalFormatting sqref="AU540">
    <cfRule type="cellIs" dxfId="0" priority="2034" operator="lessThan">
      <formula>20</formula>
    </cfRule>
    <cfRule type="cellIs" dxfId="1" priority="1178" operator="greaterThan">
      <formula>120</formula>
    </cfRule>
    <cfRule type="containsText" dxfId="2" priority="322" operator="between" text="库存为">
      <formula>NOT(ISERROR(SEARCH("库存为",AU540)))</formula>
    </cfRule>
  </conditionalFormatting>
  <conditionalFormatting sqref="AU541">
    <cfRule type="cellIs" dxfId="0" priority="2033" operator="lessThan">
      <formula>20</formula>
    </cfRule>
    <cfRule type="cellIs" dxfId="1" priority="1177" operator="greaterThan">
      <formula>120</formula>
    </cfRule>
    <cfRule type="containsText" dxfId="2" priority="321" operator="between" text="库存为">
      <formula>NOT(ISERROR(SEARCH("库存为",AU541)))</formula>
    </cfRule>
  </conditionalFormatting>
  <conditionalFormatting sqref="AU542">
    <cfRule type="cellIs" dxfId="0" priority="2032" operator="lessThan">
      <formula>20</formula>
    </cfRule>
    <cfRule type="cellIs" dxfId="1" priority="1176" operator="greaterThan">
      <formula>120</formula>
    </cfRule>
    <cfRule type="containsText" dxfId="2" priority="320" operator="between" text="库存为">
      <formula>NOT(ISERROR(SEARCH("库存为",AU542)))</formula>
    </cfRule>
  </conditionalFormatting>
  <conditionalFormatting sqref="AU543">
    <cfRule type="cellIs" dxfId="0" priority="2031" operator="lessThan">
      <formula>20</formula>
    </cfRule>
    <cfRule type="cellIs" dxfId="1" priority="1175" operator="greaterThan">
      <formula>120</formula>
    </cfRule>
    <cfRule type="containsText" dxfId="2" priority="319" operator="between" text="库存为">
      <formula>NOT(ISERROR(SEARCH("库存为",AU543)))</formula>
    </cfRule>
  </conditionalFormatting>
  <conditionalFormatting sqref="AU544">
    <cfRule type="cellIs" dxfId="0" priority="2030" operator="lessThan">
      <formula>20</formula>
    </cfRule>
    <cfRule type="cellIs" dxfId="1" priority="1174" operator="greaterThan">
      <formula>120</formula>
    </cfRule>
    <cfRule type="containsText" dxfId="2" priority="318" operator="between" text="库存为">
      <formula>NOT(ISERROR(SEARCH("库存为",AU544)))</formula>
    </cfRule>
  </conditionalFormatting>
  <conditionalFormatting sqref="AU545">
    <cfRule type="cellIs" dxfId="0" priority="2029" operator="lessThan">
      <formula>20</formula>
    </cfRule>
    <cfRule type="cellIs" dxfId="1" priority="1173" operator="greaterThan">
      <formula>120</formula>
    </cfRule>
    <cfRule type="containsText" dxfId="2" priority="317" operator="between" text="库存为">
      <formula>NOT(ISERROR(SEARCH("库存为",AU545)))</formula>
    </cfRule>
  </conditionalFormatting>
  <conditionalFormatting sqref="AU546">
    <cfRule type="cellIs" dxfId="0" priority="2028" operator="lessThan">
      <formula>20</formula>
    </cfRule>
    <cfRule type="cellIs" dxfId="1" priority="1172" operator="greaterThan">
      <formula>120</formula>
    </cfRule>
    <cfRule type="containsText" dxfId="2" priority="316" operator="between" text="库存为">
      <formula>NOT(ISERROR(SEARCH("库存为",AU546)))</formula>
    </cfRule>
  </conditionalFormatting>
  <conditionalFormatting sqref="AU547">
    <cfRule type="cellIs" dxfId="0" priority="2027" operator="lessThan">
      <formula>20</formula>
    </cfRule>
    <cfRule type="cellIs" dxfId="1" priority="1171" operator="greaterThan">
      <formula>120</formula>
    </cfRule>
    <cfRule type="containsText" dxfId="2" priority="315" operator="between" text="库存为">
      <formula>NOT(ISERROR(SEARCH("库存为",AU547)))</formula>
    </cfRule>
  </conditionalFormatting>
  <conditionalFormatting sqref="AU548">
    <cfRule type="cellIs" dxfId="0" priority="2026" operator="lessThan">
      <formula>20</formula>
    </cfRule>
    <cfRule type="cellIs" dxfId="1" priority="1170" operator="greaterThan">
      <formula>120</formula>
    </cfRule>
    <cfRule type="containsText" dxfId="2" priority="314" operator="between" text="库存为">
      <formula>NOT(ISERROR(SEARCH("库存为",AU548)))</formula>
    </cfRule>
  </conditionalFormatting>
  <conditionalFormatting sqref="AU549">
    <cfRule type="cellIs" dxfId="0" priority="2025" operator="lessThan">
      <formula>20</formula>
    </cfRule>
    <cfRule type="cellIs" dxfId="1" priority="1169" operator="greaterThan">
      <formula>120</formula>
    </cfRule>
    <cfRule type="containsText" dxfId="2" priority="313" operator="between" text="库存为">
      <formula>NOT(ISERROR(SEARCH("库存为",AU549)))</formula>
    </cfRule>
  </conditionalFormatting>
  <conditionalFormatting sqref="AU550">
    <cfRule type="cellIs" dxfId="0" priority="2024" operator="lessThan">
      <formula>20</formula>
    </cfRule>
    <cfRule type="cellIs" dxfId="1" priority="1168" operator="greaterThan">
      <formula>120</formula>
    </cfRule>
    <cfRule type="containsText" dxfId="2" priority="312" operator="between" text="库存为">
      <formula>NOT(ISERROR(SEARCH("库存为",AU550)))</formula>
    </cfRule>
  </conditionalFormatting>
  <conditionalFormatting sqref="AU551">
    <cfRule type="cellIs" dxfId="0" priority="2023" operator="lessThan">
      <formula>20</formula>
    </cfRule>
    <cfRule type="cellIs" dxfId="1" priority="1167" operator="greaterThan">
      <formula>120</formula>
    </cfRule>
    <cfRule type="containsText" dxfId="2" priority="311" operator="between" text="库存为">
      <formula>NOT(ISERROR(SEARCH("库存为",AU551)))</formula>
    </cfRule>
  </conditionalFormatting>
  <conditionalFormatting sqref="AU552">
    <cfRule type="cellIs" dxfId="0" priority="2022" operator="lessThan">
      <formula>20</formula>
    </cfRule>
    <cfRule type="cellIs" dxfId="1" priority="1166" operator="greaterThan">
      <formula>120</formula>
    </cfRule>
    <cfRule type="containsText" dxfId="2" priority="310" operator="between" text="库存为">
      <formula>NOT(ISERROR(SEARCH("库存为",AU552)))</formula>
    </cfRule>
  </conditionalFormatting>
  <conditionalFormatting sqref="AU553">
    <cfRule type="cellIs" dxfId="0" priority="2021" operator="lessThan">
      <formula>20</formula>
    </cfRule>
    <cfRule type="cellIs" dxfId="1" priority="1165" operator="greaterThan">
      <formula>120</formula>
    </cfRule>
    <cfRule type="containsText" dxfId="2" priority="309" operator="between" text="库存为">
      <formula>NOT(ISERROR(SEARCH("库存为",AU553)))</formula>
    </cfRule>
  </conditionalFormatting>
  <conditionalFormatting sqref="AU554">
    <cfRule type="cellIs" dxfId="0" priority="2020" operator="lessThan">
      <formula>20</formula>
    </cfRule>
    <cfRule type="cellIs" dxfId="1" priority="1164" operator="greaterThan">
      <formula>120</formula>
    </cfRule>
    <cfRule type="containsText" dxfId="2" priority="308" operator="between" text="库存为">
      <formula>NOT(ISERROR(SEARCH("库存为",AU554)))</formula>
    </cfRule>
  </conditionalFormatting>
  <conditionalFormatting sqref="AU555">
    <cfRule type="cellIs" dxfId="0" priority="2019" operator="lessThan">
      <formula>20</formula>
    </cfRule>
    <cfRule type="cellIs" dxfId="1" priority="1163" operator="greaterThan">
      <formula>120</formula>
    </cfRule>
    <cfRule type="containsText" dxfId="2" priority="307" operator="between" text="库存为">
      <formula>NOT(ISERROR(SEARCH("库存为",AU555)))</formula>
    </cfRule>
  </conditionalFormatting>
  <conditionalFormatting sqref="AU556">
    <cfRule type="cellIs" dxfId="0" priority="2018" operator="lessThan">
      <formula>20</formula>
    </cfRule>
    <cfRule type="cellIs" dxfId="1" priority="1162" operator="greaterThan">
      <formula>120</formula>
    </cfRule>
    <cfRule type="containsText" dxfId="2" priority="306" operator="between" text="库存为">
      <formula>NOT(ISERROR(SEARCH("库存为",AU556)))</formula>
    </cfRule>
  </conditionalFormatting>
  <conditionalFormatting sqref="AU557">
    <cfRule type="cellIs" dxfId="0" priority="2017" operator="lessThan">
      <formula>20</formula>
    </cfRule>
    <cfRule type="cellIs" dxfId="1" priority="1161" operator="greaterThan">
      <formula>120</formula>
    </cfRule>
    <cfRule type="containsText" dxfId="2" priority="305" operator="between" text="库存为">
      <formula>NOT(ISERROR(SEARCH("库存为",AU557)))</formula>
    </cfRule>
  </conditionalFormatting>
  <conditionalFormatting sqref="AU558">
    <cfRule type="cellIs" dxfId="0" priority="2016" operator="lessThan">
      <formula>20</formula>
    </cfRule>
    <cfRule type="cellIs" dxfId="1" priority="1160" operator="greaterThan">
      <formula>120</formula>
    </cfRule>
    <cfRule type="containsText" dxfId="2" priority="304" operator="between" text="库存为">
      <formula>NOT(ISERROR(SEARCH("库存为",AU558)))</formula>
    </cfRule>
  </conditionalFormatting>
  <conditionalFormatting sqref="AU559">
    <cfRule type="cellIs" dxfId="0" priority="2015" operator="lessThan">
      <formula>20</formula>
    </cfRule>
    <cfRule type="cellIs" dxfId="1" priority="1159" operator="greaterThan">
      <formula>120</formula>
    </cfRule>
    <cfRule type="containsText" dxfId="2" priority="303" operator="between" text="库存为">
      <formula>NOT(ISERROR(SEARCH("库存为",AU559)))</formula>
    </cfRule>
  </conditionalFormatting>
  <conditionalFormatting sqref="AU560">
    <cfRule type="cellIs" dxfId="0" priority="2014" operator="lessThan">
      <formula>20</formula>
    </cfRule>
    <cfRule type="cellIs" dxfId="1" priority="1158" operator="greaterThan">
      <formula>120</formula>
    </cfRule>
    <cfRule type="containsText" dxfId="2" priority="302" operator="between" text="库存为">
      <formula>NOT(ISERROR(SEARCH("库存为",AU560)))</formula>
    </cfRule>
  </conditionalFormatting>
  <conditionalFormatting sqref="AU561">
    <cfRule type="cellIs" dxfId="0" priority="2013" operator="lessThan">
      <formula>20</formula>
    </cfRule>
    <cfRule type="cellIs" dxfId="1" priority="1157" operator="greaterThan">
      <formula>120</formula>
    </cfRule>
    <cfRule type="containsText" dxfId="2" priority="301" operator="between" text="库存为">
      <formula>NOT(ISERROR(SEARCH("库存为",AU561)))</formula>
    </cfRule>
  </conditionalFormatting>
  <conditionalFormatting sqref="AU562">
    <cfRule type="cellIs" dxfId="0" priority="2012" operator="lessThan">
      <formula>20</formula>
    </cfRule>
    <cfRule type="cellIs" dxfId="1" priority="1156" operator="greaterThan">
      <formula>120</formula>
    </cfRule>
    <cfRule type="containsText" dxfId="2" priority="300" operator="between" text="库存为">
      <formula>NOT(ISERROR(SEARCH("库存为",AU562)))</formula>
    </cfRule>
  </conditionalFormatting>
  <conditionalFormatting sqref="AU563">
    <cfRule type="cellIs" dxfId="0" priority="2011" operator="lessThan">
      <formula>20</formula>
    </cfRule>
    <cfRule type="cellIs" dxfId="1" priority="1155" operator="greaterThan">
      <formula>120</formula>
    </cfRule>
    <cfRule type="containsText" dxfId="2" priority="299" operator="between" text="库存为">
      <formula>NOT(ISERROR(SEARCH("库存为",AU563)))</formula>
    </cfRule>
  </conditionalFormatting>
  <conditionalFormatting sqref="AU564">
    <cfRule type="cellIs" dxfId="0" priority="2010" operator="lessThan">
      <formula>20</formula>
    </cfRule>
    <cfRule type="cellIs" dxfId="1" priority="1154" operator="greaterThan">
      <formula>120</formula>
    </cfRule>
    <cfRule type="containsText" dxfId="2" priority="298" operator="between" text="库存为">
      <formula>NOT(ISERROR(SEARCH("库存为",AU564)))</formula>
    </cfRule>
  </conditionalFormatting>
  <conditionalFormatting sqref="AU565">
    <cfRule type="cellIs" dxfId="0" priority="2009" operator="lessThan">
      <formula>20</formula>
    </cfRule>
    <cfRule type="cellIs" dxfId="1" priority="1153" operator="greaterThan">
      <formula>120</formula>
    </cfRule>
    <cfRule type="containsText" dxfId="2" priority="297" operator="between" text="库存为">
      <formula>NOT(ISERROR(SEARCH("库存为",AU565)))</formula>
    </cfRule>
  </conditionalFormatting>
  <conditionalFormatting sqref="AU566">
    <cfRule type="cellIs" dxfId="0" priority="2008" operator="lessThan">
      <formula>20</formula>
    </cfRule>
    <cfRule type="cellIs" dxfId="1" priority="1152" operator="greaterThan">
      <formula>120</formula>
    </cfRule>
    <cfRule type="containsText" dxfId="2" priority="296" operator="between" text="库存为">
      <formula>NOT(ISERROR(SEARCH("库存为",AU566)))</formula>
    </cfRule>
  </conditionalFormatting>
  <conditionalFormatting sqref="AU567">
    <cfRule type="cellIs" dxfId="0" priority="2007" operator="lessThan">
      <formula>20</formula>
    </cfRule>
    <cfRule type="cellIs" dxfId="1" priority="1151" operator="greaterThan">
      <formula>120</formula>
    </cfRule>
    <cfRule type="containsText" dxfId="2" priority="295" operator="between" text="库存为">
      <formula>NOT(ISERROR(SEARCH("库存为",AU567)))</formula>
    </cfRule>
  </conditionalFormatting>
  <conditionalFormatting sqref="AU568">
    <cfRule type="cellIs" dxfId="0" priority="2006" operator="lessThan">
      <formula>20</formula>
    </cfRule>
    <cfRule type="cellIs" dxfId="1" priority="1150" operator="greaterThan">
      <formula>120</formula>
    </cfRule>
    <cfRule type="containsText" dxfId="2" priority="294" operator="between" text="库存为">
      <formula>NOT(ISERROR(SEARCH("库存为",AU568)))</formula>
    </cfRule>
  </conditionalFormatting>
  <conditionalFormatting sqref="AU569">
    <cfRule type="cellIs" dxfId="0" priority="2005" operator="lessThan">
      <formula>20</formula>
    </cfRule>
    <cfRule type="cellIs" dxfId="1" priority="1149" operator="greaterThan">
      <formula>120</formula>
    </cfRule>
    <cfRule type="containsText" dxfId="2" priority="293" operator="between" text="库存为">
      <formula>NOT(ISERROR(SEARCH("库存为",AU569)))</formula>
    </cfRule>
  </conditionalFormatting>
  <conditionalFormatting sqref="AU570">
    <cfRule type="cellIs" dxfId="0" priority="2004" operator="lessThan">
      <formula>20</formula>
    </cfRule>
    <cfRule type="cellIs" dxfId="1" priority="1148" operator="greaterThan">
      <formula>120</formula>
    </cfRule>
    <cfRule type="containsText" dxfId="2" priority="292" operator="between" text="库存为">
      <formula>NOT(ISERROR(SEARCH("库存为",AU570)))</formula>
    </cfRule>
  </conditionalFormatting>
  <conditionalFormatting sqref="AU571">
    <cfRule type="cellIs" dxfId="0" priority="2003" operator="lessThan">
      <formula>20</formula>
    </cfRule>
    <cfRule type="cellIs" dxfId="1" priority="1147" operator="greaterThan">
      <formula>120</formula>
    </cfRule>
    <cfRule type="containsText" dxfId="2" priority="291" operator="between" text="库存为">
      <formula>NOT(ISERROR(SEARCH("库存为",AU571)))</formula>
    </cfRule>
  </conditionalFormatting>
  <conditionalFormatting sqref="AU572">
    <cfRule type="cellIs" dxfId="0" priority="2002" operator="lessThan">
      <formula>20</formula>
    </cfRule>
    <cfRule type="cellIs" dxfId="1" priority="1146" operator="greaterThan">
      <formula>120</formula>
    </cfRule>
    <cfRule type="containsText" dxfId="2" priority="290" operator="between" text="库存为">
      <formula>NOT(ISERROR(SEARCH("库存为",AU572)))</formula>
    </cfRule>
  </conditionalFormatting>
  <conditionalFormatting sqref="AU573">
    <cfRule type="cellIs" dxfId="0" priority="2001" operator="lessThan">
      <formula>20</formula>
    </cfRule>
    <cfRule type="cellIs" dxfId="1" priority="1145" operator="greaterThan">
      <formula>120</formula>
    </cfRule>
    <cfRule type="containsText" dxfId="2" priority="289" operator="between" text="库存为">
      <formula>NOT(ISERROR(SEARCH("库存为",AU573)))</formula>
    </cfRule>
  </conditionalFormatting>
  <conditionalFormatting sqref="AU574">
    <cfRule type="cellIs" dxfId="0" priority="2000" operator="lessThan">
      <formula>20</formula>
    </cfRule>
    <cfRule type="cellIs" dxfId="1" priority="1144" operator="greaterThan">
      <formula>120</formula>
    </cfRule>
    <cfRule type="containsText" dxfId="2" priority="288" operator="between" text="库存为">
      <formula>NOT(ISERROR(SEARCH("库存为",AU574)))</formula>
    </cfRule>
  </conditionalFormatting>
  <conditionalFormatting sqref="AU575">
    <cfRule type="cellIs" dxfId="0" priority="1999" operator="lessThan">
      <formula>20</formula>
    </cfRule>
    <cfRule type="cellIs" dxfId="1" priority="1143" operator="greaterThan">
      <formula>120</formula>
    </cfRule>
    <cfRule type="containsText" dxfId="2" priority="287" operator="between" text="库存为">
      <formula>NOT(ISERROR(SEARCH("库存为",AU575)))</formula>
    </cfRule>
  </conditionalFormatting>
  <conditionalFormatting sqref="AU576">
    <cfRule type="cellIs" dxfId="0" priority="1998" operator="lessThan">
      <formula>20</formula>
    </cfRule>
    <cfRule type="cellIs" dxfId="1" priority="1142" operator="greaterThan">
      <formula>120</formula>
    </cfRule>
    <cfRule type="containsText" dxfId="2" priority="286" operator="between" text="库存为">
      <formula>NOT(ISERROR(SEARCH("库存为",AU576)))</formula>
    </cfRule>
  </conditionalFormatting>
  <conditionalFormatting sqref="AU577">
    <cfRule type="cellIs" dxfId="0" priority="1997" operator="lessThan">
      <formula>20</formula>
    </cfRule>
    <cfRule type="cellIs" dxfId="1" priority="1141" operator="greaterThan">
      <formula>120</formula>
    </cfRule>
    <cfRule type="containsText" dxfId="2" priority="285" operator="between" text="库存为">
      <formula>NOT(ISERROR(SEARCH("库存为",AU577)))</formula>
    </cfRule>
  </conditionalFormatting>
  <conditionalFormatting sqref="AU578">
    <cfRule type="cellIs" dxfId="0" priority="1996" operator="lessThan">
      <formula>20</formula>
    </cfRule>
    <cfRule type="cellIs" dxfId="1" priority="1140" operator="greaterThan">
      <formula>120</formula>
    </cfRule>
    <cfRule type="containsText" dxfId="2" priority="284" operator="between" text="库存为">
      <formula>NOT(ISERROR(SEARCH("库存为",AU578)))</formula>
    </cfRule>
  </conditionalFormatting>
  <conditionalFormatting sqref="AU579">
    <cfRule type="cellIs" dxfId="0" priority="1995" operator="lessThan">
      <formula>20</formula>
    </cfRule>
    <cfRule type="cellIs" dxfId="1" priority="1139" operator="greaterThan">
      <formula>120</formula>
    </cfRule>
    <cfRule type="containsText" dxfId="2" priority="283" operator="between" text="库存为">
      <formula>NOT(ISERROR(SEARCH("库存为",AU579)))</formula>
    </cfRule>
  </conditionalFormatting>
  <conditionalFormatting sqref="AU580">
    <cfRule type="cellIs" dxfId="0" priority="1994" operator="lessThan">
      <formula>20</formula>
    </cfRule>
    <cfRule type="cellIs" dxfId="1" priority="1138" operator="greaterThan">
      <formula>120</formula>
    </cfRule>
    <cfRule type="containsText" dxfId="2" priority="282" operator="between" text="库存为">
      <formula>NOT(ISERROR(SEARCH("库存为",AU580)))</formula>
    </cfRule>
  </conditionalFormatting>
  <conditionalFormatting sqref="AU581">
    <cfRule type="cellIs" dxfId="0" priority="1993" operator="lessThan">
      <formula>20</formula>
    </cfRule>
    <cfRule type="cellIs" dxfId="1" priority="1137" operator="greaterThan">
      <formula>120</formula>
    </cfRule>
    <cfRule type="containsText" dxfId="2" priority="281" operator="between" text="库存为">
      <formula>NOT(ISERROR(SEARCH("库存为",AU581)))</formula>
    </cfRule>
  </conditionalFormatting>
  <conditionalFormatting sqref="AU582">
    <cfRule type="cellIs" dxfId="0" priority="1992" operator="lessThan">
      <formula>20</formula>
    </cfRule>
    <cfRule type="cellIs" dxfId="1" priority="1136" operator="greaterThan">
      <formula>120</formula>
    </cfRule>
    <cfRule type="containsText" dxfId="2" priority="280" operator="between" text="库存为">
      <formula>NOT(ISERROR(SEARCH("库存为",AU582)))</formula>
    </cfRule>
  </conditionalFormatting>
  <conditionalFormatting sqref="AU583">
    <cfRule type="cellIs" dxfId="0" priority="1991" operator="lessThan">
      <formula>20</formula>
    </cfRule>
    <cfRule type="cellIs" dxfId="1" priority="1135" operator="greaterThan">
      <formula>120</formula>
    </cfRule>
    <cfRule type="containsText" dxfId="2" priority="279" operator="between" text="库存为">
      <formula>NOT(ISERROR(SEARCH("库存为",AU583)))</formula>
    </cfRule>
  </conditionalFormatting>
  <conditionalFormatting sqref="AU584">
    <cfRule type="cellIs" dxfId="0" priority="1990" operator="lessThan">
      <formula>20</formula>
    </cfRule>
    <cfRule type="cellIs" dxfId="1" priority="1134" operator="greaterThan">
      <formula>120</formula>
    </cfRule>
    <cfRule type="containsText" dxfId="2" priority="278" operator="between" text="库存为">
      <formula>NOT(ISERROR(SEARCH("库存为",AU584)))</formula>
    </cfRule>
  </conditionalFormatting>
  <conditionalFormatting sqref="AU585">
    <cfRule type="cellIs" dxfId="0" priority="1989" operator="lessThan">
      <formula>20</formula>
    </cfRule>
    <cfRule type="cellIs" dxfId="1" priority="1133" operator="greaterThan">
      <formula>120</formula>
    </cfRule>
    <cfRule type="containsText" dxfId="2" priority="277" operator="between" text="库存为">
      <formula>NOT(ISERROR(SEARCH("库存为",AU585)))</formula>
    </cfRule>
  </conditionalFormatting>
  <conditionalFormatting sqref="AU586">
    <cfRule type="cellIs" dxfId="0" priority="1988" operator="lessThan">
      <formula>20</formula>
    </cfRule>
    <cfRule type="cellIs" dxfId="1" priority="1132" operator="greaterThan">
      <formula>120</formula>
    </cfRule>
    <cfRule type="containsText" dxfId="2" priority="276" operator="between" text="库存为">
      <formula>NOT(ISERROR(SEARCH("库存为",AU586)))</formula>
    </cfRule>
  </conditionalFormatting>
  <conditionalFormatting sqref="AU587">
    <cfRule type="cellIs" dxfId="0" priority="1987" operator="lessThan">
      <formula>20</formula>
    </cfRule>
    <cfRule type="cellIs" dxfId="1" priority="1131" operator="greaterThan">
      <formula>120</formula>
    </cfRule>
    <cfRule type="containsText" dxfId="2" priority="275" operator="between" text="库存为">
      <formula>NOT(ISERROR(SEARCH("库存为",AU587)))</formula>
    </cfRule>
  </conditionalFormatting>
  <conditionalFormatting sqref="AU588">
    <cfRule type="cellIs" dxfId="0" priority="1986" operator="lessThan">
      <formula>20</formula>
    </cfRule>
    <cfRule type="cellIs" dxfId="1" priority="1130" operator="greaterThan">
      <formula>120</formula>
    </cfRule>
    <cfRule type="containsText" dxfId="2" priority="274" operator="between" text="库存为">
      <formula>NOT(ISERROR(SEARCH("库存为",AU588)))</formula>
    </cfRule>
  </conditionalFormatting>
  <conditionalFormatting sqref="AU589">
    <cfRule type="cellIs" dxfId="0" priority="1985" operator="lessThan">
      <formula>20</formula>
    </cfRule>
    <cfRule type="cellIs" dxfId="1" priority="1129" operator="greaterThan">
      <formula>120</formula>
    </cfRule>
    <cfRule type="containsText" dxfId="2" priority="273" operator="between" text="库存为">
      <formula>NOT(ISERROR(SEARCH("库存为",AU589)))</formula>
    </cfRule>
  </conditionalFormatting>
  <conditionalFormatting sqref="AU590">
    <cfRule type="cellIs" dxfId="0" priority="1984" operator="lessThan">
      <formula>20</formula>
    </cfRule>
    <cfRule type="cellIs" dxfId="1" priority="1128" operator="greaterThan">
      <formula>120</formula>
    </cfRule>
    <cfRule type="containsText" dxfId="2" priority="272" operator="between" text="库存为">
      <formula>NOT(ISERROR(SEARCH("库存为",AU590)))</formula>
    </cfRule>
  </conditionalFormatting>
  <conditionalFormatting sqref="AU591">
    <cfRule type="cellIs" dxfId="0" priority="1983" operator="lessThan">
      <formula>20</formula>
    </cfRule>
    <cfRule type="cellIs" dxfId="1" priority="1127" operator="greaterThan">
      <formula>120</formula>
    </cfRule>
    <cfRule type="containsText" dxfId="2" priority="271" operator="between" text="库存为">
      <formula>NOT(ISERROR(SEARCH("库存为",AU591)))</formula>
    </cfRule>
  </conditionalFormatting>
  <conditionalFormatting sqref="AU592">
    <cfRule type="cellIs" dxfId="0" priority="1982" operator="lessThan">
      <formula>20</formula>
    </cfRule>
    <cfRule type="cellIs" dxfId="1" priority="1126" operator="greaterThan">
      <formula>120</formula>
    </cfRule>
    <cfRule type="containsText" dxfId="2" priority="270" operator="between" text="库存为">
      <formula>NOT(ISERROR(SEARCH("库存为",AU592)))</formula>
    </cfRule>
  </conditionalFormatting>
  <conditionalFormatting sqref="AU593">
    <cfRule type="cellIs" dxfId="0" priority="1981" operator="lessThan">
      <formula>20</formula>
    </cfRule>
    <cfRule type="cellIs" dxfId="1" priority="1125" operator="greaterThan">
      <formula>120</formula>
    </cfRule>
    <cfRule type="containsText" dxfId="2" priority="269" operator="between" text="库存为">
      <formula>NOT(ISERROR(SEARCH("库存为",AU593)))</formula>
    </cfRule>
  </conditionalFormatting>
  <conditionalFormatting sqref="AU594">
    <cfRule type="cellIs" dxfId="0" priority="1980" operator="lessThan">
      <formula>20</formula>
    </cfRule>
    <cfRule type="cellIs" dxfId="1" priority="1124" operator="greaterThan">
      <formula>120</formula>
    </cfRule>
    <cfRule type="containsText" dxfId="2" priority="268" operator="between" text="库存为">
      <formula>NOT(ISERROR(SEARCH("库存为",AU594)))</formula>
    </cfRule>
  </conditionalFormatting>
  <conditionalFormatting sqref="AU595">
    <cfRule type="cellIs" dxfId="0" priority="1979" operator="lessThan">
      <formula>20</formula>
    </cfRule>
    <cfRule type="cellIs" dxfId="1" priority="1123" operator="greaterThan">
      <formula>120</formula>
    </cfRule>
    <cfRule type="containsText" dxfId="2" priority="267" operator="between" text="库存为">
      <formula>NOT(ISERROR(SEARCH("库存为",AU595)))</formula>
    </cfRule>
  </conditionalFormatting>
  <conditionalFormatting sqref="AU596">
    <cfRule type="cellIs" dxfId="0" priority="1978" operator="lessThan">
      <formula>20</formula>
    </cfRule>
    <cfRule type="cellIs" dxfId="1" priority="1122" operator="greaterThan">
      <formula>120</formula>
    </cfRule>
    <cfRule type="containsText" dxfId="2" priority="266" operator="between" text="库存为">
      <formula>NOT(ISERROR(SEARCH("库存为",AU596)))</formula>
    </cfRule>
  </conditionalFormatting>
  <conditionalFormatting sqref="AU597">
    <cfRule type="cellIs" dxfId="0" priority="1977" operator="lessThan">
      <formula>20</formula>
    </cfRule>
    <cfRule type="cellIs" dxfId="1" priority="1121" operator="greaterThan">
      <formula>120</formula>
    </cfRule>
    <cfRule type="containsText" dxfId="2" priority="265" operator="between" text="库存为">
      <formula>NOT(ISERROR(SEARCH("库存为",AU597)))</formula>
    </cfRule>
  </conditionalFormatting>
  <conditionalFormatting sqref="AU598">
    <cfRule type="cellIs" dxfId="0" priority="1976" operator="lessThan">
      <formula>20</formula>
    </cfRule>
    <cfRule type="cellIs" dxfId="1" priority="1120" operator="greaterThan">
      <formula>120</formula>
    </cfRule>
    <cfRule type="containsText" dxfId="2" priority="264" operator="between" text="库存为">
      <formula>NOT(ISERROR(SEARCH("库存为",AU598)))</formula>
    </cfRule>
  </conditionalFormatting>
  <conditionalFormatting sqref="AU599">
    <cfRule type="cellIs" dxfId="0" priority="1975" operator="lessThan">
      <formula>20</formula>
    </cfRule>
    <cfRule type="cellIs" dxfId="1" priority="1119" operator="greaterThan">
      <formula>120</formula>
    </cfRule>
    <cfRule type="containsText" dxfId="2" priority="263" operator="between" text="库存为">
      <formula>NOT(ISERROR(SEARCH("库存为",AU599)))</formula>
    </cfRule>
  </conditionalFormatting>
  <conditionalFormatting sqref="AU600">
    <cfRule type="cellIs" dxfId="0" priority="1974" operator="lessThan">
      <formula>20</formula>
    </cfRule>
    <cfRule type="cellIs" dxfId="1" priority="1118" operator="greaterThan">
      <formula>120</formula>
    </cfRule>
    <cfRule type="containsText" dxfId="2" priority="262" operator="between" text="库存为">
      <formula>NOT(ISERROR(SEARCH("库存为",AU600)))</formula>
    </cfRule>
  </conditionalFormatting>
  <conditionalFormatting sqref="AU601">
    <cfRule type="cellIs" dxfId="0" priority="1973" operator="lessThan">
      <formula>20</formula>
    </cfRule>
    <cfRule type="cellIs" dxfId="1" priority="1117" operator="greaterThan">
      <formula>120</formula>
    </cfRule>
    <cfRule type="containsText" dxfId="2" priority="261" operator="between" text="库存为">
      <formula>NOT(ISERROR(SEARCH("库存为",AU601)))</formula>
    </cfRule>
  </conditionalFormatting>
  <conditionalFormatting sqref="AU602">
    <cfRule type="cellIs" dxfId="0" priority="1972" operator="lessThan">
      <formula>20</formula>
    </cfRule>
    <cfRule type="cellIs" dxfId="1" priority="1116" operator="greaterThan">
      <formula>120</formula>
    </cfRule>
    <cfRule type="containsText" dxfId="2" priority="260" operator="between" text="库存为">
      <formula>NOT(ISERROR(SEARCH("库存为",AU602)))</formula>
    </cfRule>
  </conditionalFormatting>
  <conditionalFormatting sqref="AU603">
    <cfRule type="cellIs" dxfId="0" priority="1971" operator="lessThan">
      <formula>20</formula>
    </cfRule>
    <cfRule type="cellIs" dxfId="1" priority="1115" operator="greaterThan">
      <formula>120</formula>
    </cfRule>
    <cfRule type="containsText" dxfId="2" priority="259" operator="between" text="库存为">
      <formula>NOT(ISERROR(SEARCH("库存为",AU603)))</formula>
    </cfRule>
  </conditionalFormatting>
  <conditionalFormatting sqref="AU604">
    <cfRule type="cellIs" dxfId="0" priority="1970" operator="lessThan">
      <formula>20</formula>
    </cfRule>
    <cfRule type="cellIs" dxfId="1" priority="1114" operator="greaterThan">
      <formula>120</formula>
    </cfRule>
    <cfRule type="containsText" dxfId="2" priority="258" operator="between" text="库存为">
      <formula>NOT(ISERROR(SEARCH("库存为",AU604)))</formula>
    </cfRule>
  </conditionalFormatting>
  <conditionalFormatting sqref="AU605">
    <cfRule type="cellIs" dxfId="0" priority="1969" operator="lessThan">
      <formula>20</formula>
    </cfRule>
    <cfRule type="cellIs" dxfId="1" priority="1113" operator="greaterThan">
      <formula>120</formula>
    </cfRule>
    <cfRule type="containsText" dxfId="2" priority="257" operator="between" text="库存为">
      <formula>NOT(ISERROR(SEARCH("库存为",AU605)))</formula>
    </cfRule>
  </conditionalFormatting>
  <conditionalFormatting sqref="AU606">
    <cfRule type="cellIs" dxfId="0" priority="1968" operator="lessThan">
      <formula>20</formula>
    </cfRule>
    <cfRule type="cellIs" dxfId="1" priority="1112" operator="greaterThan">
      <formula>120</formula>
    </cfRule>
    <cfRule type="containsText" dxfId="2" priority="256" operator="between" text="库存为">
      <formula>NOT(ISERROR(SEARCH("库存为",AU606)))</formula>
    </cfRule>
  </conditionalFormatting>
  <conditionalFormatting sqref="AU607">
    <cfRule type="cellIs" dxfId="0" priority="1967" operator="lessThan">
      <formula>20</formula>
    </cfRule>
    <cfRule type="cellIs" dxfId="1" priority="1111" operator="greaterThan">
      <formula>120</formula>
    </cfRule>
    <cfRule type="containsText" dxfId="2" priority="255" operator="between" text="库存为">
      <formula>NOT(ISERROR(SEARCH("库存为",AU607)))</formula>
    </cfRule>
  </conditionalFormatting>
  <conditionalFormatting sqref="AU608">
    <cfRule type="cellIs" dxfId="0" priority="1966" operator="lessThan">
      <formula>20</formula>
    </cfRule>
    <cfRule type="cellIs" dxfId="1" priority="1110" operator="greaterThan">
      <formula>120</formula>
    </cfRule>
    <cfRule type="containsText" dxfId="2" priority="254" operator="between" text="库存为">
      <formula>NOT(ISERROR(SEARCH("库存为",AU608)))</formula>
    </cfRule>
  </conditionalFormatting>
  <conditionalFormatting sqref="AU609">
    <cfRule type="cellIs" dxfId="0" priority="1965" operator="lessThan">
      <formula>20</formula>
    </cfRule>
    <cfRule type="cellIs" dxfId="1" priority="1109" operator="greaterThan">
      <formula>120</formula>
    </cfRule>
    <cfRule type="containsText" dxfId="2" priority="253" operator="between" text="库存为">
      <formula>NOT(ISERROR(SEARCH("库存为",AU609)))</formula>
    </cfRule>
  </conditionalFormatting>
  <conditionalFormatting sqref="AU610">
    <cfRule type="cellIs" dxfId="0" priority="1964" operator="lessThan">
      <formula>20</formula>
    </cfRule>
    <cfRule type="cellIs" dxfId="1" priority="1108" operator="greaterThan">
      <formula>120</formula>
    </cfRule>
    <cfRule type="containsText" dxfId="2" priority="252" operator="between" text="库存为">
      <formula>NOT(ISERROR(SEARCH("库存为",AU610)))</formula>
    </cfRule>
  </conditionalFormatting>
  <conditionalFormatting sqref="AU611">
    <cfRule type="cellIs" dxfId="0" priority="1963" operator="lessThan">
      <formula>20</formula>
    </cfRule>
    <cfRule type="cellIs" dxfId="1" priority="1107" operator="greaterThan">
      <formula>120</formula>
    </cfRule>
    <cfRule type="containsText" dxfId="2" priority="251" operator="between" text="库存为">
      <formula>NOT(ISERROR(SEARCH("库存为",AU611)))</formula>
    </cfRule>
  </conditionalFormatting>
  <conditionalFormatting sqref="AU612">
    <cfRule type="cellIs" dxfId="0" priority="1962" operator="lessThan">
      <formula>20</formula>
    </cfRule>
    <cfRule type="cellIs" dxfId="1" priority="1106" operator="greaterThan">
      <formula>120</formula>
    </cfRule>
    <cfRule type="containsText" dxfId="2" priority="250" operator="between" text="库存为">
      <formula>NOT(ISERROR(SEARCH("库存为",AU612)))</formula>
    </cfRule>
  </conditionalFormatting>
  <conditionalFormatting sqref="AU613">
    <cfRule type="cellIs" dxfId="0" priority="1961" operator="lessThan">
      <formula>20</formula>
    </cfRule>
    <cfRule type="cellIs" dxfId="1" priority="1105" operator="greaterThan">
      <formula>120</formula>
    </cfRule>
    <cfRule type="containsText" dxfId="2" priority="249" operator="between" text="库存为">
      <formula>NOT(ISERROR(SEARCH("库存为",AU613)))</formula>
    </cfRule>
  </conditionalFormatting>
  <conditionalFormatting sqref="AU614">
    <cfRule type="cellIs" dxfId="0" priority="1960" operator="lessThan">
      <formula>20</formula>
    </cfRule>
    <cfRule type="cellIs" dxfId="1" priority="1104" operator="greaterThan">
      <formula>120</formula>
    </cfRule>
    <cfRule type="containsText" dxfId="2" priority="248" operator="between" text="库存为">
      <formula>NOT(ISERROR(SEARCH("库存为",AU614)))</formula>
    </cfRule>
  </conditionalFormatting>
  <conditionalFormatting sqref="AU615">
    <cfRule type="cellIs" dxfId="0" priority="1959" operator="lessThan">
      <formula>20</formula>
    </cfRule>
    <cfRule type="cellIs" dxfId="1" priority="1103" operator="greaterThan">
      <formula>120</formula>
    </cfRule>
    <cfRule type="containsText" dxfId="2" priority="247" operator="between" text="库存为">
      <formula>NOT(ISERROR(SEARCH("库存为",AU615)))</formula>
    </cfRule>
  </conditionalFormatting>
  <conditionalFormatting sqref="AU616">
    <cfRule type="cellIs" dxfId="0" priority="1958" operator="lessThan">
      <formula>20</formula>
    </cfRule>
    <cfRule type="cellIs" dxfId="1" priority="1102" operator="greaterThan">
      <formula>120</formula>
    </cfRule>
    <cfRule type="containsText" dxfId="2" priority="246" operator="between" text="库存为">
      <formula>NOT(ISERROR(SEARCH("库存为",AU616)))</formula>
    </cfRule>
  </conditionalFormatting>
  <conditionalFormatting sqref="AU617">
    <cfRule type="cellIs" dxfId="0" priority="1957" operator="lessThan">
      <formula>20</formula>
    </cfRule>
    <cfRule type="cellIs" dxfId="1" priority="1101" operator="greaterThan">
      <formula>120</formula>
    </cfRule>
    <cfRule type="containsText" dxfId="2" priority="245" operator="between" text="库存为">
      <formula>NOT(ISERROR(SEARCH("库存为",AU617)))</formula>
    </cfRule>
  </conditionalFormatting>
  <conditionalFormatting sqref="AU618">
    <cfRule type="cellIs" dxfId="0" priority="1956" operator="lessThan">
      <formula>20</formula>
    </cfRule>
    <cfRule type="cellIs" dxfId="1" priority="1100" operator="greaterThan">
      <formula>120</formula>
    </cfRule>
    <cfRule type="containsText" dxfId="2" priority="244" operator="between" text="库存为">
      <formula>NOT(ISERROR(SEARCH("库存为",AU618)))</formula>
    </cfRule>
  </conditionalFormatting>
  <conditionalFormatting sqref="AU619">
    <cfRule type="cellIs" dxfId="0" priority="1955" operator="lessThan">
      <formula>20</formula>
    </cfRule>
    <cfRule type="cellIs" dxfId="1" priority="1099" operator="greaterThan">
      <formula>120</formula>
    </cfRule>
    <cfRule type="containsText" dxfId="2" priority="243" operator="between" text="库存为">
      <formula>NOT(ISERROR(SEARCH("库存为",AU619)))</formula>
    </cfRule>
  </conditionalFormatting>
  <conditionalFormatting sqref="AU620">
    <cfRule type="cellIs" dxfId="0" priority="1954" operator="lessThan">
      <formula>20</formula>
    </cfRule>
    <cfRule type="cellIs" dxfId="1" priority="1098" operator="greaterThan">
      <formula>120</formula>
    </cfRule>
    <cfRule type="containsText" dxfId="2" priority="242" operator="between" text="库存为">
      <formula>NOT(ISERROR(SEARCH("库存为",AU620)))</formula>
    </cfRule>
  </conditionalFormatting>
  <conditionalFormatting sqref="AU621">
    <cfRule type="cellIs" dxfId="0" priority="1953" operator="lessThan">
      <formula>20</formula>
    </cfRule>
    <cfRule type="cellIs" dxfId="1" priority="1097" operator="greaterThan">
      <formula>120</formula>
    </cfRule>
    <cfRule type="containsText" dxfId="2" priority="241" operator="between" text="库存为">
      <formula>NOT(ISERROR(SEARCH("库存为",AU621)))</formula>
    </cfRule>
  </conditionalFormatting>
  <conditionalFormatting sqref="AU622">
    <cfRule type="cellIs" dxfId="0" priority="1952" operator="lessThan">
      <formula>20</formula>
    </cfRule>
    <cfRule type="cellIs" dxfId="1" priority="1096" operator="greaterThan">
      <formula>120</formula>
    </cfRule>
    <cfRule type="containsText" dxfId="2" priority="240" operator="between" text="库存为">
      <formula>NOT(ISERROR(SEARCH("库存为",AU622)))</formula>
    </cfRule>
  </conditionalFormatting>
  <conditionalFormatting sqref="AU623">
    <cfRule type="cellIs" dxfId="0" priority="1951" operator="lessThan">
      <formula>20</formula>
    </cfRule>
    <cfRule type="cellIs" dxfId="1" priority="1095" operator="greaterThan">
      <formula>120</formula>
    </cfRule>
    <cfRule type="containsText" dxfId="2" priority="239" operator="between" text="库存为">
      <formula>NOT(ISERROR(SEARCH("库存为",AU623)))</formula>
    </cfRule>
  </conditionalFormatting>
  <conditionalFormatting sqref="AU624">
    <cfRule type="cellIs" dxfId="0" priority="1950" operator="lessThan">
      <formula>20</formula>
    </cfRule>
    <cfRule type="cellIs" dxfId="1" priority="1094" operator="greaterThan">
      <formula>120</formula>
    </cfRule>
    <cfRule type="containsText" dxfId="2" priority="238" operator="between" text="库存为">
      <formula>NOT(ISERROR(SEARCH("库存为",AU624)))</formula>
    </cfRule>
  </conditionalFormatting>
  <conditionalFormatting sqref="AU625">
    <cfRule type="cellIs" dxfId="0" priority="1949" operator="lessThan">
      <formula>20</formula>
    </cfRule>
    <cfRule type="cellIs" dxfId="1" priority="1093" operator="greaterThan">
      <formula>120</formula>
    </cfRule>
    <cfRule type="containsText" dxfId="2" priority="237" operator="between" text="库存为">
      <formula>NOT(ISERROR(SEARCH("库存为",AU625)))</formula>
    </cfRule>
  </conditionalFormatting>
  <conditionalFormatting sqref="AU626">
    <cfRule type="cellIs" dxfId="0" priority="1948" operator="lessThan">
      <formula>20</formula>
    </cfRule>
    <cfRule type="cellIs" dxfId="1" priority="1092" operator="greaterThan">
      <formula>120</formula>
    </cfRule>
    <cfRule type="containsText" dxfId="2" priority="236" operator="between" text="库存为">
      <formula>NOT(ISERROR(SEARCH("库存为",AU626)))</formula>
    </cfRule>
  </conditionalFormatting>
  <conditionalFormatting sqref="AU627">
    <cfRule type="cellIs" dxfId="0" priority="1947" operator="lessThan">
      <formula>20</formula>
    </cfRule>
    <cfRule type="cellIs" dxfId="1" priority="1091" operator="greaterThan">
      <formula>120</formula>
    </cfRule>
    <cfRule type="containsText" dxfId="2" priority="235" operator="between" text="库存为">
      <formula>NOT(ISERROR(SEARCH("库存为",AU627)))</formula>
    </cfRule>
  </conditionalFormatting>
  <conditionalFormatting sqref="AU628">
    <cfRule type="cellIs" dxfId="0" priority="1946" operator="lessThan">
      <formula>20</formula>
    </cfRule>
    <cfRule type="cellIs" dxfId="1" priority="1090" operator="greaterThan">
      <formula>120</formula>
    </cfRule>
    <cfRule type="containsText" dxfId="2" priority="234" operator="between" text="库存为">
      <formula>NOT(ISERROR(SEARCH("库存为",AU628)))</formula>
    </cfRule>
  </conditionalFormatting>
  <conditionalFormatting sqref="AU629">
    <cfRule type="cellIs" dxfId="0" priority="1945" operator="lessThan">
      <formula>20</formula>
    </cfRule>
    <cfRule type="cellIs" dxfId="1" priority="1089" operator="greaterThan">
      <formula>120</formula>
    </cfRule>
    <cfRule type="containsText" dxfId="2" priority="233" operator="between" text="库存为">
      <formula>NOT(ISERROR(SEARCH("库存为",AU629)))</formula>
    </cfRule>
  </conditionalFormatting>
  <conditionalFormatting sqref="AU630">
    <cfRule type="cellIs" dxfId="0" priority="1944" operator="lessThan">
      <formula>20</formula>
    </cfRule>
    <cfRule type="cellIs" dxfId="1" priority="1088" operator="greaterThan">
      <formula>120</formula>
    </cfRule>
    <cfRule type="containsText" dxfId="2" priority="232" operator="between" text="库存为">
      <formula>NOT(ISERROR(SEARCH("库存为",AU630)))</formula>
    </cfRule>
  </conditionalFormatting>
  <conditionalFormatting sqref="AU631">
    <cfRule type="cellIs" dxfId="0" priority="1943" operator="lessThan">
      <formula>20</formula>
    </cfRule>
    <cfRule type="cellIs" dxfId="1" priority="1087" operator="greaterThan">
      <formula>120</formula>
    </cfRule>
    <cfRule type="containsText" dxfId="2" priority="231" operator="between" text="库存为">
      <formula>NOT(ISERROR(SEARCH("库存为",AU631)))</formula>
    </cfRule>
  </conditionalFormatting>
  <conditionalFormatting sqref="AU632">
    <cfRule type="cellIs" dxfId="0" priority="1942" operator="lessThan">
      <formula>20</formula>
    </cfRule>
    <cfRule type="cellIs" dxfId="1" priority="1086" operator="greaterThan">
      <formula>120</formula>
    </cfRule>
    <cfRule type="containsText" dxfId="2" priority="230" operator="between" text="库存为">
      <formula>NOT(ISERROR(SEARCH("库存为",AU632)))</formula>
    </cfRule>
  </conditionalFormatting>
  <conditionalFormatting sqref="AU633">
    <cfRule type="cellIs" dxfId="0" priority="1941" operator="lessThan">
      <formula>20</formula>
    </cfRule>
    <cfRule type="cellIs" dxfId="1" priority="1085" operator="greaterThan">
      <formula>120</formula>
    </cfRule>
    <cfRule type="containsText" dxfId="2" priority="229" operator="between" text="库存为">
      <formula>NOT(ISERROR(SEARCH("库存为",AU633)))</formula>
    </cfRule>
  </conditionalFormatting>
  <conditionalFormatting sqref="AU634">
    <cfRule type="cellIs" dxfId="0" priority="1940" operator="lessThan">
      <formula>20</formula>
    </cfRule>
    <cfRule type="cellIs" dxfId="1" priority="1084" operator="greaterThan">
      <formula>120</formula>
    </cfRule>
    <cfRule type="containsText" dxfId="2" priority="228" operator="between" text="库存为">
      <formula>NOT(ISERROR(SEARCH("库存为",AU634)))</formula>
    </cfRule>
  </conditionalFormatting>
  <conditionalFormatting sqref="AU635">
    <cfRule type="cellIs" dxfId="0" priority="1939" operator="lessThan">
      <formula>20</formula>
    </cfRule>
    <cfRule type="cellIs" dxfId="1" priority="1083" operator="greaterThan">
      <formula>120</formula>
    </cfRule>
    <cfRule type="containsText" dxfId="2" priority="227" operator="between" text="库存为">
      <formula>NOT(ISERROR(SEARCH("库存为",AU635)))</formula>
    </cfRule>
  </conditionalFormatting>
  <conditionalFormatting sqref="AU636">
    <cfRule type="cellIs" dxfId="0" priority="1938" operator="lessThan">
      <formula>20</formula>
    </cfRule>
    <cfRule type="cellIs" dxfId="1" priority="1082" operator="greaterThan">
      <formula>120</formula>
    </cfRule>
    <cfRule type="containsText" dxfId="2" priority="226" operator="between" text="库存为">
      <formula>NOT(ISERROR(SEARCH("库存为",AU636)))</formula>
    </cfRule>
  </conditionalFormatting>
  <conditionalFormatting sqref="AU637">
    <cfRule type="cellIs" dxfId="0" priority="1937" operator="lessThan">
      <formula>20</formula>
    </cfRule>
    <cfRule type="cellIs" dxfId="1" priority="1081" operator="greaterThan">
      <formula>120</formula>
    </cfRule>
    <cfRule type="containsText" dxfId="2" priority="225" operator="between" text="库存为">
      <formula>NOT(ISERROR(SEARCH("库存为",AU637)))</formula>
    </cfRule>
  </conditionalFormatting>
  <conditionalFormatting sqref="AU638">
    <cfRule type="cellIs" dxfId="0" priority="1936" operator="lessThan">
      <formula>20</formula>
    </cfRule>
    <cfRule type="cellIs" dxfId="1" priority="1080" operator="greaterThan">
      <formula>120</formula>
    </cfRule>
    <cfRule type="containsText" dxfId="2" priority="224" operator="between" text="库存为">
      <formula>NOT(ISERROR(SEARCH("库存为",AU638)))</formula>
    </cfRule>
  </conditionalFormatting>
  <conditionalFormatting sqref="AU639">
    <cfRule type="cellIs" dxfId="0" priority="1935" operator="lessThan">
      <formula>20</formula>
    </cfRule>
    <cfRule type="cellIs" dxfId="1" priority="1079" operator="greaterThan">
      <formula>120</formula>
    </cfRule>
    <cfRule type="containsText" dxfId="2" priority="223" operator="between" text="库存为">
      <formula>NOT(ISERROR(SEARCH("库存为",AU639)))</formula>
    </cfRule>
  </conditionalFormatting>
  <conditionalFormatting sqref="AU640">
    <cfRule type="cellIs" dxfId="0" priority="1934" operator="lessThan">
      <formula>20</formula>
    </cfRule>
    <cfRule type="cellIs" dxfId="1" priority="1078" operator="greaterThan">
      <formula>120</formula>
    </cfRule>
    <cfRule type="containsText" dxfId="2" priority="222" operator="between" text="库存为">
      <formula>NOT(ISERROR(SEARCH("库存为",AU640)))</formula>
    </cfRule>
  </conditionalFormatting>
  <conditionalFormatting sqref="AU641">
    <cfRule type="cellIs" dxfId="0" priority="1933" operator="lessThan">
      <formula>20</formula>
    </cfRule>
    <cfRule type="cellIs" dxfId="1" priority="1077" operator="greaterThan">
      <formula>120</formula>
    </cfRule>
    <cfRule type="containsText" dxfId="2" priority="221" operator="between" text="库存为">
      <formula>NOT(ISERROR(SEARCH("库存为",AU641)))</formula>
    </cfRule>
  </conditionalFormatting>
  <conditionalFormatting sqref="AU642">
    <cfRule type="cellIs" dxfId="0" priority="1932" operator="lessThan">
      <formula>20</formula>
    </cfRule>
    <cfRule type="cellIs" dxfId="1" priority="1076" operator="greaterThan">
      <formula>120</formula>
    </cfRule>
    <cfRule type="containsText" dxfId="2" priority="220" operator="between" text="库存为">
      <formula>NOT(ISERROR(SEARCH("库存为",AU642)))</formula>
    </cfRule>
  </conditionalFormatting>
  <conditionalFormatting sqref="AU643">
    <cfRule type="cellIs" dxfId="0" priority="1931" operator="lessThan">
      <formula>20</formula>
    </cfRule>
    <cfRule type="cellIs" dxfId="1" priority="1075" operator="greaterThan">
      <formula>120</formula>
    </cfRule>
    <cfRule type="containsText" dxfId="2" priority="219" operator="between" text="库存为">
      <formula>NOT(ISERROR(SEARCH("库存为",AU643)))</formula>
    </cfRule>
  </conditionalFormatting>
  <conditionalFormatting sqref="AU644">
    <cfRule type="cellIs" dxfId="0" priority="1930" operator="lessThan">
      <formula>20</formula>
    </cfRule>
    <cfRule type="cellIs" dxfId="1" priority="1074" operator="greaterThan">
      <formula>120</formula>
    </cfRule>
    <cfRule type="containsText" dxfId="2" priority="218" operator="between" text="库存为">
      <formula>NOT(ISERROR(SEARCH("库存为",AU644)))</formula>
    </cfRule>
  </conditionalFormatting>
  <conditionalFormatting sqref="AU645">
    <cfRule type="cellIs" dxfId="0" priority="1929" operator="lessThan">
      <formula>20</formula>
    </cfRule>
    <cfRule type="cellIs" dxfId="1" priority="1073" operator="greaterThan">
      <formula>120</formula>
    </cfRule>
    <cfRule type="containsText" dxfId="2" priority="217" operator="between" text="库存为">
      <formula>NOT(ISERROR(SEARCH("库存为",AU645)))</formula>
    </cfRule>
  </conditionalFormatting>
  <conditionalFormatting sqref="AU646">
    <cfRule type="cellIs" dxfId="0" priority="1928" operator="lessThan">
      <formula>20</formula>
    </cfRule>
    <cfRule type="cellIs" dxfId="1" priority="1072" operator="greaterThan">
      <formula>120</formula>
    </cfRule>
    <cfRule type="containsText" dxfId="2" priority="216" operator="between" text="库存为">
      <formula>NOT(ISERROR(SEARCH("库存为",AU646)))</formula>
    </cfRule>
  </conditionalFormatting>
  <conditionalFormatting sqref="AU647">
    <cfRule type="cellIs" dxfId="0" priority="1927" operator="lessThan">
      <formula>20</formula>
    </cfRule>
    <cfRule type="cellIs" dxfId="1" priority="1071" operator="greaterThan">
      <formula>120</formula>
    </cfRule>
    <cfRule type="containsText" dxfId="2" priority="215" operator="between" text="库存为">
      <formula>NOT(ISERROR(SEARCH("库存为",AU647)))</formula>
    </cfRule>
  </conditionalFormatting>
  <conditionalFormatting sqref="AU648">
    <cfRule type="cellIs" dxfId="0" priority="1926" operator="lessThan">
      <formula>20</formula>
    </cfRule>
    <cfRule type="cellIs" dxfId="1" priority="1070" operator="greaterThan">
      <formula>120</formula>
    </cfRule>
    <cfRule type="containsText" dxfId="2" priority="214" operator="between" text="库存为">
      <formula>NOT(ISERROR(SEARCH("库存为",AU648)))</formula>
    </cfRule>
  </conditionalFormatting>
  <conditionalFormatting sqref="AU649">
    <cfRule type="cellIs" dxfId="0" priority="1925" operator="lessThan">
      <formula>20</formula>
    </cfRule>
    <cfRule type="cellIs" dxfId="1" priority="1069" operator="greaterThan">
      <formula>120</formula>
    </cfRule>
    <cfRule type="containsText" dxfId="2" priority="213" operator="between" text="库存为">
      <formula>NOT(ISERROR(SEARCH("库存为",AU649)))</formula>
    </cfRule>
  </conditionalFormatting>
  <conditionalFormatting sqref="AU650">
    <cfRule type="cellIs" dxfId="0" priority="1924" operator="lessThan">
      <formula>20</formula>
    </cfRule>
    <cfRule type="cellIs" dxfId="1" priority="1068" operator="greaterThan">
      <formula>120</formula>
    </cfRule>
    <cfRule type="containsText" dxfId="2" priority="212" operator="between" text="库存为">
      <formula>NOT(ISERROR(SEARCH("库存为",AU650)))</formula>
    </cfRule>
  </conditionalFormatting>
  <conditionalFormatting sqref="AU651">
    <cfRule type="cellIs" dxfId="0" priority="1923" operator="lessThan">
      <formula>20</formula>
    </cfRule>
    <cfRule type="cellIs" dxfId="1" priority="1067" operator="greaterThan">
      <formula>120</formula>
    </cfRule>
    <cfRule type="containsText" dxfId="2" priority="211" operator="between" text="库存为">
      <formula>NOT(ISERROR(SEARCH("库存为",AU651)))</formula>
    </cfRule>
  </conditionalFormatting>
  <conditionalFormatting sqref="AU652">
    <cfRule type="cellIs" dxfId="0" priority="1922" operator="lessThan">
      <formula>20</formula>
    </cfRule>
    <cfRule type="cellIs" dxfId="1" priority="1066" operator="greaterThan">
      <formula>120</formula>
    </cfRule>
    <cfRule type="containsText" dxfId="2" priority="210" operator="between" text="库存为">
      <formula>NOT(ISERROR(SEARCH("库存为",AU652)))</formula>
    </cfRule>
  </conditionalFormatting>
  <conditionalFormatting sqref="AU653">
    <cfRule type="cellIs" dxfId="0" priority="1921" operator="lessThan">
      <formula>20</formula>
    </cfRule>
    <cfRule type="cellIs" dxfId="1" priority="1065" operator="greaterThan">
      <formula>120</formula>
    </cfRule>
    <cfRule type="containsText" dxfId="2" priority="209" operator="between" text="库存为">
      <formula>NOT(ISERROR(SEARCH("库存为",AU653)))</formula>
    </cfRule>
  </conditionalFormatting>
  <conditionalFormatting sqref="AU654">
    <cfRule type="cellIs" dxfId="0" priority="1920" operator="lessThan">
      <formula>20</formula>
    </cfRule>
    <cfRule type="cellIs" dxfId="1" priority="1064" operator="greaterThan">
      <formula>120</formula>
    </cfRule>
    <cfRule type="containsText" dxfId="2" priority="208" operator="between" text="库存为">
      <formula>NOT(ISERROR(SEARCH("库存为",AU654)))</formula>
    </cfRule>
  </conditionalFormatting>
  <conditionalFormatting sqref="AU655">
    <cfRule type="cellIs" dxfId="0" priority="1919" operator="lessThan">
      <formula>20</formula>
    </cfRule>
    <cfRule type="cellIs" dxfId="1" priority="1063" operator="greaterThan">
      <formula>120</formula>
    </cfRule>
    <cfRule type="containsText" dxfId="2" priority="207" operator="between" text="库存为">
      <formula>NOT(ISERROR(SEARCH("库存为",AU655)))</formula>
    </cfRule>
  </conditionalFormatting>
  <conditionalFormatting sqref="AU656">
    <cfRule type="cellIs" dxfId="0" priority="1918" operator="lessThan">
      <formula>20</formula>
    </cfRule>
    <cfRule type="cellIs" dxfId="1" priority="1062" operator="greaterThan">
      <formula>120</formula>
    </cfRule>
    <cfRule type="containsText" dxfId="2" priority="206" operator="between" text="库存为">
      <formula>NOT(ISERROR(SEARCH("库存为",AU656)))</formula>
    </cfRule>
  </conditionalFormatting>
  <conditionalFormatting sqref="AU657">
    <cfRule type="cellIs" dxfId="0" priority="1917" operator="lessThan">
      <formula>20</formula>
    </cfRule>
    <cfRule type="cellIs" dxfId="1" priority="1061" operator="greaterThan">
      <formula>120</formula>
    </cfRule>
    <cfRule type="containsText" dxfId="2" priority="205" operator="between" text="库存为">
      <formula>NOT(ISERROR(SEARCH("库存为",AU657)))</formula>
    </cfRule>
  </conditionalFormatting>
  <conditionalFormatting sqref="AU658">
    <cfRule type="cellIs" dxfId="0" priority="1916" operator="lessThan">
      <formula>20</formula>
    </cfRule>
    <cfRule type="cellIs" dxfId="1" priority="1060" operator="greaterThan">
      <formula>120</formula>
    </cfRule>
    <cfRule type="containsText" dxfId="2" priority="204" operator="between" text="库存为">
      <formula>NOT(ISERROR(SEARCH("库存为",AU658)))</formula>
    </cfRule>
  </conditionalFormatting>
  <conditionalFormatting sqref="AU659">
    <cfRule type="cellIs" dxfId="0" priority="1915" operator="lessThan">
      <formula>20</formula>
    </cfRule>
    <cfRule type="cellIs" dxfId="1" priority="1059" operator="greaterThan">
      <formula>120</formula>
    </cfRule>
    <cfRule type="containsText" dxfId="2" priority="203" operator="between" text="库存为">
      <formula>NOT(ISERROR(SEARCH("库存为",AU659)))</formula>
    </cfRule>
  </conditionalFormatting>
  <conditionalFormatting sqref="AU660">
    <cfRule type="cellIs" dxfId="0" priority="1914" operator="lessThan">
      <formula>20</formula>
    </cfRule>
    <cfRule type="cellIs" dxfId="1" priority="1058" operator="greaterThan">
      <formula>120</formula>
    </cfRule>
    <cfRule type="containsText" dxfId="2" priority="202" operator="between" text="库存为">
      <formula>NOT(ISERROR(SEARCH("库存为",AU660)))</formula>
    </cfRule>
  </conditionalFormatting>
  <conditionalFormatting sqref="AU661">
    <cfRule type="cellIs" dxfId="0" priority="1913" operator="lessThan">
      <formula>20</formula>
    </cfRule>
    <cfRule type="cellIs" dxfId="1" priority="1057" operator="greaterThan">
      <formula>120</formula>
    </cfRule>
    <cfRule type="containsText" dxfId="2" priority="201" operator="between" text="库存为">
      <formula>NOT(ISERROR(SEARCH("库存为",AU661)))</formula>
    </cfRule>
  </conditionalFormatting>
  <conditionalFormatting sqref="AU662">
    <cfRule type="cellIs" dxfId="0" priority="1912" operator="lessThan">
      <formula>20</formula>
    </cfRule>
    <cfRule type="cellIs" dxfId="1" priority="1056" operator="greaterThan">
      <formula>120</formula>
    </cfRule>
    <cfRule type="containsText" dxfId="2" priority="200" operator="between" text="库存为">
      <formula>NOT(ISERROR(SEARCH("库存为",AU662)))</formula>
    </cfRule>
  </conditionalFormatting>
  <conditionalFormatting sqref="AU663">
    <cfRule type="cellIs" dxfId="0" priority="1911" operator="lessThan">
      <formula>20</formula>
    </cfRule>
    <cfRule type="cellIs" dxfId="1" priority="1055" operator="greaterThan">
      <formula>120</formula>
    </cfRule>
    <cfRule type="containsText" dxfId="2" priority="199" operator="between" text="库存为">
      <formula>NOT(ISERROR(SEARCH("库存为",AU663)))</formula>
    </cfRule>
  </conditionalFormatting>
  <conditionalFormatting sqref="AU664">
    <cfRule type="cellIs" dxfId="0" priority="1910" operator="lessThan">
      <formula>20</formula>
    </cfRule>
    <cfRule type="cellIs" dxfId="1" priority="1054" operator="greaterThan">
      <formula>120</formula>
    </cfRule>
    <cfRule type="containsText" dxfId="2" priority="198" operator="between" text="库存为">
      <formula>NOT(ISERROR(SEARCH("库存为",AU664)))</formula>
    </cfRule>
  </conditionalFormatting>
  <conditionalFormatting sqref="AU665">
    <cfRule type="cellIs" dxfId="0" priority="1909" operator="lessThan">
      <formula>20</formula>
    </cfRule>
    <cfRule type="cellIs" dxfId="1" priority="1053" operator="greaterThan">
      <formula>120</formula>
    </cfRule>
    <cfRule type="containsText" dxfId="2" priority="197" operator="between" text="库存为">
      <formula>NOT(ISERROR(SEARCH("库存为",AU665)))</formula>
    </cfRule>
  </conditionalFormatting>
  <conditionalFormatting sqref="AU666">
    <cfRule type="cellIs" dxfId="0" priority="1908" operator="lessThan">
      <formula>20</formula>
    </cfRule>
    <cfRule type="cellIs" dxfId="1" priority="1052" operator="greaterThan">
      <formula>120</formula>
    </cfRule>
    <cfRule type="containsText" dxfId="2" priority="196" operator="between" text="库存为">
      <formula>NOT(ISERROR(SEARCH("库存为",AU666)))</formula>
    </cfRule>
  </conditionalFormatting>
  <conditionalFormatting sqref="AU667">
    <cfRule type="cellIs" dxfId="0" priority="1907" operator="lessThan">
      <formula>20</formula>
    </cfRule>
    <cfRule type="cellIs" dxfId="1" priority="1051" operator="greaterThan">
      <formula>120</formula>
    </cfRule>
    <cfRule type="containsText" dxfId="2" priority="195" operator="between" text="库存为">
      <formula>NOT(ISERROR(SEARCH("库存为",AU667)))</formula>
    </cfRule>
  </conditionalFormatting>
  <conditionalFormatting sqref="AU668">
    <cfRule type="cellIs" dxfId="0" priority="1906" operator="lessThan">
      <formula>20</formula>
    </cfRule>
    <cfRule type="cellIs" dxfId="1" priority="1050" operator="greaterThan">
      <formula>120</formula>
    </cfRule>
    <cfRule type="containsText" dxfId="2" priority="194" operator="between" text="库存为">
      <formula>NOT(ISERROR(SEARCH("库存为",AU668)))</formula>
    </cfRule>
  </conditionalFormatting>
  <conditionalFormatting sqref="AU669">
    <cfRule type="cellIs" dxfId="0" priority="1905" operator="lessThan">
      <formula>20</formula>
    </cfRule>
    <cfRule type="cellIs" dxfId="1" priority="1049" operator="greaterThan">
      <formula>120</formula>
    </cfRule>
    <cfRule type="containsText" dxfId="2" priority="193" operator="between" text="库存为">
      <formula>NOT(ISERROR(SEARCH("库存为",AU669)))</formula>
    </cfRule>
  </conditionalFormatting>
  <conditionalFormatting sqref="AU670">
    <cfRule type="cellIs" dxfId="0" priority="1904" operator="lessThan">
      <formula>20</formula>
    </cfRule>
    <cfRule type="cellIs" dxfId="1" priority="1048" operator="greaterThan">
      <formula>120</formula>
    </cfRule>
    <cfRule type="containsText" dxfId="2" priority="192" operator="between" text="库存为">
      <formula>NOT(ISERROR(SEARCH("库存为",AU670)))</formula>
    </cfRule>
  </conditionalFormatting>
  <conditionalFormatting sqref="AU671">
    <cfRule type="cellIs" dxfId="0" priority="1903" operator="lessThan">
      <formula>20</formula>
    </cfRule>
    <cfRule type="cellIs" dxfId="1" priority="1047" operator="greaterThan">
      <formula>120</formula>
    </cfRule>
    <cfRule type="containsText" dxfId="2" priority="191" operator="between" text="库存为">
      <formula>NOT(ISERROR(SEARCH("库存为",AU671)))</formula>
    </cfRule>
  </conditionalFormatting>
  <conditionalFormatting sqref="AU672">
    <cfRule type="cellIs" dxfId="0" priority="1902" operator="lessThan">
      <formula>20</formula>
    </cfRule>
    <cfRule type="cellIs" dxfId="1" priority="1046" operator="greaterThan">
      <formula>120</formula>
    </cfRule>
    <cfRule type="containsText" dxfId="2" priority="190" operator="between" text="库存为">
      <formula>NOT(ISERROR(SEARCH("库存为",AU672)))</formula>
    </cfRule>
  </conditionalFormatting>
  <conditionalFormatting sqref="AU673">
    <cfRule type="cellIs" dxfId="0" priority="1901" operator="lessThan">
      <formula>20</formula>
    </cfRule>
    <cfRule type="cellIs" dxfId="1" priority="1045" operator="greaterThan">
      <formula>120</formula>
    </cfRule>
    <cfRule type="containsText" dxfId="2" priority="189" operator="between" text="库存为">
      <formula>NOT(ISERROR(SEARCH("库存为",AU673)))</formula>
    </cfRule>
  </conditionalFormatting>
  <conditionalFormatting sqref="AU674">
    <cfRule type="cellIs" dxfId="0" priority="1900" operator="lessThan">
      <formula>20</formula>
    </cfRule>
    <cfRule type="cellIs" dxfId="1" priority="1044" operator="greaterThan">
      <formula>120</formula>
    </cfRule>
    <cfRule type="containsText" dxfId="2" priority="188" operator="between" text="库存为">
      <formula>NOT(ISERROR(SEARCH("库存为",AU674)))</formula>
    </cfRule>
  </conditionalFormatting>
  <conditionalFormatting sqref="AU675">
    <cfRule type="cellIs" dxfId="0" priority="1899" operator="lessThan">
      <formula>20</formula>
    </cfRule>
    <cfRule type="cellIs" dxfId="1" priority="1043" operator="greaterThan">
      <formula>120</formula>
    </cfRule>
    <cfRule type="containsText" dxfId="2" priority="187" operator="between" text="库存为">
      <formula>NOT(ISERROR(SEARCH("库存为",AU675)))</formula>
    </cfRule>
  </conditionalFormatting>
  <conditionalFormatting sqref="AU676">
    <cfRule type="cellIs" dxfId="0" priority="1898" operator="lessThan">
      <formula>20</formula>
    </cfRule>
    <cfRule type="cellIs" dxfId="1" priority="1042" operator="greaterThan">
      <formula>120</formula>
    </cfRule>
    <cfRule type="containsText" dxfId="2" priority="186" operator="between" text="库存为">
      <formula>NOT(ISERROR(SEARCH("库存为",AU676)))</formula>
    </cfRule>
  </conditionalFormatting>
  <conditionalFormatting sqref="AU677">
    <cfRule type="cellIs" dxfId="0" priority="1897" operator="lessThan">
      <formula>20</formula>
    </cfRule>
    <cfRule type="cellIs" dxfId="1" priority="1041" operator="greaterThan">
      <formula>120</formula>
    </cfRule>
    <cfRule type="containsText" dxfId="2" priority="185" operator="between" text="库存为">
      <formula>NOT(ISERROR(SEARCH("库存为",AU677)))</formula>
    </cfRule>
  </conditionalFormatting>
  <conditionalFormatting sqref="AU678">
    <cfRule type="cellIs" dxfId="0" priority="1896" operator="lessThan">
      <formula>20</formula>
    </cfRule>
    <cfRule type="cellIs" dxfId="1" priority="1040" operator="greaterThan">
      <formula>120</formula>
    </cfRule>
    <cfRule type="containsText" dxfId="2" priority="184" operator="between" text="库存为">
      <formula>NOT(ISERROR(SEARCH("库存为",AU678)))</formula>
    </cfRule>
  </conditionalFormatting>
  <conditionalFormatting sqref="AU679">
    <cfRule type="cellIs" dxfId="0" priority="1895" operator="lessThan">
      <formula>20</formula>
    </cfRule>
    <cfRule type="cellIs" dxfId="1" priority="1039" operator="greaterThan">
      <formula>120</formula>
    </cfRule>
    <cfRule type="containsText" dxfId="2" priority="183" operator="between" text="库存为">
      <formula>NOT(ISERROR(SEARCH("库存为",AU679)))</formula>
    </cfRule>
  </conditionalFormatting>
  <conditionalFormatting sqref="AU680">
    <cfRule type="cellIs" dxfId="0" priority="1894" operator="lessThan">
      <formula>20</formula>
    </cfRule>
    <cfRule type="cellIs" dxfId="1" priority="1038" operator="greaterThan">
      <formula>120</formula>
    </cfRule>
    <cfRule type="containsText" dxfId="2" priority="182" operator="between" text="库存为">
      <formula>NOT(ISERROR(SEARCH("库存为",AU680)))</formula>
    </cfRule>
  </conditionalFormatting>
  <conditionalFormatting sqref="AU681">
    <cfRule type="cellIs" dxfId="0" priority="1893" operator="lessThan">
      <formula>20</formula>
    </cfRule>
    <cfRule type="cellIs" dxfId="1" priority="1037" operator="greaterThan">
      <formula>120</formula>
    </cfRule>
    <cfRule type="containsText" dxfId="2" priority="181" operator="between" text="库存为">
      <formula>NOT(ISERROR(SEARCH("库存为",AU681)))</formula>
    </cfRule>
  </conditionalFormatting>
  <conditionalFormatting sqref="AU682">
    <cfRule type="cellIs" dxfId="0" priority="1892" operator="lessThan">
      <formula>20</formula>
    </cfRule>
    <cfRule type="cellIs" dxfId="1" priority="1036" operator="greaterThan">
      <formula>120</formula>
    </cfRule>
    <cfRule type="containsText" dxfId="2" priority="180" operator="between" text="库存为">
      <formula>NOT(ISERROR(SEARCH("库存为",AU682)))</formula>
    </cfRule>
  </conditionalFormatting>
  <conditionalFormatting sqref="AU683">
    <cfRule type="cellIs" dxfId="0" priority="1891" operator="lessThan">
      <formula>20</formula>
    </cfRule>
    <cfRule type="cellIs" dxfId="1" priority="1035" operator="greaterThan">
      <formula>120</formula>
    </cfRule>
    <cfRule type="containsText" dxfId="2" priority="179" operator="between" text="库存为">
      <formula>NOT(ISERROR(SEARCH("库存为",AU683)))</formula>
    </cfRule>
  </conditionalFormatting>
  <conditionalFormatting sqref="AU684">
    <cfRule type="cellIs" dxfId="0" priority="1890" operator="lessThan">
      <formula>20</formula>
    </cfRule>
    <cfRule type="cellIs" dxfId="1" priority="1034" operator="greaterThan">
      <formula>120</formula>
    </cfRule>
    <cfRule type="containsText" dxfId="2" priority="178" operator="between" text="库存为">
      <formula>NOT(ISERROR(SEARCH("库存为",AU684)))</formula>
    </cfRule>
  </conditionalFormatting>
  <conditionalFormatting sqref="AU685">
    <cfRule type="cellIs" dxfId="0" priority="1889" operator="lessThan">
      <formula>20</formula>
    </cfRule>
    <cfRule type="cellIs" dxfId="1" priority="1033" operator="greaterThan">
      <formula>120</formula>
    </cfRule>
    <cfRule type="containsText" dxfId="2" priority="177" operator="between" text="库存为">
      <formula>NOT(ISERROR(SEARCH("库存为",AU685)))</formula>
    </cfRule>
  </conditionalFormatting>
  <conditionalFormatting sqref="AU686">
    <cfRule type="cellIs" dxfId="0" priority="1888" operator="lessThan">
      <formula>20</formula>
    </cfRule>
    <cfRule type="cellIs" dxfId="1" priority="1032" operator="greaterThan">
      <formula>120</formula>
    </cfRule>
    <cfRule type="containsText" dxfId="2" priority="176" operator="between" text="库存为">
      <formula>NOT(ISERROR(SEARCH("库存为",AU686)))</formula>
    </cfRule>
  </conditionalFormatting>
  <conditionalFormatting sqref="AU687">
    <cfRule type="cellIs" dxfId="0" priority="1887" operator="lessThan">
      <formula>20</formula>
    </cfRule>
    <cfRule type="cellIs" dxfId="1" priority="1031" operator="greaterThan">
      <formula>120</formula>
    </cfRule>
    <cfRule type="containsText" dxfId="2" priority="175" operator="between" text="库存为">
      <formula>NOT(ISERROR(SEARCH("库存为",AU687)))</formula>
    </cfRule>
  </conditionalFormatting>
  <conditionalFormatting sqref="AU688">
    <cfRule type="cellIs" dxfId="0" priority="1886" operator="lessThan">
      <formula>20</formula>
    </cfRule>
    <cfRule type="cellIs" dxfId="1" priority="1030" operator="greaterThan">
      <formula>120</formula>
    </cfRule>
    <cfRule type="containsText" dxfId="2" priority="174" operator="between" text="库存为">
      <formula>NOT(ISERROR(SEARCH("库存为",AU688)))</formula>
    </cfRule>
  </conditionalFormatting>
  <conditionalFormatting sqref="AU689">
    <cfRule type="cellIs" dxfId="0" priority="1885" operator="lessThan">
      <formula>20</formula>
    </cfRule>
    <cfRule type="cellIs" dxfId="1" priority="1029" operator="greaterThan">
      <formula>120</formula>
    </cfRule>
    <cfRule type="containsText" dxfId="2" priority="173" operator="between" text="库存为">
      <formula>NOT(ISERROR(SEARCH("库存为",AU689)))</formula>
    </cfRule>
  </conditionalFormatting>
  <conditionalFormatting sqref="AU690">
    <cfRule type="cellIs" dxfId="0" priority="1884" operator="lessThan">
      <formula>20</formula>
    </cfRule>
    <cfRule type="cellIs" dxfId="1" priority="1028" operator="greaterThan">
      <formula>120</formula>
    </cfRule>
    <cfRule type="containsText" dxfId="2" priority="172" operator="between" text="库存为">
      <formula>NOT(ISERROR(SEARCH("库存为",AU690)))</formula>
    </cfRule>
  </conditionalFormatting>
  <conditionalFormatting sqref="AU691">
    <cfRule type="cellIs" dxfId="0" priority="1883" operator="lessThan">
      <formula>20</formula>
    </cfRule>
    <cfRule type="cellIs" dxfId="1" priority="1027" operator="greaterThan">
      <formula>120</formula>
    </cfRule>
    <cfRule type="containsText" dxfId="2" priority="171" operator="between" text="库存为">
      <formula>NOT(ISERROR(SEARCH("库存为",AU691)))</formula>
    </cfRule>
  </conditionalFormatting>
  <conditionalFormatting sqref="AU692">
    <cfRule type="cellIs" dxfId="0" priority="1882" operator="lessThan">
      <formula>20</formula>
    </cfRule>
    <cfRule type="cellIs" dxfId="1" priority="1026" operator="greaterThan">
      <formula>120</formula>
    </cfRule>
    <cfRule type="containsText" dxfId="2" priority="170" operator="between" text="库存为">
      <formula>NOT(ISERROR(SEARCH("库存为",AU692)))</formula>
    </cfRule>
  </conditionalFormatting>
  <conditionalFormatting sqref="AU693">
    <cfRule type="cellIs" dxfId="0" priority="1881" operator="lessThan">
      <formula>20</formula>
    </cfRule>
    <cfRule type="cellIs" dxfId="1" priority="1025" operator="greaterThan">
      <formula>120</formula>
    </cfRule>
    <cfRule type="containsText" dxfId="2" priority="169" operator="between" text="库存为">
      <formula>NOT(ISERROR(SEARCH("库存为",AU693)))</formula>
    </cfRule>
  </conditionalFormatting>
  <conditionalFormatting sqref="AU694">
    <cfRule type="cellIs" dxfId="0" priority="1880" operator="lessThan">
      <formula>20</formula>
    </cfRule>
    <cfRule type="cellIs" dxfId="1" priority="1024" operator="greaterThan">
      <formula>120</formula>
    </cfRule>
    <cfRule type="containsText" dxfId="2" priority="168" operator="between" text="库存为">
      <formula>NOT(ISERROR(SEARCH("库存为",AU694)))</formula>
    </cfRule>
  </conditionalFormatting>
  <conditionalFormatting sqref="AU695">
    <cfRule type="cellIs" dxfId="0" priority="1879" operator="lessThan">
      <formula>20</formula>
    </cfRule>
    <cfRule type="cellIs" dxfId="1" priority="1023" operator="greaterThan">
      <formula>120</formula>
    </cfRule>
    <cfRule type="containsText" dxfId="2" priority="167" operator="between" text="库存为">
      <formula>NOT(ISERROR(SEARCH("库存为",AU695)))</formula>
    </cfRule>
  </conditionalFormatting>
  <conditionalFormatting sqref="AU696">
    <cfRule type="cellIs" dxfId="0" priority="1878" operator="lessThan">
      <formula>20</formula>
    </cfRule>
    <cfRule type="cellIs" dxfId="1" priority="1022" operator="greaterThan">
      <formula>120</formula>
    </cfRule>
    <cfRule type="containsText" dxfId="2" priority="166" operator="between" text="库存为">
      <formula>NOT(ISERROR(SEARCH("库存为",AU696)))</formula>
    </cfRule>
  </conditionalFormatting>
  <conditionalFormatting sqref="AU697">
    <cfRule type="cellIs" dxfId="0" priority="1877" operator="lessThan">
      <formula>20</formula>
    </cfRule>
    <cfRule type="cellIs" dxfId="1" priority="1021" operator="greaterThan">
      <formula>120</formula>
    </cfRule>
    <cfRule type="containsText" dxfId="2" priority="165" operator="between" text="库存为">
      <formula>NOT(ISERROR(SEARCH("库存为",AU697)))</formula>
    </cfRule>
  </conditionalFormatting>
  <conditionalFormatting sqref="AU698">
    <cfRule type="cellIs" dxfId="0" priority="1876" operator="lessThan">
      <formula>20</formula>
    </cfRule>
    <cfRule type="cellIs" dxfId="1" priority="1020" operator="greaterThan">
      <formula>120</formula>
    </cfRule>
    <cfRule type="containsText" dxfId="2" priority="164" operator="between" text="库存为">
      <formula>NOT(ISERROR(SEARCH("库存为",AU698)))</formula>
    </cfRule>
  </conditionalFormatting>
  <conditionalFormatting sqref="AU699">
    <cfRule type="cellIs" dxfId="0" priority="1875" operator="lessThan">
      <formula>20</formula>
    </cfRule>
    <cfRule type="cellIs" dxfId="1" priority="1019" operator="greaterThan">
      <formula>120</formula>
    </cfRule>
    <cfRule type="containsText" dxfId="2" priority="163" operator="between" text="库存为">
      <formula>NOT(ISERROR(SEARCH("库存为",AU699)))</formula>
    </cfRule>
  </conditionalFormatting>
  <conditionalFormatting sqref="AU700">
    <cfRule type="cellIs" dxfId="0" priority="1874" operator="lessThan">
      <formula>20</formula>
    </cfRule>
    <cfRule type="cellIs" dxfId="1" priority="1018" operator="greaterThan">
      <formula>120</formula>
    </cfRule>
    <cfRule type="containsText" dxfId="2" priority="162" operator="between" text="库存为">
      <formula>NOT(ISERROR(SEARCH("库存为",AU700)))</formula>
    </cfRule>
  </conditionalFormatting>
  <conditionalFormatting sqref="AU701">
    <cfRule type="cellIs" dxfId="0" priority="1873" operator="lessThan">
      <formula>20</formula>
    </cfRule>
    <cfRule type="cellIs" dxfId="1" priority="1017" operator="greaterThan">
      <formula>120</formula>
    </cfRule>
    <cfRule type="containsText" dxfId="2" priority="161" operator="between" text="库存为">
      <formula>NOT(ISERROR(SEARCH("库存为",AU701)))</formula>
    </cfRule>
  </conditionalFormatting>
  <conditionalFormatting sqref="AU702">
    <cfRule type="cellIs" dxfId="0" priority="1872" operator="lessThan">
      <formula>20</formula>
    </cfRule>
    <cfRule type="cellIs" dxfId="1" priority="1016" operator="greaterThan">
      <formula>120</formula>
    </cfRule>
    <cfRule type="containsText" dxfId="2" priority="160" operator="between" text="库存为">
      <formula>NOT(ISERROR(SEARCH("库存为",AU702)))</formula>
    </cfRule>
  </conditionalFormatting>
  <conditionalFormatting sqref="AU703">
    <cfRule type="cellIs" dxfId="0" priority="1871" operator="lessThan">
      <formula>20</formula>
    </cfRule>
    <cfRule type="cellIs" dxfId="1" priority="1015" operator="greaterThan">
      <formula>120</formula>
    </cfRule>
    <cfRule type="containsText" dxfId="2" priority="159" operator="between" text="库存为">
      <formula>NOT(ISERROR(SEARCH("库存为",AU703)))</formula>
    </cfRule>
  </conditionalFormatting>
  <conditionalFormatting sqref="AU704">
    <cfRule type="cellIs" dxfId="0" priority="1870" operator="lessThan">
      <formula>20</formula>
    </cfRule>
    <cfRule type="cellIs" dxfId="1" priority="1014" operator="greaterThan">
      <formula>120</formula>
    </cfRule>
    <cfRule type="containsText" dxfId="2" priority="158" operator="between" text="库存为">
      <formula>NOT(ISERROR(SEARCH("库存为",AU704)))</formula>
    </cfRule>
  </conditionalFormatting>
  <conditionalFormatting sqref="AU705">
    <cfRule type="cellIs" dxfId="0" priority="1869" operator="lessThan">
      <formula>20</formula>
    </cfRule>
    <cfRule type="cellIs" dxfId="1" priority="1013" operator="greaterThan">
      <formula>120</formula>
    </cfRule>
    <cfRule type="containsText" dxfId="2" priority="157" operator="between" text="库存为">
      <formula>NOT(ISERROR(SEARCH("库存为",AU705)))</formula>
    </cfRule>
  </conditionalFormatting>
  <conditionalFormatting sqref="AU706">
    <cfRule type="cellIs" dxfId="0" priority="1868" operator="lessThan">
      <formula>20</formula>
    </cfRule>
    <cfRule type="cellIs" dxfId="1" priority="1012" operator="greaterThan">
      <formula>120</formula>
    </cfRule>
    <cfRule type="containsText" dxfId="2" priority="156" operator="between" text="库存为">
      <formula>NOT(ISERROR(SEARCH("库存为",AU706)))</formula>
    </cfRule>
  </conditionalFormatting>
  <conditionalFormatting sqref="AU707">
    <cfRule type="cellIs" dxfId="0" priority="1867" operator="lessThan">
      <formula>20</formula>
    </cfRule>
    <cfRule type="cellIs" dxfId="1" priority="1011" operator="greaterThan">
      <formula>120</formula>
    </cfRule>
    <cfRule type="containsText" dxfId="2" priority="155" operator="between" text="库存为">
      <formula>NOT(ISERROR(SEARCH("库存为",AU707)))</formula>
    </cfRule>
  </conditionalFormatting>
  <conditionalFormatting sqref="AU708">
    <cfRule type="cellIs" dxfId="0" priority="1866" operator="lessThan">
      <formula>20</formula>
    </cfRule>
    <cfRule type="cellIs" dxfId="1" priority="1010" operator="greaterThan">
      <formula>120</formula>
    </cfRule>
    <cfRule type="containsText" dxfId="2" priority="154" operator="between" text="库存为">
      <formula>NOT(ISERROR(SEARCH("库存为",AU708)))</formula>
    </cfRule>
  </conditionalFormatting>
  <conditionalFormatting sqref="AU709">
    <cfRule type="cellIs" dxfId="0" priority="1865" operator="lessThan">
      <formula>20</formula>
    </cfRule>
    <cfRule type="cellIs" dxfId="1" priority="1009" operator="greaterThan">
      <formula>120</formula>
    </cfRule>
    <cfRule type="containsText" dxfId="2" priority="153" operator="between" text="库存为">
      <formula>NOT(ISERROR(SEARCH("库存为",AU709)))</formula>
    </cfRule>
  </conditionalFormatting>
  <conditionalFormatting sqref="AU710">
    <cfRule type="cellIs" dxfId="0" priority="1864" operator="lessThan">
      <formula>20</formula>
    </cfRule>
    <cfRule type="cellIs" dxfId="1" priority="1008" operator="greaterThan">
      <formula>120</formula>
    </cfRule>
    <cfRule type="containsText" dxfId="2" priority="152" operator="between" text="库存为">
      <formula>NOT(ISERROR(SEARCH("库存为",AU710)))</formula>
    </cfRule>
  </conditionalFormatting>
  <conditionalFormatting sqref="AU711">
    <cfRule type="cellIs" dxfId="0" priority="1863" operator="lessThan">
      <formula>20</formula>
    </cfRule>
    <cfRule type="cellIs" dxfId="1" priority="1007" operator="greaterThan">
      <formula>120</formula>
    </cfRule>
    <cfRule type="containsText" dxfId="2" priority="151" operator="between" text="库存为">
      <formula>NOT(ISERROR(SEARCH("库存为",AU711)))</formula>
    </cfRule>
  </conditionalFormatting>
  <conditionalFormatting sqref="AU712">
    <cfRule type="cellIs" dxfId="0" priority="1862" operator="lessThan">
      <formula>20</formula>
    </cfRule>
    <cfRule type="cellIs" dxfId="1" priority="1006" operator="greaterThan">
      <formula>120</formula>
    </cfRule>
    <cfRule type="containsText" dxfId="2" priority="150" operator="between" text="库存为">
      <formula>NOT(ISERROR(SEARCH("库存为",AU712)))</formula>
    </cfRule>
  </conditionalFormatting>
  <conditionalFormatting sqref="AU713">
    <cfRule type="cellIs" dxfId="0" priority="1861" operator="lessThan">
      <formula>20</formula>
    </cfRule>
    <cfRule type="cellIs" dxfId="1" priority="1005" operator="greaterThan">
      <formula>120</formula>
    </cfRule>
    <cfRule type="containsText" dxfId="2" priority="149" operator="between" text="库存为">
      <formula>NOT(ISERROR(SEARCH("库存为",AU713)))</formula>
    </cfRule>
  </conditionalFormatting>
  <conditionalFormatting sqref="AU714">
    <cfRule type="cellIs" dxfId="0" priority="1860" operator="lessThan">
      <formula>20</formula>
    </cfRule>
    <cfRule type="cellIs" dxfId="1" priority="1004" operator="greaterThan">
      <formula>120</formula>
    </cfRule>
    <cfRule type="containsText" dxfId="2" priority="148" operator="between" text="库存为">
      <formula>NOT(ISERROR(SEARCH("库存为",AU714)))</formula>
    </cfRule>
  </conditionalFormatting>
  <conditionalFormatting sqref="AU715">
    <cfRule type="cellIs" dxfId="0" priority="1859" operator="lessThan">
      <formula>20</formula>
    </cfRule>
    <cfRule type="cellIs" dxfId="1" priority="1003" operator="greaterThan">
      <formula>120</formula>
    </cfRule>
    <cfRule type="containsText" dxfId="2" priority="147" operator="between" text="库存为">
      <formula>NOT(ISERROR(SEARCH("库存为",AU715)))</formula>
    </cfRule>
  </conditionalFormatting>
  <conditionalFormatting sqref="AU716">
    <cfRule type="cellIs" dxfId="0" priority="1858" operator="lessThan">
      <formula>20</formula>
    </cfRule>
    <cfRule type="cellIs" dxfId="1" priority="1002" operator="greaterThan">
      <formula>120</formula>
    </cfRule>
    <cfRule type="containsText" dxfId="2" priority="146" operator="between" text="库存为">
      <formula>NOT(ISERROR(SEARCH("库存为",AU716)))</formula>
    </cfRule>
  </conditionalFormatting>
  <conditionalFormatting sqref="AU717">
    <cfRule type="cellIs" dxfId="0" priority="1857" operator="lessThan">
      <formula>20</formula>
    </cfRule>
    <cfRule type="cellIs" dxfId="1" priority="1001" operator="greaterThan">
      <formula>120</formula>
    </cfRule>
    <cfRule type="containsText" dxfId="2" priority="145" operator="between" text="库存为">
      <formula>NOT(ISERROR(SEARCH("库存为",AU717)))</formula>
    </cfRule>
  </conditionalFormatting>
  <conditionalFormatting sqref="AU718">
    <cfRule type="cellIs" dxfId="0" priority="1856" operator="lessThan">
      <formula>20</formula>
    </cfRule>
    <cfRule type="cellIs" dxfId="1" priority="1000" operator="greaterThan">
      <formula>120</formula>
    </cfRule>
    <cfRule type="containsText" dxfId="2" priority="144" operator="between" text="库存为">
      <formula>NOT(ISERROR(SEARCH("库存为",AU718)))</formula>
    </cfRule>
  </conditionalFormatting>
  <conditionalFormatting sqref="AU719">
    <cfRule type="cellIs" dxfId="0" priority="1855" operator="lessThan">
      <formula>20</formula>
    </cfRule>
    <cfRule type="cellIs" dxfId="1" priority="999" operator="greaterThan">
      <formula>120</formula>
    </cfRule>
    <cfRule type="containsText" dxfId="2" priority="143" operator="between" text="库存为">
      <formula>NOT(ISERROR(SEARCH("库存为",AU719)))</formula>
    </cfRule>
  </conditionalFormatting>
  <conditionalFormatting sqref="AU720">
    <cfRule type="cellIs" dxfId="0" priority="1854" operator="lessThan">
      <formula>20</formula>
    </cfRule>
    <cfRule type="cellIs" dxfId="1" priority="998" operator="greaterThan">
      <formula>120</formula>
    </cfRule>
    <cfRule type="containsText" dxfId="2" priority="142" operator="between" text="库存为">
      <formula>NOT(ISERROR(SEARCH("库存为",AU720)))</formula>
    </cfRule>
  </conditionalFormatting>
  <conditionalFormatting sqref="AU721">
    <cfRule type="cellIs" dxfId="0" priority="1853" operator="lessThan">
      <formula>20</formula>
    </cfRule>
    <cfRule type="cellIs" dxfId="1" priority="997" operator="greaterThan">
      <formula>120</formula>
    </cfRule>
    <cfRule type="containsText" dxfId="2" priority="141" operator="between" text="库存为">
      <formula>NOT(ISERROR(SEARCH("库存为",AU721)))</formula>
    </cfRule>
  </conditionalFormatting>
  <conditionalFormatting sqref="AU722">
    <cfRule type="cellIs" dxfId="0" priority="1852" operator="lessThan">
      <formula>20</formula>
    </cfRule>
    <cfRule type="cellIs" dxfId="1" priority="996" operator="greaterThan">
      <formula>120</formula>
    </cfRule>
    <cfRule type="containsText" dxfId="2" priority="140" operator="between" text="库存为">
      <formula>NOT(ISERROR(SEARCH("库存为",AU722)))</formula>
    </cfRule>
  </conditionalFormatting>
  <conditionalFormatting sqref="AU723">
    <cfRule type="cellIs" dxfId="0" priority="1851" operator="lessThan">
      <formula>20</formula>
    </cfRule>
    <cfRule type="cellIs" dxfId="1" priority="995" operator="greaterThan">
      <formula>120</formula>
    </cfRule>
    <cfRule type="containsText" dxfId="2" priority="139" operator="between" text="库存为">
      <formula>NOT(ISERROR(SEARCH("库存为",AU723)))</formula>
    </cfRule>
  </conditionalFormatting>
  <conditionalFormatting sqref="AU724">
    <cfRule type="cellIs" dxfId="0" priority="1850" operator="lessThan">
      <formula>20</formula>
    </cfRule>
    <cfRule type="cellIs" dxfId="1" priority="994" operator="greaterThan">
      <formula>120</formula>
    </cfRule>
    <cfRule type="containsText" dxfId="2" priority="138" operator="between" text="库存为">
      <formula>NOT(ISERROR(SEARCH("库存为",AU724)))</formula>
    </cfRule>
  </conditionalFormatting>
  <conditionalFormatting sqref="AU725">
    <cfRule type="cellIs" dxfId="0" priority="1849" operator="lessThan">
      <formula>20</formula>
    </cfRule>
    <cfRule type="cellIs" dxfId="1" priority="993" operator="greaterThan">
      <formula>120</formula>
    </cfRule>
    <cfRule type="containsText" dxfId="2" priority="137" operator="between" text="库存为">
      <formula>NOT(ISERROR(SEARCH("库存为",AU725)))</formula>
    </cfRule>
  </conditionalFormatting>
  <conditionalFormatting sqref="AU726">
    <cfRule type="cellIs" dxfId="0" priority="1848" operator="lessThan">
      <formula>20</formula>
    </cfRule>
    <cfRule type="cellIs" dxfId="1" priority="992" operator="greaterThan">
      <formula>120</formula>
    </cfRule>
    <cfRule type="containsText" dxfId="2" priority="136" operator="between" text="库存为">
      <formula>NOT(ISERROR(SEARCH("库存为",AU726)))</formula>
    </cfRule>
  </conditionalFormatting>
  <conditionalFormatting sqref="AU727">
    <cfRule type="cellIs" dxfId="0" priority="1847" operator="lessThan">
      <formula>20</formula>
    </cfRule>
    <cfRule type="cellIs" dxfId="1" priority="991" operator="greaterThan">
      <formula>120</formula>
    </cfRule>
    <cfRule type="containsText" dxfId="2" priority="135" operator="between" text="库存为">
      <formula>NOT(ISERROR(SEARCH("库存为",AU727)))</formula>
    </cfRule>
  </conditionalFormatting>
  <conditionalFormatting sqref="AU728">
    <cfRule type="cellIs" dxfId="0" priority="1846" operator="lessThan">
      <formula>20</formula>
    </cfRule>
    <cfRule type="cellIs" dxfId="1" priority="990" operator="greaterThan">
      <formula>120</formula>
    </cfRule>
    <cfRule type="containsText" dxfId="2" priority="134" operator="between" text="库存为">
      <formula>NOT(ISERROR(SEARCH("库存为",AU728)))</formula>
    </cfRule>
  </conditionalFormatting>
  <conditionalFormatting sqref="AU729">
    <cfRule type="cellIs" dxfId="0" priority="1845" operator="lessThan">
      <formula>20</formula>
    </cfRule>
    <cfRule type="cellIs" dxfId="1" priority="989" operator="greaterThan">
      <formula>120</formula>
    </cfRule>
    <cfRule type="containsText" dxfId="2" priority="133" operator="between" text="库存为">
      <formula>NOT(ISERROR(SEARCH("库存为",AU729)))</formula>
    </cfRule>
  </conditionalFormatting>
  <conditionalFormatting sqref="AU730">
    <cfRule type="cellIs" dxfId="0" priority="1844" operator="lessThan">
      <formula>20</formula>
    </cfRule>
    <cfRule type="cellIs" dxfId="1" priority="988" operator="greaterThan">
      <formula>120</formula>
    </cfRule>
    <cfRule type="containsText" dxfId="2" priority="132" operator="between" text="库存为">
      <formula>NOT(ISERROR(SEARCH("库存为",AU730)))</formula>
    </cfRule>
  </conditionalFormatting>
  <conditionalFormatting sqref="AU731">
    <cfRule type="cellIs" dxfId="0" priority="1843" operator="lessThan">
      <formula>20</formula>
    </cfRule>
    <cfRule type="cellIs" dxfId="1" priority="987" operator="greaterThan">
      <formula>120</formula>
    </cfRule>
    <cfRule type="containsText" dxfId="2" priority="131" operator="between" text="库存为">
      <formula>NOT(ISERROR(SEARCH("库存为",AU731)))</formula>
    </cfRule>
  </conditionalFormatting>
  <conditionalFormatting sqref="AU732">
    <cfRule type="cellIs" dxfId="0" priority="1842" operator="lessThan">
      <formula>20</formula>
    </cfRule>
    <cfRule type="cellIs" dxfId="1" priority="986" operator="greaterThan">
      <formula>120</formula>
    </cfRule>
    <cfRule type="containsText" dxfId="2" priority="130" operator="between" text="库存为">
      <formula>NOT(ISERROR(SEARCH("库存为",AU732)))</formula>
    </cfRule>
  </conditionalFormatting>
  <conditionalFormatting sqref="AU733">
    <cfRule type="cellIs" dxfId="0" priority="1841" operator="lessThan">
      <formula>20</formula>
    </cfRule>
    <cfRule type="cellIs" dxfId="1" priority="985" operator="greaterThan">
      <formula>120</formula>
    </cfRule>
    <cfRule type="containsText" dxfId="2" priority="129" operator="between" text="库存为">
      <formula>NOT(ISERROR(SEARCH("库存为",AU733)))</formula>
    </cfRule>
  </conditionalFormatting>
  <conditionalFormatting sqref="AU734">
    <cfRule type="cellIs" dxfId="0" priority="1840" operator="lessThan">
      <formula>20</formula>
    </cfRule>
    <cfRule type="cellIs" dxfId="1" priority="984" operator="greaterThan">
      <formula>120</formula>
    </cfRule>
    <cfRule type="containsText" dxfId="2" priority="128" operator="between" text="库存为">
      <formula>NOT(ISERROR(SEARCH("库存为",AU734)))</formula>
    </cfRule>
  </conditionalFormatting>
  <conditionalFormatting sqref="AU735">
    <cfRule type="cellIs" dxfId="0" priority="1839" operator="lessThan">
      <formula>20</formula>
    </cfRule>
    <cfRule type="cellIs" dxfId="1" priority="983" operator="greaterThan">
      <formula>120</formula>
    </cfRule>
    <cfRule type="containsText" dxfId="2" priority="127" operator="between" text="库存为">
      <formula>NOT(ISERROR(SEARCH("库存为",AU735)))</formula>
    </cfRule>
  </conditionalFormatting>
  <conditionalFormatting sqref="AU736">
    <cfRule type="cellIs" dxfId="0" priority="1838" operator="lessThan">
      <formula>20</formula>
    </cfRule>
    <cfRule type="cellIs" dxfId="1" priority="982" operator="greaterThan">
      <formula>120</formula>
    </cfRule>
    <cfRule type="containsText" dxfId="2" priority="126" operator="between" text="库存为">
      <formula>NOT(ISERROR(SEARCH("库存为",AU736)))</formula>
    </cfRule>
  </conditionalFormatting>
  <conditionalFormatting sqref="AU737">
    <cfRule type="cellIs" dxfId="0" priority="1837" operator="lessThan">
      <formula>20</formula>
    </cfRule>
    <cfRule type="cellIs" dxfId="1" priority="981" operator="greaterThan">
      <formula>120</formula>
    </cfRule>
    <cfRule type="containsText" dxfId="2" priority="125" operator="between" text="库存为">
      <formula>NOT(ISERROR(SEARCH("库存为",AU737)))</formula>
    </cfRule>
  </conditionalFormatting>
  <conditionalFormatting sqref="AU738">
    <cfRule type="cellIs" dxfId="0" priority="1836" operator="lessThan">
      <formula>20</formula>
    </cfRule>
    <cfRule type="cellIs" dxfId="1" priority="980" operator="greaterThan">
      <formula>120</formula>
    </cfRule>
    <cfRule type="containsText" dxfId="2" priority="124" operator="between" text="库存为">
      <formula>NOT(ISERROR(SEARCH("库存为",AU738)))</formula>
    </cfRule>
  </conditionalFormatting>
  <conditionalFormatting sqref="AU739">
    <cfRule type="cellIs" dxfId="0" priority="1835" operator="lessThan">
      <formula>20</formula>
    </cfRule>
    <cfRule type="cellIs" dxfId="1" priority="979" operator="greaterThan">
      <formula>120</formula>
    </cfRule>
    <cfRule type="containsText" dxfId="2" priority="123" operator="between" text="库存为">
      <formula>NOT(ISERROR(SEARCH("库存为",AU739)))</formula>
    </cfRule>
  </conditionalFormatting>
  <conditionalFormatting sqref="AU740">
    <cfRule type="cellIs" dxfId="0" priority="1834" operator="lessThan">
      <formula>20</formula>
    </cfRule>
    <cfRule type="cellIs" dxfId="1" priority="978" operator="greaterThan">
      <formula>120</formula>
    </cfRule>
    <cfRule type="containsText" dxfId="2" priority="122" operator="between" text="库存为">
      <formula>NOT(ISERROR(SEARCH("库存为",AU740)))</formula>
    </cfRule>
  </conditionalFormatting>
  <conditionalFormatting sqref="AU741">
    <cfRule type="cellIs" dxfId="0" priority="1833" operator="lessThan">
      <formula>20</formula>
    </cfRule>
    <cfRule type="cellIs" dxfId="1" priority="977" operator="greaterThan">
      <formula>120</formula>
    </cfRule>
    <cfRule type="containsText" dxfId="2" priority="121" operator="between" text="库存为">
      <formula>NOT(ISERROR(SEARCH("库存为",AU741)))</formula>
    </cfRule>
  </conditionalFormatting>
  <conditionalFormatting sqref="AU742">
    <cfRule type="cellIs" dxfId="0" priority="1832" operator="lessThan">
      <formula>20</formula>
    </cfRule>
    <cfRule type="cellIs" dxfId="1" priority="976" operator="greaterThan">
      <formula>120</formula>
    </cfRule>
    <cfRule type="containsText" dxfId="2" priority="120" operator="between" text="库存为">
      <formula>NOT(ISERROR(SEARCH("库存为",AU742)))</formula>
    </cfRule>
  </conditionalFormatting>
  <conditionalFormatting sqref="AU743">
    <cfRule type="cellIs" dxfId="0" priority="1831" operator="lessThan">
      <formula>20</formula>
    </cfRule>
    <cfRule type="cellIs" dxfId="1" priority="975" operator="greaterThan">
      <formula>120</formula>
    </cfRule>
    <cfRule type="containsText" dxfId="2" priority="119" operator="between" text="库存为">
      <formula>NOT(ISERROR(SEARCH("库存为",AU743)))</formula>
    </cfRule>
  </conditionalFormatting>
  <conditionalFormatting sqref="AU744">
    <cfRule type="cellIs" dxfId="0" priority="1830" operator="lessThan">
      <formula>20</formula>
    </cfRule>
    <cfRule type="cellIs" dxfId="1" priority="974" operator="greaterThan">
      <formula>120</formula>
    </cfRule>
    <cfRule type="containsText" dxfId="2" priority="118" operator="between" text="库存为">
      <formula>NOT(ISERROR(SEARCH("库存为",AU744)))</formula>
    </cfRule>
  </conditionalFormatting>
  <conditionalFormatting sqref="AU745">
    <cfRule type="cellIs" dxfId="0" priority="1829" operator="lessThan">
      <formula>20</formula>
    </cfRule>
    <cfRule type="cellIs" dxfId="1" priority="973" operator="greaterThan">
      <formula>120</formula>
    </cfRule>
    <cfRule type="containsText" dxfId="2" priority="117" operator="between" text="库存为">
      <formula>NOT(ISERROR(SEARCH("库存为",AU745)))</formula>
    </cfRule>
  </conditionalFormatting>
  <conditionalFormatting sqref="AU746">
    <cfRule type="cellIs" dxfId="0" priority="1828" operator="lessThan">
      <formula>20</formula>
    </cfRule>
    <cfRule type="cellIs" dxfId="1" priority="972" operator="greaterThan">
      <formula>120</formula>
    </cfRule>
    <cfRule type="containsText" dxfId="2" priority="116" operator="between" text="库存为">
      <formula>NOT(ISERROR(SEARCH("库存为",AU746)))</formula>
    </cfRule>
  </conditionalFormatting>
  <conditionalFormatting sqref="AU747">
    <cfRule type="cellIs" dxfId="0" priority="1827" operator="lessThan">
      <formula>20</formula>
    </cfRule>
    <cfRule type="cellIs" dxfId="1" priority="971" operator="greaterThan">
      <formula>120</formula>
    </cfRule>
    <cfRule type="containsText" dxfId="2" priority="115" operator="between" text="库存为">
      <formula>NOT(ISERROR(SEARCH("库存为",AU747)))</formula>
    </cfRule>
  </conditionalFormatting>
  <conditionalFormatting sqref="AU748">
    <cfRule type="cellIs" dxfId="0" priority="1826" operator="lessThan">
      <formula>20</formula>
    </cfRule>
    <cfRule type="cellIs" dxfId="1" priority="970" operator="greaterThan">
      <formula>120</formula>
    </cfRule>
    <cfRule type="containsText" dxfId="2" priority="114" operator="between" text="库存为">
      <formula>NOT(ISERROR(SEARCH("库存为",AU748)))</formula>
    </cfRule>
  </conditionalFormatting>
  <conditionalFormatting sqref="AU749">
    <cfRule type="cellIs" dxfId="0" priority="1825" operator="lessThan">
      <formula>20</formula>
    </cfRule>
    <cfRule type="cellIs" dxfId="1" priority="969" operator="greaterThan">
      <formula>120</formula>
    </cfRule>
    <cfRule type="containsText" dxfId="2" priority="113" operator="between" text="库存为">
      <formula>NOT(ISERROR(SEARCH("库存为",AU749)))</formula>
    </cfRule>
  </conditionalFormatting>
  <conditionalFormatting sqref="AU750">
    <cfRule type="cellIs" dxfId="0" priority="1824" operator="lessThan">
      <formula>20</formula>
    </cfRule>
    <cfRule type="cellIs" dxfId="1" priority="968" operator="greaterThan">
      <formula>120</formula>
    </cfRule>
    <cfRule type="containsText" dxfId="2" priority="112" operator="between" text="库存为">
      <formula>NOT(ISERROR(SEARCH("库存为",AU750)))</formula>
    </cfRule>
  </conditionalFormatting>
  <conditionalFormatting sqref="AU751">
    <cfRule type="cellIs" dxfId="0" priority="1823" operator="lessThan">
      <formula>20</formula>
    </cfRule>
    <cfRule type="cellIs" dxfId="1" priority="967" operator="greaterThan">
      <formula>120</formula>
    </cfRule>
    <cfRule type="containsText" dxfId="2" priority="111" operator="between" text="库存为">
      <formula>NOT(ISERROR(SEARCH("库存为",AU751)))</formula>
    </cfRule>
  </conditionalFormatting>
  <conditionalFormatting sqref="AU752">
    <cfRule type="cellIs" dxfId="0" priority="1822" operator="lessThan">
      <formula>20</formula>
    </cfRule>
    <cfRule type="cellIs" dxfId="1" priority="966" operator="greaterThan">
      <formula>120</formula>
    </cfRule>
    <cfRule type="containsText" dxfId="2" priority="110" operator="between" text="库存为">
      <formula>NOT(ISERROR(SEARCH("库存为",AU752)))</formula>
    </cfRule>
  </conditionalFormatting>
  <conditionalFormatting sqref="AU753">
    <cfRule type="cellIs" dxfId="0" priority="1821" operator="lessThan">
      <formula>20</formula>
    </cfRule>
    <cfRule type="cellIs" dxfId="1" priority="965" operator="greaterThan">
      <formula>120</formula>
    </cfRule>
    <cfRule type="containsText" dxfId="2" priority="109" operator="between" text="库存为">
      <formula>NOT(ISERROR(SEARCH("库存为",AU753)))</formula>
    </cfRule>
  </conditionalFormatting>
  <conditionalFormatting sqref="AU754">
    <cfRule type="cellIs" dxfId="0" priority="1820" operator="lessThan">
      <formula>20</formula>
    </cfRule>
    <cfRule type="cellIs" dxfId="1" priority="964" operator="greaterThan">
      <formula>120</formula>
    </cfRule>
    <cfRule type="containsText" dxfId="2" priority="108" operator="between" text="库存为">
      <formula>NOT(ISERROR(SEARCH("库存为",AU754)))</formula>
    </cfRule>
  </conditionalFormatting>
  <conditionalFormatting sqref="AU755">
    <cfRule type="cellIs" dxfId="0" priority="1819" operator="lessThan">
      <formula>20</formula>
    </cfRule>
    <cfRule type="cellIs" dxfId="1" priority="963" operator="greaterThan">
      <formula>120</formula>
    </cfRule>
    <cfRule type="containsText" dxfId="2" priority="107" operator="between" text="库存为">
      <formula>NOT(ISERROR(SEARCH("库存为",AU755)))</formula>
    </cfRule>
  </conditionalFormatting>
  <conditionalFormatting sqref="AU756">
    <cfRule type="cellIs" dxfId="0" priority="1818" operator="lessThan">
      <formula>20</formula>
    </cfRule>
    <cfRule type="cellIs" dxfId="1" priority="962" operator="greaterThan">
      <formula>120</formula>
    </cfRule>
    <cfRule type="containsText" dxfId="2" priority="106" operator="between" text="库存为">
      <formula>NOT(ISERROR(SEARCH("库存为",AU756)))</formula>
    </cfRule>
  </conditionalFormatting>
  <conditionalFormatting sqref="AU757">
    <cfRule type="cellIs" dxfId="0" priority="1817" operator="lessThan">
      <formula>20</formula>
    </cfRule>
    <cfRule type="cellIs" dxfId="1" priority="961" operator="greaterThan">
      <formula>120</formula>
    </cfRule>
    <cfRule type="containsText" dxfId="2" priority="105" operator="between" text="库存为">
      <formula>NOT(ISERROR(SEARCH("库存为",AU757)))</formula>
    </cfRule>
  </conditionalFormatting>
  <conditionalFormatting sqref="AU758">
    <cfRule type="cellIs" dxfId="0" priority="1816" operator="lessThan">
      <formula>20</formula>
    </cfRule>
    <cfRule type="cellIs" dxfId="1" priority="960" operator="greaterThan">
      <formula>120</formula>
    </cfRule>
    <cfRule type="containsText" dxfId="2" priority="104" operator="between" text="库存为">
      <formula>NOT(ISERROR(SEARCH("库存为",AU758)))</formula>
    </cfRule>
  </conditionalFormatting>
  <conditionalFormatting sqref="AU759">
    <cfRule type="cellIs" dxfId="0" priority="1815" operator="lessThan">
      <formula>20</formula>
    </cfRule>
    <cfRule type="cellIs" dxfId="1" priority="959" operator="greaterThan">
      <formula>120</formula>
    </cfRule>
    <cfRule type="containsText" dxfId="2" priority="103" operator="between" text="库存为">
      <formula>NOT(ISERROR(SEARCH("库存为",AU759)))</formula>
    </cfRule>
  </conditionalFormatting>
  <conditionalFormatting sqref="AU760">
    <cfRule type="cellIs" dxfId="0" priority="1814" operator="lessThan">
      <formula>20</formula>
    </cfRule>
    <cfRule type="cellIs" dxfId="1" priority="958" operator="greaterThan">
      <formula>120</formula>
    </cfRule>
    <cfRule type="containsText" dxfId="2" priority="102" operator="between" text="库存为">
      <formula>NOT(ISERROR(SEARCH("库存为",AU760)))</formula>
    </cfRule>
  </conditionalFormatting>
  <conditionalFormatting sqref="AU761">
    <cfRule type="cellIs" dxfId="0" priority="1813" operator="lessThan">
      <formula>20</formula>
    </cfRule>
    <cfRule type="cellIs" dxfId="1" priority="957" operator="greaterThan">
      <formula>120</formula>
    </cfRule>
    <cfRule type="containsText" dxfId="2" priority="101" operator="between" text="库存为">
      <formula>NOT(ISERROR(SEARCH("库存为",AU761)))</formula>
    </cfRule>
  </conditionalFormatting>
  <conditionalFormatting sqref="AU762">
    <cfRule type="cellIs" dxfId="0" priority="1812" operator="lessThan">
      <formula>20</formula>
    </cfRule>
    <cfRule type="cellIs" dxfId="1" priority="956" operator="greaterThan">
      <formula>120</formula>
    </cfRule>
    <cfRule type="containsText" dxfId="2" priority="100" operator="between" text="库存为">
      <formula>NOT(ISERROR(SEARCH("库存为",AU762)))</formula>
    </cfRule>
  </conditionalFormatting>
  <conditionalFormatting sqref="AU763">
    <cfRule type="cellIs" dxfId="0" priority="1811" operator="lessThan">
      <formula>20</formula>
    </cfRule>
    <cfRule type="cellIs" dxfId="1" priority="955" operator="greaterThan">
      <formula>120</formula>
    </cfRule>
    <cfRule type="containsText" dxfId="2" priority="99" operator="between" text="库存为">
      <formula>NOT(ISERROR(SEARCH("库存为",AU763)))</formula>
    </cfRule>
  </conditionalFormatting>
  <conditionalFormatting sqref="AU764">
    <cfRule type="cellIs" dxfId="0" priority="1810" operator="lessThan">
      <formula>20</formula>
    </cfRule>
    <cfRule type="cellIs" dxfId="1" priority="954" operator="greaterThan">
      <formula>120</formula>
    </cfRule>
    <cfRule type="containsText" dxfId="2" priority="98" operator="between" text="库存为">
      <formula>NOT(ISERROR(SEARCH("库存为",AU764)))</formula>
    </cfRule>
  </conditionalFormatting>
  <conditionalFormatting sqref="AU765">
    <cfRule type="cellIs" dxfId="0" priority="1809" operator="lessThan">
      <formula>20</formula>
    </cfRule>
    <cfRule type="cellIs" dxfId="1" priority="953" operator="greaterThan">
      <formula>120</formula>
    </cfRule>
    <cfRule type="containsText" dxfId="2" priority="97" operator="between" text="库存为">
      <formula>NOT(ISERROR(SEARCH("库存为",AU765)))</formula>
    </cfRule>
  </conditionalFormatting>
  <conditionalFormatting sqref="AU766">
    <cfRule type="cellIs" dxfId="0" priority="1808" operator="lessThan">
      <formula>20</formula>
    </cfRule>
    <cfRule type="cellIs" dxfId="1" priority="952" operator="greaterThan">
      <formula>120</formula>
    </cfRule>
    <cfRule type="containsText" dxfId="2" priority="96" operator="between" text="库存为">
      <formula>NOT(ISERROR(SEARCH("库存为",AU766)))</formula>
    </cfRule>
  </conditionalFormatting>
  <conditionalFormatting sqref="AU767">
    <cfRule type="cellIs" dxfId="0" priority="1807" operator="lessThan">
      <formula>20</formula>
    </cfRule>
    <cfRule type="cellIs" dxfId="1" priority="951" operator="greaterThan">
      <formula>120</formula>
    </cfRule>
    <cfRule type="containsText" dxfId="2" priority="95" operator="between" text="库存为">
      <formula>NOT(ISERROR(SEARCH("库存为",AU767)))</formula>
    </cfRule>
  </conditionalFormatting>
  <conditionalFormatting sqref="AU768">
    <cfRule type="cellIs" dxfId="0" priority="1806" operator="lessThan">
      <formula>20</formula>
    </cfRule>
    <cfRule type="cellIs" dxfId="1" priority="950" operator="greaterThan">
      <formula>120</formula>
    </cfRule>
    <cfRule type="containsText" dxfId="2" priority="94" operator="between" text="库存为">
      <formula>NOT(ISERROR(SEARCH("库存为",AU768)))</formula>
    </cfRule>
  </conditionalFormatting>
  <conditionalFormatting sqref="AU769">
    <cfRule type="cellIs" dxfId="0" priority="1805" operator="lessThan">
      <formula>20</formula>
    </cfRule>
    <cfRule type="cellIs" dxfId="1" priority="949" operator="greaterThan">
      <formula>120</formula>
    </cfRule>
    <cfRule type="containsText" dxfId="2" priority="93" operator="between" text="库存为">
      <formula>NOT(ISERROR(SEARCH("库存为",AU769)))</formula>
    </cfRule>
  </conditionalFormatting>
  <conditionalFormatting sqref="AU770">
    <cfRule type="cellIs" dxfId="0" priority="1804" operator="lessThan">
      <formula>20</formula>
    </cfRule>
    <cfRule type="cellIs" dxfId="1" priority="948" operator="greaterThan">
      <formula>120</formula>
    </cfRule>
    <cfRule type="containsText" dxfId="2" priority="92" operator="between" text="库存为">
      <formula>NOT(ISERROR(SEARCH("库存为",AU770)))</formula>
    </cfRule>
  </conditionalFormatting>
  <conditionalFormatting sqref="AU771">
    <cfRule type="cellIs" dxfId="0" priority="1803" operator="lessThan">
      <formula>20</formula>
    </cfRule>
    <cfRule type="cellIs" dxfId="1" priority="947" operator="greaterThan">
      <formula>120</formula>
    </cfRule>
    <cfRule type="containsText" dxfId="2" priority="91" operator="between" text="库存为">
      <formula>NOT(ISERROR(SEARCH("库存为",AU771)))</formula>
    </cfRule>
  </conditionalFormatting>
  <conditionalFormatting sqref="AU772">
    <cfRule type="cellIs" dxfId="0" priority="1802" operator="lessThan">
      <formula>20</formula>
    </cfRule>
    <cfRule type="cellIs" dxfId="1" priority="946" operator="greaterThan">
      <formula>120</formula>
    </cfRule>
    <cfRule type="containsText" dxfId="2" priority="90" operator="between" text="库存为">
      <formula>NOT(ISERROR(SEARCH("库存为",AU772)))</formula>
    </cfRule>
  </conditionalFormatting>
  <conditionalFormatting sqref="AU773">
    <cfRule type="cellIs" dxfId="0" priority="1801" operator="lessThan">
      <formula>20</formula>
    </cfRule>
    <cfRule type="cellIs" dxfId="1" priority="945" operator="greaterThan">
      <formula>120</formula>
    </cfRule>
    <cfRule type="containsText" dxfId="2" priority="89" operator="between" text="库存为">
      <formula>NOT(ISERROR(SEARCH("库存为",AU773)))</formula>
    </cfRule>
  </conditionalFormatting>
  <conditionalFormatting sqref="AU774">
    <cfRule type="cellIs" dxfId="0" priority="1800" operator="lessThan">
      <formula>20</formula>
    </cfRule>
    <cfRule type="cellIs" dxfId="1" priority="944" operator="greaterThan">
      <formula>120</formula>
    </cfRule>
    <cfRule type="containsText" dxfId="2" priority="88" operator="between" text="库存为">
      <formula>NOT(ISERROR(SEARCH("库存为",AU774)))</formula>
    </cfRule>
  </conditionalFormatting>
  <conditionalFormatting sqref="AU775">
    <cfRule type="cellIs" dxfId="0" priority="1799" operator="lessThan">
      <formula>20</formula>
    </cfRule>
    <cfRule type="cellIs" dxfId="1" priority="943" operator="greaterThan">
      <formula>120</formula>
    </cfRule>
    <cfRule type="containsText" dxfId="2" priority="87" operator="between" text="库存为">
      <formula>NOT(ISERROR(SEARCH("库存为",AU775)))</formula>
    </cfRule>
  </conditionalFormatting>
  <conditionalFormatting sqref="AU776">
    <cfRule type="cellIs" dxfId="0" priority="1798" operator="lessThan">
      <formula>20</formula>
    </cfRule>
    <cfRule type="cellIs" dxfId="1" priority="942" operator="greaterThan">
      <formula>120</formula>
    </cfRule>
    <cfRule type="containsText" dxfId="2" priority="86" operator="between" text="库存为">
      <formula>NOT(ISERROR(SEARCH("库存为",AU776)))</formula>
    </cfRule>
  </conditionalFormatting>
  <conditionalFormatting sqref="AU777">
    <cfRule type="cellIs" dxfId="0" priority="1797" operator="lessThan">
      <formula>20</formula>
    </cfRule>
    <cfRule type="cellIs" dxfId="1" priority="941" operator="greaterThan">
      <formula>120</formula>
    </cfRule>
    <cfRule type="containsText" dxfId="2" priority="85" operator="between" text="库存为">
      <formula>NOT(ISERROR(SEARCH("库存为",AU777)))</formula>
    </cfRule>
  </conditionalFormatting>
  <conditionalFormatting sqref="AU778">
    <cfRule type="cellIs" dxfId="0" priority="1796" operator="lessThan">
      <formula>20</formula>
    </cfRule>
    <cfRule type="cellIs" dxfId="1" priority="940" operator="greaterThan">
      <formula>120</formula>
    </cfRule>
    <cfRule type="containsText" dxfId="2" priority="84" operator="between" text="库存为">
      <formula>NOT(ISERROR(SEARCH("库存为",AU778)))</formula>
    </cfRule>
  </conditionalFormatting>
  <conditionalFormatting sqref="AU779">
    <cfRule type="cellIs" dxfId="0" priority="1795" operator="lessThan">
      <formula>20</formula>
    </cfRule>
    <cfRule type="cellIs" dxfId="1" priority="939" operator="greaterThan">
      <formula>120</formula>
    </cfRule>
    <cfRule type="containsText" dxfId="2" priority="83" operator="between" text="库存为">
      <formula>NOT(ISERROR(SEARCH("库存为",AU779)))</formula>
    </cfRule>
  </conditionalFormatting>
  <conditionalFormatting sqref="AU780">
    <cfRule type="cellIs" dxfId="0" priority="1794" operator="lessThan">
      <formula>20</formula>
    </cfRule>
    <cfRule type="cellIs" dxfId="1" priority="938" operator="greaterThan">
      <formula>120</formula>
    </cfRule>
    <cfRule type="containsText" dxfId="2" priority="82" operator="between" text="库存为">
      <formula>NOT(ISERROR(SEARCH("库存为",AU780)))</formula>
    </cfRule>
  </conditionalFormatting>
  <conditionalFormatting sqref="AU781">
    <cfRule type="cellIs" dxfId="0" priority="1793" operator="lessThan">
      <formula>20</formula>
    </cfRule>
    <cfRule type="cellIs" dxfId="1" priority="937" operator="greaterThan">
      <formula>120</formula>
    </cfRule>
    <cfRule type="containsText" dxfId="2" priority="81" operator="between" text="库存为">
      <formula>NOT(ISERROR(SEARCH("库存为",AU781)))</formula>
    </cfRule>
  </conditionalFormatting>
  <conditionalFormatting sqref="AU782">
    <cfRule type="cellIs" dxfId="0" priority="1792" operator="lessThan">
      <formula>20</formula>
    </cfRule>
    <cfRule type="cellIs" dxfId="1" priority="936" operator="greaterThan">
      <formula>120</formula>
    </cfRule>
    <cfRule type="containsText" dxfId="2" priority="80" operator="between" text="库存为">
      <formula>NOT(ISERROR(SEARCH("库存为",AU782)))</formula>
    </cfRule>
  </conditionalFormatting>
  <conditionalFormatting sqref="AU783">
    <cfRule type="cellIs" dxfId="0" priority="1791" operator="lessThan">
      <formula>20</formula>
    </cfRule>
    <cfRule type="cellIs" dxfId="1" priority="935" operator="greaterThan">
      <formula>120</formula>
    </cfRule>
    <cfRule type="containsText" dxfId="2" priority="79" operator="between" text="库存为">
      <formula>NOT(ISERROR(SEARCH("库存为",AU783)))</formula>
    </cfRule>
  </conditionalFormatting>
  <conditionalFormatting sqref="AU784">
    <cfRule type="cellIs" dxfId="0" priority="1790" operator="lessThan">
      <formula>20</formula>
    </cfRule>
    <cfRule type="cellIs" dxfId="1" priority="934" operator="greaterThan">
      <formula>120</formula>
    </cfRule>
    <cfRule type="containsText" dxfId="2" priority="78" operator="between" text="库存为">
      <formula>NOT(ISERROR(SEARCH("库存为",AU784)))</formula>
    </cfRule>
  </conditionalFormatting>
  <conditionalFormatting sqref="AU785">
    <cfRule type="cellIs" dxfId="0" priority="1789" operator="lessThan">
      <formula>20</formula>
    </cfRule>
    <cfRule type="cellIs" dxfId="1" priority="933" operator="greaterThan">
      <formula>120</formula>
    </cfRule>
    <cfRule type="containsText" dxfId="2" priority="77" operator="between" text="库存为">
      <formula>NOT(ISERROR(SEARCH("库存为",AU785)))</formula>
    </cfRule>
  </conditionalFormatting>
  <conditionalFormatting sqref="AU786">
    <cfRule type="cellIs" dxfId="0" priority="1788" operator="lessThan">
      <formula>20</formula>
    </cfRule>
    <cfRule type="cellIs" dxfId="1" priority="932" operator="greaterThan">
      <formula>120</formula>
    </cfRule>
    <cfRule type="containsText" dxfId="2" priority="76" operator="between" text="库存为">
      <formula>NOT(ISERROR(SEARCH("库存为",AU786)))</formula>
    </cfRule>
  </conditionalFormatting>
  <conditionalFormatting sqref="AU787">
    <cfRule type="cellIs" dxfId="0" priority="1787" operator="lessThan">
      <formula>20</formula>
    </cfRule>
    <cfRule type="cellIs" dxfId="1" priority="931" operator="greaterThan">
      <formula>120</formula>
    </cfRule>
    <cfRule type="containsText" dxfId="2" priority="75" operator="between" text="库存为">
      <formula>NOT(ISERROR(SEARCH("库存为",AU787)))</formula>
    </cfRule>
  </conditionalFormatting>
  <conditionalFormatting sqref="AU788">
    <cfRule type="cellIs" dxfId="0" priority="1786" operator="lessThan">
      <formula>20</formula>
    </cfRule>
    <cfRule type="cellIs" dxfId="1" priority="930" operator="greaterThan">
      <formula>120</formula>
    </cfRule>
    <cfRule type="containsText" dxfId="2" priority="74" operator="between" text="库存为">
      <formula>NOT(ISERROR(SEARCH("库存为",AU788)))</formula>
    </cfRule>
  </conditionalFormatting>
  <conditionalFormatting sqref="AU789">
    <cfRule type="cellIs" dxfId="0" priority="1785" operator="lessThan">
      <formula>20</formula>
    </cfRule>
    <cfRule type="cellIs" dxfId="1" priority="929" operator="greaterThan">
      <formula>120</formula>
    </cfRule>
    <cfRule type="containsText" dxfId="2" priority="73" operator="between" text="库存为">
      <formula>NOT(ISERROR(SEARCH("库存为",AU789)))</formula>
    </cfRule>
  </conditionalFormatting>
  <conditionalFormatting sqref="AU790">
    <cfRule type="cellIs" dxfId="0" priority="1784" operator="lessThan">
      <formula>20</formula>
    </cfRule>
    <cfRule type="cellIs" dxfId="1" priority="928" operator="greaterThan">
      <formula>120</formula>
    </cfRule>
    <cfRule type="containsText" dxfId="2" priority="72" operator="between" text="库存为">
      <formula>NOT(ISERROR(SEARCH("库存为",AU790)))</formula>
    </cfRule>
  </conditionalFormatting>
  <conditionalFormatting sqref="AU791">
    <cfRule type="cellIs" dxfId="0" priority="1783" operator="lessThan">
      <formula>20</formula>
    </cfRule>
    <cfRule type="cellIs" dxfId="1" priority="927" operator="greaterThan">
      <formula>120</formula>
    </cfRule>
    <cfRule type="containsText" dxfId="2" priority="71" operator="between" text="库存为">
      <formula>NOT(ISERROR(SEARCH("库存为",AU791)))</formula>
    </cfRule>
  </conditionalFormatting>
  <conditionalFormatting sqref="AU792">
    <cfRule type="cellIs" dxfId="0" priority="1782" operator="lessThan">
      <formula>20</formula>
    </cfRule>
    <cfRule type="cellIs" dxfId="1" priority="926" operator="greaterThan">
      <formula>120</formula>
    </cfRule>
    <cfRule type="containsText" dxfId="2" priority="70" operator="between" text="库存为">
      <formula>NOT(ISERROR(SEARCH("库存为",AU792)))</formula>
    </cfRule>
  </conditionalFormatting>
  <conditionalFormatting sqref="AU793">
    <cfRule type="cellIs" dxfId="0" priority="1781" operator="lessThan">
      <formula>20</formula>
    </cfRule>
    <cfRule type="cellIs" dxfId="1" priority="925" operator="greaterThan">
      <formula>120</formula>
    </cfRule>
    <cfRule type="containsText" dxfId="2" priority="69" operator="between" text="库存为">
      <formula>NOT(ISERROR(SEARCH("库存为",AU793)))</formula>
    </cfRule>
  </conditionalFormatting>
  <conditionalFormatting sqref="AU794">
    <cfRule type="cellIs" dxfId="0" priority="1780" operator="lessThan">
      <formula>20</formula>
    </cfRule>
    <cfRule type="cellIs" dxfId="1" priority="924" operator="greaterThan">
      <formula>120</formula>
    </cfRule>
    <cfRule type="containsText" dxfId="2" priority="68" operator="between" text="库存为">
      <formula>NOT(ISERROR(SEARCH("库存为",AU794)))</formula>
    </cfRule>
  </conditionalFormatting>
  <conditionalFormatting sqref="AU795">
    <cfRule type="cellIs" dxfId="0" priority="1779" operator="lessThan">
      <formula>20</formula>
    </cfRule>
    <cfRule type="cellIs" dxfId="1" priority="923" operator="greaterThan">
      <formula>120</formula>
    </cfRule>
    <cfRule type="containsText" dxfId="2" priority="67" operator="between" text="库存为">
      <formula>NOT(ISERROR(SEARCH("库存为",AU795)))</formula>
    </cfRule>
  </conditionalFormatting>
  <conditionalFormatting sqref="AU796">
    <cfRule type="cellIs" dxfId="0" priority="1778" operator="lessThan">
      <formula>20</formula>
    </cfRule>
    <cfRule type="cellIs" dxfId="1" priority="922" operator="greaterThan">
      <formula>120</formula>
    </cfRule>
    <cfRule type="containsText" dxfId="2" priority="66" operator="between" text="库存为">
      <formula>NOT(ISERROR(SEARCH("库存为",AU796)))</formula>
    </cfRule>
  </conditionalFormatting>
  <conditionalFormatting sqref="AU797">
    <cfRule type="cellIs" dxfId="0" priority="1777" operator="lessThan">
      <formula>20</formula>
    </cfRule>
    <cfRule type="cellIs" dxfId="1" priority="921" operator="greaterThan">
      <formula>120</formula>
    </cfRule>
    <cfRule type="containsText" dxfId="2" priority="65" operator="between" text="库存为">
      <formula>NOT(ISERROR(SEARCH("库存为",AU797)))</formula>
    </cfRule>
  </conditionalFormatting>
  <conditionalFormatting sqref="AU798">
    <cfRule type="cellIs" dxfId="0" priority="1776" operator="lessThan">
      <formula>20</formula>
    </cfRule>
    <cfRule type="cellIs" dxfId="1" priority="920" operator="greaterThan">
      <formula>120</formula>
    </cfRule>
    <cfRule type="containsText" dxfId="2" priority="64" operator="between" text="库存为">
      <formula>NOT(ISERROR(SEARCH("库存为",AU798)))</formula>
    </cfRule>
  </conditionalFormatting>
  <conditionalFormatting sqref="AU799">
    <cfRule type="cellIs" dxfId="0" priority="1775" operator="lessThan">
      <formula>20</formula>
    </cfRule>
    <cfRule type="cellIs" dxfId="1" priority="919" operator="greaterThan">
      <formula>120</formula>
    </cfRule>
    <cfRule type="containsText" dxfId="2" priority="63" operator="between" text="库存为">
      <formula>NOT(ISERROR(SEARCH("库存为",AU799)))</formula>
    </cfRule>
  </conditionalFormatting>
  <conditionalFormatting sqref="AU800">
    <cfRule type="cellIs" dxfId="0" priority="1774" operator="lessThan">
      <formula>20</formula>
    </cfRule>
    <cfRule type="cellIs" dxfId="1" priority="918" operator="greaterThan">
      <formula>120</formula>
    </cfRule>
    <cfRule type="containsText" dxfId="2" priority="62" operator="between" text="库存为">
      <formula>NOT(ISERROR(SEARCH("库存为",AU800)))</formula>
    </cfRule>
  </conditionalFormatting>
  <conditionalFormatting sqref="AU801">
    <cfRule type="cellIs" dxfId="0" priority="1773" operator="lessThan">
      <formula>20</formula>
    </cfRule>
    <cfRule type="cellIs" dxfId="1" priority="917" operator="greaterThan">
      <formula>120</formula>
    </cfRule>
    <cfRule type="containsText" dxfId="2" priority="61" operator="between" text="库存为">
      <formula>NOT(ISERROR(SEARCH("库存为",AU801)))</formula>
    </cfRule>
  </conditionalFormatting>
  <conditionalFormatting sqref="AU802">
    <cfRule type="cellIs" dxfId="0" priority="1772" operator="lessThan">
      <formula>20</formula>
    </cfRule>
    <cfRule type="cellIs" dxfId="1" priority="916" operator="greaterThan">
      <formula>120</formula>
    </cfRule>
    <cfRule type="containsText" dxfId="2" priority="60" operator="between" text="库存为">
      <formula>NOT(ISERROR(SEARCH("库存为",AU802)))</formula>
    </cfRule>
  </conditionalFormatting>
  <conditionalFormatting sqref="AU803">
    <cfRule type="cellIs" dxfId="0" priority="1771" operator="lessThan">
      <formula>20</formula>
    </cfRule>
    <cfRule type="cellIs" dxfId="1" priority="915" operator="greaterThan">
      <formula>120</formula>
    </cfRule>
    <cfRule type="containsText" dxfId="2" priority="59" operator="between" text="库存为">
      <formula>NOT(ISERROR(SEARCH("库存为",AU803)))</formula>
    </cfRule>
  </conditionalFormatting>
  <conditionalFormatting sqref="AU804">
    <cfRule type="cellIs" dxfId="0" priority="1770" operator="lessThan">
      <formula>20</formula>
    </cfRule>
    <cfRule type="cellIs" dxfId="1" priority="914" operator="greaterThan">
      <formula>120</formula>
    </cfRule>
    <cfRule type="containsText" dxfId="2" priority="58" operator="between" text="库存为">
      <formula>NOT(ISERROR(SEARCH("库存为",AU804)))</formula>
    </cfRule>
  </conditionalFormatting>
  <conditionalFormatting sqref="AU805">
    <cfRule type="cellIs" dxfId="0" priority="1769" operator="lessThan">
      <formula>20</formula>
    </cfRule>
    <cfRule type="cellIs" dxfId="1" priority="913" operator="greaterThan">
      <formula>120</formula>
    </cfRule>
    <cfRule type="containsText" dxfId="2" priority="57" operator="between" text="库存为">
      <formula>NOT(ISERROR(SEARCH("库存为",AU805)))</formula>
    </cfRule>
  </conditionalFormatting>
  <conditionalFormatting sqref="AU806">
    <cfRule type="cellIs" dxfId="0" priority="1768" operator="lessThan">
      <formula>20</formula>
    </cfRule>
    <cfRule type="cellIs" dxfId="1" priority="912" operator="greaterThan">
      <formula>120</formula>
    </cfRule>
    <cfRule type="containsText" dxfId="2" priority="56" operator="between" text="库存为">
      <formula>NOT(ISERROR(SEARCH("库存为",AU806)))</formula>
    </cfRule>
  </conditionalFormatting>
  <conditionalFormatting sqref="AU807">
    <cfRule type="cellIs" dxfId="0" priority="1767" operator="lessThan">
      <formula>20</formula>
    </cfRule>
    <cfRule type="cellIs" dxfId="1" priority="911" operator="greaterThan">
      <formula>120</formula>
    </cfRule>
    <cfRule type="containsText" dxfId="2" priority="55" operator="between" text="库存为">
      <formula>NOT(ISERROR(SEARCH("库存为",AU807)))</formula>
    </cfRule>
  </conditionalFormatting>
  <conditionalFormatting sqref="AU808">
    <cfRule type="cellIs" dxfId="0" priority="1766" operator="lessThan">
      <formula>20</formula>
    </cfRule>
    <cfRule type="cellIs" dxfId="1" priority="910" operator="greaterThan">
      <formula>120</formula>
    </cfRule>
    <cfRule type="containsText" dxfId="2" priority="54" operator="between" text="库存为">
      <formula>NOT(ISERROR(SEARCH("库存为",AU808)))</formula>
    </cfRule>
  </conditionalFormatting>
  <conditionalFormatting sqref="AU809">
    <cfRule type="cellIs" dxfId="0" priority="1765" operator="lessThan">
      <formula>20</formula>
    </cfRule>
    <cfRule type="cellIs" dxfId="1" priority="909" operator="greaterThan">
      <formula>120</formula>
    </cfRule>
    <cfRule type="containsText" dxfId="2" priority="53" operator="between" text="库存为">
      <formula>NOT(ISERROR(SEARCH("库存为",AU809)))</formula>
    </cfRule>
  </conditionalFormatting>
  <conditionalFormatting sqref="AU810">
    <cfRule type="cellIs" dxfId="0" priority="1764" operator="lessThan">
      <formula>20</formula>
    </cfRule>
    <cfRule type="cellIs" dxfId="1" priority="908" operator="greaterThan">
      <formula>120</formula>
    </cfRule>
    <cfRule type="containsText" dxfId="2" priority="52" operator="between" text="库存为">
      <formula>NOT(ISERROR(SEARCH("库存为",AU810)))</formula>
    </cfRule>
  </conditionalFormatting>
  <conditionalFormatting sqref="AU811">
    <cfRule type="cellIs" dxfId="0" priority="1763" operator="lessThan">
      <formula>20</formula>
    </cfRule>
    <cfRule type="cellIs" dxfId="1" priority="907" operator="greaterThan">
      <formula>120</formula>
    </cfRule>
    <cfRule type="containsText" dxfId="2" priority="51" operator="between" text="库存为">
      <formula>NOT(ISERROR(SEARCH("库存为",AU811)))</formula>
    </cfRule>
  </conditionalFormatting>
  <conditionalFormatting sqref="AU812">
    <cfRule type="cellIs" dxfId="0" priority="1762" operator="lessThan">
      <formula>20</formula>
    </cfRule>
    <cfRule type="cellIs" dxfId="1" priority="906" operator="greaterThan">
      <formula>120</formula>
    </cfRule>
    <cfRule type="containsText" dxfId="2" priority="50" operator="between" text="库存为">
      <formula>NOT(ISERROR(SEARCH("库存为",AU812)))</formula>
    </cfRule>
  </conditionalFormatting>
  <conditionalFormatting sqref="AU813">
    <cfRule type="cellIs" dxfId="0" priority="1761" operator="lessThan">
      <formula>20</formula>
    </cfRule>
    <cfRule type="cellIs" dxfId="1" priority="905" operator="greaterThan">
      <formula>120</formula>
    </cfRule>
    <cfRule type="containsText" dxfId="2" priority="49" operator="between" text="库存为">
      <formula>NOT(ISERROR(SEARCH("库存为",AU813)))</formula>
    </cfRule>
  </conditionalFormatting>
  <conditionalFormatting sqref="AU814">
    <cfRule type="cellIs" dxfId="0" priority="1760" operator="lessThan">
      <formula>20</formula>
    </cfRule>
    <cfRule type="cellIs" dxfId="1" priority="904" operator="greaterThan">
      <formula>120</formula>
    </cfRule>
    <cfRule type="containsText" dxfId="2" priority="48" operator="between" text="库存为">
      <formula>NOT(ISERROR(SEARCH("库存为",AU814)))</formula>
    </cfRule>
  </conditionalFormatting>
  <conditionalFormatting sqref="AU815">
    <cfRule type="cellIs" dxfId="0" priority="1759" operator="lessThan">
      <formula>20</formula>
    </cfRule>
    <cfRule type="cellIs" dxfId="1" priority="903" operator="greaterThan">
      <formula>120</formula>
    </cfRule>
    <cfRule type="containsText" dxfId="2" priority="47" operator="between" text="库存为">
      <formula>NOT(ISERROR(SEARCH("库存为",AU815)))</formula>
    </cfRule>
  </conditionalFormatting>
  <conditionalFormatting sqref="AU816">
    <cfRule type="cellIs" dxfId="0" priority="1758" operator="lessThan">
      <formula>20</formula>
    </cfRule>
    <cfRule type="cellIs" dxfId="1" priority="902" operator="greaterThan">
      <formula>120</formula>
    </cfRule>
    <cfRule type="containsText" dxfId="2" priority="46" operator="between" text="库存为">
      <formula>NOT(ISERROR(SEARCH("库存为",AU816)))</formula>
    </cfRule>
  </conditionalFormatting>
  <conditionalFormatting sqref="AU817">
    <cfRule type="cellIs" dxfId="0" priority="1757" operator="lessThan">
      <formula>20</formula>
    </cfRule>
    <cfRule type="cellIs" dxfId="1" priority="901" operator="greaterThan">
      <formula>120</formula>
    </cfRule>
    <cfRule type="containsText" dxfId="2" priority="45" operator="between" text="库存为">
      <formula>NOT(ISERROR(SEARCH("库存为",AU817)))</formula>
    </cfRule>
  </conditionalFormatting>
  <conditionalFormatting sqref="AU818">
    <cfRule type="cellIs" dxfId="0" priority="1756" operator="lessThan">
      <formula>20</formula>
    </cfRule>
    <cfRule type="cellIs" dxfId="1" priority="900" operator="greaterThan">
      <formula>120</formula>
    </cfRule>
    <cfRule type="containsText" dxfId="2" priority="44" operator="between" text="库存为">
      <formula>NOT(ISERROR(SEARCH("库存为",AU818)))</formula>
    </cfRule>
  </conditionalFormatting>
  <conditionalFormatting sqref="AU819">
    <cfRule type="cellIs" dxfId="0" priority="1755" operator="lessThan">
      <formula>20</formula>
    </cfRule>
    <cfRule type="cellIs" dxfId="1" priority="899" operator="greaterThan">
      <formula>120</formula>
    </cfRule>
    <cfRule type="containsText" dxfId="2" priority="43" operator="between" text="库存为">
      <formula>NOT(ISERROR(SEARCH("库存为",AU819)))</formula>
    </cfRule>
  </conditionalFormatting>
  <conditionalFormatting sqref="AU820">
    <cfRule type="cellIs" dxfId="0" priority="1754" operator="lessThan">
      <formula>20</formula>
    </cfRule>
    <cfRule type="cellIs" dxfId="1" priority="898" operator="greaterThan">
      <formula>120</formula>
    </cfRule>
    <cfRule type="containsText" dxfId="2" priority="42" operator="between" text="库存为">
      <formula>NOT(ISERROR(SEARCH("库存为",AU820)))</formula>
    </cfRule>
  </conditionalFormatting>
  <conditionalFormatting sqref="AU821">
    <cfRule type="cellIs" dxfId="0" priority="1753" operator="lessThan">
      <formula>20</formula>
    </cfRule>
    <cfRule type="cellIs" dxfId="1" priority="897" operator="greaterThan">
      <formula>120</formula>
    </cfRule>
    <cfRule type="containsText" dxfId="2" priority="41" operator="between" text="库存为">
      <formula>NOT(ISERROR(SEARCH("库存为",AU821)))</formula>
    </cfRule>
  </conditionalFormatting>
  <conditionalFormatting sqref="AU822">
    <cfRule type="cellIs" dxfId="0" priority="1752" operator="lessThan">
      <formula>20</formula>
    </cfRule>
    <cfRule type="cellIs" dxfId="1" priority="896" operator="greaterThan">
      <formula>120</formula>
    </cfRule>
    <cfRule type="containsText" dxfId="2" priority="40" operator="between" text="库存为">
      <formula>NOT(ISERROR(SEARCH("库存为",AU822)))</formula>
    </cfRule>
  </conditionalFormatting>
  <conditionalFormatting sqref="AU823">
    <cfRule type="cellIs" dxfId="0" priority="1751" operator="lessThan">
      <formula>20</formula>
    </cfRule>
    <cfRule type="cellIs" dxfId="1" priority="895" operator="greaterThan">
      <formula>120</formula>
    </cfRule>
    <cfRule type="containsText" dxfId="2" priority="39" operator="between" text="库存为">
      <formula>NOT(ISERROR(SEARCH("库存为",AU823)))</formula>
    </cfRule>
  </conditionalFormatting>
  <conditionalFormatting sqref="AU824">
    <cfRule type="cellIs" dxfId="0" priority="1750" operator="lessThan">
      <formula>20</formula>
    </cfRule>
    <cfRule type="cellIs" dxfId="1" priority="894" operator="greaterThan">
      <formula>120</formula>
    </cfRule>
    <cfRule type="containsText" dxfId="2" priority="38" operator="between" text="库存为">
      <formula>NOT(ISERROR(SEARCH("库存为",AU824)))</formula>
    </cfRule>
  </conditionalFormatting>
  <conditionalFormatting sqref="AU825">
    <cfRule type="cellIs" dxfId="0" priority="1749" operator="lessThan">
      <formula>20</formula>
    </cfRule>
    <cfRule type="cellIs" dxfId="1" priority="893" operator="greaterThan">
      <formula>120</formula>
    </cfRule>
    <cfRule type="containsText" dxfId="2" priority="37" operator="between" text="库存为">
      <formula>NOT(ISERROR(SEARCH("库存为",AU825)))</formula>
    </cfRule>
  </conditionalFormatting>
  <conditionalFormatting sqref="AU826">
    <cfRule type="cellIs" dxfId="0" priority="1748" operator="lessThan">
      <formula>20</formula>
    </cfRule>
    <cfRule type="cellIs" dxfId="1" priority="892" operator="greaterThan">
      <formula>120</formula>
    </cfRule>
    <cfRule type="containsText" dxfId="2" priority="36" operator="between" text="库存为">
      <formula>NOT(ISERROR(SEARCH("库存为",AU826)))</formula>
    </cfRule>
  </conditionalFormatting>
  <conditionalFormatting sqref="AU827">
    <cfRule type="cellIs" dxfId="0" priority="1747" operator="lessThan">
      <formula>20</formula>
    </cfRule>
    <cfRule type="cellIs" dxfId="1" priority="891" operator="greaterThan">
      <formula>120</formula>
    </cfRule>
    <cfRule type="containsText" dxfId="2" priority="35" operator="between" text="库存为">
      <formula>NOT(ISERROR(SEARCH("库存为",AU827)))</formula>
    </cfRule>
  </conditionalFormatting>
  <conditionalFormatting sqref="AU828">
    <cfRule type="cellIs" dxfId="0" priority="1746" operator="lessThan">
      <formula>20</formula>
    </cfRule>
    <cfRule type="cellIs" dxfId="1" priority="890" operator="greaterThan">
      <formula>120</formula>
    </cfRule>
    <cfRule type="containsText" dxfId="2" priority="34" operator="between" text="库存为">
      <formula>NOT(ISERROR(SEARCH("库存为",AU828)))</formula>
    </cfRule>
  </conditionalFormatting>
  <conditionalFormatting sqref="AU829">
    <cfRule type="cellIs" dxfId="0" priority="1745" operator="lessThan">
      <formula>20</formula>
    </cfRule>
    <cfRule type="cellIs" dxfId="1" priority="889" operator="greaterThan">
      <formula>120</formula>
    </cfRule>
    <cfRule type="containsText" dxfId="2" priority="33" operator="between" text="库存为">
      <formula>NOT(ISERROR(SEARCH("库存为",AU829)))</formula>
    </cfRule>
  </conditionalFormatting>
  <conditionalFormatting sqref="AU830">
    <cfRule type="cellIs" dxfId="0" priority="1744" operator="lessThan">
      <formula>20</formula>
    </cfRule>
    <cfRule type="cellIs" dxfId="1" priority="888" operator="greaterThan">
      <formula>120</formula>
    </cfRule>
    <cfRule type="containsText" dxfId="2" priority="32" operator="between" text="库存为">
      <formula>NOT(ISERROR(SEARCH("库存为",AU830)))</formula>
    </cfRule>
  </conditionalFormatting>
  <conditionalFormatting sqref="AU831">
    <cfRule type="cellIs" dxfId="0" priority="1743" operator="lessThan">
      <formula>20</formula>
    </cfRule>
    <cfRule type="cellIs" dxfId="1" priority="887" operator="greaterThan">
      <formula>120</formula>
    </cfRule>
    <cfRule type="containsText" dxfId="2" priority="31" operator="between" text="库存为">
      <formula>NOT(ISERROR(SEARCH("库存为",AU831)))</formula>
    </cfRule>
  </conditionalFormatting>
  <conditionalFormatting sqref="AU832">
    <cfRule type="cellIs" dxfId="0" priority="1742" operator="lessThan">
      <formula>20</formula>
    </cfRule>
    <cfRule type="cellIs" dxfId="1" priority="886" operator="greaterThan">
      <formula>120</formula>
    </cfRule>
    <cfRule type="containsText" dxfId="2" priority="30" operator="between" text="库存为">
      <formula>NOT(ISERROR(SEARCH("库存为",AU832)))</formula>
    </cfRule>
  </conditionalFormatting>
  <conditionalFormatting sqref="AU833">
    <cfRule type="cellIs" dxfId="0" priority="1741" operator="lessThan">
      <formula>20</formula>
    </cfRule>
    <cfRule type="cellIs" dxfId="1" priority="885" operator="greaterThan">
      <formula>120</formula>
    </cfRule>
    <cfRule type="containsText" dxfId="2" priority="29" operator="between" text="库存为">
      <formula>NOT(ISERROR(SEARCH("库存为",AU833)))</formula>
    </cfRule>
  </conditionalFormatting>
  <conditionalFormatting sqref="AU834">
    <cfRule type="cellIs" dxfId="0" priority="1740" operator="lessThan">
      <formula>20</formula>
    </cfRule>
    <cfRule type="cellIs" dxfId="1" priority="884" operator="greaterThan">
      <formula>120</formula>
    </cfRule>
    <cfRule type="containsText" dxfId="2" priority="28" operator="between" text="库存为">
      <formula>NOT(ISERROR(SEARCH("库存为",AU834)))</formula>
    </cfRule>
  </conditionalFormatting>
  <conditionalFormatting sqref="AU835">
    <cfRule type="cellIs" dxfId="0" priority="1739" operator="lessThan">
      <formula>20</formula>
    </cfRule>
    <cfRule type="cellIs" dxfId="1" priority="883" operator="greaterThan">
      <formula>120</formula>
    </cfRule>
    <cfRule type="containsText" dxfId="2" priority="27" operator="between" text="库存为">
      <formula>NOT(ISERROR(SEARCH("库存为",AU835)))</formula>
    </cfRule>
  </conditionalFormatting>
  <conditionalFormatting sqref="AU836">
    <cfRule type="cellIs" dxfId="0" priority="1738" operator="lessThan">
      <formula>20</formula>
    </cfRule>
    <cfRule type="cellIs" dxfId="1" priority="882" operator="greaterThan">
      <formula>120</formula>
    </cfRule>
    <cfRule type="containsText" dxfId="2" priority="26" operator="between" text="库存为">
      <formula>NOT(ISERROR(SEARCH("库存为",AU836)))</formula>
    </cfRule>
  </conditionalFormatting>
  <conditionalFormatting sqref="AU837">
    <cfRule type="cellIs" dxfId="0" priority="1737" operator="lessThan">
      <formula>20</formula>
    </cfRule>
    <cfRule type="cellIs" dxfId="1" priority="881" operator="greaterThan">
      <formula>120</formula>
    </cfRule>
    <cfRule type="containsText" dxfId="2" priority="25" operator="between" text="库存为">
      <formula>NOT(ISERROR(SEARCH("库存为",AU837)))</formula>
    </cfRule>
  </conditionalFormatting>
  <conditionalFormatting sqref="AU838">
    <cfRule type="cellIs" dxfId="0" priority="1736" operator="lessThan">
      <formula>20</formula>
    </cfRule>
    <cfRule type="cellIs" dxfId="1" priority="880" operator="greaterThan">
      <formula>120</formula>
    </cfRule>
    <cfRule type="containsText" dxfId="2" priority="24" operator="between" text="库存为">
      <formula>NOT(ISERROR(SEARCH("库存为",AU838)))</formula>
    </cfRule>
  </conditionalFormatting>
  <conditionalFormatting sqref="AU839">
    <cfRule type="cellIs" dxfId="0" priority="1735" operator="lessThan">
      <formula>20</formula>
    </cfRule>
    <cfRule type="cellIs" dxfId="1" priority="879" operator="greaterThan">
      <formula>120</formula>
    </cfRule>
    <cfRule type="containsText" dxfId="2" priority="23" operator="between" text="库存为">
      <formula>NOT(ISERROR(SEARCH("库存为",AU839)))</formula>
    </cfRule>
  </conditionalFormatting>
  <conditionalFormatting sqref="AU840">
    <cfRule type="cellIs" dxfId="0" priority="1734" operator="lessThan">
      <formula>20</formula>
    </cfRule>
    <cfRule type="cellIs" dxfId="1" priority="878" operator="greaterThan">
      <formula>120</formula>
    </cfRule>
    <cfRule type="containsText" dxfId="2" priority="22" operator="between" text="库存为">
      <formula>NOT(ISERROR(SEARCH("库存为",AU840)))</formula>
    </cfRule>
  </conditionalFormatting>
  <conditionalFormatting sqref="AU841">
    <cfRule type="cellIs" dxfId="0" priority="1733" operator="lessThan">
      <formula>20</formula>
    </cfRule>
    <cfRule type="cellIs" dxfId="1" priority="877" operator="greaterThan">
      <formula>120</formula>
    </cfRule>
    <cfRule type="containsText" dxfId="2" priority="21" operator="between" text="库存为">
      <formula>NOT(ISERROR(SEARCH("库存为",AU841)))</formula>
    </cfRule>
  </conditionalFormatting>
  <conditionalFormatting sqref="AU842">
    <cfRule type="cellIs" dxfId="0" priority="1732" operator="lessThan">
      <formula>20</formula>
    </cfRule>
    <cfRule type="cellIs" dxfId="1" priority="876" operator="greaterThan">
      <formula>120</formula>
    </cfRule>
    <cfRule type="containsText" dxfId="2" priority="20" operator="between" text="库存为">
      <formula>NOT(ISERROR(SEARCH("库存为",AU842)))</formula>
    </cfRule>
  </conditionalFormatting>
  <conditionalFormatting sqref="AU843">
    <cfRule type="cellIs" dxfId="0" priority="1731" operator="lessThan">
      <formula>20</formula>
    </cfRule>
    <cfRule type="cellIs" dxfId="1" priority="875" operator="greaterThan">
      <formula>120</formula>
    </cfRule>
    <cfRule type="containsText" dxfId="2" priority="19" operator="between" text="库存为">
      <formula>NOT(ISERROR(SEARCH("库存为",AU843)))</formula>
    </cfRule>
  </conditionalFormatting>
  <conditionalFormatting sqref="AU844">
    <cfRule type="cellIs" dxfId="0" priority="1730" operator="lessThan">
      <formula>20</formula>
    </cfRule>
    <cfRule type="cellIs" dxfId="1" priority="874" operator="greaterThan">
      <formula>120</formula>
    </cfRule>
    <cfRule type="containsText" dxfId="2" priority="18" operator="between" text="库存为">
      <formula>NOT(ISERROR(SEARCH("库存为",AU844)))</formula>
    </cfRule>
  </conditionalFormatting>
  <conditionalFormatting sqref="AU845">
    <cfRule type="cellIs" dxfId="0" priority="1729" operator="lessThan">
      <formula>20</formula>
    </cfRule>
    <cfRule type="cellIs" dxfId="1" priority="873" operator="greaterThan">
      <formula>120</formula>
    </cfRule>
    <cfRule type="containsText" dxfId="2" priority="17" operator="between" text="库存为">
      <formula>NOT(ISERROR(SEARCH("库存为",AU845)))</formula>
    </cfRule>
  </conditionalFormatting>
  <conditionalFormatting sqref="AU846">
    <cfRule type="cellIs" dxfId="0" priority="1728" operator="lessThan">
      <formula>20</formula>
    </cfRule>
    <cfRule type="cellIs" dxfId="1" priority="872" operator="greaterThan">
      <formula>120</formula>
    </cfRule>
    <cfRule type="containsText" dxfId="2" priority="16" operator="between" text="库存为">
      <formula>NOT(ISERROR(SEARCH("库存为",AU846)))</formula>
    </cfRule>
  </conditionalFormatting>
  <conditionalFormatting sqref="AU847">
    <cfRule type="cellIs" dxfId="0" priority="1727" operator="lessThan">
      <formula>20</formula>
    </cfRule>
    <cfRule type="cellIs" dxfId="1" priority="871" operator="greaterThan">
      <formula>120</formula>
    </cfRule>
    <cfRule type="containsText" dxfId="2" priority="15" operator="between" text="库存为">
      <formula>NOT(ISERROR(SEARCH("库存为",AU847)))</formula>
    </cfRule>
  </conditionalFormatting>
  <conditionalFormatting sqref="AU848">
    <cfRule type="cellIs" dxfId="0" priority="1726" operator="lessThan">
      <formula>20</formula>
    </cfRule>
    <cfRule type="cellIs" dxfId="1" priority="870" operator="greaterThan">
      <formula>120</formula>
    </cfRule>
    <cfRule type="containsText" dxfId="2" priority="14" operator="between" text="库存为">
      <formula>NOT(ISERROR(SEARCH("库存为",AU848)))</formula>
    </cfRule>
  </conditionalFormatting>
  <conditionalFormatting sqref="AU849">
    <cfRule type="cellIs" dxfId="0" priority="1725" operator="lessThan">
      <formula>20</formula>
    </cfRule>
    <cfRule type="cellIs" dxfId="1" priority="869" operator="greaterThan">
      <formula>120</formula>
    </cfRule>
    <cfRule type="containsText" dxfId="2" priority="13" operator="between" text="库存为">
      <formula>NOT(ISERROR(SEARCH("库存为",AU849)))</formula>
    </cfRule>
  </conditionalFormatting>
  <conditionalFormatting sqref="AU850">
    <cfRule type="cellIs" dxfId="0" priority="1724" operator="lessThan">
      <formula>20</formula>
    </cfRule>
    <cfRule type="cellIs" dxfId="1" priority="868" operator="greaterThan">
      <formula>120</formula>
    </cfRule>
    <cfRule type="containsText" dxfId="2" priority="12" operator="between" text="库存为">
      <formula>NOT(ISERROR(SEARCH("库存为",AU850)))</formula>
    </cfRule>
  </conditionalFormatting>
  <conditionalFormatting sqref="AU851">
    <cfRule type="cellIs" dxfId="0" priority="1723" operator="lessThan">
      <formula>20</formula>
    </cfRule>
    <cfRule type="cellIs" dxfId="1" priority="867" operator="greaterThan">
      <formula>120</formula>
    </cfRule>
    <cfRule type="containsText" dxfId="2" priority="11" operator="between" text="库存为">
      <formula>NOT(ISERROR(SEARCH("库存为",AU851)))</formula>
    </cfRule>
  </conditionalFormatting>
  <conditionalFormatting sqref="AU852">
    <cfRule type="cellIs" dxfId="0" priority="1722" operator="lessThan">
      <formula>20</formula>
    </cfRule>
    <cfRule type="cellIs" dxfId="1" priority="866" operator="greaterThan">
      <formula>120</formula>
    </cfRule>
    <cfRule type="containsText" dxfId="2" priority="10" operator="between" text="库存为">
      <formula>NOT(ISERROR(SEARCH("库存为",AU852)))</formula>
    </cfRule>
  </conditionalFormatting>
  <conditionalFormatting sqref="AU853">
    <cfRule type="cellIs" dxfId="0" priority="1721" operator="lessThan">
      <formula>20</formula>
    </cfRule>
    <cfRule type="cellIs" dxfId="1" priority="865" operator="greaterThan">
      <formula>120</formula>
    </cfRule>
    <cfRule type="containsText" dxfId="2" priority="9" operator="between" text="库存为">
      <formula>NOT(ISERROR(SEARCH("库存为",AU853)))</formula>
    </cfRule>
  </conditionalFormatting>
  <conditionalFormatting sqref="AU854">
    <cfRule type="cellIs" dxfId="0" priority="1720" operator="lessThan">
      <formula>20</formula>
    </cfRule>
    <cfRule type="cellIs" dxfId="1" priority="864" operator="greaterThan">
      <formula>120</formula>
    </cfRule>
    <cfRule type="containsText" dxfId="2" priority="8" operator="between" text="库存为">
      <formula>NOT(ISERROR(SEARCH("库存为",AU854)))</formula>
    </cfRule>
  </conditionalFormatting>
  <conditionalFormatting sqref="AU855">
    <cfRule type="cellIs" dxfId="0" priority="1719" operator="lessThan">
      <formula>20</formula>
    </cfRule>
    <cfRule type="cellIs" dxfId="1" priority="863" operator="greaterThan">
      <formula>120</formula>
    </cfRule>
    <cfRule type="containsText" dxfId="2" priority="7" operator="between" text="库存为">
      <formula>NOT(ISERROR(SEARCH("库存为",AU855)))</formula>
    </cfRule>
  </conditionalFormatting>
  <conditionalFormatting sqref="AU856">
    <cfRule type="cellIs" dxfId="0" priority="1718" operator="lessThan">
      <formula>20</formula>
    </cfRule>
    <cfRule type="cellIs" dxfId="1" priority="862" operator="greaterThan">
      <formula>120</formula>
    </cfRule>
    <cfRule type="containsText" dxfId="2" priority="6" operator="between" text="库存为">
      <formula>NOT(ISERROR(SEARCH("库存为",AU856)))</formula>
    </cfRule>
  </conditionalFormatting>
  <conditionalFormatting sqref="AU857">
    <cfRule type="cellIs" dxfId="0" priority="1717" operator="lessThan">
      <formula>20</formula>
    </cfRule>
    <cfRule type="cellIs" dxfId="1" priority="861" operator="greaterThan">
      <formula>120</formula>
    </cfRule>
    <cfRule type="containsText" dxfId="2" priority="5" operator="between" text="库存为">
      <formula>NOT(ISERROR(SEARCH("库存为",AU857)))</formula>
    </cfRule>
  </conditionalFormatting>
  <conditionalFormatting sqref="AU858">
    <cfRule type="cellIs" dxfId="0" priority="1716" operator="lessThan">
      <formula>20</formula>
    </cfRule>
    <cfRule type="cellIs" dxfId="1" priority="860" operator="greaterThan">
      <formula>120</formula>
    </cfRule>
    <cfRule type="containsText" dxfId="2" priority="4" operator="between" text="库存为">
      <formula>NOT(ISERROR(SEARCH("库存为",AU858)))</formula>
    </cfRule>
  </conditionalFormatting>
  <conditionalFormatting sqref="AU859">
    <cfRule type="cellIs" dxfId="0" priority="1715" operator="lessThan">
      <formula>20</formula>
    </cfRule>
    <cfRule type="cellIs" dxfId="1" priority="859" operator="greaterThan">
      <formula>120</formula>
    </cfRule>
    <cfRule type="containsText" dxfId="2" priority="3" operator="between" text="库存为">
      <formula>NOT(ISERROR(SEARCH("库存为",AU859)))</formula>
    </cfRule>
  </conditionalFormatting>
  <conditionalFormatting sqref="AU860">
    <cfRule type="cellIs" dxfId="0" priority="1714" operator="lessThan">
      <formula>20</formula>
    </cfRule>
    <cfRule type="cellIs" dxfId="1" priority="858" operator="greaterThan">
      <formula>120</formula>
    </cfRule>
    <cfRule type="containsText" dxfId="2" priority="2" operator="between" text="库存为">
      <formula>NOT(ISERROR(SEARCH("库存为",AU860)))</formula>
    </cfRule>
  </conditionalFormatting>
  <conditionalFormatting sqref="AU861">
    <cfRule type="cellIs" dxfId="0" priority="1713" operator="lessThan">
      <formula>20</formula>
    </cfRule>
    <cfRule type="cellIs" dxfId="1" priority="857" operator="greaterThan">
      <formula>120</formula>
    </cfRule>
    <cfRule type="containsText" dxfId="2" priority="1" operator="between" text="库存为">
      <formula>NOT(ISERROR(SEARCH("库存为",AU861)))</formula>
    </cfRule>
  </conditionalFormatting>
  <conditionalFormatting sqref="AU862">
    <cfRule type="cellIs" dxfId="0" priority="24146" operator="lessThan">
      <formula>20</formula>
    </cfRule>
    <cfRule type="cellIs" dxfId="1" priority="23252" operator="greaterThan">
      <formula>120</formula>
    </cfRule>
    <cfRule type="containsText" dxfId="2" priority="22358" operator="between" text="库存为">
      <formula>NOT(ISERROR(SEARCH("库存为",AU862)))</formula>
    </cfRule>
  </conditionalFormatting>
  <conditionalFormatting sqref="AU863">
    <cfRule type="cellIs" dxfId="0" priority="24145" operator="lessThan">
      <formula>20</formula>
    </cfRule>
    <cfRule type="cellIs" dxfId="1" priority="23251" operator="greaterThan">
      <formula>120</formula>
    </cfRule>
    <cfRule type="containsText" dxfId="2" priority="22357" operator="between" text="库存为">
      <formula>NOT(ISERROR(SEARCH("库存为",AU863)))</formula>
    </cfRule>
  </conditionalFormatting>
  <conditionalFormatting sqref="AU864">
    <cfRule type="cellIs" dxfId="0" priority="24144" operator="lessThan">
      <formula>20</formula>
    </cfRule>
    <cfRule type="cellIs" dxfId="1" priority="23250" operator="greaterThan">
      <formula>120</formula>
    </cfRule>
    <cfRule type="containsText" dxfId="2" priority="22356" operator="between" text="库存为">
      <formula>NOT(ISERROR(SEARCH("库存为",AU864)))</formula>
    </cfRule>
  </conditionalFormatting>
  <conditionalFormatting sqref="AU865">
    <cfRule type="cellIs" dxfId="0" priority="24143" operator="lessThan">
      <formula>20</formula>
    </cfRule>
    <cfRule type="cellIs" dxfId="1" priority="23249" operator="greaterThan">
      <formula>120</formula>
    </cfRule>
    <cfRule type="containsText" dxfId="2" priority="22355" operator="between" text="库存为">
      <formula>NOT(ISERROR(SEARCH("库存为",AU865)))</formula>
    </cfRule>
  </conditionalFormatting>
  <conditionalFormatting sqref="AU866">
    <cfRule type="cellIs" dxfId="0" priority="24142" operator="lessThan">
      <formula>20</formula>
    </cfRule>
    <cfRule type="cellIs" dxfId="1" priority="23248" operator="greaterThan">
      <formula>120</formula>
    </cfRule>
    <cfRule type="containsText" dxfId="2" priority="22354" operator="between" text="库存为">
      <formula>NOT(ISERROR(SEARCH("库存为",AU866)))</formula>
    </cfRule>
  </conditionalFormatting>
  <conditionalFormatting sqref="AU867">
    <cfRule type="cellIs" dxfId="0" priority="24141" operator="lessThan">
      <formula>20</formula>
    </cfRule>
    <cfRule type="cellIs" dxfId="1" priority="23247" operator="greaterThan">
      <formula>120</formula>
    </cfRule>
    <cfRule type="containsText" dxfId="2" priority="22353" operator="between" text="库存为">
      <formula>NOT(ISERROR(SEARCH("库存为",AU867)))</formula>
    </cfRule>
  </conditionalFormatting>
  <conditionalFormatting sqref="AU868">
    <cfRule type="cellIs" dxfId="0" priority="24140" operator="lessThan">
      <formula>20</formula>
    </cfRule>
    <cfRule type="cellIs" dxfId="1" priority="23246" operator="greaterThan">
      <formula>120</formula>
    </cfRule>
    <cfRule type="containsText" dxfId="2" priority="22352" operator="between" text="库存为">
      <formula>NOT(ISERROR(SEARCH("库存为",AU868)))</formula>
    </cfRule>
  </conditionalFormatting>
  <conditionalFormatting sqref="AU869">
    <cfRule type="cellIs" dxfId="0" priority="24139" operator="lessThan">
      <formula>20</formula>
    </cfRule>
    <cfRule type="cellIs" dxfId="1" priority="23245" operator="greaterThan">
      <formula>120</formula>
    </cfRule>
    <cfRule type="containsText" dxfId="2" priority="22351" operator="between" text="库存为">
      <formula>NOT(ISERROR(SEARCH("库存为",AU869)))</formula>
    </cfRule>
  </conditionalFormatting>
  <conditionalFormatting sqref="AU870">
    <cfRule type="cellIs" dxfId="0" priority="24138" operator="lessThan">
      <formula>20</formula>
    </cfRule>
    <cfRule type="cellIs" dxfId="1" priority="23244" operator="greaterThan">
      <formula>120</formula>
    </cfRule>
    <cfRule type="containsText" dxfId="2" priority="22350" operator="between" text="库存为">
      <formula>NOT(ISERROR(SEARCH("库存为",AU870)))</formula>
    </cfRule>
  </conditionalFormatting>
  <conditionalFormatting sqref="AU871">
    <cfRule type="cellIs" dxfId="0" priority="24137" operator="lessThan">
      <formula>20</formula>
    </cfRule>
    <cfRule type="cellIs" dxfId="1" priority="23243" operator="greaterThan">
      <formula>120</formula>
    </cfRule>
    <cfRule type="containsText" dxfId="2" priority="22349" operator="between" text="库存为">
      <formula>NOT(ISERROR(SEARCH("库存为",AU871)))</formula>
    </cfRule>
  </conditionalFormatting>
  <conditionalFormatting sqref="AU872">
    <cfRule type="cellIs" dxfId="0" priority="24136" operator="lessThan">
      <formula>20</formula>
    </cfRule>
    <cfRule type="cellIs" dxfId="1" priority="23242" operator="greaterThan">
      <formula>120</formula>
    </cfRule>
    <cfRule type="containsText" dxfId="2" priority="22348" operator="between" text="库存为">
      <formula>NOT(ISERROR(SEARCH("库存为",AU872)))</formula>
    </cfRule>
  </conditionalFormatting>
  <conditionalFormatting sqref="AU873">
    <cfRule type="cellIs" dxfId="0" priority="24135" operator="lessThan">
      <formula>20</formula>
    </cfRule>
    <cfRule type="cellIs" dxfId="1" priority="23241" operator="greaterThan">
      <formula>120</formula>
    </cfRule>
    <cfRule type="containsText" dxfId="2" priority="22347" operator="between" text="库存为">
      <formula>NOT(ISERROR(SEARCH("库存为",AU873)))</formula>
    </cfRule>
  </conditionalFormatting>
  <conditionalFormatting sqref="AU874">
    <cfRule type="cellIs" dxfId="0" priority="24134" operator="lessThan">
      <formula>20</formula>
    </cfRule>
    <cfRule type="cellIs" dxfId="1" priority="23240" operator="greaterThan">
      <formula>120</formula>
    </cfRule>
    <cfRule type="containsText" dxfId="2" priority="22346" operator="between" text="库存为">
      <formula>NOT(ISERROR(SEARCH("库存为",AU874)))</formula>
    </cfRule>
  </conditionalFormatting>
  <conditionalFormatting sqref="AU875">
    <cfRule type="cellIs" dxfId="0" priority="24133" operator="lessThan">
      <formula>20</formula>
    </cfRule>
    <cfRule type="cellIs" dxfId="1" priority="23239" operator="greaterThan">
      <formula>120</formula>
    </cfRule>
    <cfRule type="containsText" dxfId="2" priority="22345" operator="between" text="库存为">
      <formula>NOT(ISERROR(SEARCH("库存为",AU875)))</formula>
    </cfRule>
  </conditionalFormatting>
  <conditionalFormatting sqref="AU876">
    <cfRule type="cellIs" dxfId="0" priority="24132" operator="lessThan">
      <formula>20</formula>
    </cfRule>
    <cfRule type="cellIs" dxfId="1" priority="23238" operator="greaterThan">
      <formula>120</formula>
    </cfRule>
    <cfRule type="containsText" dxfId="2" priority="22344" operator="between" text="库存为">
      <formula>NOT(ISERROR(SEARCH("库存为",AU876)))</formula>
    </cfRule>
  </conditionalFormatting>
  <conditionalFormatting sqref="AU877">
    <cfRule type="cellIs" dxfId="0" priority="24131" operator="lessThan">
      <formula>20</formula>
    </cfRule>
    <cfRule type="cellIs" dxfId="1" priority="23237" operator="greaterThan">
      <formula>120</formula>
    </cfRule>
    <cfRule type="containsText" dxfId="2" priority="22343" operator="between" text="库存为">
      <formula>NOT(ISERROR(SEARCH("库存为",AU877)))</formula>
    </cfRule>
  </conditionalFormatting>
  <conditionalFormatting sqref="AU878">
    <cfRule type="cellIs" dxfId="0" priority="24130" operator="lessThan">
      <formula>20</formula>
    </cfRule>
    <cfRule type="cellIs" dxfId="1" priority="23236" operator="greaterThan">
      <formula>120</formula>
    </cfRule>
    <cfRule type="containsText" dxfId="2" priority="22342" operator="between" text="库存为">
      <formula>NOT(ISERROR(SEARCH("库存为",AU878)))</formula>
    </cfRule>
  </conditionalFormatting>
  <conditionalFormatting sqref="AU879">
    <cfRule type="cellIs" dxfId="0" priority="24129" operator="lessThan">
      <formula>20</formula>
    </cfRule>
    <cfRule type="cellIs" dxfId="1" priority="23235" operator="greaterThan">
      <formula>120</formula>
    </cfRule>
    <cfRule type="containsText" dxfId="2" priority="22341" operator="between" text="库存为">
      <formula>NOT(ISERROR(SEARCH("库存为",AU879)))</formula>
    </cfRule>
  </conditionalFormatting>
  <conditionalFormatting sqref="AU880">
    <cfRule type="cellIs" dxfId="0" priority="24128" operator="lessThan">
      <formula>20</formula>
    </cfRule>
    <cfRule type="cellIs" dxfId="1" priority="23234" operator="greaterThan">
      <formula>120</formula>
    </cfRule>
    <cfRule type="containsText" dxfId="2" priority="22340" operator="between" text="库存为">
      <formula>NOT(ISERROR(SEARCH("库存为",AU880)))</formula>
    </cfRule>
  </conditionalFormatting>
  <conditionalFormatting sqref="AU881">
    <cfRule type="cellIs" dxfId="0" priority="24127" operator="lessThan">
      <formula>20</formula>
    </cfRule>
    <cfRule type="cellIs" dxfId="1" priority="23233" operator="greaterThan">
      <formula>120</formula>
    </cfRule>
    <cfRule type="containsText" dxfId="2" priority="22339" operator="between" text="库存为">
      <formula>NOT(ISERROR(SEARCH("库存为",AU881)))</formula>
    </cfRule>
  </conditionalFormatting>
  <conditionalFormatting sqref="AU882">
    <cfRule type="cellIs" dxfId="0" priority="24126" operator="lessThan">
      <formula>20</formula>
    </cfRule>
    <cfRule type="cellIs" dxfId="1" priority="23232" operator="greaterThan">
      <formula>120</formula>
    </cfRule>
    <cfRule type="containsText" dxfId="2" priority="22338" operator="between" text="库存为">
      <formula>NOT(ISERROR(SEARCH("库存为",AU882)))</formula>
    </cfRule>
  </conditionalFormatting>
  <conditionalFormatting sqref="AU883">
    <cfRule type="cellIs" dxfId="0" priority="24125" operator="lessThan">
      <formula>20</formula>
    </cfRule>
    <cfRule type="cellIs" dxfId="1" priority="23231" operator="greaterThan">
      <formula>120</formula>
    </cfRule>
    <cfRule type="containsText" dxfId="2" priority="22337" operator="between" text="库存为">
      <formula>NOT(ISERROR(SEARCH("库存为",AU883)))</formula>
    </cfRule>
  </conditionalFormatting>
  <conditionalFormatting sqref="AU884">
    <cfRule type="cellIs" dxfId="0" priority="24124" operator="lessThan">
      <formula>20</formula>
    </cfRule>
    <cfRule type="cellIs" dxfId="1" priority="23230" operator="greaterThan">
      <formula>120</formula>
    </cfRule>
    <cfRule type="containsText" dxfId="2" priority="22336" operator="between" text="库存为">
      <formula>NOT(ISERROR(SEARCH("库存为",AU884)))</formula>
    </cfRule>
  </conditionalFormatting>
  <conditionalFormatting sqref="AU885">
    <cfRule type="cellIs" dxfId="0" priority="24123" operator="lessThan">
      <formula>20</formula>
    </cfRule>
    <cfRule type="cellIs" dxfId="1" priority="23229" operator="greaterThan">
      <formula>120</formula>
    </cfRule>
    <cfRule type="containsText" dxfId="2" priority="22335" operator="between" text="库存为">
      <formula>NOT(ISERROR(SEARCH("库存为",AU885)))</formula>
    </cfRule>
  </conditionalFormatting>
  <conditionalFormatting sqref="AU886">
    <cfRule type="cellIs" dxfId="0" priority="24122" operator="lessThan">
      <formula>20</formula>
    </cfRule>
    <cfRule type="cellIs" dxfId="1" priority="23228" operator="greaterThan">
      <formula>120</formula>
    </cfRule>
    <cfRule type="containsText" dxfId="2" priority="22334" operator="between" text="库存为">
      <formula>NOT(ISERROR(SEARCH("库存为",AU886)))</formula>
    </cfRule>
  </conditionalFormatting>
  <conditionalFormatting sqref="AU887">
    <cfRule type="cellIs" dxfId="0" priority="24121" operator="lessThan">
      <formula>20</formula>
    </cfRule>
    <cfRule type="cellIs" dxfId="1" priority="23227" operator="greaterThan">
      <formula>120</formula>
    </cfRule>
    <cfRule type="containsText" dxfId="2" priority="22333" operator="between" text="库存为">
      <formula>NOT(ISERROR(SEARCH("库存为",AU887)))</formula>
    </cfRule>
  </conditionalFormatting>
  <conditionalFormatting sqref="AU888">
    <cfRule type="cellIs" dxfId="0" priority="24120" operator="lessThan">
      <formula>20</formula>
    </cfRule>
    <cfRule type="cellIs" dxfId="1" priority="23226" operator="greaterThan">
      <formula>120</formula>
    </cfRule>
    <cfRule type="containsText" dxfId="2" priority="22332" operator="between" text="库存为">
      <formula>NOT(ISERROR(SEARCH("库存为",AU888)))</formula>
    </cfRule>
  </conditionalFormatting>
  <conditionalFormatting sqref="AU889">
    <cfRule type="cellIs" dxfId="0" priority="24119" operator="lessThan">
      <formula>20</formula>
    </cfRule>
    <cfRule type="cellIs" dxfId="1" priority="23225" operator="greaterThan">
      <formula>120</formula>
    </cfRule>
    <cfRule type="containsText" dxfId="2" priority="22331" operator="between" text="库存为">
      <formula>NOT(ISERROR(SEARCH("库存为",AU889)))</formula>
    </cfRule>
  </conditionalFormatting>
  <conditionalFormatting sqref="AU890">
    <cfRule type="cellIs" dxfId="0" priority="24118" operator="lessThan">
      <formula>20</formula>
    </cfRule>
    <cfRule type="cellIs" dxfId="1" priority="23224" operator="greaterThan">
      <formula>120</formula>
    </cfRule>
    <cfRule type="containsText" dxfId="2" priority="22330" operator="between" text="库存为">
      <formula>NOT(ISERROR(SEARCH("库存为",AU890)))</formula>
    </cfRule>
  </conditionalFormatting>
  <conditionalFormatting sqref="AU891">
    <cfRule type="cellIs" dxfId="0" priority="24117" operator="lessThan">
      <formula>20</formula>
    </cfRule>
    <cfRule type="cellIs" dxfId="1" priority="23223" operator="greaterThan">
      <formula>120</formula>
    </cfRule>
    <cfRule type="containsText" dxfId="2" priority="22329" operator="between" text="库存为">
      <formula>NOT(ISERROR(SEARCH("库存为",AU891)))</formula>
    </cfRule>
  </conditionalFormatting>
  <conditionalFormatting sqref="AU892">
    <cfRule type="cellIs" dxfId="0" priority="24116" operator="lessThan">
      <formula>20</formula>
    </cfRule>
    <cfRule type="cellIs" dxfId="1" priority="23222" operator="greaterThan">
      <formula>120</formula>
    </cfRule>
    <cfRule type="containsText" dxfId="2" priority="22328" operator="between" text="库存为">
      <formula>NOT(ISERROR(SEARCH("库存为",AU892)))</formula>
    </cfRule>
  </conditionalFormatting>
  <conditionalFormatting sqref="AU893">
    <cfRule type="cellIs" dxfId="0" priority="24115" operator="lessThan">
      <formula>20</formula>
    </cfRule>
    <cfRule type="cellIs" dxfId="1" priority="23221" operator="greaterThan">
      <formula>120</formula>
    </cfRule>
    <cfRule type="containsText" dxfId="2" priority="22327" operator="between" text="库存为">
      <formula>NOT(ISERROR(SEARCH("库存为",AU893)))</formula>
    </cfRule>
  </conditionalFormatting>
  <conditionalFormatting sqref="AU894">
    <cfRule type="cellIs" dxfId="0" priority="24114" operator="lessThan">
      <formula>20</formula>
    </cfRule>
    <cfRule type="cellIs" dxfId="1" priority="23220" operator="greaterThan">
      <formula>120</formula>
    </cfRule>
    <cfRule type="containsText" dxfId="2" priority="22326" operator="between" text="库存为">
      <formula>NOT(ISERROR(SEARCH("库存为",AU894)))</formula>
    </cfRule>
  </conditionalFormatting>
  <conditionalFormatting sqref="AU895">
    <cfRule type="cellIs" dxfId="0" priority="24113" operator="lessThan">
      <formula>20</formula>
    </cfRule>
    <cfRule type="cellIs" dxfId="1" priority="23219" operator="greaterThan">
      <formula>120</formula>
    </cfRule>
    <cfRule type="containsText" dxfId="2" priority="22325" operator="between" text="库存为">
      <formula>NOT(ISERROR(SEARCH("库存为",AU895)))</formula>
    </cfRule>
  </conditionalFormatting>
  <conditionalFormatting sqref="AU896">
    <cfRule type="cellIs" dxfId="0" priority="24112" operator="lessThan">
      <formula>20</formula>
    </cfRule>
    <cfRule type="cellIs" dxfId="1" priority="23218" operator="greaterThan">
      <formula>120</formula>
    </cfRule>
    <cfRule type="containsText" dxfId="2" priority="22324" operator="between" text="库存为">
      <formula>NOT(ISERROR(SEARCH("库存为",AU896)))</formula>
    </cfRule>
  </conditionalFormatting>
  <conditionalFormatting sqref="AU897">
    <cfRule type="cellIs" dxfId="0" priority="24111" operator="lessThan">
      <formula>20</formula>
    </cfRule>
    <cfRule type="cellIs" dxfId="1" priority="23217" operator="greaterThan">
      <formula>120</formula>
    </cfRule>
    <cfRule type="containsText" dxfId="2" priority="22323" operator="between" text="库存为">
      <formula>NOT(ISERROR(SEARCH("库存为",AU897)))</formula>
    </cfRule>
  </conditionalFormatting>
  <conditionalFormatting sqref="AU898">
    <cfRule type="cellIs" dxfId="0" priority="24110" operator="lessThan">
      <formula>20</formula>
    </cfRule>
    <cfRule type="cellIs" dxfId="1" priority="23216" operator="greaterThan">
      <formula>120</formula>
    </cfRule>
    <cfRule type="containsText" dxfId="2" priority="22322" operator="between" text="库存为">
      <formula>NOT(ISERROR(SEARCH("库存为",AU898)))</formula>
    </cfRule>
  </conditionalFormatting>
  <conditionalFormatting sqref="AU899">
    <cfRule type="cellIs" dxfId="0" priority="24109" operator="lessThan">
      <formula>20</formula>
    </cfRule>
    <cfRule type="cellIs" dxfId="1" priority="23215" operator="greaterThan">
      <formula>120</formula>
    </cfRule>
    <cfRule type="containsText" dxfId="2" priority="22321" operator="between" text="库存为">
      <formula>NOT(ISERROR(SEARCH("库存为",AU899)))</formula>
    </cfRule>
  </conditionalFormatting>
  <conditionalFormatting sqref="AU900:AU3229">
    <cfRule type="containsText" dxfId="2" priority="45484" operator="between" text="库存为">
      <formula>NOT(ISERROR(SEARCH("库存为",AU900)))</formula>
    </cfRule>
    <cfRule type="cellIs" dxfId="1" priority="45485" operator="greaterThan">
      <formula>120</formula>
    </cfRule>
    <cfRule type="cellIs" dxfId="0" priority="45486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1797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1798</v>
      </c>
      <c r="AI1" s="11"/>
      <c r="AJ1" s="11"/>
      <c r="AK1" s="11"/>
      <c r="AL1" s="11" t="s">
        <v>1799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43304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3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3" si="2">IF(AND(Z2&gt;0,B2=0),"无销量广告费为"&amp;Z2,IFERROR(Z2/(B2*$F2),""))</f>
        <v/>
      </c>
      <c r="AE2" s="23" t="str">
        <f t="shared" ref="AE2:AE63" si="3">IF(AND(AA2&gt;0,C2=0),"无销量广告费为"&amp;AA2,IFERROR(AA2/(C2*$F2),""))</f>
        <v/>
      </c>
      <c r="AF2" s="23" t="str">
        <f t="shared" ref="AF2:AF63" si="4">IF(AND(AB2&gt;0,D2=0),"无销量广告费为"&amp;AB2,IFERROR(AB2/(D2*$F2),""))</f>
        <v/>
      </c>
      <c r="AG2" s="23" t="str">
        <f t="shared" ref="AG2:AG63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3" si="6">IFERROR(B2/AH2,"")</f>
        <v/>
      </c>
      <c r="AM2" s="23" t="str">
        <f t="shared" ref="AM2:AM63" si="7">IFERROR(C2/AI2,"")</f>
        <v/>
      </c>
      <c r="AN2" s="23" t="str">
        <f t="shared" ref="AN2:AN63" si="8">IFERROR(D2/AJ2,"")</f>
        <v/>
      </c>
      <c r="AO2" s="23" t="str">
        <f t="shared" ref="AO2:AO63" si="9">IFERROR(E2/AK2,"")</f>
        <v/>
      </c>
      <c r="AP2" s="7">
        <f t="shared" ref="AP2:AP63" si="10">B2/7</f>
        <v>0</v>
      </c>
      <c r="AQ2" s="7">
        <f t="shared" ref="AQ2:AQ63" si="11">AP2*60</f>
        <v>0</v>
      </c>
      <c r="AR2" s="7">
        <f t="shared" ref="AR2:AR63" si="12">K2-AQ2</f>
        <v>0</v>
      </c>
      <c r="AS2" t="str">
        <f t="shared" ref="AS2:AS63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2018/8/13-2018/8/19</v>
      </c>
      <c r="C3" s="14" t="str">
        <f>TEXT(时间!$B$8,"yyyy/M/d")&amp;"-"&amp;TEXT(时间!$B$7,"yyyy/M/d")</f>
        <v>2018/8/6-2018/8/12</v>
      </c>
      <c r="D3" s="14" t="str">
        <f>TEXT(时间!$B$10,"yyyy/M/d")&amp;"-"&amp;TEXT(时间!$B$9,"yyyy/M/d")</f>
        <v>2018/7/30-2018/8/5</v>
      </c>
      <c r="E3" s="14" t="str">
        <f>TEXT(时间!$B$12,"yyyy/M/d")&amp;"-"&amp;TEXT(时间!$B$11,"yyyy/M/d")</f>
        <v>2018/7/23-2018/7/29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1800</v>
      </c>
      <c r="C4" s="5" t="s">
        <v>1801</v>
      </c>
      <c r="D4" s="5" t="s">
        <v>1802</v>
      </c>
      <c r="E4" s="5" t="s">
        <v>1803</v>
      </c>
      <c r="F4" s="6" t="s">
        <v>20</v>
      </c>
      <c r="G4" t="s">
        <v>21</v>
      </c>
      <c r="H4" t="s">
        <v>22</v>
      </c>
      <c r="I4" t="s">
        <v>1804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43325</v>
      </c>
      <c r="AE4" s="21">
        <f>时间!$B$7</f>
        <v>43324</v>
      </c>
      <c r="AF4" s="21">
        <f>时间!$B$8</f>
        <v>43318</v>
      </c>
      <c r="AG4" s="21">
        <f>时间!$B$9</f>
        <v>43317</v>
      </c>
      <c r="AH4" s="21">
        <f>时间!$B$6</f>
        <v>43325</v>
      </c>
      <c r="AI4" s="21">
        <f>时间!$B$7</f>
        <v>43324</v>
      </c>
      <c r="AJ4" s="21">
        <f>时间!$B$8</f>
        <v>43318</v>
      </c>
      <c r="AK4" s="21">
        <f>时间!$B$9</f>
        <v>43317</v>
      </c>
      <c r="AL4" s="21">
        <f>时间!$B$6</f>
        <v>43325</v>
      </c>
      <c r="AM4" s="21">
        <f>时间!$B$7</f>
        <v>43324</v>
      </c>
      <c r="AN4" s="21">
        <f>时间!$B$8</f>
        <v>43318</v>
      </c>
      <c r="AO4" s="21">
        <f>时间!$B$9</f>
        <v>43317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532</v>
      </c>
      <c r="C5" s="17">
        <f t="shared" si="14"/>
        <v>524</v>
      </c>
      <c r="D5" s="17">
        <f t="shared" si="14"/>
        <v>559</v>
      </c>
      <c r="E5" s="17">
        <f t="shared" si="14"/>
        <v>363</v>
      </c>
      <c r="F5" s="18"/>
      <c r="G5" s="4">
        <f t="shared" si="14"/>
        <v>2116</v>
      </c>
      <c r="H5" s="4">
        <f t="shared" si="14"/>
        <v>2803</v>
      </c>
      <c r="I5" s="4">
        <f t="shared" si="14"/>
        <v>58</v>
      </c>
      <c r="J5" s="4">
        <f t="shared" si="14"/>
        <v>823</v>
      </c>
      <c r="K5" s="4">
        <f t="shared" si="14"/>
        <v>5800</v>
      </c>
      <c r="L5" s="4">
        <f t="shared" si="14"/>
        <v>18</v>
      </c>
      <c r="M5" s="4">
        <f t="shared" si="14"/>
        <v>569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1589.33</v>
      </c>
      <c r="AA5" s="4">
        <f>SUM(AA6:AA9999)</f>
        <v>1588.35</v>
      </c>
      <c r="AB5" s="4">
        <f>SUM(AB6:AB9999)</f>
        <v>1777.24</v>
      </c>
      <c r="AC5" s="4">
        <f>SUM(AC6:AC9999)</f>
        <v>837.08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5">
        <f>SUMIF('库存（子SKU）'!$C:$C,$A6,'库存（子SKU）'!D:D)</f>
        <v>1</v>
      </c>
      <c r="C6" s="5">
        <f>SUMIF('库存（子SKU）'!$C:$C,$A6,'库存（子SKU）'!E:E)</f>
        <v>1</v>
      </c>
      <c r="D6" s="5">
        <f>SUMIF('库存（子SKU）'!$C:$C,$A6,'库存（子SKU）'!F:F)</f>
        <v>0</v>
      </c>
      <c r="E6" s="5">
        <f>SUMIF('库存（子SKU）'!$C:$C,$A6,'库存（子SKU）'!G:G)</f>
        <v>1</v>
      </c>
      <c r="F6" s="6">
        <v>9.83</v>
      </c>
      <c r="G6">
        <f>SUMIF('库存（子SKU）'!$C:$C,$A6,'库存（子SKU）'!I:I)</f>
        <v>32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32</v>
      </c>
      <c r="L6">
        <f>SUMIF('库存（子SKU）'!$C:$C,$A6,'库存（子SKU）'!N:N)</f>
        <v>0</v>
      </c>
      <c r="M6">
        <f>SUMIF('库存（子SKU）'!$C:$C,$A6,'库存（子SKU）'!O:O)</f>
        <v>22</v>
      </c>
      <c r="N6">
        <f>SUMIF('库存（子SKU）'!$C:$C,$A6,'库存（子SKU）'!P:P)</f>
        <v>949</v>
      </c>
      <c r="O6">
        <f>SUMIF('库存（子SKU）'!$C:$C,$A6,'库存（子SKU）'!Q:Q)</f>
        <v>732</v>
      </c>
      <c r="P6">
        <f>SUMIF('库存（子SKU）'!$C:$C,$A6,'库存（子SKU）'!R:R)</f>
        <v>644</v>
      </c>
      <c r="Q6">
        <f>SUMIF('库存（子SKU）'!$C:$C,$A6,'库存（子SKU）'!S:S)</f>
        <v>487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3</v>
      </c>
      <c r="V6" s="23">
        <f t="shared" ref="V6:V63" si="15">IFERROR(R6/N6,"")</f>
        <v>0.00105374077976818</v>
      </c>
      <c r="W6" s="23">
        <f t="shared" ref="W6:W63" si="16">IFERROR(S6/O6,"")</f>
        <v>0.00136612021857923</v>
      </c>
      <c r="X6" s="23">
        <f t="shared" ref="X6:X63" si="17">IFERROR(T6/P6,"")</f>
        <v>0.0015527950310559</v>
      </c>
      <c r="Y6" s="23">
        <f t="shared" ref="Y6:Y63" si="18">IFERROR(U6/Q6,"")</f>
        <v>0.00616016427104723</v>
      </c>
      <c r="Z6">
        <f>SUMIF('库存（子SKU）'!$C:$C,$A6,'库存（子SKU）'!AB:AB)</f>
        <v>0.32</v>
      </c>
      <c r="AA6">
        <f>SUMIF('库存（子SKU）'!$C:$C,$A6,'库存（子SKU）'!AC:AC)</f>
        <v>0.35</v>
      </c>
      <c r="AB6">
        <f>SUMIF('库存（子SKU）'!$C:$C,$A6,'库存（子SKU）'!AD:AD)</f>
        <v>0.39</v>
      </c>
      <c r="AC6">
        <f>SUMIF('库存（子SKU）'!$C:$C,$A6,'库存（子SKU）'!AE:AE)</f>
        <v>0.58</v>
      </c>
      <c r="AD6" s="23">
        <f t="shared" si="2"/>
        <v>0.0325534079348932</v>
      </c>
      <c r="AE6" s="23">
        <f t="shared" si="3"/>
        <v>0.0356052899287894</v>
      </c>
      <c r="AF6" s="23" t="str">
        <f t="shared" si="4"/>
        <v>无销量广告费为0.39</v>
      </c>
      <c r="AG6" s="23">
        <f t="shared" si="5"/>
        <v>0.0590030518819939</v>
      </c>
      <c r="AH6">
        <f>SUMIF('库存（子SKU）'!$C:$C,$A6,'库存（子SKU）'!AJ:AJ)</f>
        <v>29</v>
      </c>
      <c r="AI6">
        <f>SUMIF('库存（子SKU）'!$C:$C,$A6,'库存（子SKU）'!AK:AK)</f>
        <v>16</v>
      </c>
      <c r="AJ6">
        <f>SUMIF('库存（子SKU）'!$C:$C,$A6,'库存（子SKU）'!AL:AL)</f>
        <v>14</v>
      </c>
      <c r="AK6">
        <f>SUMIF('库存（子SKU）'!$C:$C,$A6,'库存（子SKU）'!AM:AM)</f>
        <v>23</v>
      </c>
      <c r="AL6" s="23">
        <f t="shared" si="6"/>
        <v>0.0344827586206897</v>
      </c>
      <c r="AM6" s="23">
        <f t="shared" si="7"/>
        <v>0.0625</v>
      </c>
      <c r="AN6" s="23">
        <f t="shared" si="8"/>
        <v>0</v>
      </c>
      <c r="AO6" s="23">
        <f t="shared" si="9"/>
        <v>0.0434782608695652</v>
      </c>
      <c r="AP6" s="7">
        <f t="shared" si="10"/>
        <v>0.142857142857143</v>
      </c>
      <c r="AQ6" s="7">
        <f t="shared" si="11"/>
        <v>8.57142857142857</v>
      </c>
      <c r="AR6" s="7">
        <f t="shared" si="12"/>
        <v>23.4285714285714</v>
      </c>
      <c r="AS6">
        <f t="shared" si="13"/>
        <v>224</v>
      </c>
      <c r="AT6" s="2">
        <f>IFERROR($A$2+AS6,"上周无销量")</f>
        <v>43528</v>
      </c>
    </row>
    <row r="7" spans="1:46">
      <c r="A7" t="s">
        <v>75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12</v>
      </c>
      <c r="AI7">
        <f>SUMIF('库存（子SKU）'!$C:$C,$A7,'库存（子SKU）'!AK:AK)</f>
        <v>8</v>
      </c>
      <c r="AJ7">
        <f>SUMIF('库存（子SKU）'!$C:$C,$A7,'库存（子SKU）'!AL:AL)</f>
        <v>7</v>
      </c>
      <c r="AK7">
        <f>SUMIF('库存（子SKU）'!$C:$C,$A7,'库存（子SKU）'!AM:AM)</f>
        <v>12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86</v>
      </c>
      <c r="B8" s="5">
        <f>SUMIF('库存（子SKU）'!$C:$C,$A8,'库存（子SKU）'!D:D)</f>
        <v>0</v>
      </c>
      <c r="C8" s="5">
        <f>SUMIF('库存（子SKU）'!$C:$C,$A8,'库存（子SKU）'!E:E)</f>
        <v>3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v>28.99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12225</v>
      </c>
      <c r="P8">
        <f>SUMIF('库存（子SKU）'!$C:$C,$A8,'库存（子SKU）'!R:R)</f>
        <v>25304</v>
      </c>
      <c r="Q8">
        <f>SUMIF('库存（子SKU）'!$C:$C,$A8,'库存（子SKU）'!S:S)</f>
        <v>114557</v>
      </c>
      <c r="R8">
        <f>SUMIF('库存（子SKU）'!$C:$C,$A8,'库存（子SKU）'!T:T)</f>
        <v>0</v>
      </c>
      <c r="S8">
        <f>SUMIF('库存（子SKU）'!$C:$C,$A8,'库存（子SKU）'!U:U)</f>
        <v>44</v>
      </c>
      <c r="T8">
        <f>SUMIF('库存（子SKU）'!$C:$C,$A8,'库存（子SKU）'!V:V)</f>
        <v>45</v>
      </c>
      <c r="U8">
        <f>SUMIF('库存（子SKU）'!$C:$C,$A8,'库存（子SKU）'!W:W)</f>
        <v>95</v>
      </c>
      <c r="V8" s="23" t="str">
        <f t="shared" si="15"/>
        <v/>
      </c>
      <c r="W8" s="23">
        <f t="shared" si="16"/>
        <v>0.00359918200408998</v>
      </c>
      <c r="X8" s="23">
        <f t="shared" si="17"/>
        <v>0.00177837496048056</v>
      </c>
      <c r="Y8" s="23">
        <f t="shared" si="18"/>
        <v>0.000829281493055859</v>
      </c>
      <c r="Z8">
        <f>SUMIF('库存（子SKU）'!$C:$C,$A8,'库存（子SKU）'!AB:AB)</f>
        <v>0</v>
      </c>
      <c r="AA8">
        <f>SUMIF('库存（子SKU）'!$C:$C,$A8,'库存（子SKU）'!AC:AC)</f>
        <v>13.86</v>
      </c>
      <c r="AB8">
        <f>SUMIF('库存（子SKU）'!$C:$C,$A8,'库存（子SKU）'!AD:AD)</f>
        <v>14.99</v>
      </c>
      <c r="AC8">
        <f>SUMIF('库存（子SKU）'!$C:$C,$A8,'库存（子SKU）'!AE:AE)</f>
        <v>31.96</v>
      </c>
      <c r="AD8" s="23" t="str">
        <f t="shared" si="2"/>
        <v/>
      </c>
      <c r="AE8" s="23">
        <f t="shared" si="3"/>
        <v>0.159365298378751</v>
      </c>
      <c r="AF8" s="23" t="str">
        <f t="shared" si="4"/>
        <v>无销量广告费为14.99</v>
      </c>
      <c r="AG8" s="23" t="str">
        <f t="shared" si="5"/>
        <v>无销量广告费为31.96</v>
      </c>
      <c r="AH8">
        <f>SUMIF('库存（子SKU）'!$C:$C,$A8,'库存（子SKU）'!AJ:AJ)</f>
        <v>0</v>
      </c>
      <c r="AI8">
        <f>SUMIF('库存（子SKU）'!$C:$C,$A8,'库存（子SKU）'!AK:AK)</f>
        <v>50</v>
      </c>
      <c r="AJ8">
        <f>SUMIF('库存（子SKU）'!$C:$C,$A8,'库存（子SKU）'!AL:AL)</f>
        <v>50</v>
      </c>
      <c r="AK8">
        <f>SUMIF('库存（子SKU）'!$C:$C,$A8,'库存（子SKU）'!AM:AM)</f>
        <v>60</v>
      </c>
      <c r="AL8" s="23" t="str">
        <f t="shared" si="6"/>
        <v/>
      </c>
      <c r="AM8" s="23">
        <f t="shared" si="7"/>
        <v>0.06</v>
      </c>
      <c r="AN8" s="23">
        <f t="shared" si="8"/>
        <v>0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2</v>
      </c>
      <c r="AS8" t="str">
        <f t="shared" si="13"/>
        <v>库存为2</v>
      </c>
      <c r="AT8" s="2" t="str">
        <f>IFERROR($A$2+AS8,"上周无销量")</f>
        <v>上周无销量</v>
      </c>
    </row>
    <row r="9" spans="1:46">
      <c r="A9" t="s">
        <v>91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6</v>
      </c>
      <c r="AI9">
        <f>SUMIF('库存（子SKU）'!$C:$C,$A9,'库存（子SKU）'!AK:AK)</f>
        <v>10</v>
      </c>
      <c r="AJ9">
        <f>SUMIF('库存（子SKU）'!$C:$C,$A9,'库存（子SKU）'!AL:AL)</f>
        <v>6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103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19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367</v>
      </c>
      <c r="O10">
        <f>SUMIF('库存（子SKU）'!$C:$C,$A10,'库存（子SKU）'!Q:Q)</f>
        <v>522</v>
      </c>
      <c r="P10">
        <f>SUMIF('库存（子SKU）'!$C:$C,$A10,'库存（子SKU）'!R:R)</f>
        <v>789</v>
      </c>
      <c r="Q10">
        <f>SUMIF('库存（子SKU）'!$C:$C,$A10,'库存（子SKU）'!S:S)</f>
        <v>1453</v>
      </c>
      <c r="R10">
        <f>SUMIF('库存（子SKU）'!$C:$C,$A10,'库存（子SKU）'!T:T)</f>
        <v>0</v>
      </c>
      <c r="S10">
        <f>SUMIF('库存（子SKU）'!$C:$C,$A10,'库存（子SKU）'!U:U)</f>
        <v>4</v>
      </c>
      <c r="T10">
        <f>SUMIF('库存（子SKU）'!$C:$C,$A10,'库存（子SKU）'!V:V)</f>
        <v>2</v>
      </c>
      <c r="U10">
        <f>SUMIF('库存（子SKU）'!$C:$C,$A10,'库存（子SKU）'!W:W)</f>
        <v>4</v>
      </c>
      <c r="V10" s="23">
        <f t="shared" si="15"/>
        <v>0</v>
      </c>
      <c r="W10" s="23">
        <f t="shared" si="16"/>
        <v>0.00766283524904215</v>
      </c>
      <c r="X10" s="23">
        <f t="shared" si="17"/>
        <v>0.00253485424588086</v>
      </c>
      <c r="Y10" s="23">
        <f t="shared" si="18"/>
        <v>0.00275292498279422</v>
      </c>
      <c r="Z10">
        <f>SUMIF('库存（子SKU）'!$C:$C,$A10,'库存（子SKU）'!AB:AB)</f>
        <v>0</v>
      </c>
      <c r="AA10">
        <f>SUMIF('库存（子SKU）'!$C:$C,$A10,'库存（子SKU）'!AC:AC)</f>
        <v>1.24</v>
      </c>
      <c r="AB10">
        <f>SUMIF('库存（子SKU）'!$C:$C,$A10,'库存（子SKU）'!AD:AD)</f>
        <v>0.6</v>
      </c>
      <c r="AC10">
        <f>SUMIF('库存（子SKU）'!$C:$C,$A10,'库存（子SKU）'!AE:AE)</f>
        <v>1.2</v>
      </c>
      <c r="AD10" s="23" t="str">
        <f t="shared" si="2"/>
        <v/>
      </c>
      <c r="AE10" s="23" t="str">
        <f t="shared" si="3"/>
        <v>无销量广告费为1.24</v>
      </c>
      <c r="AF10" s="23" t="str">
        <f t="shared" si="4"/>
        <v>无销量广告费为0.6</v>
      </c>
      <c r="AG10" s="23" t="str">
        <f t="shared" si="5"/>
        <v>无销量广告费为1.2</v>
      </c>
      <c r="AH10">
        <f>SUMIF('库存（子SKU）'!$C:$C,$A10,'库存（子SKU）'!AJ:AJ)</f>
        <v>17</v>
      </c>
      <c r="AI10">
        <f>SUMIF('库存（子SKU）'!$C:$C,$A10,'库存（子SKU）'!AK:AK)</f>
        <v>15</v>
      </c>
      <c r="AJ10">
        <f>SUMIF('库存（子SKU）'!$C:$C,$A10,'库存（子SKU）'!AL:AL)</f>
        <v>7</v>
      </c>
      <c r="AK10">
        <f>SUMIF('库存（子SKU）'!$C:$C,$A10,'库存（子SKU）'!AM:AM)</f>
        <v>8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107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e">
        <v>#N/A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172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253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394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443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1061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1061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1061</v>
      </c>
      <c r="AS16" t="str">
        <f t="shared" si="13"/>
        <v>库存为1061</v>
      </c>
      <c r="AT16" s="2" t="str">
        <f>IFERROR($A$2+AS16,"上周无销量")</f>
        <v>上周无销量</v>
      </c>
    </row>
    <row r="17" spans="1:46">
      <c r="A17" t="s">
        <v>552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54</v>
      </c>
      <c r="G17">
        <f>SUMIF('库存（子SKU）'!$C:$C,$A17,'库存（子SKU）'!I:I)</f>
        <v>12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12</v>
      </c>
      <c r="L17">
        <f>SUMIF('库存（子SKU）'!$C:$C,$A17,'库存（子SKU）'!N:N)</f>
        <v>0</v>
      </c>
      <c r="M17">
        <f>SUMIF('库存（子SKU）'!$C:$C,$A17,'库存（子SKU）'!O:O)</f>
        <v>12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7</v>
      </c>
      <c r="AI17">
        <f>SUMIF('库存（子SKU）'!$C:$C,$A17,'库存（子SKU）'!AK:AK)</f>
        <v>9</v>
      </c>
      <c r="AJ17">
        <f>SUMIF('库存（子SKU）'!$C:$C,$A17,'库存（子SKU）'!AL:AL)</f>
        <v>11</v>
      </c>
      <c r="AK17">
        <f>SUMIF('库存（子SKU）'!$C:$C,$A17,'库存（子SKU）'!AM:AM)</f>
        <v>10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12</v>
      </c>
      <c r="AS17" t="str">
        <f t="shared" si="13"/>
        <v>库存为12</v>
      </c>
      <c r="AT17" s="2" t="str">
        <f>IFERROR($A$2+AS17,"上周无销量")</f>
        <v>上周无销量</v>
      </c>
    </row>
    <row r="18" spans="1:46">
      <c r="A18" t="s">
        <v>557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560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567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</v>
      </c>
      <c r="L20">
        <f>SUMIF('库存（子SKU）'!$C:$C,$A20,'库存（子SKU）'!N:N)</f>
        <v>0</v>
      </c>
      <c r="M20">
        <f>SUMIF('库存（子SKU）'!$C:$C,$A20,'库存（子SKU）'!O:O)</f>
        <v>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4</v>
      </c>
      <c r="AI20">
        <f>SUMIF('库存（子SKU）'!$C:$C,$A20,'库存（子SKU）'!AK:AK)</f>
        <v>5</v>
      </c>
      <c r="AJ20">
        <f>SUMIF('库存（子SKU）'!$C:$C,$A20,'库存（子SKU）'!AL:AL)</f>
        <v>3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</v>
      </c>
      <c r="AS20" t="str">
        <f t="shared" si="13"/>
        <v>库存为2</v>
      </c>
      <c r="AT20" s="2" t="str">
        <f>IFERROR($A$2+AS20,"上周无销量")</f>
        <v>上周无销量</v>
      </c>
    </row>
    <row r="21" spans="1:46">
      <c r="A21" t="s">
        <v>571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54</v>
      </c>
      <c r="G21">
        <f>SUMIF('库存（子SKU）'!$C:$C,$A21,'库存（子SKU）'!I:I)</f>
        <v>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9</v>
      </c>
      <c r="L21">
        <f>SUMIF('库存（子SKU）'!$C:$C,$A21,'库存（子SKU）'!N:N)</f>
        <v>0</v>
      </c>
      <c r="M21">
        <f>SUMIF('库存（子SKU）'!$C:$C,$A21,'库存（子SKU）'!O:O)</f>
        <v>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7</v>
      </c>
      <c r="AI21">
        <f>SUMIF('库存（子SKU）'!$C:$C,$A21,'库存（子SKU）'!AK:AK)</f>
        <v>15</v>
      </c>
      <c r="AJ21">
        <f>SUMIF('库存（子SKU）'!$C:$C,$A21,'库存（子SKU）'!AL:AL)</f>
        <v>6</v>
      </c>
      <c r="AK21">
        <f>SUMIF('库存（子SKU）'!$C:$C,$A21,'库存（子SKU）'!AM:AM)</f>
        <v>10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9</v>
      </c>
      <c r="AS21" t="str">
        <f t="shared" si="13"/>
        <v>库存为9</v>
      </c>
      <c r="AT21" s="2" t="str">
        <f>IFERROR($A$2+AS21,"上周无销量")</f>
        <v>上周无销量</v>
      </c>
    </row>
    <row r="22" spans="1:46">
      <c r="A22" t="s">
        <v>578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IFERROR($A$2+AS22,"上周无销量")</f>
        <v>上周无销量</v>
      </c>
    </row>
    <row r="23" spans="1:46">
      <c r="A23" t="s">
        <v>627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">
        <v>54</v>
      </c>
      <c r="G23">
        <f>SUMIF('库存（子SKU）'!$C:$C,$A23,'库存（子SKU）'!I:I)</f>
        <v>9</v>
      </c>
      <c r="H23">
        <f>SUMIF('库存（子SKU）'!$C:$C,$A23,'库存（子SKU）'!J:J)</f>
        <v>632</v>
      </c>
      <c r="I23">
        <f>SUMIF('库存（子SKU）'!$C:$C,$A23,'库存（子SKU）'!K:K)</f>
        <v>3</v>
      </c>
      <c r="J23">
        <f>SUMIF('库存（子SKU）'!$C:$C,$A23,'库存（子SKU）'!L:L)</f>
        <v>131</v>
      </c>
      <c r="K23">
        <f t="shared" si="0"/>
        <v>775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775</v>
      </c>
      <c r="AS23" t="str">
        <f t="shared" si="13"/>
        <v>库存为775</v>
      </c>
      <c r="AT23" s="2" t="str">
        <f>IFERROR($A$2+AS23,"上周无销量")</f>
        <v>上周无销量</v>
      </c>
    </row>
    <row r="24" spans="1:46">
      <c r="A24" t="s">
        <v>708</v>
      </c>
      <c r="B24" s="5">
        <f>SUMIF('库存（子SKU）'!$C:$C,$A24,'库存（子SKU）'!D:D)</f>
        <v>3</v>
      </c>
      <c r="C24" s="5">
        <f>SUMIF('库存（子SKU）'!$C:$C,$A24,'库存（子SKU）'!E:E)</f>
        <v>4</v>
      </c>
      <c r="D24" s="5">
        <f>SUMIF('库存（子SKU）'!$C:$C,$A24,'库存（子SKU）'!F:F)</f>
        <v>4</v>
      </c>
      <c r="E24" s="5">
        <f>SUMIF('库存（子SKU）'!$C:$C,$A24,'库存（子SKU）'!G:G)</f>
        <v>2</v>
      </c>
      <c r="F24" s="6">
        <v>10.53</v>
      </c>
      <c r="G24">
        <f>SUMIF('库存（子SKU）'!$C:$C,$A24,'库存（子SKU）'!I:I)</f>
        <v>92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92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3241</v>
      </c>
      <c r="O24">
        <f>SUMIF('库存（子SKU）'!$C:$C,$A24,'库存（子SKU）'!Q:Q)</f>
        <v>10878</v>
      </c>
      <c r="P24">
        <f>SUMIF('库存（子SKU）'!$C:$C,$A24,'库存（子SKU）'!R:R)</f>
        <v>3189</v>
      </c>
      <c r="Q24">
        <f>SUMIF('库存（子SKU）'!$C:$C,$A24,'库存（子SKU）'!S:S)</f>
        <v>1697</v>
      </c>
      <c r="R24">
        <f>SUMIF('库存（子SKU）'!$C:$C,$A24,'库存（子SKU）'!T:T)</f>
        <v>12</v>
      </c>
      <c r="S24">
        <f>SUMIF('库存（子SKU）'!$C:$C,$A24,'库存（子SKU）'!U:U)</f>
        <v>34</v>
      </c>
      <c r="T24">
        <f>SUMIF('库存（子SKU）'!$C:$C,$A24,'库存（子SKU）'!V:V)</f>
        <v>35</v>
      </c>
      <c r="U24">
        <f>SUMIF('库存（子SKU）'!$C:$C,$A24,'库存（子SKU）'!W:W)</f>
        <v>15</v>
      </c>
      <c r="V24" s="23">
        <f t="shared" si="15"/>
        <v>0.0037025609379821</v>
      </c>
      <c r="W24" s="23">
        <f t="shared" si="16"/>
        <v>0.00312557455414598</v>
      </c>
      <c r="X24" s="23">
        <f t="shared" si="17"/>
        <v>0.010975227343995</v>
      </c>
      <c r="Y24" s="23">
        <f t="shared" si="18"/>
        <v>0.00883912787271656</v>
      </c>
      <c r="Z24">
        <f>SUMIF('库存（子SKU）'!$C:$C,$A24,'库存（子SKU）'!AB:AB)</f>
        <v>10.89</v>
      </c>
      <c r="AA24">
        <f>SUMIF('库存（子SKU）'!$C:$C,$A24,'库存（子SKU）'!AC:AC)</f>
        <v>32.5</v>
      </c>
      <c r="AB24">
        <f>SUMIF('库存（子SKU）'!$C:$C,$A24,'库存（子SKU）'!AD:AD)</f>
        <v>30.82</v>
      </c>
      <c r="AC24">
        <f>SUMIF('库存（子SKU）'!$C:$C,$A24,'库存（子SKU）'!AE:AE)</f>
        <v>11.43</v>
      </c>
      <c r="AD24" s="23">
        <f t="shared" si="2"/>
        <v>0.344729344729345</v>
      </c>
      <c r="AE24" s="23">
        <f t="shared" si="3"/>
        <v>0.771604938271605</v>
      </c>
      <c r="AF24" s="23">
        <f t="shared" si="4"/>
        <v>0.731718898385565</v>
      </c>
      <c r="AG24" s="23">
        <f t="shared" si="5"/>
        <v>0.542735042735043</v>
      </c>
      <c r="AH24">
        <f>SUMIF('库存（子SKU）'!$C:$C,$A24,'库存（子SKU）'!AJ:AJ)</f>
        <v>84</v>
      </c>
      <c r="AI24">
        <f>SUMIF('库存（子SKU）'!$C:$C,$A24,'库存（子SKU）'!AK:AK)</f>
        <v>92</v>
      </c>
      <c r="AJ24">
        <f>SUMIF('库存（子SKU）'!$C:$C,$A24,'库存（子SKU）'!AL:AL)</f>
        <v>74</v>
      </c>
      <c r="AK24">
        <f>SUMIF('库存（子SKU）'!$C:$C,$A24,'库存（子SKU）'!AM:AM)</f>
        <v>87</v>
      </c>
      <c r="AL24" s="23">
        <f t="shared" si="6"/>
        <v>0.0357142857142857</v>
      </c>
      <c r="AM24" s="23">
        <f t="shared" si="7"/>
        <v>0.0434782608695652</v>
      </c>
      <c r="AN24" s="23">
        <f t="shared" si="8"/>
        <v>0.0540540540540541</v>
      </c>
      <c r="AO24" s="23">
        <f t="shared" si="9"/>
        <v>0.0229885057471264</v>
      </c>
      <c r="AP24" s="7">
        <f t="shared" si="10"/>
        <v>0.428571428571429</v>
      </c>
      <c r="AQ24" s="7">
        <f t="shared" si="11"/>
        <v>25.7142857142857</v>
      </c>
      <c r="AR24" s="7">
        <f t="shared" si="12"/>
        <v>66.2857142857143</v>
      </c>
      <c r="AS24">
        <f t="shared" si="13"/>
        <v>214</v>
      </c>
      <c r="AT24" s="2">
        <f>IFERROR($A$2+AS24,"上周无销量")</f>
        <v>43518</v>
      </c>
    </row>
    <row r="25" spans="1:46">
      <c r="A25" t="s">
        <v>719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3</v>
      </c>
      <c r="E25" s="5">
        <f>SUMIF('库存（子SKU）'!$C:$C,$A25,'库存（子SKU）'!G:G)</f>
        <v>2</v>
      </c>
      <c r="F25" s="6">
        <v>28.99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526</v>
      </c>
      <c r="Q25">
        <f>SUMIF('库存（子SKU）'!$C:$C,$A25,'库存（子SKU）'!S:S)</f>
        <v>1409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2</v>
      </c>
      <c r="U25">
        <f>SUMIF('库存（子SKU）'!$C:$C,$A25,'库存（子SKU）'!W:W)</f>
        <v>5</v>
      </c>
      <c r="V25" s="23" t="str">
        <f t="shared" si="15"/>
        <v/>
      </c>
      <c r="W25" s="23" t="str">
        <f t="shared" si="16"/>
        <v/>
      </c>
      <c r="X25" s="23">
        <f t="shared" si="17"/>
        <v>0.00380228136882129</v>
      </c>
      <c r="Y25" s="23">
        <f t="shared" si="18"/>
        <v>0.0035486160397445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1.37</v>
      </c>
      <c r="AC25">
        <f>SUMIF('库存（子SKU）'!$C:$C,$A25,'库存（子SKU）'!AE:AE)</f>
        <v>4.67</v>
      </c>
      <c r="AD25" s="23" t="str">
        <f t="shared" si="2"/>
        <v/>
      </c>
      <c r="AE25" s="23" t="str">
        <f t="shared" si="3"/>
        <v/>
      </c>
      <c r="AF25" s="23">
        <f t="shared" si="4"/>
        <v>0.0157525583534552</v>
      </c>
      <c r="AG25" s="23">
        <f t="shared" si="5"/>
        <v>0.080545015522594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21</v>
      </c>
      <c r="AK25">
        <f>SUMIF('库存（子SKU）'!$C:$C,$A25,'库存（子SKU）'!AM:AM)</f>
        <v>33</v>
      </c>
      <c r="AL25" s="23" t="str">
        <f t="shared" si="6"/>
        <v/>
      </c>
      <c r="AM25" s="23" t="str">
        <f t="shared" si="7"/>
        <v/>
      </c>
      <c r="AN25" s="23">
        <f t="shared" si="8"/>
        <v>0.142857142857143</v>
      </c>
      <c r="AO25" s="23">
        <f t="shared" si="9"/>
        <v>0.0606060606060606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IFERROR($A$2+AS25,"上周无销量")</f>
        <v>上周无销量</v>
      </c>
    </row>
    <row r="26" spans="1:46">
      <c r="A26" t="s">
        <v>723</v>
      </c>
      <c r="B26" s="5">
        <f>SUMIF('库存（子SKU）'!$C:$C,$A26,'库存（子SKU）'!D:D)</f>
        <v>2</v>
      </c>
      <c r="C26" s="5">
        <f>SUMIF('库存（子SKU）'!$C:$C,$A26,'库存（子SKU）'!E:E)</f>
        <v>6</v>
      </c>
      <c r="D26" s="5">
        <f>SUMIF('库存（子SKU）'!$C:$C,$A26,'库存（子SKU）'!F:F)</f>
        <v>3</v>
      </c>
      <c r="E26" s="5">
        <f>SUMIF('库存（子SKU）'!$C:$C,$A26,'库存（子SKU）'!G:G)</f>
        <v>5</v>
      </c>
      <c r="F26" s="6">
        <v>12</v>
      </c>
      <c r="G26">
        <f>SUMIF('库存（子SKU）'!$C:$C,$A26,'库存（子SKU）'!I:I)</f>
        <v>51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51</v>
      </c>
      <c r="L26">
        <f>SUMIF('库存（子SKU）'!$C:$C,$A26,'库存（子SKU）'!N:N)</f>
        <v>0</v>
      </c>
      <c r="M26">
        <f>SUMIF('库存（子SKU）'!$C:$C,$A26,'库存（子SKU）'!O:O)</f>
        <v>52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52</v>
      </c>
      <c r="AI26">
        <f>SUMIF('库存（子SKU）'!$C:$C,$A26,'库存（子SKU）'!AK:AK)</f>
        <v>73</v>
      </c>
      <c r="AJ26">
        <f>SUMIF('库存（子SKU）'!$C:$C,$A26,'库存（子SKU）'!AL:AL)</f>
        <v>30</v>
      </c>
      <c r="AK26">
        <f>SUMIF('库存（子SKU）'!$C:$C,$A26,'库存（子SKU）'!AM:AM)</f>
        <v>49</v>
      </c>
      <c r="AL26" s="23">
        <f t="shared" si="6"/>
        <v>0.0384615384615385</v>
      </c>
      <c r="AM26" s="23">
        <f t="shared" si="7"/>
        <v>0.0821917808219178</v>
      </c>
      <c r="AN26" s="23">
        <f t="shared" si="8"/>
        <v>0.1</v>
      </c>
      <c r="AO26" s="23">
        <f t="shared" si="9"/>
        <v>0.102040816326531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33.8571428571429</v>
      </c>
      <c r="AS26">
        <f t="shared" si="13"/>
        <v>178</v>
      </c>
      <c r="AT26" s="2">
        <f>IFERROR($A$2+AS26,"上周无销量")</f>
        <v>43482</v>
      </c>
    </row>
    <row r="27" spans="1:46">
      <c r="A27" t="s">
        <v>780</v>
      </c>
      <c r="B27" s="5">
        <f>SUMIF('库存（子SKU）'!$C:$C,$A27,'库存（子SKU）'!D:D)</f>
        <v>4</v>
      </c>
      <c r="C27" s="5">
        <f>SUMIF('库存（子SKU）'!$C:$C,$A27,'库存（子SKU）'!E:E)</f>
        <v>7</v>
      </c>
      <c r="D27" s="5">
        <f>SUMIF('库存（子SKU）'!$C:$C,$A27,'库存（子SKU）'!F:F)</f>
        <v>7</v>
      </c>
      <c r="E27" s="5">
        <f>SUMIF('库存（子SKU）'!$C:$C,$A27,'库存（子SKU）'!G:G)</f>
        <v>3</v>
      </c>
      <c r="F27" s="6">
        <v>18.6657142857143</v>
      </c>
      <c r="G27">
        <f>SUMIF('库存（子SKU）'!$C:$C,$A27,'库存（子SKU）'!I:I)</f>
        <v>61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4</v>
      </c>
      <c r="K27">
        <f t="shared" si="0"/>
        <v>65</v>
      </c>
      <c r="L27">
        <f>SUMIF('库存（子SKU）'!$C:$C,$A27,'库存（子SKU）'!N:N)</f>
        <v>0</v>
      </c>
      <c r="M27">
        <f>SUMIF('库存（子SKU）'!$C:$C,$A27,'库存（子SKU）'!O:O)</f>
        <v>33</v>
      </c>
      <c r="N27">
        <f>SUMIF('库存（子SKU）'!$C:$C,$A27,'库存（子SKU）'!P:P)</f>
        <v>18610</v>
      </c>
      <c r="O27">
        <f>SUMIF('库存（子SKU）'!$C:$C,$A27,'库存（子SKU）'!Q:Q)</f>
        <v>14378</v>
      </c>
      <c r="P27">
        <f>SUMIF('库存（子SKU）'!$C:$C,$A27,'库存（子SKU）'!R:R)</f>
        <v>9868</v>
      </c>
      <c r="Q27">
        <f>SUMIF('库存（子SKU）'!$C:$C,$A27,'库存（子SKU）'!S:S)</f>
        <v>6204</v>
      </c>
      <c r="R27">
        <f>SUMIF('库存（子SKU）'!$C:$C,$A27,'库存（子SKU）'!T:T)</f>
        <v>52</v>
      </c>
      <c r="S27">
        <f>SUMIF('库存（子SKU）'!$C:$C,$A27,'库存（子SKU）'!U:U)</f>
        <v>41</v>
      </c>
      <c r="T27">
        <f>SUMIF('库存（子SKU）'!$C:$C,$A27,'库存（子SKU）'!V:V)</f>
        <v>30</v>
      </c>
      <c r="U27">
        <f>SUMIF('库存（子SKU）'!$C:$C,$A27,'库存（子SKU）'!W:W)</f>
        <v>20</v>
      </c>
      <c r="V27" s="23">
        <f t="shared" si="15"/>
        <v>0.00279419666845782</v>
      </c>
      <c r="W27" s="23">
        <f t="shared" si="16"/>
        <v>0.00285157880094589</v>
      </c>
      <c r="X27" s="23">
        <f t="shared" si="17"/>
        <v>0.00304012971220105</v>
      </c>
      <c r="Y27" s="23">
        <f t="shared" si="18"/>
        <v>0.00322372662798195</v>
      </c>
      <c r="Z27">
        <f>SUMIF('库存（子SKU）'!$C:$C,$A27,'库存（子SKU）'!AB:AB)</f>
        <v>41.22</v>
      </c>
      <c r="AA27">
        <f>SUMIF('库存（子SKU）'!$C:$C,$A27,'库存（子SKU）'!AC:AC)</f>
        <v>29.67</v>
      </c>
      <c r="AB27">
        <f>SUMIF('库存（子SKU）'!$C:$C,$A27,'库存（子SKU）'!AD:AD)</f>
        <v>21.47</v>
      </c>
      <c r="AC27">
        <f>SUMIF('库存（子SKU）'!$C:$C,$A27,'库存（子SKU）'!AE:AE)</f>
        <v>14.23</v>
      </c>
      <c r="AD27" s="23">
        <f t="shared" si="2"/>
        <v>0.552081738864227</v>
      </c>
      <c r="AE27" s="23">
        <f t="shared" si="3"/>
        <v>0.227077912138374</v>
      </c>
      <c r="AF27" s="23">
        <f t="shared" si="4"/>
        <v>0.164319608143272</v>
      </c>
      <c r="AG27" s="23">
        <f t="shared" si="5"/>
        <v>0.254120108168784</v>
      </c>
      <c r="AH27">
        <f>SUMIF('库存（子SKU）'!$C:$C,$A27,'库存（子SKU）'!AJ:AJ)</f>
        <v>106</v>
      </c>
      <c r="AI27">
        <f>SUMIF('库存（子SKU）'!$C:$C,$A27,'库存（子SKU）'!AK:AK)</f>
        <v>85</v>
      </c>
      <c r="AJ27">
        <f>SUMIF('库存（子SKU）'!$C:$C,$A27,'库存（子SKU）'!AL:AL)</f>
        <v>57</v>
      </c>
      <c r="AK27">
        <f>SUMIF('库存（子SKU）'!$C:$C,$A27,'库存（子SKU）'!AM:AM)</f>
        <v>28</v>
      </c>
      <c r="AL27" s="23">
        <f t="shared" si="6"/>
        <v>0.0377358490566038</v>
      </c>
      <c r="AM27" s="23">
        <f t="shared" si="7"/>
        <v>0.0823529411764706</v>
      </c>
      <c r="AN27" s="23">
        <f t="shared" si="8"/>
        <v>0.12280701754386</v>
      </c>
      <c r="AO27" s="23">
        <f t="shared" si="9"/>
        <v>0.107142857142857</v>
      </c>
      <c r="AP27" s="7">
        <f t="shared" si="10"/>
        <v>0.571428571428571</v>
      </c>
      <c r="AQ27" s="7">
        <f t="shared" si="11"/>
        <v>34.2857142857143</v>
      </c>
      <c r="AR27" s="7">
        <f t="shared" si="12"/>
        <v>30.7142857142857</v>
      </c>
      <c r="AS27">
        <f t="shared" si="13"/>
        <v>113</v>
      </c>
      <c r="AT27" s="2">
        <f>IFERROR($A$2+AS27,"上周无销量")</f>
        <v>43417</v>
      </c>
    </row>
    <row r="28" spans="1:46">
      <c r="A28" t="s">
        <v>793</v>
      </c>
      <c r="B28" s="5">
        <f>SUMIF('库存（子SKU）'!$C:$C,$A28,'库存（子SKU）'!D:D)</f>
        <v>1</v>
      </c>
      <c r="C28" s="5">
        <f>SUMIF('库存（子SKU）'!$C:$C,$A28,'库存（子SKU）'!E:E)</f>
        <v>3</v>
      </c>
      <c r="D28" s="5">
        <f>SUMIF('库存（子SKU）'!$C:$C,$A28,'库存（子SKU）'!F:F)</f>
        <v>5</v>
      </c>
      <c r="E28" s="5">
        <f>SUMIF('库存（子SKU）'!$C:$C,$A28,'库存（子SKU）'!G:G)</f>
        <v>1</v>
      </c>
      <c r="F28" s="6">
        <v>11.8</v>
      </c>
      <c r="G28">
        <f>SUMIF('库存（子SKU）'!$C:$C,$A28,'库存（子SKU）'!I:I)</f>
        <v>1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1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49</v>
      </c>
      <c r="AI28">
        <f>SUMIF('库存（子SKU）'!$C:$C,$A28,'库存（子SKU）'!AK:AK)</f>
        <v>67</v>
      </c>
      <c r="AJ28">
        <f>SUMIF('库存（子SKU）'!$C:$C,$A28,'库存（子SKU）'!AL:AL)</f>
        <v>31</v>
      </c>
      <c r="AK28">
        <f>SUMIF('库存（子SKU）'!$C:$C,$A28,'库存（子SKU）'!AM:AM)</f>
        <v>46</v>
      </c>
      <c r="AL28" s="23">
        <f t="shared" si="6"/>
        <v>0.0204081632653061</v>
      </c>
      <c r="AM28" s="23">
        <f t="shared" si="7"/>
        <v>0.0447761194029851</v>
      </c>
      <c r="AN28" s="23">
        <f t="shared" si="8"/>
        <v>0.161290322580645</v>
      </c>
      <c r="AO28" s="23">
        <f t="shared" si="9"/>
        <v>0.0217391304347826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-7.57142857142857</v>
      </c>
      <c r="AS28">
        <f t="shared" si="13"/>
        <v>7</v>
      </c>
      <c r="AT28" s="2">
        <f>IFERROR($A$2+AS28,"上周无销量")</f>
        <v>43311</v>
      </c>
    </row>
    <row r="29" spans="1:46">
      <c r="A29" t="s">
        <v>844</v>
      </c>
      <c r="B29" s="5">
        <f>SUMIF('库存（子SKU）'!$C:$C,$A29,'库存（子SKU）'!D:D)</f>
        <v>1</v>
      </c>
      <c r="C29" s="5">
        <f>SUMIF('库存（子SKU）'!$C:$C,$A29,'库存（子SKU）'!E:E)</f>
        <v>6</v>
      </c>
      <c r="D29" s="5">
        <f>SUMIF('库存（子SKU）'!$C:$C,$A29,'库存（子SKU）'!F:F)</f>
        <v>13</v>
      </c>
      <c r="E29" s="5">
        <f>SUMIF('库存（子SKU）'!$C:$C,$A29,'库存（子SKU）'!G:G)</f>
        <v>4</v>
      </c>
      <c r="F29" s="6">
        <v>11.9920833333333</v>
      </c>
      <c r="G29">
        <f>SUMIF('库存（子SKU）'!$C:$C,$A29,'库存（子SKU）'!I:I)</f>
        <v>28</v>
      </c>
      <c r="H29">
        <f>SUMIF('库存（子SKU）'!$C:$C,$A29,'库存（子SKU）'!J:J)</f>
        <v>0</v>
      </c>
      <c r="I29">
        <f>SUMIF('库存（子SKU）'!$C:$C,$A29,'库存（子SKU）'!K:K)</f>
        <v>20</v>
      </c>
      <c r="J29">
        <f>SUMIF('库存（子SKU）'!$C:$C,$A29,'库存（子SKU）'!L:L)</f>
        <v>0</v>
      </c>
      <c r="K29">
        <f t="shared" si="0"/>
        <v>48</v>
      </c>
      <c r="L29">
        <f>SUMIF('库存（子SKU）'!$C:$C,$A29,'库存（子SKU）'!N:N)</f>
        <v>0</v>
      </c>
      <c r="M29">
        <f>SUMIF('库存（子SKU）'!$C:$C,$A29,'库存（子SKU）'!O:O)</f>
        <v>2</v>
      </c>
      <c r="N29">
        <f>SUMIF('库存（子SKU）'!$C:$C,$A29,'库存（子SKU）'!P:P)</f>
        <v>8387</v>
      </c>
      <c r="O29">
        <f>SUMIF('库存（子SKU）'!$C:$C,$A29,'库存（子SKU）'!Q:Q)</f>
        <v>7131</v>
      </c>
      <c r="P29">
        <f>SUMIF('库存（子SKU）'!$C:$C,$A29,'库存（子SKU）'!R:R)</f>
        <v>4197</v>
      </c>
      <c r="Q29">
        <f>SUMIF('库存（子SKU）'!$C:$C,$A29,'库存（子SKU）'!S:S)</f>
        <v>6234</v>
      </c>
      <c r="R29">
        <f>SUMIF('库存（子SKU）'!$C:$C,$A29,'库存（子SKU）'!T:T)</f>
        <v>40</v>
      </c>
      <c r="S29">
        <f>SUMIF('库存（子SKU）'!$C:$C,$A29,'库存（子SKU）'!U:U)</f>
        <v>43</v>
      </c>
      <c r="T29">
        <f>SUMIF('库存（子SKU）'!$C:$C,$A29,'库存（子SKU）'!V:V)</f>
        <v>23</v>
      </c>
      <c r="U29">
        <f>SUMIF('库存（子SKU）'!$C:$C,$A29,'库存（子SKU）'!W:W)</f>
        <v>37</v>
      </c>
      <c r="V29" s="23">
        <f t="shared" si="15"/>
        <v>0.00476928579945153</v>
      </c>
      <c r="W29" s="23">
        <f t="shared" si="16"/>
        <v>0.00603000981629505</v>
      </c>
      <c r="X29" s="23">
        <f t="shared" si="17"/>
        <v>0.00548010483678818</v>
      </c>
      <c r="Y29" s="23">
        <f t="shared" si="18"/>
        <v>0.00593519409688803</v>
      </c>
      <c r="Z29">
        <f>SUMIF('库存（子SKU）'!$C:$C,$A29,'库存（子SKU）'!AB:AB)</f>
        <v>33.87</v>
      </c>
      <c r="AA29">
        <f>SUMIF('库存（子SKU）'!$C:$C,$A29,'库存（子SKU）'!AC:AC)</f>
        <v>39.96</v>
      </c>
      <c r="AB29">
        <f>SUMIF('库存（子SKU）'!$C:$C,$A29,'库存（子SKU）'!AD:AD)</f>
        <v>23.03</v>
      </c>
      <c r="AC29">
        <f>SUMIF('库存（子SKU）'!$C:$C,$A29,'库存（子SKU）'!AE:AE)</f>
        <v>46.36</v>
      </c>
      <c r="AD29" s="23">
        <f t="shared" si="2"/>
        <v>2.8243632952295</v>
      </c>
      <c r="AE29" s="23">
        <f t="shared" si="3"/>
        <v>0.555366387547342</v>
      </c>
      <c r="AF29" s="23">
        <f t="shared" si="4"/>
        <v>0.1477256630309</v>
      </c>
      <c r="AG29" s="23">
        <f t="shared" si="5"/>
        <v>0.96647093568674</v>
      </c>
      <c r="AH29">
        <f>SUMIF('库存（子SKU）'!$C:$C,$A29,'库存（子SKU）'!AJ:AJ)</f>
        <v>107</v>
      </c>
      <c r="AI29">
        <f>SUMIF('库存（子SKU）'!$C:$C,$A29,'库存（子SKU）'!AK:AK)</f>
        <v>113</v>
      </c>
      <c r="AJ29">
        <f>SUMIF('库存（子SKU）'!$C:$C,$A29,'库存（子SKU）'!AL:AL)</f>
        <v>57</v>
      </c>
      <c r="AK29">
        <f>SUMIF('库存（子SKU）'!$C:$C,$A29,'库存（子SKU）'!AM:AM)</f>
        <v>78</v>
      </c>
      <c r="AL29" s="23">
        <f t="shared" si="6"/>
        <v>0.00934579439252336</v>
      </c>
      <c r="AM29" s="23">
        <f t="shared" si="7"/>
        <v>0.0530973451327434</v>
      </c>
      <c r="AN29" s="23">
        <f t="shared" si="8"/>
        <v>0.228070175438596</v>
      </c>
      <c r="AO29" s="23">
        <f t="shared" si="9"/>
        <v>0.0512820512820513</v>
      </c>
      <c r="AP29" s="7">
        <f t="shared" si="10"/>
        <v>0.142857142857143</v>
      </c>
      <c r="AQ29" s="7">
        <f t="shared" si="11"/>
        <v>8.57142857142857</v>
      </c>
      <c r="AR29" s="7">
        <f t="shared" si="12"/>
        <v>39.4285714285714</v>
      </c>
      <c r="AS29">
        <f t="shared" si="13"/>
        <v>336</v>
      </c>
      <c r="AT29" s="2">
        <f>IFERROR($A$2+AS29,"上周无销量")</f>
        <v>43640</v>
      </c>
    </row>
    <row r="30" spans="1:46">
      <c r="A30" t="s">
        <v>857</v>
      </c>
      <c r="B30" s="5">
        <f>SUMIF('库存（子SKU）'!$C:$C,$A30,'库存（子SKU）'!D:D)</f>
        <v>8</v>
      </c>
      <c r="C30" s="5">
        <f>SUMIF('库存（子SKU）'!$C:$C,$A30,'库存（子SKU）'!E:E)</f>
        <v>2</v>
      </c>
      <c r="D30" s="5">
        <f>SUMIF('库存（子SKU）'!$C:$C,$A30,'库存（子SKU）'!F:F)</f>
        <v>7</v>
      </c>
      <c r="E30" s="5">
        <f>SUMIF('库存（子SKU）'!$C:$C,$A30,'库存（子SKU）'!G:G)</f>
        <v>1</v>
      </c>
      <c r="F30" s="6">
        <v>10.99</v>
      </c>
      <c r="G30">
        <f>SUMIF('库存（子SKU）'!$C:$C,$A30,'库存（子SKU）'!I:I)</f>
        <v>1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16902</v>
      </c>
      <c r="O30">
        <f>SUMIF('库存（子SKU）'!$C:$C,$A30,'库存（子SKU）'!Q:Q)</f>
        <v>383</v>
      </c>
      <c r="P30">
        <f>SUMIF('库存（子SKU）'!$C:$C,$A30,'库存（子SKU）'!R:R)</f>
        <v>2341</v>
      </c>
      <c r="Q30">
        <f>SUMIF('库存（子SKU）'!$C:$C,$A30,'库存（子SKU）'!S:S)</f>
        <v>8099</v>
      </c>
      <c r="R30">
        <f>SUMIF('库存（子SKU）'!$C:$C,$A30,'库存（子SKU）'!T:T)</f>
        <v>117</v>
      </c>
      <c r="S30">
        <f>SUMIF('库存（子SKU）'!$C:$C,$A30,'库存（子SKU）'!U:U)</f>
        <v>2</v>
      </c>
      <c r="T30">
        <f>SUMIF('库存（子SKU）'!$C:$C,$A30,'库存（子SKU）'!V:V)</f>
        <v>32</v>
      </c>
      <c r="U30">
        <f>SUMIF('库存（子SKU）'!$C:$C,$A30,'库存（子SKU）'!W:W)</f>
        <v>55</v>
      </c>
      <c r="V30" s="23">
        <f t="shared" si="15"/>
        <v>0.00692225772097977</v>
      </c>
      <c r="W30" s="23">
        <f t="shared" si="16"/>
        <v>0.00522193211488251</v>
      </c>
      <c r="X30" s="23">
        <f t="shared" si="17"/>
        <v>0.0136693720632208</v>
      </c>
      <c r="Y30" s="23">
        <f t="shared" si="18"/>
        <v>0.00679096184714162</v>
      </c>
      <c r="Z30">
        <f>SUMIF('库存（子SKU）'!$C:$C,$A30,'库存（子SKU）'!AB:AB)</f>
        <v>90.37</v>
      </c>
      <c r="AA30">
        <f>SUMIF('库存（子SKU）'!$C:$C,$A30,'库存（子SKU）'!AC:AC)</f>
        <v>1.51</v>
      </c>
      <c r="AB30">
        <f>SUMIF('库存（子SKU）'!$C:$C,$A30,'库存（子SKU）'!AD:AD)</f>
        <v>24.28</v>
      </c>
      <c r="AC30">
        <f>SUMIF('库存（子SKU）'!$C:$C,$A30,'库存（子SKU）'!AE:AE)</f>
        <v>53.4</v>
      </c>
      <c r="AD30" s="23">
        <f t="shared" si="2"/>
        <v>1.02786624203822</v>
      </c>
      <c r="AE30" s="23">
        <f t="shared" si="3"/>
        <v>0.0686988171064604</v>
      </c>
      <c r="AF30" s="23">
        <f t="shared" si="4"/>
        <v>0.315611594956454</v>
      </c>
      <c r="AG30" s="23">
        <f t="shared" si="5"/>
        <v>4.8589626933576</v>
      </c>
      <c r="AH30">
        <f>SUMIF('库存（子SKU）'!$C:$C,$A30,'库存（子SKU）'!AJ:AJ)</f>
        <v>140</v>
      </c>
      <c r="AI30">
        <f>SUMIF('库存（子SKU）'!$C:$C,$A30,'库存（子SKU）'!AK:AK)</f>
        <v>36</v>
      </c>
      <c r="AJ30">
        <f>SUMIF('库存（子SKU）'!$C:$C,$A30,'库存（子SKU）'!AL:AL)</f>
        <v>48</v>
      </c>
      <c r="AK30">
        <f>SUMIF('库存（子SKU）'!$C:$C,$A30,'库存（子SKU）'!AM:AM)</f>
        <v>41</v>
      </c>
      <c r="AL30" s="23">
        <f t="shared" si="6"/>
        <v>0.0571428571428571</v>
      </c>
      <c r="AM30" s="23">
        <f t="shared" si="7"/>
        <v>0.0555555555555556</v>
      </c>
      <c r="AN30" s="23">
        <f t="shared" si="8"/>
        <v>0.145833333333333</v>
      </c>
      <c r="AO30" s="23">
        <f t="shared" si="9"/>
        <v>0.024390243902439</v>
      </c>
      <c r="AP30" s="7">
        <f t="shared" si="10"/>
        <v>1.14285714285714</v>
      </c>
      <c r="AQ30" s="7">
        <f t="shared" si="11"/>
        <v>68.5714285714286</v>
      </c>
      <c r="AR30" s="7">
        <f t="shared" si="12"/>
        <v>-67.5714285714286</v>
      </c>
      <c r="AS30">
        <f t="shared" si="13"/>
        <v>0</v>
      </c>
      <c r="AT30" s="2">
        <f>IFERROR($A$2+AS30,"上周无销量")</f>
        <v>43304</v>
      </c>
    </row>
    <row r="31" spans="1:46">
      <c r="A31" t="s">
        <v>864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54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913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924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1023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1044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5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1093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1124</v>
      </c>
      <c r="B37" s="5">
        <f>SUMIF('库存（子SKU）'!$C:$C,$A37,'库存（子SKU）'!D:D)</f>
        <v>6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7</v>
      </c>
      <c r="G37">
        <f>SUMIF('库存（子SKU）'!$C:$C,$A37,'库存（子SKU）'!I:I)</f>
        <v>16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16</v>
      </c>
      <c r="L37">
        <f>SUMIF('库存（子SKU）'!$C:$C,$A37,'库存（子SKU）'!N:N)</f>
        <v>0</v>
      </c>
      <c r="M37">
        <f>SUMIF('库存（子SKU）'!$C:$C,$A37,'库存（子SKU）'!O:O)</f>
        <v>20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60</v>
      </c>
      <c r="AI37">
        <f>SUMIF('库存（子SKU）'!$C:$C,$A37,'库存（子SKU）'!AK:AK)</f>
        <v>39</v>
      </c>
      <c r="AJ37">
        <f>SUMIF('库存（子SKU）'!$C:$C,$A37,'库存（子SKU）'!AL:AL)</f>
        <v>37</v>
      </c>
      <c r="AK37">
        <f>SUMIF('库存（子SKU）'!$C:$C,$A37,'库存（子SKU）'!AM:AM)</f>
        <v>31</v>
      </c>
      <c r="AL37" s="23">
        <f t="shared" si="6"/>
        <v>0.1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0.857142857142857</v>
      </c>
      <c r="AQ37" s="7">
        <f t="shared" si="11"/>
        <v>51.4285714285714</v>
      </c>
      <c r="AR37" s="7">
        <f t="shared" si="12"/>
        <v>-35.4285714285714</v>
      </c>
      <c r="AS37">
        <f t="shared" si="13"/>
        <v>18</v>
      </c>
      <c r="AT37" s="2">
        <f>IFERROR($A$2+AS37,"上周无销量")</f>
        <v>43322</v>
      </c>
    </row>
    <row r="38" spans="1:46">
      <c r="A38" t="s">
        <v>1139</v>
      </c>
      <c r="B38" s="5">
        <f>SUMIF('库存（子SKU）'!$C:$C,$A38,'库存（子SKU）'!D:D)</f>
        <v>7</v>
      </c>
      <c r="C38" s="5">
        <f>SUMIF('库存（子SKU）'!$C:$C,$A38,'库存（子SKU）'!E:E)</f>
        <v>5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v>10</v>
      </c>
      <c r="G38">
        <f>SUMIF('库存（子SKU）'!$C:$C,$A38,'库存（子SKU）'!I:I)</f>
        <v>106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1</v>
      </c>
      <c r="K38">
        <f t="shared" si="0"/>
        <v>107</v>
      </c>
      <c r="L38">
        <f>SUMIF('库存（子SKU）'!$C:$C,$A38,'库存（子SKU）'!N:N)</f>
        <v>0</v>
      </c>
      <c r="M38">
        <f>SUMIF('库存（子SKU）'!$C:$C,$A38,'库存（子SKU）'!O:O)</f>
        <v>107</v>
      </c>
      <c r="N38">
        <f>SUMIF('库存（子SKU）'!$C:$C,$A38,'库存（子SKU）'!P:P)</f>
        <v>5510</v>
      </c>
      <c r="O38">
        <f>SUMIF('库存（子SKU）'!$C:$C,$A38,'库存（子SKU）'!Q:Q)</f>
        <v>10848</v>
      </c>
      <c r="P38">
        <f>SUMIF('库存（子SKU）'!$C:$C,$A38,'库存（子SKU）'!R:R)</f>
        <v>2918</v>
      </c>
      <c r="Q38">
        <f>SUMIF('库存（子SKU）'!$C:$C,$A38,'库存（子SKU）'!S:S)</f>
        <v>1396</v>
      </c>
      <c r="R38">
        <f>SUMIF('库存（子SKU）'!$C:$C,$A38,'库存（子SKU）'!T:T)</f>
        <v>21</v>
      </c>
      <c r="S38">
        <f>SUMIF('库存（子SKU）'!$C:$C,$A38,'库存（子SKU）'!U:U)</f>
        <v>45</v>
      </c>
      <c r="T38">
        <f>SUMIF('库存（子SKU）'!$C:$C,$A38,'库存（子SKU）'!V:V)</f>
        <v>5</v>
      </c>
      <c r="U38">
        <f>SUMIF('库存（子SKU）'!$C:$C,$A38,'库存（子SKU）'!W:W)</f>
        <v>7</v>
      </c>
      <c r="V38" s="23">
        <f t="shared" si="15"/>
        <v>0.00381125226860254</v>
      </c>
      <c r="W38" s="23">
        <f t="shared" si="16"/>
        <v>0.00414823008849558</v>
      </c>
      <c r="X38" s="23">
        <f t="shared" si="17"/>
        <v>0.00171350239890336</v>
      </c>
      <c r="Y38" s="23">
        <f t="shared" si="18"/>
        <v>0.00501432664756447</v>
      </c>
      <c r="Z38">
        <f>SUMIF('库存（子SKU）'!$C:$C,$A38,'库存（子SKU）'!AB:AB)</f>
        <v>13.41</v>
      </c>
      <c r="AA38">
        <f>SUMIF('库存（子SKU）'!$C:$C,$A38,'库存（子SKU）'!AC:AC)</f>
        <v>27.18</v>
      </c>
      <c r="AB38">
        <f>SUMIF('库存（子SKU）'!$C:$C,$A38,'库存（子SKU）'!AD:AD)</f>
        <v>1.75</v>
      </c>
      <c r="AC38">
        <f>SUMIF('库存（子SKU）'!$C:$C,$A38,'库存（子SKU）'!AE:AE)</f>
        <v>2.02</v>
      </c>
      <c r="AD38" s="23">
        <f t="shared" si="2"/>
        <v>0.191571428571429</v>
      </c>
      <c r="AE38" s="23">
        <f t="shared" si="3"/>
        <v>0.5436</v>
      </c>
      <c r="AF38" s="23" t="str">
        <f t="shared" si="4"/>
        <v>无销量广告费为1.75</v>
      </c>
      <c r="AG38" s="23" t="str">
        <f t="shared" si="5"/>
        <v>无销量广告费为2.02</v>
      </c>
      <c r="AH38">
        <f>SUMIF('库存（子SKU）'!$C:$C,$A38,'库存（子SKU）'!AJ:AJ)</f>
        <v>240</v>
      </c>
      <c r="AI38">
        <f>SUMIF('库存（子SKU）'!$C:$C,$A38,'库存（子SKU）'!AK:AK)</f>
        <v>278</v>
      </c>
      <c r="AJ38">
        <f>SUMIF('库存（子SKU）'!$C:$C,$A38,'库存（子SKU）'!AL:AL)</f>
        <v>57</v>
      </c>
      <c r="AK38">
        <f>SUMIF('库存（子SKU）'!$C:$C,$A38,'库存（子SKU）'!AM:AM)</f>
        <v>48</v>
      </c>
      <c r="AL38" s="23">
        <f t="shared" si="6"/>
        <v>0.0291666666666667</v>
      </c>
      <c r="AM38" s="23">
        <f t="shared" si="7"/>
        <v>0.0179856115107914</v>
      </c>
      <c r="AN38" s="23">
        <f t="shared" si="8"/>
        <v>0</v>
      </c>
      <c r="AO38" s="23">
        <f t="shared" si="9"/>
        <v>0</v>
      </c>
      <c r="AP38" s="7">
        <f t="shared" si="10"/>
        <v>1</v>
      </c>
      <c r="AQ38" s="7">
        <f t="shared" si="11"/>
        <v>60</v>
      </c>
      <c r="AR38" s="7">
        <f t="shared" si="12"/>
        <v>47</v>
      </c>
      <c r="AS38">
        <f t="shared" si="13"/>
        <v>107</v>
      </c>
      <c r="AT38" s="2">
        <f>IFERROR($A$2+AS38,"上周无销量")</f>
        <v>43411</v>
      </c>
    </row>
    <row r="39" spans="1:46">
      <c r="A39" t="s">
        <v>1182</v>
      </c>
      <c r="B39" s="5">
        <f>SUMIF('库存（子SKU）'!$C:$C,$A39,'库存（子SKU）'!D:D)</f>
        <v>5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v>7</v>
      </c>
      <c r="G39">
        <f>SUMIF('库存（子SKU）'!$C:$C,$A39,'库存（子SKU）'!I:I)</f>
        <v>48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48</v>
      </c>
      <c r="L39">
        <f>SUMIF('库存（子SKU）'!$C:$C,$A39,'库存（子SKU）'!N:N)</f>
        <v>0</v>
      </c>
      <c r="M39">
        <f>SUMIF('库存（子SKU）'!$C:$C,$A39,'库存（子SKU）'!O:O)</f>
        <v>54</v>
      </c>
      <c r="N39">
        <f>SUMIF('库存（子SKU）'!$C:$C,$A39,'库存（子SKU）'!P:P)</f>
        <v>3753</v>
      </c>
      <c r="O39">
        <f>SUMIF('库存（子SKU）'!$C:$C,$A39,'库存（子SKU）'!Q:Q)</f>
        <v>8819</v>
      </c>
      <c r="P39">
        <f>SUMIF('库存（子SKU）'!$C:$C,$A39,'库存（子SKU）'!R:R)</f>
        <v>1627</v>
      </c>
      <c r="Q39">
        <f>SUMIF('库存（子SKU）'!$C:$C,$A39,'库存（子SKU）'!S:S)</f>
        <v>1388</v>
      </c>
      <c r="R39">
        <f>SUMIF('库存（子SKU）'!$C:$C,$A39,'库存（子SKU）'!T:T)</f>
        <v>7</v>
      </c>
      <c r="S39">
        <f>SUMIF('库存（子SKU）'!$C:$C,$A39,'库存（子SKU）'!U:U)</f>
        <v>19</v>
      </c>
      <c r="T39">
        <f>SUMIF('库存（子SKU）'!$C:$C,$A39,'库存（子SKU）'!V:V)</f>
        <v>5</v>
      </c>
      <c r="U39">
        <f>SUMIF('库存（子SKU）'!$C:$C,$A39,'库存（子SKU）'!W:W)</f>
        <v>7</v>
      </c>
      <c r="V39" s="23">
        <f t="shared" si="15"/>
        <v>0.00186517452704503</v>
      </c>
      <c r="W39" s="23">
        <f t="shared" si="16"/>
        <v>0.0021544392788298</v>
      </c>
      <c r="X39" s="23">
        <f t="shared" si="17"/>
        <v>0.00307314074984634</v>
      </c>
      <c r="Y39" s="23">
        <f t="shared" si="18"/>
        <v>0.00504322766570605</v>
      </c>
      <c r="Z39">
        <f>SUMIF('库存（子SKU）'!$C:$C,$A39,'库存（子SKU）'!AB:AB)</f>
        <v>5.54</v>
      </c>
      <c r="AA39">
        <f>SUMIF('库存（子SKU）'!$C:$C,$A39,'库存（子SKU）'!AC:AC)</f>
        <v>9.11</v>
      </c>
      <c r="AB39">
        <f>SUMIF('库存（子SKU）'!$C:$C,$A39,'库存（子SKU）'!AD:AD)</f>
        <v>0.87</v>
      </c>
      <c r="AC39">
        <f>SUMIF('库存（子SKU）'!$C:$C,$A39,'库存（子SKU）'!AE:AE)</f>
        <v>2.33</v>
      </c>
      <c r="AD39" s="23">
        <f t="shared" si="2"/>
        <v>0.158285714285714</v>
      </c>
      <c r="AE39" s="23" t="str">
        <f t="shared" si="3"/>
        <v>无销量广告费为9.11</v>
      </c>
      <c r="AF39" s="23" t="str">
        <f t="shared" si="4"/>
        <v>无销量广告费为0.87</v>
      </c>
      <c r="AG39" s="23" t="str">
        <f t="shared" si="5"/>
        <v>无销量广告费为2.33</v>
      </c>
      <c r="AH39">
        <f>SUMIF('库存（子SKU）'!$C:$C,$A39,'库存（子SKU）'!AJ:AJ)</f>
        <v>137</v>
      </c>
      <c r="AI39">
        <f>SUMIF('库存（子SKU）'!$C:$C,$A39,'库存（子SKU）'!AK:AK)</f>
        <v>94</v>
      </c>
      <c r="AJ39">
        <f>SUMIF('库存（子SKU）'!$C:$C,$A39,'库存（子SKU）'!AL:AL)</f>
        <v>58</v>
      </c>
      <c r="AK39">
        <f>SUMIF('库存（子SKU）'!$C:$C,$A39,'库存（子SKU）'!AM:AM)</f>
        <v>29</v>
      </c>
      <c r="AL39" s="23">
        <f t="shared" si="6"/>
        <v>0.0364963503649635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7">
        <f t="shared" si="10"/>
        <v>0.714285714285714</v>
      </c>
      <c r="AQ39" s="7">
        <f t="shared" si="11"/>
        <v>42.8571428571429</v>
      </c>
      <c r="AR39" s="7">
        <f t="shared" si="12"/>
        <v>5.14285714285714</v>
      </c>
      <c r="AS39">
        <f t="shared" si="13"/>
        <v>67</v>
      </c>
      <c r="AT39" s="2">
        <f>IFERROR($A$2+AS39,"上周无销量")</f>
        <v>43371</v>
      </c>
    </row>
    <row r="40" spans="1:46">
      <c r="A40" t="s">
        <v>1211</v>
      </c>
      <c r="B40" s="5">
        <f>SUMIF('库存（子SKU）'!$C:$C,$A40,'库存（子SKU）'!D:D)</f>
        <v>2</v>
      </c>
      <c r="C40" s="5">
        <f>SUMIF('库存（子SKU）'!$C:$C,$A40,'库存（子SKU）'!E:E)</f>
        <v>1</v>
      </c>
      <c r="D40" s="5">
        <f>SUMIF('库存（子SKU）'!$C:$C,$A40,'库存（子SKU）'!F:F)</f>
        <v>0</v>
      </c>
      <c r="E40" s="5">
        <f>SUMIF('库存（子SKU）'!$C:$C,$A40,'库存（子SKU）'!G:G)</f>
        <v>1</v>
      </c>
      <c r="F40" s="6">
        <v>10</v>
      </c>
      <c r="G40">
        <f>SUMIF('库存（子SKU）'!$C:$C,$A40,'库存（子SKU）'!I:I)</f>
        <v>10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10</v>
      </c>
      <c r="L40">
        <f>SUMIF('库存（子SKU）'!$C:$C,$A40,'库存（子SKU）'!N:N)</f>
        <v>0</v>
      </c>
      <c r="M40">
        <f>SUMIF('库存（子SKU）'!$C:$C,$A40,'库存（子SKU）'!O:O)</f>
        <v>11</v>
      </c>
      <c r="N40">
        <f>SUMIF('库存（子SKU）'!$C:$C,$A40,'库存（子SKU）'!P:P)</f>
        <v>8322</v>
      </c>
      <c r="O40">
        <f>SUMIF('库存（子SKU）'!$C:$C,$A40,'库存（子SKU）'!Q:Q)</f>
        <v>15869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26</v>
      </c>
      <c r="S40">
        <f>SUMIF('库存（子SKU）'!$C:$C,$A40,'库存（子SKU）'!U:U)</f>
        <v>37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>
        <f t="shared" si="15"/>
        <v>0.00312424897861091</v>
      </c>
      <c r="W40" s="23">
        <f t="shared" si="16"/>
        <v>0.00233158989224274</v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20.53</v>
      </c>
      <c r="AA40">
        <f>SUMIF('库存（子SKU）'!$C:$C,$A40,'库存（子SKU）'!AC:AC)</f>
        <v>19.25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1.0265</v>
      </c>
      <c r="AE40" s="23">
        <f t="shared" si="3"/>
        <v>1.925</v>
      </c>
      <c r="AF40" s="23" t="str">
        <f t="shared" si="4"/>
        <v/>
      </c>
      <c r="AG40" s="23">
        <f t="shared" si="5"/>
        <v>0</v>
      </c>
      <c r="AH40">
        <f>SUMIF('库存（子SKU）'!$C:$C,$A40,'库存（子SKU）'!AJ:AJ)</f>
        <v>65</v>
      </c>
      <c r="AI40">
        <f>SUMIF('库存（子SKU）'!$C:$C,$A40,'库存（子SKU）'!AK:AK)</f>
        <v>70</v>
      </c>
      <c r="AJ40">
        <f>SUMIF('库存（子SKU）'!$C:$C,$A40,'库存（子SKU）'!AL:AL)</f>
        <v>17</v>
      </c>
      <c r="AK40">
        <f>SUMIF('库存（子SKU）'!$C:$C,$A40,'库存（子SKU）'!AM:AM)</f>
        <v>9</v>
      </c>
      <c r="AL40" s="23">
        <f t="shared" si="6"/>
        <v>0.0307692307692308</v>
      </c>
      <c r="AM40" s="23">
        <f t="shared" si="7"/>
        <v>0.0142857142857143</v>
      </c>
      <c r="AN40" s="23">
        <f t="shared" si="8"/>
        <v>0</v>
      </c>
      <c r="AO40" s="23">
        <f t="shared" si="9"/>
        <v>0.111111111111111</v>
      </c>
      <c r="AP40" s="7">
        <f t="shared" si="10"/>
        <v>0.285714285714286</v>
      </c>
      <c r="AQ40" s="7">
        <f t="shared" si="11"/>
        <v>17.1428571428571</v>
      </c>
      <c r="AR40" s="7">
        <f t="shared" si="12"/>
        <v>-7.14285714285714</v>
      </c>
      <c r="AS40">
        <f t="shared" si="13"/>
        <v>35</v>
      </c>
      <c r="AT40" s="2">
        <f>IFERROR($A$2+AS40,"上周无销量")</f>
        <v>43339</v>
      </c>
    </row>
    <row r="41" spans="1:46">
      <c r="A41" t="s">
        <v>1226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1229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54</v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1</v>
      </c>
      <c r="AS42" t="str">
        <f t="shared" si="13"/>
        <v>库存为1</v>
      </c>
      <c r="AT42" s="2" t="str">
        <f>IFERROR($A$2+AS42,"上周无销量")</f>
        <v>上周无销量</v>
      </c>
    </row>
    <row r="43" spans="1:46">
      <c r="A43" t="s">
        <v>1232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1237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11</v>
      </c>
      <c r="AJ44">
        <f>SUMIF('库存（子SKU）'!$C:$C,$A44,'库存（子SKU）'!AL:AL)</f>
        <v>7</v>
      </c>
      <c r="AK44">
        <f>SUMIF('库存（子SKU）'!$C:$C,$A44,'库存（子SKU）'!AM:AM)</f>
        <v>5</v>
      </c>
      <c r="AL44" s="23" t="str">
        <f t="shared" si="6"/>
        <v/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IFERROR($A$2+AS44,"上周无销量")</f>
        <v>上周无销量</v>
      </c>
    </row>
    <row r="45" spans="1:46">
      <c r="A45" t="s">
        <v>1242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8</v>
      </c>
      <c r="AI45">
        <f>SUMIF('库存（子SKU）'!$C:$C,$A45,'库存（子SKU）'!AK:AK)</f>
        <v>46</v>
      </c>
      <c r="AJ45">
        <f>SUMIF('库存（子SKU）'!$C:$C,$A45,'库存（子SKU）'!AL:AL)</f>
        <v>26</v>
      </c>
      <c r="AK45">
        <f>SUMIF('库存（子SKU）'!$C:$C,$A45,'库存（子SKU）'!AM:AM)</f>
        <v>27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1255</v>
      </c>
      <c r="B46" s="5">
        <f>SUMIF('库存（子SKU）'!$C:$C,$A46,'库存（子SKU）'!D:D)</f>
        <v>1</v>
      </c>
      <c r="C46" s="5">
        <f>SUMIF('库存（子SKU）'!$C:$C,$A46,'库存（子SKU）'!E:E)</f>
        <v>0</v>
      </c>
      <c r="D46" s="5">
        <f>SUMIF('库存（子SKU）'!$C:$C,$A46,'库存（子SKU）'!F:F)</f>
        <v>3</v>
      </c>
      <c r="E46" s="5">
        <f>SUMIF('库存（子SKU）'!$C:$C,$A46,'库存（子SKU）'!G:G)</f>
        <v>2</v>
      </c>
      <c r="F46" s="6">
        <v>13.8166666666667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1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>
        <f t="shared" si="2"/>
        <v>0</v>
      </c>
      <c r="AE46" s="23" t="str">
        <f t="shared" si="3"/>
        <v/>
      </c>
      <c r="AF46" s="23">
        <f t="shared" si="4"/>
        <v>0</v>
      </c>
      <c r="AG46" s="23">
        <f t="shared" si="5"/>
        <v>0</v>
      </c>
      <c r="AH46">
        <f>SUMIF('库存（子SKU）'!$C:$C,$A46,'库存（子SKU）'!AJ:AJ)</f>
        <v>21</v>
      </c>
      <c r="AI46">
        <f>SUMIF('库存（子SKU）'!$C:$C,$A46,'库存（子SKU）'!AK:AK)</f>
        <v>57</v>
      </c>
      <c r="AJ46">
        <f>SUMIF('库存（子SKU）'!$C:$C,$A46,'库存（子SKU）'!AL:AL)</f>
        <v>48</v>
      </c>
      <c r="AK46">
        <f>SUMIF('库存（子SKU）'!$C:$C,$A46,'库存（子SKU）'!AM:AM)</f>
        <v>26</v>
      </c>
      <c r="AL46" s="23">
        <f t="shared" si="6"/>
        <v>0.0476190476190476</v>
      </c>
      <c r="AM46" s="23">
        <f t="shared" si="7"/>
        <v>0</v>
      </c>
      <c r="AN46" s="23">
        <f t="shared" si="8"/>
        <v>0.0625</v>
      </c>
      <c r="AO46" s="23">
        <f t="shared" si="9"/>
        <v>0.0769230769230769</v>
      </c>
      <c r="AP46" s="7">
        <f t="shared" si="10"/>
        <v>0.142857142857143</v>
      </c>
      <c r="AQ46" s="7">
        <f t="shared" si="11"/>
        <v>8.57142857142857</v>
      </c>
      <c r="AR46" s="7">
        <f t="shared" si="12"/>
        <v>-8.57142857142857</v>
      </c>
      <c r="AS46">
        <f t="shared" si="13"/>
        <v>0</v>
      </c>
      <c r="AT46" s="2">
        <f>IFERROR($A$2+AS46,"上周无销量")</f>
        <v>43304</v>
      </c>
    </row>
    <row r="47" spans="1:46">
      <c r="A47" t="s">
        <v>1274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1279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1284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IFERROR($A$2+AS49,"上周无销量")</f>
        <v>上周无销量</v>
      </c>
    </row>
    <row r="50" spans="1:46">
      <c r="A50" t="s">
        <v>1287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54</v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7</v>
      </c>
      <c r="AI50">
        <f>SUMIF('库存（子SKU）'!$C:$C,$A50,'库存（子SKU）'!AK:AK)</f>
        <v>10</v>
      </c>
      <c r="AJ50">
        <f>SUMIF('库存（子SKU）'!$C:$C,$A50,'库存（子SKU）'!AL:AL)</f>
        <v>13</v>
      </c>
      <c r="AK50">
        <f>SUMIF('库存（子SKU）'!$C:$C,$A50,'库存（子SKU）'!AM:AM)</f>
        <v>4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1</v>
      </c>
      <c r="AS50" t="str">
        <f t="shared" si="13"/>
        <v>库存为1</v>
      </c>
      <c r="AT50" s="2" t="str">
        <f>IFERROR($A$2+AS50,"上周无销量")</f>
        <v>上周无销量</v>
      </c>
    </row>
    <row r="51" spans="1:46">
      <c r="A51" t="s">
        <v>1294</v>
      </c>
      <c r="B51" s="5">
        <f>SUMIF('库存（子SKU）'!$C:$C,$A51,'库存（子SKU）'!D:D)</f>
        <v>1</v>
      </c>
      <c r="C51" s="5">
        <f>SUMIF('库存（子SKU）'!$C:$C,$A51,'库存（子SKU）'!E:E)</f>
        <v>1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>
        <v>12.5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>
        <f t="shared" si="3"/>
        <v>0</v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5</v>
      </c>
      <c r="AI51">
        <f>SUMIF('库存（子SKU）'!$C:$C,$A51,'库存（子SKU）'!AK:AK)</f>
        <v>15</v>
      </c>
      <c r="AJ51">
        <f>SUMIF('库存（子SKU）'!$C:$C,$A51,'库存（子SKU）'!AL:AL)</f>
        <v>7</v>
      </c>
      <c r="AK51">
        <f>SUMIF('库存（子SKU）'!$C:$C,$A51,'库存（子SKU）'!AM:AM)</f>
        <v>11</v>
      </c>
      <c r="AL51" s="23">
        <f t="shared" si="6"/>
        <v>0.2</v>
      </c>
      <c r="AM51" s="23">
        <f t="shared" si="7"/>
        <v>0.0666666666666667</v>
      </c>
      <c r="AN51" s="23">
        <f t="shared" si="8"/>
        <v>0</v>
      </c>
      <c r="AO51" s="23">
        <f t="shared" si="9"/>
        <v>0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-8.57142857142857</v>
      </c>
      <c r="AS51">
        <f t="shared" si="13"/>
        <v>0</v>
      </c>
      <c r="AT51" s="2">
        <f>IFERROR($A$2+AS51,"上周无销量")</f>
        <v>43304</v>
      </c>
    </row>
    <row r="52" spans="1:46">
      <c r="A52" t="s">
        <v>1311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IFERROR($A$2+AS52,"上周无销量")</f>
        <v>上周无销量</v>
      </c>
    </row>
    <row r="53" spans="1:46">
      <c r="A53" t="s">
        <v>1315</v>
      </c>
      <c r="B53" s="5">
        <f>SUMIF('库存（子SKU）'!$C:$C,$A53,'库存（子SKU）'!D:D)</f>
        <v>0</v>
      </c>
      <c r="C53" s="5">
        <f>SUMIF('库存（子SKU）'!$C:$C,$A53,'库存（子SKU）'!E:E)</f>
        <v>1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v>18.98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3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>
        <f t="shared" si="7"/>
        <v>0.333333333333333</v>
      </c>
      <c r="AN53" s="23" t="str">
        <f t="shared" si="8"/>
        <v/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1</v>
      </c>
      <c r="AS53" t="str">
        <f t="shared" si="13"/>
        <v>库存为1</v>
      </c>
      <c r="AT53" s="2" t="str">
        <f>IFERROR($A$2+AS53,"上周无销量")</f>
        <v>上周无销量</v>
      </c>
    </row>
    <row r="54" spans="1:46">
      <c r="A54" t="s">
        <v>1356</v>
      </c>
      <c r="B54" s="5">
        <f>SUMIF('库存（子SKU）'!$C:$C,$A54,'库存（子SKU）'!D:D)</f>
        <v>0</v>
      </c>
      <c r="C54" s="5">
        <f>SUMIF('库存（子SKU）'!$C:$C,$A54,'库存（子SKU）'!E:E)</f>
        <v>1</v>
      </c>
      <c r="D54" s="5">
        <f>SUMIF('库存（子SKU）'!$C:$C,$A54,'库存（子SKU）'!F:F)</f>
        <v>0</v>
      </c>
      <c r="E54" s="5">
        <f>SUMIF('库存（子SKU）'!$C:$C,$A54,'库存（子SKU）'!G:G)</f>
        <v>3</v>
      </c>
      <c r="F54" s="6">
        <v>11.48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1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>
        <f t="shared" si="3"/>
        <v>0</v>
      </c>
      <c r="AF54" s="23" t="str">
        <f t="shared" si="4"/>
        <v/>
      </c>
      <c r="AG54" s="23">
        <f t="shared" si="5"/>
        <v>0</v>
      </c>
      <c r="AH54">
        <f>SUMIF('库存（子SKU）'!$C:$C,$A54,'库存（子SKU）'!AJ:AJ)</f>
        <v>2</v>
      </c>
      <c r="AI54">
        <f>SUMIF('库存（子SKU）'!$C:$C,$A54,'库存（子SKU）'!AK:AK)</f>
        <v>20</v>
      </c>
      <c r="AJ54">
        <f>SUMIF('库存（子SKU）'!$C:$C,$A54,'库存（子SKU）'!AL:AL)</f>
        <v>21</v>
      </c>
      <c r="AK54">
        <f>SUMIF('库存（子SKU）'!$C:$C,$A54,'库存（子SKU）'!AM:AM)</f>
        <v>34</v>
      </c>
      <c r="AL54" s="23">
        <f t="shared" si="6"/>
        <v>0</v>
      </c>
      <c r="AM54" s="23">
        <f t="shared" si="7"/>
        <v>0.05</v>
      </c>
      <c r="AN54" s="23">
        <f t="shared" si="8"/>
        <v>0</v>
      </c>
      <c r="AO54" s="23">
        <f t="shared" si="9"/>
        <v>0.0882352941176471</v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IFERROR($A$2+AS54,"上周无销量")</f>
        <v>上周无销量</v>
      </c>
    </row>
    <row r="55" spans="1:46">
      <c r="A55" t="s">
        <v>1375</v>
      </c>
      <c r="B55" s="5">
        <f>SUMIF('库存（子SKU）'!$C:$C,$A55,'库存（子SKU）'!D:D)</f>
        <v>0</v>
      </c>
      <c r="C55" s="5">
        <f>SUMIF('库存（子SKU）'!$C:$C,$A55,'库存（子SKU）'!E:E)</f>
        <v>4</v>
      </c>
      <c r="D55" s="5">
        <f>SUMIF('库存（子SKU）'!$C:$C,$A55,'库存（子SKU）'!F:F)</f>
        <v>12</v>
      </c>
      <c r="E55" s="5">
        <f>SUMIF('库存（子SKU）'!$C:$C,$A55,'库存（子SKU）'!G:G)</f>
        <v>3</v>
      </c>
      <c r="F55" s="6">
        <v>14.6642105263158</v>
      </c>
      <c r="G55">
        <f>SUMIF('库存（子SKU）'!$C:$C,$A55,'库存（子SKU）'!I:I)</f>
        <v>7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7</v>
      </c>
      <c r="L55">
        <f>SUMIF('库存（子SKU）'!$C:$C,$A55,'库存（子SKU）'!N:N)</f>
        <v>0</v>
      </c>
      <c r="M55">
        <f>SUMIF('库存（子SKU）'!$C:$C,$A55,'库存（子SKU）'!O:O)</f>
        <v>4</v>
      </c>
      <c r="N55">
        <f>SUMIF('库存（子SKU）'!$C:$C,$A55,'库存（子SKU）'!P:P)</f>
        <v>0</v>
      </c>
      <c r="O55">
        <f>SUMIF('库存（子SKU）'!$C:$C,$A55,'库存（子SKU）'!Q:Q)</f>
        <v>21929</v>
      </c>
      <c r="P55">
        <f>SUMIF('库存（子SKU）'!$C:$C,$A55,'库存（子SKU）'!R:R)</f>
        <v>80961</v>
      </c>
      <c r="Q55">
        <f>SUMIF('库存（子SKU）'!$C:$C,$A55,'库存（子SKU）'!S:S)</f>
        <v>6277</v>
      </c>
      <c r="R55">
        <f>SUMIF('库存（子SKU）'!$C:$C,$A55,'库存（子SKU）'!T:T)</f>
        <v>0</v>
      </c>
      <c r="S55">
        <f>SUMIF('库存（子SKU）'!$C:$C,$A55,'库存（子SKU）'!U:U)</f>
        <v>14</v>
      </c>
      <c r="T55">
        <f>SUMIF('库存（子SKU）'!$C:$C,$A55,'库存（子SKU）'!V:V)</f>
        <v>78</v>
      </c>
      <c r="U55">
        <f>SUMIF('库存（子SKU）'!$C:$C,$A55,'库存（子SKU）'!W:W)</f>
        <v>16</v>
      </c>
      <c r="V55" s="23" t="str">
        <f t="shared" si="15"/>
        <v/>
      </c>
      <c r="W55" s="23">
        <f t="shared" si="16"/>
        <v>0.000638424004742578</v>
      </c>
      <c r="X55" s="23">
        <f t="shared" si="17"/>
        <v>0.000963426835142847</v>
      </c>
      <c r="Y55" s="23">
        <f t="shared" si="18"/>
        <v>0.00254898837024056</v>
      </c>
      <c r="Z55">
        <f>SUMIF('库存（子SKU）'!$C:$C,$A55,'库存（子SKU）'!AB:AB)</f>
        <v>0</v>
      </c>
      <c r="AA55">
        <f>SUMIF('库存（子SKU）'!$C:$C,$A55,'库存（子SKU）'!AC:AC)</f>
        <v>6.48</v>
      </c>
      <c r="AB55">
        <f>SUMIF('库存（子SKU）'!$C:$C,$A55,'库存（子SKU）'!AD:AD)</f>
        <v>32.91</v>
      </c>
      <c r="AC55">
        <f>SUMIF('库存（子SKU）'!$C:$C,$A55,'库存（子SKU）'!AE:AE)</f>
        <v>3.7</v>
      </c>
      <c r="AD55" s="23" t="str">
        <f t="shared" si="2"/>
        <v/>
      </c>
      <c r="AE55" s="23">
        <f t="shared" si="3"/>
        <v>0.110473045725361</v>
      </c>
      <c r="AF55" s="23">
        <f t="shared" si="4"/>
        <v>0.187019955494939</v>
      </c>
      <c r="AG55" s="23">
        <f t="shared" si="5"/>
        <v>0.0841049936592252</v>
      </c>
      <c r="AH55">
        <f>SUMIF('库存（子SKU）'!$C:$C,$A55,'库存（子SKU）'!AJ:AJ)</f>
        <v>47</v>
      </c>
      <c r="AI55">
        <f>SUMIF('库存（子SKU）'!$C:$C,$A55,'库存（子SKU）'!AK:AK)</f>
        <v>122</v>
      </c>
      <c r="AJ55">
        <f>SUMIF('库存（子SKU）'!$C:$C,$A55,'库存（子SKU）'!AL:AL)</f>
        <v>176</v>
      </c>
      <c r="AK55">
        <f>SUMIF('库存（子SKU）'!$C:$C,$A55,'库存（子SKU）'!AM:AM)</f>
        <v>87</v>
      </c>
      <c r="AL55" s="23">
        <f t="shared" si="6"/>
        <v>0</v>
      </c>
      <c r="AM55" s="23">
        <f t="shared" si="7"/>
        <v>0.0327868852459016</v>
      </c>
      <c r="AN55" s="23">
        <f t="shared" si="8"/>
        <v>0.0681818181818182</v>
      </c>
      <c r="AO55" s="23">
        <f t="shared" si="9"/>
        <v>0.0344827586206897</v>
      </c>
      <c r="AP55" s="7">
        <f t="shared" si="10"/>
        <v>0</v>
      </c>
      <c r="AQ55" s="7">
        <f t="shared" si="11"/>
        <v>0</v>
      </c>
      <c r="AR55" s="7">
        <f t="shared" si="12"/>
        <v>7</v>
      </c>
      <c r="AS55" t="str">
        <f t="shared" si="13"/>
        <v>库存为7</v>
      </c>
      <c r="AT55" s="2" t="str">
        <f>IFERROR($A$2+AS55,"上周无销量")</f>
        <v>上周无销量</v>
      </c>
    </row>
    <row r="56" spans="1:46">
      <c r="A56" t="s">
        <v>1462</v>
      </c>
      <c r="B56" s="5">
        <f>SUMIF('库存（子SKU）'!$C:$C,$A56,'库存（子SKU）'!D:D)</f>
        <v>2</v>
      </c>
      <c r="C56" s="5">
        <f>SUMIF('库存（子SKU）'!$C:$C,$A56,'库存（子SKU）'!E:E)</f>
        <v>3</v>
      </c>
      <c r="D56" s="5">
        <f>SUMIF('库存（子SKU）'!$C:$C,$A56,'库存（子SKU）'!F:F)</f>
        <v>22</v>
      </c>
      <c r="E56" s="5">
        <f>SUMIF('库存（子SKU）'!$C:$C,$A56,'库存（子SKU）'!G:G)</f>
        <v>12</v>
      </c>
      <c r="F56" s="6">
        <v>10.0641025641026</v>
      </c>
      <c r="G56">
        <f>SUMIF('库存（子SKU）'!$C:$C,$A56,'库存（子SKU）'!I:I)</f>
        <v>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4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1120</v>
      </c>
      <c r="Q56">
        <f>SUMIF('库存（子SKU）'!$C:$C,$A56,'库存（子SKU）'!S:S)</f>
        <v>2566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25</v>
      </c>
      <c r="U56">
        <f>SUMIF('库存（子SKU）'!$C:$C,$A56,'库存（子SKU）'!W:W)</f>
        <v>36</v>
      </c>
      <c r="V56" s="23" t="str">
        <f t="shared" si="15"/>
        <v/>
      </c>
      <c r="W56" s="23" t="str">
        <f t="shared" si="16"/>
        <v/>
      </c>
      <c r="X56" s="23">
        <f t="shared" si="17"/>
        <v>0.0223214285714286</v>
      </c>
      <c r="Y56" s="23">
        <f t="shared" si="18"/>
        <v>0.0140296180826189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16.09</v>
      </c>
      <c r="AC56">
        <f>SUMIF('库存（子SKU）'!$C:$C,$A56,'库存（子SKU）'!AE:AE)</f>
        <v>27.89</v>
      </c>
      <c r="AD56" s="23">
        <f t="shared" si="2"/>
        <v>0</v>
      </c>
      <c r="AE56" s="23">
        <f t="shared" si="3"/>
        <v>0</v>
      </c>
      <c r="AF56" s="23">
        <f t="shared" si="4"/>
        <v>0.0726705269253037</v>
      </c>
      <c r="AG56" s="23">
        <f t="shared" si="5"/>
        <v>0.230936305732483</v>
      </c>
      <c r="AH56">
        <f>SUMIF('库存（子SKU）'!$C:$C,$A56,'库存（子SKU）'!AJ:AJ)</f>
        <v>35</v>
      </c>
      <c r="AI56">
        <f>SUMIF('库存（子SKU）'!$C:$C,$A56,'库存（子SKU）'!AK:AK)</f>
        <v>41</v>
      </c>
      <c r="AJ56">
        <f>SUMIF('库存（子SKU）'!$C:$C,$A56,'库存（子SKU）'!AL:AL)</f>
        <v>104</v>
      </c>
      <c r="AK56">
        <f>SUMIF('库存（子SKU）'!$C:$C,$A56,'库存（子SKU）'!AM:AM)</f>
        <v>93</v>
      </c>
      <c r="AL56" s="23">
        <f t="shared" si="6"/>
        <v>0.0571428571428571</v>
      </c>
      <c r="AM56" s="23">
        <f t="shared" si="7"/>
        <v>0.0731707317073171</v>
      </c>
      <c r="AN56" s="23">
        <f t="shared" si="8"/>
        <v>0.211538461538462</v>
      </c>
      <c r="AO56" s="23">
        <f t="shared" si="9"/>
        <v>0.129032258064516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-13.1428571428571</v>
      </c>
      <c r="AS56">
        <f t="shared" si="13"/>
        <v>14</v>
      </c>
      <c r="AT56" s="2">
        <f>IFERROR($A$2+AS56,"上周无销量")</f>
        <v>43318</v>
      </c>
    </row>
    <row r="57" spans="1:46">
      <c r="A57" t="s">
        <v>1517</v>
      </c>
      <c r="B57" s="5">
        <f>SUMIF('库存（子SKU）'!$C:$C,$A57,'库存（子SKU）'!D:D)</f>
        <v>0</v>
      </c>
      <c r="C57" s="5">
        <f>SUMIF('库存（子SKU）'!$C:$C,$A57,'库存（子SKU）'!E:E)</f>
        <v>1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>
        <v>10.99</v>
      </c>
      <c r="G57">
        <f>SUMIF('库存（子SKU）'!$C:$C,$A57,'库存（子SKU）'!I:I)</f>
        <v>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</v>
      </c>
      <c r="L57">
        <f>SUMIF('库存（子SKU）'!$C:$C,$A57,'库存（子SKU）'!N:N)</f>
        <v>0</v>
      </c>
      <c r="M57">
        <f>SUMIF('库存（子SKU）'!$C:$C,$A57,'库存（子SKU）'!O:O)</f>
        <v>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>
        <f t="shared" si="3"/>
        <v>0</v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37</v>
      </c>
      <c r="AI57">
        <f>SUMIF('库存（子SKU）'!$C:$C,$A57,'库存（子SKU）'!AK:AK)</f>
        <v>36</v>
      </c>
      <c r="AJ57">
        <f>SUMIF('库存（子SKU）'!$C:$C,$A57,'库存（子SKU）'!AL:AL)</f>
        <v>14</v>
      </c>
      <c r="AK57">
        <f>SUMIF('库存（子SKU）'!$C:$C,$A57,'库存（子SKU）'!AM:AM)</f>
        <v>4</v>
      </c>
      <c r="AL57" s="23">
        <f t="shared" si="6"/>
        <v>0</v>
      </c>
      <c r="AM57" s="23">
        <f t="shared" si="7"/>
        <v>0.0277777777777778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3</v>
      </c>
      <c r="AS57" t="str">
        <f t="shared" si="13"/>
        <v>库存为3</v>
      </c>
      <c r="AT57" s="2" t="str">
        <f>IFERROR($A$2+AS57,"上周无销量")</f>
        <v>上周无销量</v>
      </c>
    </row>
    <row r="58" spans="1:46">
      <c r="A58" t="s">
        <v>1521</v>
      </c>
      <c r="B58" s="5">
        <f>SUMIF('库存（子SKU）'!$C:$C,$A58,'库存（子SKU）'!D:D)</f>
        <v>1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v>18.99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>
        <f t="shared" si="2"/>
        <v>0</v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-8.57142857142857</v>
      </c>
      <c r="AS58">
        <f t="shared" si="13"/>
        <v>0</v>
      </c>
      <c r="AT58" s="2">
        <f>IFERROR($A$2+AS58,"上周无销量")</f>
        <v>43304</v>
      </c>
    </row>
    <row r="59" spans="1:46">
      <c r="A59" t="s">
        <v>1588</v>
      </c>
      <c r="B59" s="5">
        <f>SUMIF('库存（子SKU）'!$C:$C,$A59,'库存（子SKU）'!D:D)</f>
        <v>475</v>
      </c>
      <c r="C59" s="5">
        <f>SUMIF('库存（子SKU）'!$C:$C,$A59,'库存（子SKU）'!E:E)</f>
        <v>467</v>
      </c>
      <c r="D59" s="5">
        <f>SUMIF('库存（子SKU）'!$C:$C,$A59,'库存（子SKU）'!F:F)</f>
        <v>472</v>
      </c>
      <c r="E59" s="5">
        <f>SUMIF('库存（子SKU）'!$C:$C,$A59,'库存（子SKU）'!G:G)</f>
        <v>321</v>
      </c>
      <c r="F59" s="6">
        <v>17.6701383285302</v>
      </c>
      <c r="G59">
        <f>SUMIF('库存（子SKU）'!$C:$C,$A59,'库存（子SKU）'!I:I)</f>
        <v>1386</v>
      </c>
      <c r="H59">
        <f>SUMIF('库存（子SKU）'!$C:$C,$A59,'库存（子SKU）'!J:J)</f>
        <v>1110</v>
      </c>
      <c r="I59">
        <f>SUMIF('库存（子SKU）'!$C:$C,$A59,'库存（子SKU）'!K:K)</f>
        <v>35</v>
      </c>
      <c r="J59">
        <f>SUMIF('库存（子SKU）'!$C:$C,$A59,'库存（子SKU）'!L:L)</f>
        <v>678</v>
      </c>
      <c r="K59">
        <f t="shared" si="0"/>
        <v>3209</v>
      </c>
      <c r="L59">
        <f>SUMIF('库存（子SKU）'!$C:$C,$A59,'库存（子SKU）'!N:N)</f>
        <v>11</v>
      </c>
      <c r="M59">
        <f>SUMIF('库存（子SKU）'!$C:$C,$A59,'库存（子SKU）'!O:O)</f>
        <v>12</v>
      </c>
      <c r="N59">
        <f>SUMIF('库存（子SKU）'!$C:$C,$A59,'库存（子SKU）'!P:P)</f>
        <v>226734</v>
      </c>
      <c r="O59">
        <f>SUMIF('库存（子SKU）'!$C:$C,$A59,'库存（子SKU）'!Q:Q)</f>
        <v>230193</v>
      </c>
      <c r="P59">
        <f>SUMIF('库存（子SKU）'!$C:$C,$A59,'库存（子SKU）'!R:R)</f>
        <v>277076</v>
      </c>
      <c r="Q59">
        <f>SUMIF('库存（子SKU）'!$C:$C,$A59,'库存（子SKU）'!S:S)</f>
        <v>146553</v>
      </c>
      <c r="R59">
        <f>SUMIF('库存（子SKU）'!$C:$C,$A59,'库存（子SKU）'!T:T)</f>
        <v>1653</v>
      </c>
      <c r="S59">
        <f>SUMIF('库存（子SKU）'!$C:$C,$A59,'库存（子SKU）'!U:U)</f>
        <v>1721</v>
      </c>
      <c r="T59">
        <f>SUMIF('库存（子SKU）'!$C:$C,$A59,'库存（子SKU）'!V:V)</f>
        <v>1970</v>
      </c>
      <c r="U59">
        <f>SUMIF('库存（子SKU）'!$C:$C,$A59,'库存（子SKU）'!W:W)</f>
        <v>850</v>
      </c>
      <c r="V59" s="23">
        <f t="shared" si="15"/>
        <v>0.00729048135700865</v>
      </c>
      <c r="W59" s="23">
        <f t="shared" si="16"/>
        <v>0.00747633507534982</v>
      </c>
      <c r="X59" s="23">
        <f t="shared" si="17"/>
        <v>0.00710996260953673</v>
      </c>
      <c r="Y59" s="23">
        <f t="shared" si="18"/>
        <v>0.00579994950632194</v>
      </c>
      <c r="Z59">
        <f>SUMIF('库存（子SKU）'!$C:$C,$A59,'库存（子SKU）'!AB:AB)</f>
        <v>1361.65</v>
      </c>
      <c r="AA59">
        <f>SUMIF('库存（子SKU）'!$C:$C,$A59,'库存（子SKU）'!AC:AC)</f>
        <v>1392.68</v>
      </c>
      <c r="AB59">
        <f>SUMIF('库存（子SKU）'!$C:$C,$A59,'库存（子SKU）'!AD:AD)</f>
        <v>1603.82</v>
      </c>
      <c r="AC59">
        <f>SUMIF('库存（子SKU）'!$C:$C,$A59,'库存（子SKU）'!AE:AE)</f>
        <v>631.1</v>
      </c>
      <c r="AD59" s="23">
        <f t="shared" si="2"/>
        <v>0.162230285108686</v>
      </c>
      <c r="AE59" s="23">
        <f t="shared" si="3"/>
        <v>0.168769711856786</v>
      </c>
      <c r="AF59" s="23">
        <f t="shared" si="4"/>
        <v>0.192297517180569</v>
      </c>
      <c r="AG59" s="23">
        <f t="shared" si="5"/>
        <v>0.111263623246955</v>
      </c>
      <c r="AH59">
        <f>SUMIF('库存（子SKU）'!$C:$C,$A59,'库存（子SKU）'!AJ:AJ)</f>
        <v>11656</v>
      </c>
      <c r="AI59">
        <f>SUMIF('库存（子SKU）'!$C:$C,$A59,'库存（子SKU）'!AK:AK)</f>
        <v>9607</v>
      </c>
      <c r="AJ59">
        <f>SUMIF('库存（子SKU）'!$C:$C,$A59,'库存（子SKU）'!AL:AL)</f>
        <v>5879</v>
      </c>
      <c r="AK59">
        <f>SUMIF('库存（子SKU）'!$C:$C,$A59,'库存（子SKU）'!AM:AM)</f>
        <v>5022</v>
      </c>
      <c r="AL59" s="23">
        <f t="shared" si="6"/>
        <v>0.040751544269046</v>
      </c>
      <c r="AM59" s="23">
        <f t="shared" si="7"/>
        <v>0.0486103882585615</v>
      </c>
      <c r="AN59" s="23">
        <f t="shared" si="8"/>
        <v>0.0802857628848444</v>
      </c>
      <c r="AO59" s="23">
        <f t="shared" si="9"/>
        <v>0.0639187574671446</v>
      </c>
      <c r="AP59" s="7">
        <f t="shared" si="10"/>
        <v>67.8571428571429</v>
      </c>
      <c r="AQ59" s="7">
        <f t="shared" si="11"/>
        <v>4071.42857142857</v>
      </c>
      <c r="AR59" s="7">
        <f t="shared" si="12"/>
        <v>-862.428571428572</v>
      </c>
      <c r="AS59">
        <f t="shared" si="13"/>
        <v>47</v>
      </c>
      <c r="AT59" s="2">
        <f>IFERROR($A$2+AS59,"上周无销量")</f>
        <v>43351</v>
      </c>
    </row>
    <row r="60" spans="1:46">
      <c r="A60" t="s">
        <v>1673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IFERROR($A$2+AS60,"上周无销量")</f>
        <v>上周无销量</v>
      </c>
    </row>
    <row r="61" spans="1:46">
      <c r="A61" t="s">
        <v>1680</v>
      </c>
      <c r="B61" s="5">
        <f>SUMIF('库存（子SKU）'!$C:$C,$A61,'库存（子SKU）'!D:D)</f>
        <v>7</v>
      </c>
      <c r="C61" s="5">
        <f>SUMIF('库存（子SKU）'!$C:$C,$A61,'库存（子SKU）'!E:E)</f>
        <v>8</v>
      </c>
      <c r="D61" s="5">
        <f>SUMIF('库存（子SKU）'!$C:$C,$A61,'库存（子SKU）'!F:F)</f>
        <v>8</v>
      </c>
      <c r="E61" s="5">
        <f>SUMIF('库存（子SKU）'!$C:$C,$A61,'库存（子SKU）'!G:G)</f>
        <v>2</v>
      </c>
      <c r="F61" s="6">
        <v>9.99</v>
      </c>
      <c r="G61">
        <f>SUMIF('库存（子SKU）'!$C:$C,$A61,'库存（子SKU）'!I:I)</f>
        <v>55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9</v>
      </c>
      <c r="K61">
        <f t="shared" si="0"/>
        <v>64</v>
      </c>
      <c r="L61">
        <f>SUMIF('库存（子SKU）'!$C:$C,$A61,'库存（子SKU）'!N:N)</f>
        <v>1</v>
      </c>
      <c r="M61">
        <f>SUMIF('库存（子SKU）'!$C:$C,$A61,'库存（子SKU）'!O:O)</f>
        <v>65</v>
      </c>
      <c r="N61">
        <f>SUMIF('库存（子SKU）'!$C:$C,$A61,'库存（子SKU）'!P:P)</f>
        <v>6340</v>
      </c>
      <c r="O61">
        <f>SUMIF('库存（子SKU）'!$C:$C,$A61,'库存（子SKU）'!Q:Q)</f>
        <v>5069</v>
      </c>
      <c r="P61">
        <f>SUMIF('库存（子SKU）'!$C:$C,$A61,'库存（子SKU）'!R:R)</f>
        <v>2808</v>
      </c>
      <c r="Q61">
        <f>SUMIF('库存（子SKU）'!$C:$C,$A61,'库存（子SKU）'!S:S)</f>
        <v>2246</v>
      </c>
      <c r="R61">
        <f>SUMIF('库存（子SKU）'!$C:$C,$A61,'库存（子SKU）'!T:T)</f>
        <v>21</v>
      </c>
      <c r="S61">
        <f>SUMIF('库存（子SKU）'!$C:$C,$A61,'库存（子SKU）'!U:U)</f>
        <v>23</v>
      </c>
      <c r="T61">
        <f>SUMIF('库存（子SKU）'!$C:$C,$A61,'库存（子SKU）'!V:V)</f>
        <v>8</v>
      </c>
      <c r="U61">
        <f>SUMIF('库存（子SKU）'!$C:$C,$A61,'库存（子SKU）'!W:W)</f>
        <v>11</v>
      </c>
      <c r="V61" s="23">
        <f t="shared" si="15"/>
        <v>0.00331230283911672</v>
      </c>
      <c r="W61" s="23">
        <f t="shared" si="16"/>
        <v>0.00453738409942789</v>
      </c>
      <c r="X61" s="23">
        <f t="shared" si="17"/>
        <v>0.00284900284900285</v>
      </c>
      <c r="Y61" s="23">
        <f t="shared" si="18"/>
        <v>0.00489759572573464</v>
      </c>
      <c r="Z61">
        <f>SUMIF('库存（子SKU）'!$C:$C,$A61,'库存（子SKU）'!AB:AB)</f>
        <v>11.01</v>
      </c>
      <c r="AA61">
        <f>SUMIF('库存（子SKU）'!$C:$C,$A61,'库存（子SKU）'!AC:AC)</f>
        <v>14.56</v>
      </c>
      <c r="AB61">
        <f>SUMIF('库存（子SKU）'!$C:$C,$A61,'库存（子SKU）'!AD:AD)</f>
        <v>3.61</v>
      </c>
      <c r="AC61">
        <f>SUMIF('库存（子SKU）'!$C:$C,$A61,'库存（子SKU）'!AE:AE)</f>
        <v>5.84</v>
      </c>
      <c r="AD61" s="23">
        <f t="shared" si="2"/>
        <v>0.157443157443157</v>
      </c>
      <c r="AE61" s="23">
        <f t="shared" si="3"/>
        <v>0.182182182182182</v>
      </c>
      <c r="AF61" s="23">
        <f t="shared" si="4"/>
        <v>0.0451701701701702</v>
      </c>
      <c r="AG61" s="23">
        <f t="shared" si="5"/>
        <v>0.292292292292292</v>
      </c>
      <c r="AH61">
        <f>SUMIF('库存（子SKU）'!$C:$C,$A61,'库存（子SKU）'!AJ:AJ)</f>
        <v>153</v>
      </c>
      <c r="AI61">
        <f>SUMIF('库存（子SKU）'!$C:$C,$A61,'库存（子SKU）'!AK:AK)</f>
        <v>147</v>
      </c>
      <c r="AJ61">
        <f>SUMIF('库存（子SKU）'!$C:$C,$A61,'库存（子SKU）'!AL:AL)</f>
        <v>83</v>
      </c>
      <c r="AK61">
        <f>SUMIF('库存（子SKU）'!$C:$C,$A61,'库存（子SKU）'!AM:AM)</f>
        <v>59</v>
      </c>
      <c r="AL61" s="23">
        <f t="shared" si="6"/>
        <v>0.0457516339869281</v>
      </c>
      <c r="AM61" s="23">
        <f t="shared" si="7"/>
        <v>0.054421768707483</v>
      </c>
      <c r="AN61" s="23">
        <f t="shared" si="8"/>
        <v>0.0963855421686747</v>
      </c>
      <c r="AO61" s="23">
        <f t="shared" si="9"/>
        <v>0.0338983050847458</v>
      </c>
      <c r="AP61" s="7">
        <f t="shared" si="10"/>
        <v>1</v>
      </c>
      <c r="AQ61" s="7">
        <f t="shared" si="11"/>
        <v>60</v>
      </c>
      <c r="AR61" s="7">
        <f t="shared" si="12"/>
        <v>4</v>
      </c>
      <c r="AS61">
        <f t="shared" si="13"/>
        <v>64</v>
      </c>
      <c r="AT61" s="2">
        <f>IFERROR($A$2+AS61,"上周无销量")</f>
        <v>43368</v>
      </c>
    </row>
    <row r="62" spans="1:46">
      <c r="A62" t="s">
        <v>1713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54</v>
      </c>
      <c r="G62">
        <f>SUMIF('库存（子SKU）'!$C:$C,$A62,'库存（子SKU）'!I:I)</f>
        <v>133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133</v>
      </c>
      <c r="L62">
        <f>SUMIF('库存（子SKU）'!$C:$C,$A62,'库存（子SKU）'!N:N)</f>
        <v>0</v>
      </c>
      <c r="M62">
        <f>SUMIF('库存（子SKU）'!$C:$C,$A62,'库存（子SKU）'!O:O)</f>
        <v>133</v>
      </c>
      <c r="N62">
        <f>SUMIF('库存（子SKU）'!$C:$C,$A62,'库存（子SKU）'!P:P)</f>
        <v>186</v>
      </c>
      <c r="O62">
        <f>SUMIF('库存（子SKU）'!$C:$C,$A62,'库存（子SKU）'!Q:Q)</f>
        <v>274</v>
      </c>
      <c r="P62">
        <f>SUMIF('库存（子SKU）'!$C:$C,$A62,'库存（子SKU）'!R:R)</f>
        <v>285</v>
      </c>
      <c r="Q62">
        <f>SUMIF('库存（子SKU）'!$C:$C,$A62,'库存（子SKU）'!S:S)</f>
        <v>59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111</v>
      </c>
      <c r="AI62">
        <f>SUMIF('库存（子SKU）'!$C:$C,$A62,'库存（子SKU）'!AK:AK)</f>
        <v>49</v>
      </c>
      <c r="AJ62">
        <f>SUMIF('库存（子SKU）'!$C:$C,$A62,'库存（子SKU）'!AL:AL)</f>
        <v>44</v>
      </c>
      <c r="AK62">
        <f>SUMIF('库存（子SKU）'!$C:$C,$A62,'库存（子SKU）'!AM:AM)</f>
        <v>73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133</v>
      </c>
      <c r="AS62" t="str">
        <f t="shared" si="13"/>
        <v>库存为133</v>
      </c>
      <c r="AT62" s="2" t="str">
        <f>IFERROR($A$2+AS62,"上周无销量")</f>
        <v>上周无销量</v>
      </c>
    </row>
    <row r="63" spans="1:46">
      <c r="A63" t="s">
        <v>1792</v>
      </c>
      <c r="B63" s="5">
        <f>SUMIF('库存（子SKU）'!$C:$C,$A63,'库存（子SKU）'!D:D)</f>
        <v>5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v>7</v>
      </c>
      <c r="G63">
        <f>SUMIF('库存（子SKU）'!$C:$C,$A63,'库存（子SKU）'!I:I)</f>
        <v>11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11</v>
      </c>
      <c r="L63">
        <f>SUMIF('库存（子SKU）'!$C:$C,$A63,'库存（子SKU）'!N:N)</f>
        <v>0</v>
      </c>
      <c r="M63">
        <f>SUMIF('库存（子SKU）'!$C:$C,$A63,'库存（子SKU）'!O:O)</f>
        <v>13</v>
      </c>
      <c r="N63">
        <f>SUMIF('库存（子SKU）'!$C:$C,$A63,'库存（子SKU）'!P:P)</f>
        <v>101</v>
      </c>
      <c r="O63">
        <f>SUMIF('库存（子SKU）'!$C:$C,$A63,'库存（子SKU）'!Q:Q)</f>
        <v>184</v>
      </c>
      <c r="P63">
        <f>SUMIF('库存（子SKU）'!$C:$C,$A63,'库存（子SKU）'!R:R)</f>
        <v>252</v>
      </c>
      <c r="Q63">
        <f>SUMIF('库存（子SKU）'!$C:$C,$A63,'库存（子SKU）'!S:S)</f>
        <v>151</v>
      </c>
      <c r="R63">
        <f>SUMIF('库存（子SKU）'!$C:$C,$A63,'库存（子SKU）'!T:T)</f>
        <v>1</v>
      </c>
      <c r="S63">
        <f>SUMIF('库存（子SKU）'!$C:$C,$A63,'库存（子SKU）'!U:U)</f>
        <v>0</v>
      </c>
      <c r="T63">
        <f>SUMIF('库存（子SKU）'!$C:$C,$A63,'库存（子SKU）'!V:V)</f>
        <v>3</v>
      </c>
      <c r="U63">
        <f>SUMIF('库存（子SKU）'!$C:$C,$A63,'库存（子SKU）'!W:W)</f>
        <v>2</v>
      </c>
      <c r="V63" s="23">
        <f t="shared" si="15"/>
        <v>0.0099009900990099</v>
      </c>
      <c r="W63" s="23">
        <f t="shared" si="16"/>
        <v>0</v>
      </c>
      <c r="X63" s="23">
        <f t="shared" si="17"/>
        <v>0.0119047619047619</v>
      </c>
      <c r="Y63" s="23">
        <f t="shared" si="18"/>
        <v>0.0132450331125828</v>
      </c>
      <c r="Z63">
        <f>SUMIF('库存（子SKU）'!$C:$C,$A63,'库存（子SKU）'!AB:AB)</f>
        <v>0.52</v>
      </c>
      <c r="AA63">
        <f>SUMIF('库存（子SKU）'!$C:$C,$A63,'库存（子SKU）'!AC:AC)</f>
        <v>0</v>
      </c>
      <c r="AB63">
        <f>SUMIF('库存（子SKU）'!$C:$C,$A63,'库存（子SKU）'!AD:AD)</f>
        <v>1.24</v>
      </c>
      <c r="AC63">
        <f>SUMIF('库存（子SKU）'!$C:$C,$A63,'库存（子SKU）'!AE:AE)</f>
        <v>0.37</v>
      </c>
      <c r="AD63" s="23">
        <f t="shared" si="2"/>
        <v>0.0148571428571429</v>
      </c>
      <c r="AE63" s="23" t="str">
        <f t="shared" si="3"/>
        <v/>
      </c>
      <c r="AF63" s="23" t="str">
        <f t="shared" si="4"/>
        <v>无销量广告费为1.24</v>
      </c>
      <c r="AG63" s="23" t="str">
        <f t="shared" si="5"/>
        <v>无销量广告费为0.37</v>
      </c>
      <c r="AH63">
        <f>SUMIF('库存（子SKU）'!$C:$C,$A63,'库存（子SKU）'!AJ:AJ)</f>
        <v>39</v>
      </c>
      <c r="AI63">
        <f>SUMIF('库存（子SKU）'!$C:$C,$A63,'库存（子SKU）'!AK:AK)</f>
        <v>23</v>
      </c>
      <c r="AJ63">
        <f>SUMIF('库存（子SKU）'!$C:$C,$A63,'库存（子SKU）'!AL:AL)</f>
        <v>17</v>
      </c>
      <c r="AK63">
        <f>SUMIF('库存（子SKU）'!$C:$C,$A63,'库存（子SKU）'!AM:AM)</f>
        <v>5</v>
      </c>
      <c r="AL63" s="23">
        <f t="shared" si="6"/>
        <v>0.128205128205128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7">
        <f t="shared" si="10"/>
        <v>0.714285714285714</v>
      </c>
      <c r="AQ63" s="7">
        <f t="shared" si="11"/>
        <v>42.8571428571429</v>
      </c>
      <c r="AR63" s="7">
        <f t="shared" si="12"/>
        <v>-31.8571428571429</v>
      </c>
      <c r="AS63">
        <f t="shared" si="13"/>
        <v>15</v>
      </c>
      <c r="AT63" s="2">
        <f>IFERROR($A$2+AS63,"上周无销量")</f>
        <v>43319</v>
      </c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90" operator="lessThan">
      <formula>20</formula>
    </cfRule>
    <cfRule type="cellIs" dxfId="1" priority="2789" operator="greaterThan">
      <formula>120</formula>
    </cfRule>
    <cfRule type="containsText" dxfId="3" priority="2788" operator="between" text="库存">
      <formula>NOT(ISERROR(SEARCH("库存",AS2)))</formula>
    </cfRule>
  </conditionalFormatting>
  <conditionalFormatting sqref="AS6">
    <cfRule type="cellIs" dxfId="0" priority="174" operator="lessThan">
      <formula>20</formula>
    </cfRule>
    <cfRule type="cellIs" dxfId="1" priority="116" operator="greaterThan">
      <formula>120</formula>
    </cfRule>
    <cfRule type="containsText" dxfId="3" priority="58" operator="between" text="库存">
      <formula>NOT(ISERROR(SEARCH("库存",AS6)))</formula>
    </cfRule>
  </conditionalFormatting>
  <conditionalFormatting sqref="AS7">
    <cfRule type="cellIs" dxfId="0" priority="173" operator="lessThan">
      <formula>20</formula>
    </cfRule>
    <cfRule type="cellIs" dxfId="1" priority="115" operator="greaterThan">
      <formula>120</formula>
    </cfRule>
    <cfRule type="containsText" dxfId="3" priority="57" operator="between" text="库存">
      <formula>NOT(ISERROR(SEARCH("库存",AS7)))</formula>
    </cfRule>
  </conditionalFormatting>
  <conditionalFormatting sqref="AS8">
    <cfRule type="cellIs" dxfId="0" priority="172" operator="lessThan">
      <formula>20</formula>
    </cfRule>
    <cfRule type="cellIs" dxfId="1" priority="114" operator="greaterThan">
      <formula>120</formula>
    </cfRule>
    <cfRule type="containsText" dxfId="3" priority="56" operator="between" text="库存">
      <formula>NOT(ISERROR(SEARCH("库存",AS8)))</formula>
    </cfRule>
  </conditionalFormatting>
  <conditionalFormatting sqref="AS9">
    <cfRule type="cellIs" dxfId="0" priority="171" operator="lessThan">
      <formula>20</formula>
    </cfRule>
    <cfRule type="cellIs" dxfId="1" priority="113" operator="greaterThan">
      <formula>120</formula>
    </cfRule>
    <cfRule type="containsText" dxfId="3" priority="55" operator="between" text="库存">
      <formula>NOT(ISERROR(SEARCH("库存",AS9)))</formula>
    </cfRule>
  </conditionalFormatting>
  <conditionalFormatting sqref="AS10">
    <cfRule type="cellIs" dxfId="0" priority="170" operator="lessThan">
      <formula>20</formula>
    </cfRule>
    <cfRule type="cellIs" dxfId="1" priority="112" operator="greaterThan">
      <formula>120</formula>
    </cfRule>
    <cfRule type="containsText" dxfId="3" priority="54" operator="between" text="库存">
      <formula>NOT(ISERROR(SEARCH("库存",AS10)))</formula>
    </cfRule>
  </conditionalFormatting>
  <conditionalFormatting sqref="AS11">
    <cfRule type="cellIs" dxfId="0" priority="169" operator="lessThan">
      <formula>20</formula>
    </cfRule>
    <cfRule type="cellIs" dxfId="1" priority="111" operator="greaterThan">
      <formula>120</formula>
    </cfRule>
    <cfRule type="containsText" dxfId="3" priority="53" operator="between" text="库存">
      <formula>NOT(ISERROR(SEARCH("库存",AS11)))</formula>
    </cfRule>
  </conditionalFormatting>
  <conditionalFormatting sqref="AS12">
    <cfRule type="cellIs" dxfId="0" priority="168" operator="lessThan">
      <formula>20</formula>
    </cfRule>
    <cfRule type="cellIs" dxfId="1" priority="110" operator="greaterThan">
      <formula>120</formula>
    </cfRule>
    <cfRule type="containsText" dxfId="3" priority="52" operator="between" text="库存">
      <formula>NOT(ISERROR(SEARCH("库存",AS12)))</formula>
    </cfRule>
  </conditionalFormatting>
  <conditionalFormatting sqref="AS13">
    <cfRule type="cellIs" dxfId="0" priority="167" operator="lessThan">
      <formula>20</formula>
    </cfRule>
    <cfRule type="cellIs" dxfId="1" priority="109" operator="greaterThan">
      <formula>120</formula>
    </cfRule>
    <cfRule type="containsText" dxfId="3" priority="51" operator="between" text="库存">
      <formula>NOT(ISERROR(SEARCH("库存",AS13)))</formula>
    </cfRule>
  </conditionalFormatting>
  <conditionalFormatting sqref="AS14">
    <cfRule type="cellIs" dxfId="0" priority="166" operator="lessThan">
      <formula>20</formula>
    </cfRule>
    <cfRule type="cellIs" dxfId="1" priority="108" operator="greaterThan">
      <formula>120</formula>
    </cfRule>
    <cfRule type="containsText" dxfId="3" priority="50" operator="between" text="库存">
      <formula>NOT(ISERROR(SEARCH("库存",AS14)))</formula>
    </cfRule>
  </conditionalFormatting>
  <conditionalFormatting sqref="AS15">
    <cfRule type="cellIs" dxfId="0" priority="165" operator="lessThan">
      <formula>20</formula>
    </cfRule>
    <cfRule type="cellIs" dxfId="1" priority="107" operator="greaterThan">
      <formula>120</formula>
    </cfRule>
    <cfRule type="containsText" dxfId="3" priority="49" operator="between" text="库存">
      <formula>NOT(ISERROR(SEARCH("库存",AS15)))</formula>
    </cfRule>
  </conditionalFormatting>
  <conditionalFormatting sqref="AS16">
    <cfRule type="cellIs" dxfId="0" priority="164" operator="lessThan">
      <formula>20</formula>
    </cfRule>
    <cfRule type="cellIs" dxfId="1" priority="106" operator="greaterThan">
      <formula>120</formula>
    </cfRule>
    <cfRule type="containsText" dxfId="3" priority="48" operator="between" text="库存">
      <formula>NOT(ISERROR(SEARCH("库存",AS16)))</formula>
    </cfRule>
  </conditionalFormatting>
  <conditionalFormatting sqref="AS17">
    <cfRule type="cellIs" dxfId="0" priority="163" operator="lessThan">
      <formula>20</formula>
    </cfRule>
    <cfRule type="cellIs" dxfId="1" priority="105" operator="greaterThan">
      <formula>120</formula>
    </cfRule>
    <cfRule type="containsText" dxfId="3" priority="47" operator="between" text="库存">
      <formula>NOT(ISERROR(SEARCH("库存",AS17)))</formula>
    </cfRule>
  </conditionalFormatting>
  <conditionalFormatting sqref="AS18">
    <cfRule type="cellIs" dxfId="0" priority="162" operator="lessThan">
      <formula>20</formula>
    </cfRule>
    <cfRule type="cellIs" dxfId="1" priority="104" operator="greaterThan">
      <formula>120</formula>
    </cfRule>
    <cfRule type="containsText" dxfId="3" priority="46" operator="between" text="库存">
      <formula>NOT(ISERROR(SEARCH("库存",AS18)))</formula>
    </cfRule>
  </conditionalFormatting>
  <conditionalFormatting sqref="AS19">
    <cfRule type="cellIs" dxfId="0" priority="161" operator="lessThan">
      <formula>20</formula>
    </cfRule>
    <cfRule type="cellIs" dxfId="1" priority="103" operator="greaterThan">
      <formula>120</formula>
    </cfRule>
    <cfRule type="containsText" dxfId="3" priority="45" operator="between" text="库存">
      <formula>NOT(ISERROR(SEARCH("库存",AS19)))</formula>
    </cfRule>
  </conditionalFormatting>
  <conditionalFormatting sqref="AS20">
    <cfRule type="cellIs" dxfId="0" priority="160" operator="lessThan">
      <formula>20</formula>
    </cfRule>
    <cfRule type="cellIs" dxfId="1" priority="102" operator="greaterThan">
      <formula>120</formula>
    </cfRule>
    <cfRule type="containsText" dxfId="3" priority="44" operator="between" text="库存">
      <formula>NOT(ISERROR(SEARCH("库存",AS20)))</formula>
    </cfRule>
  </conditionalFormatting>
  <conditionalFormatting sqref="AS21">
    <cfRule type="cellIs" dxfId="0" priority="159" operator="lessThan">
      <formula>20</formula>
    </cfRule>
    <cfRule type="cellIs" dxfId="1" priority="101" operator="greaterThan">
      <formula>120</formula>
    </cfRule>
    <cfRule type="containsText" dxfId="3" priority="43" operator="between" text="库存">
      <formula>NOT(ISERROR(SEARCH("库存",AS21)))</formula>
    </cfRule>
  </conditionalFormatting>
  <conditionalFormatting sqref="AS22">
    <cfRule type="cellIs" dxfId="0" priority="158" operator="lessThan">
      <formula>20</formula>
    </cfRule>
    <cfRule type="cellIs" dxfId="1" priority="100" operator="greaterThan">
      <formula>120</formula>
    </cfRule>
    <cfRule type="containsText" dxfId="3" priority="42" operator="between" text="库存">
      <formula>NOT(ISERROR(SEARCH("库存",AS22)))</formula>
    </cfRule>
  </conditionalFormatting>
  <conditionalFormatting sqref="AS23">
    <cfRule type="cellIs" dxfId="0" priority="157" operator="lessThan">
      <formula>20</formula>
    </cfRule>
    <cfRule type="cellIs" dxfId="1" priority="99" operator="greaterThan">
      <formula>120</formula>
    </cfRule>
    <cfRule type="containsText" dxfId="3" priority="41" operator="between" text="库存">
      <formula>NOT(ISERROR(SEARCH("库存",AS23)))</formula>
    </cfRule>
  </conditionalFormatting>
  <conditionalFormatting sqref="AS24">
    <cfRule type="cellIs" dxfId="0" priority="156" operator="lessThan">
      <formula>20</formula>
    </cfRule>
    <cfRule type="cellIs" dxfId="1" priority="98" operator="greaterThan">
      <formula>120</formula>
    </cfRule>
    <cfRule type="containsText" dxfId="3" priority="40" operator="between" text="库存">
      <formula>NOT(ISERROR(SEARCH("库存",AS24)))</formula>
    </cfRule>
  </conditionalFormatting>
  <conditionalFormatting sqref="AS25">
    <cfRule type="cellIs" dxfId="0" priority="155" operator="lessThan">
      <formula>20</formula>
    </cfRule>
    <cfRule type="cellIs" dxfId="1" priority="97" operator="greaterThan">
      <formula>120</formula>
    </cfRule>
    <cfRule type="containsText" dxfId="3" priority="39" operator="between" text="库存">
      <formula>NOT(ISERROR(SEARCH("库存",AS25)))</formula>
    </cfRule>
  </conditionalFormatting>
  <conditionalFormatting sqref="AS26">
    <cfRule type="cellIs" dxfId="0" priority="154" operator="lessThan">
      <formula>20</formula>
    </cfRule>
    <cfRule type="cellIs" dxfId="1" priority="96" operator="greaterThan">
      <formula>120</formula>
    </cfRule>
    <cfRule type="containsText" dxfId="3" priority="38" operator="between" text="库存">
      <formula>NOT(ISERROR(SEARCH("库存",AS26)))</formula>
    </cfRule>
  </conditionalFormatting>
  <conditionalFormatting sqref="AS27">
    <cfRule type="cellIs" dxfId="0" priority="153" operator="lessThan">
      <formula>20</formula>
    </cfRule>
    <cfRule type="cellIs" dxfId="1" priority="95" operator="greaterThan">
      <formula>120</formula>
    </cfRule>
    <cfRule type="containsText" dxfId="3" priority="37" operator="between" text="库存">
      <formula>NOT(ISERROR(SEARCH("库存",AS27)))</formula>
    </cfRule>
  </conditionalFormatting>
  <conditionalFormatting sqref="AS28">
    <cfRule type="cellIs" dxfId="0" priority="152" operator="lessThan">
      <formula>20</formula>
    </cfRule>
    <cfRule type="cellIs" dxfId="1" priority="94" operator="greaterThan">
      <formula>120</formula>
    </cfRule>
    <cfRule type="containsText" dxfId="3" priority="36" operator="between" text="库存">
      <formula>NOT(ISERROR(SEARCH("库存",AS28)))</formula>
    </cfRule>
  </conditionalFormatting>
  <conditionalFormatting sqref="AS29">
    <cfRule type="cellIs" dxfId="0" priority="151" operator="lessThan">
      <formula>20</formula>
    </cfRule>
    <cfRule type="cellIs" dxfId="1" priority="93" operator="greaterThan">
      <formula>120</formula>
    </cfRule>
    <cfRule type="containsText" dxfId="3" priority="35" operator="between" text="库存">
      <formula>NOT(ISERROR(SEARCH("库存",AS29)))</formula>
    </cfRule>
  </conditionalFormatting>
  <conditionalFormatting sqref="AS30">
    <cfRule type="cellIs" dxfId="0" priority="150" operator="lessThan">
      <formula>20</formula>
    </cfRule>
    <cfRule type="cellIs" dxfId="1" priority="92" operator="greaterThan">
      <formula>120</formula>
    </cfRule>
    <cfRule type="containsText" dxfId="3" priority="34" operator="between" text="库存">
      <formula>NOT(ISERROR(SEARCH("库存",AS30)))</formula>
    </cfRule>
  </conditionalFormatting>
  <conditionalFormatting sqref="AS31">
    <cfRule type="cellIs" dxfId="0" priority="149" operator="lessThan">
      <formula>20</formula>
    </cfRule>
    <cfRule type="cellIs" dxfId="1" priority="91" operator="greaterThan">
      <formula>120</formula>
    </cfRule>
    <cfRule type="containsText" dxfId="3" priority="33" operator="between" text="库存">
      <formula>NOT(ISERROR(SEARCH("库存",AS31)))</formula>
    </cfRule>
  </conditionalFormatting>
  <conditionalFormatting sqref="AS32">
    <cfRule type="cellIs" dxfId="0" priority="148" operator="lessThan">
      <formula>20</formula>
    </cfRule>
    <cfRule type="cellIs" dxfId="1" priority="90" operator="greaterThan">
      <formula>120</formula>
    </cfRule>
    <cfRule type="containsText" dxfId="3" priority="32" operator="between" text="库存">
      <formula>NOT(ISERROR(SEARCH("库存",AS32)))</formula>
    </cfRule>
  </conditionalFormatting>
  <conditionalFormatting sqref="AS33">
    <cfRule type="cellIs" dxfId="0" priority="147" operator="lessThan">
      <formula>20</formula>
    </cfRule>
    <cfRule type="cellIs" dxfId="1" priority="89" operator="greaterThan">
      <formula>120</formula>
    </cfRule>
    <cfRule type="containsText" dxfId="3" priority="31" operator="between" text="库存">
      <formula>NOT(ISERROR(SEARCH("库存",AS33)))</formula>
    </cfRule>
  </conditionalFormatting>
  <conditionalFormatting sqref="AS34">
    <cfRule type="cellIs" dxfId="0" priority="146" operator="lessThan">
      <formula>20</formula>
    </cfRule>
    <cfRule type="cellIs" dxfId="1" priority="88" operator="greaterThan">
      <formula>120</formula>
    </cfRule>
    <cfRule type="containsText" dxfId="3" priority="30" operator="between" text="库存">
      <formula>NOT(ISERROR(SEARCH("库存",AS34)))</formula>
    </cfRule>
  </conditionalFormatting>
  <conditionalFormatting sqref="AS35">
    <cfRule type="cellIs" dxfId="0" priority="145" operator="lessThan">
      <formula>20</formula>
    </cfRule>
    <cfRule type="cellIs" dxfId="1" priority="87" operator="greaterThan">
      <formula>120</formula>
    </cfRule>
    <cfRule type="containsText" dxfId="3" priority="29" operator="between" text="库存">
      <formula>NOT(ISERROR(SEARCH("库存",AS35)))</formula>
    </cfRule>
  </conditionalFormatting>
  <conditionalFormatting sqref="AS36">
    <cfRule type="cellIs" dxfId="0" priority="144" operator="lessThan">
      <formula>20</formula>
    </cfRule>
    <cfRule type="cellIs" dxfId="1" priority="86" operator="greaterThan">
      <formula>120</formula>
    </cfRule>
    <cfRule type="containsText" dxfId="3" priority="28" operator="between" text="库存">
      <formula>NOT(ISERROR(SEARCH("库存",AS36)))</formula>
    </cfRule>
  </conditionalFormatting>
  <conditionalFormatting sqref="AS37">
    <cfRule type="cellIs" dxfId="0" priority="143" operator="lessThan">
      <formula>20</formula>
    </cfRule>
    <cfRule type="cellIs" dxfId="1" priority="85" operator="greaterThan">
      <formula>120</formula>
    </cfRule>
    <cfRule type="containsText" dxfId="3" priority="27" operator="between" text="库存">
      <formula>NOT(ISERROR(SEARCH("库存",AS37)))</formula>
    </cfRule>
  </conditionalFormatting>
  <conditionalFormatting sqref="AS38">
    <cfRule type="cellIs" dxfId="0" priority="142" operator="lessThan">
      <formula>20</formula>
    </cfRule>
    <cfRule type="cellIs" dxfId="1" priority="84" operator="greaterThan">
      <formula>120</formula>
    </cfRule>
    <cfRule type="containsText" dxfId="3" priority="26" operator="between" text="库存">
      <formula>NOT(ISERROR(SEARCH("库存",AS38)))</formula>
    </cfRule>
  </conditionalFormatting>
  <conditionalFormatting sqref="AS39">
    <cfRule type="cellIs" dxfId="0" priority="141" operator="lessThan">
      <formula>20</formula>
    </cfRule>
    <cfRule type="cellIs" dxfId="1" priority="83" operator="greaterThan">
      <formula>120</formula>
    </cfRule>
    <cfRule type="containsText" dxfId="3" priority="25" operator="between" text="库存">
      <formula>NOT(ISERROR(SEARCH("库存",AS39)))</formula>
    </cfRule>
  </conditionalFormatting>
  <conditionalFormatting sqref="AS40">
    <cfRule type="cellIs" dxfId="0" priority="140" operator="lessThan">
      <formula>20</formula>
    </cfRule>
    <cfRule type="cellIs" dxfId="1" priority="82" operator="greaterThan">
      <formula>120</formula>
    </cfRule>
    <cfRule type="containsText" dxfId="3" priority="24" operator="between" text="库存">
      <formula>NOT(ISERROR(SEARCH("库存",AS40)))</formula>
    </cfRule>
  </conditionalFormatting>
  <conditionalFormatting sqref="AS41">
    <cfRule type="cellIs" dxfId="0" priority="139" operator="lessThan">
      <formula>20</formula>
    </cfRule>
    <cfRule type="cellIs" dxfId="1" priority="81" operator="greaterThan">
      <formula>120</formula>
    </cfRule>
    <cfRule type="containsText" dxfId="3" priority="23" operator="between" text="库存">
      <formula>NOT(ISERROR(SEARCH("库存",AS41)))</formula>
    </cfRule>
  </conditionalFormatting>
  <conditionalFormatting sqref="AS42">
    <cfRule type="cellIs" dxfId="0" priority="138" operator="lessThan">
      <formula>20</formula>
    </cfRule>
    <cfRule type="cellIs" dxfId="1" priority="80" operator="greaterThan">
      <formula>120</formula>
    </cfRule>
    <cfRule type="containsText" dxfId="3" priority="22" operator="between" text="库存">
      <formula>NOT(ISERROR(SEARCH("库存",AS42)))</formula>
    </cfRule>
  </conditionalFormatting>
  <conditionalFormatting sqref="AS43">
    <cfRule type="cellIs" dxfId="0" priority="137" operator="lessThan">
      <formula>20</formula>
    </cfRule>
    <cfRule type="cellIs" dxfId="1" priority="79" operator="greaterThan">
      <formula>120</formula>
    </cfRule>
    <cfRule type="containsText" dxfId="3" priority="21" operator="between" text="库存">
      <formula>NOT(ISERROR(SEARCH("库存",AS43)))</formula>
    </cfRule>
  </conditionalFormatting>
  <conditionalFormatting sqref="AS44">
    <cfRule type="cellIs" dxfId="0" priority="136" operator="lessThan">
      <formula>20</formula>
    </cfRule>
    <cfRule type="cellIs" dxfId="1" priority="78" operator="greaterThan">
      <formula>120</formula>
    </cfRule>
    <cfRule type="containsText" dxfId="3" priority="20" operator="between" text="库存">
      <formula>NOT(ISERROR(SEARCH("库存",AS44)))</formula>
    </cfRule>
  </conditionalFormatting>
  <conditionalFormatting sqref="AS45">
    <cfRule type="cellIs" dxfId="0" priority="135" operator="lessThan">
      <formula>20</formula>
    </cfRule>
    <cfRule type="cellIs" dxfId="1" priority="77" operator="greaterThan">
      <formula>120</formula>
    </cfRule>
    <cfRule type="containsText" dxfId="3" priority="19" operator="between" text="库存">
      <formula>NOT(ISERROR(SEARCH("库存",AS45)))</formula>
    </cfRule>
  </conditionalFormatting>
  <conditionalFormatting sqref="AS46">
    <cfRule type="cellIs" dxfId="0" priority="134" operator="lessThan">
      <formula>20</formula>
    </cfRule>
    <cfRule type="cellIs" dxfId="1" priority="76" operator="greaterThan">
      <formula>120</formula>
    </cfRule>
    <cfRule type="containsText" dxfId="3" priority="18" operator="between" text="库存">
      <formula>NOT(ISERROR(SEARCH("库存",AS46)))</formula>
    </cfRule>
  </conditionalFormatting>
  <conditionalFormatting sqref="AS47">
    <cfRule type="cellIs" dxfId="0" priority="133" operator="lessThan">
      <formula>20</formula>
    </cfRule>
    <cfRule type="cellIs" dxfId="1" priority="75" operator="greaterThan">
      <formula>120</formula>
    </cfRule>
    <cfRule type="containsText" dxfId="3" priority="17" operator="between" text="库存">
      <formula>NOT(ISERROR(SEARCH("库存",AS47)))</formula>
    </cfRule>
  </conditionalFormatting>
  <conditionalFormatting sqref="AS48">
    <cfRule type="cellIs" dxfId="0" priority="132" operator="lessThan">
      <formula>20</formula>
    </cfRule>
    <cfRule type="cellIs" dxfId="1" priority="74" operator="greaterThan">
      <formula>120</formula>
    </cfRule>
    <cfRule type="containsText" dxfId="3" priority="16" operator="between" text="库存">
      <formula>NOT(ISERROR(SEARCH("库存",AS48)))</formula>
    </cfRule>
  </conditionalFormatting>
  <conditionalFormatting sqref="AS49">
    <cfRule type="cellIs" dxfId="0" priority="131" operator="lessThan">
      <formula>20</formula>
    </cfRule>
    <cfRule type="cellIs" dxfId="1" priority="73" operator="greaterThan">
      <formula>120</formula>
    </cfRule>
    <cfRule type="containsText" dxfId="3" priority="15" operator="between" text="库存">
      <formula>NOT(ISERROR(SEARCH("库存",AS49)))</formula>
    </cfRule>
  </conditionalFormatting>
  <conditionalFormatting sqref="AS50">
    <cfRule type="cellIs" dxfId="0" priority="130" operator="lessThan">
      <formula>20</formula>
    </cfRule>
    <cfRule type="cellIs" dxfId="1" priority="72" operator="greaterThan">
      <formula>120</formula>
    </cfRule>
    <cfRule type="containsText" dxfId="3" priority="14" operator="between" text="库存">
      <formula>NOT(ISERROR(SEARCH("库存",AS50)))</formula>
    </cfRule>
  </conditionalFormatting>
  <conditionalFormatting sqref="AS51">
    <cfRule type="cellIs" dxfId="0" priority="129" operator="lessThan">
      <formula>20</formula>
    </cfRule>
    <cfRule type="cellIs" dxfId="1" priority="71" operator="greaterThan">
      <formula>120</formula>
    </cfRule>
    <cfRule type="containsText" dxfId="3" priority="13" operator="between" text="库存">
      <formula>NOT(ISERROR(SEARCH("库存",AS51)))</formula>
    </cfRule>
  </conditionalFormatting>
  <conditionalFormatting sqref="AS52">
    <cfRule type="cellIs" dxfId="0" priority="128" operator="lessThan">
      <formula>20</formula>
    </cfRule>
    <cfRule type="cellIs" dxfId="1" priority="70" operator="greaterThan">
      <formula>120</formula>
    </cfRule>
    <cfRule type="containsText" dxfId="3" priority="12" operator="between" text="库存">
      <formula>NOT(ISERROR(SEARCH("库存",AS52)))</formula>
    </cfRule>
  </conditionalFormatting>
  <conditionalFormatting sqref="AS53">
    <cfRule type="cellIs" dxfId="0" priority="127" operator="lessThan">
      <formula>20</formula>
    </cfRule>
    <cfRule type="cellIs" dxfId="1" priority="69" operator="greaterThan">
      <formula>120</formula>
    </cfRule>
    <cfRule type="containsText" dxfId="3" priority="11" operator="between" text="库存">
      <formula>NOT(ISERROR(SEARCH("库存",AS53)))</formula>
    </cfRule>
  </conditionalFormatting>
  <conditionalFormatting sqref="AS54">
    <cfRule type="cellIs" dxfId="0" priority="126" operator="lessThan">
      <formula>20</formula>
    </cfRule>
    <cfRule type="cellIs" dxfId="1" priority="68" operator="greaterThan">
      <formula>120</formula>
    </cfRule>
    <cfRule type="containsText" dxfId="3" priority="10" operator="between" text="库存">
      <formula>NOT(ISERROR(SEARCH("库存",AS54)))</formula>
    </cfRule>
  </conditionalFormatting>
  <conditionalFormatting sqref="AS55">
    <cfRule type="cellIs" dxfId="0" priority="125" operator="lessThan">
      <formula>20</formula>
    </cfRule>
    <cfRule type="cellIs" dxfId="1" priority="67" operator="greaterThan">
      <formula>120</formula>
    </cfRule>
    <cfRule type="containsText" dxfId="3" priority="9" operator="between" text="库存">
      <formula>NOT(ISERROR(SEARCH("库存",AS55)))</formula>
    </cfRule>
  </conditionalFormatting>
  <conditionalFormatting sqref="AS56">
    <cfRule type="cellIs" dxfId="0" priority="124" operator="lessThan">
      <formula>20</formula>
    </cfRule>
    <cfRule type="cellIs" dxfId="1" priority="66" operator="greaterThan">
      <formula>120</formula>
    </cfRule>
    <cfRule type="containsText" dxfId="3" priority="8" operator="between" text="库存">
      <formula>NOT(ISERROR(SEARCH("库存",AS56)))</formula>
    </cfRule>
  </conditionalFormatting>
  <conditionalFormatting sqref="AS57">
    <cfRule type="cellIs" dxfId="0" priority="123" operator="lessThan">
      <formula>20</formula>
    </cfRule>
    <cfRule type="cellIs" dxfId="1" priority="65" operator="greaterThan">
      <formula>120</formula>
    </cfRule>
    <cfRule type="containsText" dxfId="3" priority="7" operator="between" text="库存">
      <formula>NOT(ISERROR(SEARCH("库存",AS57)))</formula>
    </cfRule>
  </conditionalFormatting>
  <conditionalFormatting sqref="AS58">
    <cfRule type="cellIs" dxfId="0" priority="122" operator="lessThan">
      <formula>20</formula>
    </cfRule>
    <cfRule type="cellIs" dxfId="1" priority="64" operator="greaterThan">
      <formula>120</formula>
    </cfRule>
    <cfRule type="containsText" dxfId="3" priority="6" operator="between" text="库存">
      <formula>NOT(ISERROR(SEARCH("库存",AS58)))</formula>
    </cfRule>
  </conditionalFormatting>
  <conditionalFormatting sqref="AS59">
    <cfRule type="cellIs" dxfId="0" priority="121" operator="lessThan">
      <formula>20</formula>
    </cfRule>
    <cfRule type="cellIs" dxfId="1" priority="63" operator="greaterThan">
      <formula>120</formula>
    </cfRule>
    <cfRule type="containsText" dxfId="3" priority="5" operator="between" text="库存">
      <formula>NOT(ISERROR(SEARCH("库存",AS59)))</formula>
    </cfRule>
  </conditionalFormatting>
  <conditionalFormatting sqref="AS60">
    <cfRule type="cellIs" dxfId="0" priority="120" operator="lessThan">
      <formula>20</formula>
    </cfRule>
    <cfRule type="cellIs" dxfId="1" priority="62" operator="greaterThan">
      <formula>120</formula>
    </cfRule>
    <cfRule type="containsText" dxfId="3" priority="4" operator="between" text="库存">
      <formula>NOT(ISERROR(SEARCH("库存",AS60)))</formula>
    </cfRule>
  </conditionalFormatting>
  <conditionalFormatting sqref="AS61">
    <cfRule type="cellIs" dxfId="0" priority="119" operator="lessThan">
      <formula>20</formula>
    </cfRule>
    <cfRule type="cellIs" dxfId="1" priority="61" operator="greaterThan">
      <formula>120</formula>
    </cfRule>
    <cfRule type="containsText" dxfId="3" priority="3" operator="between" text="库存">
      <formula>NOT(ISERROR(SEARCH("库存",AS61)))</formula>
    </cfRule>
  </conditionalFormatting>
  <conditionalFormatting sqref="AS62">
    <cfRule type="cellIs" dxfId="0" priority="118" operator="lessThan">
      <formula>20</formula>
    </cfRule>
    <cfRule type="cellIs" dxfId="1" priority="60" operator="greaterThan">
      <formula>120</formula>
    </cfRule>
    <cfRule type="containsText" dxfId="3" priority="2" operator="between" text="库存">
      <formula>NOT(ISERROR(SEARCH("库存",AS62)))</formula>
    </cfRule>
  </conditionalFormatting>
  <conditionalFormatting sqref="AS63">
    <cfRule type="cellIs" dxfId="0" priority="117" operator="lessThan">
      <formula>20</formula>
    </cfRule>
    <cfRule type="cellIs" dxfId="1" priority="59" operator="greaterThan">
      <formula>120</formula>
    </cfRule>
    <cfRule type="containsText" dxfId="3" priority="1" operator="between" text="库存">
      <formula>NOT(ISERROR(SEARCH("库存",AS63)))</formula>
    </cfRule>
  </conditionalFormatting>
  <conditionalFormatting sqref="AS1 AS3:AS5 AS64:AS1048576">
    <cfRule type="cellIs" dxfId="0" priority="2793" operator="lessThan">
      <formula>20</formula>
    </cfRule>
    <cfRule type="cellIs" dxfId="1" priority="2792" operator="greaterThan">
      <formula>120</formula>
    </cfRule>
    <cfRule type="containsText" dxfId="3" priority="279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9" sqref="D19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1805</v>
      </c>
      <c r="B1" s="1">
        <f>B12</f>
        <v>43304</v>
      </c>
    </row>
    <row r="2" spans="1:2">
      <c r="A2" t="s">
        <v>1806</v>
      </c>
      <c r="B2" s="1">
        <v>43331</v>
      </c>
    </row>
    <row r="4" spans="1:2">
      <c r="A4" t="s">
        <v>1807</v>
      </c>
      <c r="B4" s="2">
        <f>B2+1</f>
        <v>43332</v>
      </c>
    </row>
    <row r="5" spans="1:2">
      <c r="A5" t="s">
        <v>1808</v>
      </c>
      <c r="B5" s="3">
        <f>B2</f>
        <v>43331</v>
      </c>
    </row>
    <row r="6" spans="1:2">
      <c r="A6" t="s">
        <v>1809</v>
      </c>
      <c r="B6" s="2">
        <f>B5-6</f>
        <v>43325</v>
      </c>
    </row>
    <row r="7" spans="1:2">
      <c r="A7" t="s">
        <v>1810</v>
      </c>
      <c r="B7" s="2">
        <f>B5-7</f>
        <v>43324</v>
      </c>
    </row>
    <row r="8" spans="1:2">
      <c r="A8" t="s">
        <v>1811</v>
      </c>
      <c r="B8" s="2">
        <f>B5-13</f>
        <v>43318</v>
      </c>
    </row>
    <row r="9" spans="1:2">
      <c r="A9" t="s">
        <v>1812</v>
      </c>
      <c r="B9" s="2">
        <f>B5-14</f>
        <v>43317</v>
      </c>
    </row>
    <row r="10" spans="1:2">
      <c r="A10" t="s">
        <v>1813</v>
      </c>
      <c r="B10" s="2">
        <f>B5-20</f>
        <v>43311</v>
      </c>
    </row>
    <row r="11" spans="1:2">
      <c r="A11" t="s">
        <v>1814</v>
      </c>
      <c r="B11" s="2">
        <f>B5-21</f>
        <v>43310</v>
      </c>
    </row>
    <row r="12" spans="1:2">
      <c r="A12" t="s">
        <v>1815</v>
      </c>
      <c r="B12" s="2">
        <f>B5-27</f>
        <v>43304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2018-08-21T02:52:55Z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