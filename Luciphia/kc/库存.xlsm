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<sst xmlns="http://schemas.openxmlformats.org/spreadsheetml/2006/main" count="1799">
  <si>
    <t>sku</t>
  </si>
  <si>
    <t>fnsku</t>
  </si>
  <si>
    <t>asin</t>
  </si>
  <si>
    <t>product-name</t>
  </si>
  <si>
    <t>reserved_qty</t>
  </si>
  <si>
    <t>reserved_customerorders</t>
  </si>
  <si>
    <t>reserved_fc-transfers</t>
  </si>
  <si>
    <t>reserved_fc-processing</t>
  </si>
  <si>
    <t>BBBD-1605A-BL</t>
  </si>
  <si>
    <t>X001SHJQMD</t>
  </si>
  <si>
    <t>B07D8S8R3B</t>
  </si>
  <si>
    <t>360 All Positions Detachable Ergonomic Baby Carrier for Infant Child Todller Blue</t>
  </si>
  <si>
    <t>LGQ-IUYL100-PK</t>
  </si>
  <si>
    <t>B0798PX336</t>
  </si>
  <si>
    <t>Luciphia Retractable Dog Walking Leash 16 ft for Small Medium Large Dogs - Up To 88 lb Dog - Ergonomic Grip - Waste Bag Dispenser and Collapsible Water Bowl included</t>
  </si>
  <si>
    <t>LYQ-WF7125-BO-M</t>
  </si>
  <si>
    <t>B077XX612Q</t>
  </si>
  <si>
    <t>Luciphia Women's Tops Long Sleeve A-Line Lace Stitching Trim Casual Tunic Dress M Blue</t>
  </si>
  <si>
    <t>DZ-IUYL200-GR</t>
  </si>
  <si>
    <t>B079J99WVX</t>
  </si>
  <si>
    <t>Pet Dog Front Seat Cover For Cars - Hammock Style For Trucks SUV Van Auto Vehicle- Non slip Waterproof</t>
  </si>
  <si>
    <t>Pajamas-sb001-KK-XL</t>
  </si>
  <si>
    <t>B0747SC2YK</t>
  </si>
  <si>
    <t>MOCOTONO Men's Linen Pajamas Long Sleeve Sleep Pants Sleepwear</t>
  </si>
  <si>
    <t>SCF-B01-005</t>
  </si>
  <si>
    <t>B075XGCNH2</t>
  </si>
  <si>
    <t>Women's Large Print Floral Chiffon Scarf Poncho Shawl</t>
  </si>
  <si>
    <t>SCF-B01-011</t>
  </si>
  <si>
    <t>B075XDTMSM</t>
  </si>
  <si>
    <t>SCF-C01-007</t>
  </si>
  <si>
    <t>B075WSXH1N</t>
  </si>
  <si>
    <t>Women's Large Print Silk Scarf Floral Square Pashmina Shawl</t>
  </si>
  <si>
    <t>ST006-GN-S</t>
  </si>
  <si>
    <t>B074P1LKV2</t>
  </si>
  <si>
    <t>MOCOTONO Men's Long Sleeve Standard Fit Plaid Checked Button up Casual Shirts Green Small</t>
  </si>
  <si>
    <t>ST173-BL-M</t>
  </si>
  <si>
    <t>B074SXT27T</t>
  </si>
  <si>
    <t>Men's Short Sleeve Formal Dress Shirts Blue Medium</t>
  </si>
  <si>
    <t>ST172-WT1-S</t>
  </si>
  <si>
    <t>B074SZCXH9</t>
  </si>
  <si>
    <t>Men's Long Sleeve Formal Business Dress Shirts Water White Small</t>
  </si>
  <si>
    <t>ST173-BL-XXL</t>
  </si>
  <si>
    <t>B074ST3T2H</t>
  </si>
  <si>
    <t>Men's Short Sleeve Formal Dress Shirts Blue XX-Large</t>
  </si>
  <si>
    <t>ST173-WT2-S</t>
  </si>
  <si>
    <t>B074SZQ3FG</t>
  </si>
  <si>
    <t>Men's Short Sleeve Formal Dress Shirts White Small</t>
  </si>
  <si>
    <t>TZ-IUYL240-BEAR-S</t>
  </si>
  <si>
    <t>X001SNGXAF</t>
  </si>
  <si>
    <t>B07DF6DDNM</t>
  </si>
  <si>
    <t>luciphia 1 Pack 3 Blankets Super Soft Fluffy Premium Fleece Pet Blanket Flannel Throw for Dog Puppy Cat Bear Small</t>
  </si>
  <si>
    <t>TZ-IUYL240-DOT2-M</t>
  </si>
  <si>
    <t>X001SNGQR5</t>
  </si>
  <si>
    <t>B07DF81JBH</t>
  </si>
  <si>
    <t>luciphia 1 Pack 3 Blankets Super Soft Fluffy Premium Fleece Pet Blanket Flannel Throw for Dog Puppy Cat Dot2 Medium</t>
  </si>
  <si>
    <t>TZ-IUYL240-LOVE-M</t>
  </si>
  <si>
    <t>X001SW002D</t>
  </si>
  <si>
    <t>B07DL53SBF</t>
  </si>
  <si>
    <t>luciphia 1 Pack 3 Blankets Super Soft Fluffy Premium Fleece Pet Blanket Flannel Throw for Dog Puppy Love Medium</t>
  </si>
  <si>
    <t>TZ-IUYL240-BEAR-L</t>
  </si>
  <si>
    <t>X001SNKCGL</t>
  </si>
  <si>
    <t>B07DFBHNBF</t>
  </si>
  <si>
    <t>luciphia 1 Pack 3 Blankets Super Soft Fluffy Premium Fleece Pet Blanket Flannel Throw for Dog Puppy Cat Bear Large</t>
  </si>
  <si>
    <t>TZ-IUYL240-RABBIT-L</t>
  </si>
  <si>
    <t>X001SNZ5FT</t>
  </si>
  <si>
    <t>B07DFBM9N3</t>
  </si>
  <si>
    <t>luciphia 1 Pack 3 Blankets Super Soft Fluffy Premium Fleece Pet Blanket Flannel Throw for Dog Puppy Rabbit Large</t>
  </si>
  <si>
    <t>ST173-PK-M</t>
  </si>
  <si>
    <t>B074SKGH3S</t>
  </si>
  <si>
    <t>MOCOTONO Men's Short Sleeve Formal Dress Shirts Pink Medium</t>
  </si>
  <si>
    <t>TZ-IUYL240LHY-ELPH-M</t>
  </si>
  <si>
    <t>X001SMPLHR</t>
  </si>
  <si>
    <t>B07BGSSQLV</t>
  </si>
  <si>
    <t>luciphia 1 Pack 3 Blankets Super Soft Fluffy Premium Fleece Pet Blanket Flannel Throw for Dog Puppy Elephant Medium</t>
  </si>
  <si>
    <t>XQ-IUYL260-PK-S</t>
  </si>
  <si>
    <t>B079GMMWG2</t>
  </si>
  <si>
    <t>Luciphia Cute PU Leather Dog Collar with Adorable Flowers</t>
  </si>
  <si>
    <t>TZ-IUYL240LHY-PAW-S</t>
  </si>
  <si>
    <t>X001SMP2F3</t>
  </si>
  <si>
    <t>B079HQPJP2</t>
  </si>
  <si>
    <t>luciphia 1 Pack 3 Blankets Super Soft Fluffy Premium Fleece Pet Blanket Flannel Throw for Dog Puppy Cat Paw Small</t>
  </si>
  <si>
    <t>XQ-IUYL260-PK-M</t>
  </si>
  <si>
    <t>B079GRXYH8</t>
  </si>
  <si>
    <t>TZ-IUYL240LHY-STRAWBERRY-S</t>
  </si>
  <si>
    <t>X001SMQ56N</t>
  </si>
  <si>
    <t>B07CBPP52D</t>
  </si>
  <si>
    <t>luciphia 1 Pack 3 Blankets Super Soft Fluffy Premium Fleece Pet Blanket Flannel Throw for Dog Puppy Strawberry Small</t>
  </si>
  <si>
    <t>TZ-IUYL240LHY-ELPH-S</t>
  </si>
  <si>
    <t>X001SLRYUF</t>
  </si>
  <si>
    <t>B07BGWTSX6</t>
  </si>
  <si>
    <t>luciphia 1 Pack 3 Blankets Super Soft Fluffy Premium Fleece Pet Blanket Flannel Throw for Dog Puppy Elephant Small</t>
  </si>
  <si>
    <t>TZ-IUYL240LHY-DOT-S</t>
  </si>
  <si>
    <t>X001SHIRH3</t>
  </si>
  <si>
    <t>B07CBPWQZT</t>
  </si>
  <si>
    <t>luciphia 1 Pack 3 Blankets Super Soft Fluffy Premium Fleece Pet Blanket Flannel Throw for Dog Puppy Dot Small</t>
  </si>
  <si>
    <t>TZ-IUYL240LHY-PAW-M</t>
  </si>
  <si>
    <t>X001SMPVCH</t>
  </si>
  <si>
    <t>B079HPLTVC</t>
  </si>
  <si>
    <t>luciphia 1 Pack 3 Blankets Super Soft Fluffy Premium Fleece Pet Blanket Flannel Throw for Dog Puppy Cat Paw Medium</t>
  </si>
  <si>
    <t>TZ-IUYL240LHY-BONE-L</t>
  </si>
  <si>
    <t>X001SMOCMH</t>
  </si>
  <si>
    <t>B079HRST93</t>
  </si>
  <si>
    <t>luciphia 1 Pack 3 Blankets Super Soft Fluffy Premium Fleece Pet Blanket Flannel Throw for Dog Puppy Cat Bone Large</t>
  </si>
  <si>
    <t>TZ-IUYL240LHY-ELPH-L</t>
  </si>
  <si>
    <t>X001SMPN1L</t>
  </si>
  <si>
    <t>B07BGW4LWX</t>
  </si>
  <si>
    <t>luciphia 1 Pack 3 Blankets Super Soft Fluffy Premium Fleece Pet Blanket Flannel Throw for Dog Puppy Elephant Large</t>
  </si>
  <si>
    <t>TZ-IUYL240LHY-STRAWBERRY-L</t>
  </si>
  <si>
    <t>X001SLY9ET</t>
  </si>
  <si>
    <t>B07C1P3Z1B</t>
  </si>
  <si>
    <t>luciphia 1 Pack 3 Blankets Super Soft Fluffy Premium Fleece Pet Blanket Flannel Throw for Dog Puppy Strawberry Large</t>
  </si>
  <si>
    <t>TZ-IUYL240LHY-DOT-M</t>
  </si>
  <si>
    <t>X001SIN10Z</t>
  </si>
  <si>
    <t>B07CBPJCK5</t>
  </si>
  <si>
    <t>luciphia 1 Pack 3 Blankets Super Soft Fluffy Premium Fleece Pet Blanket Flannel Throw for Dog Puppy Dot Medium</t>
  </si>
  <si>
    <t>TZ-IUYL240LHY-PAW-L</t>
  </si>
  <si>
    <t>X001SMP2FD</t>
  </si>
  <si>
    <t>B079HP2RFZ</t>
  </si>
  <si>
    <t>luciphia 1 Pack 3 Blankets Super Soft Fluffy Premium Fleece Pet Blanket Flannel Throw for Dog Puppy Cat Paw Large</t>
  </si>
  <si>
    <t>TZ-IUYL240LHY-BONE-M</t>
  </si>
  <si>
    <t>X001SMPN1B</t>
  </si>
  <si>
    <t>B079HPCGB9</t>
  </si>
  <si>
    <t>luciphia 1 Pack 3 Blankets Super Soft Fluffy Premium Fleece Pet Blanket Flannel Throw for Dog Puppy Cat Bone Medium</t>
  </si>
  <si>
    <t>snapshot-date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</si>
  <si>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</si>
  <si>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</si>
  <si>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</si>
  <si>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</si>
  <si>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</si>
  <si>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</si>
  <si>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</si>
  <si>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</si>
  <si>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</si>
  <si>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</si>
  <si>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</si>
  <si>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</si>
  <si>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</si>
  <si>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</si>
  <si>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</si>
  <si>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</si>
  <si>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</si>
  <si>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</si>
  <si>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</si>
  <si>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</si>
  <si>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lowest_price_new</t>
  </si>
  <si>
    <t>lowest_price_used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</si>
  <si>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</si>
  <si>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</si>
  <si>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</si>
  <si>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</si>
  <si>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</si>
  <si>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</si>
  <si>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</si>
  <si>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</si>
  <si>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</si>
  <si>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GW-LULHY-10</t>
  </si>
  <si>
    <t>X001SLSCMT</t>
  </si>
  <si>
    <t>B01M3R3CVA</t>
  </si>
  <si>
    <t>luciphia Dog Bowl Stainless Steel With Rubber Base that Bowls Wont Slip Perfect for Middle Large Size Dogs Dog Food Bowl Water Bowl</t>
  </si>
  <si>
    <t>New</t>
  </si>
  <si>
    <t>USD</t>
  </si>
  <si>
    <t>Low traffic</t>
  </si>
  <si>
    <t>Advertise listing</t>
  </si>
  <si>
    <t>0.059527 cuft</t>
  </si>
  <si>
    <t>Standard</t>
  </si>
  <si>
    <t>MJ-IUYL230-BL-S</t>
  </si>
  <si>
    <t>X001OWQEJP</t>
  </si>
  <si>
    <t>B079GN5DSL</t>
  </si>
  <si>
    <t>Luciphia Ultra Absorbent Microfiber Drying Pet Towel for Dogs Cats Blue 19 x 13 inch</t>
  </si>
  <si>
    <t>0.001042 cuft</t>
  </si>
  <si>
    <t>Improve recommendations</t>
  </si>
  <si>
    <t>0.188079 cuft</t>
  </si>
  <si>
    <t>Edit listing</t>
  </si>
  <si>
    <t>0.153365 cuft</t>
  </si>
  <si>
    <t>Apparel</t>
  </si>
  <si>
    <t>GW-LULHY-6.2</t>
  </si>
  <si>
    <t>X001SMQ8KV</t>
  </si>
  <si>
    <t>B078HD4M37</t>
  </si>
  <si>
    <t>luciphia Pet Food Bowl Stainless Steel Non Skid Pet Paws Doodler Dish Perfect for a Small Dog Cat Kitten Puppy (set of 2)</t>
  </si>
  <si>
    <t>0.233585 cuft</t>
  </si>
  <si>
    <t>ST173-BL-L</t>
  </si>
  <si>
    <t>B074SWQY9F</t>
  </si>
  <si>
    <t>Men's Short Sleeve Formal Dress Shirts Blue Large</t>
  </si>
  <si>
    <t>0.119706 cuft</t>
  </si>
  <si>
    <t>KZ-LY021-GY-34</t>
  </si>
  <si>
    <t>B077Z1SFPY</t>
  </si>
  <si>
    <t>Luciphia Men's Fit Straight Leg Casual Pants</t>
  </si>
  <si>
    <t>Create Sale</t>
  </si>
  <si>
    <t>0.0 cuft</t>
  </si>
  <si>
    <t>XQ-IUYL320-GN-S</t>
  </si>
  <si>
    <t>B07BLXYK2X</t>
  </si>
  <si>
    <t>Luciphia Cute Leather Dog Collar Green Small</t>
  </si>
  <si>
    <t>5.79E-4 cuft</t>
  </si>
  <si>
    <t>AQD-IUYL330-LB</t>
  </si>
  <si>
    <t>B07BLQJYGV</t>
  </si>
  <si>
    <t>Dog Seat Belt, 3 Packs Adjustable Vehicle Car Seatbelt Leash Safety Leads Harness for Pets Cats Animals Light Blue</t>
  </si>
  <si>
    <t>0.020833 cuft</t>
  </si>
  <si>
    <t>XQ-IUYL320-BL-L</t>
  </si>
  <si>
    <t>B07BLR3VDW</t>
  </si>
  <si>
    <t>luciphia Cute Leather Dog Collar Blue Large</t>
  </si>
  <si>
    <t>SCF-D01-006</t>
  </si>
  <si>
    <t>B075WRWK44</t>
  </si>
  <si>
    <t>Women's Lightweight Floral Square Silk Scarf Shawl</t>
  </si>
  <si>
    <t>0.00886 cuft</t>
  </si>
  <si>
    <t>ST172-BK-M</t>
  </si>
  <si>
    <t>B074T24DYN</t>
  </si>
  <si>
    <t>Men's Long Sleeve Formal Business Dress Shirts Black Medium</t>
  </si>
  <si>
    <t>Low conversion</t>
  </si>
  <si>
    <t>0.213294 cuft</t>
  </si>
  <si>
    <t>0.126949 cuft</t>
  </si>
  <si>
    <t>SCF-B01-014</t>
  </si>
  <si>
    <t>B075X9JZX3</t>
  </si>
  <si>
    <t>0.034898 cuft</t>
  </si>
  <si>
    <t>HZB-QJTZ-IUYL300310</t>
  </si>
  <si>
    <t>B07B9WYZG3</t>
  </si>
  <si>
    <t>luciphia Pet Grooming Kit - Dog Cat Nail Clipper, Deshedding Brush, Dematting Comb Rake, Pin Brush Trimmer, Travel Storage Bag 6-in-1 Grooming Tools Kit Box Set</t>
  </si>
  <si>
    <t>0.375 cuft</t>
  </si>
  <si>
    <t>ST172-PK-L</t>
  </si>
  <si>
    <t>B074SQ5R3F</t>
  </si>
  <si>
    <t>Men's Long Sleeve Formal Business Dress Shirts Pink Large</t>
  </si>
  <si>
    <t>XQ-IUYL320-BK-L</t>
  </si>
  <si>
    <t>B07C8GM23V</t>
  </si>
  <si>
    <t>Luciphia Cute Leather Dog Collar Black Large</t>
  </si>
  <si>
    <t>ST085-LB916-S</t>
  </si>
  <si>
    <t>B06XYZF3QP</t>
  </si>
  <si>
    <t>Men's Solid Color Oxford Long Sleeve Button Down Casual Shirt Light Blue Small</t>
  </si>
  <si>
    <t>0.19318 cuft</t>
  </si>
  <si>
    <t>ST172-WT2-L</t>
  </si>
  <si>
    <t>B074SWFPBG</t>
  </si>
  <si>
    <t>Men's Long Sleeve Formal Business Dress Shirts White Large</t>
  </si>
  <si>
    <t>Create removal order</t>
  </si>
  <si>
    <t>SCF-B01-001</t>
  </si>
  <si>
    <t>B075XDV8DB</t>
  </si>
  <si>
    <t>ST172-WT1-XL</t>
  </si>
  <si>
    <t>B074SZJPSD</t>
  </si>
  <si>
    <t>Men's Long Sleeve Formal Business Dress Shirts Water White X-Large</t>
  </si>
  <si>
    <t>SCF-D01-017</t>
  </si>
  <si>
    <t>B075WSD44L</t>
  </si>
  <si>
    <t>LYQ-WF7125-BO-XL</t>
  </si>
  <si>
    <t>B077XQDLK8</t>
  </si>
  <si>
    <t>Luciphia Women's Tops Long Sleeve A-Line Lace Stitching Trim Casual Tunic Dress XL Blue</t>
  </si>
  <si>
    <t>0.121443 cuft</t>
  </si>
  <si>
    <t>ST172-GR-L</t>
  </si>
  <si>
    <t>B074SLPFD9</t>
  </si>
  <si>
    <t>Men's Long Sleeve Formal Business Dress Shirts Gray Large</t>
  </si>
  <si>
    <t>KZ-LY021-NY-32</t>
  </si>
  <si>
    <t>B077Z7RK81</t>
  </si>
  <si>
    <t>GS-IUYL280-3</t>
  </si>
  <si>
    <t>B079M4C6DT</t>
  </si>
  <si>
    <t>Genuine Leather Pet Dog Leash Leads for Large/ Medium/ Small Dogs Training/ Walking</t>
  </si>
  <si>
    <t>0.092883 cuft</t>
  </si>
  <si>
    <t>KZ-LY021-GY-32</t>
  </si>
  <si>
    <t>B0785PHFJC</t>
  </si>
  <si>
    <t>0.06562 cuft</t>
  </si>
  <si>
    <t>XQ-IUYL320-PP-S</t>
  </si>
  <si>
    <t>B07BLSR168</t>
  </si>
  <si>
    <t>Luciphia Cute Leather Dog Collar Purple Small</t>
  </si>
  <si>
    <t>AQD-IUYL340-LP</t>
  </si>
  <si>
    <t>B07BLXGT2T</t>
  </si>
  <si>
    <t>Luciphia Dog Seat Belt, 3 Packs Adjustable Vehicle Car Seatbelt Leash Safety Leads Harness for Pets Cats Animals Light Purple</t>
  </si>
  <si>
    <t>XQ-IUYL320-RD-L</t>
  </si>
  <si>
    <t>B07BLXBP85</t>
  </si>
  <si>
    <t>Luciphia Cute Leather Dog Collar Red Large</t>
  </si>
  <si>
    <t>XQ-IUYL320-PP-L</t>
  </si>
  <si>
    <t>B07BLVMB53</t>
  </si>
  <si>
    <t>Luciphia Cute Leather Dog Collar Purple Large</t>
  </si>
  <si>
    <t>XQ-IUYL260-RD-S</t>
  </si>
  <si>
    <t>B079GM3BXL</t>
  </si>
  <si>
    <t>0.038194 cuft</t>
  </si>
  <si>
    <t>MJ-IUYL230-PK-L</t>
  </si>
  <si>
    <t>X001OVSWZP</t>
  </si>
  <si>
    <t>B079GQ7X19</t>
  </si>
  <si>
    <t>Luciphia Ultra Absorbent Microfiber Drying Pet Towel for Dogs Cats Pink 31 x 13 inch</t>
  </si>
  <si>
    <t>SCF-A01-013</t>
  </si>
  <si>
    <t>B075XFT9C9</t>
  </si>
  <si>
    <t>Women's Floral Satin Silk Scarf Sheer Fashion Neckerchief Shawl</t>
  </si>
  <si>
    <t>0.040209 cuft</t>
  </si>
  <si>
    <t>ST172-PP-S</t>
  </si>
  <si>
    <t>B074SN4V6M</t>
  </si>
  <si>
    <t>Men's Long Sleeve Formal Business Dress Shirts Purple Small</t>
  </si>
  <si>
    <t>ST005-BK-S</t>
  </si>
  <si>
    <t>B074P3WK1B</t>
  </si>
  <si>
    <t>MOCOTONO Men's Long Sleeve Cotton Plaid Button Down Casual Shirts Black Small</t>
  </si>
  <si>
    <t>0.213218 cuft</t>
  </si>
  <si>
    <t>XQ-IUYL320-PK-S</t>
  </si>
  <si>
    <t>B07BLWPJFH</t>
  </si>
  <si>
    <t>Luciphia Cute Leather Dog Collar Pink Small</t>
  </si>
  <si>
    <t>ST172-NY-L</t>
  </si>
  <si>
    <t>B074SQ1FJK</t>
  </si>
  <si>
    <t>Men's Long Sleeve Formal Business Dress Shirts Navy Large</t>
  </si>
  <si>
    <t>ST172-PP-XL</t>
  </si>
  <si>
    <t>B074SM144J</t>
  </si>
  <si>
    <t>Men's Long Sleeve Formal Business Dress Shirts Purple X-Large</t>
  </si>
  <si>
    <t>LYQ-WF7125-PO-S</t>
  </si>
  <si>
    <t>B0785K545N</t>
  </si>
  <si>
    <t>Luciphia Women's Tops Long Sleeve A-Line Lace Stitching Trim Casual Tunic Dress S Purple</t>
  </si>
  <si>
    <t>SCF-C01-009</t>
  </si>
  <si>
    <t>B075WT1YRZ</t>
  </si>
  <si>
    <t>KZ-LY021-WR-40</t>
  </si>
  <si>
    <t>B077YWGR1B</t>
  </si>
  <si>
    <t>ST172-WR-L</t>
  </si>
  <si>
    <t>B074SM3B1W</t>
  </si>
  <si>
    <t>Men's Long Sleeve Formal Business Dress Shirts Wine Red Large</t>
  </si>
  <si>
    <t>AQD-IUYL330-CF</t>
  </si>
  <si>
    <t>B07BLSQB24</t>
  </si>
  <si>
    <t>Dog Seat Belt, 3 Packs Adjustable Vehicle Car Seatbelt Leash Safety Leads Harness for Pets Cats Animals Coffee</t>
  </si>
  <si>
    <t>ST172-GR-XXL</t>
  </si>
  <si>
    <t>B074SXQ5MY</t>
  </si>
  <si>
    <t>Men's Long Sleeve Formal Business Dress Shirts Gray XX-Large</t>
  </si>
  <si>
    <t>XQ-IUYL320-YL-L</t>
  </si>
  <si>
    <t>B07BLTGHH9</t>
  </si>
  <si>
    <t>Luciphia Cute Leather Dog Collar Yellow Large</t>
  </si>
  <si>
    <t>SCF-B01-016</t>
  </si>
  <si>
    <t>B075XD8MYM</t>
  </si>
  <si>
    <t>Luciphia Women's Large Print Floral Chiffon Scarf Poncho Shawl</t>
  </si>
  <si>
    <t>0.333333 cuft</t>
  </si>
  <si>
    <t>KZ-LY021-GY-38</t>
  </si>
  <si>
    <t>B077Z1QNCD</t>
  </si>
  <si>
    <t>SCF-C01-003</t>
  </si>
  <si>
    <t>B075WQNT6B</t>
  </si>
  <si>
    <t>Luciphia Women's Large Print Silk Scarf Floral Square Pashmina Shawl</t>
  </si>
  <si>
    <t>ST166-K33-4-S</t>
  </si>
  <si>
    <t>B07173Q2FN</t>
  </si>
  <si>
    <t>Men's Long Sleeve Flannel Plaid Dress Shirt Western Button Down Shirts White and Navy Small</t>
  </si>
  <si>
    <t>0.115281 cuft</t>
  </si>
  <si>
    <t>ST172-WR-M</t>
  </si>
  <si>
    <t>B074SXT999</t>
  </si>
  <si>
    <t>Men's Long Sleeve Formal Business Dress Shirts Wine Red Medium</t>
  </si>
  <si>
    <t>ST172-NY-XXL</t>
  </si>
  <si>
    <t>B074SLZVWD</t>
  </si>
  <si>
    <t>Men's Long Sleeve Formal Business Dress Shirts Navy XX-Large</t>
  </si>
  <si>
    <t>XQ-IUYL320-PK-L</t>
  </si>
  <si>
    <t>B07BLV93M3</t>
  </si>
  <si>
    <t>Luciphia Cute Leather Dog Collar Pink Large</t>
  </si>
  <si>
    <t>KZ-LY021-GY-40</t>
  </si>
  <si>
    <t>B077YWGW7H</t>
  </si>
  <si>
    <t>SCF-C01-016</t>
  </si>
  <si>
    <t>B075WT1YR6</t>
  </si>
  <si>
    <t>KZ-LY021-WR-32</t>
  </si>
  <si>
    <t>B077Z7R3DQ</t>
  </si>
  <si>
    <t>AQD-IUYL340-YL</t>
  </si>
  <si>
    <t>B07BLSKPGN</t>
  </si>
  <si>
    <t>Dog Seat Belt, 3 Packs Adjustable Vehicle Car Seatbelt Leash Safety Leads Harness for Pets Cats Animals Yellow</t>
  </si>
  <si>
    <t>ST173-BK-S</t>
  </si>
  <si>
    <t>B074SM5RZS</t>
  </si>
  <si>
    <t>Men's Short Sleeve Formal Dress Shirts Black Small</t>
  </si>
  <si>
    <t>SCF-A01-009</t>
  </si>
  <si>
    <t>B075XCBHHN</t>
  </si>
  <si>
    <t>TZ-IUYL240LHY-DOT-L</t>
  </si>
  <si>
    <t>X001SMP3RF</t>
  </si>
  <si>
    <t>B07C16NFVZ</t>
  </si>
  <si>
    <t>luciphia 1 Pack 3 Blankets Super Soft Fluffy Premium Fleece Pet Blanket Flannel Throw for Dog Puppy Dot Large</t>
  </si>
  <si>
    <t>0.28875 cuft</t>
  </si>
  <si>
    <t>KZ-LY021-BK-32</t>
  </si>
  <si>
    <t>B077Z3FG6P</t>
  </si>
  <si>
    <t>AQD-IUYL330-YL</t>
  </si>
  <si>
    <t>B07BLQJYGS</t>
  </si>
  <si>
    <t>ST155-AG-32</t>
  </si>
  <si>
    <t>B071JXZVZV</t>
  </si>
  <si>
    <t>MiCotton Men's Casual Cotton Military Cargo Shorts Army Camo Muti-Pockects Work Shorts Army Green 32</t>
  </si>
  <si>
    <t>0.267551 cuft</t>
  </si>
  <si>
    <t>ST171-LB916-XXL</t>
  </si>
  <si>
    <t>B073PPFLNM</t>
  </si>
  <si>
    <t>Men's Oxford Long Sleeve Button Down Dress Shirt With Pocket,Light Blue,XX-Large</t>
  </si>
  <si>
    <t>0.166277 cuft</t>
  </si>
  <si>
    <t>ST172-GR-M</t>
  </si>
  <si>
    <t>B074T17WTF</t>
  </si>
  <si>
    <t>Men's Long Sleeve Formal Business Dress Shirts Gray Medium</t>
  </si>
  <si>
    <t>ST173-BL-S</t>
  </si>
  <si>
    <t>B074SZJYJJ</t>
  </si>
  <si>
    <t>Men's Short Sleeve Formal Dress Shirts Blue Small</t>
  </si>
  <si>
    <t>TZ-IUYL240-DOT2-L</t>
  </si>
  <si>
    <t>X001SNKCHF</t>
  </si>
  <si>
    <t>B07DFBKQ2D</t>
  </si>
  <si>
    <t>luciphia 1 Pack 3 Blankets Super Soft Fluffy Premium Fleece Pet Blanket Flannel Throw for Dog Puppy Cat Dot2 Large</t>
  </si>
  <si>
    <t>0.376979 cuft</t>
  </si>
  <si>
    <t>ST-K559-KQ-44</t>
  </si>
  <si>
    <t>B073QH2KWY</t>
  </si>
  <si>
    <t>Mens Twill Cargo Shorts Slim Fit Short Pants Khaki 2 Tag 44/US 42</t>
  </si>
  <si>
    <t>0.082085 cuft</t>
  </si>
  <si>
    <t>LYQ-WF7125-NO-L</t>
  </si>
  <si>
    <t>B077XRZBGV</t>
  </si>
  <si>
    <t>Luciphia Women's Tops Long Sleeve A-Line Lace Stitching Trim Casual Tunic Dress L Brown</t>
  </si>
  <si>
    <t>ST172-BK-S</t>
  </si>
  <si>
    <t>B074SNMHQJ</t>
  </si>
  <si>
    <t>Men's Long Sleeve Formal Business Dress Shirts Black Small</t>
  </si>
  <si>
    <t>SCF-B01-017</t>
  </si>
  <si>
    <t>B075XJLDVB</t>
  </si>
  <si>
    <t>LYQ-WF7125-KO-L</t>
  </si>
  <si>
    <t>B077XVSQHX</t>
  </si>
  <si>
    <t>Luciphia Women's Tops Long Sleeve A-Line Lace Stitching Trim Casual Tunic Dress L Black</t>
  </si>
  <si>
    <t>LYQ-WF7125-WO-2L</t>
  </si>
  <si>
    <t>B077XQDLK1</t>
  </si>
  <si>
    <t>Luciphia Women's Tops Long Sleeve A-Line Lace Stitching Trim Casual Tunic Dress 2XL White</t>
  </si>
  <si>
    <t>ST172-NY-S</t>
  </si>
  <si>
    <t>B074SYY7Q7</t>
  </si>
  <si>
    <t>Men's Long Sleeve Formal Business Dress Shirts Navy Small</t>
  </si>
  <si>
    <t>KZ-LY021-KK-32</t>
  </si>
  <si>
    <t>B0785PS8WV</t>
  </si>
  <si>
    <t>TZ-IUYL240LHY-STAR-L</t>
  </si>
  <si>
    <t>X001SMPZ0P</t>
  </si>
  <si>
    <t>B079HRYZ8F</t>
  </si>
  <si>
    <t>luciphia 1 Pack 3 Blankets Super Soft Fluffy Premium Fleece Pet Blanket Flannel Throw for Dog Puppy Cat Star Large</t>
  </si>
  <si>
    <t>0.27792 cuft</t>
  </si>
  <si>
    <t>LYQ-WF7125-BO-S</t>
  </si>
  <si>
    <t>B077XRHLYX</t>
  </si>
  <si>
    <t>Luciphia Women's Tops Long Sleeve A-Line Lace Stitching Trim Casual Tunic Dress S Blue</t>
  </si>
  <si>
    <t>ST172-PP-M</t>
  </si>
  <si>
    <t>B074SMT9CV</t>
  </si>
  <si>
    <t>Men's Long Sleeve Formal Business Dress Shirts Purple Medium</t>
  </si>
  <si>
    <t>SCF-C01-012</t>
  </si>
  <si>
    <t>B075WQJ859</t>
  </si>
  <si>
    <t>XQ-IUYL320-CF-L</t>
  </si>
  <si>
    <t>B07BLT6QLH</t>
  </si>
  <si>
    <t>Luciphia Cute Leather Dog Collar Coffee Large</t>
  </si>
  <si>
    <t>TZ-IUYL240-RABBIT-M</t>
  </si>
  <si>
    <t>X001SNBSCD</t>
  </si>
  <si>
    <t>B07DF6XZQC</t>
  </si>
  <si>
    <t>luciphia 1 Pack 3 Blankets Super Soft Fluffy Premium Fleece Pet Blanket Flannel Throw for Dog Puppy Rabbit Medium</t>
  </si>
  <si>
    <t>0.135602 cuft</t>
  </si>
  <si>
    <t>ST172-BL-S</t>
  </si>
  <si>
    <t>B074SZCMCP</t>
  </si>
  <si>
    <t>Men's Long Sleeve Formal Business Dress Shirts Blue Small</t>
  </si>
  <si>
    <t>LGQ-IUYL100-RD</t>
  </si>
  <si>
    <t>B0798PY6XT</t>
  </si>
  <si>
    <t>Luciphia Retractable Pet Dog Walking Leash for Small Medium Large Dogs - Ergonomic Grip - Waste Bag Dispenser and Collapsible Water Bowl included</t>
  </si>
  <si>
    <t>0.160427 cuft</t>
  </si>
  <si>
    <t>ST172-NY-XL</t>
  </si>
  <si>
    <t>B074SMS5NT</t>
  </si>
  <si>
    <t>Men's Long Sleeve Formal Business Dress Shirts Navy X-Large</t>
  </si>
  <si>
    <t>ST172-WT2-S</t>
  </si>
  <si>
    <t>B074SNVWHH</t>
  </si>
  <si>
    <t>Men's Long Sleeve Formal Business Dress Shirts White Small</t>
  </si>
  <si>
    <t>AQD-IUYL330-GR</t>
  </si>
  <si>
    <t>B07BLX8JTR</t>
  </si>
  <si>
    <t>Dog Seat Belt, 3 Packs Adjustable Vehicle Car Seatbelt Leash Safety Leads Harness for Pets Cats Animals Gray</t>
  </si>
  <si>
    <t>DZ-IUYL210-BK</t>
  </si>
  <si>
    <t>B079JGMFTB</t>
  </si>
  <si>
    <t>Luciphia Pet Seat Cover With Side Flaps, Dog Viewing Window - Hammock Large Pet Back Seat Cover for Cars, Trucks, SUV - Non slip Waterproof</t>
  </si>
  <si>
    <t>0.316943 cuft</t>
  </si>
  <si>
    <t>XQ-IUYL320-BL-M</t>
  </si>
  <si>
    <t>B07BLTCKF4</t>
  </si>
  <si>
    <t>Luciphia Cute Leather Dog Collar Blue Medium</t>
  </si>
  <si>
    <t>XQ-IUYL320-DB-M</t>
  </si>
  <si>
    <t>B07BLS3RH4</t>
  </si>
  <si>
    <t>Luciphia Cute Leather Dog Collar Dark Blue Medium</t>
  </si>
  <si>
    <t>SCF-C01-013</t>
  </si>
  <si>
    <t>B075WSZF3P</t>
  </si>
  <si>
    <t>XQ-IUYL320-CF-S</t>
  </si>
  <si>
    <t>B07BLV93M6</t>
  </si>
  <si>
    <t>Luciphia Cute Leather Dog Collar Coffee Small</t>
  </si>
  <si>
    <t>ST172-BL-M</t>
  </si>
  <si>
    <t>B074SZ4SDW</t>
  </si>
  <si>
    <t>Men's Long Sleeve Formal Business Dress Shirts Blue Medium</t>
  </si>
  <si>
    <t>SCF-B01-015</t>
  </si>
  <si>
    <t>B075XF6KDQ</t>
  </si>
  <si>
    <t>ST172-NY-M</t>
  </si>
  <si>
    <t>B074SPWGPS</t>
  </si>
  <si>
    <t>Men's Long Sleeve Formal Business Dress Shirts Navy Medium</t>
  </si>
  <si>
    <t>ST172-WR-XXL</t>
  </si>
  <si>
    <t>B074SQ5NX1</t>
  </si>
  <si>
    <t>Men's Long Sleeve Formal Business Dress Shirts Wine Red XX-Large</t>
  </si>
  <si>
    <t>SCF-B01-018</t>
  </si>
  <si>
    <t>B075XC664H</t>
  </si>
  <si>
    <t>ST173-GR-S</t>
  </si>
  <si>
    <t>B074SVYFJC</t>
  </si>
  <si>
    <t>Men's Short Sleeve Formal Dress Shirts Gray Small</t>
  </si>
  <si>
    <t>LYQ-WF7125-KO-XL</t>
  </si>
  <si>
    <t>B077XVV8MB</t>
  </si>
  <si>
    <t>Luciphia Women's Tops Long Sleeve A-Line Lace Stitching Trim Casual Tunic Dress XL Black</t>
  </si>
  <si>
    <t>SCF-D01-015</t>
  </si>
  <si>
    <t>B075WRTSV9</t>
  </si>
  <si>
    <t>ST173-PK-XXL</t>
  </si>
  <si>
    <t>B074SVP22M</t>
  </si>
  <si>
    <t>MOCOTONO Men's Short Sleeve Formal Dress Shirts Pink XX-Large</t>
  </si>
  <si>
    <t>0.039063 cuft</t>
  </si>
  <si>
    <t>SCF-C01-019</t>
  </si>
  <si>
    <t>B075WTH7BJ</t>
  </si>
  <si>
    <t>KZ-LY021-BL-38</t>
  </si>
  <si>
    <t>B077Z5M1T9</t>
  </si>
  <si>
    <t>KZ-LY021-BL-34</t>
  </si>
  <si>
    <t>B0785Q5CB9</t>
  </si>
  <si>
    <t>XQ-IUYL260-PP-S</t>
  </si>
  <si>
    <t>B079GNL7BD</t>
  </si>
  <si>
    <t>0.041667 cuft</t>
  </si>
  <si>
    <t>SCF-C01-008</t>
  </si>
  <si>
    <t>B075WNZJSF</t>
  </si>
  <si>
    <t>0.03342 cuft</t>
  </si>
  <si>
    <t>SCF-D01-007</t>
  </si>
  <si>
    <t>B075WPHHKW</t>
  </si>
  <si>
    <t>TZ-IUYL240-LOVE-S</t>
  </si>
  <si>
    <t>X001SVZZGP</t>
  </si>
  <si>
    <t>B07DL5G8KV</t>
  </si>
  <si>
    <t>luciphia 1 Pack 3 Blankets Super Soft Fluffy Premium Fleece Pet Blanket Flannel Throw for Dog Puppy Love Small</t>
  </si>
  <si>
    <t>ST006-BL-S</t>
  </si>
  <si>
    <t>B074P2B6M8</t>
  </si>
  <si>
    <t>MOCOTONO Men's Long Sleeve Standard Fit Plaid Checked Button up Casual Shirts Blue Small</t>
  </si>
  <si>
    <t>0.145901 cuft</t>
  </si>
  <si>
    <t>LYQ-WF7125-NO-S</t>
  </si>
  <si>
    <t>B0785L1H91</t>
  </si>
  <si>
    <t>Luciphia Women's Tops Long Sleeve A-Line Lace Stitching Trim Casual Tunic Dress S Brown</t>
  </si>
  <si>
    <t>XQ-IUYL320-DB-L</t>
  </si>
  <si>
    <t>B07BLT8Z76</t>
  </si>
  <si>
    <t>Luciphia Cute Leather Dog Collar Dark Blue Large</t>
  </si>
  <si>
    <t>ST171-LB916-S</t>
  </si>
  <si>
    <t>B073PQ6BZ4</t>
  </si>
  <si>
    <t>Men's Oxford Long Sleeve Button Down Dress Shirt With Pocket,Light Blue,Small</t>
  </si>
  <si>
    <t>0.13335 cuft</t>
  </si>
  <si>
    <t>AQD-IUYL330-DB</t>
  </si>
  <si>
    <t>B07BLR41F3</t>
  </si>
  <si>
    <t>Luciphia Dog Seat Belt, 3 Packs Adjustable Vehicle Car Seatbelt Leash Safety Leads Harness for Pets Cats Animals Dark Blue</t>
  </si>
  <si>
    <t>SCF-D01-009</t>
  </si>
  <si>
    <t>B075WPX32B</t>
  </si>
  <si>
    <t>LYQ-WF7125-PO-2L</t>
  </si>
  <si>
    <t>B077XVSW32</t>
  </si>
  <si>
    <t>Women's Tops Long Sleeve A-Line Lace Stitching Trim Casual Tunic Dress 2XL Purple</t>
  </si>
  <si>
    <t>ST172-PK-S</t>
  </si>
  <si>
    <t>B074SZQ1LP</t>
  </si>
  <si>
    <t>Men's Long Sleeve Formal Business Dress Shirts Pink Small</t>
  </si>
  <si>
    <t>0.052189 cuft</t>
  </si>
  <si>
    <t>AQD-IUYL330-PK</t>
  </si>
  <si>
    <t>B07BLT8K4B</t>
  </si>
  <si>
    <t>Luciphia Dog Seat Belt, 3 Packs Adjustable Vehicle Car Seatbelt Leash Safety Leads Harness for Pets Cats Animals Pink</t>
  </si>
  <si>
    <t>XQ-IUYL320-GN-M</t>
  </si>
  <si>
    <t>B07C8GHD9F</t>
  </si>
  <si>
    <t>Luciphia Cute Leather Dog Collar Green Medium</t>
  </si>
  <si>
    <t>XQ-IUYL320-BK-XL</t>
  </si>
  <si>
    <t>B07BLXSN84</t>
  </si>
  <si>
    <t>Luciphia Cute Leather Dog Collar Black X-Large</t>
  </si>
  <si>
    <t>ST173-PK-S</t>
  </si>
  <si>
    <t>B074SL9T1Y</t>
  </si>
  <si>
    <t>MOCOTONO Men's Short Sleeve Formal Dress Shirts Pink Small</t>
  </si>
  <si>
    <t>TZ-IUYL240-LOVE-L</t>
  </si>
  <si>
    <t>X001SWAB31</t>
  </si>
  <si>
    <t>B07DL5W2R6</t>
  </si>
  <si>
    <t>luciphia 1 Pack 3 Blankets Super Soft Fluffy Premium Fleece Pet Blanket Flannel Throw for Dog Puppy Love Large</t>
  </si>
  <si>
    <t>0.259259 cuft</t>
  </si>
  <si>
    <t>XQ-IUYL260-BK-S</t>
  </si>
  <si>
    <t>B079GPRVHY</t>
  </si>
  <si>
    <t>0.025463 cuft</t>
  </si>
  <si>
    <t>KZ-LY021-BK-36</t>
  </si>
  <si>
    <t>B077Z7RY9J</t>
  </si>
  <si>
    <t>SCF-C01-018</t>
  </si>
  <si>
    <t>B075WQQC8L</t>
  </si>
  <si>
    <t>KZ-LY021-NY-38</t>
  </si>
  <si>
    <t>B077Z1QPRQ</t>
  </si>
  <si>
    <t>ST172-BL-XXL</t>
  </si>
  <si>
    <t>B074SQ5PJS</t>
  </si>
  <si>
    <t>Men's Long Sleeve Formal Business Dress Shirts Blue XX-Large</t>
  </si>
  <si>
    <t>XQ-IUYL320-BL-S</t>
  </si>
  <si>
    <t>B07BLXLBHX</t>
  </si>
  <si>
    <t>Luciphia Cute Leather Dog Collar Blue Small</t>
  </si>
  <si>
    <t>ST155-AG-30</t>
  </si>
  <si>
    <t>B071JY11V7</t>
  </si>
  <si>
    <t>MiCotton Men's Casual Cotton Military Cargo Shorts Army Camo Muti-Pockects Work Shorts Army Green 30</t>
  </si>
  <si>
    <t>MJ-IUYL230-CF-S</t>
  </si>
  <si>
    <t>X001OWR7JV</t>
  </si>
  <si>
    <t>B079GQWL9S</t>
  </si>
  <si>
    <t>Luciphia Ultra Absorbent Microfiber Drying Pet Towel for Dogs Cats Coffee 19 x 13 inch</t>
  </si>
  <si>
    <t>SCF-B01-013</t>
  </si>
  <si>
    <t>B075XCS3QN</t>
  </si>
  <si>
    <t>AQD-IUYL340-PK</t>
  </si>
  <si>
    <t>B07BLQ5R6S</t>
  </si>
  <si>
    <t>Dog Seat Belt, 3 Packs Adjustable Vehicle Car Seatbelt Leash Safety Leads Harness for Pets Cats Animals Pink</t>
  </si>
  <si>
    <t>XQ-IUYL260-PP-M</t>
  </si>
  <si>
    <t>B079GQB66Z</t>
  </si>
  <si>
    <t>0.040582 cuft</t>
  </si>
  <si>
    <t>LYQ-WF7125-BO-2X</t>
  </si>
  <si>
    <t>B077XTXJ7Q</t>
  </si>
  <si>
    <t>Luciphia Women's Tops Long Sleeve A-Line Lace Stitching Trim Casual Tunic 2XL Dress Blue</t>
  </si>
  <si>
    <t>SCF-B01-008</t>
  </si>
  <si>
    <t>B075XH35SF</t>
  </si>
  <si>
    <t>LYQ-WF7125-PO-XL</t>
  </si>
  <si>
    <t>B0785L1RRG</t>
  </si>
  <si>
    <t>Luciphia Women's Tops Long Sleeve A-Line Lace Stitching Trim Casual Tunic Dress XL Purple</t>
  </si>
  <si>
    <t>AQD-IUYL330-OR</t>
  </si>
  <si>
    <t>B07BLRT4X9</t>
  </si>
  <si>
    <t>Luciphia Dog Seat Belt, 3 Packs Adjustable Vehicle Car Seatbelt Leash Safety Leads Harness for Pets Cats Animals Orange</t>
  </si>
  <si>
    <t>TZ-IUYL240LHY-STRAWBERRY-M</t>
  </si>
  <si>
    <t>X001SLYK4N</t>
  </si>
  <si>
    <t>B07CBR7LCS</t>
  </si>
  <si>
    <t>luciphia 1 Pack 3 Blankets Super Soft Fluffy Premium Fleece Pet Blanket Flannel Throw for Dog Puppy Strawberry Medium</t>
  </si>
  <si>
    <t>0.170118 cuft</t>
  </si>
  <si>
    <t>KZ-LY021-WR-36</t>
  </si>
  <si>
    <t>B0785P964M</t>
  </si>
  <si>
    <t>ST172-WT1-M</t>
  </si>
  <si>
    <t>B074SNMJJ9</t>
  </si>
  <si>
    <t>Men's Long Sleeve Formal Business Dress Shirts Water White Medium</t>
  </si>
  <si>
    <t>ST006-BL2-S</t>
  </si>
  <si>
    <t>B074NVH8G2</t>
  </si>
  <si>
    <t>MOCOTONO Men's Long Sleeve Standard Fit Plaid Checked Button up Casual Shirts Sapphire Small</t>
  </si>
  <si>
    <t>LGQ-IUYL100-WT</t>
  </si>
  <si>
    <t>B0798P1DCX</t>
  </si>
  <si>
    <t>0.236644 cuft</t>
  </si>
  <si>
    <t>GW-LULHY-4.5</t>
  </si>
  <si>
    <t>X001SMPR7V</t>
  </si>
  <si>
    <t>B078HNLGWS</t>
  </si>
  <si>
    <t>0.090015 cuft</t>
  </si>
  <si>
    <t>MJ-IUYL230-PK-S</t>
  </si>
  <si>
    <t>X001OVSWZF</t>
  </si>
  <si>
    <t>B079GS1ZJR</t>
  </si>
  <si>
    <t>Luciphia Ultra Absorbent Microfiber Drying Pet Towel for Dogs Cats Pink 19 x 13 inch</t>
  </si>
  <si>
    <t>ST172-BL-XL</t>
  </si>
  <si>
    <t>B074SNP44C</t>
  </si>
  <si>
    <t>Men's Long Sleeve Formal Business Dress Shirts Blue X-Large</t>
  </si>
  <si>
    <t>0.300208 cuft</t>
  </si>
  <si>
    <t>ST172-WR-XL</t>
  </si>
  <si>
    <t>B074SY2NWC</t>
  </si>
  <si>
    <t>Men's Long Sleeve Formal Business Dress Shirts Wine Red X-Large</t>
  </si>
  <si>
    <t>LYQ-WF7125-PO-M</t>
  </si>
  <si>
    <t>B077XTXHVH</t>
  </si>
  <si>
    <t>Luciphia Women's Tops Long Sleeve A-Line Lace Stitching Trim Casual Tunic Dress M Purple</t>
  </si>
  <si>
    <t>SCF-B01-012</t>
  </si>
  <si>
    <t>B075XHCCFQ</t>
  </si>
  <si>
    <t>SCF-B01-004</t>
  </si>
  <si>
    <t>B075XH1TBD</t>
  </si>
  <si>
    <t>KZ-LY021-WR-38</t>
  </si>
  <si>
    <t>B077Z7QZZY</t>
  </si>
  <si>
    <t>SCF-B01-002</t>
  </si>
  <si>
    <t>B075XFH141</t>
  </si>
  <si>
    <t>XQ-IUYL320-GN-L</t>
  </si>
  <si>
    <t>B07BLRDXJK</t>
  </si>
  <si>
    <t>Luciphia Cute Leather Dog Collar Green Large</t>
  </si>
  <si>
    <t>AQD-IUYL330-RD</t>
  </si>
  <si>
    <t>B07C8GM14Z</t>
  </si>
  <si>
    <t>Luciphia Dog Seat Belt, 3 Packs Adjustable Vehicle Car Seatbelt Leash Safety Leads Harness for Pets Cats Animals Red</t>
  </si>
  <si>
    <t>0.113223 cuft</t>
  </si>
  <si>
    <t>TZ-IUYL240-RABBIT-S</t>
  </si>
  <si>
    <t>X001SNYGA9</t>
  </si>
  <si>
    <t>B07DFCKR8T</t>
  </si>
  <si>
    <t>luciphia 1 Pack 3 Blankets Super Soft Fluffy Premium Fleece Pet Blanket Flannel Throw for Dog Puppy Rabbit Small</t>
  </si>
  <si>
    <t>0.118514 cuft</t>
  </si>
  <si>
    <t>ST172-WT2-XL</t>
  </si>
  <si>
    <t>B074SL2P7T</t>
  </si>
  <si>
    <t>Men's Long Sleeve Formal Business Dress Shirts White X-Large</t>
  </si>
  <si>
    <t>SCF-B01-020</t>
  </si>
  <si>
    <t>B075XFQC8B</t>
  </si>
  <si>
    <t>0.014468 cuft</t>
  </si>
  <si>
    <t>XQ-IUYL320-CF-M</t>
  </si>
  <si>
    <t>B07BLV5B1Y</t>
  </si>
  <si>
    <t>Luciphia Cute Leather Dog Collar Coffee Medium</t>
  </si>
  <si>
    <t>TZ-IUYL240-STAR-S</t>
  </si>
  <si>
    <t>B079HS8H93</t>
  </si>
  <si>
    <t>luciphia 1 Pack 3 Blankets Super Soft Fluffy Premium Fleece Pet Blanket Flannel Throw for Dog Puppy Cat Star Small</t>
  </si>
  <si>
    <t>0.106129 cuft</t>
  </si>
  <si>
    <t>BD-LUHM010</t>
  </si>
  <si>
    <t>X001STCLYL</t>
  </si>
  <si>
    <t>B07DJ8MH2Q</t>
  </si>
  <si>
    <t>Baby Carrier Bag and Diaper Travel Backpack Stroller Straps USB Heating Multi-Function Designer Large Capacity Diaper Bags Grey</t>
  </si>
  <si>
    <t>0.450937 cuft</t>
  </si>
  <si>
    <t>KZ-LY021-BK-40</t>
  </si>
  <si>
    <t>B077Z1TXX5</t>
  </si>
  <si>
    <t>ST173-PP-S</t>
  </si>
  <si>
    <t>B074SL9Y3C</t>
  </si>
  <si>
    <t>Men's Short Sleeve Formal Dress Shirts Purple Small</t>
  </si>
  <si>
    <t>DZ-IUYL200-BK</t>
  </si>
  <si>
    <t>B079JD7ZJ2</t>
  </si>
  <si>
    <t>0.390625 cuft</t>
  </si>
  <si>
    <t>GS-IUYL280-2</t>
  </si>
  <si>
    <t>B079M1Y4YS</t>
  </si>
  <si>
    <t>0.08004 cuft</t>
  </si>
  <si>
    <t>0.166667 cuft</t>
  </si>
  <si>
    <t>ST172-WR-S</t>
  </si>
  <si>
    <t>B074SYX9RW</t>
  </si>
  <si>
    <t>Men's Long Sleeve Formal Business Dress Shirts Wine Red Small</t>
  </si>
  <si>
    <t>KZ-LY021-WR-34</t>
  </si>
  <si>
    <t>B0785PV9GH</t>
  </si>
  <si>
    <t>ST173-WT1-S</t>
  </si>
  <si>
    <t>B074SXT853</t>
  </si>
  <si>
    <t>Men's Short Sleeve Formal Dress Shirts Water White Small</t>
  </si>
  <si>
    <t>XQ-IUYL320-RD-M</t>
  </si>
  <si>
    <t>B07BLRWPX4</t>
  </si>
  <si>
    <t>Luciphia Cute Leather Dog Collar Red Medium</t>
  </si>
  <si>
    <t>SCF-B01-003</t>
  </si>
  <si>
    <t>B075XHVZNY</t>
  </si>
  <si>
    <t>XQ-IUYL320-CF-XL</t>
  </si>
  <si>
    <t>B07BLRWWB9</t>
  </si>
  <si>
    <t>Luciphia Cute Leather Dog Collar Coffee X-Large</t>
  </si>
  <si>
    <t>ST172-GR-XL</t>
  </si>
  <si>
    <t>B074SLTLS9</t>
  </si>
  <si>
    <t>Men's Long Sleeve Formal Business Dress Shirts Gray X-Large</t>
  </si>
  <si>
    <t>ST006-CF-S</t>
  </si>
  <si>
    <t>B074NQZMVQ</t>
  </si>
  <si>
    <t>MOCOTONO Men's Long Sleeve Standard Fit Plaid Checked Button up Casual Shirts Coffee Small</t>
  </si>
  <si>
    <t>XQ-IUYL260-GN-S</t>
  </si>
  <si>
    <t>B079GQ2C5K</t>
  </si>
  <si>
    <t>0.042969 cuft</t>
  </si>
  <si>
    <t>scarf-0001-Peony</t>
  </si>
  <si>
    <t>B073GX87XH</t>
  </si>
  <si>
    <t>Luciphia Womem's Floral Print 100% Silk Square Scarf Neckerchief ?0x20 Inches</t>
  </si>
  <si>
    <t>ST172-WT1-XXL</t>
  </si>
  <si>
    <t>B074SKM7WZ</t>
  </si>
  <si>
    <t>Men's Long Sleeve Formal Business Dress Shirts Water White XX-Large</t>
  </si>
  <si>
    <t>SCF-B01-009</t>
  </si>
  <si>
    <t>B075XF8TFV</t>
  </si>
  <si>
    <t>XQ-IUYL320-BK-M</t>
  </si>
  <si>
    <t>B07BLV8M7G</t>
  </si>
  <si>
    <t>Luciphia Cute Leather Dog Collar Black Medium</t>
  </si>
  <si>
    <t>LYQ-WF7125-PO-XS</t>
  </si>
  <si>
    <t>B0785JC4N5</t>
  </si>
  <si>
    <t>Luciphia Women's Tops Long Sleeve A-Line Lace Stitching Trim Casual Tunic Dress XS Purple</t>
  </si>
  <si>
    <t>XQ-IUYL260-BL2-M</t>
  </si>
  <si>
    <t>B079GR91JK</t>
  </si>
  <si>
    <t>0.034722 cuft</t>
  </si>
  <si>
    <t>XQ-IUYL320-YL-XL</t>
  </si>
  <si>
    <t>B07BLVSWRJ</t>
  </si>
  <si>
    <t>Luciphia Cute Leather Dog Collar Yellow X-Large</t>
  </si>
  <si>
    <t>TZ-IUYL240-BEAR-M</t>
  </si>
  <si>
    <t>X001SNZ531</t>
  </si>
  <si>
    <t>B07DFC3CFS</t>
  </si>
  <si>
    <t>luciphia 1 Pack 3 Blankets Super Soft Fluffy Premium Fleece Pet Blanket Flannel Throw for Dog Puppy Cat Bear Medium</t>
  </si>
  <si>
    <t>LYQ-WF7125-BO-L</t>
  </si>
  <si>
    <t>B077XX3FN9</t>
  </si>
  <si>
    <t>Luciphia Women's Tops Long Sleeve A-Line Lace Stitching Trim Casual Tunic Dress L Blue</t>
  </si>
  <si>
    <t>XQ-IUYL320-BK-S</t>
  </si>
  <si>
    <t>B07BLZDS36</t>
  </si>
  <si>
    <t>Luciphia Cute Leather Dog Collar Black Small</t>
  </si>
  <si>
    <t>0.147658 cuft</t>
  </si>
  <si>
    <t>LYQ-WF7125-NO-XL</t>
  </si>
  <si>
    <t>B077XV3LFS</t>
  </si>
  <si>
    <t>Women's Tops Long Sleeve A-Line Lace Stitching Trim Casual Tunic Dress XL Brown</t>
  </si>
  <si>
    <t>TZ-IUYL240-STRAWBERRY-M</t>
  </si>
  <si>
    <t>XQ-IUYL320-PK-M</t>
  </si>
  <si>
    <t>B07BLT9556</t>
  </si>
  <si>
    <t>Luciphia Cute Leather Dog Collar Pink Medium</t>
  </si>
  <si>
    <t>ST171-Sa911-S</t>
  </si>
  <si>
    <t>B073PQXDQX</t>
  </si>
  <si>
    <t>Men's Oxford Long Sleeve Button Down Dress Shirt With Pocket,Sapphire,Small</t>
  </si>
  <si>
    <t>XQ-IUYL320-DB-S</t>
  </si>
  <si>
    <t>B07BLZ5PS4</t>
  </si>
  <si>
    <t>Luciphia Cute Leather Dog Collar Dark Blue Small</t>
  </si>
  <si>
    <t>SCF-C01-014</t>
  </si>
  <si>
    <t>B075WRD5KM</t>
  </si>
  <si>
    <t>XQ-IUYL260-BK-M</t>
  </si>
  <si>
    <t>B079GQ697Z</t>
  </si>
  <si>
    <t>0.027778 cuft</t>
  </si>
  <si>
    <t>SCF-B01-021</t>
  </si>
  <si>
    <t>B075XJBNCS</t>
  </si>
  <si>
    <t>XQ-IUYL320-RD-S</t>
  </si>
  <si>
    <t>B07BLYK979</t>
  </si>
  <si>
    <t>Luciphia Cute Leather Dog Collar Red Small</t>
  </si>
  <si>
    <t>XQ-IUYL320-PP-M</t>
  </si>
  <si>
    <t>B07BLWQZKS</t>
  </si>
  <si>
    <t>Luciphia Cute Leather Dog Collar Purple Medium</t>
  </si>
  <si>
    <t>0.17514 cuft</t>
  </si>
  <si>
    <t>ST172-PK-XL</t>
  </si>
  <si>
    <t>B074SXQT5Z</t>
  </si>
  <si>
    <t>Men's Long Sleeve Formal Business Dress Shirts Pink X-Large</t>
  </si>
  <si>
    <t>TZ-IUYL240-STRAWBERRY-L</t>
  </si>
  <si>
    <t>0.083333 cuft</t>
  </si>
  <si>
    <t>AQD-IUYL340-DP</t>
  </si>
  <si>
    <t>B07C8R5S2P</t>
  </si>
  <si>
    <t>Luciphia Dog Seat Belt, 3 Packs Adjustable Vehicle Car Seatbelt Leash Safety Leads Harness for Pets Cats Animals Deep Purple</t>
  </si>
  <si>
    <t>SCF-C01-010</t>
  </si>
  <si>
    <t>B075WT9XBG</t>
  </si>
  <si>
    <t>KZ-LY021-NY-40</t>
  </si>
  <si>
    <t>B077Z3FG6V</t>
  </si>
  <si>
    <t>ST172-PK-XXL</t>
  </si>
  <si>
    <t>B074SYXBT8</t>
  </si>
  <si>
    <t>Men's Long Sleeve Formal Business Dress Shirts Pink XX-Large</t>
  </si>
  <si>
    <t>ST172-PK-M</t>
  </si>
  <si>
    <t>B074SZKQMT</t>
  </si>
  <si>
    <t>Men's Long Sleeve Formal Business Dress Shirts Pink Medium</t>
  </si>
  <si>
    <t>ST170-LB-S</t>
  </si>
  <si>
    <t>B073PPS7FM</t>
  </si>
  <si>
    <t>Mocotono Men's Short Sleeve Oxford Button Down Casual Shirt, Light Blue, Small</t>
  </si>
  <si>
    <t>0.019097 cuft</t>
  </si>
  <si>
    <t>ST172-WT2-M</t>
  </si>
  <si>
    <t>B074SKGP6T</t>
  </si>
  <si>
    <t>Men's Long Sleeve Formal Business Dress Shirts White Medium</t>
  </si>
  <si>
    <t>0.114946 cuft</t>
  </si>
  <si>
    <t>XQ-IUYL320-YL-S</t>
  </si>
  <si>
    <t>B07BLSLVNQ</t>
  </si>
  <si>
    <t>Luciphia Cute Leather Dog Collar Yellow Small</t>
  </si>
  <si>
    <t>KZ-LY021-NY-34</t>
  </si>
  <si>
    <t>B077Z617BX</t>
  </si>
  <si>
    <t>TZ-IUYL240-STAR-M</t>
  </si>
  <si>
    <t>B079HQGKS9</t>
  </si>
  <si>
    <t>luciphia 1 Pack 3 Blankets Super Soft Fluffy Premium Fleece Pet Blanket Flannel Throw for Dog Puppy Cat Star Medium</t>
  </si>
  <si>
    <t>0.184856 cuft</t>
  </si>
  <si>
    <t>XQ-IUYL260-BL1-M</t>
  </si>
  <si>
    <t>B079GQ99MR</t>
  </si>
  <si>
    <t>XQ-IUYL260-YL-M</t>
  </si>
  <si>
    <t>B079GPD2NN</t>
  </si>
  <si>
    <t>LYQ-WF7125-KO-M</t>
  </si>
  <si>
    <t>B077XTZVP8</t>
  </si>
  <si>
    <t>Luciphia Women's Tops Long Sleeve A-Line Lace Stitching Trim Casual Tunic Dress M Black</t>
  </si>
  <si>
    <t>SCF-C01-011</t>
  </si>
  <si>
    <t>B075WSSK1M</t>
  </si>
  <si>
    <t>LYQ-WF7125-K0-2L</t>
  </si>
  <si>
    <t>B077XX5X7K</t>
  </si>
  <si>
    <t>Luciphia Women's Tops Long Sleeve A-Line Lace Stitching Trim Casual Tunic Dress 2XL Black</t>
  </si>
  <si>
    <t>0.378863 cuft</t>
  </si>
  <si>
    <t>XQ-IUYL320-GN-XL</t>
  </si>
  <si>
    <t>B07BLXHTK7</t>
  </si>
  <si>
    <t>Luciphia Cute Leather Dog Collar Green X-Large</t>
  </si>
  <si>
    <t>TZ-IUYL240-PAW-L</t>
  </si>
  <si>
    <t>LYQ-WF7125-WO-XS</t>
  </si>
  <si>
    <t>B077XRZ4P9</t>
  </si>
  <si>
    <t>Luciphia Women's Tops Long Sleeve A-Line Lace Stitching Trim Casual Tunic Dress XS White</t>
  </si>
  <si>
    <t>XQ-IUYL320-BL-XL</t>
  </si>
  <si>
    <t>B07BLRNMV5</t>
  </si>
  <si>
    <t>Luciphia Cute Leather Dog Collar Blue X-Large</t>
  </si>
  <si>
    <t>0.24225 cuft</t>
  </si>
  <si>
    <t>LYQ-WF7125-KO-S</t>
  </si>
  <si>
    <t>B077XQBJQ8</t>
  </si>
  <si>
    <t>Luciphia Women's Tops Long Sleeve A-Line Lace Stitching Trim Casual Tunic Dress S Black</t>
  </si>
  <si>
    <t>XQ-IUYL260-BL1-S</t>
  </si>
  <si>
    <t>B079GQZMQ2</t>
  </si>
  <si>
    <t>MJ-IUYL230-BL-L</t>
  </si>
  <si>
    <t>X001OWXULF</t>
  </si>
  <si>
    <t>B079GNVPFC</t>
  </si>
  <si>
    <t>Luciphia Ultra Absorbent Microfiber Drying Pet Towel for Dogs Cats Blue 31 x 13 inch</t>
  </si>
  <si>
    <t>SCF-A01-010</t>
  </si>
  <si>
    <t>B075XH273G</t>
  </si>
  <si>
    <t>SZ-IUYL002</t>
  </si>
  <si>
    <t>B079JF8TQM</t>
  </si>
  <si>
    <t>luciphia Pet Grooming Glove Tool Set + Furniture Pet Hair Remover Mitt - For Cat &amp; Dog - Long &amp; Short Fur - Slicker Brush and Pet Steel Comb Included</t>
  </si>
  <si>
    <t>XQ-IUYL260-RD-M</t>
  </si>
  <si>
    <t>B079GS81P9</t>
  </si>
  <si>
    <t>0.044271 cuft</t>
  </si>
  <si>
    <t>SCF-A01-011</t>
  </si>
  <si>
    <t>B075XBDWFK</t>
  </si>
  <si>
    <t>KZ-LY021-BL-40</t>
  </si>
  <si>
    <t>B077Z1SBLC</t>
  </si>
  <si>
    <t>KZ-LY021-BL-32</t>
  </si>
  <si>
    <t>B077YWH5DT</t>
  </si>
  <si>
    <t>SCF-B01-006</t>
  </si>
  <si>
    <t>B075XG5JVY</t>
  </si>
  <si>
    <t>ST173-PK-L</t>
  </si>
  <si>
    <t>B074SLMBT9</t>
  </si>
  <si>
    <t>MOCOTONO Men's Short Sleeve Formal Dress Shirts Pink Large</t>
  </si>
  <si>
    <t>BBBD-1605A-RD</t>
  </si>
  <si>
    <t>X001SHN8RR</t>
  </si>
  <si>
    <t>B07C178M2R</t>
  </si>
  <si>
    <t>BABYLAB 360 All Positions Detachable Ergonomic Baby Carrier For Infant Child Todller Red</t>
  </si>
  <si>
    <t>5.8E-5 cuft</t>
  </si>
  <si>
    <t>scarf-001-blueheart</t>
  </si>
  <si>
    <t>B073GXT1YF</t>
  </si>
  <si>
    <t>0.217813 cuft</t>
  </si>
  <si>
    <t>XQ-IUYL260-BL2-S</t>
  </si>
  <si>
    <t>B079GLZ6K8</t>
  </si>
  <si>
    <t>LGQ-IUYL100-YL</t>
  </si>
  <si>
    <t>B0798NZTJD</t>
  </si>
  <si>
    <t>0.215978 cuft</t>
  </si>
  <si>
    <t>SCF-B01-022</t>
  </si>
  <si>
    <t>B075XG6Z6C</t>
  </si>
  <si>
    <t>KZ-LY021-KK-40</t>
  </si>
  <si>
    <t>B077YWGXBQ</t>
  </si>
  <si>
    <t>KZ-LY021-KK-38</t>
  </si>
  <si>
    <t>B077Z5LR3B</t>
  </si>
  <si>
    <t>GW-LULHY-5.1</t>
  </si>
  <si>
    <t>X001SMP41F</t>
  </si>
  <si>
    <t>B078H79DCY</t>
  </si>
  <si>
    <t>0.122318 cuft</t>
  </si>
  <si>
    <t>TZ-IUYL240-STAR-L</t>
  </si>
  <si>
    <t>ST172-PP-L</t>
  </si>
  <si>
    <t>B074T25JWG</t>
  </si>
  <si>
    <t>Men's Long Sleeve Formal Business Dress Shirts Purple Large</t>
  </si>
  <si>
    <t>SCF-B01-007</t>
  </si>
  <si>
    <t>B075XCJ63F</t>
  </si>
  <si>
    <t>ST172-GR-S</t>
  </si>
  <si>
    <t>B074SL7P58</t>
  </si>
  <si>
    <t>Men's Long Sleeve Formal Business Dress Shirts Gray Small</t>
  </si>
  <si>
    <t>MJ-IUYL230-CF-L</t>
  </si>
  <si>
    <t>X001OX068T</t>
  </si>
  <si>
    <t>B079GTFGYN</t>
  </si>
  <si>
    <t>luciphia Ultra Absorbent Microfiber Drying Pet Towel for Dogs Cats Coffee 31 x 13 inch</t>
  </si>
  <si>
    <t>XQ-IUYL320-PK-XL</t>
  </si>
  <si>
    <t>B07BLZ8QQW</t>
  </si>
  <si>
    <t>Luciphia Cute Leather Dog Collar Pink X-Large</t>
  </si>
  <si>
    <t>LGQ-IUYL100-BL</t>
  </si>
  <si>
    <t>B0798PCSXB</t>
  </si>
  <si>
    <t>0.187492 cuft</t>
  </si>
  <si>
    <t>XQ-IUYL320-PP-XL</t>
  </si>
  <si>
    <t>B07BLRLRW6</t>
  </si>
  <si>
    <t>Luciphia Cute Leather Dog Collar Purple X-Large</t>
  </si>
  <si>
    <t>LYQ-WF7125-NO-XS</t>
  </si>
  <si>
    <t>B077XX5QDF</t>
  </si>
  <si>
    <t>Women's Tops Long Sleeve A-Line Lace Stitching Trim Casual Tunic Dress XS Brown</t>
  </si>
  <si>
    <t>GW-LULHY-8.8</t>
  </si>
  <si>
    <t>X001SMP35H</t>
  </si>
  <si>
    <t>B019V6P53K</t>
  </si>
  <si>
    <t>0.198875 cuft</t>
  </si>
  <si>
    <t>LYQ-WF7125-NO-2L</t>
  </si>
  <si>
    <t>B0785HZPS2</t>
  </si>
  <si>
    <t>Women's Tops Long Sleeve A-Line Lace Stitching Trim Casual Tunic Dress 2XL Brown</t>
  </si>
  <si>
    <t>ST172-WT1-L</t>
  </si>
  <si>
    <t>B074SWPTKB</t>
  </si>
  <si>
    <t>Men's Long Sleeve Formal Business Dress Shirts Water White Large</t>
  </si>
  <si>
    <t>LGQ-IUYL100-GN</t>
  </si>
  <si>
    <t>B0798NZCMN</t>
  </si>
  <si>
    <t>0.114444 cuft</t>
  </si>
  <si>
    <t>AQD-IUYL340-OR</t>
  </si>
  <si>
    <t>B07BLRYV4K</t>
  </si>
  <si>
    <t>XQ-IUYL260-YL-S</t>
  </si>
  <si>
    <t>B079GQYYYF</t>
  </si>
  <si>
    <t>TZ-IUYL240LHY-STAR-M</t>
  </si>
  <si>
    <t>X001SMQ56X</t>
  </si>
  <si>
    <t>ST172-BL-L</t>
  </si>
  <si>
    <t>B074SZ6CL6</t>
  </si>
  <si>
    <t>Men's Long Sleeve Formal Business Dress Shirts Blue Large</t>
  </si>
  <si>
    <t>XQ-IUYL320-RD-XL</t>
  </si>
  <si>
    <t>B07BLX976V</t>
  </si>
  <si>
    <t>Luciphia Cute Leather Dog Collar Red X-Large</t>
  </si>
  <si>
    <t>scarf-0001-Blue</t>
  </si>
  <si>
    <t>B073GY4FL6</t>
  </si>
  <si>
    <t>GW-LULHY-7.6</t>
  </si>
  <si>
    <t>X001SLKA0B</t>
  </si>
  <si>
    <t>B019V6RKPQ</t>
  </si>
  <si>
    <t>0.270948 cuft</t>
  </si>
  <si>
    <t>SCF-D01-012</t>
  </si>
  <si>
    <t>B075WPSRD1</t>
  </si>
  <si>
    <t>Luciphia Women's Lightweight Floral Square Silk Scarf Shawl</t>
  </si>
  <si>
    <t>SCF-B01-019</t>
  </si>
  <si>
    <t>B075XF75YS</t>
  </si>
  <si>
    <t>XQ-IUYL320-YL-M</t>
  </si>
  <si>
    <t>B07BLSNYZP</t>
  </si>
  <si>
    <t>Luciphia Cute Leather Dog Collar Yellow Medium</t>
  </si>
  <si>
    <t>TZ-IUYL240LHY-BONE-S</t>
  </si>
  <si>
    <t>X001SMPZ0F</t>
  </si>
  <si>
    <t>B079HQW62H</t>
  </si>
  <si>
    <t>luciphia 1 Pack 3 Blankets Super Soft Fluffy Premium Fleece Pet Blanket Flannel Throw for Dog Puppy Cat Bone Small</t>
  </si>
  <si>
    <t>0.111731 cuft</t>
  </si>
  <si>
    <t>GS-IUYL270</t>
  </si>
  <si>
    <t>B079MDCK5Y</t>
  </si>
  <si>
    <t>SCF-A01-012</t>
  </si>
  <si>
    <t>B075X946ZN</t>
  </si>
  <si>
    <t>0.208542 cuft</t>
  </si>
  <si>
    <t>LYQ-WF7125-PO-L</t>
  </si>
  <si>
    <t>B077XQBVHJ</t>
  </si>
  <si>
    <t>Luciphia Women's Tops Long Sleeve A-Line Lace Stitching Trim Casual Tunic Dress L Purple</t>
  </si>
  <si>
    <t>ST173-PK-XL</t>
  </si>
  <si>
    <t>B074SZD1GM</t>
  </si>
  <si>
    <t>MOCOTONO Men's Short Sleeve Formal Dress Shirts Pink X-Large</t>
  </si>
  <si>
    <t>GS-IUYL280-1</t>
  </si>
  <si>
    <t>B079M2W31H</t>
  </si>
  <si>
    <t>0.11974 cuft</t>
  </si>
  <si>
    <t>0.175375 cuft</t>
  </si>
  <si>
    <t>0.189822 cuft</t>
  </si>
  <si>
    <t>SCF-C01-017</t>
  </si>
  <si>
    <t>B075WTKCN3</t>
  </si>
  <si>
    <t>BBBD-BUSB1605B-PK</t>
  </si>
  <si>
    <t>B07C1KX15Z</t>
  </si>
  <si>
    <t>360 All Positions Detachable Ergonomic Baby Carrier For Infant Child Todller Pink 2</t>
  </si>
  <si>
    <t>ST005-BL2-S</t>
  </si>
  <si>
    <t>B074P5N47H</t>
  </si>
  <si>
    <t>MOCOTONO Men's Long Sleeve Cotton Plaid Button Down Casual Shirts Sapphire Small</t>
  </si>
  <si>
    <t>0.138102 cuft</t>
  </si>
  <si>
    <t>0.317094 cuft</t>
  </si>
  <si>
    <t>ST173-NY-S</t>
  </si>
  <si>
    <t>B074SNF6PC</t>
  </si>
  <si>
    <t>Men's Short Sleeve Formal Dress Shirts Navy Small</t>
  </si>
  <si>
    <t>KZ-LY021-KK-34</t>
  </si>
  <si>
    <t>B0785SC1FB</t>
  </si>
  <si>
    <t>ST173-WR-M</t>
  </si>
  <si>
    <t>B074SN3YQT</t>
  </si>
  <si>
    <t>MOCOTONO Men's Short Sleeve Formal Dress Shirts Wine Red Medium</t>
  </si>
  <si>
    <t>XQ-IUYL260-GN-M</t>
  </si>
  <si>
    <t>B079GML28B</t>
  </si>
  <si>
    <t>XQ-IUYL320-DB-XL</t>
  </si>
  <si>
    <t>B07BLRTLGM</t>
  </si>
  <si>
    <t>Luciphia Cute Leather Dog Collar Dark Blue X-Large</t>
  </si>
  <si>
    <t>KZ-LY021-GY-36</t>
  </si>
  <si>
    <t>B077YWGZ93</t>
  </si>
  <si>
    <t>ST173-WR-S</t>
  </si>
  <si>
    <t>B074SK47ZJ</t>
  </si>
  <si>
    <t>Men's Short Sleeve Formal Dress Shirts Wine Red Small</t>
  </si>
  <si>
    <t>KZ-LY021-NY-36</t>
  </si>
  <si>
    <t>B0785RM358</t>
  </si>
  <si>
    <t>ST173-WR-L</t>
  </si>
  <si>
    <t>B074SPF7P1</t>
  </si>
  <si>
    <t>MOCOTONO Men's Short Sleeve Formal Dress Shirts Wine Red Large</t>
  </si>
  <si>
    <t>KZ-LY021-BK-34</t>
  </si>
  <si>
    <t>B077YWH21S</t>
  </si>
  <si>
    <t>TZ-IUYL240LHY-STAR-S</t>
  </si>
  <si>
    <t>X001SMQI8D</t>
  </si>
  <si>
    <t>AQD-IUYL330-BK</t>
  </si>
  <si>
    <t>B07BLQFM2G</t>
  </si>
  <si>
    <t>Dog Seat Belt, 3 Packs Adjustable Vehicle Car Seatbelt Leash Safety Leads Harness for Pets Cats Animals Black</t>
  </si>
  <si>
    <t>Lower price</t>
  </si>
  <si>
    <t>SCF-C01-005</t>
  </si>
  <si>
    <t>B075WR57PJ</t>
  </si>
  <si>
    <t>SCF-D01-004</t>
  </si>
  <si>
    <t>B075WT8RQN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</si>
  <si>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</si>
  <si>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</si>
  <si>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</si>
  <si>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</si>
  <si>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</si>
  <si>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</si>
  <si>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</si>
  <si>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</si>
  <si>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</si>
  <si>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</si>
  <si>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</si>
  <si>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</si>
  <si>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No</t>
  </si>
  <si>
    <t>Yes</t>
  </si>
  <si>
    <t>AQD-IUYL330-PP</t>
  </si>
  <si>
    <t>B07BM3PGBP</t>
  </si>
  <si>
    <t>Luciphia Dog Seat Belt, 3 Packs Adjustable Vehicle Car Seatbelt Leash Safety Leads Harness for Pets Cats Animals Purple</t>
  </si>
  <si>
    <t>BBBD-BUSB1605A-BL</t>
  </si>
  <si>
    <t>B07C1KW5X1</t>
  </si>
  <si>
    <t>360 All Positions Detachable Ergonomic Baby Carrier For Infant Child Todller Blue</t>
  </si>
  <si>
    <t>BBBD-BUSB1605A-CF</t>
  </si>
  <si>
    <t>B07C1LYHW7</t>
  </si>
  <si>
    <t>360 All Positions Detachable Ergonomic Baby Carrier For Infant Child Todller Coffee</t>
  </si>
  <si>
    <t>BBBD-BUSB1605A-PK</t>
  </si>
  <si>
    <t>B07CBNM1H4</t>
  </si>
  <si>
    <t>360 All Positions Detachable Ergonomic Baby Carrier For Infant Child Todller Pink 1</t>
  </si>
  <si>
    <t>BBBD-BUSB1605A-RD</t>
  </si>
  <si>
    <t>BBBD-BUSB1605B-BL</t>
  </si>
  <si>
    <t>B07C178LY1</t>
  </si>
  <si>
    <t>360 All Positions Detachable Ergonomic Baby Carrier For Infant Child Todller Blue 2</t>
  </si>
  <si>
    <t>BBBD-BUSB1605B-RD</t>
  </si>
  <si>
    <t>B07CBPY63R</t>
  </si>
  <si>
    <t>360 All Positions Detachable Ergonomic Baby Carrier For Infant Child Todller Red 2</t>
  </si>
  <si>
    <t>BD-PUHM101-B0-L</t>
  </si>
  <si>
    <t>X001STM6EV</t>
  </si>
  <si>
    <t>B077P3W5CY</t>
  </si>
  <si>
    <t>luciphia The Original Control Dog Harness No Pull &amp; No Choke Design, Luxurious Padded Vest, Eco-Friendly, For Puppies and Dogs</t>
  </si>
  <si>
    <t>BD-PUHM101-B0-M</t>
  </si>
  <si>
    <t>X001STMA65</t>
  </si>
  <si>
    <t>B077PGPW9C</t>
  </si>
  <si>
    <t>BD-PUHM101-B0-S</t>
  </si>
  <si>
    <t>X001SU8A31</t>
  </si>
  <si>
    <t>B077P4NDQF</t>
  </si>
  <si>
    <t>BD-PUHM101-B0-XL</t>
  </si>
  <si>
    <t>X001SU74LZ</t>
  </si>
  <si>
    <t>B077PGPQKQ</t>
  </si>
  <si>
    <t>BD-PUHM101-G0-L</t>
  </si>
  <si>
    <t>X001SU7MNF</t>
  </si>
  <si>
    <t>B077PBYWZS</t>
  </si>
  <si>
    <t>BD-PUHM101-G0-M</t>
  </si>
  <si>
    <t>X001STM6GJ</t>
  </si>
  <si>
    <t>B077PC5BGR</t>
  </si>
  <si>
    <t>BD-PUHM101-G0-S</t>
  </si>
  <si>
    <t>X001SU8AB3</t>
  </si>
  <si>
    <t>B077P4BJ4R</t>
  </si>
  <si>
    <t>BD-PUHM101-G0-XL</t>
  </si>
  <si>
    <t>X001SU8GYJ</t>
  </si>
  <si>
    <t>B077PGDGHH</t>
  </si>
  <si>
    <t>BD-PUHM101-K0-L</t>
  </si>
  <si>
    <t>X001SU8GZ3</t>
  </si>
  <si>
    <t>B077PGJY38</t>
  </si>
  <si>
    <t>BD-PUHM101-K0-M</t>
  </si>
  <si>
    <t>X001SU6MVD</t>
  </si>
  <si>
    <t>B077P832FW</t>
  </si>
  <si>
    <t>BD-PUHM101-K0-S</t>
  </si>
  <si>
    <t>X001STM6CX</t>
  </si>
  <si>
    <t>B07846LZTV</t>
  </si>
  <si>
    <t>BD-PUHM101-K0-XL</t>
  </si>
  <si>
    <t>X001STMA47</t>
  </si>
  <si>
    <t>B077P4DY6N</t>
  </si>
  <si>
    <t>BD-PUHM101-R0-L</t>
  </si>
  <si>
    <t>X001SU4LRF</t>
  </si>
  <si>
    <t>B077P98RR5</t>
  </si>
  <si>
    <t>BD-PUHM101-R0-M</t>
  </si>
  <si>
    <t>X001STMA33</t>
  </si>
  <si>
    <t>B077PBWY75</t>
  </si>
  <si>
    <t>BD-PUHM101-R0-S</t>
  </si>
  <si>
    <t>X001SU4NFP</t>
  </si>
  <si>
    <t>B077PC5F9V</t>
  </si>
  <si>
    <t>BD-PUHM101-R0-XL</t>
  </si>
  <si>
    <t>X001SU8A9P</t>
  </si>
  <si>
    <t>B07844VFWQ</t>
  </si>
  <si>
    <t>BX-PUHM000-G0-2XL</t>
  </si>
  <si>
    <t>X001SU7EJ7</t>
  </si>
  <si>
    <t>B077GTSZMW</t>
  </si>
  <si>
    <t>luciphia Winter Dog Pet Vest Coat Waterproof Jacket With Zipper Green 2XL</t>
  </si>
  <si>
    <t>BX-PUHM000-G0-3XL</t>
  </si>
  <si>
    <t>X001SU74JR</t>
  </si>
  <si>
    <t>B077GSM1VR</t>
  </si>
  <si>
    <t>luciphia Winter Dog Pet Vest Coat Waterproof Jacket With Zipper Green 3XL</t>
  </si>
  <si>
    <t>BX-PUHM000-G0-4XL</t>
  </si>
  <si>
    <t>X001SU885B</t>
  </si>
  <si>
    <t>B077GTC3DD</t>
  </si>
  <si>
    <t>luciphia Winter Dog Pet Vest Coat Waterproof Jacket With Zipper Green 4XL</t>
  </si>
  <si>
    <t>BX-PUHM000-G0-5XL</t>
  </si>
  <si>
    <t>X001SU8AAT</t>
  </si>
  <si>
    <t>B077GVPYG5</t>
  </si>
  <si>
    <t>luciphia Winter Dog Pet Vest Coat Waterproof Jacket With Zipper Green 5XL</t>
  </si>
  <si>
    <t>BX-PUHM000-G0-L</t>
  </si>
  <si>
    <t>X001SU74K1</t>
  </si>
  <si>
    <t>B077GVL6JJ</t>
  </si>
  <si>
    <t>luciphia Winter Dog Pet Vest Coat Waterproof Jacket With Zipper Green L</t>
  </si>
  <si>
    <t>BX-PUHM000-G0-M</t>
  </si>
  <si>
    <t>X001SU7ELP</t>
  </si>
  <si>
    <t>B077GSWBSF</t>
  </si>
  <si>
    <t>luciphia Winter Dog Pet Vest Coat Waterproof Jacket With Zipper Green M</t>
  </si>
  <si>
    <t>BX-PUHM000-G0-S</t>
  </si>
  <si>
    <t>X001STM35D</t>
  </si>
  <si>
    <t>B077GTG3DN</t>
  </si>
  <si>
    <t>luciphia Winter Dog Pet Vest Coat Waterproof Jacket With Zipper Green S</t>
  </si>
  <si>
    <t>BX-PUHM000-G0-XL</t>
  </si>
  <si>
    <t>X001SU6NAD</t>
  </si>
  <si>
    <t>B077GV12XZ</t>
  </si>
  <si>
    <t>luciphia Winter Dog Pet Vest Coat Waterproof Jacket With Zipper Green XL</t>
  </si>
  <si>
    <t>BX-PUHM000-OR-2XL</t>
  </si>
  <si>
    <t>X001STM6AF</t>
  </si>
  <si>
    <t>B077GTTW6F</t>
  </si>
  <si>
    <t>luciphia Winter Dog Pet Vest Coat Waterproof Jacket With Zipper Orange 2XL</t>
  </si>
  <si>
    <t>BX-PUHM000-OR-3XL</t>
  </si>
  <si>
    <t>X001SU6MPT</t>
  </si>
  <si>
    <t>B077GVFQ2V</t>
  </si>
  <si>
    <t>luciphia Winter Dog Pet Vest Coat Waterproof Jacket With Zipper Orange 3XL</t>
  </si>
  <si>
    <t>BX-PUHM000-OR-4XL</t>
  </si>
  <si>
    <t>X001SU6NA3</t>
  </si>
  <si>
    <t>B077GTT4DB</t>
  </si>
  <si>
    <t>luciphia Winter Dog Pet Vest Coat Waterproof Jacket With Zipper Orange 4XL</t>
  </si>
  <si>
    <t>BX-PUHM000-OR-5XL</t>
  </si>
  <si>
    <t>X001SU8H1V</t>
  </si>
  <si>
    <t>B077GTB515</t>
  </si>
  <si>
    <t>luciphia Winter Dog Pet Vest Coat Waterproof Jacket With Zipper Orange 5XL</t>
  </si>
  <si>
    <t>BX-PUHM000-OR-L</t>
  </si>
  <si>
    <t>X001SU4LRP</t>
  </si>
  <si>
    <t>B077GSTK1N</t>
  </si>
  <si>
    <t>luciphia Winter Dog Pet Vest Coat Waterproof Jacket With Zipper Orange L</t>
  </si>
  <si>
    <t>BX-PUHM000-OR-M</t>
  </si>
  <si>
    <t>X001SU4NFZ</t>
  </si>
  <si>
    <t>B077GTHYN3</t>
  </si>
  <si>
    <t>luciphia Winter Dog Pet Vest Coat Waterproof Jacket With Zipper Orange M</t>
  </si>
  <si>
    <t>BX-PUHM000-OR-S</t>
  </si>
  <si>
    <t>X001STM6HD</t>
  </si>
  <si>
    <t>B077GTPRNJ</t>
  </si>
  <si>
    <t>luciphia Winter Dog Pet Vest Coat Waterproof Jacket With Zipper Orange S</t>
  </si>
  <si>
    <t>BX-PUHM000-OR-XL</t>
  </si>
  <si>
    <t>X001SU74H9</t>
  </si>
  <si>
    <t>B077GWG4J3</t>
  </si>
  <si>
    <t>luciphia Winter Dog Pet Vest Coat Waterproof Jacket With Zipper Orange XL</t>
  </si>
  <si>
    <t>BX-PUHM000-P0-2XL</t>
  </si>
  <si>
    <t>X001STQKSJ</t>
  </si>
  <si>
    <t>B077GTQ56H</t>
  </si>
  <si>
    <t>luciphia Winter Dog Pet Vest Coat Waterproof Jacket With Zipper Purple 2XL</t>
  </si>
  <si>
    <t>BX-PUHM000-P0-3XL</t>
  </si>
  <si>
    <t>X001STM353</t>
  </si>
  <si>
    <t>B077GVTVC3</t>
  </si>
  <si>
    <t>luciphia Winter Dog Pet Vest Coat Waterproof Jacket With Zipper Purple 3XL</t>
  </si>
  <si>
    <t>BX-PUHM000-P0-4XL</t>
  </si>
  <si>
    <t>X001SU8865</t>
  </si>
  <si>
    <t>B077GTDGCX</t>
  </si>
  <si>
    <t>luciphia Winter Dog Pet Vest Coat Waterproof Jacket With Zipper Purple 4XL</t>
  </si>
  <si>
    <t>BX-PUHM000-P0-5XL</t>
  </si>
  <si>
    <t>X001STM6E1</t>
  </si>
  <si>
    <t>B077GT9Y32</t>
  </si>
  <si>
    <t>luciphia Winter Dog Pet Vest Coat Waterproof Jacket With Zipper Purple 5XL</t>
  </si>
  <si>
    <t>BX-PUHM000-P0-L</t>
  </si>
  <si>
    <t>X001STQJOT</t>
  </si>
  <si>
    <t>B077GV55BL</t>
  </si>
  <si>
    <t>luciphia Winter Dog Pet Vest Coat Waterproof Jacket With Zipper Purple L</t>
  </si>
  <si>
    <t>BX-PUHM000-P0-M</t>
  </si>
  <si>
    <t>X001SU74J7</t>
  </si>
  <si>
    <t>B077GTMLLQ</t>
  </si>
  <si>
    <t>luciphia Winter Dog Pet Vest Coat Waterproof Jacket With Zipper Purple M</t>
  </si>
  <si>
    <t>BX-PUHM000-P0-S</t>
  </si>
  <si>
    <t>X001STM6EB</t>
  </si>
  <si>
    <t>B077GVH6DL</t>
  </si>
  <si>
    <t>luciphia Winter Dog Pet Vest Coat Waterproof Jacket With Zipper Purple S</t>
  </si>
  <si>
    <t>BX-PUHM000-P0-XL</t>
  </si>
  <si>
    <t>X001STQJET</t>
  </si>
  <si>
    <t>B077GV5S1X</t>
  </si>
  <si>
    <t>luciphia Winter Dog Pet Vest Coat Waterproof Jacket With Zipper Purple XL</t>
  </si>
  <si>
    <t>BX-PUHM000-PI-2XL</t>
  </si>
  <si>
    <t>X001SU8GZX</t>
  </si>
  <si>
    <t>B077GTR5GP</t>
  </si>
  <si>
    <t>luciphia Winter Dog Pet Vest Coat Waterproof Jacket With Zipper Pink 2XL</t>
  </si>
  <si>
    <t>BX-PUHM000-PI-3XL</t>
  </si>
  <si>
    <t>X001SU8A5T</t>
  </si>
  <si>
    <t>B077GVB9QZ</t>
  </si>
  <si>
    <t>luciphia Winter Dog Pet Vest Coat Waterproof Jacket With Zipper Pink 3XL</t>
  </si>
  <si>
    <t>BX-PUHM000-PI-4XL</t>
  </si>
  <si>
    <t>X001SU8A9Z</t>
  </si>
  <si>
    <t>B077GVDKL1</t>
  </si>
  <si>
    <t>luciphia Winter Dog Pet Vest Coat Waterproof Jacket With Zipper Pink 4XL</t>
  </si>
  <si>
    <t>BX-PUHM000-PI-5XL</t>
  </si>
  <si>
    <t>X001STM6FZ</t>
  </si>
  <si>
    <t>B077GVKJ5G</t>
  </si>
  <si>
    <t>luciphia Winter Dog Pet Vest Coat Waterproof Jacket With Zipper Pink 5XL</t>
  </si>
  <si>
    <t>BX-PUHM000-PI-L</t>
  </si>
  <si>
    <t>X001STM6F5</t>
  </si>
  <si>
    <t>B077GVHM6C</t>
  </si>
  <si>
    <t>luciphia Winter Dog Pet Vest Coat Waterproof Jacket With Zipper Pink L</t>
  </si>
  <si>
    <t>BX-PUHM000-PI-M</t>
  </si>
  <si>
    <t>X001SU4NHN</t>
  </si>
  <si>
    <t>B077GSRQ2X</t>
  </si>
  <si>
    <t>luciphia Winter Dog Pet Vest Coat Waterproof Jacket With Zipper Pink M</t>
  </si>
  <si>
    <t>BX-PUHM000-PI-S</t>
  </si>
  <si>
    <t>X001STQJL7</t>
  </si>
  <si>
    <t>B077GVG5Y9</t>
  </si>
  <si>
    <t>luciphia Winter Dog Pet Vest Coat Waterproof Jacket With Zipper Pink S</t>
  </si>
  <si>
    <t>BX-PUHM000-PI-XL</t>
  </si>
  <si>
    <t>X001SU6W4F</t>
  </si>
  <si>
    <t>B077GTSW3V</t>
  </si>
  <si>
    <t>luciphia Winter Dog Pet Vest Coat Waterproof Jacket With Zipper Pink XL</t>
  </si>
  <si>
    <t>BX-PUHM000-R0-2XL</t>
  </si>
  <si>
    <t>X001SU7MOJ</t>
  </si>
  <si>
    <t>B077GT5NM7</t>
  </si>
  <si>
    <t>luciphia Winter Dog Pet Vest Coat Waterproof Jacket With Zipper Red 2XL</t>
  </si>
  <si>
    <t>BX-PUHM000-R0-3XL</t>
  </si>
  <si>
    <t>X001SU7EJH</t>
  </si>
  <si>
    <t>B077GW6SRH</t>
  </si>
  <si>
    <t>luciphia Winter Dog Pet Vest Coat Waterproof Jacket With Zipper Red 3XL</t>
  </si>
  <si>
    <t>BX-PUHM000-R0-4XL</t>
  </si>
  <si>
    <t>X001SU7MOT</t>
  </si>
  <si>
    <t>B077GTCV4D</t>
  </si>
  <si>
    <t>luciphia Winter Dog Pet Vest Coat Waterproof Jacket With Zipper Red 4XL</t>
  </si>
  <si>
    <t>BX-PUHM000-R0-5XL</t>
  </si>
  <si>
    <t>X001SU6MTZ</t>
  </si>
  <si>
    <t>B077GVRC8H</t>
  </si>
  <si>
    <t>luciphia Winter Dog Pet Vest Coat Waterproof Jacket With Zipper Red 5XL</t>
  </si>
  <si>
    <t>BX-PUHM000-R0-L</t>
  </si>
  <si>
    <t>X001SU886Z</t>
  </si>
  <si>
    <t>B077GSNNT7</t>
  </si>
  <si>
    <t>luciphia Winter Dog Pet Vest Coat Waterproof Jacket With Zipper Red L</t>
  </si>
  <si>
    <t>BX-PUHM000-R0-M</t>
  </si>
  <si>
    <t>X001STQKT3</t>
  </si>
  <si>
    <t>B077GVTBNL</t>
  </si>
  <si>
    <t>luciphia Winter Dog Pet Vest Coat Waterproof Jacket With Zipper Red M</t>
  </si>
  <si>
    <t>BX-PUHM000-R0-S</t>
  </si>
  <si>
    <t>X001SU8GZN</t>
  </si>
  <si>
    <t>B077GVHXJF</t>
  </si>
  <si>
    <t>luciphia Winter Dog Pet Vest Coat Waterproof Jacket With Zipper Red S</t>
  </si>
  <si>
    <t>BX-PUHM000-R0-XL</t>
  </si>
  <si>
    <t>X001SU4NJV</t>
  </si>
  <si>
    <t>B077GWKKJ5</t>
  </si>
  <si>
    <t>luciphia Winter Dog Pet Vest Coat Waterproof Jacket With Zipper Red XL</t>
  </si>
  <si>
    <t>BX-PUHM001-B0-L</t>
  </si>
  <si>
    <t>X001STQJNP</t>
  </si>
  <si>
    <t>B077YZQ4GF</t>
  </si>
  <si>
    <t>SiYang Winter Waterproof Dog Vest Coats Jackets,Warm Reversible Outwear for Small Medium Large Dogs(Blue,L)</t>
  </si>
  <si>
    <t>BX-PUHM001-B0-M</t>
  </si>
  <si>
    <t>X001STQJEJ</t>
  </si>
  <si>
    <t>B077YZMM76</t>
  </si>
  <si>
    <t>luciphia Winter Dog Vest Coats Reversible Warm Jackets for Small Medium Dogs Blue M</t>
  </si>
  <si>
    <t>BX-PUHM001-B0-S</t>
  </si>
  <si>
    <t>X001SU7MO9</t>
  </si>
  <si>
    <t>B077YTW39Y</t>
  </si>
  <si>
    <t>luciphia Winter Dog Vest Coats Reversible Warm Jackets for Small Medium Dogs Blue S</t>
  </si>
  <si>
    <t>BX-PUHM001-B0-XL</t>
  </si>
  <si>
    <t>X001STGUTX</t>
  </si>
  <si>
    <t>B077Z2SC65</t>
  </si>
  <si>
    <t>luciphia Winter Dog Vest Coats Reversible Warm Jackets for Small Medium Dogs Blue XL</t>
  </si>
  <si>
    <t>BX-PUHM001-B0-XS</t>
  </si>
  <si>
    <t>X001SU6N99</t>
  </si>
  <si>
    <t>B077Z4BQV3</t>
  </si>
  <si>
    <t>luciphia Winter Dog Vest Coats Reversible Warm Jackets for Small Medium Dogs Blue XS</t>
  </si>
  <si>
    <t>BX-PUHM001-OR-L</t>
  </si>
  <si>
    <t>X001STM6AP</t>
  </si>
  <si>
    <t>B077Z3273G</t>
  </si>
  <si>
    <t>luciphia Winter Dog Vest Coats Reversible Warm Jackets for Small Medium Dogs Orange L</t>
  </si>
  <si>
    <t>BX-PUHM001-OR-M</t>
  </si>
  <si>
    <t>X001STS2N5</t>
  </si>
  <si>
    <t>B077YTVL49</t>
  </si>
  <si>
    <t>luciphia Winter Dog Vest Coats Reversible Warm Jackets for Small Medium Dogs Orange M</t>
  </si>
  <si>
    <t>BX-PUHM001-OR-S</t>
  </si>
  <si>
    <t>X001STMA2T</t>
  </si>
  <si>
    <t>B077YZQ6PF</t>
  </si>
  <si>
    <t>luciphia Winter Dog Vest Coats Reversible Warm Jackets for Small Medium Dogs Orange S</t>
  </si>
  <si>
    <t>BX-PUHM001-OR-XL</t>
  </si>
  <si>
    <t>X001SU7F91</t>
  </si>
  <si>
    <t>B0785NGDM9</t>
  </si>
  <si>
    <t>luciphia Winter Dog Vest Coats Reversible Warm Jackets for Small Medium Dogs Orange XL</t>
  </si>
  <si>
    <t>BX-PUHM001-OR-XS</t>
  </si>
  <si>
    <t>X001SU8A8L</t>
  </si>
  <si>
    <t>B077YZQ53K</t>
  </si>
  <si>
    <t>luciphia Winter Dog Vest Coats Reversible Warm Jackets for Small Medium Dogs Orange XS</t>
  </si>
  <si>
    <t>BX-PUHM001-R0-L</t>
  </si>
  <si>
    <t>X001SU8A8V</t>
  </si>
  <si>
    <t>B077Z5XVCP</t>
  </si>
  <si>
    <t>luciphia Winter Dog Vest Coats Reversible Warm Jackets for Small Medium Dogs Red L</t>
  </si>
  <si>
    <t>BX-PUHM001-R0-M</t>
  </si>
  <si>
    <t>X001SU4NGJ</t>
  </si>
  <si>
    <t>B077YZQDR4</t>
  </si>
  <si>
    <t>luciphia Winter Dog Vest Coats Reversible Warm Jackets for Small Medium Dogs Red M</t>
  </si>
  <si>
    <t>BX-PUHM001-R0-S</t>
  </si>
  <si>
    <t>X001STM34T</t>
  </si>
  <si>
    <t>B077Z32JMZ</t>
  </si>
  <si>
    <t>luciphia Winter Dog Vest Coats Reversible Warm Jackets for Small Medium Dogs Red S</t>
  </si>
  <si>
    <t>BX-PUHM001-R0-XL</t>
  </si>
  <si>
    <t>X001SU8AA9</t>
  </si>
  <si>
    <t>B077YZMR5R</t>
  </si>
  <si>
    <t>luciphia Winter Dog Vest Coats Reversible Warm Jackets for Small Medium Dogs Red XL</t>
  </si>
  <si>
    <t>BX-PUHM001-R0-XS</t>
  </si>
  <si>
    <t>X001STQJNZ</t>
  </si>
  <si>
    <t>B077YZMH2D</t>
  </si>
  <si>
    <t>luciphia Winter Dog Vest Coats Reversible Warm Jackets for Small Medium Dogs Red XS</t>
  </si>
  <si>
    <t>DZ-IUYL210-GR</t>
  </si>
  <si>
    <t>B079JD1T5B</t>
  </si>
  <si>
    <t>DZ-IUYL220-BK</t>
  </si>
  <si>
    <t>B079JNPCJ1</t>
  </si>
  <si>
    <t>DZ-IUYL220-GR</t>
  </si>
  <si>
    <t>B079JLS34D</t>
  </si>
  <si>
    <t>GS-PUHM019-B0-L</t>
  </si>
  <si>
    <t>X001STM6LJ</t>
  </si>
  <si>
    <t>B077PFD9LP</t>
  </si>
  <si>
    <t>luciphia Dog Leash Harness Adjustable &amp; Durable Leash Set &amp; Heavy Duty Denim Dog Leash Collar for Small Perfect for Daily Training Walking Running</t>
  </si>
  <si>
    <t>GS-PUHM019-B0-M</t>
  </si>
  <si>
    <t>X001SU8A5J</t>
  </si>
  <si>
    <t>B07843RDHP</t>
  </si>
  <si>
    <t>GS-PUHM019-B0-S</t>
  </si>
  <si>
    <t>X001SU8A95</t>
  </si>
  <si>
    <t>B077PD7WHY</t>
  </si>
  <si>
    <t>GS-PUHM019-B0-XL</t>
  </si>
  <si>
    <t>X001SU4NIH</t>
  </si>
  <si>
    <t>B077PFB21G</t>
  </si>
  <si>
    <t>GS-PUHM019-K0-L</t>
  </si>
  <si>
    <t>X001STM6D7</t>
  </si>
  <si>
    <t>B077P7YNWM</t>
  </si>
  <si>
    <t>GS-PUHM019-K0-M</t>
  </si>
  <si>
    <t>X001SU8ACH</t>
  </si>
  <si>
    <t>B077PFB14D</t>
  </si>
  <si>
    <t>GS-PUHM019-K0-S</t>
  </si>
  <si>
    <t>X001SU6MQ3</t>
  </si>
  <si>
    <t>B077P7CQF7</t>
  </si>
  <si>
    <t>GS-PUHM019-K0-XL</t>
  </si>
  <si>
    <t>X001SU6MOZ</t>
  </si>
  <si>
    <t>B07845W65M</t>
  </si>
  <si>
    <t>GS-PUHM019-R0-L</t>
  </si>
  <si>
    <t>X001SU8ABN</t>
  </si>
  <si>
    <t>B077PFB34T</t>
  </si>
  <si>
    <t>GS-PUHM019-R0-M</t>
  </si>
  <si>
    <t>X001SU6NBH</t>
  </si>
  <si>
    <t>B077P822BJ</t>
  </si>
  <si>
    <t>GS-PUHM019-R0-S</t>
  </si>
  <si>
    <t>X001STS2MV</t>
  </si>
  <si>
    <t>B077P3P1K6</t>
  </si>
  <si>
    <t>GS-PUHM019-R0-XL</t>
  </si>
  <si>
    <t>X001STM9Z7</t>
  </si>
  <si>
    <t>B07843R3WG</t>
  </si>
  <si>
    <t>KZ-LY021-BK-38</t>
  </si>
  <si>
    <t>B077Z7RP45</t>
  </si>
  <si>
    <t>KZ-LY021-BL-36</t>
  </si>
  <si>
    <t>B077Z629JV</t>
  </si>
  <si>
    <t>LYQ-WF7125-WO-M</t>
  </si>
  <si>
    <t>B077XRYWSK</t>
  </si>
  <si>
    <t>Luciphia Women's Tops Long Sleeve A-Line Lace Stitching Trim Casual Tunic Dress M White</t>
  </si>
  <si>
    <t>LYQ-WF7125-WO-XL</t>
  </si>
  <si>
    <t>B077XTXG7X</t>
  </si>
  <si>
    <t>Luciphia Women's Tops Long Sleeve A-Line Lace Stitching Trim Casual Tunic Dress XL White</t>
  </si>
  <si>
    <t>MY-PUHM001-OR-10</t>
  </si>
  <si>
    <t>X001SU4NJ1</t>
  </si>
  <si>
    <t>B077N24PG2</t>
  </si>
  <si>
    <t>luciphia Winter Dog Sweater Vest Warm Coat for Small Medium Dogs</t>
  </si>
  <si>
    <t>MY-PUHM001-OR-12</t>
  </si>
  <si>
    <t>X001SU6MQN</t>
  </si>
  <si>
    <t>B077N3LV33</t>
  </si>
  <si>
    <t>MY-PUHM001-OR-14</t>
  </si>
  <si>
    <t>X001SU7EKL</t>
  </si>
  <si>
    <t>B077MXMG77</t>
  </si>
  <si>
    <t>MY-PUHM001-OR-16</t>
  </si>
  <si>
    <t>X001STM6CD</t>
  </si>
  <si>
    <t>B07841ZNJ5</t>
  </si>
  <si>
    <t>MY-PUHM001-OR-20</t>
  </si>
  <si>
    <t>X001SU74ID</t>
  </si>
  <si>
    <t>B077NBCRDS</t>
  </si>
  <si>
    <t>MY-PUHM001-OR-24</t>
  </si>
  <si>
    <t>X001STM6L9</t>
  </si>
  <si>
    <t>B077N7P2RN</t>
  </si>
  <si>
    <t>MY-PUHM001-OR-28</t>
  </si>
  <si>
    <t>X001SU885V</t>
  </si>
  <si>
    <t>B077NBQKPK</t>
  </si>
  <si>
    <t>MY-PUHM001-OR-8</t>
  </si>
  <si>
    <t>X001SU4NGT</t>
  </si>
  <si>
    <t>B077N1QGPK</t>
  </si>
  <si>
    <t>MY-PUHM001-R0-10</t>
  </si>
  <si>
    <t>X001SU6N9T</t>
  </si>
  <si>
    <t>B077MTV31P</t>
  </si>
  <si>
    <t>MY-PUHM001-R0-12</t>
  </si>
  <si>
    <t>X001STM35N</t>
  </si>
  <si>
    <t>B077N58RS3</t>
  </si>
  <si>
    <t>MY-PUHM001-R0-14</t>
  </si>
  <si>
    <t>X001SU8CJD</t>
  </si>
  <si>
    <t>B077N3KY6X</t>
  </si>
  <si>
    <t>MY-PUHM001-R0-16</t>
  </si>
  <si>
    <t>X001STQJKX</t>
  </si>
  <si>
    <t>B077MYVL7W</t>
  </si>
  <si>
    <t>MY-PUHM001-R0-20</t>
  </si>
  <si>
    <t>X001SU7F6J</t>
  </si>
  <si>
    <t>B077N9TKMC</t>
  </si>
  <si>
    <t>MY-PUHM001-R0-24</t>
  </si>
  <si>
    <t>X001SU74HT</t>
  </si>
  <si>
    <t>B07842C2Q3</t>
  </si>
  <si>
    <t>MY-PUHM001-R0-28</t>
  </si>
  <si>
    <t>X001SU7MNZ</t>
  </si>
  <si>
    <t>B077N47MTG</t>
  </si>
  <si>
    <t>MY-PUHM001-R0-8</t>
  </si>
  <si>
    <t>X001SU7EIX</t>
  </si>
  <si>
    <t>B077ND3YXB</t>
  </si>
  <si>
    <t>MY-PUHM001-ZL-10</t>
  </si>
  <si>
    <t>X001STMA2J</t>
  </si>
  <si>
    <t>B077MWVFXR</t>
  </si>
  <si>
    <t>MY-PUHM001-ZL-12</t>
  </si>
  <si>
    <t>X001SU8A27</t>
  </si>
  <si>
    <t>B077N4VS3G</t>
  </si>
  <si>
    <t>MY-PUHM001-ZL-14</t>
  </si>
  <si>
    <t>X001SU7MR1</t>
  </si>
  <si>
    <t>B077N3LV38</t>
  </si>
  <si>
    <t>MY-PUHM001-ZL-16</t>
  </si>
  <si>
    <t>X001STQJPN</t>
  </si>
  <si>
    <t>B077N845BF</t>
  </si>
  <si>
    <t>MY-PUHM001-ZL-20</t>
  </si>
  <si>
    <t>X001SU74KB</t>
  </si>
  <si>
    <t>B077MXBX5H</t>
  </si>
  <si>
    <t>MY-PUHM001-ZL-24</t>
  </si>
  <si>
    <t>X001STM6DH</t>
  </si>
  <si>
    <t>B077N685Q4</t>
  </si>
  <si>
    <t>MY-PUHM001-ZL-28</t>
  </si>
  <si>
    <t>X001SU7ELZ</t>
  </si>
  <si>
    <t>B077NBB2XS</t>
  </si>
  <si>
    <t>MY-PUHM001-ZL-8</t>
  </si>
  <si>
    <t>X001STMA29</t>
  </si>
  <si>
    <t>B077NB45R7</t>
  </si>
  <si>
    <t>MY-PUHM035-R0-L</t>
  </si>
  <si>
    <t>X001STQJO9</t>
  </si>
  <si>
    <t>B077SPDT2V</t>
  </si>
  <si>
    <t>luciphia Warm Pet Dog Sweater Hoodies For Small Dogs</t>
  </si>
  <si>
    <t>MY-PUHM035-R0-M</t>
  </si>
  <si>
    <t>X001SU6MPJ</t>
  </si>
  <si>
    <t>B077SNBTYK</t>
  </si>
  <si>
    <t>MY-PUHM035-R0-S</t>
  </si>
  <si>
    <t>X001SU7MMV</t>
  </si>
  <si>
    <t>B077SSQ158</t>
  </si>
  <si>
    <t>MY-PUHM035-R0-XL</t>
  </si>
  <si>
    <t>X001STM6B9</t>
  </si>
  <si>
    <t>B0784RRGDD</t>
  </si>
  <si>
    <t>MY-PUHM035-R0-XXL</t>
  </si>
  <si>
    <t>X001STMA3D</t>
  </si>
  <si>
    <t>B077SDYYKL</t>
  </si>
  <si>
    <t>MY-PUHM036-B0-L</t>
  </si>
  <si>
    <t>X001SU8A9F</t>
  </si>
  <si>
    <t>B077SPDQMX</t>
  </si>
  <si>
    <t>MY-PUHM036-B0-M</t>
  </si>
  <si>
    <t>X001SU7EJR</t>
  </si>
  <si>
    <t>B0784T4MYY</t>
  </si>
  <si>
    <t>MY-PUHM036-B0-S</t>
  </si>
  <si>
    <t>X001STQJM1</t>
  </si>
  <si>
    <t>B077SDZ32V</t>
  </si>
  <si>
    <t>MY-PUHM036-B0-XL</t>
  </si>
  <si>
    <t>X001SU74IX</t>
  </si>
  <si>
    <t>B078C5JLZV</t>
  </si>
  <si>
    <t>MY-PUHM036-B0-XXL</t>
  </si>
  <si>
    <t>X001SU6MOF</t>
  </si>
  <si>
    <t>B077SSQFMX</t>
  </si>
  <si>
    <t>MY-PUHM582-B0-L</t>
  </si>
  <si>
    <t>X001STM6H3</t>
  </si>
  <si>
    <t>B07843N7TB</t>
  </si>
  <si>
    <t>MY-PUHM582-B0-M</t>
  </si>
  <si>
    <t>X001SU74MT</t>
  </si>
  <si>
    <t>B077P3Q2LJ</t>
  </si>
  <si>
    <t>MY-PUHM582-B0-S</t>
  </si>
  <si>
    <t>X001SU885L</t>
  </si>
  <si>
    <t>B077P6GQ66</t>
  </si>
  <si>
    <t>MY-PUHM582-B0-XL</t>
  </si>
  <si>
    <t>X001STM6AZ</t>
  </si>
  <si>
    <t>B077P1HZH5</t>
  </si>
  <si>
    <t>MY-PUHM582-B0-XS</t>
  </si>
  <si>
    <t>X001SU8GZD</t>
  </si>
  <si>
    <t>B07843WRKL</t>
  </si>
  <si>
    <t>MY-PUHM582-R0-L</t>
  </si>
  <si>
    <t>X001STM6MD</t>
  </si>
  <si>
    <t>B077P25L34</t>
  </si>
  <si>
    <t>MY-PUHM582-R0-M</t>
  </si>
  <si>
    <t>X001SU7MNP</t>
  </si>
  <si>
    <t>B07844WCH2</t>
  </si>
  <si>
    <t>MY-PUHM582-R0-S</t>
  </si>
  <si>
    <t>X001SU8A3V</t>
  </si>
  <si>
    <t>B077P76342</t>
  </si>
  <si>
    <t>MY-PUHM582-R0-XL</t>
  </si>
  <si>
    <t>X001SU6MQD</t>
  </si>
  <si>
    <t>B077P6GSLS</t>
  </si>
  <si>
    <t>MY-PUHM582-R0-XS</t>
  </si>
  <si>
    <t>X001STQKTD</t>
  </si>
  <si>
    <t>B077P6DN7F</t>
  </si>
  <si>
    <t>Pajamas-sb001-GR-L</t>
  </si>
  <si>
    <t>B0747L9WY7</t>
  </si>
  <si>
    <t>Pajamas-sb001-GR-M</t>
  </si>
  <si>
    <t>B0747HDWTR</t>
  </si>
  <si>
    <t>Pajamas-sb001-GR-XL</t>
  </si>
  <si>
    <t>B0747KBY7M</t>
  </si>
  <si>
    <t>Pajamas-sb001-KK-L</t>
  </si>
  <si>
    <t>B0747N5SR9</t>
  </si>
  <si>
    <t>Pajamas-sb001-KK-M</t>
  </si>
  <si>
    <t>B0747PFMT4</t>
  </si>
  <si>
    <t>Pajamas-sb001-NY-L</t>
  </si>
  <si>
    <t>B0747KCD4P</t>
  </si>
  <si>
    <t>Pajamas-sb001-NY-M</t>
  </si>
  <si>
    <t>B0747QGRJ7</t>
  </si>
  <si>
    <t>Pajamas-sb001-NY-XL</t>
  </si>
  <si>
    <t>B0747M5Y1K</t>
  </si>
  <si>
    <t>Pajamas-sb001-WT-M</t>
  </si>
  <si>
    <t>B0747P1RP8</t>
  </si>
  <si>
    <t>Pajamas-sb001-WT-XL</t>
  </si>
  <si>
    <t>B0747MN5MG</t>
  </si>
  <si>
    <t>RY-PUHM716-B0-L</t>
  </si>
  <si>
    <t>X001SU6N9J</t>
  </si>
  <si>
    <t>B077MXLJYR</t>
  </si>
  <si>
    <t>Unknown</t>
  </si>
  <si>
    <t>RY-PUHM716-B0-M</t>
  </si>
  <si>
    <t>X001SU8H0H</t>
  </si>
  <si>
    <t>B077N5HSXR</t>
  </si>
  <si>
    <t>RY-PUHM716-B0-S</t>
  </si>
  <si>
    <t>X001STS06J</t>
  </si>
  <si>
    <t>B0784285GH</t>
  </si>
  <si>
    <t>RY-PUHM716-B0-XL</t>
  </si>
  <si>
    <t>X001SU8H0R</t>
  </si>
  <si>
    <t>B077N6RL2N</t>
  </si>
  <si>
    <t>RY-PUHM716-B0-XXL</t>
  </si>
  <si>
    <t>X001STMA5B</t>
  </si>
  <si>
    <t>B077NNVQ58</t>
  </si>
  <si>
    <t>RY-PUHM716-KQ-L</t>
  </si>
  <si>
    <t>X001STMA3N</t>
  </si>
  <si>
    <t>B077N91KX8</t>
  </si>
  <si>
    <t>luciphia Fleece Dog Vest Coat Turtleneck Jacket for Small Medium Dogs Red M</t>
  </si>
  <si>
    <t>RY-PUHM716-KQ-M</t>
  </si>
  <si>
    <t>X001SU7MPX</t>
  </si>
  <si>
    <t>B077N641W6</t>
  </si>
  <si>
    <t>luciphia Fleece Dog Vest Coat Turtleneck Jacket for Small Medium Dogs Red S</t>
  </si>
  <si>
    <t>RY-PUHM716-KQ-S</t>
  </si>
  <si>
    <t>X001STM6HX</t>
  </si>
  <si>
    <t>B077N28DGY</t>
  </si>
  <si>
    <t>luciphia Fleece Dog Vest Coat Turtleneck Jacket for Small Medium Dogs Red XS</t>
  </si>
  <si>
    <t>RY-PUHM716-KQ-XL</t>
  </si>
  <si>
    <t>X001STQJN5</t>
  </si>
  <si>
    <t>B077MZVCLY</t>
  </si>
  <si>
    <t>luciphia Fleece Dog Vest Coat Turtleneck Jacket for Small Medium Dogs Red L</t>
  </si>
  <si>
    <t>RY-PUHM716-KQ-XXL</t>
  </si>
  <si>
    <t>X001SU8H07</t>
  </si>
  <si>
    <t>B077N1HRR8</t>
  </si>
  <si>
    <t>luciphia Fleece Dog Vest Coat Turtleneck Jacket for Small Medium Dogs Red XL</t>
  </si>
  <si>
    <t>RY-PUHM716-PI-L</t>
  </si>
  <si>
    <t>X001STS069</t>
  </si>
  <si>
    <t>B077MWZHRH</t>
  </si>
  <si>
    <t>luciphia Fleece Dog Vest Coat Turtleneck Jacket for Small Medium Dogs Orange M</t>
  </si>
  <si>
    <t>RY-PUHM716-PI-M</t>
  </si>
  <si>
    <t>X001STM6DR</t>
  </si>
  <si>
    <t>B077N2B7N1</t>
  </si>
  <si>
    <t>luciphia Fleece Dog Vest Coat Turtleneck Jacket for Small Medium Dogs Orange S</t>
  </si>
  <si>
    <t>RY-PUHM716-PI-S</t>
  </si>
  <si>
    <t>X001SU74I3</t>
  </si>
  <si>
    <t>B077NGZSN7</t>
  </si>
  <si>
    <t>luciphia Fleece Dog Vest Coat Turtleneck Jacket for Small Medium Dogs Orange XS</t>
  </si>
  <si>
    <t>RY-PUHM716-PI-XL</t>
  </si>
  <si>
    <t>X001SU7MP3</t>
  </si>
  <si>
    <t>B077MXLJYL</t>
  </si>
  <si>
    <t>luciphia Fleece Dog Vest Coat Turtleneck Jacket for Small Medium Dogs Orange L</t>
  </si>
  <si>
    <t>RY-PUHM716-PI-XXL</t>
  </si>
  <si>
    <t>X001SU74IN</t>
  </si>
  <si>
    <t>B07842CPN5</t>
  </si>
  <si>
    <t>luciphia Fleece Dog Vest Coat Turtleneck Jacket for Small Medium Dogs Orange XL</t>
  </si>
  <si>
    <t>SCF-A01-007</t>
  </si>
  <si>
    <t>B075XH7C42</t>
  </si>
  <si>
    <t>SCF-A01-008</t>
  </si>
  <si>
    <t>B075XCHJXX</t>
  </si>
  <si>
    <t>SCF-C01-002</t>
  </si>
  <si>
    <t>B075WSLPCB</t>
  </si>
  <si>
    <t>SCF-C01-006</t>
  </si>
  <si>
    <t>B075WS87MQ</t>
  </si>
  <si>
    <t>SCF-C01-020</t>
  </si>
  <si>
    <t>B075WTKCMZ</t>
  </si>
  <si>
    <t>SCF-D01-011</t>
  </si>
  <si>
    <t>B075WSLZ5G</t>
  </si>
  <si>
    <t>SCF-SJ006-Puzzle-OS</t>
  </si>
  <si>
    <t>B073V1XLYJ</t>
  </si>
  <si>
    <t>SCF010-A01</t>
  </si>
  <si>
    <t>B074SH987F</t>
  </si>
  <si>
    <t>Luciphia Floral Scarves: Women's Large Sheer Scarf Beach燬arong Cover-up</t>
  </si>
  <si>
    <t>SCF010-A05</t>
  </si>
  <si>
    <t>B074SHT4W7</t>
  </si>
  <si>
    <t>SKS-B334</t>
  </si>
  <si>
    <t>B071ZMLVSV</t>
  </si>
  <si>
    <t>ST-K157-B0-32</t>
  </si>
  <si>
    <t>B073Q1437J</t>
  </si>
  <si>
    <t>MOCOTONO Men's Casual Slim Fit Cotton Multi-Pocket Twill Cargo Shorts Sapphire Blue Tag 32/US 30</t>
  </si>
  <si>
    <t>ST-K157-KQ-32</t>
  </si>
  <si>
    <t>B073PZDYM9</t>
  </si>
  <si>
    <t>MOCOTONO Men's Casual Slim Fit Cotton Multi-Pocket Twill Cargo Shorts Khaki 1 Tag 32/US 30</t>
  </si>
  <si>
    <t>ST-K559-KQ-34</t>
  </si>
  <si>
    <t>B073QHBYV3</t>
  </si>
  <si>
    <t>ST-K559-OR-32</t>
  </si>
  <si>
    <t>B073QGK1FW</t>
  </si>
  <si>
    <t>ST005-BL1-L</t>
  </si>
  <si>
    <t>B074NWD9JL</t>
  </si>
  <si>
    <t>ST005-GN-S</t>
  </si>
  <si>
    <t>B074NZHLJW</t>
  </si>
  <si>
    <t>MOCOTONO Men's Long Sleeve Cotton Plaid Button Down Casual Shirts Green Small</t>
  </si>
  <si>
    <t>ST005-RD-S</t>
  </si>
  <si>
    <t>B074P34K32</t>
  </si>
  <si>
    <t>MOCOTONO Men's Long Sleeve Cotton Plaid Button Down Casual Shirts Red Small</t>
  </si>
  <si>
    <t>ST005-RD1-M</t>
  </si>
  <si>
    <t>B074NRHJQL</t>
  </si>
  <si>
    <t>MOCOTONO Men's Long Sleeve Cotton Plaid Button Down Casual Shirts Scarlet Medium</t>
  </si>
  <si>
    <t>ST005-RD1-S</t>
  </si>
  <si>
    <t>B074NWPZS3</t>
  </si>
  <si>
    <t>MOCOTONO Men's Long Sleeve Cotton Plaid Button Down Casual Shirts Scarlet Small</t>
  </si>
  <si>
    <t>ST006-BK-XL</t>
  </si>
  <si>
    <t>B074NVHR58</t>
  </si>
  <si>
    <t>ST006-CF-M</t>
  </si>
  <si>
    <t>B074P1DYRF</t>
  </si>
  <si>
    <t>ST006-GN-M</t>
  </si>
  <si>
    <t>B074NZX79C</t>
  </si>
  <si>
    <t>MOCOTONO Men's Long Sleeve Standard Fit Plaid Checked Button up Casual Shirts Green Medium</t>
  </si>
  <si>
    <t>ST006-RD1-S</t>
  </si>
  <si>
    <t>B074P5J7Y8</t>
  </si>
  <si>
    <t>ST006-RD2-XL</t>
  </si>
  <si>
    <t>B074P6BFX9</t>
  </si>
  <si>
    <t>ST084-H15-S</t>
  </si>
  <si>
    <t>B06XPWLNQP</t>
  </si>
  <si>
    <t>ST084-H15-XXL</t>
  </si>
  <si>
    <t>B06XPWWWTB</t>
  </si>
  <si>
    <t>ST085-LB916-M</t>
  </si>
  <si>
    <t>B06XYZHW8G</t>
  </si>
  <si>
    <t>Men's Solid Color Oxford Long Sleeve Button Down Casual Shirt Light Blue Medium</t>
  </si>
  <si>
    <t>ST122-N0-2XL</t>
  </si>
  <si>
    <t>B06Y2NBHKP</t>
  </si>
  <si>
    <t>ST122-WR-S</t>
  </si>
  <si>
    <t>B06Y2SFW95</t>
  </si>
  <si>
    <t>ST155-AG-38</t>
  </si>
  <si>
    <t>B0721B4X7S</t>
  </si>
  <si>
    <t>MiCotton Men's Casual Cotton Military Cargo Shorts Army Camo Muti-Pockects Work Shorts Army Green 38</t>
  </si>
  <si>
    <t>ST166-B28-4-L</t>
  </si>
  <si>
    <t>B072PQ55W6</t>
  </si>
  <si>
    <t>ST166-B28-4-S</t>
  </si>
  <si>
    <t>B072J7L6PX</t>
  </si>
  <si>
    <t>ST166-B28-4-XXL</t>
  </si>
  <si>
    <t>B0719P8LD3</t>
  </si>
  <si>
    <t>ST166-K33-1-L</t>
  </si>
  <si>
    <t>B072PQ4DG7</t>
  </si>
  <si>
    <t>ST166-K33-1-S</t>
  </si>
  <si>
    <t>B0711XBBFZ</t>
  </si>
  <si>
    <t>ST166-K33-1-XL</t>
  </si>
  <si>
    <t>B072PQ6GGL</t>
  </si>
  <si>
    <t>ST166-K33-1-XXL</t>
  </si>
  <si>
    <t>B072J7L582</t>
  </si>
  <si>
    <t>ST166-K33-4-L</t>
  </si>
  <si>
    <t>B072PQWBGT</t>
  </si>
  <si>
    <t>ST166-K33-4-M</t>
  </si>
  <si>
    <t>B0711XBC78</t>
  </si>
  <si>
    <t>ST168-K77-4-XL</t>
  </si>
  <si>
    <t>B071FQCLMM</t>
  </si>
  <si>
    <t>MiCotton Men's 100% Cotton Lounge Sleep Pajama Pants Boxers Plaid Sleepwear Navy and White X-Large</t>
  </si>
  <si>
    <t>ST170-LB-L</t>
  </si>
  <si>
    <t>B073PPTS8L</t>
  </si>
  <si>
    <t>Mocotono Men's Short Sleeve Oxford Button Down Casual Shirt, Light Blue, Large</t>
  </si>
  <si>
    <t>ST170-LB-M</t>
  </si>
  <si>
    <t>B073PQ752P</t>
  </si>
  <si>
    <t>Mocotono Men's Short Sleeve Oxford Button Down Casual Shirt, Light Blue, Medium</t>
  </si>
  <si>
    <t>ST170-LB-XL</t>
  </si>
  <si>
    <t>B073PP3ZWD</t>
  </si>
  <si>
    <t>ST170-LB-XXL</t>
  </si>
  <si>
    <t>B073PQKB9N</t>
  </si>
  <si>
    <t>ST170-LG-L</t>
  </si>
  <si>
    <t>B073PP886W</t>
  </si>
  <si>
    <t>ST170-LG-M</t>
  </si>
  <si>
    <t>B073PP2K9L</t>
  </si>
  <si>
    <t>ST170-LG-S</t>
  </si>
  <si>
    <t>B073PPSG6W</t>
  </si>
  <si>
    <t>Mocotono Men's Short Sleeve Oxford Button Down Casual Shirt, Light Gray, Small</t>
  </si>
  <si>
    <t>ST170-LG-XXL</t>
  </si>
  <si>
    <t>B073PQFZ61</t>
  </si>
  <si>
    <t>ST170-PK-M</t>
  </si>
  <si>
    <t>B073PQ115V</t>
  </si>
  <si>
    <t>ST170-PK-XL</t>
  </si>
  <si>
    <t>B073PPHGFF</t>
  </si>
  <si>
    <t>ST170-PK-XXL</t>
  </si>
  <si>
    <t>B073PPMWTH</t>
  </si>
  <si>
    <t>ST170-SA-M</t>
  </si>
  <si>
    <t>B073PPT2TW</t>
  </si>
  <si>
    <t>ST170-SA-S</t>
  </si>
  <si>
    <t>B073PPY7H7</t>
  </si>
  <si>
    <t>Mocotono Men's Short Sleeve Oxford Button Down Casual Shirt, Blue, Small</t>
  </si>
  <si>
    <t>ST170-SA-XXL</t>
  </si>
  <si>
    <t>B073PPT4YQ</t>
  </si>
  <si>
    <t>ST170-WR-L</t>
  </si>
  <si>
    <t>B073PPT6WC</t>
  </si>
  <si>
    <t>ST170-WR-S</t>
  </si>
  <si>
    <t>B073PQ59J8</t>
  </si>
  <si>
    <t>ST170-WR-XL</t>
  </si>
  <si>
    <t>B073PPP5ZG</t>
  </si>
  <si>
    <t>ST170-WT-M</t>
  </si>
  <si>
    <t>B073PQ4WFY</t>
  </si>
  <si>
    <t>ST170-WT-S</t>
  </si>
  <si>
    <t>B073PQ7X4Y</t>
  </si>
  <si>
    <t>ST170-ZL-L</t>
  </si>
  <si>
    <t>B073PQ7KG6</t>
  </si>
  <si>
    <t>ST170-ZL-M</t>
  </si>
  <si>
    <t>B073PPP5ZQ</t>
  </si>
  <si>
    <t>ST170-ZL-S</t>
  </si>
  <si>
    <t>B073PPTRXC</t>
  </si>
  <si>
    <t>Mocotono Men's Short Sleeve Oxford Button Down Casual Shirt, Navy, Small</t>
  </si>
  <si>
    <t>ST170-ZL-XL</t>
  </si>
  <si>
    <t>B073PQRR85</t>
  </si>
  <si>
    <t>ST171-LB916-M</t>
  </si>
  <si>
    <t>B073PPWDT7</t>
  </si>
  <si>
    <t>ST171-Sa911-L</t>
  </si>
  <si>
    <t>B073PQLFVZ</t>
  </si>
  <si>
    <t>ST171-Sa911-M</t>
  </si>
  <si>
    <t>B073PQD5PP</t>
  </si>
  <si>
    <t>ST171-Sa911-XL</t>
  </si>
  <si>
    <t>B073PPGD16</t>
  </si>
  <si>
    <t>ST171-W902-M</t>
  </si>
  <si>
    <t>B073PPH3QV</t>
  </si>
  <si>
    <t>ST171-W902-XL</t>
  </si>
  <si>
    <t>B073PPNYCZ</t>
  </si>
  <si>
    <t>ST172-BK-L</t>
  </si>
  <si>
    <t>B074SWFPBT</t>
  </si>
  <si>
    <t>Men's Long Sleeve Formal Business Dress Shirts Black Large</t>
  </si>
  <si>
    <t>ST172-BK-XL</t>
  </si>
  <si>
    <t>B074SXT551</t>
  </si>
  <si>
    <t>Men's Long Sleeve Formal Business Dress Shirts Black X-Large</t>
  </si>
  <si>
    <t>ST172-WT2-XXL</t>
  </si>
  <si>
    <t>B074SZQ5DF</t>
  </si>
  <si>
    <t>Men's Long Sleeve Formal Business Dress Shirts White XX-Large</t>
  </si>
  <si>
    <t>ST173-BK-L</t>
  </si>
  <si>
    <t>B074SM144F</t>
  </si>
  <si>
    <t>ST173-BK-XL</t>
  </si>
  <si>
    <t>B074T17WT8</t>
  </si>
  <si>
    <t>Men's Short Sleeve Formal Dress Shirts Black X-Large</t>
  </si>
  <si>
    <t>ST173-BK-XXL</t>
  </si>
  <si>
    <t>B074SPJFZZ</t>
  </si>
  <si>
    <t>Men's Short Sleeve Formal Dress Shirts Black XX-Large</t>
  </si>
  <si>
    <t>ST173-GR-L</t>
  </si>
  <si>
    <t>B074SL2W76</t>
  </si>
  <si>
    <t>Men's Short Sleeve Formal Dress Shirts Gray Large</t>
  </si>
  <si>
    <t>ST173-GR-M</t>
  </si>
  <si>
    <t>B074SMCKFY</t>
  </si>
  <si>
    <t>Men's Short Sleeve Formal Dress Shirts Gray Medium</t>
  </si>
  <si>
    <t>ST173-GR-XL</t>
  </si>
  <si>
    <t>B074SMTJC1</t>
  </si>
  <si>
    <t>Men's Short Sleeve Formal Dress Shirts Gray X-Large</t>
  </si>
  <si>
    <t>ST173-GR-XXL</t>
  </si>
  <si>
    <t>B074SL2XHK</t>
  </si>
  <si>
    <t>Men's Short Sleeve Formal Dress Shirts Gray XX-Large</t>
  </si>
  <si>
    <t>ST173-NY-L</t>
  </si>
  <si>
    <t>B074SLG3XL</t>
  </si>
  <si>
    <t>Men's Short Sleeve Formal Dress Shirts Navy Large</t>
  </si>
  <si>
    <t>ST173-NY-M</t>
  </si>
  <si>
    <t>B074SN3YQP</t>
  </si>
  <si>
    <t>Men's Short Sleeve Formal Dress Shirts Navy Medium</t>
  </si>
  <si>
    <t>ST173-NY-XL</t>
  </si>
  <si>
    <t>B074SMGT88</t>
  </si>
  <si>
    <t>Men's Short Sleeve Formal Dress Shirts Navy X-Large</t>
  </si>
  <si>
    <t>ST173-NY-XXL</t>
  </si>
  <si>
    <t>B074SXC7GW</t>
  </si>
  <si>
    <t>Men's Short Sleeve Formal Dress Shirts Navy XX-Large</t>
  </si>
  <si>
    <t>ST173-PP-L</t>
  </si>
  <si>
    <t>B074SL2ZGP</t>
  </si>
  <si>
    <t>Men's Short Sleeve Formal Dress Shirts Purple Large</t>
  </si>
  <si>
    <t>ST173-WR-XL</t>
  </si>
  <si>
    <t>B074SZC8W1</t>
  </si>
  <si>
    <t>MOCOTONO Men's Short Sleeve Formal Dress Shirts Wine Red X-Large</t>
  </si>
  <si>
    <t>ST173-WR-XXL</t>
  </si>
  <si>
    <t>B074SWV9C3</t>
  </si>
  <si>
    <t>MOCOTONO Men's Short Sleeve Formal Dress Shirts Wine Red XX-Large</t>
  </si>
  <si>
    <t>ST173-WT1-L</t>
  </si>
  <si>
    <t>B074SZJ4QG</t>
  </si>
  <si>
    <t>Men's Short Sleeve Formal Dress Shirts Water White Large</t>
  </si>
  <si>
    <t>ST173-WT1-M</t>
  </si>
  <si>
    <t>B074SLG7RS</t>
  </si>
  <si>
    <t>Men's Short Sleeve Formal Dress Shirts Water White Medium</t>
  </si>
  <si>
    <t>ST173-WT1-XXL</t>
  </si>
  <si>
    <t>B074SLSTCC</t>
  </si>
  <si>
    <t>ST173-WT2-XL</t>
  </si>
  <si>
    <t>B074SXSPPD</t>
  </si>
  <si>
    <t>Men's Short Sleeve Formal Dress Shirts White X-Large</t>
  </si>
  <si>
    <t>TZ-IUYL240-BONE-L</t>
  </si>
  <si>
    <t>TZ-IUYL240-BONE-M</t>
  </si>
  <si>
    <t>TZ-IUYL240-BONE-S</t>
  </si>
  <si>
    <t>TZ-IUYL240-DOT-L</t>
  </si>
  <si>
    <t>TZ-IUYL240-DOT-M</t>
  </si>
  <si>
    <t>TZ-IUYL240-DOT-S</t>
  </si>
  <si>
    <t>TZ-IUYL240-DOT2-S</t>
  </si>
  <si>
    <t>X001SO0HNN</t>
  </si>
  <si>
    <t>B07DF9YBBV</t>
  </si>
  <si>
    <t>luciphia 1 Pack 3 Blankets Super Soft Fluffy Premium Fleece Pet Blanket Flannel Throw for Dog Puppy Cat Dot2 Small</t>
  </si>
  <si>
    <t>TZ-IUYL240-ELPH-L</t>
  </si>
  <si>
    <t>TZ-IUYL240-ELPH-M</t>
  </si>
  <si>
    <t>TZ-IUYL240-ELPH-S</t>
  </si>
  <si>
    <t>TZ-IUYL240-PAW-M</t>
  </si>
  <si>
    <t>TZ-IUYL240-PAW-S</t>
  </si>
  <si>
    <t>TZ-IUYL240-STRAWBERRY-S</t>
  </si>
  <si>
    <t>TZ-SY240-BONE-S</t>
  </si>
  <si>
    <t>X001TLK2UD</t>
  </si>
  <si>
    <t>B079G3D72G</t>
  </si>
  <si>
    <t>TZ-SY240-ELPH-S</t>
  </si>
  <si>
    <t>X001TM1IHN</t>
  </si>
  <si>
    <t>B07BGYNNNN</t>
  </si>
  <si>
    <t>TZ-SY240-STRAWBERRY-S</t>
  </si>
  <si>
    <t>X001TM1C1F</t>
  </si>
  <si>
    <t>B07C8B4SK9</t>
  </si>
  <si>
    <t>scarf-0001-Plum</t>
  </si>
  <si>
    <t>B073GYQ88V</t>
  </si>
  <si>
    <t>可售库存</t>
  </si>
  <si>
    <t>不可售库存</t>
  </si>
  <si>
    <t>已发货未签收库存</t>
  </si>
  <si>
    <t>已签收未处理库存</t>
  </si>
  <si>
    <t>待入库库存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</si>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</sst>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FA7D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9" fillId="15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5" borderId="2" applyNumberFormat="0" applyFont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18" fillId="0" borderId="1" applyNumberFormat="0" applyFill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10" fillId="19" borderId="4" applyNumberFormat="0" applyAlignment="0" applyProtection="0">
      <alignment vertical="center"/>
    </xf>
    <xf numFmtId="0" fontId="20" fillId="19" borderId="3" applyNumberFormat="0" applyAlignment="0" applyProtection="0">
      <alignment vertical="center"/>
    </xf>
    <xf numFmtId="0" fontId="13" fillId="23" borderId="6" applyNumberFormat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635</xdr:rowOff>
        </xdr:from>
        <xdr:to>
          <xdr:col>9</xdr:col>
          <xdr:colOff>1270</xdr:colOff>
          <xdr:row>2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55045" y="635"/>
              <a:ext cx="1495425" cy="37084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676275</xdr:colOff>
          <xdr:row>1</xdr:row>
          <xdr:rowOff>171450</xdr:rowOff>
        </xdr:from>
        <xdr:to>
          <xdr:col>16</xdr:col>
          <xdr:colOff>9525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63385" y="352425"/>
              <a:ext cx="70485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34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1</v>
      </c>
      <c r="F2" s="3">
        <v>0</v>
      </c>
      <c r="G2" s="3">
        <v>0</v>
      </c>
      <c r="H2" s="3">
        <v>1</v>
      </c>
      <c r="I2" s="7"/>
    </row>
    <row r="3" spans="1:9">
      <c r="A3" s="3" t="s">
        <v>12</v>
      </c>
      <c r="B3" s="3" t="s">
        <v>13</v>
      </c>
      <c r="C3" s="3" t="s">
        <v>13</v>
      </c>
      <c r="D3" s="3" t="s">
        <v>14</v>
      </c>
      <c r="E3" s="3">
        <v>1</v>
      </c>
      <c r="F3" s="3">
        <v>0</v>
      </c>
      <c r="G3" s="3">
        <v>0</v>
      </c>
      <c r="H3" s="3">
        <v>1</v>
      </c>
      <c r="I3" s="7"/>
    </row>
    <row r="4" spans="1:9">
      <c r="A4" s="3" t="s">
        <v>15</v>
      </c>
      <c r="B4" s="3" t="s">
        <v>16</v>
      </c>
      <c r="C4" s="3" t="s">
        <v>16</v>
      </c>
      <c r="D4" s="3" t="s">
        <v>17</v>
      </c>
      <c r="E4" s="3">
        <v>1</v>
      </c>
      <c r="F4" s="3">
        <v>0</v>
      </c>
      <c r="G4" s="3">
        <v>0</v>
      </c>
      <c r="H4" s="3">
        <v>1</v>
      </c>
      <c r="I4" s="7"/>
    </row>
    <row r="5" spans="1:9">
      <c r="A5" s="3" t="s">
        <v>18</v>
      </c>
      <c r="B5" s="3" t="s">
        <v>19</v>
      </c>
      <c r="C5" s="3" t="s">
        <v>19</v>
      </c>
      <c r="D5" s="3" t="s">
        <v>20</v>
      </c>
      <c r="E5" s="3">
        <v>1</v>
      </c>
      <c r="F5" s="3">
        <v>0</v>
      </c>
      <c r="G5" s="3">
        <v>0</v>
      </c>
      <c r="H5" s="3">
        <v>1</v>
      </c>
      <c r="I5" s="7"/>
    </row>
    <row r="6" spans="1:9">
      <c r="A6" s="3" t="s">
        <v>21</v>
      </c>
      <c r="B6" s="3" t="s">
        <v>22</v>
      </c>
      <c r="C6" s="3" t="s">
        <v>22</v>
      </c>
      <c r="D6" s="3" t="s">
        <v>23</v>
      </c>
      <c r="E6" s="3">
        <v>1</v>
      </c>
      <c r="F6" s="3">
        <v>0</v>
      </c>
      <c r="G6" s="3">
        <v>0</v>
      </c>
      <c r="H6" s="3">
        <v>1</v>
      </c>
      <c r="I6" s="7"/>
    </row>
    <row r="7" spans="1:9">
      <c r="A7" s="3" t="s">
        <v>24</v>
      </c>
      <c r="B7" s="3" t="s">
        <v>25</v>
      </c>
      <c r="C7" s="3" t="s">
        <v>25</v>
      </c>
      <c r="D7" s="3" t="s">
        <v>26</v>
      </c>
      <c r="E7" s="3">
        <v>1</v>
      </c>
      <c r="F7" s="3">
        <v>0</v>
      </c>
      <c r="G7" s="3">
        <v>0</v>
      </c>
      <c r="H7" s="3">
        <v>1</v>
      </c>
      <c r="I7" s="7"/>
    </row>
    <row r="8" spans="1:9">
      <c r="A8" s="3" t="s">
        <v>27</v>
      </c>
      <c r="B8" s="3" t="s">
        <v>28</v>
      </c>
      <c r="C8" s="3" t="s">
        <v>28</v>
      </c>
      <c r="D8" s="3" t="s">
        <v>26</v>
      </c>
      <c r="E8" s="3">
        <v>1</v>
      </c>
      <c r="F8" s="3">
        <v>0</v>
      </c>
      <c r="G8" s="3">
        <v>0</v>
      </c>
      <c r="H8" s="3">
        <v>1</v>
      </c>
      <c r="I8" s="7"/>
    </row>
    <row r="9" spans="1:9">
      <c r="A9" s="3" t="s">
        <v>29</v>
      </c>
      <c r="B9" s="3" t="s">
        <v>30</v>
      </c>
      <c r="C9" s="3" t="s">
        <v>30</v>
      </c>
      <c r="D9" s="3" t="s">
        <v>31</v>
      </c>
      <c r="E9" s="3">
        <v>1</v>
      </c>
      <c r="F9" s="3">
        <v>0</v>
      </c>
      <c r="G9" s="3">
        <v>0</v>
      </c>
      <c r="H9" s="3">
        <v>1</v>
      </c>
      <c r="I9" s="7"/>
    </row>
    <row r="10" spans="1:9">
      <c r="A10" s="3" t="s">
        <v>32</v>
      </c>
      <c r="B10" s="3" t="s">
        <v>33</v>
      </c>
      <c r="C10" s="3" t="s">
        <v>33</v>
      </c>
      <c r="D10" s="3" t="s">
        <v>34</v>
      </c>
      <c r="E10" s="3">
        <v>1</v>
      </c>
      <c r="F10" s="3">
        <v>0</v>
      </c>
      <c r="G10" s="3">
        <v>0</v>
      </c>
      <c r="H10" s="3">
        <v>1</v>
      </c>
      <c r="I10" s="7"/>
    </row>
    <row r="11" spans="1:9">
      <c r="A11" s="3" t="s">
        <v>35</v>
      </c>
      <c r="B11" s="3" t="s">
        <v>36</v>
      </c>
      <c r="C11" s="3" t="s">
        <v>36</v>
      </c>
      <c r="D11" s="3" t="s">
        <v>37</v>
      </c>
      <c r="E11" s="3">
        <v>2</v>
      </c>
      <c r="F11" s="3">
        <v>1</v>
      </c>
      <c r="G11" s="3">
        <v>1</v>
      </c>
      <c r="H11" s="3">
        <v>0</v>
      </c>
      <c r="I11" s="7"/>
    </row>
    <row r="12" spans="1:9">
      <c r="A12" s="3" t="s">
        <v>38</v>
      </c>
      <c r="B12" s="3" t="s">
        <v>39</v>
      </c>
      <c r="C12" s="3" t="s">
        <v>39</v>
      </c>
      <c r="D12" s="3" t="s">
        <v>40</v>
      </c>
      <c r="E12" s="3">
        <v>1</v>
      </c>
      <c r="F12" s="3">
        <v>0</v>
      </c>
      <c r="G12" s="3">
        <v>0</v>
      </c>
      <c r="H12" s="3">
        <v>1</v>
      </c>
      <c r="I12" s="7"/>
    </row>
    <row r="13" spans="1:9">
      <c r="A13" s="3" t="s">
        <v>41</v>
      </c>
      <c r="B13" s="3" t="s">
        <v>42</v>
      </c>
      <c r="C13" s="3" t="s">
        <v>42</v>
      </c>
      <c r="D13" s="3" t="s">
        <v>43</v>
      </c>
      <c r="E13" s="3">
        <v>1</v>
      </c>
      <c r="F13" s="3">
        <v>0</v>
      </c>
      <c r="G13" s="3">
        <v>1</v>
      </c>
      <c r="H13" s="3">
        <v>0</v>
      </c>
      <c r="I13" s="7"/>
    </row>
    <row r="14" spans="1:9">
      <c r="A14" s="3" t="s">
        <v>44</v>
      </c>
      <c r="B14" s="3" t="s">
        <v>45</v>
      </c>
      <c r="C14" s="3" t="s">
        <v>45</v>
      </c>
      <c r="D14" s="3" t="s">
        <v>46</v>
      </c>
      <c r="E14" s="3">
        <v>2</v>
      </c>
      <c r="F14" s="3">
        <v>0</v>
      </c>
      <c r="G14" s="3">
        <v>0</v>
      </c>
      <c r="H14" s="3">
        <v>2</v>
      </c>
      <c r="I14" s="7"/>
    </row>
    <row r="15" spans="1:9">
      <c r="A15" s="3" t="s">
        <v>47</v>
      </c>
      <c r="B15" s="3" t="s">
        <v>48</v>
      </c>
      <c r="C15" s="3" t="s">
        <v>49</v>
      </c>
      <c r="D15" s="3" t="s">
        <v>50</v>
      </c>
      <c r="E15" s="3">
        <v>5</v>
      </c>
      <c r="F15" s="3">
        <v>1</v>
      </c>
      <c r="G15" s="3">
        <v>1</v>
      </c>
      <c r="H15" s="3">
        <v>3</v>
      </c>
      <c r="I15" s="7"/>
    </row>
    <row r="16" spans="1:9">
      <c r="A16" s="3" t="s">
        <v>51</v>
      </c>
      <c r="B16" s="3" t="s">
        <v>52</v>
      </c>
      <c r="C16" s="3" t="s">
        <v>53</v>
      </c>
      <c r="D16" s="3" t="s">
        <v>54</v>
      </c>
      <c r="E16" s="3">
        <v>9</v>
      </c>
      <c r="F16" s="3">
        <v>0</v>
      </c>
      <c r="G16" s="3">
        <v>8</v>
      </c>
      <c r="H16" s="3">
        <v>1</v>
      </c>
      <c r="I16" s="7"/>
    </row>
    <row r="17" spans="1:9">
      <c r="A17" s="3" t="s">
        <v>55</v>
      </c>
      <c r="B17" s="3" t="s">
        <v>56</v>
      </c>
      <c r="C17" s="3" t="s">
        <v>57</v>
      </c>
      <c r="D17" s="3" t="s">
        <v>58</v>
      </c>
      <c r="E17" s="3">
        <v>1</v>
      </c>
      <c r="F17" s="3">
        <v>0</v>
      </c>
      <c r="G17" s="3">
        <v>0</v>
      </c>
      <c r="H17" s="3">
        <v>1</v>
      </c>
      <c r="I17" s="7"/>
    </row>
    <row r="18" spans="1:9">
      <c r="A18" s="3" t="s">
        <v>59</v>
      </c>
      <c r="B18" s="3" t="s">
        <v>60</v>
      </c>
      <c r="C18" s="3" t="s">
        <v>61</v>
      </c>
      <c r="D18" s="3" t="s">
        <v>62</v>
      </c>
      <c r="E18" s="3">
        <v>1</v>
      </c>
      <c r="F18" s="3">
        <v>0</v>
      </c>
      <c r="G18" s="3">
        <v>0</v>
      </c>
      <c r="H18" s="3">
        <v>1</v>
      </c>
      <c r="I18" s="7"/>
    </row>
    <row r="19" spans="1:9">
      <c r="A19" s="3" t="s">
        <v>63</v>
      </c>
      <c r="B19" s="3" t="s">
        <v>64</v>
      </c>
      <c r="C19" s="3" t="s">
        <v>65</v>
      </c>
      <c r="D19" s="3" t="s">
        <v>66</v>
      </c>
      <c r="E19" s="3">
        <v>1</v>
      </c>
      <c r="F19" s="3">
        <v>0</v>
      </c>
      <c r="G19" s="3">
        <v>0</v>
      </c>
      <c r="H19" s="3">
        <v>1</v>
      </c>
      <c r="I19" s="7"/>
    </row>
    <row r="20" spans="1:9">
      <c r="A20" s="3" t="s">
        <v>67</v>
      </c>
      <c r="B20" s="3" t="s">
        <v>68</v>
      </c>
      <c r="C20" s="3" t="s">
        <v>68</v>
      </c>
      <c r="D20" s="3" t="s">
        <v>69</v>
      </c>
      <c r="E20" s="3">
        <v>1</v>
      </c>
      <c r="F20" s="3">
        <v>1</v>
      </c>
      <c r="G20" s="3">
        <v>0</v>
      </c>
      <c r="H20" s="3">
        <v>0</v>
      </c>
      <c r="I20" s="7"/>
    </row>
    <row r="21" spans="1:9">
      <c r="A21" s="3" t="s">
        <v>70</v>
      </c>
      <c r="B21" s="3" t="s">
        <v>71</v>
      </c>
      <c r="C21" s="3" t="s">
        <v>72</v>
      </c>
      <c r="D21" s="3" t="s">
        <v>73</v>
      </c>
      <c r="E21" s="3">
        <v>3</v>
      </c>
      <c r="F21" s="3">
        <v>1</v>
      </c>
      <c r="G21" s="3">
        <v>1</v>
      </c>
      <c r="H21" s="3">
        <v>1</v>
      </c>
      <c r="I21" s="7"/>
    </row>
    <row r="22" spans="1:9">
      <c r="A22" s="3" t="s">
        <v>74</v>
      </c>
      <c r="B22" s="3" t="s">
        <v>75</v>
      </c>
      <c r="C22" s="3" t="s">
        <v>75</v>
      </c>
      <c r="D22" s="3" t="s">
        <v>76</v>
      </c>
      <c r="E22" s="3">
        <v>1</v>
      </c>
      <c r="F22" s="3">
        <v>0</v>
      </c>
      <c r="G22" s="3">
        <v>0</v>
      </c>
      <c r="H22" s="3">
        <v>1</v>
      </c>
      <c r="I22" s="7"/>
    </row>
    <row r="23" spans="1:9">
      <c r="A23" s="3" t="s">
        <v>77</v>
      </c>
      <c r="B23" s="3" t="s">
        <v>78</v>
      </c>
      <c r="C23" s="3" t="s">
        <v>79</v>
      </c>
      <c r="D23" s="3" t="s">
        <v>80</v>
      </c>
      <c r="E23" s="3">
        <v>10</v>
      </c>
      <c r="F23" s="3">
        <v>1</v>
      </c>
      <c r="G23" s="3">
        <v>1</v>
      </c>
      <c r="H23" s="3">
        <v>8</v>
      </c>
      <c r="I23" s="7"/>
    </row>
    <row r="24" spans="1:9">
      <c r="A24" s="3" t="s">
        <v>81</v>
      </c>
      <c r="B24" s="3" t="s">
        <v>82</v>
      </c>
      <c r="C24" s="3" t="s">
        <v>82</v>
      </c>
      <c r="D24" s="3" t="s">
        <v>76</v>
      </c>
      <c r="E24" s="3">
        <v>1</v>
      </c>
      <c r="F24" s="3">
        <v>0</v>
      </c>
      <c r="G24" s="3">
        <v>0</v>
      </c>
      <c r="H24" s="3">
        <v>1</v>
      </c>
      <c r="I24" s="7"/>
    </row>
    <row r="25" spans="1:9">
      <c r="A25" s="3" t="s">
        <v>83</v>
      </c>
      <c r="B25" s="3" t="s">
        <v>84</v>
      </c>
      <c r="C25" s="3" t="s">
        <v>85</v>
      </c>
      <c r="D25" s="3" t="s">
        <v>86</v>
      </c>
      <c r="E25" s="3">
        <v>4</v>
      </c>
      <c r="F25" s="3">
        <v>1</v>
      </c>
      <c r="G25" s="3">
        <v>1</v>
      </c>
      <c r="H25" s="3">
        <v>2</v>
      </c>
      <c r="I25" s="7"/>
    </row>
    <row r="26" spans="1:9">
      <c r="A26" s="3" t="s">
        <v>87</v>
      </c>
      <c r="B26" s="3" t="s">
        <v>88</v>
      </c>
      <c r="C26" s="3" t="s">
        <v>89</v>
      </c>
      <c r="D26" s="3" t="s">
        <v>90</v>
      </c>
      <c r="E26" s="3">
        <v>5</v>
      </c>
      <c r="F26" s="3">
        <v>0</v>
      </c>
      <c r="G26" s="3">
        <v>0</v>
      </c>
      <c r="H26" s="3">
        <v>5</v>
      </c>
      <c r="I26" s="7"/>
    </row>
    <row r="27" spans="1:9">
      <c r="A27" s="3" t="s">
        <v>91</v>
      </c>
      <c r="B27" s="3" t="s">
        <v>92</v>
      </c>
      <c r="C27" s="3" t="s">
        <v>93</v>
      </c>
      <c r="D27" s="3" t="s">
        <v>94</v>
      </c>
      <c r="E27" s="3">
        <v>1</v>
      </c>
      <c r="F27" s="3">
        <v>0</v>
      </c>
      <c r="G27" s="3">
        <v>0</v>
      </c>
      <c r="H27" s="3">
        <v>1</v>
      </c>
      <c r="I27" s="7"/>
    </row>
    <row r="28" spans="1:9">
      <c r="A28" s="3" t="s">
        <v>95</v>
      </c>
      <c r="B28" s="3" t="s">
        <v>96</v>
      </c>
      <c r="C28" s="3" t="s">
        <v>97</v>
      </c>
      <c r="D28" s="3" t="s">
        <v>98</v>
      </c>
      <c r="E28" s="3">
        <v>12</v>
      </c>
      <c r="F28" s="3">
        <v>1</v>
      </c>
      <c r="G28" s="3">
        <v>7</v>
      </c>
      <c r="H28" s="3">
        <v>4</v>
      </c>
      <c r="I28" s="7"/>
    </row>
    <row r="29" spans="1:9">
      <c r="A29" s="3" t="s">
        <v>99</v>
      </c>
      <c r="B29" s="3" t="s">
        <v>100</v>
      </c>
      <c r="C29" s="3" t="s">
        <v>101</v>
      </c>
      <c r="D29" s="3" t="s">
        <v>102</v>
      </c>
      <c r="E29" s="3">
        <v>3</v>
      </c>
      <c r="F29" s="3">
        <v>1</v>
      </c>
      <c r="G29" s="3">
        <v>1</v>
      </c>
      <c r="H29" s="3">
        <v>1</v>
      </c>
      <c r="I29" s="7"/>
    </row>
    <row r="30" spans="1:9">
      <c r="A30" s="3" t="s">
        <v>103</v>
      </c>
      <c r="B30" s="3" t="s">
        <v>104</v>
      </c>
      <c r="C30" s="3" t="s">
        <v>105</v>
      </c>
      <c r="D30" s="3" t="s">
        <v>106</v>
      </c>
      <c r="E30" s="3">
        <v>2</v>
      </c>
      <c r="F30" s="3">
        <v>1</v>
      </c>
      <c r="G30" s="3">
        <v>1</v>
      </c>
      <c r="H30" s="3">
        <v>0</v>
      </c>
      <c r="I30" s="7"/>
    </row>
    <row r="31" spans="1:9">
      <c r="A31" s="3" t="s">
        <v>107</v>
      </c>
      <c r="B31" s="3" t="s">
        <v>108</v>
      </c>
      <c r="C31" s="3" t="s">
        <v>109</v>
      </c>
      <c r="D31" s="3" t="s">
        <v>110</v>
      </c>
      <c r="E31" s="3">
        <v>2</v>
      </c>
      <c r="F31" s="3">
        <v>1</v>
      </c>
      <c r="G31" s="3">
        <v>1</v>
      </c>
      <c r="H31" s="3">
        <v>0</v>
      </c>
      <c r="I31" s="7"/>
    </row>
    <row r="32" spans="1:9">
      <c r="A32" s="3" t="s">
        <v>111</v>
      </c>
      <c r="B32" s="3" t="s">
        <v>112</v>
      </c>
      <c r="C32" s="3" t="s">
        <v>113</v>
      </c>
      <c r="D32" s="3" t="s">
        <v>114</v>
      </c>
      <c r="E32" s="3">
        <v>3</v>
      </c>
      <c r="F32" s="3">
        <v>2</v>
      </c>
      <c r="G32" s="3">
        <v>1</v>
      </c>
      <c r="H32" s="3">
        <v>0</v>
      </c>
      <c r="I32" s="7"/>
    </row>
    <row r="33" spans="1:9">
      <c r="A33" s="3" t="s">
        <v>115</v>
      </c>
      <c r="B33" s="3" t="s">
        <v>116</v>
      </c>
      <c r="C33" s="3" t="s">
        <v>117</v>
      </c>
      <c r="D33" s="3" t="s">
        <v>118</v>
      </c>
      <c r="E33" s="3">
        <v>4</v>
      </c>
      <c r="F33" s="3">
        <v>2</v>
      </c>
      <c r="G33" s="3">
        <v>2</v>
      </c>
      <c r="H33" s="3">
        <v>0</v>
      </c>
      <c r="I33" s="7"/>
    </row>
    <row r="34" spans="1:9">
      <c r="A34" s="3" t="s">
        <v>119</v>
      </c>
      <c r="B34" s="3" t="s">
        <v>120</v>
      </c>
      <c r="C34" s="3" t="s">
        <v>121</v>
      </c>
      <c r="D34" s="3" t="s">
        <v>122</v>
      </c>
      <c r="E34" s="3">
        <v>14</v>
      </c>
      <c r="F34" s="3">
        <v>1</v>
      </c>
      <c r="G34" s="3">
        <v>0</v>
      </c>
      <c r="H34" s="3">
        <v>13</v>
      </c>
      <c r="I34" s="7"/>
    </row>
    <row r="35" spans="1:9">
      <c r="A35" s="5"/>
      <c r="B35" s="5"/>
      <c r="C35" s="5"/>
      <c r="D35" s="5"/>
      <c r="E35" s="5"/>
      <c r="F35" s="5"/>
      <c r="G35" s="5"/>
      <c r="H35" s="5"/>
      <c r="I35" s="7"/>
    </row>
    <row r="36" spans="1:9">
      <c r="A36" s="8"/>
      <c r="B36" s="8"/>
      <c r="C36" s="8"/>
      <c r="D36" s="8"/>
      <c r="E36" s="8"/>
      <c r="F36" s="8"/>
      <c r="G36" s="8"/>
      <c r="H36" s="8"/>
      <c r="I36" s="7"/>
    </row>
    <row r="37" spans="1:9">
      <c r="A37" s="8"/>
      <c r="B37" s="8"/>
      <c r="C37" s="8"/>
      <c r="D37" s="8"/>
      <c r="E37" s="8"/>
      <c r="F37" s="8"/>
      <c r="G37" s="8"/>
      <c r="H37" s="8"/>
      <c r="I37" s="7"/>
    </row>
    <row r="38" spans="1:9">
      <c r="A38" s="8"/>
      <c r="B38" s="8"/>
      <c r="C38" s="8"/>
      <c r="D38" s="8"/>
      <c r="E38" s="8"/>
      <c r="F38" s="8"/>
      <c r="G38" s="8"/>
      <c r="H38" s="8"/>
      <c r="I38" s="7"/>
    </row>
    <row r="39" spans="1:9">
      <c r="A39" s="8"/>
      <c r="B39" s="8"/>
      <c r="C39" s="8"/>
      <c r="D39" s="8"/>
      <c r="E39" s="8"/>
      <c r="F39" s="8"/>
      <c r="G39" s="8"/>
      <c r="H39" s="8"/>
      <c r="I39" s="7"/>
    </row>
    <row r="40" spans="1:9">
      <c r="A40" s="8"/>
      <c r="B40" s="8"/>
      <c r="C40" s="8"/>
      <c r="D40" s="8"/>
      <c r="E40" s="8"/>
      <c r="F40" s="8"/>
      <c r="G40" s="8"/>
      <c r="H40" s="8"/>
      <c r="I40" s="7"/>
    </row>
    <row r="41" spans="1:9">
      <c r="A41" s="8"/>
      <c r="B41" s="8"/>
      <c r="C41" s="8"/>
      <c r="D41" s="8"/>
      <c r="E41" s="8"/>
      <c r="F41" s="8"/>
      <c r="G41" s="8"/>
      <c r="H41" s="8"/>
      <c r="I41" s="7"/>
    </row>
    <row r="42" spans="1:9">
      <c r="A42" s="8"/>
      <c r="B42" s="8"/>
      <c r="C42" s="8"/>
      <c r="D42" s="8"/>
      <c r="E42" s="8"/>
      <c r="F42" s="8"/>
      <c r="G42" s="8"/>
      <c r="H42" s="8"/>
      <c r="I42" s="7"/>
    </row>
    <row r="43" spans="1:9">
      <c r="A43" s="8"/>
      <c r="B43" s="8"/>
      <c r="C43" s="8"/>
      <c r="D43" s="8"/>
      <c r="E43" s="8"/>
      <c r="F43" s="8"/>
      <c r="G43" s="8"/>
      <c r="H43" s="8"/>
      <c r="I43" s="7"/>
    </row>
    <row r="44" spans="1:9">
      <c r="A44" s="8"/>
      <c r="B44" s="8"/>
      <c r="C44" s="8"/>
      <c r="D44" s="8"/>
      <c r="E44" s="8"/>
      <c r="F44" s="8"/>
      <c r="G44" s="8"/>
      <c r="H44" s="8"/>
      <c r="I44" s="7"/>
    </row>
    <row r="45" spans="1:9">
      <c r="A45" s="8"/>
      <c r="B45" s="8"/>
      <c r="C45" s="8"/>
      <c r="D45" s="8"/>
      <c r="E45" s="8"/>
      <c r="F45" s="8"/>
      <c r="G45" s="8"/>
      <c r="H45" s="8"/>
      <c r="I45" s="7"/>
    </row>
    <row r="46" spans="1:9">
      <c r="A46" s="8"/>
      <c r="B46" s="8"/>
      <c r="C46" s="8"/>
      <c r="D46" s="8"/>
      <c r="E46" s="8"/>
      <c r="F46" s="8"/>
      <c r="G46" s="8"/>
      <c r="H46" s="8"/>
      <c r="I46" s="7"/>
    </row>
    <row r="47" spans="1:9">
      <c r="A47" s="8"/>
      <c r="B47" s="8"/>
      <c r="C47" s="8"/>
      <c r="D47" s="8"/>
      <c r="E47" s="8"/>
      <c r="F47" s="8"/>
      <c r="G47" s="8"/>
      <c r="H47" s="8"/>
      <c r="I47" s="7"/>
    </row>
    <row r="48" spans="1:9">
      <c r="A48" s="8"/>
      <c r="B48" s="8"/>
      <c r="C48" s="8"/>
      <c r="D48" s="8"/>
      <c r="E48" s="8"/>
      <c r="F48" s="8"/>
      <c r="G48" s="8"/>
      <c r="H48" s="8"/>
      <c r="I48" s="7"/>
    </row>
    <row r="49" spans="1:9">
      <c r="A49" s="8"/>
      <c r="B49" s="8"/>
      <c r="C49" s="8"/>
      <c r="D49" s="8"/>
      <c r="E49" s="8"/>
      <c r="F49" s="8"/>
      <c r="G49" s="8"/>
      <c r="H49" s="8"/>
      <c r="I49" s="7"/>
    </row>
    <row r="50" spans="1:9">
      <c r="A50" s="8"/>
      <c r="B50" s="8"/>
      <c r="C50" s="8"/>
      <c r="D50" s="8"/>
      <c r="E50" s="8"/>
      <c r="F50" s="8"/>
      <c r="G50" s="8"/>
      <c r="H50" s="8"/>
      <c r="I50" s="7"/>
    </row>
    <row r="51" spans="1:9">
      <c r="A51" s="8"/>
      <c r="B51" s="8"/>
      <c r="C51" s="8"/>
      <c r="D51" s="8"/>
      <c r="E51" s="8"/>
      <c r="F51" s="8"/>
      <c r="G51" s="8"/>
      <c r="H51" s="8"/>
      <c r="I51" s="7"/>
    </row>
    <row r="52" spans="1:9">
      <c r="A52" s="8"/>
      <c r="B52" s="8"/>
      <c r="C52" s="8"/>
      <c r="D52" s="8"/>
      <c r="E52" s="8"/>
      <c r="F52" s="8"/>
      <c r="G52" s="8"/>
      <c r="H52" s="8"/>
      <c r="I52" s="7"/>
    </row>
    <row r="53" spans="1:9">
      <c r="A53" s="8"/>
      <c r="B53" s="8"/>
      <c r="C53" s="8"/>
      <c r="D53" s="8"/>
      <c r="E53" s="8"/>
      <c r="F53" s="8"/>
      <c r="G53" s="8"/>
      <c r="H53" s="8"/>
      <c r="I53" s="7"/>
    </row>
    <row r="54" spans="1:9">
      <c r="A54" s="8"/>
      <c r="B54" s="8"/>
      <c r="C54" s="8"/>
      <c r="D54" s="8"/>
      <c r="E54" s="8"/>
      <c r="F54" s="8"/>
      <c r="G54" s="8"/>
      <c r="H54" s="8"/>
      <c r="I54" s="7"/>
    </row>
    <row r="55" spans="1:9">
      <c r="A55" s="8"/>
      <c r="B55" s="8"/>
      <c r="C55" s="8"/>
      <c r="D55" s="8"/>
      <c r="E55" s="8"/>
      <c r="F55" s="8"/>
      <c r="G55" s="8"/>
      <c r="H55" s="8"/>
      <c r="I55" s="7"/>
    </row>
    <row r="56" spans="1:9">
      <c r="A56" s="8"/>
      <c r="B56" s="8"/>
      <c r="C56" s="8"/>
      <c r="D56" s="8"/>
      <c r="E56" s="8"/>
      <c r="F56" s="8"/>
      <c r="G56" s="8"/>
      <c r="H56" s="8"/>
      <c r="I56" s="7"/>
    </row>
    <row r="57" spans="1:9">
      <c r="A57" s="8"/>
      <c r="B57" s="8"/>
      <c r="C57" s="8"/>
      <c r="D57" s="8"/>
      <c r="E57" s="8"/>
      <c r="F57" s="8"/>
      <c r="G57" s="8"/>
      <c r="H57" s="8"/>
      <c r="I57" s="7"/>
    </row>
    <row r="58" spans="1:9">
      <c r="A58" s="8"/>
      <c r="B58" s="8"/>
      <c r="C58" s="8"/>
      <c r="D58" s="8"/>
      <c r="E58" s="8"/>
      <c r="F58" s="8"/>
      <c r="G58" s="8"/>
      <c r="H58" s="8"/>
      <c r="I58" s="7"/>
    </row>
    <row r="59" spans="1:9">
      <c r="A59" s="8"/>
      <c r="B59" s="8"/>
      <c r="C59" s="8"/>
      <c r="D59" s="8"/>
      <c r="E59" s="8"/>
      <c r="F59" s="8"/>
      <c r="G59" s="8"/>
      <c r="H59" s="8"/>
      <c r="I59" s="7"/>
    </row>
    <row r="60" spans="1:9">
      <c r="A60" s="8"/>
      <c r="B60" s="8"/>
      <c r="C60" s="8"/>
      <c r="D60" s="8"/>
      <c r="E60" s="8"/>
      <c r="F60" s="8"/>
      <c r="G60" s="8"/>
      <c r="H60" s="8"/>
      <c r="I60" s="7"/>
    </row>
    <row r="61" spans="1:9">
      <c r="A61" s="8"/>
      <c r="B61" s="8"/>
      <c r="C61" s="8"/>
      <c r="D61" s="8"/>
      <c r="E61" s="8"/>
      <c r="F61" s="8"/>
      <c r="G61" s="8"/>
      <c r="H61" s="8"/>
      <c r="I61" s="7"/>
    </row>
    <row r="62" spans="1:9">
      <c r="A62" s="8"/>
      <c r="B62" s="8"/>
      <c r="C62" s="8"/>
      <c r="D62" s="8"/>
      <c r="E62" s="8"/>
      <c r="F62" s="8"/>
      <c r="G62" s="8"/>
      <c r="H62" s="8"/>
      <c r="I62" s="7"/>
    </row>
    <row r="63" spans="1:9">
      <c r="A63" s="8"/>
      <c r="B63" s="8"/>
      <c r="C63" s="8"/>
      <c r="D63" s="8"/>
      <c r="E63" s="8"/>
      <c r="F63" s="8"/>
      <c r="G63" s="8"/>
      <c r="H63" s="8"/>
      <c r="I63" s="7"/>
    </row>
    <row r="64" spans="1:9">
      <c r="A64" s="8"/>
      <c r="B64" s="8"/>
      <c r="C64" s="8"/>
      <c r="D64" s="8"/>
      <c r="E64" s="8"/>
      <c r="F64" s="8"/>
      <c r="G64" s="8"/>
      <c r="H64" s="8"/>
      <c r="I64" s="7"/>
    </row>
    <row r="65" spans="1:9">
      <c r="A65" s="8"/>
      <c r="B65" s="8"/>
      <c r="C65" s="8"/>
      <c r="D65" s="8"/>
      <c r="E65" s="8"/>
      <c r="F65" s="8"/>
      <c r="G65" s="8"/>
      <c r="H65" s="8"/>
      <c r="I65" s="7"/>
    </row>
    <row r="66" spans="1:9">
      <c r="A66" s="8"/>
      <c r="B66" s="8"/>
      <c r="C66" s="8"/>
      <c r="D66" s="8"/>
      <c r="E66" s="8"/>
      <c r="F66" s="8"/>
      <c r="G66" s="8"/>
      <c r="H66" s="8"/>
      <c r="I66" s="7"/>
    </row>
    <row r="67" spans="1:9">
      <c r="A67" s="8"/>
      <c r="B67" s="8"/>
      <c r="C67" s="8"/>
      <c r="D67" s="8"/>
      <c r="E67" s="8"/>
      <c r="F67" s="8"/>
      <c r="G67" s="8"/>
      <c r="H67" s="8"/>
      <c r="I67" s="7"/>
    </row>
    <row r="68" spans="1:9">
      <c r="A68" s="8"/>
      <c r="B68" s="8"/>
      <c r="C68" s="8"/>
      <c r="D68" s="8"/>
      <c r="E68" s="8"/>
      <c r="F68" s="8"/>
      <c r="G68" s="8"/>
      <c r="H68" s="8"/>
      <c r="I68" s="7"/>
    </row>
    <row r="69" spans="1:9">
      <c r="A69" s="8"/>
      <c r="B69" s="8"/>
      <c r="C69" s="8"/>
      <c r="D69" s="8"/>
      <c r="E69" s="8"/>
      <c r="F69" s="8"/>
      <c r="G69" s="8"/>
      <c r="H69" s="8"/>
      <c r="I69" s="7"/>
    </row>
    <row r="70" spans="1:9">
      <c r="A70" s="8"/>
      <c r="B70" s="8"/>
      <c r="C70" s="8"/>
      <c r="D70" s="8"/>
      <c r="E70" s="8"/>
      <c r="F70" s="8"/>
      <c r="G70" s="8"/>
      <c r="H70" s="8"/>
      <c r="I70" s="7"/>
    </row>
    <row r="71" spans="1:9">
      <c r="A71" s="8"/>
      <c r="B71" s="8"/>
      <c r="C71" s="8"/>
      <c r="D71" s="8"/>
      <c r="E71" s="8"/>
      <c r="F71" s="8"/>
      <c r="G71" s="8"/>
      <c r="H71" s="8"/>
      <c r="I71" s="7"/>
    </row>
    <row r="72" spans="1:9">
      <c r="A72" s="8"/>
      <c r="B72" s="8"/>
      <c r="C72" s="8"/>
      <c r="D72" s="8"/>
      <c r="E72" s="8"/>
      <c r="F72" s="8"/>
      <c r="G72" s="8"/>
      <c r="H72" s="8"/>
      <c r="I72" s="7"/>
    </row>
    <row r="73" spans="1:9">
      <c r="A73" s="8"/>
      <c r="B73" s="8"/>
      <c r="C73" s="8"/>
      <c r="D73" s="8"/>
      <c r="E73" s="8"/>
      <c r="F73" s="8"/>
      <c r="G73" s="8"/>
      <c r="H73" s="8"/>
      <c r="I73" s="7"/>
    </row>
    <row r="74" spans="1:9">
      <c r="A74" s="8"/>
      <c r="B74" s="8"/>
      <c r="C74" s="8"/>
      <c r="D74" s="8"/>
      <c r="E74" s="8"/>
      <c r="F74" s="8"/>
      <c r="G74" s="8"/>
      <c r="H74" s="8"/>
      <c r="I74" s="7"/>
    </row>
    <row r="75" spans="1:9">
      <c r="A75" s="8"/>
      <c r="B75" s="8"/>
      <c r="C75" s="8"/>
      <c r="D75" s="8"/>
      <c r="E75" s="8"/>
      <c r="F75" s="8"/>
      <c r="G75" s="8"/>
      <c r="H75" s="8"/>
      <c r="I75" s="7"/>
    </row>
    <row r="76" spans="1:9">
      <c r="A76" s="8"/>
      <c r="B76" s="8"/>
      <c r="C76" s="8"/>
      <c r="D76" s="8"/>
      <c r="E76" s="8"/>
      <c r="F76" s="8"/>
      <c r="G76" s="8"/>
      <c r="H76" s="8"/>
      <c r="I76" s="7"/>
    </row>
    <row r="77" spans="1:9">
      <c r="A77" s="8"/>
      <c r="B77" s="8"/>
      <c r="C77" s="8"/>
      <c r="D77" s="8"/>
      <c r="E77" s="8"/>
      <c r="F77" s="8"/>
      <c r="G77" s="8"/>
      <c r="H77" s="8"/>
      <c r="I77" s="7"/>
    </row>
    <row r="78" spans="1:9">
      <c r="A78" s="8"/>
      <c r="B78" s="8"/>
      <c r="C78" s="8"/>
      <c r="D78" s="8"/>
      <c r="E78" s="8"/>
      <c r="F78" s="8"/>
      <c r="G78" s="8"/>
      <c r="H78" s="8"/>
      <c r="I78" s="7"/>
    </row>
    <row r="79" spans="1:9">
      <c r="A79" s="8"/>
      <c r="B79" s="8"/>
      <c r="C79" s="8"/>
      <c r="D79" s="8"/>
      <c r="E79" s="8"/>
      <c r="F79" s="8"/>
      <c r="G79" s="8"/>
      <c r="H79" s="8"/>
      <c r="I79" s="7"/>
    </row>
    <row r="80" spans="1:9">
      <c r="A80" s="8"/>
      <c r="B80" s="8"/>
      <c r="C80" s="8"/>
      <c r="D80" s="8"/>
      <c r="E80" s="8"/>
      <c r="F80" s="8"/>
      <c r="G80" s="8"/>
      <c r="H80" s="8"/>
      <c r="I80" s="7"/>
    </row>
    <row r="81" spans="1:9">
      <c r="A81" s="8"/>
      <c r="B81" s="8"/>
      <c r="C81" s="8"/>
      <c r="D81" s="8"/>
      <c r="E81" s="8"/>
      <c r="F81" s="8"/>
      <c r="G81" s="8"/>
      <c r="H81" s="8"/>
      <c r="I81" s="7"/>
    </row>
    <row r="82" spans="1:9">
      <c r="A82" s="8"/>
      <c r="B82" s="8"/>
      <c r="C82" s="8"/>
      <c r="D82" s="8"/>
      <c r="E82" s="8"/>
      <c r="F82" s="8"/>
      <c r="G82" s="8"/>
      <c r="H82" s="8"/>
      <c r="I82" s="7"/>
    </row>
    <row r="83" spans="1:9">
      <c r="A83" s="8"/>
      <c r="B83" s="8"/>
      <c r="C83" s="8"/>
      <c r="D83" s="8"/>
      <c r="E83" s="8"/>
      <c r="F83" s="8"/>
      <c r="G83" s="8"/>
      <c r="H83" s="8"/>
      <c r="I83" s="7"/>
    </row>
    <row r="84" spans="1:9">
      <c r="A84" s="8"/>
      <c r="B84" s="8"/>
      <c r="C84" s="8"/>
      <c r="D84" s="8"/>
      <c r="E84" s="8"/>
      <c r="F84" s="8"/>
      <c r="G84" s="8"/>
      <c r="H84" s="8"/>
      <c r="I84" s="7"/>
    </row>
    <row r="85" spans="1:9">
      <c r="A85" s="8"/>
      <c r="B85" s="8"/>
      <c r="C85" s="8"/>
      <c r="D85" s="8"/>
      <c r="E85" s="8"/>
      <c r="F85" s="8"/>
      <c r="G85" s="8"/>
      <c r="H85" s="8"/>
      <c r="I85" s="7"/>
    </row>
    <row r="86" spans="1:9">
      <c r="A86" s="8"/>
      <c r="B86" s="8"/>
      <c r="C86" s="8"/>
      <c r="D86" s="8"/>
      <c r="E86" s="8"/>
      <c r="F86" s="8"/>
      <c r="G86" s="8"/>
      <c r="H86" s="8"/>
      <c r="I86" s="7"/>
    </row>
    <row r="87" spans="1:9">
      <c r="A87" s="8"/>
      <c r="B87" s="8"/>
      <c r="C87" s="8"/>
      <c r="D87" s="8"/>
      <c r="E87" s="8"/>
      <c r="F87" s="8"/>
      <c r="G87" s="8"/>
      <c r="H87" s="8"/>
      <c r="I87" s="7"/>
    </row>
    <row r="88" spans="1:9">
      <c r="A88" s="8"/>
      <c r="B88" s="8"/>
      <c r="C88" s="8"/>
      <c r="D88" s="8"/>
      <c r="E88" s="8"/>
      <c r="F88" s="8"/>
      <c r="G88" s="8"/>
      <c r="H88" s="8"/>
      <c r="I88" s="7"/>
    </row>
    <row r="89" spans="1:9">
      <c r="A89" s="8"/>
      <c r="B89" s="8"/>
      <c r="C89" s="8"/>
      <c r="D89" s="8"/>
      <c r="E89" s="8"/>
      <c r="F89" s="8"/>
      <c r="G89" s="8"/>
      <c r="H89" s="8"/>
      <c r="I89" s="7"/>
    </row>
    <row r="90" spans="1:9">
      <c r="A90" s="8"/>
      <c r="B90" s="8"/>
      <c r="C90" s="8"/>
      <c r="D90" s="8"/>
      <c r="E90" s="8"/>
      <c r="F90" s="8"/>
      <c r="G90" s="8"/>
      <c r="H90" s="8"/>
      <c r="I90" s="7"/>
    </row>
    <row r="91" spans="1:9">
      <c r="A91" s="8"/>
      <c r="B91" s="8"/>
      <c r="C91" s="8"/>
      <c r="D91" s="8"/>
      <c r="E91" s="8"/>
      <c r="F91" s="8"/>
      <c r="G91" s="8"/>
      <c r="H91" s="8"/>
      <c r="I91" s="7"/>
    </row>
    <row r="92" spans="1:9">
      <c r="A92" s="8"/>
      <c r="B92" s="8"/>
      <c r="C92" s="8"/>
      <c r="D92" s="8"/>
      <c r="E92" s="8"/>
      <c r="F92" s="8"/>
      <c r="G92" s="8"/>
      <c r="H92" s="8"/>
      <c r="I92" s="7"/>
    </row>
    <row r="93" spans="1:9">
      <c r="A93" s="8"/>
      <c r="B93" s="8"/>
      <c r="C93" s="8"/>
      <c r="D93" s="8"/>
      <c r="E93" s="8"/>
      <c r="F93" s="8"/>
      <c r="G93" s="8"/>
      <c r="H93" s="8"/>
      <c r="I93" s="7"/>
    </row>
    <row r="94" spans="1:9">
      <c r="A94" s="8"/>
      <c r="B94" s="8"/>
      <c r="C94" s="8"/>
      <c r="D94" s="8"/>
      <c r="E94" s="8"/>
      <c r="F94" s="8"/>
      <c r="G94" s="8"/>
      <c r="H94" s="8"/>
      <c r="I94" s="7"/>
    </row>
    <row r="95" spans="1:9">
      <c r="A95" s="8"/>
      <c r="B95" s="8"/>
      <c r="C95" s="8"/>
      <c r="D95" s="8"/>
      <c r="E95" s="8"/>
      <c r="F95" s="8"/>
      <c r="G95" s="8"/>
      <c r="H95" s="8"/>
      <c r="I95" s="7"/>
    </row>
    <row r="96" spans="1:9">
      <c r="A96" s="8"/>
      <c r="B96" s="8"/>
      <c r="C96" s="8"/>
      <c r="D96" s="8"/>
      <c r="E96" s="8"/>
      <c r="F96" s="8"/>
      <c r="G96" s="8"/>
      <c r="H96" s="8"/>
      <c r="I96" s="7"/>
    </row>
    <row r="97" spans="1:9">
      <c r="A97" s="8"/>
      <c r="B97" s="8"/>
      <c r="C97" s="8"/>
      <c r="D97" s="8"/>
      <c r="E97" s="8"/>
      <c r="F97" s="8"/>
      <c r="G97" s="8"/>
      <c r="H97" s="8"/>
      <c r="I97" s="7"/>
    </row>
    <row r="98" spans="1:9">
      <c r="A98" s="8"/>
      <c r="B98" s="8"/>
      <c r="C98" s="8"/>
      <c r="D98" s="8"/>
      <c r="E98" s="8"/>
      <c r="F98" s="8"/>
      <c r="G98" s="8"/>
      <c r="H98" s="8"/>
      <c r="I98" s="7"/>
    </row>
    <row r="99" spans="1:9">
      <c r="A99" s="8"/>
      <c r="B99" s="8"/>
      <c r="C99" s="8"/>
      <c r="D99" s="8"/>
      <c r="E99" s="8"/>
      <c r="F99" s="8"/>
      <c r="G99" s="8"/>
      <c r="H99" s="8"/>
      <c r="I99" s="7"/>
    </row>
    <row r="100" spans="1:9">
      <c r="A100" s="8"/>
      <c r="B100" s="8"/>
      <c r="C100" s="8"/>
      <c r="D100" s="8"/>
      <c r="E100" s="8"/>
      <c r="F100" s="8"/>
      <c r="G100" s="8"/>
      <c r="H100" s="8"/>
      <c r="I100" s="7"/>
    </row>
    <row r="101" spans="1:9">
      <c r="A101" s="8"/>
      <c r="B101" s="8"/>
      <c r="C101" s="8"/>
      <c r="D101" s="8"/>
      <c r="E101" s="8"/>
      <c r="F101" s="8"/>
      <c r="G101" s="8"/>
      <c r="H101" s="8"/>
      <c r="I101" s="7"/>
    </row>
    <row r="102" spans="1:9">
      <c r="A102" s="8"/>
      <c r="B102" s="8"/>
      <c r="C102" s="8"/>
      <c r="D102" s="8"/>
      <c r="E102" s="8"/>
      <c r="F102" s="8"/>
      <c r="G102" s="8"/>
      <c r="H102" s="8"/>
      <c r="I102" s="7"/>
    </row>
    <row r="103" spans="1:9">
      <c r="A103" s="8"/>
      <c r="B103" s="8"/>
      <c r="C103" s="8"/>
      <c r="D103" s="8"/>
      <c r="E103" s="8"/>
      <c r="F103" s="8"/>
      <c r="G103" s="8"/>
      <c r="H103" s="8"/>
      <c r="I103" s="7"/>
    </row>
    <row r="104" spans="1:9">
      <c r="A104" s="8"/>
      <c r="B104" s="8"/>
      <c r="C104" s="8"/>
      <c r="D104" s="8"/>
      <c r="E104" s="8"/>
      <c r="F104" s="8"/>
      <c r="G104" s="8"/>
      <c r="H104" s="8"/>
      <c r="I104" s="7"/>
    </row>
    <row r="105" spans="1:9">
      <c r="A105" s="8"/>
      <c r="B105" s="8"/>
      <c r="C105" s="8"/>
      <c r="D105" s="8"/>
      <c r="E105" s="8"/>
      <c r="F105" s="8"/>
      <c r="G105" s="8"/>
      <c r="H105" s="8"/>
      <c r="I105" s="7"/>
    </row>
    <row r="106" spans="1:9">
      <c r="A106" s="8"/>
      <c r="B106" s="8"/>
      <c r="C106" s="8"/>
      <c r="D106" s="8"/>
      <c r="E106" s="8"/>
      <c r="F106" s="8"/>
      <c r="G106" s="8"/>
      <c r="H106" s="8"/>
      <c r="I106" s="7"/>
    </row>
    <row r="107" spans="1:9">
      <c r="A107" s="8"/>
      <c r="B107" s="8"/>
      <c r="C107" s="8"/>
      <c r="D107" s="8"/>
      <c r="E107" s="8"/>
      <c r="F107" s="8"/>
      <c r="G107" s="8"/>
      <c r="H107" s="8"/>
      <c r="I107" s="7"/>
    </row>
    <row r="108" spans="1:9">
      <c r="A108" s="8"/>
      <c r="B108" s="8"/>
      <c r="C108" s="8"/>
      <c r="D108" s="8"/>
      <c r="E108" s="8"/>
      <c r="F108" s="8"/>
      <c r="G108" s="8"/>
      <c r="H108" s="8"/>
      <c r="I108" s="7"/>
    </row>
    <row r="109" spans="1:9">
      <c r="A109" s="8"/>
      <c r="B109" s="8"/>
      <c r="C109" s="8"/>
      <c r="D109" s="8"/>
      <c r="E109" s="8"/>
      <c r="F109" s="8"/>
      <c r="G109" s="8"/>
      <c r="H109" s="8"/>
      <c r="I109" s="7"/>
    </row>
    <row r="110" spans="1:9">
      <c r="A110" s="8"/>
      <c r="B110" s="8"/>
      <c r="C110" s="8"/>
      <c r="D110" s="8"/>
      <c r="E110" s="8"/>
      <c r="F110" s="8"/>
      <c r="G110" s="8"/>
      <c r="H110" s="8"/>
      <c r="I110" s="7"/>
    </row>
    <row r="111" spans="1:9">
      <c r="A111" s="8"/>
      <c r="B111" s="8"/>
      <c r="C111" s="8"/>
      <c r="D111" s="8"/>
      <c r="E111" s="8"/>
      <c r="F111" s="8"/>
      <c r="G111" s="8"/>
      <c r="H111" s="8"/>
      <c r="I111" s="7"/>
    </row>
    <row r="112" spans="1:9">
      <c r="A112" s="8"/>
      <c r="B112" s="8"/>
      <c r="C112" s="8"/>
      <c r="D112" s="8"/>
      <c r="E112" s="8"/>
      <c r="F112" s="8"/>
      <c r="G112" s="8"/>
      <c r="H112" s="8"/>
      <c r="I112" s="7"/>
    </row>
    <row r="113" spans="1:9">
      <c r="A113" s="8"/>
      <c r="B113" s="8"/>
      <c r="C113" s="8"/>
      <c r="D113" s="8"/>
      <c r="E113" s="8"/>
      <c r="F113" s="8"/>
      <c r="G113" s="8"/>
      <c r="H113" s="8"/>
      <c r="I113" s="7"/>
    </row>
    <row r="114" spans="1:9">
      <c r="A114" s="8"/>
      <c r="B114" s="8"/>
      <c r="C114" s="8"/>
      <c r="D114" s="8"/>
      <c r="E114" s="8"/>
      <c r="F114" s="8"/>
      <c r="G114" s="8"/>
      <c r="H114" s="8"/>
      <c r="I114" s="7"/>
    </row>
    <row r="115" spans="1:9">
      <c r="A115" s="8"/>
      <c r="B115" s="8"/>
      <c r="C115" s="8"/>
      <c r="D115" s="8"/>
      <c r="E115" s="8"/>
      <c r="F115" s="8"/>
      <c r="G115" s="8"/>
      <c r="H115" s="8"/>
      <c r="I115" s="7"/>
    </row>
    <row r="116" spans="1:9">
      <c r="A116" s="8"/>
      <c r="B116" s="8"/>
      <c r="C116" s="8"/>
      <c r="D116" s="8"/>
      <c r="E116" s="8"/>
      <c r="F116" s="8"/>
      <c r="G116" s="8"/>
      <c r="H116" s="8"/>
      <c r="I116" s="7"/>
    </row>
    <row r="117" spans="1:9">
      <c r="A117" s="8"/>
      <c r="B117" s="8"/>
      <c r="C117" s="8"/>
      <c r="D117" s="8"/>
      <c r="E117" s="8"/>
      <c r="F117" s="8"/>
      <c r="G117" s="8"/>
      <c r="H117" s="8"/>
      <c r="I117" s="7"/>
    </row>
    <row r="118" spans="1:9">
      <c r="A118" s="8"/>
      <c r="B118" s="8"/>
      <c r="C118" s="8"/>
      <c r="D118" s="8"/>
      <c r="E118" s="8"/>
      <c r="F118" s="8"/>
      <c r="G118" s="8"/>
      <c r="H118" s="8"/>
      <c r="I118" s="7"/>
    </row>
    <row r="119" spans="1:9">
      <c r="A119" s="8"/>
      <c r="B119" s="8"/>
      <c r="C119" s="8"/>
      <c r="D119" s="8"/>
      <c r="E119" s="8"/>
      <c r="F119" s="8"/>
      <c r="G119" s="8"/>
      <c r="H119" s="8"/>
      <c r="I119" s="7"/>
    </row>
    <row r="120" spans="1:9">
      <c r="A120" s="8"/>
      <c r="B120" s="8"/>
      <c r="C120" s="8"/>
      <c r="D120" s="8"/>
      <c r="E120" s="8"/>
      <c r="F120" s="8"/>
      <c r="G120" s="8"/>
      <c r="H120" s="8"/>
      <c r="I120" s="7"/>
    </row>
    <row r="121" spans="1:9">
      <c r="A121" s="8"/>
      <c r="B121" s="8"/>
      <c r="C121" s="8"/>
      <c r="D121" s="8"/>
      <c r="E121" s="8"/>
      <c r="F121" s="8"/>
      <c r="G121" s="8"/>
      <c r="H121" s="8"/>
      <c r="I121" s="7"/>
    </row>
    <row r="122" spans="1:9">
      <c r="A122" s="8"/>
      <c r="B122" s="8"/>
      <c r="C122" s="8"/>
      <c r="D122" s="8"/>
      <c r="E122" s="8"/>
      <c r="F122" s="8"/>
      <c r="G122" s="8"/>
      <c r="H122" s="8"/>
      <c r="I122" s="7"/>
    </row>
    <row r="123" spans="1:9">
      <c r="A123" s="8"/>
      <c r="B123" s="8"/>
      <c r="C123" s="8"/>
      <c r="D123" s="8"/>
      <c r="E123" s="8"/>
      <c r="F123" s="8"/>
      <c r="G123" s="8"/>
      <c r="H123" s="8"/>
      <c r="I123" s="7"/>
    </row>
    <row r="124" spans="1:9">
      <c r="A124" s="8"/>
      <c r="B124" s="8"/>
      <c r="C124" s="8"/>
      <c r="D124" s="8"/>
      <c r="E124" s="8"/>
      <c r="F124" s="8"/>
      <c r="G124" s="8"/>
      <c r="H124" s="8"/>
      <c r="I124" s="7"/>
    </row>
    <row r="125" spans="1:9">
      <c r="A125" s="8"/>
      <c r="B125" s="8"/>
      <c r="C125" s="8"/>
      <c r="D125" s="8"/>
      <c r="E125" s="8"/>
      <c r="F125" s="8"/>
      <c r="G125" s="8"/>
      <c r="H125" s="8"/>
      <c r="I125" s="7"/>
    </row>
    <row r="126" spans="1:9">
      <c r="A126" s="8"/>
      <c r="B126" s="8"/>
      <c r="C126" s="8"/>
      <c r="D126" s="8"/>
      <c r="E126" s="8"/>
      <c r="F126" s="8"/>
      <c r="G126" s="8"/>
      <c r="H126" s="8"/>
      <c r="I126" s="7"/>
    </row>
    <row r="127" spans="1:9">
      <c r="A127" s="8"/>
      <c r="B127" s="8"/>
      <c r="C127" s="8"/>
      <c r="D127" s="8"/>
      <c r="E127" s="8"/>
      <c r="F127" s="8"/>
      <c r="G127" s="8"/>
      <c r="H127" s="8"/>
      <c r="I127" s="7"/>
    </row>
    <row r="128" spans="1:9">
      <c r="A128" s="8"/>
      <c r="B128" s="8"/>
      <c r="C128" s="8"/>
      <c r="D128" s="8"/>
      <c r="E128" s="8"/>
      <c r="F128" s="8"/>
      <c r="G128" s="8"/>
      <c r="H128" s="8"/>
      <c r="I128" s="7"/>
    </row>
    <row r="129" spans="1:9">
      <c r="A129" s="8"/>
      <c r="B129" s="8"/>
      <c r="C129" s="8"/>
      <c r="D129" s="8"/>
      <c r="E129" s="8"/>
      <c r="F129" s="8"/>
      <c r="G129" s="8"/>
      <c r="H129" s="8"/>
      <c r="I129" s="7"/>
    </row>
    <row r="130" spans="1:9">
      <c r="A130" s="8"/>
      <c r="B130" s="8"/>
      <c r="C130" s="8"/>
      <c r="D130" s="8"/>
      <c r="E130" s="8"/>
      <c r="F130" s="8"/>
      <c r="G130" s="8"/>
      <c r="H130" s="8"/>
      <c r="I130" s="7"/>
    </row>
    <row r="131" spans="1:9">
      <c r="A131" s="8"/>
      <c r="B131" s="8"/>
      <c r="C131" s="8"/>
      <c r="D131" s="8"/>
      <c r="E131" s="8"/>
      <c r="F131" s="8"/>
      <c r="G131" s="8"/>
      <c r="H131" s="8"/>
      <c r="I131" s="7"/>
    </row>
    <row r="132" spans="1:9">
      <c r="A132" s="8"/>
      <c r="B132" s="8"/>
      <c r="C132" s="8"/>
      <c r="D132" s="8"/>
      <c r="E132" s="8"/>
      <c r="F132" s="8"/>
      <c r="G132" s="8"/>
      <c r="H132" s="8"/>
      <c r="I132" s="7"/>
    </row>
    <row r="133" spans="1:9">
      <c r="A133" s="8"/>
      <c r="B133" s="8"/>
      <c r="C133" s="8"/>
      <c r="D133" s="8"/>
      <c r="E133" s="8"/>
      <c r="F133" s="8"/>
      <c r="G133" s="8"/>
      <c r="H133" s="8"/>
      <c r="I133" s="7"/>
    </row>
    <row r="134" spans="1:9">
      <c r="A134" s="8"/>
      <c r="B134" s="8"/>
      <c r="C134" s="8"/>
      <c r="D134" s="8"/>
      <c r="E134" s="8"/>
      <c r="F134" s="8"/>
      <c r="G134" s="8"/>
      <c r="H134" s="8"/>
      <c r="I134" s="7"/>
    </row>
    <row r="135" spans="1:9">
      <c r="A135" s="8"/>
      <c r="B135" s="8"/>
      <c r="C135" s="8"/>
      <c r="D135" s="8"/>
      <c r="E135" s="8"/>
      <c r="F135" s="8"/>
      <c r="G135" s="8"/>
      <c r="H135" s="8"/>
      <c r="I135" s="7"/>
    </row>
    <row r="136" spans="1:9">
      <c r="A136" s="8"/>
      <c r="B136" s="8"/>
      <c r="C136" s="8"/>
      <c r="D136" s="8"/>
      <c r="E136" s="8"/>
      <c r="F136" s="8"/>
      <c r="G136" s="8"/>
      <c r="H136" s="8"/>
      <c r="I136" s="7"/>
    </row>
    <row r="137" spans="1:9">
      <c r="A137" s="8"/>
      <c r="B137" s="8"/>
      <c r="C137" s="8"/>
      <c r="D137" s="8"/>
      <c r="E137" s="8"/>
      <c r="F137" s="8"/>
      <c r="G137" s="8"/>
      <c r="H137" s="8"/>
      <c r="I137" s="7"/>
    </row>
    <row r="138" spans="1:9">
      <c r="A138" s="8"/>
      <c r="B138" s="8"/>
      <c r="C138" s="8"/>
      <c r="D138" s="8"/>
      <c r="E138" s="8"/>
      <c r="F138" s="8"/>
      <c r="G138" s="8"/>
      <c r="H138" s="8"/>
      <c r="I138" s="7"/>
    </row>
    <row r="139" spans="1:9">
      <c r="A139" s="8"/>
      <c r="B139" s="8"/>
      <c r="C139" s="8"/>
      <c r="D139" s="8"/>
      <c r="E139" s="8"/>
      <c r="F139" s="8"/>
      <c r="G139" s="8"/>
      <c r="H139" s="8"/>
      <c r="I139" s="7"/>
    </row>
    <row r="140" spans="1:9">
      <c r="A140" s="8"/>
      <c r="B140" s="8"/>
      <c r="C140" s="8"/>
      <c r="D140" s="8"/>
      <c r="E140" s="8"/>
      <c r="F140" s="8"/>
      <c r="G140" s="8"/>
      <c r="H140" s="8"/>
      <c r="I140" s="7"/>
    </row>
    <row r="141" spans="1:9">
      <c r="A141" s="8"/>
      <c r="B141" s="8"/>
      <c r="C141" s="8"/>
      <c r="D141" s="8"/>
      <c r="E141" s="8"/>
      <c r="F141" s="8"/>
      <c r="G141" s="8"/>
      <c r="H141" s="8"/>
      <c r="I141" s="7"/>
    </row>
    <row r="142" spans="1:9">
      <c r="A142" s="8"/>
      <c r="B142" s="8"/>
      <c r="C142" s="8"/>
      <c r="D142" s="8"/>
      <c r="E142" s="8"/>
      <c r="F142" s="8"/>
      <c r="G142" s="8"/>
      <c r="H142" s="8"/>
      <c r="I142" s="7"/>
    </row>
    <row r="143" spans="1:9">
      <c r="A143" s="8"/>
      <c r="B143" s="8"/>
      <c r="C143" s="8"/>
      <c r="D143" s="8"/>
      <c r="E143" s="8"/>
      <c r="F143" s="8"/>
      <c r="G143" s="8"/>
      <c r="H143" s="8"/>
      <c r="I143" s="7"/>
    </row>
    <row r="144" spans="1:9">
      <c r="A144" s="8"/>
      <c r="B144" s="8"/>
      <c r="C144" s="8"/>
      <c r="D144" s="8"/>
      <c r="E144" s="8"/>
      <c r="F144" s="8"/>
      <c r="G144" s="8"/>
      <c r="H144" s="8"/>
      <c r="I144" s="7"/>
    </row>
    <row r="145" spans="1:9">
      <c r="A145" s="8"/>
      <c r="B145" s="8"/>
      <c r="C145" s="8"/>
      <c r="D145" s="8"/>
      <c r="E145" s="8"/>
      <c r="F145" s="8"/>
      <c r="G145" s="8"/>
      <c r="H145" s="8"/>
      <c r="I145" s="7"/>
    </row>
    <row r="146" spans="1:9">
      <c r="A146" s="8"/>
      <c r="B146" s="8"/>
      <c r="C146" s="8"/>
      <c r="D146" s="8"/>
      <c r="E146" s="8"/>
      <c r="F146" s="8"/>
      <c r="G146" s="8"/>
      <c r="H146" s="8"/>
      <c r="I146" s="7"/>
    </row>
    <row r="147" spans="1:9">
      <c r="A147" s="8"/>
      <c r="B147" s="8"/>
      <c r="C147" s="8"/>
      <c r="D147" s="8"/>
      <c r="E147" s="8"/>
      <c r="F147" s="8"/>
      <c r="G147" s="8"/>
      <c r="H147" s="8"/>
      <c r="I147" s="7"/>
    </row>
    <row r="148" spans="1:9">
      <c r="A148" s="8"/>
      <c r="B148" s="8"/>
      <c r="C148" s="8"/>
      <c r="D148" s="8"/>
      <c r="E148" s="8"/>
      <c r="F148" s="8"/>
      <c r="G148" s="8"/>
      <c r="H148" s="8"/>
      <c r="I148" s="7"/>
    </row>
    <row r="149" spans="1:9">
      <c r="A149" s="8"/>
      <c r="B149" s="8"/>
      <c r="C149" s="8"/>
      <c r="D149" s="8"/>
      <c r="E149" s="8"/>
      <c r="F149" s="8"/>
      <c r="G149" s="8"/>
      <c r="H149" s="8"/>
      <c r="I149" s="7"/>
    </row>
    <row r="150" spans="1:9">
      <c r="A150" s="8"/>
      <c r="B150" s="8"/>
      <c r="C150" s="8"/>
      <c r="D150" s="8"/>
      <c r="E150" s="8"/>
      <c r="F150" s="8"/>
      <c r="G150" s="8"/>
      <c r="H150" s="8"/>
      <c r="I150" s="7"/>
    </row>
    <row r="151" spans="1:9">
      <c r="A151" s="8"/>
      <c r="B151" s="8"/>
      <c r="C151" s="8"/>
      <c r="D151" s="8"/>
      <c r="E151" s="8"/>
      <c r="F151" s="8"/>
      <c r="G151" s="8"/>
      <c r="H151" s="8"/>
      <c r="I151" s="7"/>
    </row>
    <row r="152" spans="1:9">
      <c r="A152" s="8"/>
      <c r="B152" s="8"/>
      <c r="C152" s="8"/>
      <c r="D152" s="8"/>
      <c r="E152" s="8"/>
      <c r="F152" s="8"/>
      <c r="G152" s="8"/>
      <c r="H152" s="8"/>
      <c r="I152" s="7"/>
    </row>
    <row r="153" spans="1:9">
      <c r="A153" s="8"/>
      <c r="B153" s="8"/>
      <c r="C153" s="8"/>
      <c r="D153" s="8"/>
      <c r="E153" s="8"/>
      <c r="F153" s="8"/>
      <c r="G153" s="8"/>
      <c r="H153" s="8"/>
      <c r="I153" s="7"/>
    </row>
    <row r="154" spans="1:9">
      <c r="A154" s="8"/>
      <c r="B154" s="8"/>
      <c r="C154" s="8"/>
      <c r="D154" s="8"/>
      <c r="E154" s="8"/>
      <c r="F154" s="8"/>
      <c r="G154" s="8"/>
      <c r="H154" s="8"/>
      <c r="I154" s="7"/>
    </row>
    <row r="155" spans="1:9">
      <c r="A155" s="8"/>
      <c r="B155" s="8"/>
      <c r="C155" s="8"/>
      <c r="D155" s="8"/>
      <c r="E155" s="8"/>
      <c r="F155" s="8"/>
      <c r="G155" s="8"/>
      <c r="H155" s="8"/>
      <c r="I155" s="7"/>
    </row>
    <row r="156" spans="1:9">
      <c r="A156" s="8"/>
      <c r="B156" s="8"/>
      <c r="C156" s="8"/>
      <c r="D156" s="8"/>
      <c r="E156" s="8"/>
      <c r="F156" s="8"/>
      <c r="G156" s="8"/>
      <c r="H156" s="8"/>
      <c r="I156" s="7"/>
    </row>
    <row r="157" spans="1:9">
      <c r="A157" s="8"/>
      <c r="B157" s="8"/>
      <c r="C157" s="8"/>
      <c r="D157" s="8"/>
      <c r="E157" s="8"/>
      <c r="F157" s="8"/>
      <c r="G157" s="8"/>
      <c r="H157" s="8"/>
      <c r="I157" s="7"/>
    </row>
    <row r="158" spans="1:9">
      <c r="A158" s="8"/>
      <c r="B158" s="8"/>
      <c r="C158" s="8"/>
      <c r="D158" s="8"/>
      <c r="E158" s="8"/>
      <c r="F158" s="8"/>
      <c r="G158" s="8"/>
      <c r="H158" s="8"/>
      <c r="I158" s="7"/>
    </row>
    <row r="159" spans="1:9">
      <c r="A159" s="8"/>
      <c r="B159" s="8"/>
      <c r="C159" s="8"/>
      <c r="D159" s="8"/>
      <c r="E159" s="8"/>
      <c r="F159" s="8"/>
      <c r="G159" s="8"/>
      <c r="H159" s="8"/>
      <c r="I159" s="7"/>
    </row>
    <row r="160" spans="1:9">
      <c r="A160" s="8"/>
      <c r="B160" s="8"/>
      <c r="C160" s="8"/>
      <c r="D160" s="8"/>
      <c r="E160" s="8"/>
      <c r="F160" s="8"/>
      <c r="G160" s="8"/>
      <c r="H160" s="8"/>
      <c r="I160" s="7"/>
    </row>
    <row r="161" spans="1:9">
      <c r="A161" s="8"/>
      <c r="B161" s="8"/>
      <c r="C161" s="8"/>
      <c r="D161" s="8"/>
      <c r="E161" s="8"/>
      <c r="F161" s="8"/>
      <c r="G161" s="8"/>
      <c r="H161" s="8"/>
      <c r="I161" s="7"/>
    </row>
    <row r="162" spans="1:9">
      <c r="A162" s="8"/>
      <c r="B162" s="8"/>
      <c r="C162" s="8"/>
      <c r="D162" s="8"/>
      <c r="E162" s="8"/>
      <c r="F162" s="8"/>
      <c r="G162" s="8"/>
      <c r="H162" s="8"/>
      <c r="I162" s="7"/>
    </row>
    <row r="163" spans="1:9">
      <c r="A163" s="8"/>
      <c r="B163" s="8"/>
      <c r="C163" s="8"/>
      <c r="D163" s="8"/>
      <c r="E163" s="8"/>
      <c r="F163" s="8"/>
      <c r="G163" s="8"/>
      <c r="H163" s="8"/>
      <c r="I163" s="7"/>
    </row>
    <row r="164" spans="1:9">
      <c r="A164" s="8"/>
      <c r="B164" s="8"/>
      <c r="C164" s="8"/>
      <c r="D164" s="8"/>
      <c r="E164" s="8"/>
      <c r="F164" s="8"/>
      <c r="G164" s="8"/>
      <c r="H164" s="8"/>
      <c r="I164" s="7"/>
    </row>
    <row r="165" spans="1:9">
      <c r="A165" s="8"/>
      <c r="B165" s="8"/>
      <c r="C165" s="8"/>
      <c r="D165" s="8"/>
      <c r="E165" s="8"/>
      <c r="F165" s="8"/>
      <c r="G165" s="8"/>
      <c r="H165" s="8"/>
      <c r="I165" s="7"/>
    </row>
    <row r="166" spans="1:9">
      <c r="A166" s="8"/>
      <c r="B166" s="8"/>
      <c r="C166" s="8"/>
      <c r="D166" s="8"/>
      <c r="E166" s="8"/>
      <c r="F166" s="8"/>
      <c r="G166" s="8"/>
      <c r="H166" s="8"/>
      <c r="I166" s="7"/>
    </row>
    <row r="167" spans="1:9">
      <c r="A167" s="8"/>
      <c r="B167" s="8"/>
      <c r="C167" s="8"/>
      <c r="D167" s="8"/>
      <c r="E167" s="8"/>
      <c r="F167" s="8"/>
      <c r="G167" s="8"/>
      <c r="H167" s="8"/>
      <c r="I167" s="7"/>
    </row>
    <row r="168" spans="1:9">
      <c r="A168" s="8"/>
      <c r="B168" s="8"/>
      <c r="C168" s="8"/>
      <c r="D168" s="8"/>
      <c r="E168" s="8"/>
      <c r="F168" s="8"/>
      <c r="G168" s="8"/>
      <c r="H168" s="8"/>
      <c r="I168" s="7"/>
    </row>
    <row r="169" spans="1:9">
      <c r="A169" s="8"/>
      <c r="B169" s="8"/>
      <c r="C169" s="8"/>
      <c r="D169" s="8"/>
      <c r="E169" s="8"/>
      <c r="F169" s="8"/>
      <c r="G169" s="8"/>
      <c r="H169" s="8"/>
      <c r="I169" s="7"/>
    </row>
    <row r="170" spans="1:9">
      <c r="A170" s="8"/>
      <c r="B170" s="8"/>
      <c r="C170" s="8"/>
      <c r="D170" s="8"/>
      <c r="E170" s="8"/>
      <c r="F170" s="8"/>
      <c r="G170" s="8"/>
      <c r="H170" s="8"/>
      <c r="I170" s="7"/>
    </row>
    <row r="171" spans="1:9">
      <c r="A171" s="8"/>
      <c r="B171" s="8"/>
      <c r="C171" s="8"/>
      <c r="D171" s="8"/>
      <c r="E171" s="8"/>
      <c r="F171" s="8"/>
      <c r="G171" s="8"/>
      <c r="H171" s="8"/>
      <c r="I171" s="7"/>
    </row>
    <row r="172" spans="1:9">
      <c r="A172" s="8"/>
      <c r="B172" s="8"/>
      <c r="C172" s="8"/>
      <c r="D172" s="8"/>
      <c r="E172" s="8"/>
      <c r="F172" s="8"/>
      <c r="G172" s="8"/>
      <c r="H172" s="8"/>
      <c r="I172" s="7"/>
    </row>
    <row r="173" spans="1:9">
      <c r="A173" s="8"/>
      <c r="B173" s="8"/>
      <c r="C173" s="8"/>
      <c r="D173" s="8"/>
      <c r="E173" s="8"/>
      <c r="F173" s="8"/>
      <c r="G173" s="8"/>
      <c r="H173" s="8"/>
      <c r="I173" s="7"/>
    </row>
    <row r="174" spans="1:9">
      <c r="A174" s="8"/>
      <c r="B174" s="8"/>
      <c r="C174" s="8"/>
      <c r="D174" s="8"/>
      <c r="E174" s="8"/>
      <c r="F174" s="8"/>
      <c r="G174" s="8"/>
      <c r="H174" s="8"/>
      <c r="I174" s="7"/>
    </row>
    <row r="175" spans="1:9">
      <c r="A175" s="8"/>
      <c r="B175" s="8"/>
      <c r="C175" s="8"/>
      <c r="D175" s="8"/>
      <c r="E175" s="8"/>
      <c r="F175" s="8"/>
      <c r="G175" s="8"/>
      <c r="H175" s="8"/>
      <c r="I175" s="7"/>
    </row>
    <row r="176" spans="1:9">
      <c r="A176" s="8"/>
      <c r="B176" s="8"/>
      <c r="C176" s="8"/>
      <c r="D176" s="8"/>
      <c r="E176" s="8"/>
      <c r="F176" s="8"/>
      <c r="G176" s="8"/>
      <c r="H176" s="8"/>
      <c r="I176" s="7"/>
    </row>
    <row r="177" spans="1:9">
      <c r="A177" s="8"/>
      <c r="B177" s="8"/>
      <c r="C177" s="8"/>
      <c r="D177" s="8"/>
      <c r="E177" s="8"/>
      <c r="F177" s="8"/>
      <c r="G177" s="8"/>
      <c r="H177" s="8"/>
      <c r="I177" s="7"/>
    </row>
    <row r="178" spans="1:9">
      <c r="A178" s="8"/>
      <c r="B178" s="8"/>
      <c r="C178" s="8"/>
      <c r="D178" s="8"/>
      <c r="E178" s="8"/>
      <c r="F178" s="8"/>
      <c r="G178" s="8"/>
      <c r="H178" s="8"/>
      <c r="I178" s="7"/>
    </row>
    <row r="179" spans="1:9">
      <c r="A179" s="8"/>
      <c r="B179" s="8"/>
      <c r="C179" s="8"/>
      <c r="D179" s="8"/>
      <c r="E179" s="8"/>
      <c r="F179" s="8"/>
      <c r="G179" s="8"/>
      <c r="H179" s="8"/>
      <c r="I179" s="7"/>
    </row>
    <row r="180" spans="1:9">
      <c r="A180" s="8"/>
      <c r="B180" s="8"/>
      <c r="C180" s="8"/>
      <c r="D180" s="8"/>
      <c r="E180" s="8"/>
      <c r="F180" s="8"/>
      <c r="G180" s="8"/>
      <c r="H180" s="8"/>
      <c r="I180" s="7"/>
    </row>
    <row r="181" spans="1:9">
      <c r="A181" s="8"/>
      <c r="B181" s="8"/>
      <c r="C181" s="8"/>
      <c r="D181" s="8"/>
      <c r="E181" s="8"/>
      <c r="F181" s="8"/>
      <c r="G181" s="8"/>
      <c r="H181" s="8"/>
      <c r="I181" s="7"/>
    </row>
    <row r="182" spans="1:9">
      <c r="A182" s="8"/>
      <c r="B182" s="8"/>
      <c r="C182" s="8"/>
      <c r="D182" s="8"/>
      <c r="E182" s="8"/>
      <c r="F182" s="8"/>
      <c r="G182" s="8"/>
      <c r="H182" s="8"/>
      <c r="I182" s="7"/>
    </row>
    <row r="183" spans="1:9">
      <c r="A183" s="8"/>
      <c r="B183" s="8"/>
      <c r="C183" s="8"/>
      <c r="D183" s="8"/>
      <c r="E183" s="8"/>
      <c r="F183" s="8"/>
      <c r="G183" s="8"/>
      <c r="H183" s="8"/>
      <c r="I183" s="7"/>
    </row>
    <row r="184" spans="1:9">
      <c r="A184" s="8"/>
      <c r="B184" s="8"/>
      <c r="C184" s="8"/>
      <c r="D184" s="8"/>
      <c r="E184" s="8"/>
      <c r="F184" s="8"/>
      <c r="G184" s="8"/>
      <c r="H184" s="8"/>
      <c r="I184" s="7"/>
    </row>
    <row r="185" spans="1:9">
      <c r="A185" s="8"/>
      <c r="B185" s="8"/>
      <c r="C185" s="8"/>
      <c r="D185" s="8"/>
      <c r="E185" s="8"/>
      <c r="F185" s="8"/>
      <c r="G185" s="8"/>
      <c r="H185" s="8"/>
      <c r="I185" s="7"/>
    </row>
    <row r="186" spans="1:9">
      <c r="A186" s="8"/>
      <c r="B186" s="8"/>
      <c r="C186" s="8"/>
      <c r="D186" s="8"/>
      <c r="E186" s="8"/>
      <c r="F186" s="8"/>
      <c r="G186" s="8"/>
      <c r="H186" s="8"/>
      <c r="I186" s="7"/>
    </row>
    <row r="187" spans="1:9">
      <c r="A187" s="8"/>
      <c r="B187" s="8"/>
      <c r="C187" s="8"/>
      <c r="D187" s="8"/>
      <c r="E187" s="8"/>
      <c r="F187" s="8"/>
      <c r="G187" s="8"/>
      <c r="H187" s="8"/>
      <c r="I187" s="7"/>
    </row>
    <row r="188" spans="1:9">
      <c r="A188" s="8"/>
      <c r="B188" s="8"/>
      <c r="C188" s="8"/>
      <c r="D188" s="8"/>
      <c r="E188" s="8"/>
      <c r="F188" s="8"/>
      <c r="G188" s="8"/>
      <c r="H188" s="8"/>
      <c r="I188" s="7"/>
    </row>
    <row r="189" spans="1:9">
      <c r="A189" s="8"/>
      <c r="B189" s="8"/>
      <c r="C189" s="8"/>
      <c r="D189" s="8"/>
      <c r="E189" s="8"/>
      <c r="F189" s="8"/>
      <c r="G189" s="8"/>
      <c r="H189" s="8"/>
      <c r="I189" s="7"/>
    </row>
    <row r="190" spans="1:9">
      <c r="A190" s="8"/>
      <c r="B190" s="8"/>
      <c r="C190" s="8"/>
      <c r="D190" s="8"/>
      <c r="E190" s="8"/>
      <c r="F190" s="8"/>
      <c r="G190" s="8"/>
      <c r="H190" s="8"/>
      <c r="I190" s="7"/>
    </row>
    <row r="191" spans="1:9">
      <c r="A191" s="8"/>
      <c r="B191" s="8"/>
      <c r="C191" s="8"/>
      <c r="D191" s="8"/>
      <c r="E191" s="8"/>
      <c r="F191" s="8"/>
      <c r="G191" s="8"/>
      <c r="H191" s="8"/>
      <c r="I191" s="7"/>
    </row>
    <row r="192" spans="1:9">
      <c r="A192" s="8"/>
      <c r="B192" s="8"/>
      <c r="C192" s="8"/>
      <c r="D192" s="8"/>
      <c r="E192" s="8"/>
      <c r="F192" s="8"/>
      <c r="G192" s="8"/>
      <c r="H192" s="8"/>
      <c r="I192" s="7"/>
    </row>
    <row r="193" spans="1:9">
      <c r="A193" s="8"/>
      <c r="B193" s="8"/>
      <c r="C193" s="8"/>
      <c r="D193" s="8"/>
      <c r="E193" s="8"/>
      <c r="F193" s="8"/>
      <c r="G193" s="8"/>
      <c r="H193" s="8"/>
      <c r="I193" s="7"/>
    </row>
    <row r="194" spans="1:9">
      <c r="A194" s="8"/>
      <c r="B194" s="8"/>
      <c r="C194" s="8"/>
      <c r="D194" s="8"/>
      <c r="E194" s="8"/>
      <c r="F194" s="8"/>
      <c r="G194" s="8"/>
      <c r="H194" s="8"/>
      <c r="I194" s="7"/>
    </row>
    <row r="195" spans="1:9">
      <c r="A195" s="8"/>
      <c r="B195" s="8"/>
      <c r="C195" s="8"/>
      <c r="D195" s="8"/>
      <c r="E195" s="8"/>
      <c r="F195" s="8"/>
      <c r="G195" s="8"/>
      <c r="H195" s="8"/>
      <c r="I195" s="7"/>
    </row>
    <row r="196" spans="1:9">
      <c r="A196" s="8"/>
      <c r="B196" s="8"/>
      <c r="C196" s="8"/>
      <c r="D196" s="8"/>
      <c r="E196" s="8"/>
      <c r="F196" s="8"/>
      <c r="G196" s="8"/>
      <c r="H196" s="8"/>
      <c r="I196" s="7"/>
    </row>
    <row r="197" spans="1:9">
      <c r="A197" s="8"/>
      <c r="B197" s="8"/>
      <c r="C197" s="8"/>
      <c r="D197" s="8"/>
      <c r="E197" s="8"/>
      <c r="F197" s="8"/>
      <c r="G197" s="8"/>
      <c r="H197" s="8"/>
      <c r="I197" s="7"/>
    </row>
    <row r="198" spans="1:9">
      <c r="A198" s="8"/>
      <c r="B198" s="8"/>
      <c r="C198" s="8"/>
      <c r="D198" s="8"/>
      <c r="E198" s="8"/>
      <c r="F198" s="8"/>
      <c r="G198" s="8"/>
      <c r="H198" s="8"/>
      <c r="I198" s="7"/>
    </row>
    <row r="199" spans="1:9">
      <c r="A199" s="8"/>
      <c r="B199" s="8"/>
      <c r="C199" s="8"/>
      <c r="D199" s="8"/>
      <c r="E199" s="8"/>
      <c r="F199" s="8"/>
      <c r="G199" s="8"/>
      <c r="H199" s="8"/>
      <c r="I199" s="7"/>
    </row>
    <row r="200" spans="1:9">
      <c r="A200" s="8"/>
      <c r="B200" s="8"/>
      <c r="C200" s="8"/>
      <c r="D200" s="8"/>
      <c r="E200" s="8"/>
      <c r="F200" s="8"/>
      <c r="G200" s="8"/>
      <c r="H200" s="8"/>
      <c r="I200" s="7"/>
    </row>
    <row r="201" spans="1:9">
      <c r="A201" s="8"/>
      <c r="B201" s="8"/>
      <c r="C201" s="8"/>
      <c r="D201" s="8"/>
      <c r="E201" s="8"/>
      <c r="F201" s="8"/>
      <c r="G201" s="8"/>
      <c r="H201" s="8"/>
      <c r="I201" s="7"/>
    </row>
    <row r="202" spans="1:9">
      <c r="A202" s="8"/>
      <c r="B202" s="8"/>
      <c r="C202" s="8"/>
      <c r="D202" s="8"/>
      <c r="E202" s="8"/>
      <c r="F202" s="8"/>
      <c r="G202" s="8"/>
      <c r="H202" s="8"/>
      <c r="I202" s="7"/>
    </row>
    <row r="203" spans="1:9">
      <c r="A203" s="8"/>
      <c r="B203" s="8"/>
      <c r="C203" s="8"/>
      <c r="D203" s="8"/>
      <c r="E203" s="8"/>
      <c r="F203" s="8"/>
      <c r="G203" s="8"/>
      <c r="H203" s="8"/>
      <c r="I203" s="7"/>
    </row>
    <row r="204" spans="1:9">
      <c r="A204" s="8"/>
      <c r="B204" s="8"/>
      <c r="C204" s="8"/>
      <c r="D204" s="8"/>
      <c r="E204" s="8"/>
      <c r="F204" s="8"/>
      <c r="G204" s="8"/>
      <c r="H204" s="8"/>
      <c r="I204" s="7"/>
    </row>
    <row r="205" spans="1:9">
      <c r="A205" s="8"/>
      <c r="B205" s="8"/>
      <c r="C205" s="8"/>
      <c r="D205" s="8"/>
      <c r="E205" s="8"/>
      <c r="F205" s="8"/>
      <c r="G205" s="8"/>
      <c r="H205" s="8"/>
      <c r="I205" s="7"/>
    </row>
    <row r="206" spans="1:9">
      <c r="A206" s="8"/>
      <c r="B206" s="8"/>
      <c r="C206" s="8"/>
      <c r="D206" s="8"/>
      <c r="E206" s="8"/>
      <c r="F206" s="8"/>
      <c r="G206" s="8"/>
      <c r="H206" s="8"/>
      <c r="I206" s="7"/>
    </row>
    <row r="207" spans="1:9">
      <c r="A207" s="8"/>
      <c r="B207" s="8"/>
      <c r="C207" s="8"/>
      <c r="D207" s="8"/>
      <c r="E207" s="8"/>
      <c r="F207" s="8"/>
      <c r="G207" s="8"/>
      <c r="H207" s="8"/>
      <c r="I207" s="7"/>
    </row>
    <row r="208" spans="1:9">
      <c r="A208" s="8"/>
      <c r="B208" s="8"/>
      <c r="C208" s="8"/>
      <c r="D208" s="8"/>
      <c r="E208" s="8"/>
      <c r="F208" s="8"/>
      <c r="G208" s="8"/>
      <c r="H208" s="8"/>
      <c r="I208" s="7"/>
    </row>
    <row r="209" spans="1:9">
      <c r="A209" s="8"/>
      <c r="B209" s="8"/>
      <c r="C209" s="8"/>
      <c r="D209" s="8"/>
      <c r="E209" s="8"/>
      <c r="F209" s="8"/>
      <c r="G209" s="8"/>
      <c r="H209" s="8"/>
      <c r="I209" s="7"/>
    </row>
    <row r="210" spans="1:9">
      <c r="A210" s="8"/>
      <c r="B210" s="8"/>
      <c r="C210" s="8"/>
      <c r="D210" s="8"/>
      <c r="E210" s="8"/>
      <c r="F210" s="8"/>
      <c r="G210" s="8"/>
      <c r="H210" s="8"/>
      <c r="I210" s="7"/>
    </row>
    <row r="211" spans="1:9">
      <c r="A211" s="8"/>
      <c r="B211" s="8"/>
      <c r="C211" s="8"/>
      <c r="D211" s="8"/>
      <c r="E211" s="8"/>
      <c r="F211" s="8"/>
      <c r="G211" s="8"/>
      <c r="H211" s="8"/>
      <c r="I211" s="7"/>
    </row>
    <row r="212" spans="1:9">
      <c r="A212" s="8"/>
      <c r="B212" s="8"/>
      <c r="C212" s="8"/>
      <c r="D212" s="8"/>
      <c r="E212" s="8"/>
      <c r="F212" s="8"/>
      <c r="G212" s="8"/>
      <c r="H212" s="8"/>
      <c r="I212" s="7"/>
    </row>
    <row r="213" spans="1:9">
      <c r="A213" s="8"/>
      <c r="B213" s="8"/>
      <c r="C213" s="8"/>
      <c r="D213" s="8"/>
      <c r="E213" s="8"/>
      <c r="F213" s="8"/>
      <c r="G213" s="8"/>
      <c r="H213" s="8"/>
      <c r="I213" s="7"/>
    </row>
    <row r="214" spans="1:9">
      <c r="A214" s="8"/>
      <c r="B214" s="8"/>
      <c r="C214" s="8"/>
      <c r="D214" s="8"/>
      <c r="E214" s="8"/>
      <c r="F214" s="8"/>
      <c r="G214" s="8"/>
      <c r="H214" s="8"/>
      <c r="I214" s="7"/>
    </row>
    <row r="215" spans="1:9">
      <c r="A215" s="8"/>
      <c r="B215" s="8"/>
      <c r="C215" s="8"/>
      <c r="D215" s="8"/>
      <c r="E215" s="8"/>
      <c r="F215" s="8"/>
      <c r="G215" s="8"/>
      <c r="H215" s="8"/>
      <c r="I215" s="7"/>
    </row>
    <row r="216" spans="1:9">
      <c r="A216" s="8"/>
      <c r="B216" s="8"/>
      <c r="C216" s="8"/>
      <c r="D216" s="8"/>
      <c r="E216" s="8"/>
      <c r="F216" s="8"/>
      <c r="G216" s="8"/>
      <c r="H216" s="8"/>
      <c r="I216" s="7"/>
    </row>
    <row r="217" spans="1:9">
      <c r="A217" s="8"/>
      <c r="B217" s="8"/>
      <c r="C217" s="8"/>
      <c r="D217" s="8"/>
      <c r="E217" s="8"/>
      <c r="F217" s="8"/>
      <c r="G217" s="8"/>
      <c r="H217" s="8"/>
      <c r="I217" s="7"/>
    </row>
    <row r="218" spans="1:9">
      <c r="A218" s="8"/>
      <c r="B218" s="8"/>
      <c r="C218" s="8"/>
      <c r="D218" s="8"/>
      <c r="E218" s="8"/>
      <c r="F218" s="8"/>
      <c r="G218" s="8"/>
      <c r="H218" s="8"/>
      <c r="I218" s="7"/>
    </row>
    <row r="219" spans="1:9">
      <c r="A219" s="8"/>
      <c r="B219" s="8"/>
      <c r="C219" s="8"/>
      <c r="D219" s="8"/>
      <c r="E219" s="8"/>
      <c r="F219" s="8"/>
      <c r="G219" s="8"/>
      <c r="H219" s="8"/>
      <c r="I219" s="7"/>
    </row>
    <row r="220" spans="1:9">
      <c r="A220" s="8"/>
      <c r="B220" s="8"/>
      <c r="C220" s="8"/>
      <c r="D220" s="8"/>
      <c r="E220" s="8"/>
      <c r="F220" s="8"/>
      <c r="G220" s="8"/>
      <c r="H220" s="8"/>
      <c r="I220" s="7"/>
    </row>
    <row r="221" spans="1:9">
      <c r="A221" s="8"/>
      <c r="B221" s="8"/>
      <c r="C221" s="8"/>
      <c r="D221" s="8"/>
      <c r="E221" s="8"/>
      <c r="F221" s="8"/>
      <c r="G221" s="8"/>
      <c r="H221" s="8"/>
      <c r="I221" s="7"/>
    </row>
    <row r="222" spans="1:9">
      <c r="A222" s="8"/>
      <c r="B222" s="8"/>
      <c r="C222" s="8"/>
      <c r="D222" s="8"/>
      <c r="E222" s="8"/>
      <c r="F222" s="8"/>
      <c r="G222" s="8"/>
      <c r="H222" s="8"/>
      <c r="I222" s="7"/>
    </row>
    <row r="223" spans="1:9">
      <c r="A223" s="8"/>
      <c r="B223" s="8"/>
      <c r="C223" s="8"/>
      <c r="D223" s="8"/>
      <c r="E223" s="8"/>
      <c r="F223" s="8"/>
      <c r="G223" s="8"/>
      <c r="H223" s="8"/>
      <c r="I223" s="7"/>
    </row>
    <row r="224" spans="1:9">
      <c r="A224" s="8"/>
      <c r="B224" s="8"/>
      <c r="C224" s="8"/>
      <c r="D224" s="8"/>
      <c r="E224" s="8"/>
      <c r="F224" s="8"/>
      <c r="G224" s="8"/>
      <c r="H224" s="8"/>
      <c r="I224" s="7"/>
    </row>
    <row r="225" spans="1:9">
      <c r="A225" s="8"/>
      <c r="B225" s="8"/>
      <c r="C225" s="8"/>
      <c r="D225" s="8"/>
      <c r="E225" s="8"/>
      <c r="F225" s="8"/>
      <c r="G225" s="8"/>
      <c r="H225" s="8"/>
      <c r="I225" s="7"/>
    </row>
    <row r="226" spans="1:9">
      <c r="A226" s="8"/>
      <c r="B226" s="8"/>
      <c r="C226" s="8"/>
      <c r="D226" s="8"/>
      <c r="E226" s="8"/>
      <c r="F226" s="8"/>
      <c r="G226" s="8"/>
      <c r="H226" s="8"/>
      <c r="I226" s="7"/>
    </row>
    <row r="227" spans="1:9">
      <c r="A227" s="8"/>
      <c r="B227" s="8"/>
      <c r="C227" s="8"/>
      <c r="D227" s="8"/>
      <c r="E227" s="8"/>
      <c r="F227" s="8"/>
      <c r="G227" s="8"/>
      <c r="H227" s="8"/>
      <c r="I227" s="7"/>
    </row>
    <row r="228" spans="1:9">
      <c r="A228" s="8"/>
      <c r="B228" s="8"/>
      <c r="C228" s="8"/>
      <c r="D228" s="8"/>
      <c r="E228" s="8"/>
      <c r="F228" s="8"/>
      <c r="G228" s="8"/>
      <c r="H228" s="8"/>
      <c r="I228" s="7"/>
    </row>
    <row r="229" spans="1:9">
      <c r="A229" s="8"/>
      <c r="B229" s="8"/>
      <c r="C229" s="8"/>
      <c r="D229" s="8"/>
      <c r="E229" s="8"/>
      <c r="F229" s="8"/>
      <c r="G229" s="8"/>
      <c r="H229" s="8"/>
      <c r="I229" s="7"/>
    </row>
    <row r="230" spans="1:9">
      <c r="A230" s="8"/>
      <c r="B230" s="8"/>
      <c r="C230" s="8"/>
      <c r="D230" s="8"/>
      <c r="E230" s="8"/>
      <c r="F230" s="8"/>
      <c r="G230" s="8"/>
      <c r="H230" s="8"/>
      <c r="I230" s="7"/>
    </row>
    <row r="231" spans="1:9">
      <c r="A231" s="8"/>
      <c r="B231" s="8"/>
      <c r="C231" s="8"/>
      <c r="D231" s="8"/>
      <c r="E231" s="8"/>
      <c r="F231" s="8"/>
      <c r="G231" s="8"/>
      <c r="H231" s="8"/>
      <c r="I231" s="7"/>
    </row>
    <row r="232" spans="1:9">
      <c r="A232" s="8"/>
      <c r="B232" s="8"/>
      <c r="C232" s="8"/>
      <c r="D232" s="8"/>
      <c r="E232" s="8"/>
      <c r="F232" s="8"/>
      <c r="G232" s="8"/>
      <c r="H232" s="8"/>
      <c r="I232" s="7"/>
    </row>
    <row r="233" spans="1:9">
      <c r="A233" s="8"/>
      <c r="B233" s="8"/>
      <c r="C233" s="8"/>
      <c r="D233" s="8"/>
      <c r="E233" s="8"/>
      <c r="F233" s="8"/>
      <c r="G233" s="8"/>
      <c r="H233" s="8"/>
      <c r="I233" s="7"/>
    </row>
    <row r="234" spans="1:9">
      <c r="A234" s="8"/>
      <c r="B234" s="8"/>
      <c r="C234" s="8"/>
      <c r="D234" s="8"/>
      <c r="E234" s="8"/>
      <c r="F234" s="8"/>
      <c r="G234" s="8"/>
      <c r="H234" s="8"/>
      <c r="I234" s="7"/>
    </row>
    <row r="235" spans="1:9">
      <c r="A235" s="8"/>
      <c r="B235" s="8"/>
      <c r="C235" s="8"/>
      <c r="D235" s="8"/>
      <c r="E235" s="8"/>
      <c r="F235" s="8"/>
      <c r="G235" s="8"/>
      <c r="H235" s="8"/>
      <c r="I235" s="7"/>
    </row>
    <row r="236" spans="1:9">
      <c r="A236" s="8"/>
      <c r="B236" s="8"/>
      <c r="C236" s="8"/>
      <c r="D236" s="8"/>
      <c r="E236" s="8"/>
      <c r="F236" s="8"/>
      <c r="G236" s="8"/>
      <c r="H236" s="8"/>
      <c r="I236" s="7"/>
    </row>
    <row r="237" spans="1:9">
      <c r="A237" s="8"/>
      <c r="B237" s="8"/>
      <c r="C237" s="8"/>
      <c r="D237" s="8"/>
      <c r="E237" s="8"/>
      <c r="F237" s="8"/>
      <c r="G237" s="8"/>
      <c r="H237" s="8"/>
      <c r="I237" s="7"/>
    </row>
    <row r="238" spans="1:9">
      <c r="A238" s="8"/>
      <c r="B238" s="8"/>
      <c r="C238" s="8"/>
      <c r="D238" s="8"/>
      <c r="E238" s="8"/>
      <c r="F238" s="8"/>
      <c r="G238" s="8"/>
      <c r="H238" s="8"/>
      <c r="I238" s="7"/>
    </row>
    <row r="239" spans="1:9">
      <c r="A239" s="8"/>
      <c r="B239" s="8"/>
      <c r="C239" s="8"/>
      <c r="D239" s="8"/>
      <c r="E239" s="8"/>
      <c r="F239" s="8"/>
      <c r="G239" s="8"/>
      <c r="H239" s="8"/>
      <c r="I239" s="7"/>
    </row>
    <row r="240" spans="1:9">
      <c r="A240" s="8"/>
      <c r="B240" s="8"/>
      <c r="C240" s="8"/>
      <c r="D240" s="8"/>
      <c r="E240" s="8"/>
      <c r="F240" s="8"/>
      <c r="G240" s="8"/>
      <c r="H240" s="8"/>
      <c r="I240" s="7"/>
    </row>
    <row r="241" spans="1:9">
      <c r="A241" s="8"/>
      <c r="B241" s="8"/>
      <c r="C241" s="8"/>
      <c r="D241" s="8"/>
      <c r="E241" s="8"/>
      <c r="F241" s="8"/>
      <c r="G241" s="8"/>
      <c r="H241" s="8"/>
      <c r="I241" s="7"/>
    </row>
    <row r="242" spans="1:9">
      <c r="A242" s="8"/>
      <c r="B242" s="8"/>
      <c r="C242" s="8"/>
      <c r="D242" s="8"/>
      <c r="E242" s="8"/>
      <c r="F242" s="8"/>
      <c r="G242" s="8"/>
      <c r="H242" s="8"/>
      <c r="I242" s="7"/>
    </row>
    <row r="243" spans="1:9">
      <c r="A243" s="8"/>
      <c r="B243" s="8"/>
      <c r="C243" s="8"/>
      <c r="D243" s="8"/>
      <c r="E243" s="8"/>
      <c r="F243" s="8"/>
      <c r="G243" s="8"/>
      <c r="H243" s="8"/>
      <c r="I243" s="7"/>
    </row>
    <row r="244" spans="1:9">
      <c r="A244" s="8"/>
      <c r="B244" s="8"/>
      <c r="C244" s="8"/>
      <c r="D244" s="8"/>
      <c r="E244" s="8"/>
      <c r="F244" s="8"/>
      <c r="G244" s="8"/>
      <c r="H244" s="8"/>
      <c r="I244" s="7"/>
    </row>
    <row r="245" spans="1:9">
      <c r="A245" s="8"/>
      <c r="B245" s="8"/>
      <c r="C245" s="8"/>
      <c r="D245" s="8"/>
      <c r="E245" s="8"/>
      <c r="F245" s="8"/>
      <c r="G245" s="8"/>
      <c r="H245" s="8"/>
      <c r="I245" s="7"/>
    </row>
    <row r="246" spans="1:9">
      <c r="A246" s="8"/>
      <c r="B246" s="8"/>
      <c r="C246" s="8"/>
      <c r="D246" s="8"/>
      <c r="E246" s="8"/>
      <c r="F246" s="8"/>
      <c r="G246" s="8"/>
      <c r="H246" s="8"/>
      <c r="I246" s="7"/>
    </row>
    <row r="247" spans="1:9">
      <c r="A247" s="8"/>
      <c r="B247" s="8"/>
      <c r="C247" s="8"/>
      <c r="D247" s="8"/>
      <c r="E247" s="8"/>
      <c r="F247" s="8"/>
      <c r="G247" s="8"/>
      <c r="H247" s="8"/>
      <c r="I247" s="7"/>
    </row>
    <row r="248" spans="1:9">
      <c r="A248" s="8"/>
      <c r="B248" s="8"/>
      <c r="C248" s="8"/>
      <c r="D248" s="8"/>
      <c r="E248" s="8"/>
      <c r="F248" s="8"/>
      <c r="G248" s="8"/>
      <c r="H248" s="8"/>
      <c r="I248" s="7"/>
    </row>
    <row r="249" spans="1:9">
      <c r="A249" s="8"/>
      <c r="B249" s="8"/>
      <c r="C249" s="8"/>
      <c r="D249" s="8"/>
      <c r="E249" s="8"/>
      <c r="F249" s="8"/>
      <c r="G249" s="8"/>
      <c r="H249" s="8"/>
      <c r="I249" s="7"/>
    </row>
    <row r="250" spans="1:9">
      <c r="A250" s="8"/>
      <c r="B250" s="8"/>
      <c r="C250" s="8"/>
      <c r="D250" s="8"/>
      <c r="E250" s="8"/>
      <c r="F250" s="8"/>
      <c r="G250" s="8"/>
      <c r="H250" s="8"/>
      <c r="I250" s="7"/>
    </row>
    <row r="251" spans="1:9">
      <c r="A251" s="8"/>
      <c r="B251" s="8"/>
      <c r="C251" s="8"/>
      <c r="D251" s="8"/>
      <c r="E251" s="8"/>
      <c r="F251" s="8"/>
      <c r="G251" s="8"/>
      <c r="H251" s="8"/>
      <c r="I251" s="7"/>
    </row>
    <row r="252" spans="1:9">
      <c r="A252" s="8"/>
      <c r="B252" s="8"/>
      <c r="C252" s="8"/>
      <c r="D252" s="8"/>
      <c r="E252" s="8"/>
      <c r="F252" s="8"/>
      <c r="G252" s="8"/>
      <c r="H252" s="8"/>
      <c r="I252" s="7"/>
    </row>
    <row r="253" spans="1:9">
      <c r="A253" s="8"/>
      <c r="B253" s="8"/>
      <c r="C253" s="8"/>
      <c r="D253" s="8"/>
      <c r="E253" s="8"/>
      <c r="F253" s="8"/>
      <c r="G253" s="8"/>
      <c r="H253" s="8"/>
      <c r="I253" s="7"/>
    </row>
    <row r="254" spans="1:9">
      <c r="A254" s="8"/>
      <c r="B254" s="8"/>
      <c r="C254" s="8"/>
      <c r="D254" s="8"/>
      <c r="E254" s="8"/>
      <c r="F254" s="8"/>
      <c r="G254" s="8"/>
      <c r="H254" s="8"/>
      <c r="I254" s="7"/>
    </row>
    <row r="255" spans="1:9">
      <c r="A255" s="8"/>
      <c r="B255" s="8"/>
      <c r="C255" s="8"/>
      <c r="D255" s="8"/>
      <c r="E255" s="8"/>
      <c r="F255" s="8"/>
      <c r="G255" s="8"/>
      <c r="H255" s="8"/>
      <c r="I255" s="7"/>
    </row>
    <row r="256" spans="1:9">
      <c r="A256" s="8"/>
      <c r="B256" s="8"/>
      <c r="C256" s="8"/>
      <c r="D256" s="8"/>
      <c r="E256" s="8"/>
      <c r="F256" s="8"/>
      <c r="G256" s="8"/>
      <c r="H256" s="8"/>
      <c r="I256" s="7"/>
    </row>
    <row r="257" spans="1:9">
      <c r="A257" s="8"/>
      <c r="B257" s="8"/>
      <c r="C257" s="8"/>
      <c r="D257" s="8"/>
      <c r="E257" s="8"/>
      <c r="F257" s="8"/>
      <c r="G257" s="8"/>
      <c r="H257" s="8"/>
      <c r="I257" s="7"/>
    </row>
    <row r="258" spans="1:9">
      <c r="A258" s="8"/>
      <c r="B258" s="8"/>
      <c r="C258" s="8"/>
      <c r="D258" s="8"/>
      <c r="E258" s="8"/>
      <c r="F258" s="8"/>
      <c r="G258" s="8"/>
      <c r="H258" s="8"/>
      <c r="I258" s="7"/>
    </row>
    <row r="259" spans="1:9">
      <c r="A259" s="8"/>
      <c r="B259" s="8"/>
      <c r="C259" s="8"/>
      <c r="D259" s="8"/>
      <c r="E259" s="8"/>
      <c r="F259" s="8"/>
      <c r="G259" s="8"/>
      <c r="H259" s="8"/>
      <c r="I259" s="7"/>
    </row>
    <row r="260" spans="1:9">
      <c r="A260" s="8"/>
      <c r="B260" s="8"/>
      <c r="C260" s="8"/>
      <c r="D260" s="8"/>
      <c r="E260" s="8"/>
      <c r="F260" s="8"/>
      <c r="G260" s="8"/>
      <c r="H260" s="8"/>
      <c r="I260" s="7"/>
    </row>
    <row r="261" spans="1:9">
      <c r="A261" s="8"/>
      <c r="B261" s="8"/>
      <c r="C261" s="8"/>
      <c r="D261" s="8"/>
      <c r="E261" s="8"/>
      <c r="F261" s="8"/>
      <c r="G261" s="8"/>
      <c r="H261" s="8"/>
      <c r="I261" s="7"/>
    </row>
    <row r="262" spans="1:9">
      <c r="A262" s="8"/>
      <c r="B262" s="8"/>
      <c r="C262" s="8"/>
      <c r="D262" s="8"/>
      <c r="E262" s="8"/>
      <c r="F262" s="8"/>
      <c r="G262" s="8"/>
      <c r="H262" s="8"/>
      <c r="I262" s="7"/>
    </row>
    <row r="263" spans="1:9">
      <c r="A263" s="8"/>
      <c r="B263" s="8"/>
      <c r="C263" s="8"/>
      <c r="D263" s="8"/>
      <c r="E263" s="8"/>
      <c r="F263" s="8"/>
      <c r="G263" s="8"/>
      <c r="H263" s="8"/>
      <c r="I263" s="7"/>
    </row>
    <row r="264" spans="1:9">
      <c r="A264" s="8"/>
      <c r="B264" s="8"/>
      <c r="C264" s="8"/>
      <c r="D264" s="8"/>
      <c r="E264" s="8"/>
      <c r="F264" s="8"/>
      <c r="G264" s="8"/>
      <c r="H264" s="8"/>
      <c r="I264" s="7"/>
    </row>
    <row r="265" spans="1:9">
      <c r="A265" s="8"/>
      <c r="B265" s="8"/>
      <c r="C265" s="8"/>
      <c r="D265" s="8"/>
      <c r="E265" s="8"/>
      <c r="F265" s="8"/>
      <c r="G265" s="8"/>
      <c r="H265" s="8"/>
      <c r="I265" s="7"/>
    </row>
    <row r="266" spans="1:9">
      <c r="A266" s="8"/>
      <c r="B266" s="8"/>
      <c r="C266" s="8"/>
      <c r="D266" s="8"/>
      <c r="E266" s="8"/>
      <c r="F266" s="8"/>
      <c r="G266" s="8"/>
      <c r="H266" s="8"/>
      <c r="I266" s="7"/>
    </row>
    <row r="267" spans="1:9">
      <c r="A267" s="8"/>
      <c r="B267" s="8"/>
      <c r="C267" s="8"/>
      <c r="D267" s="8"/>
      <c r="E267" s="8"/>
      <c r="F267" s="8"/>
      <c r="G267" s="8"/>
      <c r="H267" s="8"/>
      <c r="I267" s="7"/>
    </row>
    <row r="268" spans="1:9">
      <c r="A268" s="8"/>
      <c r="B268" s="8"/>
      <c r="C268" s="8"/>
      <c r="D268" s="8"/>
      <c r="E268" s="8"/>
      <c r="F268" s="8"/>
      <c r="G268" s="8"/>
      <c r="H268" s="8"/>
      <c r="I268" s="7"/>
    </row>
    <row r="269" spans="1:9">
      <c r="A269" s="8"/>
      <c r="B269" s="8"/>
      <c r="C269" s="8"/>
      <c r="D269" s="8"/>
      <c r="E269" s="8"/>
      <c r="F269" s="8"/>
      <c r="G269" s="8"/>
      <c r="H269" s="8"/>
      <c r="I269" s="7"/>
    </row>
    <row r="270" spans="1:9">
      <c r="A270" s="8"/>
      <c r="B270" s="8"/>
      <c r="C270" s="8"/>
      <c r="D270" s="8"/>
      <c r="E270" s="8"/>
      <c r="F270" s="8"/>
      <c r="G270" s="8"/>
      <c r="H270" s="8"/>
      <c r="I270" s="7"/>
    </row>
    <row r="271" spans="1:9">
      <c r="A271" s="8"/>
      <c r="B271" s="8"/>
      <c r="C271" s="8"/>
      <c r="D271" s="8"/>
      <c r="E271" s="8"/>
      <c r="F271" s="8"/>
      <c r="G271" s="8"/>
      <c r="H271" s="8"/>
      <c r="I271" s="7"/>
    </row>
    <row r="272" spans="1:9">
      <c r="A272" s="8"/>
      <c r="B272" s="8"/>
      <c r="C272" s="8"/>
      <c r="D272" s="8"/>
      <c r="E272" s="8"/>
      <c r="F272" s="8"/>
      <c r="G272" s="8"/>
      <c r="H272" s="8"/>
      <c r="I272" s="7"/>
    </row>
    <row r="273" spans="1:9">
      <c r="A273" s="8"/>
      <c r="B273" s="8"/>
      <c r="C273" s="8"/>
      <c r="D273" s="8"/>
      <c r="E273" s="8"/>
      <c r="F273" s="8"/>
      <c r="G273" s="8"/>
      <c r="H273" s="8"/>
      <c r="I273" s="7"/>
    </row>
    <row r="274" spans="1:9">
      <c r="A274" s="8"/>
      <c r="B274" s="8"/>
      <c r="C274" s="8"/>
      <c r="D274" s="8"/>
      <c r="E274" s="8"/>
      <c r="F274" s="8"/>
      <c r="G274" s="8"/>
      <c r="H274" s="8"/>
      <c r="I274" s="7"/>
    </row>
    <row r="275" spans="1:9">
      <c r="A275" s="8"/>
      <c r="B275" s="8"/>
      <c r="C275" s="8"/>
      <c r="D275" s="8"/>
      <c r="E275" s="8"/>
      <c r="F275" s="8"/>
      <c r="G275" s="8"/>
      <c r="H275" s="8"/>
      <c r="I275" s="7"/>
    </row>
    <row r="276" spans="1:9">
      <c r="A276" s="8"/>
      <c r="B276" s="8"/>
      <c r="C276" s="8"/>
      <c r="D276" s="8"/>
      <c r="E276" s="8"/>
      <c r="F276" s="8"/>
      <c r="G276" s="8"/>
      <c r="H276" s="8"/>
      <c r="I276" s="7"/>
    </row>
    <row r="277" spans="1:9">
      <c r="A277" s="8"/>
      <c r="B277" s="8"/>
      <c r="C277" s="8"/>
      <c r="D277" s="8"/>
      <c r="E277" s="8"/>
      <c r="F277" s="8"/>
      <c r="G277" s="8"/>
      <c r="H277" s="8"/>
      <c r="I277" s="7"/>
    </row>
    <row r="278" spans="1:9">
      <c r="A278" s="8"/>
      <c r="B278" s="8"/>
      <c r="C278" s="8"/>
      <c r="D278" s="8"/>
      <c r="E278" s="8"/>
      <c r="F278" s="8"/>
      <c r="G278" s="8"/>
      <c r="H278" s="8"/>
      <c r="I278" s="7"/>
    </row>
    <row r="279" spans="1:9">
      <c r="A279" s="8"/>
      <c r="B279" s="8"/>
      <c r="C279" s="8"/>
      <c r="D279" s="8"/>
      <c r="E279" s="8"/>
      <c r="F279" s="8"/>
      <c r="G279" s="8"/>
      <c r="H279" s="8"/>
      <c r="I279" s="7"/>
    </row>
    <row r="280" spans="1:9">
      <c r="A280" s="8"/>
      <c r="B280" s="8"/>
      <c r="C280" s="8"/>
      <c r="D280" s="8"/>
      <c r="E280" s="8"/>
      <c r="F280" s="8"/>
      <c r="G280" s="8"/>
      <c r="H280" s="8"/>
      <c r="I280" s="7"/>
    </row>
    <row r="281" spans="1:9">
      <c r="A281" s="8"/>
      <c r="B281" s="8"/>
      <c r="C281" s="8"/>
      <c r="D281" s="8"/>
      <c r="E281" s="8"/>
      <c r="F281" s="8"/>
      <c r="G281" s="8"/>
      <c r="H281" s="8"/>
      <c r="I281" s="7"/>
    </row>
    <row r="282" spans="1:9">
      <c r="A282" s="8"/>
      <c r="B282" s="8"/>
      <c r="C282" s="8"/>
      <c r="D282" s="8"/>
      <c r="E282" s="8"/>
      <c r="F282" s="8"/>
      <c r="G282" s="8"/>
      <c r="H282" s="8"/>
      <c r="I282" s="7"/>
    </row>
    <row r="283" spans="1:9">
      <c r="A283" s="8"/>
      <c r="B283" s="8"/>
      <c r="C283" s="8"/>
      <c r="D283" s="8"/>
      <c r="E283" s="8"/>
      <c r="F283" s="8"/>
      <c r="G283" s="8"/>
      <c r="H283" s="8"/>
      <c r="I283" s="7"/>
    </row>
    <row r="284" spans="1:9">
      <c r="A284" s="8"/>
      <c r="B284" s="8"/>
      <c r="C284" s="8"/>
      <c r="D284" s="8"/>
      <c r="E284" s="8"/>
      <c r="F284" s="8"/>
      <c r="G284" s="8"/>
      <c r="H284" s="8"/>
      <c r="I284" s="7"/>
    </row>
    <row r="285" spans="1:9">
      <c r="A285" s="8"/>
      <c r="B285" s="8"/>
      <c r="C285" s="8"/>
      <c r="D285" s="8"/>
      <c r="E285" s="8"/>
      <c r="F285" s="8"/>
      <c r="G285" s="8"/>
      <c r="H285" s="8"/>
      <c r="I285" s="7"/>
    </row>
    <row r="286" spans="1:9">
      <c r="A286" s="8"/>
      <c r="B286" s="8"/>
      <c r="C286" s="8"/>
      <c r="D286" s="8"/>
      <c r="E286" s="8"/>
      <c r="F286" s="8"/>
      <c r="G286" s="8"/>
      <c r="H286" s="8"/>
      <c r="I286" s="7"/>
    </row>
    <row r="287" spans="1:9">
      <c r="A287" s="8"/>
      <c r="B287" s="8"/>
      <c r="C287" s="8"/>
      <c r="D287" s="8"/>
      <c r="E287" s="8"/>
      <c r="F287" s="8"/>
      <c r="G287" s="8"/>
      <c r="H287" s="8"/>
      <c r="I287" s="7"/>
    </row>
    <row r="288" spans="1:9">
      <c r="A288" s="8"/>
      <c r="B288" s="8"/>
      <c r="C288" s="8"/>
      <c r="D288" s="8"/>
      <c r="E288" s="8"/>
      <c r="F288" s="8"/>
      <c r="G288" s="8"/>
      <c r="H288" s="8"/>
      <c r="I288" s="7"/>
    </row>
    <row r="289" spans="1:9">
      <c r="A289" s="8"/>
      <c r="B289" s="8"/>
      <c r="C289" s="8"/>
      <c r="D289" s="8"/>
      <c r="E289" s="8"/>
      <c r="F289" s="8"/>
      <c r="G289" s="8"/>
      <c r="H289" s="8"/>
      <c r="I289" s="7"/>
    </row>
    <row r="290" spans="1:9">
      <c r="A290" s="8"/>
      <c r="B290" s="8"/>
      <c r="C290" s="8"/>
      <c r="D290" s="8"/>
      <c r="E290" s="8"/>
      <c r="F290" s="8"/>
      <c r="G290" s="8"/>
      <c r="H290" s="8"/>
      <c r="I290" s="7"/>
    </row>
    <row r="291" spans="1:9">
      <c r="A291" s="8"/>
      <c r="B291" s="8"/>
      <c r="C291" s="8"/>
      <c r="D291" s="8"/>
      <c r="E291" s="8"/>
      <c r="F291" s="8"/>
      <c r="G291" s="8"/>
      <c r="H291" s="8"/>
      <c r="I291" s="7"/>
    </row>
    <row r="292" spans="1:9">
      <c r="A292" s="8"/>
      <c r="B292" s="8"/>
      <c r="C292" s="8"/>
      <c r="D292" s="8"/>
      <c r="E292" s="8"/>
      <c r="F292" s="8"/>
      <c r="G292" s="8"/>
      <c r="H292" s="8"/>
      <c r="I292" s="7"/>
    </row>
    <row r="293" spans="1:9">
      <c r="A293" s="8"/>
      <c r="B293" s="8"/>
      <c r="C293" s="8"/>
      <c r="D293" s="8"/>
      <c r="E293" s="8"/>
      <c r="F293" s="8"/>
      <c r="G293" s="8"/>
      <c r="H293" s="8"/>
      <c r="I293" s="7"/>
    </row>
    <row r="294" spans="1:9">
      <c r="A294" s="8"/>
      <c r="B294" s="8"/>
      <c r="C294" s="8"/>
      <c r="D294" s="8"/>
      <c r="E294" s="8"/>
      <c r="F294" s="8"/>
      <c r="G294" s="8"/>
      <c r="H294" s="8"/>
      <c r="I294" s="7"/>
    </row>
    <row r="295" spans="1:9">
      <c r="A295" s="8"/>
      <c r="B295" s="8"/>
      <c r="C295" s="8"/>
      <c r="D295" s="8"/>
      <c r="E295" s="8"/>
      <c r="F295" s="8"/>
      <c r="G295" s="8"/>
      <c r="H295" s="8"/>
      <c r="I295" s="7"/>
    </row>
    <row r="296" spans="1:9">
      <c r="A296" s="8"/>
      <c r="B296" s="8"/>
      <c r="C296" s="8"/>
      <c r="D296" s="8"/>
      <c r="E296" s="8"/>
      <c r="F296" s="8"/>
      <c r="G296" s="8"/>
      <c r="H296" s="8"/>
      <c r="I296" s="7"/>
    </row>
    <row r="297" spans="1:9">
      <c r="A297" s="8"/>
      <c r="B297" s="8"/>
      <c r="C297" s="8"/>
      <c r="D297" s="8"/>
      <c r="E297" s="8"/>
      <c r="F297" s="8"/>
      <c r="G297" s="8"/>
      <c r="H297" s="8"/>
      <c r="I297" s="7"/>
    </row>
    <row r="298" spans="1:9">
      <c r="A298" s="8"/>
      <c r="B298" s="8"/>
      <c r="C298" s="8"/>
      <c r="D298" s="8"/>
      <c r="E298" s="8"/>
      <c r="F298" s="8"/>
      <c r="G298" s="8"/>
      <c r="H298" s="8"/>
      <c r="I298" s="7"/>
    </row>
    <row r="299" spans="1:9">
      <c r="A299" s="8"/>
      <c r="B299" s="8"/>
      <c r="C299" s="8"/>
      <c r="D299" s="8"/>
      <c r="E299" s="8"/>
      <c r="F299" s="8"/>
      <c r="G299" s="8"/>
      <c r="H299" s="8"/>
      <c r="I299" s="7"/>
    </row>
    <row r="300" spans="1:9">
      <c r="A300" s="8"/>
      <c r="B300" s="8"/>
      <c r="C300" s="8"/>
      <c r="D300" s="8"/>
      <c r="E300" s="8"/>
      <c r="F300" s="8"/>
      <c r="G300" s="8"/>
      <c r="H300" s="8"/>
      <c r="I300" s="7"/>
    </row>
    <row r="301" spans="1:9">
      <c r="A301" s="8"/>
      <c r="B301" s="8"/>
      <c r="C301" s="8"/>
      <c r="D301" s="8"/>
      <c r="E301" s="8"/>
      <c r="F301" s="8"/>
      <c r="G301" s="8"/>
      <c r="H301" s="8"/>
      <c r="I301" s="7"/>
    </row>
    <row r="302" spans="1:9">
      <c r="A302" s="8"/>
      <c r="B302" s="8"/>
      <c r="C302" s="8"/>
      <c r="D302" s="8"/>
      <c r="E302" s="8"/>
      <c r="F302" s="8"/>
      <c r="G302" s="8"/>
      <c r="H302" s="8"/>
      <c r="I302" s="7"/>
    </row>
    <row r="303" spans="1:9">
      <c r="A303" s="8"/>
      <c r="B303" s="8"/>
      <c r="C303" s="8"/>
      <c r="D303" s="8"/>
      <c r="E303" s="8"/>
      <c r="F303" s="8"/>
      <c r="G303" s="8"/>
      <c r="H303" s="8"/>
      <c r="I303" s="7"/>
    </row>
    <row r="304" spans="1:9">
      <c r="A304" s="8"/>
      <c r="B304" s="8"/>
      <c r="C304" s="8"/>
      <c r="D304" s="8"/>
      <c r="E304" s="8"/>
      <c r="F304" s="8"/>
      <c r="G304" s="8"/>
      <c r="H304" s="8"/>
      <c r="I304" s="7"/>
    </row>
    <row r="305" spans="1:9">
      <c r="A305" s="8"/>
      <c r="B305" s="8"/>
      <c r="C305" s="8"/>
      <c r="D305" s="8"/>
      <c r="E305" s="8"/>
      <c r="F305" s="8"/>
      <c r="G305" s="8"/>
      <c r="H305" s="8"/>
      <c r="I305" s="7"/>
    </row>
    <row r="306" spans="1:9">
      <c r="A306" s="8"/>
      <c r="B306" s="8"/>
      <c r="C306" s="8"/>
      <c r="D306" s="8"/>
      <c r="E306" s="8"/>
      <c r="F306" s="8"/>
      <c r="G306" s="8"/>
      <c r="H306" s="8"/>
      <c r="I306" s="7"/>
    </row>
    <row r="307" spans="1:9">
      <c r="A307" s="8"/>
      <c r="B307" s="8"/>
      <c r="C307" s="8"/>
      <c r="D307" s="8"/>
      <c r="E307" s="8"/>
      <c r="F307" s="8"/>
      <c r="G307" s="8"/>
      <c r="H307" s="8"/>
      <c r="I307" s="7"/>
    </row>
    <row r="308" spans="1:9">
      <c r="A308" s="8"/>
      <c r="B308" s="8"/>
      <c r="C308" s="8"/>
      <c r="D308" s="8"/>
      <c r="E308" s="8"/>
      <c r="F308" s="8"/>
      <c r="G308" s="8"/>
      <c r="H308" s="8"/>
      <c r="I308" s="7"/>
    </row>
    <row r="309" spans="1:9">
      <c r="A309" s="8"/>
      <c r="B309" s="8"/>
      <c r="C309" s="8"/>
      <c r="D309" s="8"/>
      <c r="E309" s="8"/>
      <c r="F309" s="8"/>
      <c r="G309" s="8"/>
      <c r="H309" s="8"/>
      <c r="I309" s="7"/>
    </row>
    <row r="310" spans="1:9">
      <c r="A310" s="8"/>
      <c r="B310" s="8"/>
      <c r="C310" s="8"/>
      <c r="D310" s="8"/>
      <c r="E310" s="8"/>
      <c r="F310" s="8"/>
      <c r="G310" s="8"/>
      <c r="H310" s="8"/>
      <c r="I310" s="7"/>
    </row>
    <row r="311" spans="1:9">
      <c r="A311" s="8"/>
      <c r="B311" s="8"/>
      <c r="C311" s="8"/>
      <c r="D311" s="8"/>
      <c r="E311" s="8"/>
      <c r="F311" s="8"/>
      <c r="G311" s="8"/>
      <c r="H311" s="8"/>
      <c r="I311" s="7"/>
    </row>
    <row r="312" spans="1:9">
      <c r="A312" s="8"/>
      <c r="B312" s="8"/>
      <c r="C312" s="8"/>
      <c r="D312" s="8"/>
      <c r="E312" s="8"/>
      <c r="F312" s="8"/>
      <c r="G312" s="8"/>
      <c r="H312" s="8"/>
      <c r="I312" s="7"/>
    </row>
    <row r="313" spans="1:9">
      <c r="A313" s="8"/>
      <c r="B313" s="8"/>
      <c r="C313" s="8"/>
      <c r="D313" s="8"/>
      <c r="E313" s="8"/>
      <c r="F313" s="8"/>
      <c r="G313" s="8"/>
      <c r="H313" s="8"/>
      <c r="I313" s="7"/>
    </row>
    <row r="314" spans="1:9">
      <c r="A314" s="8"/>
      <c r="B314" s="8"/>
      <c r="C314" s="8"/>
      <c r="D314" s="8"/>
      <c r="E314" s="8"/>
      <c r="F314" s="8"/>
      <c r="G314" s="8"/>
      <c r="H314" s="8"/>
      <c r="I314" s="7"/>
    </row>
    <row r="315" spans="1:9">
      <c r="A315" s="8"/>
      <c r="B315" s="8"/>
      <c r="C315" s="8"/>
      <c r="D315" s="8"/>
      <c r="E315" s="8"/>
      <c r="F315" s="8"/>
      <c r="G315" s="8"/>
      <c r="H315" s="8"/>
      <c r="I315" s="7"/>
    </row>
    <row r="316" spans="1:9">
      <c r="A316" s="8"/>
      <c r="B316" s="8"/>
      <c r="C316" s="8"/>
      <c r="D316" s="8"/>
      <c r="E316" s="8"/>
      <c r="F316" s="8"/>
      <c r="G316" s="8"/>
      <c r="H316" s="8"/>
      <c r="I316" s="7"/>
    </row>
    <row r="317" spans="1:9">
      <c r="A317" s="8"/>
      <c r="B317" s="8"/>
      <c r="C317" s="8"/>
      <c r="D317" s="8"/>
      <c r="E317" s="8"/>
      <c r="F317" s="8"/>
      <c r="G317" s="8"/>
      <c r="H317" s="8"/>
      <c r="I317" s="7"/>
    </row>
    <row r="318" spans="1:9">
      <c r="A318" s="8"/>
      <c r="B318" s="8"/>
      <c r="C318" s="8"/>
      <c r="D318" s="8"/>
      <c r="E318" s="8"/>
      <c r="F318" s="8"/>
      <c r="G318" s="8"/>
      <c r="H318" s="8"/>
      <c r="I318" s="7"/>
    </row>
    <row r="319" spans="1:9">
      <c r="A319" s="8"/>
      <c r="B319" s="8"/>
      <c r="C319" s="8"/>
      <c r="D319" s="8"/>
      <c r="E319" s="8"/>
      <c r="F319" s="8"/>
      <c r="G319" s="8"/>
      <c r="H319" s="8"/>
      <c r="I319" s="7"/>
    </row>
    <row r="320" spans="1:9">
      <c r="A320" s="8"/>
      <c r="B320" s="8"/>
      <c r="C320" s="8"/>
      <c r="D320" s="8"/>
      <c r="E320" s="8"/>
      <c r="F320" s="8"/>
      <c r="G320" s="8"/>
      <c r="H320" s="8"/>
      <c r="I320" s="7"/>
    </row>
    <row r="321" spans="1:9">
      <c r="A321" s="8"/>
      <c r="B321" s="8"/>
      <c r="C321" s="8"/>
      <c r="D321" s="8"/>
      <c r="E321" s="8"/>
      <c r="F321" s="8"/>
      <c r="G321" s="8"/>
      <c r="H321" s="8"/>
      <c r="I321" s="7"/>
    </row>
    <row r="322" spans="1:9">
      <c r="A322" s="8"/>
      <c r="B322" s="8"/>
      <c r="C322" s="8"/>
      <c r="D322" s="8"/>
      <c r="E322" s="8"/>
      <c r="F322" s="8"/>
      <c r="G322" s="8"/>
      <c r="H322" s="8"/>
      <c r="I322" s="7"/>
    </row>
    <row r="323" spans="1:9">
      <c r="A323" s="8"/>
      <c r="B323" s="8"/>
      <c r="C323" s="8"/>
      <c r="D323" s="8"/>
      <c r="E323" s="8"/>
      <c r="F323" s="8"/>
      <c r="G323" s="8"/>
      <c r="H323" s="8"/>
      <c r="I323" s="7"/>
    </row>
    <row r="324" spans="1:9">
      <c r="A324" s="8"/>
      <c r="B324" s="8"/>
      <c r="C324" s="8"/>
      <c r="D324" s="8"/>
      <c r="E324" s="8"/>
      <c r="F324" s="8"/>
      <c r="G324" s="8"/>
      <c r="H324" s="8"/>
      <c r="I324" s="7"/>
    </row>
    <row r="325" spans="1:9">
      <c r="A325" s="8"/>
      <c r="B325" s="8"/>
      <c r="C325" s="8"/>
      <c r="D325" s="8"/>
      <c r="E325" s="8"/>
      <c r="F325" s="8"/>
      <c r="G325" s="8"/>
      <c r="H325" s="8"/>
      <c r="I325" s="7"/>
    </row>
    <row r="326" spans="1:9">
      <c r="A326" s="8"/>
      <c r="B326" s="8"/>
      <c r="C326" s="8"/>
      <c r="D326" s="8"/>
      <c r="E326" s="8"/>
      <c r="F326" s="8"/>
      <c r="G326" s="8"/>
      <c r="H326" s="8"/>
      <c r="I326" s="7"/>
    </row>
    <row r="327" spans="1:9">
      <c r="A327" s="8"/>
      <c r="B327" s="8"/>
      <c r="C327" s="8"/>
      <c r="D327" s="8"/>
      <c r="E327" s="8"/>
      <c r="F327" s="8"/>
      <c r="G327" s="8"/>
      <c r="H327" s="8"/>
      <c r="I327" s="7"/>
    </row>
    <row r="328" spans="1:9">
      <c r="A328" s="8"/>
      <c r="B328" s="8"/>
      <c r="C328" s="8"/>
      <c r="D328" s="8"/>
      <c r="E328" s="8"/>
      <c r="F328" s="8"/>
      <c r="G328" s="8"/>
      <c r="H328" s="8"/>
      <c r="I328" s="7"/>
    </row>
    <row r="329" spans="1:9">
      <c r="A329" s="8"/>
      <c r="B329" s="8"/>
      <c r="C329" s="8"/>
      <c r="D329" s="8"/>
      <c r="E329" s="8"/>
      <c r="F329" s="8"/>
      <c r="G329" s="8"/>
      <c r="H329" s="8"/>
      <c r="I329" s="7"/>
    </row>
    <row r="330" spans="1:9">
      <c r="A330" s="8"/>
      <c r="B330" s="8"/>
      <c r="C330" s="8"/>
      <c r="D330" s="8"/>
      <c r="E330" s="8"/>
      <c r="F330" s="8"/>
      <c r="G330" s="8"/>
      <c r="H330" s="8"/>
      <c r="I330" s="7"/>
    </row>
    <row r="331" spans="1:9">
      <c r="A331" s="8"/>
      <c r="B331" s="8"/>
      <c r="C331" s="8"/>
      <c r="D331" s="8"/>
      <c r="E331" s="8"/>
      <c r="F331" s="8"/>
      <c r="G331" s="8"/>
      <c r="H331" s="8"/>
      <c r="I331" s="7"/>
    </row>
    <row r="332" spans="1:9">
      <c r="A332" s="8"/>
      <c r="B332" s="8"/>
      <c r="C332" s="8"/>
      <c r="D332" s="8"/>
      <c r="E332" s="8"/>
      <c r="F332" s="8"/>
      <c r="G332" s="8"/>
      <c r="H332" s="8"/>
      <c r="I332" s="7"/>
    </row>
    <row r="333" spans="1:9">
      <c r="A333" s="8"/>
      <c r="B333" s="8"/>
      <c r="C333" s="8"/>
      <c r="D333" s="8"/>
      <c r="E333" s="8"/>
      <c r="F333" s="8"/>
      <c r="G333" s="8"/>
      <c r="H333" s="8"/>
      <c r="I333" s="7"/>
    </row>
    <row r="334" spans="1:9">
      <c r="A334" s="8"/>
      <c r="B334" s="8"/>
      <c r="C334" s="8"/>
      <c r="D334" s="8"/>
      <c r="E334" s="8"/>
      <c r="F334" s="8"/>
      <c r="G334" s="8"/>
      <c r="H334" s="8"/>
      <c r="I334" s="7"/>
    </row>
    <row r="335" spans="1:9">
      <c r="A335" s="8"/>
      <c r="B335" s="8"/>
      <c r="C335" s="8"/>
      <c r="D335" s="8"/>
      <c r="E335" s="8"/>
      <c r="F335" s="8"/>
      <c r="G335" s="8"/>
      <c r="H335" s="8"/>
      <c r="I335" s="7"/>
    </row>
    <row r="336" spans="1:9">
      <c r="A336" s="8"/>
      <c r="B336" s="8"/>
      <c r="C336" s="8"/>
      <c r="D336" s="8"/>
      <c r="E336" s="8"/>
      <c r="F336" s="8"/>
      <c r="G336" s="8"/>
      <c r="H336" s="8"/>
      <c r="I336" s="7"/>
    </row>
    <row r="337" spans="1:9">
      <c r="A337" s="8"/>
      <c r="B337" s="8"/>
      <c r="C337" s="8"/>
      <c r="D337" s="8"/>
      <c r="E337" s="8"/>
      <c r="F337" s="8"/>
      <c r="G337" s="8"/>
      <c r="H337" s="8"/>
      <c r="I337" s="7"/>
    </row>
    <row r="338" spans="1:9">
      <c r="A338" s="8"/>
      <c r="B338" s="8"/>
      <c r="C338" s="8"/>
      <c r="D338" s="8"/>
      <c r="E338" s="8"/>
      <c r="F338" s="8"/>
      <c r="G338" s="8"/>
      <c r="H338" s="8"/>
      <c r="I338" s="7"/>
    </row>
    <row r="339" spans="1:9">
      <c r="A339" s="8"/>
      <c r="B339" s="8"/>
      <c r="C339" s="8"/>
      <c r="D339" s="8"/>
      <c r="E339" s="8"/>
      <c r="F339" s="8"/>
      <c r="G339" s="8"/>
      <c r="H339" s="8"/>
      <c r="I339" s="7"/>
    </row>
    <row r="340" spans="1:9">
      <c r="A340" s="8"/>
      <c r="B340" s="8"/>
      <c r="C340" s="8"/>
      <c r="D340" s="8"/>
      <c r="E340" s="8"/>
      <c r="F340" s="8"/>
      <c r="G340" s="8"/>
      <c r="H340" s="8"/>
      <c r="I340" s="7"/>
    </row>
    <row r="341" spans="1:9">
      <c r="A341" s="8"/>
      <c r="B341" s="8"/>
      <c r="C341" s="8"/>
      <c r="D341" s="8"/>
      <c r="E341" s="8"/>
      <c r="F341" s="8"/>
      <c r="G341" s="8"/>
      <c r="H341" s="8"/>
      <c r="I341" s="7"/>
    </row>
    <row r="342" spans="1:9">
      <c r="A342" s="8"/>
      <c r="B342" s="8"/>
      <c r="C342" s="8"/>
      <c r="D342" s="8"/>
      <c r="E342" s="8"/>
      <c r="F342" s="8"/>
      <c r="G342" s="8"/>
      <c r="H342" s="8"/>
      <c r="I342" s="7"/>
    </row>
    <row r="343" spans="1:9">
      <c r="A343" s="8"/>
      <c r="B343" s="8"/>
      <c r="C343" s="8"/>
      <c r="D343" s="8"/>
      <c r="E343" s="8"/>
      <c r="F343" s="8"/>
      <c r="G343" s="8"/>
      <c r="H343" s="8"/>
      <c r="I343" s="7"/>
    </row>
    <row r="344" spans="1:9">
      <c r="A344" s="8"/>
      <c r="B344" s="8"/>
      <c r="C344" s="8"/>
      <c r="D344" s="8"/>
      <c r="E344" s="8"/>
      <c r="F344" s="8"/>
      <c r="G344" s="8"/>
      <c r="H344" s="8"/>
      <c r="I344" s="7"/>
    </row>
    <row r="345" spans="1:9">
      <c r="A345" s="8"/>
      <c r="B345" s="8"/>
      <c r="C345" s="8"/>
      <c r="D345" s="8"/>
      <c r="E345" s="8"/>
      <c r="F345" s="8"/>
      <c r="G345" s="8"/>
      <c r="H345" s="8"/>
      <c r="I345" s="7"/>
    </row>
    <row r="346" spans="1:9">
      <c r="A346" s="8"/>
      <c r="B346" s="8"/>
      <c r="C346" s="8"/>
      <c r="D346" s="8"/>
      <c r="E346" s="8"/>
      <c r="F346" s="8"/>
      <c r="G346" s="8"/>
      <c r="H346" s="8"/>
      <c r="I346" s="7"/>
    </row>
    <row r="347" spans="1:9">
      <c r="A347" s="8"/>
      <c r="B347" s="8"/>
      <c r="C347" s="8"/>
      <c r="D347" s="8"/>
      <c r="E347" s="8"/>
      <c r="F347" s="8"/>
      <c r="G347" s="8"/>
      <c r="H347" s="8"/>
      <c r="I347" s="7"/>
    </row>
    <row r="348" spans="1:9">
      <c r="A348" s="8"/>
      <c r="B348" s="8"/>
      <c r="C348" s="8"/>
      <c r="D348" s="8"/>
      <c r="E348" s="8"/>
      <c r="F348" s="8"/>
      <c r="G348" s="8"/>
      <c r="H348" s="8"/>
      <c r="I348" s="7"/>
    </row>
    <row r="349" spans="1:9">
      <c r="A349" s="8"/>
      <c r="B349" s="8"/>
      <c r="C349" s="8"/>
      <c r="D349" s="8"/>
      <c r="E349" s="8"/>
      <c r="F349" s="8"/>
      <c r="G349" s="8"/>
      <c r="H349" s="8"/>
      <c r="I349" s="7"/>
    </row>
    <row r="350" spans="1:9">
      <c r="A350" s="8"/>
      <c r="B350" s="8"/>
      <c r="C350" s="8"/>
      <c r="D350" s="8"/>
      <c r="E350" s="8"/>
      <c r="F350" s="8"/>
      <c r="G350" s="8"/>
      <c r="H350" s="8"/>
      <c r="I350" s="7"/>
    </row>
    <row r="351" spans="1:9">
      <c r="A351" s="8"/>
      <c r="B351" s="8"/>
      <c r="C351" s="8"/>
      <c r="D351" s="8"/>
      <c r="E351" s="8"/>
      <c r="F351" s="8"/>
      <c r="G351" s="8"/>
      <c r="H351" s="8"/>
      <c r="I351" s="7"/>
    </row>
    <row r="352" spans="1:9">
      <c r="A352" s="8"/>
      <c r="B352" s="8"/>
      <c r="C352" s="8"/>
      <c r="D352" s="8"/>
      <c r="E352" s="8"/>
      <c r="F352" s="8"/>
      <c r="G352" s="8"/>
      <c r="H352" s="8"/>
      <c r="I352" s="7"/>
    </row>
    <row r="353" spans="1:9">
      <c r="A353" s="8"/>
      <c r="B353" s="8"/>
      <c r="C353" s="8"/>
      <c r="D353" s="8"/>
      <c r="E353" s="8"/>
      <c r="F353" s="8"/>
      <c r="G353" s="8"/>
      <c r="H353" s="8"/>
      <c r="I353" s="7"/>
    </row>
    <row r="354" spans="1:9">
      <c r="A354" s="8"/>
      <c r="B354" s="8"/>
      <c r="C354" s="8"/>
      <c r="D354" s="8"/>
      <c r="E354" s="8"/>
      <c r="F354" s="8"/>
      <c r="G354" s="8"/>
      <c r="H354" s="8"/>
      <c r="I354" s="7"/>
    </row>
    <row r="355" spans="1:9">
      <c r="A355" s="8"/>
      <c r="B355" s="8"/>
      <c r="C355" s="8"/>
      <c r="D355" s="8"/>
      <c r="E355" s="8"/>
      <c r="F355" s="8"/>
      <c r="G355" s="8"/>
      <c r="H355" s="8"/>
      <c r="I355" s="7"/>
    </row>
    <row r="356" spans="1:9">
      <c r="A356" s="8"/>
      <c r="B356" s="8"/>
      <c r="C356" s="8"/>
      <c r="D356" s="8"/>
      <c r="E356" s="8"/>
      <c r="F356" s="8"/>
      <c r="G356" s="8"/>
      <c r="H356" s="8"/>
      <c r="I356" s="7"/>
    </row>
    <row r="357" spans="1:9">
      <c r="A357" s="8"/>
      <c r="B357" s="8"/>
      <c r="C357" s="8"/>
      <c r="D357" s="8"/>
      <c r="E357" s="8"/>
      <c r="F357" s="8"/>
      <c r="G357" s="8"/>
      <c r="H357" s="8"/>
      <c r="I357" s="7"/>
    </row>
    <row r="358" spans="1:9">
      <c r="A358" s="8"/>
      <c r="B358" s="8"/>
      <c r="C358" s="8"/>
      <c r="D358" s="8"/>
      <c r="E358" s="8"/>
      <c r="F358" s="8"/>
      <c r="G358" s="8"/>
      <c r="H358" s="8"/>
      <c r="I358" s="7"/>
    </row>
    <row r="359" spans="1:9">
      <c r="A359" s="8"/>
      <c r="B359" s="8"/>
      <c r="C359" s="8"/>
      <c r="D359" s="8"/>
      <c r="E359" s="8"/>
      <c r="F359" s="8"/>
      <c r="G359" s="8"/>
      <c r="H359" s="8"/>
      <c r="I359" s="7"/>
    </row>
    <row r="360" spans="1:9">
      <c r="A360" s="8"/>
      <c r="B360" s="8"/>
      <c r="C360" s="8"/>
      <c r="D360" s="8"/>
      <c r="E360" s="8"/>
      <c r="F360" s="8"/>
      <c r="G360" s="8"/>
      <c r="H360" s="8"/>
      <c r="I360" s="7"/>
    </row>
    <row r="361" spans="1:9">
      <c r="A361" s="8"/>
      <c r="B361" s="8"/>
      <c r="C361" s="8"/>
      <c r="D361" s="8"/>
      <c r="E361" s="8"/>
      <c r="F361" s="8"/>
      <c r="G361" s="8"/>
      <c r="H361" s="8"/>
      <c r="I361" s="7"/>
    </row>
    <row r="362" spans="1:9">
      <c r="A362" s="8"/>
      <c r="B362" s="8"/>
      <c r="C362" s="8"/>
      <c r="D362" s="8"/>
      <c r="E362" s="8"/>
      <c r="F362" s="8"/>
      <c r="G362" s="8"/>
      <c r="H362" s="8"/>
      <c r="I362" s="7"/>
    </row>
    <row r="363" spans="1:9">
      <c r="A363" s="8"/>
      <c r="B363" s="8"/>
      <c r="C363" s="8"/>
      <c r="D363" s="8"/>
      <c r="E363" s="8"/>
      <c r="F363" s="8"/>
      <c r="G363" s="8"/>
      <c r="H363" s="8"/>
      <c r="I363" s="7"/>
    </row>
    <row r="364" spans="1:9">
      <c r="A364" s="8"/>
      <c r="B364" s="8"/>
      <c r="C364" s="8"/>
      <c r="D364" s="8"/>
      <c r="E364" s="8"/>
      <c r="F364" s="8"/>
      <c r="G364" s="8"/>
      <c r="H364" s="8"/>
      <c r="I364" s="7"/>
    </row>
    <row r="365" spans="1:9">
      <c r="A365" s="8"/>
      <c r="B365" s="8"/>
      <c r="C365" s="8"/>
      <c r="D365" s="8"/>
      <c r="E365" s="8"/>
      <c r="F365" s="8"/>
      <c r="G365" s="8"/>
      <c r="H365" s="8"/>
      <c r="I365" s="7"/>
    </row>
    <row r="366" spans="1:9">
      <c r="A366" s="8"/>
      <c r="B366" s="8"/>
      <c r="C366" s="8"/>
      <c r="D366" s="8"/>
      <c r="E366" s="8"/>
      <c r="F366" s="8"/>
      <c r="G366" s="8"/>
      <c r="H366" s="8"/>
      <c r="I366" s="7"/>
    </row>
    <row r="367" spans="1:9">
      <c r="A367" s="8"/>
      <c r="B367" s="8"/>
      <c r="C367" s="8"/>
      <c r="D367" s="8"/>
      <c r="E367" s="8"/>
      <c r="F367" s="8"/>
      <c r="G367" s="8"/>
      <c r="H367" s="8"/>
      <c r="I367" s="7"/>
    </row>
    <row r="368" spans="1:9">
      <c r="A368" s="8"/>
      <c r="B368" s="8"/>
      <c r="C368" s="8"/>
      <c r="D368" s="8"/>
      <c r="E368" s="8"/>
      <c r="F368" s="8"/>
      <c r="G368" s="8"/>
      <c r="H368" s="8"/>
      <c r="I368" s="7"/>
    </row>
    <row r="369" spans="1:9">
      <c r="A369" s="8"/>
      <c r="B369" s="8"/>
      <c r="C369" s="8"/>
      <c r="D369" s="8"/>
      <c r="E369" s="8"/>
      <c r="F369" s="8"/>
      <c r="G369" s="8"/>
      <c r="H369" s="8"/>
      <c r="I369" s="7"/>
    </row>
    <row r="370" spans="1:9">
      <c r="A370" s="8"/>
      <c r="B370" s="8"/>
      <c r="C370" s="8"/>
      <c r="D370" s="8"/>
      <c r="E370" s="8"/>
      <c r="F370" s="8"/>
      <c r="G370" s="8"/>
      <c r="H370" s="8"/>
      <c r="I370" s="7"/>
    </row>
    <row r="371" spans="1:9">
      <c r="A371" s="8"/>
      <c r="B371" s="8"/>
      <c r="C371" s="8"/>
      <c r="D371" s="8"/>
      <c r="E371" s="8"/>
      <c r="F371" s="8"/>
      <c r="G371" s="8"/>
      <c r="H371" s="8"/>
      <c r="I371" s="7"/>
    </row>
    <row r="372" spans="1:9">
      <c r="A372" s="8"/>
      <c r="B372" s="8"/>
      <c r="C372" s="8"/>
      <c r="D372" s="8"/>
      <c r="E372" s="8"/>
      <c r="F372" s="8"/>
      <c r="G372" s="8"/>
      <c r="H372" s="8"/>
      <c r="I372" s="7"/>
    </row>
    <row r="373" spans="1:9">
      <c r="A373" s="8"/>
      <c r="B373" s="8"/>
      <c r="C373" s="8"/>
      <c r="D373" s="8"/>
      <c r="E373" s="8"/>
      <c r="F373" s="8"/>
      <c r="G373" s="8"/>
      <c r="H373" s="8"/>
      <c r="I373" s="7"/>
    </row>
    <row r="374" spans="1:9">
      <c r="A374" s="8"/>
      <c r="B374" s="8"/>
      <c r="C374" s="8"/>
      <c r="D374" s="8"/>
      <c r="E374" s="8"/>
      <c r="F374" s="8"/>
      <c r="G374" s="8"/>
      <c r="H374" s="8"/>
      <c r="I374" s="7"/>
    </row>
    <row r="375" spans="1:9">
      <c r="A375" s="8"/>
      <c r="B375" s="8"/>
      <c r="C375" s="8"/>
      <c r="D375" s="8"/>
      <c r="E375" s="8"/>
      <c r="F375" s="8"/>
      <c r="G375" s="8"/>
      <c r="H375" s="8"/>
      <c r="I375" s="7"/>
    </row>
    <row r="376" spans="1:9">
      <c r="A376" s="8"/>
      <c r="B376" s="8"/>
      <c r="C376" s="8"/>
      <c r="D376" s="8"/>
      <c r="E376" s="8"/>
      <c r="F376" s="8"/>
      <c r="G376" s="8"/>
      <c r="H376" s="8"/>
      <c r="I376" s="7"/>
    </row>
    <row r="377" spans="1:9">
      <c r="A377" s="8"/>
      <c r="B377" s="8"/>
      <c r="C377" s="8"/>
      <c r="D377" s="8"/>
      <c r="E377" s="8"/>
      <c r="F377" s="8"/>
      <c r="G377" s="8"/>
      <c r="H377" s="8"/>
      <c r="I377" s="7"/>
    </row>
    <row r="378" spans="1:9">
      <c r="A378" s="8"/>
      <c r="B378" s="8"/>
      <c r="C378" s="8"/>
      <c r="D378" s="8"/>
      <c r="E378" s="8"/>
      <c r="F378" s="8"/>
      <c r="G378" s="8"/>
      <c r="H378" s="8"/>
      <c r="I378" s="7"/>
    </row>
    <row r="379" spans="1:9">
      <c r="A379" s="8"/>
      <c r="B379" s="8"/>
      <c r="C379" s="8"/>
      <c r="D379" s="8"/>
      <c r="E379" s="8"/>
      <c r="F379" s="8"/>
      <c r="G379" s="8"/>
      <c r="H379" s="8"/>
      <c r="I379" s="7"/>
    </row>
    <row r="380" spans="1:9">
      <c r="A380" s="8"/>
      <c r="B380" s="8"/>
      <c r="C380" s="8"/>
      <c r="D380" s="8"/>
      <c r="E380" s="8"/>
      <c r="F380" s="8"/>
      <c r="G380" s="8"/>
      <c r="H380" s="8"/>
      <c r="I380" s="7"/>
    </row>
    <row r="381" spans="1:9">
      <c r="A381" s="8"/>
      <c r="B381" s="8"/>
      <c r="C381" s="8"/>
      <c r="D381" s="8"/>
      <c r="E381" s="8"/>
      <c r="F381" s="8"/>
      <c r="G381" s="8"/>
      <c r="H381" s="8"/>
      <c r="I381" s="7"/>
    </row>
    <row r="382" spans="1:9">
      <c r="A382" s="8"/>
      <c r="B382" s="8"/>
      <c r="C382" s="8"/>
      <c r="D382" s="8"/>
      <c r="E382" s="8"/>
      <c r="F382" s="8"/>
      <c r="G382" s="8"/>
      <c r="H382" s="8"/>
      <c r="I382" s="7"/>
    </row>
    <row r="383" spans="1:9">
      <c r="A383" s="8"/>
      <c r="B383" s="8"/>
      <c r="C383" s="8"/>
      <c r="D383" s="8"/>
      <c r="E383" s="8"/>
      <c r="F383" s="8"/>
      <c r="G383" s="8"/>
      <c r="H383" s="8"/>
      <c r="I383" s="7"/>
    </row>
    <row r="384" spans="1:9">
      <c r="A384" s="8"/>
      <c r="B384" s="8"/>
      <c r="C384" s="8"/>
      <c r="D384" s="8"/>
      <c r="E384" s="8"/>
      <c r="F384" s="8"/>
      <c r="G384" s="8"/>
      <c r="H384" s="8"/>
      <c r="I384" s="7"/>
    </row>
    <row r="385" spans="1:9">
      <c r="A385" s="8"/>
      <c r="B385" s="8"/>
      <c r="C385" s="8"/>
      <c r="D385" s="8"/>
      <c r="E385" s="8"/>
      <c r="F385" s="8"/>
      <c r="G385" s="8"/>
      <c r="H385" s="8"/>
      <c r="I385" s="7"/>
    </row>
    <row r="386" spans="1:9">
      <c r="A386" s="8"/>
      <c r="B386" s="8"/>
      <c r="C386" s="8"/>
      <c r="D386" s="8"/>
      <c r="E386" s="8"/>
      <c r="F386" s="8"/>
      <c r="G386" s="8"/>
      <c r="H386" s="8"/>
      <c r="I386" s="7"/>
    </row>
    <row r="387" spans="1:9">
      <c r="A387" s="8"/>
      <c r="B387" s="8"/>
      <c r="C387" s="8"/>
      <c r="D387" s="8"/>
      <c r="E387" s="8"/>
      <c r="F387" s="8"/>
      <c r="G387" s="8"/>
      <c r="H387" s="8"/>
      <c r="I387" s="7"/>
    </row>
    <row r="388" spans="1:9">
      <c r="A388" s="8"/>
      <c r="B388" s="8"/>
      <c r="C388" s="8"/>
      <c r="D388" s="8"/>
      <c r="E388" s="8"/>
      <c r="F388" s="8"/>
      <c r="G388" s="8"/>
      <c r="H388" s="8"/>
      <c r="I388" s="7"/>
    </row>
    <row r="389" spans="1:9">
      <c r="A389" s="8"/>
      <c r="B389" s="8"/>
      <c r="C389" s="8"/>
      <c r="D389" s="8"/>
      <c r="E389" s="8"/>
      <c r="F389" s="8"/>
      <c r="G389" s="8"/>
      <c r="H389" s="8"/>
      <c r="I389" s="7"/>
    </row>
    <row r="390" spans="1:9">
      <c r="A390" s="8"/>
      <c r="B390" s="8"/>
      <c r="C390" s="8"/>
      <c r="D390" s="8"/>
      <c r="E390" s="8"/>
      <c r="F390" s="8"/>
      <c r="G390" s="8"/>
      <c r="H390" s="8"/>
      <c r="I390" s="7"/>
    </row>
    <row r="391" spans="1:9">
      <c r="A391" s="8"/>
      <c r="B391" s="8"/>
      <c r="C391" s="8"/>
      <c r="D391" s="8"/>
      <c r="E391" s="8"/>
      <c r="F391" s="8"/>
      <c r="G391" s="8"/>
      <c r="H391" s="8"/>
      <c r="I391" s="7"/>
    </row>
    <row r="392" spans="1:9">
      <c r="A392" s="8"/>
      <c r="B392" s="8"/>
      <c r="C392" s="8"/>
      <c r="D392" s="8"/>
      <c r="E392" s="8"/>
      <c r="F392" s="8"/>
      <c r="G392" s="8"/>
      <c r="H392" s="8"/>
      <c r="I392" s="7"/>
    </row>
    <row r="393" spans="1:9">
      <c r="A393" s="8"/>
      <c r="B393" s="8"/>
      <c r="C393" s="8"/>
      <c r="D393" s="8"/>
      <c r="E393" s="8"/>
      <c r="F393" s="8"/>
      <c r="G393" s="8"/>
      <c r="H393" s="8"/>
      <c r="I393" s="7"/>
    </row>
    <row r="394" spans="1:9">
      <c r="A394" s="8"/>
      <c r="B394" s="8"/>
      <c r="C394" s="8"/>
      <c r="D394" s="8"/>
      <c r="E394" s="8"/>
      <c r="F394" s="8"/>
      <c r="G394" s="8"/>
      <c r="H394" s="8"/>
      <c r="I394" s="7"/>
    </row>
    <row r="395" spans="1:9">
      <c r="A395" s="8"/>
      <c r="B395" s="8"/>
      <c r="C395" s="8"/>
      <c r="D395" s="8"/>
      <c r="E395" s="8"/>
      <c r="F395" s="8"/>
      <c r="G395" s="8"/>
      <c r="H395" s="8"/>
      <c r="I395" s="7"/>
    </row>
    <row r="396" spans="1:9">
      <c r="A396" s="8"/>
      <c r="B396" s="8"/>
      <c r="C396" s="8"/>
      <c r="D396" s="8"/>
      <c r="E396" s="8"/>
      <c r="F396" s="8"/>
      <c r="G396" s="8"/>
      <c r="H396" s="8"/>
      <c r="I396" s="7"/>
    </row>
    <row r="397" spans="1:9">
      <c r="A397" s="8"/>
      <c r="B397" s="8"/>
      <c r="C397" s="8"/>
      <c r="D397" s="8"/>
      <c r="E397" s="8"/>
      <c r="F397" s="8"/>
      <c r="G397" s="8"/>
      <c r="H397" s="8"/>
      <c r="I397" s="7"/>
    </row>
    <row r="398" spans="1:9">
      <c r="A398" s="8"/>
      <c r="B398" s="8"/>
      <c r="C398" s="8"/>
      <c r="D398" s="8"/>
      <c r="E398" s="8"/>
      <c r="F398" s="8"/>
      <c r="G398" s="8"/>
      <c r="H398" s="8"/>
      <c r="I398" s="7"/>
    </row>
    <row r="399" spans="1:9">
      <c r="A399" s="8"/>
      <c r="B399" s="8"/>
      <c r="C399" s="8"/>
      <c r="D399" s="8"/>
      <c r="E399" s="8"/>
      <c r="F399" s="8"/>
      <c r="G399" s="8"/>
      <c r="H399" s="8"/>
      <c r="I399" s="7"/>
    </row>
    <row r="400" spans="1:9">
      <c r="A400" s="8"/>
      <c r="B400" s="8"/>
      <c r="C400" s="8"/>
      <c r="D400" s="8"/>
      <c r="E400" s="8"/>
      <c r="F400" s="8"/>
      <c r="G400" s="8"/>
      <c r="H400" s="8"/>
      <c r="I400" s="7"/>
    </row>
    <row r="401" spans="1:9">
      <c r="A401" s="8"/>
      <c r="B401" s="8"/>
      <c r="C401" s="8"/>
      <c r="D401" s="8"/>
      <c r="E401" s="8"/>
      <c r="F401" s="8"/>
      <c r="G401" s="8"/>
      <c r="H401" s="8"/>
      <c r="I401" s="7"/>
    </row>
    <row r="402" spans="1:9">
      <c r="A402" s="8"/>
      <c r="B402" s="8"/>
      <c r="C402" s="8"/>
      <c r="D402" s="8"/>
      <c r="E402" s="8"/>
      <c r="F402" s="8"/>
      <c r="G402" s="8"/>
      <c r="H402" s="8"/>
      <c r="I402" s="7"/>
    </row>
    <row r="403" spans="1:9">
      <c r="A403" s="8"/>
      <c r="B403" s="8"/>
      <c r="C403" s="8"/>
      <c r="D403" s="8"/>
      <c r="E403" s="8"/>
      <c r="F403" s="8"/>
      <c r="G403" s="8"/>
      <c r="H403" s="8"/>
      <c r="I403" s="7"/>
    </row>
    <row r="404" spans="1:9">
      <c r="A404" s="8"/>
      <c r="B404" s="8"/>
      <c r="C404" s="8"/>
      <c r="D404" s="8"/>
      <c r="E404" s="8"/>
      <c r="F404" s="8"/>
      <c r="G404" s="8"/>
      <c r="H404" s="8"/>
      <c r="I404" s="7"/>
    </row>
    <row r="405" spans="1:9">
      <c r="A405" s="8"/>
      <c r="B405" s="8"/>
      <c r="C405" s="8"/>
      <c r="D405" s="8"/>
      <c r="E405" s="8"/>
      <c r="F405" s="8"/>
      <c r="G405" s="8"/>
      <c r="H405" s="8"/>
      <c r="I405" s="7"/>
    </row>
    <row r="406" spans="1:9">
      <c r="A406" s="8"/>
      <c r="B406" s="8"/>
      <c r="C406" s="8"/>
      <c r="D406" s="8"/>
      <c r="E406" s="8"/>
      <c r="F406" s="8"/>
      <c r="G406" s="8"/>
      <c r="H406" s="8"/>
      <c r="I406" s="7"/>
    </row>
    <row r="407" spans="1:9">
      <c r="A407" s="8"/>
      <c r="B407" s="8"/>
      <c r="C407" s="8"/>
      <c r="D407" s="8"/>
      <c r="E407" s="8"/>
      <c r="F407" s="8"/>
      <c r="G407" s="8"/>
      <c r="H407" s="8"/>
      <c r="I407" s="7"/>
    </row>
    <row r="408" spans="1:9">
      <c r="A408" s="8"/>
      <c r="B408" s="8"/>
      <c r="C408" s="8"/>
      <c r="D408" s="8"/>
      <c r="E408" s="8"/>
      <c r="F408" s="8"/>
      <c r="G408" s="8"/>
      <c r="H408" s="8"/>
      <c r="I408" s="7"/>
    </row>
    <row r="409" spans="1:9">
      <c r="A409" s="8"/>
      <c r="B409" s="8"/>
      <c r="C409" s="8"/>
      <c r="D409" s="8"/>
      <c r="E409" s="8"/>
      <c r="F409" s="8"/>
      <c r="G409" s="8"/>
      <c r="H409" s="8"/>
      <c r="I409" s="7"/>
    </row>
    <row r="410" spans="1:9">
      <c r="A410" s="8"/>
      <c r="B410" s="8"/>
      <c r="C410" s="8"/>
      <c r="D410" s="8"/>
      <c r="E410" s="8"/>
      <c r="F410" s="8"/>
      <c r="G410" s="8"/>
      <c r="H410" s="8"/>
      <c r="I410" s="7"/>
    </row>
    <row r="411" spans="1:9">
      <c r="A411" s="8"/>
      <c r="B411" s="8"/>
      <c r="C411" s="8"/>
      <c r="D411" s="8"/>
      <c r="E411" s="8"/>
      <c r="F411" s="8"/>
      <c r="G411" s="8"/>
      <c r="H411" s="8"/>
      <c r="I411" s="7"/>
    </row>
    <row r="412" spans="1:9">
      <c r="A412" s="8"/>
      <c r="B412" s="8"/>
      <c r="C412" s="8"/>
      <c r="D412" s="8"/>
      <c r="E412" s="8"/>
      <c r="F412" s="8"/>
      <c r="G412" s="8"/>
      <c r="H412" s="8"/>
      <c r="I412" s="7"/>
    </row>
    <row r="413" spans="1:9">
      <c r="A413" s="8"/>
      <c r="B413" s="8"/>
      <c r="C413" s="8"/>
      <c r="D413" s="8"/>
      <c r="E413" s="8"/>
      <c r="F413" s="8"/>
      <c r="G413" s="8"/>
      <c r="H413" s="8"/>
      <c r="I413" s="7"/>
    </row>
    <row r="414" spans="1:9">
      <c r="A414" s="8"/>
      <c r="B414" s="8"/>
      <c r="C414" s="8"/>
      <c r="D414" s="8"/>
      <c r="E414" s="8"/>
      <c r="F414" s="8"/>
      <c r="G414" s="8"/>
      <c r="H414" s="8"/>
      <c r="I414" s="7"/>
    </row>
    <row r="415" spans="1:9">
      <c r="A415" s="8"/>
      <c r="B415" s="8"/>
      <c r="C415" s="8"/>
      <c r="D415" s="8"/>
      <c r="E415" s="8"/>
      <c r="F415" s="8"/>
      <c r="G415" s="8"/>
      <c r="H415" s="8"/>
      <c r="I415" s="7"/>
    </row>
    <row r="416" spans="1:9">
      <c r="A416" s="8"/>
      <c r="B416" s="8"/>
      <c r="C416" s="8"/>
      <c r="D416" s="8"/>
      <c r="E416" s="8"/>
      <c r="F416" s="8"/>
      <c r="G416" s="8"/>
      <c r="H416" s="8"/>
      <c r="I416" s="7"/>
    </row>
    <row r="417" spans="1:9">
      <c r="A417" s="8"/>
      <c r="B417" s="8"/>
      <c r="C417" s="8"/>
      <c r="D417" s="8"/>
      <c r="E417" s="8"/>
      <c r="F417" s="8"/>
      <c r="G417" s="8"/>
      <c r="H417" s="8"/>
      <c r="I417" s="7"/>
    </row>
    <row r="418" spans="1:9">
      <c r="A418" s="8"/>
      <c r="B418" s="8"/>
      <c r="C418" s="8"/>
      <c r="D418" s="8"/>
      <c r="E418" s="8"/>
      <c r="F418" s="8"/>
      <c r="G418" s="8"/>
      <c r="H418" s="8"/>
      <c r="I418" s="7"/>
    </row>
    <row r="419" spans="1:9">
      <c r="A419" s="8"/>
      <c r="B419" s="8"/>
      <c r="C419" s="8"/>
      <c r="D419" s="8"/>
      <c r="E419" s="8"/>
      <c r="F419" s="8"/>
      <c r="G419" s="8"/>
      <c r="H419" s="8"/>
      <c r="I419" s="7"/>
    </row>
    <row r="420" spans="1:9">
      <c r="A420" s="8"/>
      <c r="B420" s="8"/>
      <c r="C420" s="8"/>
      <c r="D420" s="8"/>
      <c r="E420" s="8"/>
      <c r="F420" s="8"/>
      <c r="G420" s="8"/>
      <c r="H420" s="8"/>
      <c r="I420" s="7"/>
    </row>
    <row r="421" spans="1:9">
      <c r="A421" s="8"/>
      <c r="B421" s="8"/>
      <c r="C421" s="8"/>
      <c r="D421" s="8"/>
      <c r="E421" s="8"/>
      <c r="F421" s="8"/>
      <c r="G421" s="8"/>
      <c r="H421" s="8"/>
      <c r="I421" s="7"/>
    </row>
    <row r="422" spans="1:9">
      <c r="A422" s="8"/>
      <c r="B422" s="8"/>
      <c r="C422" s="8"/>
      <c r="D422" s="8"/>
      <c r="E422" s="8"/>
      <c r="F422" s="8"/>
      <c r="G422" s="8"/>
      <c r="H422" s="8"/>
      <c r="I422" s="7"/>
    </row>
    <row r="423" spans="1:9">
      <c r="A423" s="8"/>
      <c r="B423" s="8"/>
      <c r="C423" s="8"/>
      <c r="D423" s="8"/>
      <c r="E423" s="8"/>
      <c r="F423" s="8"/>
      <c r="G423" s="8"/>
      <c r="H423" s="8"/>
      <c r="I423" s="7"/>
    </row>
    <row r="424" spans="1:9">
      <c r="A424" s="8"/>
      <c r="B424" s="8"/>
      <c r="C424" s="8"/>
      <c r="D424" s="8"/>
      <c r="E424" s="8"/>
      <c r="F424" s="8"/>
      <c r="G424" s="8"/>
      <c r="H424" s="8"/>
      <c r="I424" s="7"/>
    </row>
    <row r="425" spans="1:9">
      <c r="A425" s="8"/>
      <c r="B425" s="8"/>
      <c r="C425" s="8"/>
      <c r="D425" s="8"/>
      <c r="E425" s="8"/>
      <c r="F425" s="8"/>
      <c r="G425" s="8"/>
      <c r="H425" s="8"/>
      <c r="I425" s="7"/>
    </row>
    <row r="426" spans="1:9">
      <c r="A426" s="8"/>
      <c r="B426" s="8"/>
      <c r="C426" s="8"/>
      <c r="D426" s="8"/>
      <c r="E426" s="8"/>
      <c r="F426" s="8"/>
      <c r="G426" s="8"/>
      <c r="H426" s="8"/>
      <c r="I426" s="7"/>
    </row>
    <row r="427" spans="1:9">
      <c r="A427" s="8"/>
      <c r="B427" s="8"/>
      <c r="C427" s="8"/>
      <c r="D427" s="8"/>
      <c r="E427" s="8"/>
      <c r="F427" s="8"/>
      <c r="G427" s="8"/>
      <c r="H427" s="8"/>
      <c r="I427" s="7"/>
    </row>
    <row r="428" spans="1:9">
      <c r="A428" s="8"/>
      <c r="B428" s="8"/>
      <c r="C428" s="8"/>
      <c r="D428" s="8"/>
      <c r="E428" s="8"/>
      <c r="F428" s="8"/>
      <c r="G428" s="8"/>
      <c r="H428" s="8"/>
      <c r="I428" s="7"/>
    </row>
    <row r="429" spans="1:9">
      <c r="A429" s="8"/>
      <c r="B429" s="8"/>
      <c r="C429" s="8"/>
      <c r="D429" s="8"/>
      <c r="E429" s="8"/>
      <c r="F429" s="8"/>
      <c r="G429" s="8"/>
      <c r="H429" s="8"/>
      <c r="I429" s="7"/>
    </row>
    <row r="430" spans="1:9">
      <c r="A430" s="8"/>
      <c r="B430" s="8"/>
      <c r="C430" s="8"/>
      <c r="D430" s="8"/>
      <c r="E430" s="8"/>
      <c r="F430" s="8"/>
      <c r="G430" s="8"/>
      <c r="H430" s="8"/>
      <c r="I430" s="7"/>
    </row>
    <row r="431" spans="1:9">
      <c r="A431" s="8"/>
      <c r="B431" s="8"/>
      <c r="C431" s="8"/>
      <c r="D431" s="8"/>
      <c r="E431" s="8"/>
      <c r="F431" s="8"/>
      <c r="G431" s="8"/>
      <c r="H431" s="8"/>
      <c r="I431" s="7"/>
    </row>
    <row r="432" spans="1:9">
      <c r="A432" s="8"/>
      <c r="B432" s="8"/>
      <c r="C432" s="8"/>
      <c r="D432" s="8"/>
      <c r="E432" s="8"/>
      <c r="F432" s="8"/>
      <c r="G432" s="8"/>
      <c r="H432" s="8"/>
      <c r="I432" s="7"/>
    </row>
    <row r="433" spans="1:9">
      <c r="A433" s="8"/>
      <c r="B433" s="8"/>
      <c r="C433" s="8"/>
      <c r="D433" s="8"/>
      <c r="E433" s="8"/>
      <c r="F433" s="8"/>
      <c r="G433" s="8"/>
      <c r="H433" s="8"/>
      <c r="I433" s="7"/>
    </row>
    <row r="434" spans="1:9">
      <c r="A434" s="8"/>
      <c r="B434" s="8"/>
      <c r="C434" s="8"/>
      <c r="D434" s="8"/>
      <c r="E434" s="8"/>
      <c r="F434" s="8"/>
      <c r="G434" s="8"/>
      <c r="H434" s="8"/>
      <c r="I434" s="7"/>
    </row>
    <row r="435" spans="1:9">
      <c r="A435" s="8"/>
      <c r="B435" s="8"/>
      <c r="C435" s="8"/>
      <c r="D435" s="8"/>
      <c r="E435" s="8"/>
      <c r="F435" s="8"/>
      <c r="G435" s="8"/>
      <c r="H435" s="8"/>
      <c r="I435" s="7"/>
    </row>
    <row r="436" spans="1:9">
      <c r="A436" s="8"/>
      <c r="B436" s="8"/>
      <c r="C436" s="8"/>
      <c r="D436" s="8"/>
      <c r="E436" s="8"/>
      <c r="F436" s="8"/>
      <c r="G436" s="8"/>
      <c r="H436" s="8"/>
      <c r="I436" s="7"/>
    </row>
    <row r="437" spans="1:9">
      <c r="A437" s="8"/>
      <c r="B437" s="8"/>
      <c r="C437" s="8"/>
      <c r="D437" s="8"/>
      <c r="E437" s="8"/>
      <c r="F437" s="8"/>
      <c r="G437" s="8"/>
      <c r="H437" s="8"/>
      <c r="I437" s="7"/>
    </row>
    <row r="438" spans="1:9">
      <c r="A438" s="8"/>
      <c r="B438" s="8"/>
      <c r="C438" s="8"/>
      <c r="D438" s="8"/>
      <c r="E438" s="8"/>
      <c r="F438" s="8"/>
      <c r="G438" s="8"/>
      <c r="H438" s="8"/>
      <c r="I438" s="7"/>
    </row>
    <row r="439" spans="1:9">
      <c r="A439" s="8"/>
      <c r="B439" s="8"/>
      <c r="C439" s="8"/>
      <c r="D439" s="8"/>
      <c r="E439" s="8"/>
      <c r="F439" s="8"/>
      <c r="G439" s="8"/>
      <c r="H439" s="8"/>
      <c r="I439" s="7"/>
    </row>
    <row r="440" spans="1:9">
      <c r="A440" s="8"/>
      <c r="B440" s="8"/>
      <c r="C440" s="8"/>
      <c r="D440" s="8"/>
      <c r="E440" s="8"/>
      <c r="F440" s="8"/>
      <c r="G440" s="8"/>
      <c r="H440" s="8"/>
      <c r="I440" s="7"/>
    </row>
    <row r="441" spans="1:9">
      <c r="A441" s="8"/>
      <c r="B441" s="8"/>
      <c r="C441" s="8"/>
      <c r="D441" s="8"/>
      <c r="E441" s="8"/>
      <c r="F441" s="8"/>
      <c r="G441" s="8"/>
      <c r="H441" s="8"/>
      <c r="I441" s="7"/>
    </row>
    <row r="442" spans="1:9">
      <c r="A442" s="8"/>
      <c r="B442" s="8"/>
      <c r="C442" s="8"/>
      <c r="D442" s="8"/>
      <c r="E442" s="8"/>
      <c r="F442" s="8"/>
      <c r="G442" s="8"/>
      <c r="H442" s="8"/>
      <c r="I442" s="7"/>
    </row>
    <row r="443" spans="1:9">
      <c r="A443" s="8"/>
      <c r="B443" s="8"/>
      <c r="C443" s="8"/>
      <c r="D443" s="8"/>
      <c r="E443" s="8"/>
      <c r="F443" s="8"/>
      <c r="G443" s="8"/>
      <c r="H443" s="8"/>
      <c r="I443" s="7"/>
    </row>
    <row r="444" spans="1:9">
      <c r="A444" s="8"/>
      <c r="B444" s="8"/>
      <c r="C444" s="8"/>
      <c r="D444" s="8"/>
      <c r="E444" s="8"/>
      <c r="F444" s="8"/>
      <c r="G444" s="8"/>
      <c r="H444" s="8"/>
      <c r="I444" s="7"/>
    </row>
    <row r="445" spans="1:9">
      <c r="A445" s="8"/>
      <c r="B445" s="8"/>
      <c r="C445" s="8"/>
      <c r="D445" s="8"/>
      <c r="E445" s="8"/>
      <c r="F445" s="8"/>
      <c r="G445" s="8"/>
      <c r="H445" s="8"/>
      <c r="I445" s="7"/>
    </row>
    <row r="446" spans="1:9">
      <c r="A446" s="8"/>
      <c r="B446" s="8"/>
      <c r="C446" s="8"/>
      <c r="D446" s="8"/>
      <c r="E446" s="8"/>
      <c r="F446" s="8"/>
      <c r="G446" s="8"/>
      <c r="H446" s="8"/>
      <c r="I446" s="7"/>
    </row>
    <row r="447" spans="1:9">
      <c r="A447" s="8"/>
      <c r="B447" s="8"/>
      <c r="C447" s="8"/>
      <c r="D447" s="8"/>
      <c r="E447" s="8"/>
      <c r="F447" s="8"/>
      <c r="G447" s="8"/>
      <c r="H447" s="8"/>
      <c r="I447" s="7"/>
    </row>
    <row r="448" spans="1:9">
      <c r="A448" s="8"/>
      <c r="B448" s="8"/>
      <c r="C448" s="8"/>
      <c r="D448" s="8"/>
      <c r="E448" s="8"/>
      <c r="F448" s="8"/>
      <c r="G448" s="8"/>
      <c r="H448" s="8"/>
      <c r="I448" s="7"/>
    </row>
    <row r="449" spans="1:9">
      <c r="A449" s="8"/>
      <c r="B449" s="8"/>
      <c r="C449" s="8"/>
      <c r="D449" s="8"/>
      <c r="E449" s="8"/>
      <c r="F449" s="8"/>
      <c r="G449" s="8"/>
      <c r="H449" s="8"/>
      <c r="I449" s="7"/>
    </row>
    <row r="450" spans="1:9">
      <c r="A450" s="8"/>
      <c r="B450" s="8"/>
      <c r="C450" s="8"/>
      <c r="D450" s="8"/>
      <c r="E450" s="8"/>
      <c r="F450" s="8"/>
      <c r="G450" s="8"/>
      <c r="H450" s="8"/>
      <c r="I450" s="7"/>
    </row>
    <row r="451" spans="1:9">
      <c r="A451" s="8"/>
      <c r="B451" s="8"/>
      <c r="C451" s="8"/>
      <c r="D451" s="8"/>
      <c r="E451" s="8"/>
      <c r="F451" s="8"/>
      <c r="G451" s="8"/>
      <c r="H451" s="8"/>
      <c r="I451" s="7"/>
    </row>
    <row r="452" spans="1:9">
      <c r="A452" s="8"/>
      <c r="B452" s="8"/>
      <c r="C452" s="8"/>
      <c r="D452" s="8"/>
      <c r="E452" s="8"/>
      <c r="F452" s="8"/>
      <c r="G452" s="8"/>
      <c r="H452" s="8"/>
      <c r="I452" s="7"/>
    </row>
    <row r="453" spans="1:9">
      <c r="A453" s="8"/>
      <c r="B453" s="8"/>
      <c r="C453" s="8"/>
      <c r="D453" s="8"/>
      <c r="E453" s="8"/>
      <c r="F453" s="8"/>
      <c r="G453" s="8"/>
      <c r="H453" s="8"/>
      <c r="I453" s="7"/>
    </row>
    <row r="454" spans="1:9">
      <c r="A454" s="8"/>
      <c r="B454" s="8"/>
      <c r="C454" s="8"/>
      <c r="D454" s="8"/>
      <c r="E454" s="8"/>
      <c r="F454" s="8"/>
      <c r="G454" s="8"/>
      <c r="H454" s="8"/>
      <c r="I454" s="7"/>
    </row>
    <row r="455" spans="1:9">
      <c r="A455" s="8"/>
      <c r="B455" s="8"/>
      <c r="C455" s="8"/>
      <c r="D455" s="8"/>
      <c r="E455" s="8"/>
      <c r="F455" s="8"/>
      <c r="G455" s="8"/>
      <c r="H455" s="8"/>
      <c r="I455" s="7"/>
    </row>
    <row r="456" spans="1:9">
      <c r="A456" s="8"/>
      <c r="B456" s="8"/>
      <c r="C456" s="8"/>
      <c r="D456" s="8"/>
      <c r="E456" s="8"/>
      <c r="F456" s="8"/>
      <c r="G456" s="8"/>
      <c r="H456" s="8"/>
      <c r="I456" s="7"/>
    </row>
    <row r="457" spans="1:9">
      <c r="A457" s="8"/>
      <c r="B457" s="8"/>
      <c r="C457" s="8"/>
      <c r="D457" s="8"/>
      <c r="E457" s="8"/>
      <c r="F457" s="8"/>
      <c r="G457" s="8"/>
      <c r="H457" s="8"/>
      <c r="I457" s="7"/>
    </row>
    <row r="458" spans="1:9">
      <c r="A458" s="8"/>
      <c r="B458" s="8"/>
      <c r="C458" s="8"/>
      <c r="D458" s="8"/>
      <c r="E458" s="8"/>
      <c r="F458" s="8"/>
      <c r="G458" s="8"/>
      <c r="H458" s="8"/>
      <c r="I458" s="7"/>
    </row>
    <row r="459" spans="1:9">
      <c r="A459" s="8"/>
      <c r="B459" s="8"/>
      <c r="C459" s="8"/>
      <c r="D459" s="8"/>
      <c r="E459" s="8"/>
      <c r="F459" s="8"/>
      <c r="G459" s="8"/>
      <c r="H459" s="8"/>
      <c r="I459" s="7"/>
    </row>
    <row r="460" spans="1:9">
      <c r="A460" s="8"/>
      <c r="B460" s="8"/>
      <c r="C460" s="8"/>
      <c r="D460" s="8"/>
      <c r="E460" s="8"/>
      <c r="F460" s="8"/>
      <c r="G460" s="8"/>
      <c r="H460" s="8"/>
      <c r="I460" s="7"/>
    </row>
    <row r="461" spans="1:9">
      <c r="A461" s="8"/>
      <c r="B461" s="8"/>
      <c r="C461" s="8"/>
      <c r="D461" s="8"/>
      <c r="E461" s="8"/>
      <c r="F461" s="8"/>
      <c r="G461" s="8"/>
      <c r="H461" s="8"/>
      <c r="I461" s="7"/>
    </row>
    <row r="462" spans="1:9">
      <c r="A462" s="8"/>
      <c r="B462" s="8"/>
      <c r="C462" s="8"/>
      <c r="D462" s="8"/>
      <c r="E462" s="8"/>
      <c r="F462" s="8"/>
      <c r="G462" s="8"/>
      <c r="H462" s="8"/>
      <c r="I462" s="7"/>
    </row>
    <row r="463" spans="1:9">
      <c r="A463" s="8"/>
      <c r="B463" s="8"/>
      <c r="C463" s="8"/>
      <c r="D463" s="8"/>
      <c r="E463" s="8"/>
      <c r="F463" s="8"/>
      <c r="G463" s="8"/>
      <c r="H463" s="8"/>
      <c r="I463" s="7"/>
    </row>
    <row r="464" spans="1:9">
      <c r="A464" s="8"/>
      <c r="B464" s="8"/>
      <c r="C464" s="8"/>
      <c r="D464" s="8"/>
      <c r="E464" s="8"/>
      <c r="F464" s="8"/>
      <c r="G464" s="8"/>
      <c r="H464" s="8"/>
      <c r="I464" s="7"/>
    </row>
    <row r="465" spans="1:9">
      <c r="A465" s="8"/>
      <c r="B465" s="8"/>
      <c r="C465" s="8"/>
      <c r="D465" s="8"/>
      <c r="E465" s="8"/>
      <c r="F465" s="8"/>
      <c r="G465" s="8"/>
      <c r="H465" s="8"/>
      <c r="I465" s="7"/>
    </row>
    <row r="466" spans="1:9">
      <c r="A466" s="8"/>
      <c r="B466" s="8"/>
      <c r="C466" s="8"/>
      <c r="D466" s="8"/>
      <c r="E466" s="8"/>
      <c r="F466" s="8"/>
      <c r="G466" s="8"/>
      <c r="H466" s="8"/>
      <c r="I466" s="7"/>
    </row>
    <row r="467" spans="1:9">
      <c r="A467" s="8"/>
      <c r="B467" s="8"/>
      <c r="C467" s="8"/>
      <c r="D467" s="8"/>
      <c r="E467" s="8"/>
      <c r="F467" s="8"/>
      <c r="G467" s="8"/>
      <c r="H467" s="8"/>
      <c r="I467" s="7"/>
    </row>
    <row r="468" spans="1:9">
      <c r="A468" s="8"/>
      <c r="B468" s="8"/>
      <c r="C468" s="8"/>
      <c r="D468" s="8"/>
      <c r="E468" s="8"/>
      <c r="F468" s="8"/>
      <c r="G468" s="8"/>
      <c r="H468" s="8"/>
      <c r="I468" s="7"/>
    </row>
    <row r="469" spans="1:9">
      <c r="A469" s="8"/>
      <c r="B469" s="8"/>
      <c r="C469" s="8"/>
      <c r="D469" s="8"/>
      <c r="E469" s="8"/>
      <c r="F469" s="8"/>
      <c r="G469" s="8"/>
      <c r="H469" s="8"/>
      <c r="I469" s="7"/>
    </row>
    <row r="470" spans="1:9">
      <c r="A470" s="8"/>
      <c r="B470" s="8"/>
      <c r="C470" s="8"/>
      <c r="D470" s="8"/>
      <c r="E470" s="8"/>
      <c r="F470" s="8"/>
      <c r="G470" s="8"/>
      <c r="H470" s="8"/>
      <c r="I470" s="7"/>
    </row>
    <row r="471" spans="1:9">
      <c r="A471" s="8"/>
      <c r="B471" s="8"/>
      <c r="C471" s="8"/>
      <c r="D471" s="8"/>
      <c r="E471" s="8"/>
      <c r="F471" s="8"/>
      <c r="G471" s="8"/>
      <c r="H471" s="8"/>
      <c r="I471" s="7"/>
    </row>
    <row r="472" spans="1:9">
      <c r="A472" s="8"/>
      <c r="B472" s="8"/>
      <c r="C472" s="8"/>
      <c r="D472" s="8"/>
      <c r="E472" s="8"/>
      <c r="F472" s="8"/>
      <c r="G472" s="8"/>
      <c r="H472" s="8"/>
      <c r="I472" s="7"/>
    </row>
    <row r="473" spans="1:9">
      <c r="A473" s="8"/>
      <c r="B473" s="8"/>
      <c r="C473" s="8"/>
      <c r="D473" s="8"/>
      <c r="E473" s="8"/>
      <c r="F473" s="8"/>
      <c r="G473" s="8"/>
      <c r="H473" s="8"/>
      <c r="I473" s="7"/>
    </row>
    <row r="474" spans="1:9">
      <c r="A474" s="8"/>
      <c r="B474" s="8"/>
      <c r="C474" s="8"/>
      <c r="D474" s="8"/>
      <c r="E474" s="8"/>
      <c r="F474" s="8"/>
      <c r="G474" s="8"/>
      <c r="H474" s="8"/>
      <c r="I474" s="7"/>
    </row>
    <row r="475" spans="1:9">
      <c r="A475" s="8"/>
      <c r="B475" s="8"/>
      <c r="C475" s="8"/>
      <c r="D475" s="8"/>
      <c r="E475" s="8"/>
      <c r="F475" s="8"/>
      <c r="G475" s="8"/>
      <c r="H475" s="8"/>
      <c r="I475" s="7"/>
    </row>
    <row r="476" spans="1:9">
      <c r="A476" s="8"/>
      <c r="B476" s="8"/>
      <c r="C476" s="8"/>
      <c r="D476" s="8"/>
      <c r="E476" s="8"/>
      <c r="F476" s="8"/>
      <c r="G476" s="8"/>
      <c r="H476" s="8"/>
      <c r="I476" s="7"/>
    </row>
    <row r="477" spans="1:9">
      <c r="A477" s="8"/>
      <c r="B477" s="8"/>
      <c r="C477" s="8"/>
      <c r="D477" s="8"/>
      <c r="E477" s="8"/>
      <c r="F477" s="8"/>
      <c r="G477" s="8"/>
      <c r="H477" s="8"/>
      <c r="I477" s="7"/>
    </row>
    <row r="478" spans="1:9">
      <c r="A478" s="8"/>
      <c r="B478" s="8"/>
      <c r="C478" s="8"/>
      <c r="D478" s="8"/>
      <c r="E478" s="8"/>
      <c r="F478" s="8"/>
      <c r="G478" s="8"/>
      <c r="H478" s="8"/>
      <c r="I478" s="7"/>
    </row>
    <row r="479" spans="1:9">
      <c r="A479" s="8"/>
      <c r="B479" s="8"/>
      <c r="C479" s="8"/>
      <c r="D479" s="8"/>
      <c r="E479" s="8"/>
      <c r="F479" s="8"/>
      <c r="G479" s="8"/>
      <c r="H479" s="8"/>
      <c r="I479" s="7"/>
    </row>
    <row r="480" spans="1:9">
      <c r="A480" s="8"/>
      <c r="B480" s="8"/>
      <c r="C480" s="8"/>
      <c r="D480" s="8"/>
      <c r="E480" s="8"/>
      <c r="F480" s="8"/>
      <c r="G480" s="8"/>
      <c r="H480" s="8"/>
      <c r="I480" s="7"/>
    </row>
    <row r="481" spans="1:9">
      <c r="A481" s="8"/>
      <c r="B481" s="8"/>
      <c r="C481" s="8"/>
      <c r="D481" s="8"/>
      <c r="E481" s="8"/>
      <c r="F481" s="8"/>
      <c r="G481" s="8"/>
      <c r="H481" s="8"/>
      <c r="I481" s="7"/>
    </row>
    <row r="482" spans="1:9">
      <c r="A482" s="8"/>
      <c r="B482" s="8"/>
      <c r="C482" s="8"/>
      <c r="D482" s="8"/>
      <c r="E482" s="8"/>
      <c r="F482" s="8"/>
      <c r="G482" s="8"/>
      <c r="H482" s="8"/>
      <c r="I482" s="7"/>
    </row>
    <row r="483" spans="1:9">
      <c r="A483" s="8"/>
      <c r="B483" s="8"/>
      <c r="C483" s="8"/>
      <c r="D483" s="8"/>
      <c r="E483" s="8"/>
      <c r="F483" s="8"/>
      <c r="G483" s="8"/>
      <c r="H483" s="8"/>
      <c r="I483" s="7"/>
    </row>
    <row r="484" spans="1:9">
      <c r="A484" s="8"/>
      <c r="B484" s="8"/>
      <c r="C484" s="8"/>
      <c r="D484" s="8"/>
      <c r="E484" s="8"/>
      <c r="F484" s="8"/>
      <c r="G484" s="8"/>
      <c r="H484" s="8"/>
      <c r="I484" s="7"/>
    </row>
    <row r="485" spans="1:9">
      <c r="A485" s="8"/>
      <c r="B485" s="8"/>
      <c r="C485" s="8"/>
      <c r="D485" s="8"/>
      <c r="E485" s="8"/>
      <c r="F485" s="8"/>
      <c r="G485" s="8"/>
      <c r="H485" s="8"/>
      <c r="I485" s="7"/>
    </row>
    <row r="486" spans="1:9">
      <c r="A486" s="8"/>
      <c r="B486" s="8"/>
      <c r="C486" s="8"/>
      <c r="D486" s="8"/>
      <c r="E486" s="8"/>
      <c r="F486" s="8"/>
      <c r="G486" s="8"/>
      <c r="H486" s="8"/>
      <c r="I486" s="7"/>
    </row>
    <row r="487" spans="1:9">
      <c r="A487" s="8"/>
      <c r="B487" s="8"/>
      <c r="C487" s="8"/>
      <c r="D487" s="8"/>
      <c r="E487" s="8"/>
      <c r="F487" s="8"/>
      <c r="G487" s="8"/>
      <c r="H487" s="8"/>
      <c r="I487" s="7"/>
    </row>
    <row r="488" spans="1:9">
      <c r="A488" s="8"/>
      <c r="B488" s="8"/>
      <c r="C488" s="8"/>
      <c r="D488" s="8"/>
      <c r="E488" s="8"/>
      <c r="F488" s="8"/>
      <c r="G488" s="8"/>
      <c r="H488" s="8"/>
      <c r="I488" s="7"/>
    </row>
    <row r="489" spans="1:9">
      <c r="A489" s="8"/>
      <c r="B489" s="8"/>
      <c r="C489" s="8"/>
      <c r="D489" s="8"/>
      <c r="E489" s="8"/>
      <c r="F489" s="8"/>
      <c r="G489" s="8"/>
      <c r="H489" s="8"/>
      <c r="I489" s="7"/>
    </row>
    <row r="490" spans="1:9">
      <c r="A490" s="8"/>
      <c r="B490" s="8"/>
      <c r="C490" s="8"/>
      <c r="D490" s="8"/>
      <c r="E490" s="8"/>
      <c r="F490" s="8"/>
      <c r="G490" s="8"/>
      <c r="H490" s="8"/>
      <c r="I490" s="7"/>
    </row>
    <row r="491" spans="1:9">
      <c r="A491" s="8"/>
      <c r="B491" s="8"/>
      <c r="C491" s="8"/>
      <c r="D491" s="8"/>
      <c r="E491" s="8"/>
      <c r="F491" s="8"/>
      <c r="G491" s="8"/>
      <c r="H491" s="8"/>
      <c r="I491" s="7"/>
    </row>
    <row r="492" spans="1:9">
      <c r="A492" s="8"/>
      <c r="B492" s="8"/>
      <c r="C492" s="8"/>
      <c r="D492" s="8"/>
      <c r="E492" s="8"/>
      <c r="F492" s="8"/>
      <c r="G492" s="8"/>
      <c r="H492" s="8"/>
      <c r="I492" s="7"/>
    </row>
    <row r="493" spans="1:9">
      <c r="A493" s="8"/>
      <c r="B493" s="8"/>
      <c r="C493" s="8"/>
      <c r="D493" s="8"/>
      <c r="E493" s="8"/>
      <c r="F493" s="8"/>
      <c r="G493" s="8"/>
      <c r="H493" s="8"/>
      <c r="I493" s="7"/>
    </row>
    <row r="494" spans="1:9">
      <c r="A494" s="8"/>
      <c r="B494" s="8"/>
      <c r="C494" s="8"/>
      <c r="D494" s="8"/>
      <c r="E494" s="8"/>
      <c r="F494" s="8"/>
      <c r="G494" s="8"/>
      <c r="H494" s="8"/>
      <c r="I494" s="7"/>
    </row>
    <row r="495" spans="1:9">
      <c r="A495" s="8"/>
      <c r="B495" s="8"/>
      <c r="C495" s="8"/>
      <c r="D495" s="8"/>
      <c r="E495" s="8"/>
      <c r="F495" s="8"/>
      <c r="G495" s="8"/>
      <c r="H495" s="8"/>
      <c r="I495" s="7"/>
    </row>
    <row r="496" spans="1:9">
      <c r="A496" s="8"/>
      <c r="B496" s="8"/>
      <c r="C496" s="8"/>
      <c r="D496" s="8"/>
      <c r="E496" s="8"/>
      <c r="F496" s="8"/>
      <c r="G496" s="8"/>
      <c r="H496" s="8"/>
      <c r="I496" s="7"/>
    </row>
    <row r="497" spans="1:9">
      <c r="A497" s="8"/>
      <c r="B497" s="8"/>
      <c r="C497" s="8"/>
      <c r="D497" s="8"/>
      <c r="E497" s="8"/>
      <c r="F497" s="8"/>
      <c r="G497" s="8"/>
      <c r="H497" s="8"/>
      <c r="I497" s="7"/>
    </row>
    <row r="498" spans="1:9">
      <c r="A498" s="8"/>
      <c r="B498" s="8"/>
      <c r="C498" s="8"/>
      <c r="D498" s="8"/>
      <c r="E498" s="8"/>
      <c r="F498" s="8"/>
      <c r="G498" s="8"/>
      <c r="H498" s="8"/>
      <c r="I498" s="7"/>
    </row>
    <row r="499" spans="1:9">
      <c r="A499" s="8"/>
      <c r="B499" s="8"/>
      <c r="C499" s="8"/>
      <c r="D499" s="8"/>
      <c r="E499" s="8"/>
      <c r="F499" s="8"/>
      <c r="G499" s="8"/>
      <c r="H499" s="8"/>
      <c r="I499" s="7"/>
    </row>
    <row r="500" spans="1:9">
      <c r="A500" s="8"/>
      <c r="B500" s="8"/>
      <c r="C500" s="8"/>
      <c r="D500" s="8"/>
      <c r="E500" s="8"/>
      <c r="F500" s="8"/>
      <c r="G500" s="8"/>
      <c r="H500" s="8"/>
      <c r="I500" s="7"/>
    </row>
    <row r="501" spans="1:9">
      <c r="A501" s="8"/>
      <c r="B501" s="8"/>
      <c r="C501" s="8"/>
      <c r="D501" s="8"/>
      <c r="E501" s="8"/>
      <c r="F501" s="8"/>
      <c r="G501" s="8"/>
      <c r="H501" s="8"/>
      <c r="I501" s="7"/>
    </row>
    <row r="502" spans="1:9">
      <c r="A502" s="8"/>
      <c r="B502" s="8"/>
      <c r="C502" s="8"/>
      <c r="D502" s="8"/>
      <c r="E502" s="8"/>
      <c r="F502" s="8"/>
      <c r="G502" s="8"/>
      <c r="H502" s="8"/>
      <c r="I502" s="7"/>
    </row>
    <row r="503" spans="1:9">
      <c r="A503" s="8"/>
      <c r="B503" s="8"/>
      <c r="C503" s="8"/>
      <c r="D503" s="8"/>
      <c r="E503" s="8"/>
      <c r="F503" s="8"/>
      <c r="G503" s="8"/>
      <c r="H503" s="8"/>
      <c r="I503" s="7"/>
    </row>
    <row r="504" spans="1:9">
      <c r="A504" s="8"/>
      <c r="B504" s="8"/>
      <c r="C504" s="8"/>
      <c r="D504" s="8"/>
      <c r="E504" s="8"/>
      <c r="F504" s="8"/>
      <c r="G504" s="8"/>
      <c r="H504" s="8"/>
      <c r="I504" s="7"/>
    </row>
    <row r="505" spans="1:9">
      <c r="A505" s="8"/>
      <c r="B505" s="8"/>
      <c r="C505" s="8"/>
      <c r="D505" s="8"/>
      <c r="E505" s="8"/>
      <c r="F505" s="8"/>
      <c r="G505" s="8"/>
      <c r="H505" s="8"/>
      <c r="I505" s="7"/>
    </row>
    <row r="506" spans="1:9">
      <c r="A506" s="8"/>
      <c r="B506" s="8"/>
      <c r="C506" s="8"/>
      <c r="D506" s="8"/>
      <c r="E506" s="8"/>
      <c r="F506" s="8"/>
      <c r="G506" s="8"/>
      <c r="H506" s="8"/>
      <c r="I506" s="7"/>
    </row>
    <row r="507" spans="1:9">
      <c r="A507" s="8"/>
      <c r="B507" s="8"/>
      <c r="C507" s="8"/>
      <c r="D507" s="8"/>
      <c r="E507" s="8"/>
      <c r="F507" s="8"/>
      <c r="G507" s="8"/>
      <c r="H507" s="8"/>
      <c r="I507" s="7"/>
    </row>
    <row r="508" spans="1:9">
      <c r="A508" s="8"/>
      <c r="B508" s="8"/>
      <c r="C508" s="8"/>
      <c r="D508" s="8"/>
      <c r="E508" s="8"/>
      <c r="F508" s="8"/>
      <c r="G508" s="8"/>
      <c r="H508" s="8"/>
      <c r="I508" s="7"/>
    </row>
    <row r="509" spans="1:9">
      <c r="A509" s="8"/>
      <c r="B509" s="8"/>
      <c r="C509" s="8"/>
      <c r="D509" s="8"/>
      <c r="E509" s="8"/>
      <c r="F509" s="8"/>
      <c r="G509" s="8"/>
      <c r="H509" s="8"/>
      <c r="I509" s="7"/>
    </row>
    <row r="510" spans="1:9">
      <c r="A510" s="8"/>
      <c r="B510" s="8"/>
      <c r="C510" s="8"/>
      <c r="D510" s="8"/>
      <c r="E510" s="8"/>
      <c r="F510" s="8"/>
      <c r="G510" s="8"/>
      <c r="H510" s="8"/>
      <c r="I510" s="7"/>
    </row>
    <row r="511" spans="1:9">
      <c r="A511" s="8"/>
      <c r="B511" s="8"/>
      <c r="C511" s="8"/>
      <c r="D511" s="8"/>
      <c r="E511" s="8"/>
      <c r="F511" s="8"/>
      <c r="G511" s="8"/>
      <c r="H511" s="8"/>
      <c r="I511" s="7"/>
    </row>
    <row r="512" spans="1:9">
      <c r="A512" s="8"/>
      <c r="B512" s="8"/>
      <c r="C512" s="8"/>
      <c r="D512" s="8"/>
      <c r="E512" s="8"/>
      <c r="F512" s="8"/>
      <c r="G512" s="8"/>
      <c r="H512" s="8"/>
      <c r="I512" s="7"/>
    </row>
    <row r="513" spans="1:9">
      <c r="A513" s="8"/>
      <c r="B513" s="8"/>
      <c r="C513" s="8"/>
      <c r="D513" s="8"/>
      <c r="E513" s="8"/>
      <c r="F513" s="8"/>
      <c r="G513" s="8"/>
      <c r="H513" s="8"/>
      <c r="I513" s="7"/>
    </row>
    <row r="514" spans="1:9">
      <c r="A514" s="8"/>
      <c r="B514" s="8"/>
      <c r="C514" s="8"/>
      <c r="D514" s="8"/>
      <c r="E514" s="8"/>
      <c r="F514" s="8"/>
      <c r="G514" s="8"/>
      <c r="H514" s="8"/>
      <c r="I514" s="7"/>
    </row>
    <row r="515" spans="1:9">
      <c r="A515" s="8"/>
      <c r="B515" s="8"/>
      <c r="C515" s="8"/>
      <c r="D515" s="8"/>
      <c r="E515" s="8"/>
      <c r="F515" s="8"/>
      <c r="G515" s="8"/>
      <c r="H515" s="8"/>
      <c r="I515" s="7"/>
    </row>
    <row r="516" spans="1:9">
      <c r="A516" s="8"/>
      <c r="B516" s="8"/>
      <c r="C516" s="8"/>
      <c r="D516" s="8"/>
      <c r="E516" s="8"/>
      <c r="F516" s="8"/>
      <c r="G516" s="8"/>
      <c r="H516" s="8"/>
      <c r="I516" s="7"/>
    </row>
    <row r="517" spans="1:9">
      <c r="A517" s="8"/>
      <c r="B517" s="8"/>
      <c r="C517" s="8"/>
      <c r="D517" s="8"/>
      <c r="E517" s="8"/>
      <c r="F517" s="8"/>
      <c r="G517" s="8"/>
      <c r="H517" s="8"/>
      <c r="I517" s="7"/>
    </row>
    <row r="518" spans="1:9">
      <c r="A518" s="8"/>
      <c r="B518" s="8"/>
      <c r="C518" s="8"/>
      <c r="D518" s="8"/>
      <c r="E518" s="8"/>
      <c r="F518" s="8"/>
      <c r="G518" s="8"/>
      <c r="H518" s="8"/>
      <c r="I518" s="7"/>
    </row>
    <row r="519" spans="1:9">
      <c r="A519" s="8"/>
      <c r="B519" s="8"/>
      <c r="C519" s="8"/>
      <c r="D519" s="8"/>
      <c r="E519" s="8"/>
      <c r="F519" s="8"/>
      <c r="G519" s="8"/>
      <c r="H519" s="8"/>
      <c r="I519" s="7"/>
    </row>
    <row r="520" spans="1:9">
      <c r="A520" s="8"/>
      <c r="B520" s="8"/>
      <c r="C520" s="8"/>
      <c r="D520" s="8"/>
      <c r="E520" s="8"/>
      <c r="F520" s="8"/>
      <c r="G520" s="8"/>
      <c r="H520" s="8"/>
      <c r="I520" s="7"/>
    </row>
    <row r="521" spans="1:9">
      <c r="A521" s="8"/>
      <c r="B521" s="8"/>
      <c r="C521" s="8"/>
      <c r="D521" s="8"/>
      <c r="E521" s="8"/>
      <c r="F521" s="8"/>
      <c r="G521" s="8"/>
      <c r="H521" s="8"/>
      <c r="I521" s="7"/>
    </row>
    <row r="522" spans="1:9">
      <c r="A522" s="8"/>
      <c r="B522" s="8"/>
      <c r="C522" s="8"/>
      <c r="D522" s="8"/>
      <c r="E522" s="8"/>
      <c r="F522" s="8"/>
      <c r="G522" s="8"/>
      <c r="H522" s="8"/>
      <c r="I522" s="7"/>
    </row>
    <row r="523" spans="1:9">
      <c r="A523" s="8"/>
      <c r="B523" s="8"/>
      <c r="C523" s="8"/>
      <c r="D523" s="8"/>
      <c r="E523" s="8"/>
      <c r="F523" s="8"/>
      <c r="G523" s="8"/>
      <c r="H523" s="8"/>
      <c r="I523" s="7"/>
    </row>
    <row r="524" spans="1:9">
      <c r="A524" s="8"/>
      <c r="B524" s="8"/>
      <c r="C524" s="8"/>
      <c r="D524" s="8"/>
      <c r="E524" s="8"/>
      <c r="F524" s="8"/>
      <c r="G524" s="8"/>
      <c r="H524" s="8"/>
      <c r="I524" s="7"/>
    </row>
    <row r="525" spans="1:9">
      <c r="A525" s="8"/>
      <c r="B525" s="8"/>
      <c r="C525" s="8"/>
      <c r="D525" s="8"/>
      <c r="E525" s="8"/>
      <c r="F525" s="8"/>
      <c r="G525" s="8"/>
      <c r="H525" s="8"/>
      <c r="I525" s="7"/>
    </row>
    <row r="526" spans="1:9">
      <c r="A526" s="8"/>
      <c r="B526" s="8"/>
      <c r="C526" s="8"/>
      <c r="D526" s="8"/>
      <c r="E526" s="8"/>
      <c r="F526" s="8"/>
      <c r="G526" s="8"/>
      <c r="H526" s="8"/>
      <c r="I526" s="7"/>
    </row>
    <row r="527" spans="1:9">
      <c r="A527" s="8"/>
      <c r="B527" s="8"/>
      <c r="C527" s="8"/>
      <c r="D527" s="8"/>
      <c r="E527" s="8"/>
      <c r="F527" s="8"/>
      <c r="G527" s="8"/>
      <c r="H527" s="8"/>
      <c r="I527" s="7"/>
    </row>
    <row r="528" spans="1:9">
      <c r="A528" s="8"/>
      <c r="B528" s="8"/>
      <c r="C528" s="8"/>
      <c r="D528" s="8"/>
      <c r="E528" s="8"/>
      <c r="F528" s="8"/>
      <c r="G528" s="8"/>
      <c r="H528" s="8"/>
      <c r="I528" s="7"/>
    </row>
    <row r="529" spans="1:9">
      <c r="A529" s="8"/>
      <c r="B529" s="8"/>
      <c r="C529" s="8"/>
      <c r="D529" s="8"/>
      <c r="E529" s="8"/>
      <c r="F529" s="8"/>
      <c r="G529" s="8"/>
      <c r="H529" s="8"/>
      <c r="I529" s="7"/>
    </row>
    <row r="530" spans="1:9">
      <c r="A530" s="8"/>
      <c r="B530" s="8"/>
      <c r="C530" s="8"/>
      <c r="D530" s="8"/>
      <c r="E530" s="8"/>
      <c r="F530" s="8"/>
      <c r="G530" s="8"/>
      <c r="H530" s="8"/>
      <c r="I530" s="7"/>
    </row>
    <row r="531" spans="1:9">
      <c r="A531" s="8"/>
      <c r="B531" s="8"/>
      <c r="C531" s="8"/>
      <c r="D531" s="8"/>
      <c r="E531" s="8"/>
      <c r="F531" s="8"/>
      <c r="G531" s="8"/>
      <c r="H531" s="8"/>
      <c r="I531" s="7"/>
    </row>
    <row r="532" spans="1:9">
      <c r="A532" s="8"/>
      <c r="B532" s="8"/>
      <c r="C532" s="8"/>
      <c r="D532" s="8"/>
      <c r="E532" s="8"/>
      <c r="F532" s="8"/>
      <c r="G532" s="8"/>
      <c r="H532" s="8"/>
      <c r="I532" s="7"/>
    </row>
    <row r="533" spans="1:9">
      <c r="A533" s="8"/>
      <c r="B533" s="8"/>
      <c r="C533" s="8"/>
      <c r="D533" s="8"/>
      <c r="E533" s="8"/>
      <c r="F533" s="8"/>
      <c r="G533" s="8"/>
      <c r="H533" s="8"/>
      <c r="I533" s="7"/>
    </row>
    <row r="534" spans="1:9">
      <c r="A534" s="8"/>
      <c r="B534" s="8"/>
      <c r="C534" s="8"/>
      <c r="D534" s="8"/>
      <c r="E534" s="8"/>
      <c r="F534" s="8"/>
      <c r="G534" s="8"/>
      <c r="H534" s="8"/>
      <c r="I534" s="7"/>
    </row>
    <row r="535" spans="1:9">
      <c r="A535" s="8"/>
      <c r="B535" s="8"/>
      <c r="C535" s="8"/>
      <c r="D535" s="8"/>
      <c r="E535" s="8"/>
      <c r="F535" s="8"/>
      <c r="G535" s="8"/>
      <c r="H535" s="8"/>
      <c r="I535" s="7"/>
    </row>
    <row r="536" spans="1:9">
      <c r="A536" s="8"/>
      <c r="B536" s="8"/>
      <c r="C536" s="8"/>
      <c r="D536" s="8"/>
      <c r="E536" s="8"/>
      <c r="F536" s="8"/>
      <c r="G536" s="8"/>
      <c r="H536" s="8"/>
      <c r="I536" s="7"/>
    </row>
    <row r="537" spans="1:9">
      <c r="A537" s="8"/>
      <c r="B537" s="8"/>
      <c r="C537" s="8"/>
      <c r="D537" s="8"/>
      <c r="E537" s="8"/>
      <c r="F537" s="8"/>
      <c r="G537" s="8"/>
      <c r="H537" s="8"/>
      <c r="I537" s="7"/>
    </row>
    <row r="538" spans="1:9">
      <c r="A538" s="8"/>
      <c r="B538" s="8"/>
      <c r="C538" s="8"/>
      <c r="D538" s="8"/>
      <c r="E538" s="8"/>
      <c r="F538" s="8"/>
      <c r="G538" s="8"/>
      <c r="H538" s="8"/>
      <c r="I538" s="7"/>
    </row>
    <row r="539" spans="1:9">
      <c r="A539" s="8"/>
      <c r="B539" s="8"/>
      <c r="C539" s="8"/>
      <c r="D539" s="8"/>
      <c r="E539" s="8"/>
      <c r="F539" s="8"/>
      <c r="G539" s="8"/>
      <c r="H539" s="8"/>
      <c r="I539" s="7"/>
    </row>
    <row r="540" spans="1:9">
      <c r="A540" s="8"/>
      <c r="B540" s="8"/>
      <c r="C540" s="8"/>
      <c r="D540" s="8"/>
      <c r="E540" s="8"/>
      <c r="F540" s="8"/>
      <c r="G540" s="8"/>
      <c r="H540" s="8"/>
      <c r="I540" s="7"/>
    </row>
    <row r="541" spans="1:9">
      <c r="A541" s="8"/>
      <c r="B541" s="8"/>
      <c r="C541" s="8"/>
      <c r="D541" s="8"/>
      <c r="E541" s="8"/>
      <c r="F541" s="8"/>
      <c r="G541" s="8"/>
      <c r="H541" s="8"/>
      <c r="I541" s="7"/>
    </row>
    <row r="542" spans="1:9">
      <c r="A542" s="8"/>
      <c r="B542" s="8"/>
      <c r="C542" s="8"/>
      <c r="D542" s="8"/>
      <c r="E542" s="8"/>
      <c r="F542" s="8"/>
      <c r="G542" s="8"/>
      <c r="H542" s="8"/>
      <c r="I542" s="7"/>
    </row>
    <row r="543" spans="1:9">
      <c r="A543" s="8"/>
      <c r="B543" s="8"/>
      <c r="C543" s="8"/>
      <c r="D543" s="8"/>
      <c r="E543" s="8"/>
      <c r="F543" s="8"/>
      <c r="G543" s="8"/>
      <c r="H543" s="8"/>
      <c r="I543" s="7"/>
    </row>
    <row r="544" spans="1:9">
      <c r="A544" s="8"/>
      <c r="B544" s="8"/>
      <c r="C544" s="8"/>
      <c r="D544" s="8"/>
      <c r="E544" s="8"/>
      <c r="F544" s="8"/>
      <c r="G544" s="8"/>
      <c r="H544" s="8"/>
      <c r="I544" s="7"/>
    </row>
    <row r="545" spans="1:9">
      <c r="A545" s="8"/>
      <c r="B545" s="8"/>
      <c r="C545" s="8"/>
      <c r="D545" s="8"/>
      <c r="E545" s="8"/>
      <c r="F545" s="8"/>
      <c r="G545" s="8"/>
      <c r="H545" s="8"/>
      <c r="I545" s="7"/>
    </row>
    <row r="546" spans="1:9">
      <c r="A546" s="8"/>
      <c r="B546" s="8"/>
      <c r="C546" s="8"/>
      <c r="D546" s="8"/>
      <c r="E546" s="8"/>
      <c r="F546" s="8"/>
      <c r="G546" s="8"/>
      <c r="H546" s="8"/>
      <c r="I546" s="7"/>
    </row>
    <row r="547" spans="1:9">
      <c r="A547" s="8"/>
      <c r="B547" s="8"/>
      <c r="C547" s="8"/>
      <c r="D547" s="8"/>
      <c r="E547" s="8"/>
      <c r="F547" s="8"/>
      <c r="G547" s="8"/>
      <c r="H547" s="8"/>
      <c r="I547" s="7"/>
    </row>
    <row r="548" spans="1:9">
      <c r="A548" s="8"/>
      <c r="B548" s="8"/>
      <c r="C548" s="8"/>
      <c r="D548" s="8"/>
      <c r="E548" s="8"/>
      <c r="F548" s="8"/>
      <c r="G548" s="8"/>
      <c r="H548" s="8"/>
      <c r="I548" s="7"/>
    </row>
    <row r="549" spans="1:9">
      <c r="A549" s="8"/>
      <c r="B549" s="8"/>
      <c r="C549" s="8"/>
      <c r="D549" s="8"/>
      <c r="E549" s="8"/>
      <c r="F549" s="8"/>
      <c r="G549" s="8"/>
      <c r="H549" s="8"/>
      <c r="I549" s="7"/>
    </row>
    <row r="550" spans="1:9">
      <c r="A550" s="8"/>
      <c r="B550" s="8"/>
      <c r="C550" s="8"/>
      <c r="D550" s="8"/>
      <c r="E550" s="8"/>
      <c r="F550" s="8"/>
      <c r="G550" s="8"/>
      <c r="H550" s="8"/>
      <c r="I550" s="7"/>
    </row>
    <row r="551" spans="1:9">
      <c r="A551" s="8"/>
      <c r="B551" s="8"/>
      <c r="C551" s="8"/>
      <c r="D551" s="8"/>
      <c r="E551" s="8"/>
      <c r="F551" s="8"/>
      <c r="G551" s="8"/>
      <c r="H551" s="8"/>
      <c r="I551" s="7"/>
    </row>
    <row r="552" spans="1:9">
      <c r="A552" s="8"/>
      <c r="B552" s="8"/>
      <c r="C552" s="8"/>
      <c r="D552" s="8"/>
      <c r="E552" s="8"/>
      <c r="F552" s="8"/>
      <c r="G552" s="8"/>
      <c r="H552" s="8"/>
      <c r="I552" s="7"/>
    </row>
    <row r="553" spans="1:9">
      <c r="A553" s="8"/>
      <c r="B553" s="8"/>
      <c r="C553" s="8"/>
      <c r="D553" s="8"/>
      <c r="E553" s="8"/>
      <c r="F553" s="8"/>
      <c r="G553" s="8"/>
      <c r="H553" s="8"/>
      <c r="I553" s="7"/>
    </row>
    <row r="554" spans="1:9">
      <c r="A554" s="8"/>
      <c r="B554" s="8"/>
      <c r="C554" s="8"/>
      <c r="D554" s="8"/>
      <c r="E554" s="8"/>
      <c r="F554" s="8"/>
      <c r="G554" s="8"/>
      <c r="H554" s="8"/>
      <c r="I554" s="7"/>
    </row>
    <row r="555" spans="1:9">
      <c r="A555" s="8"/>
      <c r="B555" s="8"/>
      <c r="C555" s="8"/>
      <c r="D555" s="8"/>
      <c r="E555" s="8"/>
      <c r="F555" s="8"/>
      <c r="G555" s="8"/>
      <c r="H555" s="8"/>
      <c r="I555" s="7"/>
    </row>
    <row r="556" spans="1:9">
      <c r="A556" s="8"/>
      <c r="B556" s="8"/>
      <c r="C556" s="8"/>
      <c r="D556" s="8"/>
      <c r="E556" s="8"/>
      <c r="F556" s="8"/>
      <c r="G556" s="8"/>
      <c r="H556" s="8"/>
      <c r="I556" s="7"/>
    </row>
    <row r="557" spans="1:9">
      <c r="A557" s="8"/>
      <c r="B557" s="8"/>
      <c r="C557" s="8"/>
      <c r="D557" s="8"/>
      <c r="E557" s="8"/>
      <c r="F557" s="8"/>
      <c r="G557" s="8"/>
      <c r="H557" s="8"/>
      <c r="I557" s="7"/>
    </row>
    <row r="558" spans="1:9">
      <c r="A558" s="8"/>
      <c r="B558" s="8"/>
      <c r="C558" s="8"/>
      <c r="D558" s="8"/>
      <c r="E558" s="8"/>
      <c r="F558" s="8"/>
      <c r="G558" s="8"/>
      <c r="H558" s="8"/>
      <c r="I558" s="7"/>
    </row>
    <row r="559" spans="1:9">
      <c r="A559" s="8"/>
      <c r="B559" s="8"/>
      <c r="C559" s="8"/>
      <c r="D559" s="8"/>
      <c r="E559" s="8"/>
      <c r="F559" s="8"/>
      <c r="G559" s="8"/>
      <c r="H559" s="8"/>
      <c r="I559" s="7"/>
    </row>
    <row r="560" spans="1:9">
      <c r="A560" s="8"/>
      <c r="B560" s="8"/>
      <c r="C560" s="8"/>
      <c r="D560" s="8"/>
      <c r="E560" s="8"/>
      <c r="F560" s="8"/>
      <c r="G560" s="8"/>
      <c r="H560" s="8"/>
      <c r="I560" s="7"/>
    </row>
    <row r="561" spans="1:9">
      <c r="A561" s="8"/>
      <c r="B561" s="8"/>
      <c r="C561" s="8"/>
      <c r="D561" s="8"/>
      <c r="E561" s="8"/>
      <c r="F561" s="8"/>
      <c r="G561" s="8"/>
      <c r="H561" s="8"/>
      <c r="I561" s="7"/>
    </row>
    <row r="562" spans="1:9">
      <c r="A562" s="8"/>
      <c r="B562" s="8"/>
      <c r="C562" s="8"/>
      <c r="D562" s="8"/>
      <c r="E562" s="8"/>
      <c r="F562" s="8"/>
      <c r="G562" s="8"/>
      <c r="H562" s="8"/>
      <c r="I562" s="7"/>
    </row>
    <row r="563" spans="1:9">
      <c r="A563" s="8"/>
      <c r="B563" s="8"/>
      <c r="C563" s="8"/>
      <c r="D563" s="8"/>
      <c r="E563" s="8"/>
      <c r="F563" s="8"/>
      <c r="G563" s="8"/>
      <c r="H563" s="8"/>
      <c r="I563" s="7"/>
    </row>
    <row r="564" spans="1:9">
      <c r="A564" s="8"/>
      <c r="B564" s="8"/>
      <c r="C564" s="8"/>
      <c r="D564" s="8"/>
      <c r="E564" s="8"/>
      <c r="F564" s="8"/>
      <c r="G564" s="8"/>
      <c r="H564" s="8"/>
      <c r="I564" s="7"/>
    </row>
    <row r="565" spans="1:9">
      <c r="A565" s="8"/>
      <c r="B565" s="8"/>
      <c r="C565" s="8"/>
      <c r="D565" s="8"/>
      <c r="E565" s="8"/>
      <c r="F565" s="8"/>
      <c r="G565" s="8"/>
      <c r="H565" s="8"/>
      <c r="I565" s="7"/>
    </row>
    <row r="566" spans="1:9">
      <c r="A566" s="8"/>
      <c r="B566" s="8"/>
      <c r="C566" s="8"/>
      <c r="D566" s="8"/>
      <c r="E566" s="8"/>
      <c r="F566" s="8"/>
      <c r="G566" s="8"/>
      <c r="H566" s="8"/>
      <c r="I566" s="7"/>
    </row>
    <row r="567" spans="1:9">
      <c r="A567" s="8"/>
      <c r="B567" s="8"/>
      <c r="C567" s="8"/>
      <c r="D567" s="8"/>
      <c r="E567" s="8"/>
      <c r="F567" s="8"/>
      <c r="G567" s="8"/>
      <c r="H567" s="8"/>
      <c r="I567" s="7"/>
    </row>
    <row r="568" spans="1:9">
      <c r="A568" s="8"/>
      <c r="B568" s="8"/>
      <c r="C568" s="8"/>
      <c r="D568" s="8"/>
      <c r="E568" s="8"/>
      <c r="F568" s="8"/>
      <c r="G568" s="8"/>
      <c r="H568" s="8"/>
      <c r="I568" s="7"/>
    </row>
    <row r="569" spans="1:9">
      <c r="A569" s="8"/>
      <c r="B569" s="8"/>
      <c r="C569" s="8"/>
      <c r="D569" s="8"/>
      <c r="E569" s="8"/>
      <c r="F569" s="8"/>
      <c r="G569" s="8"/>
      <c r="H569" s="8"/>
      <c r="I569" s="7"/>
    </row>
    <row r="570" spans="1:9">
      <c r="A570" s="8"/>
      <c r="B570" s="8"/>
      <c r="C570" s="8"/>
      <c r="D570" s="8"/>
      <c r="E570" s="8"/>
      <c r="F570" s="8"/>
      <c r="G570" s="8"/>
      <c r="H570" s="8"/>
      <c r="I570" s="7"/>
    </row>
    <row r="571" spans="1:9">
      <c r="A571" s="8"/>
      <c r="B571" s="8"/>
      <c r="C571" s="8"/>
      <c r="D571" s="8"/>
      <c r="E571" s="8"/>
      <c r="F571" s="8"/>
      <c r="G571" s="8"/>
      <c r="H571" s="8"/>
      <c r="I571" s="7"/>
    </row>
    <row r="572" spans="1:9">
      <c r="A572" s="8"/>
      <c r="B572" s="8"/>
      <c r="C572" s="8"/>
      <c r="D572" s="8"/>
      <c r="E572" s="8"/>
      <c r="F572" s="8"/>
      <c r="G572" s="8"/>
      <c r="H572" s="8"/>
      <c r="I572" s="7"/>
    </row>
    <row r="573" spans="1:9">
      <c r="A573" s="8"/>
      <c r="B573" s="8"/>
      <c r="C573" s="8"/>
      <c r="D573" s="8"/>
      <c r="E573" s="8"/>
      <c r="F573" s="8"/>
      <c r="G573" s="8"/>
      <c r="H573" s="8"/>
      <c r="I573" s="7"/>
    </row>
    <row r="574" spans="1:9">
      <c r="A574" s="8"/>
      <c r="B574" s="8"/>
      <c r="C574" s="8"/>
      <c r="D574" s="8"/>
      <c r="E574" s="8"/>
      <c r="F574" s="8"/>
      <c r="G574" s="8"/>
      <c r="H574" s="8"/>
      <c r="I574" s="7"/>
    </row>
    <row r="575" spans="1:9">
      <c r="A575" s="8"/>
      <c r="B575" s="8"/>
      <c r="C575" s="8"/>
      <c r="D575" s="8"/>
      <c r="E575" s="8"/>
      <c r="F575" s="8"/>
      <c r="G575" s="8"/>
      <c r="H575" s="8"/>
      <c r="I575" s="7"/>
    </row>
    <row r="576" spans="1:9">
      <c r="A576" s="8"/>
      <c r="B576" s="8"/>
      <c r="C576" s="8"/>
      <c r="D576" s="8"/>
      <c r="E576" s="8"/>
      <c r="F576" s="8"/>
      <c r="G576" s="8"/>
      <c r="H576" s="8"/>
      <c r="I576" s="7"/>
    </row>
    <row r="577" spans="1:9">
      <c r="A577" s="8"/>
      <c r="B577" s="8"/>
      <c r="C577" s="8"/>
      <c r="D577" s="8"/>
      <c r="E577" s="8"/>
      <c r="F577" s="8"/>
      <c r="G577" s="8"/>
      <c r="H577" s="8"/>
      <c r="I577" s="7"/>
    </row>
    <row r="578" spans="1:9">
      <c r="A578" s="8"/>
      <c r="B578" s="8"/>
      <c r="C578" s="8"/>
      <c r="D578" s="8"/>
      <c r="E578" s="8"/>
      <c r="F578" s="8"/>
      <c r="G578" s="8"/>
      <c r="H578" s="8"/>
      <c r="I578" s="7"/>
    </row>
    <row r="579" spans="1:9">
      <c r="A579" s="8"/>
      <c r="B579" s="8"/>
      <c r="C579" s="8"/>
      <c r="D579" s="8"/>
      <c r="E579" s="8"/>
      <c r="F579" s="8"/>
      <c r="G579" s="8"/>
      <c r="H579" s="8"/>
      <c r="I579" s="7"/>
    </row>
    <row r="580" spans="1:9">
      <c r="A580" s="8"/>
      <c r="B580" s="8"/>
      <c r="C580" s="8"/>
      <c r="D580" s="8"/>
      <c r="E580" s="8"/>
      <c r="F580" s="8"/>
      <c r="G580" s="8"/>
      <c r="H580" s="8"/>
      <c r="I580" s="7"/>
    </row>
    <row r="581" spans="1:9">
      <c r="A581" s="8"/>
      <c r="B581" s="8"/>
      <c r="C581" s="8"/>
      <c r="D581" s="8"/>
      <c r="E581" s="8"/>
      <c r="F581" s="8"/>
      <c r="G581" s="8"/>
      <c r="H581" s="8"/>
      <c r="I581" s="7"/>
    </row>
    <row r="582" spans="1:9">
      <c r="A582" s="8"/>
      <c r="B582" s="8"/>
      <c r="C582" s="8"/>
      <c r="D582" s="8"/>
      <c r="E582" s="8"/>
      <c r="F582" s="8"/>
      <c r="G582" s="8"/>
      <c r="H582" s="8"/>
      <c r="I582" s="7"/>
    </row>
    <row r="583" spans="1:9">
      <c r="A583" s="8"/>
      <c r="B583" s="8"/>
      <c r="C583" s="8"/>
      <c r="D583" s="8"/>
      <c r="E583" s="8"/>
      <c r="F583" s="8"/>
      <c r="G583" s="8"/>
      <c r="H583" s="8"/>
      <c r="I583" s="7"/>
    </row>
    <row r="584" spans="1:9">
      <c r="A584" s="8"/>
      <c r="B584" s="8"/>
      <c r="C584" s="8"/>
      <c r="D584" s="8"/>
      <c r="E584" s="8"/>
      <c r="F584" s="8"/>
      <c r="G584" s="8"/>
      <c r="H584" s="8"/>
      <c r="I584" s="7"/>
    </row>
    <row r="585" spans="1:9">
      <c r="A585" s="8"/>
      <c r="B585" s="8"/>
      <c r="C585" s="8"/>
      <c r="D585" s="8"/>
      <c r="E585" s="8"/>
      <c r="F585" s="8"/>
      <c r="G585" s="8"/>
      <c r="H585" s="8"/>
      <c r="I585" s="7"/>
    </row>
    <row r="586" spans="1:9">
      <c r="A586" s="8"/>
      <c r="B586" s="8"/>
      <c r="C586" s="8"/>
      <c r="D586" s="8"/>
      <c r="E586" s="8"/>
      <c r="F586" s="8"/>
      <c r="G586" s="8"/>
      <c r="H586" s="8"/>
      <c r="I586" s="7"/>
    </row>
    <row r="587" spans="1:9">
      <c r="A587" s="8"/>
      <c r="B587" s="8"/>
      <c r="C587" s="8"/>
      <c r="D587" s="8"/>
      <c r="E587" s="8"/>
      <c r="F587" s="8"/>
      <c r="G587" s="8"/>
      <c r="H587" s="8"/>
      <c r="I587" s="7"/>
    </row>
    <row r="588" spans="1:9">
      <c r="A588" s="8"/>
      <c r="B588" s="8"/>
      <c r="C588" s="8"/>
      <c r="D588" s="8"/>
      <c r="E588" s="8"/>
      <c r="F588" s="8"/>
      <c r="G588" s="8"/>
      <c r="H588" s="8"/>
      <c r="I588" s="7"/>
    </row>
    <row r="589" spans="1:9">
      <c r="A589" s="8"/>
      <c r="B589" s="8"/>
      <c r="C589" s="8"/>
      <c r="D589" s="8"/>
      <c r="E589" s="8"/>
      <c r="F589" s="8"/>
      <c r="G589" s="8"/>
      <c r="H589" s="8"/>
      <c r="I589" s="7"/>
    </row>
    <row r="590" spans="1:9">
      <c r="A590" s="8"/>
      <c r="B590" s="8"/>
      <c r="C590" s="8"/>
      <c r="D590" s="8"/>
      <c r="E590" s="8"/>
      <c r="F590" s="8"/>
      <c r="G590" s="8"/>
      <c r="H590" s="8"/>
      <c r="I590" s="7"/>
    </row>
    <row r="591" spans="1:9">
      <c r="A591" s="8"/>
      <c r="B591" s="8"/>
      <c r="C591" s="8"/>
      <c r="D591" s="8"/>
      <c r="E591" s="8"/>
      <c r="F591" s="8"/>
      <c r="G591" s="8"/>
      <c r="H591" s="8"/>
      <c r="I591" s="7"/>
    </row>
    <row r="592" spans="1:9">
      <c r="A592" s="8"/>
      <c r="B592" s="8"/>
      <c r="C592" s="8"/>
      <c r="D592" s="8"/>
      <c r="E592" s="8"/>
      <c r="F592" s="8"/>
      <c r="G592" s="8"/>
      <c r="H592" s="8"/>
      <c r="I592" s="7"/>
    </row>
    <row r="593" spans="1:9">
      <c r="A593" s="8"/>
      <c r="B593" s="8"/>
      <c r="C593" s="8"/>
      <c r="D593" s="8"/>
      <c r="E593" s="8"/>
      <c r="F593" s="8"/>
      <c r="G593" s="8"/>
      <c r="H593" s="8"/>
      <c r="I593" s="7"/>
    </row>
    <row r="594" spans="1:9">
      <c r="A594" s="8"/>
      <c r="B594" s="8"/>
      <c r="C594" s="8"/>
      <c r="D594" s="8"/>
      <c r="E594" s="8"/>
      <c r="F594" s="8"/>
      <c r="G594" s="8"/>
      <c r="H594" s="8"/>
      <c r="I594" s="7"/>
    </row>
    <row r="595" spans="1:9">
      <c r="A595" s="8"/>
      <c r="B595" s="8"/>
      <c r="C595" s="8"/>
      <c r="D595" s="8"/>
      <c r="E595" s="8"/>
      <c r="F595" s="8"/>
      <c r="G595" s="8"/>
      <c r="H595" s="8"/>
      <c r="I595" s="7"/>
    </row>
    <row r="596" spans="1:9">
      <c r="A596" s="8"/>
      <c r="B596" s="8"/>
      <c r="C596" s="8"/>
      <c r="D596" s="8"/>
      <c r="E596" s="8"/>
      <c r="F596" s="8"/>
      <c r="G596" s="8"/>
      <c r="H596" s="8"/>
      <c r="I596" s="7"/>
    </row>
    <row r="597" spans="1:9">
      <c r="A597" s="8"/>
      <c r="B597" s="8"/>
      <c r="C597" s="8"/>
      <c r="D597" s="8"/>
      <c r="E597" s="8"/>
      <c r="F597" s="8"/>
      <c r="G597" s="8"/>
      <c r="H597" s="8"/>
      <c r="I597" s="7"/>
    </row>
    <row r="598" spans="1:9">
      <c r="A598" s="8"/>
      <c r="B598" s="8"/>
      <c r="C598" s="8"/>
      <c r="D598" s="8"/>
      <c r="E598" s="8"/>
      <c r="F598" s="8"/>
      <c r="G598" s="8"/>
      <c r="H598" s="8"/>
      <c r="I598" s="7"/>
    </row>
    <row r="599" spans="1:9">
      <c r="A599" s="8"/>
      <c r="B599" s="8"/>
      <c r="C599" s="8"/>
      <c r="D599" s="8"/>
      <c r="E599" s="8"/>
      <c r="F599" s="8"/>
      <c r="G599" s="8"/>
      <c r="H599" s="8"/>
      <c r="I599" s="7"/>
    </row>
    <row r="600" spans="1:9">
      <c r="A600" s="8"/>
      <c r="B600" s="8"/>
      <c r="C600" s="8"/>
      <c r="D600" s="8"/>
      <c r="E600" s="8"/>
      <c r="F600" s="8"/>
      <c r="G600" s="8"/>
      <c r="H600" s="8"/>
      <c r="I600" s="7"/>
    </row>
    <row r="601" spans="1:9">
      <c r="A601" s="8"/>
      <c r="B601" s="8"/>
      <c r="C601" s="8"/>
      <c r="D601" s="8"/>
      <c r="E601" s="8"/>
      <c r="F601" s="8"/>
      <c r="G601" s="8"/>
      <c r="H601" s="8"/>
      <c r="I601" s="7"/>
    </row>
    <row r="602" spans="1:9">
      <c r="A602" s="8"/>
      <c r="B602" s="8"/>
      <c r="C602" s="8"/>
      <c r="D602" s="8"/>
      <c r="E602" s="8"/>
      <c r="F602" s="8"/>
      <c r="G602" s="8"/>
      <c r="H602" s="8"/>
      <c r="I602" s="7"/>
    </row>
    <row r="603" spans="1:9">
      <c r="A603" s="8"/>
      <c r="B603" s="8"/>
      <c r="C603" s="8"/>
      <c r="D603" s="8"/>
      <c r="E603" s="8"/>
      <c r="F603" s="8"/>
      <c r="G603" s="8"/>
      <c r="H603" s="8"/>
      <c r="I603" s="7"/>
    </row>
    <row r="604" spans="1:9">
      <c r="A604" s="8"/>
      <c r="B604" s="8"/>
      <c r="C604" s="8"/>
      <c r="D604" s="8"/>
      <c r="E604" s="8"/>
      <c r="F604" s="8"/>
      <c r="G604" s="8"/>
      <c r="H604" s="8"/>
      <c r="I604" s="7"/>
    </row>
    <row r="605" spans="1:9">
      <c r="A605" s="8"/>
      <c r="B605" s="8"/>
      <c r="C605" s="8"/>
      <c r="D605" s="8"/>
      <c r="E605" s="8"/>
      <c r="F605" s="8"/>
      <c r="G605" s="8"/>
      <c r="H605" s="8"/>
      <c r="I605" s="7"/>
    </row>
    <row r="606" spans="1:9">
      <c r="A606" s="8"/>
      <c r="B606" s="8"/>
      <c r="C606" s="8"/>
      <c r="D606" s="8"/>
      <c r="E606" s="8"/>
      <c r="F606" s="8"/>
      <c r="G606" s="8"/>
      <c r="H606" s="8"/>
      <c r="I606" s="7"/>
    </row>
    <row r="607" spans="1:9">
      <c r="A607" s="8"/>
      <c r="B607" s="8"/>
      <c r="C607" s="8"/>
      <c r="D607" s="8"/>
      <c r="E607" s="8"/>
      <c r="F607" s="8"/>
      <c r="G607" s="8"/>
      <c r="H607" s="8"/>
      <c r="I607" s="7"/>
    </row>
    <row r="608" spans="1:9">
      <c r="A608" s="8"/>
      <c r="B608" s="8"/>
      <c r="C608" s="8"/>
      <c r="D608" s="8"/>
      <c r="E608" s="8"/>
      <c r="F608" s="8"/>
      <c r="G608" s="8"/>
      <c r="H608" s="8"/>
      <c r="I608" s="7"/>
    </row>
    <row r="609" spans="1:9">
      <c r="A609" s="8"/>
      <c r="B609" s="8"/>
      <c r="C609" s="8"/>
      <c r="D609" s="8"/>
      <c r="E609" s="8"/>
      <c r="F609" s="8"/>
      <c r="G609" s="8"/>
      <c r="H609" s="8"/>
      <c r="I609" s="7"/>
    </row>
    <row r="610" spans="1:9">
      <c r="A610" s="8"/>
      <c r="B610" s="8"/>
      <c r="C610" s="8"/>
      <c r="D610" s="8"/>
      <c r="E610" s="8"/>
      <c r="F610" s="8"/>
      <c r="G610" s="8"/>
      <c r="H610" s="8"/>
      <c r="I610" s="7"/>
    </row>
    <row r="611" spans="1:9">
      <c r="A611" s="8"/>
      <c r="B611" s="8"/>
      <c r="C611" s="8"/>
      <c r="D611" s="8"/>
      <c r="E611" s="8"/>
      <c r="F611" s="8"/>
      <c r="G611" s="8"/>
      <c r="H611" s="8"/>
      <c r="I611" s="7"/>
    </row>
    <row r="612" spans="1:9">
      <c r="A612" s="8"/>
      <c r="B612" s="8"/>
      <c r="C612" s="8"/>
      <c r="D612" s="8"/>
      <c r="E612" s="8"/>
      <c r="F612" s="8"/>
      <c r="G612" s="8"/>
      <c r="H612" s="8"/>
      <c r="I612" s="7"/>
    </row>
    <row r="613" spans="1:9">
      <c r="A613" s="8"/>
      <c r="B613" s="8"/>
      <c r="C613" s="8"/>
      <c r="D613" s="8"/>
      <c r="E613" s="8"/>
      <c r="F613" s="8"/>
      <c r="G613" s="8"/>
      <c r="H613" s="8"/>
      <c r="I613" s="7"/>
    </row>
    <row r="614" spans="1:9">
      <c r="A614" s="8"/>
      <c r="B614" s="8"/>
      <c r="C614" s="8"/>
      <c r="D614" s="8"/>
      <c r="E614" s="8"/>
      <c r="F614" s="8"/>
      <c r="G614" s="8"/>
      <c r="H614" s="8"/>
      <c r="I614" s="7"/>
    </row>
    <row r="615" spans="1:9">
      <c r="A615" s="8"/>
      <c r="B615" s="8"/>
      <c r="C615" s="8"/>
      <c r="D615" s="8"/>
      <c r="E615" s="8"/>
      <c r="F615" s="8"/>
      <c r="G615" s="8"/>
      <c r="H615" s="8"/>
      <c r="I615" s="7"/>
    </row>
    <row r="616" spans="1:9">
      <c r="A616" s="8"/>
      <c r="B616" s="8"/>
      <c r="C616" s="8"/>
      <c r="D616" s="8"/>
      <c r="E616" s="8"/>
      <c r="F616" s="8"/>
      <c r="G616" s="8"/>
      <c r="H616" s="8"/>
      <c r="I616" s="7"/>
    </row>
    <row r="617" spans="1:9">
      <c r="A617" s="8"/>
      <c r="B617" s="8"/>
      <c r="C617" s="8"/>
      <c r="D617" s="8"/>
      <c r="E617" s="8"/>
      <c r="F617" s="8"/>
      <c r="G617" s="8"/>
      <c r="H617" s="8"/>
      <c r="I617" s="7"/>
    </row>
    <row r="618" spans="1:9">
      <c r="A618" s="8"/>
      <c r="B618" s="8"/>
      <c r="C618" s="8"/>
      <c r="D618" s="8"/>
      <c r="E618" s="8"/>
      <c r="F618" s="8"/>
      <c r="G618" s="8"/>
      <c r="H618" s="8"/>
      <c r="I618" s="7"/>
    </row>
    <row r="619" spans="1:9">
      <c r="A619" s="8"/>
      <c r="B619" s="8"/>
      <c r="C619" s="8"/>
      <c r="D619" s="8"/>
      <c r="E619" s="8"/>
      <c r="F619" s="8"/>
      <c r="G619" s="8"/>
      <c r="H619" s="8"/>
      <c r="I619" s="7"/>
    </row>
    <row r="620" spans="1:9">
      <c r="A620" s="8"/>
      <c r="B620" s="8"/>
      <c r="C620" s="8"/>
      <c r="D620" s="8"/>
      <c r="E620" s="8"/>
      <c r="F620" s="8"/>
      <c r="G620" s="8"/>
      <c r="H620" s="8"/>
      <c r="I620" s="7"/>
    </row>
    <row r="621" spans="1:9">
      <c r="A621" s="8"/>
      <c r="B621" s="8"/>
      <c r="C621" s="8"/>
      <c r="D621" s="8"/>
      <c r="E621" s="8"/>
      <c r="F621" s="8"/>
      <c r="G621" s="8"/>
      <c r="H621" s="8"/>
      <c r="I621" s="7"/>
    </row>
    <row r="622" spans="1:9">
      <c r="A622" s="8"/>
      <c r="B622" s="8"/>
      <c r="C622" s="8"/>
      <c r="D622" s="8"/>
      <c r="E622" s="8"/>
      <c r="F622" s="8"/>
      <c r="G622" s="8"/>
      <c r="H622" s="8"/>
      <c r="I622" s="7"/>
    </row>
    <row r="623" spans="1:9">
      <c r="A623" s="8"/>
      <c r="B623" s="8"/>
      <c r="C623" s="8"/>
      <c r="D623" s="8"/>
      <c r="E623" s="8"/>
      <c r="F623" s="8"/>
      <c r="G623" s="8"/>
      <c r="H623" s="8"/>
      <c r="I623" s="7"/>
    </row>
    <row r="624" spans="1:9">
      <c r="A624" s="8"/>
      <c r="B624" s="8"/>
      <c r="C624" s="8"/>
      <c r="D624" s="8"/>
      <c r="E624" s="8"/>
      <c r="F624" s="8"/>
      <c r="G624" s="8"/>
      <c r="H624" s="8"/>
      <c r="I624" s="7"/>
    </row>
    <row r="625" spans="1:9">
      <c r="A625" s="8"/>
      <c r="B625" s="8"/>
      <c r="C625" s="8"/>
      <c r="D625" s="8"/>
      <c r="E625" s="8"/>
      <c r="F625" s="8"/>
      <c r="G625" s="8"/>
      <c r="H625" s="8"/>
      <c r="I625" s="7"/>
    </row>
    <row r="626" spans="1:9">
      <c r="A626" s="8"/>
      <c r="B626" s="8"/>
      <c r="C626" s="8"/>
      <c r="D626" s="8"/>
      <c r="E626" s="8"/>
      <c r="F626" s="8"/>
      <c r="G626" s="8"/>
      <c r="H626" s="8"/>
      <c r="I626" s="7"/>
    </row>
    <row r="627" spans="1:9">
      <c r="A627" s="8"/>
      <c r="B627" s="8"/>
      <c r="C627" s="8"/>
      <c r="D627" s="8"/>
      <c r="E627" s="8"/>
      <c r="F627" s="8"/>
      <c r="G627" s="8"/>
      <c r="H627" s="8"/>
      <c r="I627" s="7"/>
    </row>
    <row r="628" spans="1:9">
      <c r="A628" s="8"/>
      <c r="B628" s="8"/>
      <c r="C628" s="8"/>
      <c r="D628" s="8"/>
      <c r="E628" s="8"/>
      <c r="F628" s="8"/>
      <c r="G628" s="8"/>
      <c r="H628" s="8"/>
      <c r="I628" s="7"/>
    </row>
    <row r="629" spans="1:9">
      <c r="A629" s="8"/>
      <c r="B629" s="8"/>
      <c r="C629" s="8"/>
      <c r="D629" s="8"/>
      <c r="E629" s="8"/>
      <c r="F629" s="8"/>
      <c r="G629" s="8"/>
      <c r="H629" s="8"/>
      <c r="I629" s="7"/>
    </row>
    <row r="630" spans="1:9">
      <c r="A630" s="8"/>
      <c r="B630" s="8"/>
      <c r="C630" s="8"/>
      <c r="D630" s="8"/>
      <c r="E630" s="8"/>
      <c r="F630" s="8"/>
      <c r="G630" s="8"/>
      <c r="H630" s="8"/>
      <c r="I630" s="7"/>
    </row>
    <row r="631" spans="1:9">
      <c r="A631" s="8"/>
      <c r="B631" s="8"/>
      <c r="C631" s="8"/>
      <c r="D631" s="8"/>
      <c r="E631" s="8"/>
      <c r="F631" s="8"/>
      <c r="G631" s="8"/>
      <c r="H631" s="8"/>
      <c r="I631" s="7"/>
    </row>
    <row r="632" spans="1:9">
      <c r="A632" s="8"/>
      <c r="B632" s="8"/>
      <c r="C632" s="8"/>
      <c r="D632" s="8"/>
      <c r="E632" s="8"/>
      <c r="F632" s="8"/>
      <c r="G632" s="8"/>
      <c r="H632" s="8"/>
      <c r="I632" s="7"/>
    </row>
    <row r="633" spans="1:9">
      <c r="A633" s="8"/>
      <c r="B633" s="8"/>
      <c r="C633" s="8"/>
      <c r="D633" s="8"/>
      <c r="E633" s="8"/>
      <c r="F633" s="8"/>
      <c r="G633" s="8"/>
      <c r="H633" s="8"/>
      <c r="I633" s="7"/>
    </row>
    <row r="634" spans="1:9">
      <c r="A634" s="8"/>
      <c r="B634" s="8"/>
      <c r="C634" s="8"/>
      <c r="D634" s="8"/>
      <c r="E634" s="8"/>
      <c r="F634" s="8"/>
      <c r="G634" s="8"/>
      <c r="H634" s="8"/>
      <c r="I634" s="7"/>
    </row>
    <row r="635" spans="1:9">
      <c r="A635" s="8"/>
      <c r="B635" s="8"/>
      <c r="C635" s="8"/>
      <c r="D635" s="8"/>
      <c r="E635" s="8"/>
      <c r="F635" s="8"/>
      <c r="G635" s="8"/>
      <c r="H635" s="8"/>
      <c r="I635" s="7"/>
    </row>
    <row r="636" spans="1:9">
      <c r="A636" s="8"/>
      <c r="B636" s="8"/>
      <c r="C636" s="8"/>
      <c r="D636" s="8"/>
      <c r="E636" s="8"/>
      <c r="F636" s="8"/>
      <c r="G636" s="8"/>
      <c r="H636" s="8"/>
      <c r="I636" s="7"/>
    </row>
    <row r="637" spans="1:9">
      <c r="A637" s="8"/>
      <c r="B637" s="8"/>
      <c r="C637" s="8"/>
      <c r="D637" s="8"/>
      <c r="E637" s="8"/>
      <c r="F637" s="8"/>
      <c r="G637" s="8"/>
      <c r="H637" s="8"/>
      <c r="I637" s="7"/>
    </row>
    <row r="638" spans="1:8">
      <c r="A638" s="8"/>
      <c r="B638" s="8"/>
      <c r="C638" s="8"/>
      <c r="D638" s="8"/>
      <c r="E638" s="8"/>
      <c r="F638" s="8"/>
      <c r="G638" s="8"/>
      <c r="H638" s="8"/>
    </row>
    <row r="639" spans="1:8">
      <c r="A639" s="8"/>
      <c r="B639" s="8"/>
      <c r="C639" s="8"/>
      <c r="D639" s="8"/>
      <c r="E639" s="8"/>
      <c r="F639" s="8"/>
      <c r="G639" s="8"/>
      <c r="H639" s="8"/>
    </row>
    <row r="640" spans="1:8">
      <c r="A640" s="8"/>
      <c r="B640" s="8"/>
      <c r="C640" s="8"/>
      <c r="D640" s="8"/>
      <c r="E640" s="8"/>
      <c r="F640" s="8"/>
      <c r="G640" s="8"/>
      <c r="H640" s="8"/>
    </row>
    <row r="641" spans="1:8">
      <c r="A641" s="8"/>
      <c r="B641" s="8"/>
      <c r="C641" s="8"/>
      <c r="D641" s="8"/>
      <c r="E641" s="8"/>
      <c r="F641" s="8"/>
      <c r="G641" s="8"/>
      <c r="H641" s="8"/>
    </row>
    <row r="642" spans="1:8">
      <c r="A642" s="8"/>
      <c r="B642" s="8"/>
      <c r="C642" s="8"/>
      <c r="D642" s="8"/>
      <c r="E642" s="8"/>
      <c r="F642" s="8"/>
      <c r="G642" s="8"/>
      <c r="H642" s="8"/>
    </row>
    <row r="643" spans="1:8">
      <c r="A643" s="8"/>
      <c r="B643" s="8"/>
      <c r="C643" s="8"/>
      <c r="D643" s="8"/>
      <c r="E643" s="8"/>
      <c r="F643" s="8"/>
      <c r="G643" s="8"/>
      <c r="H643" s="8"/>
    </row>
    <row r="644" spans="1:8">
      <c r="A644" s="8"/>
      <c r="B644" s="8"/>
      <c r="C644" s="8"/>
      <c r="D644" s="8"/>
      <c r="E644" s="8"/>
      <c r="F644" s="8"/>
      <c r="G644" s="8"/>
      <c r="H644" s="8"/>
    </row>
    <row r="645" spans="1:8">
      <c r="A645" s="8"/>
      <c r="B645" s="8"/>
      <c r="C645" s="8"/>
      <c r="D645" s="8"/>
      <c r="E645" s="8"/>
      <c r="F645" s="8"/>
      <c r="G645" s="8"/>
      <c r="H645" s="8"/>
    </row>
    <row r="646" spans="1:8">
      <c r="A646" s="8"/>
      <c r="B646" s="8"/>
      <c r="C646" s="8"/>
      <c r="D646" s="8"/>
      <c r="E646" s="8"/>
      <c r="F646" s="8"/>
      <c r="G646" s="8"/>
      <c r="H646" s="8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19050</xdr:colOff>
                <xdr:row>0</xdr:row>
                <xdr:rowOff>635</xdr:rowOff>
              </from>
              <to>
                <xdr:col>9</xdr:col>
                <xdr:colOff>1270</xdr:colOff>
                <xdr:row>2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306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2" max="32" width="11.5"/>
    <col min="33" max="35" width="12.625"/>
  </cols>
  <sheetData>
    <row r="1" spans="1:36">
      <c r="A1" s="3" t="s">
        <v>123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124</v>
      </c>
      <c r="G1" s="3" t="s">
        <v>125</v>
      </c>
      <c r="H1" s="3" t="s">
        <v>126</v>
      </c>
      <c r="I1" s="3" t="s">
        <v>127</v>
      </c>
      <c r="J1" s="3" t="s">
        <v>128</v>
      </c>
      <c r="K1" s="3" t="s">
        <v>129</v>
      </c>
      <c r="L1" s="3" t="s">
        <v>130</v>
      </c>
      <c r="M1" s="3" t="s">
        <v>131</v>
      </c>
      <c r="N1" s="3" t="s">
        <v>132</v>
      </c>
      <c r="O1" s="3" t="s">
        <v>133</v>
      </c>
      <c r="P1" s="3" t="s">
        <v>134</v>
      </c>
      <c r="Q1" s="3" t="s">
        <v>135</v>
      </c>
      <c r="R1" s="3" t="s">
        <v>136</v>
      </c>
      <c r="S1" s="3" t="s">
        <v>137</v>
      </c>
      <c r="T1" s="3" t="s">
        <v>138</v>
      </c>
      <c r="U1" s="3" t="s">
        <v>139</v>
      </c>
      <c r="V1" s="3" t="s">
        <v>140</v>
      </c>
      <c r="W1" s="3" t="s">
        <v>141</v>
      </c>
      <c r="X1" s="3" t="s">
        <v>142</v>
      </c>
      <c r="Y1" s="3" t="s">
        <v>143</v>
      </c>
      <c r="Z1" s="3" t="s">
        <v>144</v>
      </c>
      <c r="AA1" s="3" t="s">
        <v>145</v>
      </c>
      <c r="AB1" s="3" t="s">
        <v>146</v>
      </c>
      <c r="AC1" s="3" t="s">
        <v>147</v>
      </c>
      <c r="AD1" s="3" t="s">
        <v>148</v>
      </c>
      <c r="AE1" s="3" t="s">
        <v>149</v>
      </c>
      <c r="AF1" s="3" t="s">
        <v>150</v>
      </c>
      <c r="AG1" s="3" t="s">
        <v>151</v>
      </c>
      <c r="AH1" s="3" t="s">
        <v>152</v>
      </c>
      <c r="AI1" s="3" t="s">
        <v>153</v>
      </c>
      <c r="AJ1" s="3" t="s">
        <v>154</v>
      </c>
    </row>
    <row r="2" spans="1:36">
      <c r="A2" s="6">
        <v>43288</v>
      </c>
      <c r="B2" s="3" t="s">
        <v>155</v>
      </c>
      <c r="C2" s="3" t="s">
        <v>156</v>
      </c>
      <c r="D2" s="3" t="s">
        <v>157</v>
      </c>
      <c r="E2" s="3" t="s">
        <v>158</v>
      </c>
      <c r="F2" s="3" t="s">
        <v>159</v>
      </c>
      <c r="G2" s="3">
        <v>3</v>
      </c>
      <c r="H2" s="3">
        <v>0</v>
      </c>
      <c r="I2" s="3">
        <v>3</v>
      </c>
      <c r="J2" s="3">
        <v>0</v>
      </c>
      <c r="K2" s="3">
        <v>0</v>
      </c>
      <c r="L2" s="3">
        <v>0</v>
      </c>
      <c r="M2" s="3">
        <v>0</v>
      </c>
      <c r="N2" s="3" t="s">
        <v>160</v>
      </c>
      <c r="O2" s="3">
        <v>0</v>
      </c>
      <c r="P2" s="3">
        <v>0</v>
      </c>
      <c r="Q2" s="3">
        <v>0</v>
      </c>
      <c r="R2" s="3">
        <v>0</v>
      </c>
      <c r="S2" s="3">
        <v>2</v>
      </c>
      <c r="T2" s="3">
        <v>2</v>
      </c>
      <c r="U2" s="3">
        <v>2</v>
      </c>
      <c r="V2" s="3">
        <v>2</v>
      </c>
      <c r="W2" s="3" t="s">
        <v>161</v>
      </c>
      <c r="X2" s="3">
        <v>12.99</v>
      </c>
      <c r="Y2" s="3">
        <v>12.99</v>
      </c>
      <c r="Z2" s="3">
        <v>12.99</v>
      </c>
      <c r="AA2" s="3">
        <v>0</v>
      </c>
      <c r="AB2" s="3" t="s">
        <v>162</v>
      </c>
      <c r="AC2" s="3">
        <v>3</v>
      </c>
      <c r="AD2" s="3">
        <v>12.99</v>
      </c>
      <c r="AE2" s="3">
        <v>0</v>
      </c>
      <c r="AF2" s="3">
        <v>0</v>
      </c>
      <c r="AG2" s="3">
        <v>0</v>
      </c>
      <c r="AH2" s="3">
        <v>1.33333333333333</v>
      </c>
      <c r="AI2" s="3" t="s">
        <v>163</v>
      </c>
      <c r="AJ2" s="3" t="s">
        <v>164</v>
      </c>
    </row>
    <row r="3" spans="1:36">
      <c r="A3" s="6">
        <v>43288</v>
      </c>
      <c r="B3" s="3" t="s">
        <v>165</v>
      </c>
      <c r="C3" s="3" t="s">
        <v>166</v>
      </c>
      <c r="D3" s="3" t="s">
        <v>167</v>
      </c>
      <c r="E3" s="3" t="s">
        <v>168</v>
      </c>
      <c r="F3" s="3" t="s">
        <v>159</v>
      </c>
      <c r="G3" s="3">
        <v>4</v>
      </c>
      <c r="H3" s="3">
        <v>0</v>
      </c>
      <c r="I3" s="3">
        <v>0</v>
      </c>
      <c r="J3" s="3">
        <v>4</v>
      </c>
      <c r="K3" s="3">
        <v>0</v>
      </c>
      <c r="L3" s="3">
        <v>0</v>
      </c>
      <c r="M3" s="3">
        <v>0</v>
      </c>
      <c r="N3" s="3" t="s">
        <v>160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1</v>
      </c>
      <c r="W3" s="3" t="s">
        <v>161</v>
      </c>
      <c r="X3" s="3">
        <v>11.99</v>
      </c>
      <c r="Y3" s="3">
        <v>11.99</v>
      </c>
      <c r="Z3" s="3">
        <v>11.99</v>
      </c>
      <c r="AA3" s="3">
        <v>0</v>
      </c>
      <c r="AB3" s="3" t="s">
        <v>162</v>
      </c>
      <c r="AC3" s="3">
        <v>4</v>
      </c>
      <c r="AD3" s="3">
        <v>11.99</v>
      </c>
      <c r="AE3" s="3">
        <v>0</v>
      </c>
      <c r="AF3" s="3">
        <v>0</v>
      </c>
      <c r="AG3" s="3">
        <v>0</v>
      </c>
      <c r="AH3" s="3">
        <v>0.235294117647058</v>
      </c>
      <c r="AI3" s="3" t="s">
        <v>169</v>
      </c>
      <c r="AJ3" s="3" t="s">
        <v>164</v>
      </c>
    </row>
    <row r="4" spans="1:36">
      <c r="A4" s="6">
        <v>43288</v>
      </c>
      <c r="B4" s="3" t="s">
        <v>70</v>
      </c>
      <c r="C4" s="3" t="s">
        <v>71</v>
      </c>
      <c r="D4" s="3" t="s">
        <v>72</v>
      </c>
      <c r="E4" s="3" t="s">
        <v>73</v>
      </c>
      <c r="F4" s="3" t="s">
        <v>159</v>
      </c>
      <c r="G4" s="3">
        <v>107</v>
      </c>
      <c r="H4" s="3">
        <v>0</v>
      </c>
      <c r="I4" s="3">
        <v>107</v>
      </c>
      <c r="J4" s="3">
        <v>0</v>
      </c>
      <c r="K4" s="3">
        <v>0</v>
      </c>
      <c r="L4" s="3">
        <v>0</v>
      </c>
      <c r="M4" s="3">
        <v>0</v>
      </c>
      <c r="N4" s="3" t="s">
        <v>160</v>
      </c>
      <c r="O4" s="3">
        <v>0</v>
      </c>
      <c r="P4" s="3">
        <v>0</v>
      </c>
      <c r="Q4" s="3">
        <v>0</v>
      </c>
      <c r="R4" s="3">
        <v>0</v>
      </c>
      <c r="S4" s="3">
        <v>21</v>
      </c>
      <c r="T4" s="3">
        <v>70</v>
      </c>
      <c r="U4" s="3">
        <v>70</v>
      </c>
      <c r="V4" s="3">
        <v>70</v>
      </c>
      <c r="W4" s="3"/>
      <c r="X4" s="3">
        <v>18.99</v>
      </c>
      <c r="Y4" s="3">
        <v>18.99</v>
      </c>
      <c r="Z4" s="3">
        <v>18.99</v>
      </c>
      <c r="AA4" s="3">
        <v>0</v>
      </c>
      <c r="AB4" s="3" t="s">
        <v>170</v>
      </c>
      <c r="AC4" s="3">
        <v>124</v>
      </c>
      <c r="AD4" s="3">
        <v>18.99</v>
      </c>
      <c r="AE4" s="3">
        <v>0</v>
      </c>
      <c r="AF4" s="3">
        <v>0</v>
      </c>
      <c r="AG4" s="3">
        <v>0</v>
      </c>
      <c r="AH4" s="3">
        <v>5.77777777777777</v>
      </c>
      <c r="AI4" s="3" t="s">
        <v>171</v>
      </c>
      <c r="AJ4" s="3" t="s">
        <v>164</v>
      </c>
    </row>
    <row r="5" spans="1:36">
      <c r="A5" s="6">
        <v>43288</v>
      </c>
      <c r="B5" s="3" t="s">
        <v>21</v>
      </c>
      <c r="C5" s="3" t="s">
        <v>22</v>
      </c>
      <c r="D5" s="3" t="s">
        <v>22</v>
      </c>
      <c r="E5" s="3" t="s">
        <v>23</v>
      </c>
      <c r="F5" s="3" t="s">
        <v>159</v>
      </c>
      <c r="G5" s="3">
        <v>1</v>
      </c>
      <c r="H5" s="3">
        <v>0</v>
      </c>
      <c r="I5" s="3">
        <v>1</v>
      </c>
      <c r="J5" s="3">
        <v>0</v>
      </c>
      <c r="K5" s="3">
        <v>0</v>
      </c>
      <c r="L5" s="3">
        <v>0</v>
      </c>
      <c r="M5" s="3">
        <v>0</v>
      </c>
      <c r="N5" s="3" t="s">
        <v>160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1</v>
      </c>
      <c r="U5" s="3">
        <v>1</v>
      </c>
      <c r="V5" s="3">
        <v>11</v>
      </c>
      <c r="W5" s="3"/>
      <c r="X5" s="3"/>
      <c r="Y5" s="3"/>
      <c r="Z5" s="3">
        <v>-1</v>
      </c>
      <c r="AA5" s="3">
        <v>-1</v>
      </c>
      <c r="AB5" s="3" t="s">
        <v>172</v>
      </c>
      <c r="AC5" s="3">
        <v>1</v>
      </c>
      <c r="AD5" s="3">
        <v>10.98</v>
      </c>
      <c r="AE5" s="3">
        <v>0</v>
      </c>
      <c r="AF5" s="3">
        <v>0</v>
      </c>
      <c r="AG5" s="3">
        <v>0</v>
      </c>
      <c r="AH5" s="3">
        <v>3.38461538461538</v>
      </c>
      <c r="AI5" s="3" t="s">
        <v>173</v>
      </c>
      <c r="AJ5" s="3" t="s">
        <v>174</v>
      </c>
    </row>
    <row r="6" spans="1:36">
      <c r="A6" s="6">
        <v>43288</v>
      </c>
      <c r="B6" s="3" t="s">
        <v>175</v>
      </c>
      <c r="C6" s="3" t="s">
        <v>176</v>
      </c>
      <c r="D6" s="3" t="s">
        <v>177</v>
      </c>
      <c r="E6" s="3" t="s">
        <v>178</v>
      </c>
      <c r="F6" s="3" t="s">
        <v>159</v>
      </c>
      <c r="G6" s="3">
        <v>10</v>
      </c>
      <c r="H6" s="3">
        <v>0</v>
      </c>
      <c r="I6" s="3">
        <v>10</v>
      </c>
      <c r="J6" s="3">
        <v>0</v>
      </c>
      <c r="K6" s="3">
        <v>0</v>
      </c>
      <c r="L6" s="3">
        <v>0</v>
      </c>
      <c r="M6" s="3">
        <v>0</v>
      </c>
      <c r="N6" s="3" t="s">
        <v>160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 t="s">
        <v>161</v>
      </c>
      <c r="X6" s="3">
        <v>10.99</v>
      </c>
      <c r="Y6" s="3">
        <v>10.99</v>
      </c>
      <c r="Z6" s="3">
        <v>10.99</v>
      </c>
      <c r="AA6" s="3">
        <v>0</v>
      </c>
      <c r="AB6" s="3" t="s">
        <v>162</v>
      </c>
      <c r="AC6" s="3">
        <v>0</v>
      </c>
      <c r="AD6" s="3">
        <v>10.99</v>
      </c>
      <c r="AE6" s="3">
        <v>63</v>
      </c>
      <c r="AF6" s="3">
        <v>0</v>
      </c>
      <c r="AG6" s="3">
        <v>250.372961</v>
      </c>
      <c r="AH6" s="3">
        <v>0</v>
      </c>
      <c r="AI6" s="3" t="s">
        <v>179</v>
      </c>
      <c r="AJ6" s="3" t="s">
        <v>164</v>
      </c>
    </row>
    <row r="7" spans="1:36">
      <c r="A7" s="6">
        <v>43288</v>
      </c>
      <c r="B7" s="3" t="s">
        <v>180</v>
      </c>
      <c r="C7" s="3" t="s">
        <v>181</v>
      </c>
      <c r="D7" s="3" t="s">
        <v>181</v>
      </c>
      <c r="E7" s="3" t="s">
        <v>182</v>
      </c>
      <c r="F7" s="3" t="s">
        <v>159</v>
      </c>
      <c r="G7" s="3">
        <v>6</v>
      </c>
      <c r="H7" s="3">
        <v>0</v>
      </c>
      <c r="I7" s="3">
        <v>0</v>
      </c>
      <c r="J7" s="3">
        <v>0</v>
      </c>
      <c r="K7" s="3">
        <v>0</v>
      </c>
      <c r="L7" s="3">
        <v>6</v>
      </c>
      <c r="M7" s="3">
        <v>0</v>
      </c>
      <c r="N7" s="3" t="s">
        <v>160</v>
      </c>
      <c r="O7" s="3">
        <v>6</v>
      </c>
      <c r="P7" s="3">
        <v>8.08</v>
      </c>
      <c r="Q7" s="3">
        <v>0</v>
      </c>
      <c r="R7" s="3">
        <v>0</v>
      </c>
      <c r="S7" s="3">
        <v>2</v>
      </c>
      <c r="T7" s="3">
        <v>2</v>
      </c>
      <c r="U7" s="3">
        <v>6</v>
      </c>
      <c r="V7" s="3">
        <v>7</v>
      </c>
      <c r="W7" s="3"/>
      <c r="X7" s="3">
        <v>10</v>
      </c>
      <c r="Y7" s="3">
        <v>10</v>
      </c>
      <c r="Z7" s="3">
        <v>10</v>
      </c>
      <c r="AA7" s="3">
        <v>0</v>
      </c>
      <c r="AB7" s="3" t="s">
        <v>170</v>
      </c>
      <c r="AC7" s="3">
        <v>8</v>
      </c>
      <c r="AD7" s="3">
        <v>16.98</v>
      </c>
      <c r="AE7" s="3">
        <v>0</v>
      </c>
      <c r="AF7" s="3">
        <v>0</v>
      </c>
      <c r="AG7" s="3">
        <v>0</v>
      </c>
      <c r="AH7" s="3">
        <v>0.717948717948718</v>
      </c>
      <c r="AI7" s="3" t="s">
        <v>183</v>
      </c>
      <c r="AJ7" s="3" t="s">
        <v>174</v>
      </c>
    </row>
    <row r="8" spans="1:36">
      <c r="A8" s="6">
        <v>43288</v>
      </c>
      <c r="B8" s="3" t="s">
        <v>184</v>
      </c>
      <c r="C8" s="3" t="s">
        <v>185</v>
      </c>
      <c r="D8" s="3" t="s">
        <v>185</v>
      </c>
      <c r="E8" s="3" t="s">
        <v>186</v>
      </c>
      <c r="F8" s="3" t="s">
        <v>159</v>
      </c>
      <c r="G8" s="3">
        <v>3</v>
      </c>
      <c r="H8" s="3">
        <v>0</v>
      </c>
      <c r="I8" s="3">
        <v>0</v>
      </c>
      <c r="J8" s="3">
        <v>0</v>
      </c>
      <c r="K8" s="3">
        <v>3</v>
      </c>
      <c r="L8" s="3">
        <v>0</v>
      </c>
      <c r="M8" s="3">
        <v>0</v>
      </c>
      <c r="N8" s="3" t="s">
        <v>160</v>
      </c>
      <c r="O8" s="3">
        <v>3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 t="s">
        <v>161</v>
      </c>
      <c r="X8" s="3">
        <v>12</v>
      </c>
      <c r="Y8" s="3">
        <v>12</v>
      </c>
      <c r="Z8" s="3">
        <v>12</v>
      </c>
      <c r="AA8" s="3">
        <v>0</v>
      </c>
      <c r="AB8" s="3" t="s">
        <v>187</v>
      </c>
      <c r="AC8" s="3">
        <v>0</v>
      </c>
      <c r="AD8" s="3">
        <v>9.6</v>
      </c>
      <c r="AE8" s="3">
        <v>63</v>
      </c>
      <c r="AF8" s="3">
        <v>0</v>
      </c>
      <c r="AG8" s="3">
        <v>2.907135</v>
      </c>
      <c r="AH8" s="3">
        <v>0</v>
      </c>
      <c r="AI8" s="3" t="s">
        <v>188</v>
      </c>
      <c r="AJ8" s="3" t="s">
        <v>164</v>
      </c>
    </row>
    <row r="9" spans="1:36">
      <c r="A9" s="6">
        <v>43288</v>
      </c>
      <c r="B9" s="3" t="s">
        <v>189</v>
      </c>
      <c r="C9" s="3" t="s">
        <v>190</v>
      </c>
      <c r="D9" s="3" t="s">
        <v>190</v>
      </c>
      <c r="E9" s="3" t="s">
        <v>191</v>
      </c>
      <c r="F9" s="3" t="s">
        <v>159</v>
      </c>
      <c r="G9" s="3">
        <v>4</v>
      </c>
      <c r="H9" s="3">
        <v>0</v>
      </c>
      <c r="I9" s="3">
        <v>0</v>
      </c>
      <c r="J9" s="3">
        <v>4</v>
      </c>
      <c r="K9" s="3">
        <v>0</v>
      </c>
      <c r="L9" s="3">
        <v>0</v>
      </c>
      <c r="M9" s="3">
        <v>0</v>
      </c>
      <c r="N9" s="3" t="s">
        <v>160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 t="s">
        <v>161</v>
      </c>
      <c r="X9" s="3">
        <v>9.5</v>
      </c>
      <c r="Y9" s="3">
        <v>9.5</v>
      </c>
      <c r="Z9" s="3">
        <v>9.5</v>
      </c>
      <c r="AA9" s="3">
        <v>0</v>
      </c>
      <c r="AB9" s="3" t="s">
        <v>162</v>
      </c>
      <c r="AC9" s="3">
        <v>0</v>
      </c>
      <c r="AD9" s="3">
        <v>9.5</v>
      </c>
      <c r="AE9" s="3">
        <v>63</v>
      </c>
      <c r="AF9" s="3">
        <v>0</v>
      </c>
      <c r="AG9" s="3">
        <v>3.437302</v>
      </c>
      <c r="AH9" s="3">
        <v>0</v>
      </c>
      <c r="AI9" s="3" t="s">
        <v>192</v>
      </c>
      <c r="AJ9" s="3" t="s">
        <v>164</v>
      </c>
    </row>
    <row r="10" spans="1:36">
      <c r="A10" s="6">
        <v>43288</v>
      </c>
      <c r="B10" s="3" t="s">
        <v>193</v>
      </c>
      <c r="C10" s="3" t="s">
        <v>194</v>
      </c>
      <c r="D10" s="3" t="s">
        <v>194</v>
      </c>
      <c r="E10" s="3" t="s">
        <v>195</v>
      </c>
      <c r="F10" s="3" t="s">
        <v>159</v>
      </c>
      <c r="G10" s="3">
        <v>2</v>
      </c>
      <c r="H10" s="3">
        <v>0</v>
      </c>
      <c r="I10" s="3">
        <v>0</v>
      </c>
      <c r="J10" s="3">
        <v>2</v>
      </c>
      <c r="K10" s="3">
        <v>0</v>
      </c>
      <c r="L10" s="3">
        <v>0</v>
      </c>
      <c r="M10" s="3">
        <v>0</v>
      </c>
      <c r="N10" s="3" t="s">
        <v>160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2</v>
      </c>
      <c r="W10" s="3" t="s">
        <v>161</v>
      </c>
      <c r="X10" s="3">
        <v>8.99</v>
      </c>
      <c r="Y10" s="3">
        <v>8.99</v>
      </c>
      <c r="Z10" s="3">
        <v>8.99</v>
      </c>
      <c r="AA10" s="3">
        <v>0</v>
      </c>
      <c r="AB10" s="3" t="s">
        <v>162</v>
      </c>
      <c r="AC10" s="3">
        <v>2</v>
      </c>
      <c r="AD10" s="3">
        <v>8.99</v>
      </c>
      <c r="AE10" s="3">
        <v>0</v>
      </c>
      <c r="AF10" s="3">
        <v>0</v>
      </c>
      <c r="AG10" s="3">
        <v>0</v>
      </c>
      <c r="AH10" s="3">
        <v>0.8</v>
      </c>
      <c r="AI10" s="3" t="s">
        <v>196</v>
      </c>
      <c r="AJ10" s="3" t="s">
        <v>164</v>
      </c>
    </row>
    <row r="11" spans="1:36">
      <c r="A11" s="6">
        <v>43288</v>
      </c>
      <c r="B11" s="3" t="s">
        <v>197</v>
      </c>
      <c r="C11" s="3" t="s">
        <v>198</v>
      </c>
      <c r="D11" s="3" t="s">
        <v>198</v>
      </c>
      <c r="E11" s="3" t="s">
        <v>199</v>
      </c>
      <c r="F11" s="3" t="s">
        <v>159</v>
      </c>
      <c r="G11" s="3">
        <v>4</v>
      </c>
      <c r="H11" s="3">
        <v>0</v>
      </c>
      <c r="I11" s="3">
        <v>0</v>
      </c>
      <c r="J11" s="3">
        <v>4</v>
      </c>
      <c r="K11" s="3">
        <v>0</v>
      </c>
      <c r="L11" s="3">
        <v>0</v>
      </c>
      <c r="M11" s="3">
        <v>0</v>
      </c>
      <c r="N11" s="3" t="s">
        <v>160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 t="s">
        <v>161</v>
      </c>
      <c r="X11" s="3">
        <v>9.99</v>
      </c>
      <c r="Y11" s="3">
        <v>9.99</v>
      </c>
      <c r="Z11" s="3">
        <v>9.99</v>
      </c>
      <c r="AA11" s="3">
        <v>0</v>
      </c>
      <c r="AB11" s="3" t="s">
        <v>162</v>
      </c>
      <c r="AC11" s="3">
        <v>0</v>
      </c>
      <c r="AD11" s="3">
        <v>7.99</v>
      </c>
      <c r="AE11" s="3">
        <v>63</v>
      </c>
      <c r="AF11" s="3">
        <v>0</v>
      </c>
      <c r="AG11" s="3">
        <v>3.466374</v>
      </c>
      <c r="AH11" s="3">
        <v>0</v>
      </c>
      <c r="AI11" s="3" t="s">
        <v>192</v>
      </c>
      <c r="AJ11" s="3" t="s">
        <v>164</v>
      </c>
    </row>
    <row r="12" spans="1:36">
      <c r="A12" s="6">
        <v>43288</v>
      </c>
      <c r="B12" s="3" t="s">
        <v>67</v>
      </c>
      <c r="C12" s="3" t="s">
        <v>68</v>
      </c>
      <c r="D12" s="3" t="s">
        <v>68</v>
      </c>
      <c r="E12" s="3" t="s">
        <v>69</v>
      </c>
      <c r="F12" s="3" t="s">
        <v>159</v>
      </c>
      <c r="G12" s="3">
        <v>1</v>
      </c>
      <c r="H12" s="3">
        <v>0</v>
      </c>
      <c r="I12" s="3">
        <v>0</v>
      </c>
      <c r="J12" s="3">
        <v>1</v>
      </c>
      <c r="K12" s="3">
        <v>0</v>
      </c>
      <c r="L12" s="3">
        <v>0</v>
      </c>
      <c r="M12" s="3">
        <v>0</v>
      </c>
      <c r="N12" s="3" t="s">
        <v>160</v>
      </c>
      <c r="O12" s="3">
        <v>0</v>
      </c>
      <c r="P12" s="3">
        <v>0</v>
      </c>
      <c r="Q12" s="3">
        <v>0</v>
      </c>
      <c r="R12" s="3">
        <v>0</v>
      </c>
      <c r="S12" s="3">
        <v>1</v>
      </c>
      <c r="T12" s="3">
        <v>4</v>
      </c>
      <c r="U12" s="3">
        <v>4</v>
      </c>
      <c r="V12" s="3">
        <v>4</v>
      </c>
      <c r="W12" s="3"/>
      <c r="X12" s="3">
        <v>12.98</v>
      </c>
      <c r="Y12" s="3">
        <v>12.98</v>
      </c>
      <c r="Z12" s="3">
        <v>12.98</v>
      </c>
      <c r="AA12" s="3">
        <v>0</v>
      </c>
      <c r="AB12" s="3" t="s">
        <v>170</v>
      </c>
      <c r="AC12" s="3">
        <v>2</v>
      </c>
      <c r="AD12" s="3">
        <v>12.98</v>
      </c>
      <c r="AE12" s="3">
        <v>0</v>
      </c>
      <c r="AF12" s="3">
        <v>0</v>
      </c>
      <c r="AG12" s="3">
        <v>0</v>
      </c>
      <c r="AH12" s="3">
        <v>1</v>
      </c>
      <c r="AI12" s="3" t="s">
        <v>183</v>
      </c>
      <c r="AJ12" s="3" t="s">
        <v>174</v>
      </c>
    </row>
    <row r="13" spans="1:36">
      <c r="A13" s="6">
        <v>43288</v>
      </c>
      <c r="B13" s="3" t="s">
        <v>200</v>
      </c>
      <c r="C13" s="3" t="s">
        <v>201</v>
      </c>
      <c r="D13" s="3" t="s">
        <v>201</v>
      </c>
      <c r="E13" s="3" t="s">
        <v>202</v>
      </c>
      <c r="F13" s="3" t="s">
        <v>159</v>
      </c>
      <c r="G13" s="3">
        <v>5</v>
      </c>
      <c r="H13" s="3">
        <v>0</v>
      </c>
      <c r="I13" s="3">
        <v>0</v>
      </c>
      <c r="J13" s="3">
        <v>0</v>
      </c>
      <c r="K13" s="3">
        <v>4</v>
      </c>
      <c r="L13" s="3">
        <v>1</v>
      </c>
      <c r="M13" s="3">
        <v>0</v>
      </c>
      <c r="N13" s="3" t="s">
        <v>160</v>
      </c>
      <c r="O13" s="3">
        <v>5</v>
      </c>
      <c r="P13" s="3">
        <v>0.5</v>
      </c>
      <c r="Q13" s="3">
        <v>0</v>
      </c>
      <c r="R13" s="3">
        <v>0</v>
      </c>
      <c r="S13" s="3">
        <v>0</v>
      </c>
      <c r="T13" s="3">
        <v>1</v>
      </c>
      <c r="U13" s="3">
        <v>2</v>
      </c>
      <c r="V13" s="3">
        <v>2</v>
      </c>
      <c r="W13" s="3"/>
      <c r="X13" s="3">
        <v>15</v>
      </c>
      <c r="Y13" s="3">
        <v>15</v>
      </c>
      <c r="Z13" s="3">
        <v>15</v>
      </c>
      <c r="AA13" s="3">
        <v>0</v>
      </c>
      <c r="AB13" s="3" t="s">
        <v>187</v>
      </c>
      <c r="AC13" s="3">
        <v>1</v>
      </c>
      <c r="AD13" s="3">
        <v>13.88</v>
      </c>
      <c r="AE13" s="3">
        <v>182</v>
      </c>
      <c r="AF13" s="3">
        <v>0</v>
      </c>
      <c r="AG13" s="3">
        <v>40.292753</v>
      </c>
      <c r="AH13" s="3">
        <v>0.32</v>
      </c>
      <c r="AI13" s="3" t="s">
        <v>203</v>
      </c>
      <c r="AJ13" s="3" t="s">
        <v>174</v>
      </c>
    </row>
    <row r="14" spans="1:36">
      <c r="A14" s="6">
        <v>43288</v>
      </c>
      <c r="B14" s="3" t="s">
        <v>204</v>
      </c>
      <c r="C14" s="3" t="s">
        <v>205</v>
      </c>
      <c r="D14" s="3" t="s">
        <v>205</v>
      </c>
      <c r="E14" s="3" t="s">
        <v>206</v>
      </c>
      <c r="F14" s="3" t="s">
        <v>159</v>
      </c>
      <c r="G14" s="3">
        <v>6</v>
      </c>
      <c r="H14" s="3">
        <v>0</v>
      </c>
      <c r="I14" s="3">
        <v>0</v>
      </c>
      <c r="J14" s="3">
        <v>0</v>
      </c>
      <c r="K14" s="3">
        <v>1</v>
      </c>
      <c r="L14" s="3">
        <v>5</v>
      </c>
      <c r="M14" s="3">
        <v>0</v>
      </c>
      <c r="N14" s="3" t="s">
        <v>160</v>
      </c>
      <c r="O14" s="3">
        <v>6</v>
      </c>
      <c r="P14" s="3">
        <v>14.4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7</v>
      </c>
      <c r="W14" s="3" t="s">
        <v>207</v>
      </c>
      <c r="X14" s="3">
        <v>14.98</v>
      </c>
      <c r="Y14" s="3">
        <v>14.98</v>
      </c>
      <c r="Z14" s="3">
        <v>14.98</v>
      </c>
      <c r="AA14" s="3">
        <v>0</v>
      </c>
      <c r="AB14" s="3" t="s">
        <v>187</v>
      </c>
      <c r="AC14" s="3">
        <v>0</v>
      </c>
      <c r="AD14" s="3">
        <v>12.91</v>
      </c>
      <c r="AE14" s="3">
        <v>35</v>
      </c>
      <c r="AF14" s="3">
        <v>1</v>
      </c>
      <c r="AG14" s="3">
        <v>181.664868</v>
      </c>
      <c r="AH14" s="3">
        <v>0.903225806451612</v>
      </c>
      <c r="AI14" s="3" t="s">
        <v>208</v>
      </c>
      <c r="AJ14" s="3" t="s">
        <v>174</v>
      </c>
    </row>
    <row r="15" spans="1:36">
      <c r="A15" s="6">
        <v>43288</v>
      </c>
      <c r="B15" s="3" t="s">
        <v>87</v>
      </c>
      <c r="C15" s="3" t="s">
        <v>88</v>
      </c>
      <c r="D15" s="3" t="s">
        <v>89</v>
      </c>
      <c r="E15" s="3" t="s">
        <v>90</v>
      </c>
      <c r="F15" s="3" t="s">
        <v>159</v>
      </c>
      <c r="G15" s="3">
        <v>163</v>
      </c>
      <c r="H15" s="3">
        <v>0</v>
      </c>
      <c r="I15" s="3">
        <v>163</v>
      </c>
      <c r="J15" s="3">
        <v>0</v>
      </c>
      <c r="K15" s="3">
        <v>0</v>
      </c>
      <c r="L15" s="3">
        <v>0</v>
      </c>
      <c r="M15" s="3">
        <v>0</v>
      </c>
      <c r="N15" s="3" t="s">
        <v>160</v>
      </c>
      <c r="O15" s="3">
        <v>0</v>
      </c>
      <c r="P15" s="3">
        <v>0</v>
      </c>
      <c r="Q15" s="3">
        <v>0</v>
      </c>
      <c r="R15" s="3">
        <v>0</v>
      </c>
      <c r="S15" s="3">
        <v>25</v>
      </c>
      <c r="T15" s="3">
        <v>128</v>
      </c>
      <c r="U15" s="3">
        <v>136</v>
      </c>
      <c r="V15" s="3">
        <v>136</v>
      </c>
      <c r="W15" s="3"/>
      <c r="X15" s="3">
        <v>13.99</v>
      </c>
      <c r="Y15" s="3">
        <v>13.99</v>
      </c>
      <c r="Z15" s="3">
        <v>13.99</v>
      </c>
      <c r="AA15" s="3">
        <v>0</v>
      </c>
      <c r="AB15" s="3" t="s">
        <v>170</v>
      </c>
      <c r="AC15" s="3">
        <v>102</v>
      </c>
      <c r="AD15" s="3">
        <v>13.99</v>
      </c>
      <c r="AE15" s="3">
        <v>0</v>
      </c>
      <c r="AF15" s="3">
        <v>0</v>
      </c>
      <c r="AG15" s="3">
        <v>0</v>
      </c>
      <c r="AH15" s="3">
        <v>6.52173913043478</v>
      </c>
      <c r="AI15" s="3" t="s">
        <v>209</v>
      </c>
      <c r="AJ15" s="3" t="s">
        <v>164</v>
      </c>
    </row>
    <row r="16" spans="1:36">
      <c r="A16" s="6">
        <v>43288</v>
      </c>
      <c r="B16" s="3" t="s">
        <v>210</v>
      </c>
      <c r="C16" s="3" t="s">
        <v>211</v>
      </c>
      <c r="D16" s="3" t="s">
        <v>211</v>
      </c>
      <c r="E16" s="3" t="s">
        <v>26</v>
      </c>
      <c r="F16" s="3" t="s">
        <v>159</v>
      </c>
      <c r="G16" s="3">
        <v>6</v>
      </c>
      <c r="H16" s="3">
        <v>0</v>
      </c>
      <c r="I16" s="3">
        <v>0</v>
      </c>
      <c r="J16" s="3">
        <v>0</v>
      </c>
      <c r="K16" s="3">
        <v>4</v>
      </c>
      <c r="L16" s="3">
        <v>2</v>
      </c>
      <c r="M16" s="3">
        <v>0</v>
      </c>
      <c r="N16" s="3" t="s">
        <v>160</v>
      </c>
      <c r="O16" s="3">
        <v>6</v>
      </c>
      <c r="P16" s="3">
        <v>2.36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 t="s">
        <v>207</v>
      </c>
      <c r="X16" s="3">
        <v>20</v>
      </c>
      <c r="Y16" s="3">
        <v>20</v>
      </c>
      <c r="Z16" s="3">
        <v>20</v>
      </c>
      <c r="AA16" s="3">
        <v>0</v>
      </c>
      <c r="AB16" s="3" t="s">
        <v>170</v>
      </c>
      <c r="AC16" s="3">
        <v>6</v>
      </c>
      <c r="AD16" s="3">
        <v>20</v>
      </c>
      <c r="AE16" s="3">
        <v>0</v>
      </c>
      <c r="AF16" s="3">
        <v>0</v>
      </c>
      <c r="AG16" s="3">
        <v>0</v>
      </c>
      <c r="AH16" s="3">
        <v>0</v>
      </c>
      <c r="AI16" s="3" t="s">
        <v>212</v>
      </c>
      <c r="AJ16" s="3" t="s">
        <v>174</v>
      </c>
    </row>
    <row r="17" spans="1:36">
      <c r="A17" s="6">
        <v>43288</v>
      </c>
      <c r="B17" s="3" t="s">
        <v>213</v>
      </c>
      <c r="C17" s="3" t="s">
        <v>214</v>
      </c>
      <c r="D17" s="3" t="s">
        <v>214</v>
      </c>
      <c r="E17" s="3" t="s">
        <v>215</v>
      </c>
      <c r="F17" s="3" t="s">
        <v>159</v>
      </c>
      <c r="G17" s="3">
        <v>13</v>
      </c>
      <c r="H17" s="3">
        <v>0</v>
      </c>
      <c r="I17" s="3">
        <v>0</v>
      </c>
      <c r="J17" s="3">
        <v>13</v>
      </c>
      <c r="K17" s="3">
        <v>0</v>
      </c>
      <c r="L17" s="3">
        <v>0</v>
      </c>
      <c r="M17" s="3">
        <v>0</v>
      </c>
      <c r="N17" s="3" t="s">
        <v>160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3</v>
      </c>
      <c r="U17" s="3">
        <v>5</v>
      </c>
      <c r="V17" s="3">
        <v>7</v>
      </c>
      <c r="W17" s="3" t="s">
        <v>161</v>
      </c>
      <c r="X17" s="3">
        <v>36.99</v>
      </c>
      <c r="Y17" s="3">
        <v>36.99</v>
      </c>
      <c r="Z17" s="3">
        <v>36.99</v>
      </c>
      <c r="AA17" s="3">
        <v>0</v>
      </c>
      <c r="AB17" s="3" t="s">
        <v>162</v>
      </c>
      <c r="AC17" s="3">
        <v>13</v>
      </c>
      <c r="AD17" s="3">
        <v>36.99</v>
      </c>
      <c r="AE17" s="3">
        <v>0</v>
      </c>
      <c r="AF17" s="3">
        <v>0</v>
      </c>
      <c r="AG17" s="3">
        <v>0</v>
      </c>
      <c r="AH17" s="3">
        <v>0.417910447761194</v>
      </c>
      <c r="AI17" s="3" t="s">
        <v>216</v>
      </c>
      <c r="AJ17" s="3" t="s">
        <v>164</v>
      </c>
    </row>
    <row r="18" spans="1:36">
      <c r="A18" s="6">
        <v>43288</v>
      </c>
      <c r="B18" s="3" t="s">
        <v>217</v>
      </c>
      <c r="C18" s="3" t="s">
        <v>218</v>
      </c>
      <c r="D18" s="3" t="s">
        <v>218</v>
      </c>
      <c r="E18" s="3" t="s">
        <v>219</v>
      </c>
      <c r="F18" s="3" t="s">
        <v>159</v>
      </c>
      <c r="G18" s="3">
        <v>18</v>
      </c>
      <c r="H18" s="3">
        <v>0</v>
      </c>
      <c r="I18" s="3">
        <v>0</v>
      </c>
      <c r="J18" s="3">
        <v>0</v>
      </c>
      <c r="K18" s="3">
        <v>0</v>
      </c>
      <c r="L18" s="3">
        <v>18</v>
      </c>
      <c r="M18" s="3">
        <v>0</v>
      </c>
      <c r="N18" s="3" t="s">
        <v>160</v>
      </c>
      <c r="O18" s="3">
        <v>18</v>
      </c>
      <c r="P18" s="3">
        <v>43.19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 t="s">
        <v>207</v>
      </c>
      <c r="X18" s="3">
        <v>14.98</v>
      </c>
      <c r="Y18" s="3">
        <v>14.98</v>
      </c>
      <c r="Z18" s="3">
        <v>14.98</v>
      </c>
      <c r="AA18" s="3">
        <v>0</v>
      </c>
      <c r="AB18" s="3" t="s">
        <v>187</v>
      </c>
      <c r="AC18" s="3">
        <v>0</v>
      </c>
      <c r="AD18" s="3">
        <v>13.2</v>
      </c>
      <c r="AE18" s="3">
        <v>63</v>
      </c>
      <c r="AF18" s="3">
        <v>0</v>
      </c>
      <c r="AG18" s="3">
        <v>542.405727</v>
      </c>
      <c r="AH18" s="3">
        <v>0</v>
      </c>
      <c r="AI18" s="3" t="s">
        <v>208</v>
      </c>
      <c r="AJ18" s="3" t="s">
        <v>174</v>
      </c>
    </row>
    <row r="19" spans="1:36">
      <c r="A19" s="6">
        <v>43288</v>
      </c>
      <c r="B19" s="3" t="s">
        <v>220</v>
      </c>
      <c r="C19" s="3" t="s">
        <v>221</v>
      </c>
      <c r="D19" s="3" t="s">
        <v>221</v>
      </c>
      <c r="E19" s="3" t="s">
        <v>222</v>
      </c>
      <c r="F19" s="3" t="s">
        <v>159</v>
      </c>
      <c r="G19" s="3">
        <v>4</v>
      </c>
      <c r="H19" s="3">
        <v>0</v>
      </c>
      <c r="I19" s="3">
        <v>0</v>
      </c>
      <c r="J19" s="3">
        <v>4</v>
      </c>
      <c r="K19" s="3">
        <v>0</v>
      </c>
      <c r="L19" s="3">
        <v>0</v>
      </c>
      <c r="M19" s="3">
        <v>0</v>
      </c>
      <c r="N19" s="3" t="s">
        <v>160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 t="s">
        <v>161</v>
      </c>
      <c r="X19" s="3">
        <v>9.5</v>
      </c>
      <c r="Y19" s="3">
        <v>9.5</v>
      </c>
      <c r="Z19" s="3">
        <v>9.5</v>
      </c>
      <c r="AA19" s="3">
        <v>0</v>
      </c>
      <c r="AB19" s="3" t="s">
        <v>162</v>
      </c>
      <c r="AC19" s="3">
        <v>0</v>
      </c>
      <c r="AD19" s="3">
        <v>9.5</v>
      </c>
      <c r="AE19" s="3">
        <v>63</v>
      </c>
      <c r="AF19" s="3">
        <v>0</v>
      </c>
      <c r="AG19" s="3">
        <v>3.437302</v>
      </c>
      <c r="AH19" s="3">
        <v>0</v>
      </c>
      <c r="AI19" s="3" t="s">
        <v>192</v>
      </c>
      <c r="AJ19" s="3" t="s">
        <v>164</v>
      </c>
    </row>
    <row r="20" spans="1:36">
      <c r="A20" s="6">
        <v>43288</v>
      </c>
      <c r="B20" s="3" t="s">
        <v>223</v>
      </c>
      <c r="C20" s="3" t="s">
        <v>224</v>
      </c>
      <c r="D20" s="3" t="s">
        <v>224</v>
      </c>
      <c r="E20" s="3" t="s">
        <v>225</v>
      </c>
      <c r="F20" s="3" t="s">
        <v>159</v>
      </c>
      <c r="G20" s="3">
        <v>2</v>
      </c>
      <c r="H20" s="3">
        <v>0</v>
      </c>
      <c r="I20" s="3">
        <v>0</v>
      </c>
      <c r="J20" s="3">
        <v>1</v>
      </c>
      <c r="K20" s="3">
        <v>1</v>
      </c>
      <c r="L20" s="3">
        <v>0</v>
      </c>
      <c r="M20" s="3">
        <v>0</v>
      </c>
      <c r="N20" s="3" t="s">
        <v>160</v>
      </c>
      <c r="O20" s="3">
        <v>2</v>
      </c>
      <c r="P20" s="3">
        <v>4.34</v>
      </c>
      <c r="Q20" s="3">
        <v>0</v>
      </c>
      <c r="R20" s="3">
        <v>0</v>
      </c>
      <c r="S20" s="3">
        <v>1</v>
      </c>
      <c r="T20" s="3">
        <v>6</v>
      </c>
      <c r="U20" s="3">
        <v>7</v>
      </c>
      <c r="V20" s="3">
        <v>7</v>
      </c>
      <c r="W20" s="3" t="s">
        <v>207</v>
      </c>
      <c r="X20" s="3">
        <v>10</v>
      </c>
      <c r="Y20" s="3">
        <v>10</v>
      </c>
      <c r="Z20" s="3">
        <v>10</v>
      </c>
      <c r="AA20" s="3">
        <v>0</v>
      </c>
      <c r="AB20" s="3" t="s">
        <v>170</v>
      </c>
      <c r="AC20" s="3">
        <v>3</v>
      </c>
      <c r="AD20" s="3">
        <v>10</v>
      </c>
      <c r="AE20" s="3">
        <v>0</v>
      </c>
      <c r="AF20" s="3">
        <v>0</v>
      </c>
      <c r="AG20" s="3">
        <v>0</v>
      </c>
      <c r="AH20" s="3">
        <v>1</v>
      </c>
      <c r="AI20" s="3" t="s">
        <v>226</v>
      </c>
      <c r="AJ20" s="3" t="s">
        <v>174</v>
      </c>
    </row>
    <row r="21" spans="1:36">
      <c r="A21" s="6">
        <v>43288</v>
      </c>
      <c r="B21" s="3" t="s">
        <v>227</v>
      </c>
      <c r="C21" s="3" t="s">
        <v>228</v>
      </c>
      <c r="D21" s="3" t="s">
        <v>228</v>
      </c>
      <c r="E21" s="3" t="s">
        <v>229</v>
      </c>
      <c r="F21" s="3" t="s">
        <v>159</v>
      </c>
      <c r="G21" s="3">
        <v>15</v>
      </c>
      <c r="H21" s="3">
        <v>0</v>
      </c>
      <c r="I21" s="3">
        <v>1</v>
      </c>
      <c r="J21" s="3">
        <v>0</v>
      </c>
      <c r="K21" s="3">
        <v>0</v>
      </c>
      <c r="L21" s="3">
        <v>14</v>
      </c>
      <c r="M21" s="3">
        <v>0</v>
      </c>
      <c r="N21" s="3" t="s">
        <v>160</v>
      </c>
      <c r="O21" s="3">
        <v>14</v>
      </c>
      <c r="P21" s="3">
        <v>33.59</v>
      </c>
      <c r="Q21" s="3">
        <v>0</v>
      </c>
      <c r="R21" s="3">
        <v>0</v>
      </c>
      <c r="S21" s="3">
        <v>1</v>
      </c>
      <c r="T21" s="3">
        <v>2</v>
      </c>
      <c r="U21" s="3">
        <v>5</v>
      </c>
      <c r="V21" s="3">
        <v>5</v>
      </c>
      <c r="W21" s="3"/>
      <c r="X21" s="3">
        <v>14.98</v>
      </c>
      <c r="Y21" s="3">
        <v>14.98</v>
      </c>
      <c r="Z21" s="3">
        <v>14.98</v>
      </c>
      <c r="AA21" s="3">
        <v>0</v>
      </c>
      <c r="AB21" s="3" t="s">
        <v>230</v>
      </c>
      <c r="AC21" s="3">
        <v>6</v>
      </c>
      <c r="AD21" s="3">
        <v>14.98</v>
      </c>
      <c r="AE21" s="3">
        <v>0</v>
      </c>
      <c r="AF21" s="3">
        <v>9</v>
      </c>
      <c r="AG21" s="3">
        <v>3.167587</v>
      </c>
      <c r="AH21" s="3">
        <v>0.285714285714285</v>
      </c>
      <c r="AI21" s="3" t="s">
        <v>208</v>
      </c>
      <c r="AJ21" s="3" t="s">
        <v>174</v>
      </c>
    </row>
    <row r="22" spans="1:36">
      <c r="A22" s="6">
        <v>43288</v>
      </c>
      <c r="B22" s="3" t="s">
        <v>231</v>
      </c>
      <c r="C22" s="3" t="s">
        <v>232</v>
      </c>
      <c r="D22" s="3" t="s">
        <v>232</v>
      </c>
      <c r="E22" s="3" t="s">
        <v>26</v>
      </c>
      <c r="F22" s="3" t="s">
        <v>159</v>
      </c>
      <c r="G22" s="3">
        <v>6</v>
      </c>
      <c r="H22" s="3">
        <v>0</v>
      </c>
      <c r="I22" s="3">
        <v>0</v>
      </c>
      <c r="J22" s="3">
        <v>0</v>
      </c>
      <c r="K22" s="3">
        <v>4</v>
      </c>
      <c r="L22" s="3">
        <v>2</v>
      </c>
      <c r="M22" s="3">
        <v>0</v>
      </c>
      <c r="N22" s="3" t="s">
        <v>160</v>
      </c>
      <c r="O22" s="3">
        <v>6</v>
      </c>
      <c r="P22" s="3">
        <v>2.35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 t="s">
        <v>207</v>
      </c>
      <c r="X22" s="3">
        <v>25</v>
      </c>
      <c r="Y22" s="3">
        <v>25</v>
      </c>
      <c r="Z22" s="3">
        <v>25</v>
      </c>
      <c r="AA22" s="3">
        <v>0</v>
      </c>
      <c r="AB22" s="3" t="s">
        <v>170</v>
      </c>
      <c r="AC22" s="3">
        <v>6</v>
      </c>
      <c r="AD22" s="3">
        <v>25</v>
      </c>
      <c r="AE22" s="3">
        <v>0</v>
      </c>
      <c r="AF22" s="3">
        <v>0</v>
      </c>
      <c r="AG22" s="3">
        <v>0</v>
      </c>
      <c r="AH22" s="3">
        <v>0</v>
      </c>
      <c r="AI22" s="3" t="s">
        <v>212</v>
      </c>
      <c r="AJ22" s="3" t="s">
        <v>174</v>
      </c>
    </row>
    <row r="23" spans="1:36">
      <c r="A23" s="6">
        <v>43288</v>
      </c>
      <c r="B23" s="3" t="s">
        <v>233</v>
      </c>
      <c r="C23" s="3" t="s">
        <v>234</v>
      </c>
      <c r="D23" s="3" t="s">
        <v>234</v>
      </c>
      <c r="E23" s="3" t="s">
        <v>235</v>
      </c>
      <c r="F23" s="3" t="s">
        <v>159</v>
      </c>
      <c r="G23" s="3">
        <v>17</v>
      </c>
      <c r="H23" s="3">
        <v>0</v>
      </c>
      <c r="I23" s="3">
        <v>0</v>
      </c>
      <c r="J23" s="3">
        <v>0</v>
      </c>
      <c r="K23" s="3">
        <v>0</v>
      </c>
      <c r="L23" s="3">
        <v>17</v>
      </c>
      <c r="M23" s="3">
        <v>0</v>
      </c>
      <c r="N23" s="3" t="s">
        <v>160</v>
      </c>
      <c r="O23" s="3">
        <v>17</v>
      </c>
      <c r="P23" s="3">
        <v>40.79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 t="s">
        <v>207</v>
      </c>
      <c r="X23" s="3">
        <v>15.98</v>
      </c>
      <c r="Y23" s="3">
        <v>15.98</v>
      </c>
      <c r="Z23" s="3">
        <v>15.98</v>
      </c>
      <c r="AA23" s="3">
        <v>0</v>
      </c>
      <c r="AB23" s="3" t="s">
        <v>187</v>
      </c>
      <c r="AC23" s="3">
        <v>0</v>
      </c>
      <c r="AD23" s="3">
        <v>13.77</v>
      </c>
      <c r="AE23" s="3">
        <v>35</v>
      </c>
      <c r="AF23" s="3">
        <v>16</v>
      </c>
      <c r="AG23" s="3">
        <v>500.801855</v>
      </c>
      <c r="AH23" s="3">
        <v>0</v>
      </c>
      <c r="AI23" s="3" t="s">
        <v>208</v>
      </c>
      <c r="AJ23" s="3" t="s">
        <v>174</v>
      </c>
    </row>
    <row r="24" spans="1:36">
      <c r="A24" s="6">
        <v>43288</v>
      </c>
      <c r="B24" s="3" t="s">
        <v>236</v>
      </c>
      <c r="C24" s="3" t="s">
        <v>237</v>
      </c>
      <c r="D24" s="3" t="s">
        <v>237</v>
      </c>
      <c r="E24" s="3" t="s">
        <v>202</v>
      </c>
      <c r="F24" s="3" t="s">
        <v>159</v>
      </c>
      <c r="G24" s="3">
        <v>1</v>
      </c>
      <c r="H24" s="3">
        <v>0</v>
      </c>
      <c r="I24" s="3">
        <v>0</v>
      </c>
      <c r="J24" s="3">
        <v>0</v>
      </c>
      <c r="K24" s="3">
        <v>1</v>
      </c>
      <c r="L24" s="3">
        <v>0</v>
      </c>
      <c r="M24" s="3">
        <v>0</v>
      </c>
      <c r="N24" s="3" t="s">
        <v>160</v>
      </c>
      <c r="O24" s="3">
        <v>1</v>
      </c>
      <c r="P24" s="3">
        <v>0.1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2</v>
      </c>
      <c r="W24" s="3" t="s">
        <v>207</v>
      </c>
      <c r="X24" s="3">
        <v>15</v>
      </c>
      <c r="Y24" s="3">
        <v>15</v>
      </c>
      <c r="Z24" s="3">
        <v>15</v>
      </c>
      <c r="AA24" s="3">
        <v>0</v>
      </c>
      <c r="AB24" s="3" t="s">
        <v>187</v>
      </c>
      <c r="AC24" s="3">
        <v>0</v>
      </c>
      <c r="AD24" s="3">
        <v>14.01</v>
      </c>
      <c r="AE24" s="3">
        <v>70</v>
      </c>
      <c r="AF24" s="3">
        <v>0</v>
      </c>
      <c r="AG24" s="3">
        <v>7.862081</v>
      </c>
      <c r="AH24" s="3">
        <v>1.33333333333333</v>
      </c>
      <c r="AI24" s="3" t="s">
        <v>203</v>
      </c>
      <c r="AJ24" s="3" t="s">
        <v>174</v>
      </c>
    </row>
    <row r="25" spans="1:36">
      <c r="A25" s="6">
        <v>43288</v>
      </c>
      <c r="B25" s="3" t="s">
        <v>238</v>
      </c>
      <c r="C25" s="3" t="s">
        <v>239</v>
      </c>
      <c r="D25" s="3" t="s">
        <v>239</v>
      </c>
      <c r="E25" s="3" t="s">
        <v>240</v>
      </c>
      <c r="F25" s="3" t="s">
        <v>159</v>
      </c>
      <c r="G25" s="3">
        <v>4</v>
      </c>
      <c r="H25" s="3">
        <v>0</v>
      </c>
      <c r="I25" s="3">
        <v>0</v>
      </c>
      <c r="J25" s="3">
        <v>0</v>
      </c>
      <c r="K25" s="3">
        <v>4</v>
      </c>
      <c r="L25" s="3">
        <v>0</v>
      </c>
      <c r="M25" s="3">
        <v>0</v>
      </c>
      <c r="N25" s="3" t="s">
        <v>160</v>
      </c>
      <c r="O25" s="3">
        <v>4</v>
      </c>
      <c r="P25" s="3">
        <v>5.47</v>
      </c>
      <c r="Q25" s="3">
        <v>0</v>
      </c>
      <c r="R25" s="3">
        <v>0</v>
      </c>
      <c r="S25" s="3">
        <v>0</v>
      </c>
      <c r="T25" s="3">
        <v>1</v>
      </c>
      <c r="U25" s="3">
        <v>1</v>
      </c>
      <c r="V25" s="3">
        <v>1</v>
      </c>
      <c r="W25" s="3"/>
      <c r="X25" s="3">
        <v>12</v>
      </c>
      <c r="Y25" s="3">
        <v>12</v>
      </c>
      <c r="Z25" s="3">
        <v>12</v>
      </c>
      <c r="AA25" s="3">
        <v>0</v>
      </c>
      <c r="AB25" s="3" t="s">
        <v>170</v>
      </c>
      <c r="AC25" s="3">
        <v>4</v>
      </c>
      <c r="AD25" s="3">
        <v>12</v>
      </c>
      <c r="AE25" s="3">
        <v>0</v>
      </c>
      <c r="AF25" s="3">
        <v>0</v>
      </c>
      <c r="AG25" s="3">
        <v>0</v>
      </c>
      <c r="AH25" s="3">
        <v>0.210526315789473</v>
      </c>
      <c r="AI25" s="3" t="s">
        <v>241</v>
      </c>
      <c r="AJ25" s="3" t="s">
        <v>174</v>
      </c>
    </row>
    <row r="26" spans="1:36">
      <c r="A26" s="6">
        <v>43288</v>
      </c>
      <c r="B26" s="3" t="s">
        <v>242</v>
      </c>
      <c r="C26" s="3" t="s">
        <v>243</v>
      </c>
      <c r="D26" s="3" t="s">
        <v>243</v>
      </c>
      <c r="E26" s="3" t="s">
        <v>244</v>
      </c>
      <c r="F26" s="3" t="s">
        <v>159</v>
      </c>
      <c r="G26" s="3">
        <v>18</v>
      </c>
      <c r="H26" s="3">
        <v>0</v>
      </c>
      <c r="I26" s="3">
        <v>0</v>
      </c>
      <c r="J26" s="3">
        <v>0</v>
      </c>
      <c r="K26" s="3">
        <v>0</v>
      </c>
      <c r="L26" s="3">
        <v>18</v>
      </c>
      <c r="M26" s="3">
        <v>0</v>
      </c>
      <c r="N26" s="3" t="s">
        <v>160</v>
      </c>
      <c r="O26" s="3">
        <v>18</v>
      </c>
      <c r="P26" s="3">
        <v>43.19</v>
      </c>
      <c r="Q26" s="3">
        <v>0</v>
      </c>
      <c r="R26" s="3">
        <v>0</v>
      </c>
      <c r="S26" s="3">
        <v>0</v>
      </c>
      <c r="T26" s="3">
        <v>2</v>
      </c>
      <c r="U26" s="3">
        <v>2</v>
      </c>
      <c r="V26" s="3">
        <v>2</v>
      </c>
      <c r="W26" s="3"/>
      <c r="X26" s="3">
        <v>14.98</v>
      </c>
      <c r="Y26" s="3">
        <v>14.98</v>
      </c>
      <c r="Z26" s="3">
        <v>14.98</v>
      </c>
      <c r="AA26" s="3">
        <v>0</v>
      </c>
      <c r="AB26" s="3" t="s">
        <v>170</v>
      </c>
      <c r="AC26" s="3">
        <v>5</v>
      </c>
      <c r="AD26" s="3">
        <v>14.98</v>
      </c>
      <c r="AE26" s="3">
        <v>63</v>
      </c>
      <c r="AF26" s="3">
        <v>0</v>
      </c>
      <c r="AG26" s="3">
        <v>16.112875</v>
      </c>
      <c r="AH26" s="3">
        <v>0.102564102564102</v>
      </c>
      <c r="AI26" s="3" t="s">
        <v>208</v>
      </c>
      <c r="AJ26" s="3" t="s">
        <v>174</v>
      </c>
    </row>
    <row r="27" spans="1:36">
      <c r="A27" s="6">
        <v>43288</v>
      </c>
      <c r="B27" s="3" t="s">
        <v>245</v>
      </c>
      <c r="C27" s="3" t="s">
        <v>246</v>
      </c>
      <c r="D27" s="3" t="s">
        <v>246</v>
      </c>
      <c r="E27" s="3" t="s">
        <v>186</v>
      </c>
      <c r="F27" s="3" t="s">
        <v>159</v>
      </c>
      <c r="G27" s="3">
        <v>2</v>
      </c>
      <c r="H27" s="3">
        <v>0</v>
      </c>
      <c r="I27" s="3">
        <v>0</v>
      </c>
      <c r="J27" s="3">
        <v>0</v>
      </c>
      <c r="K27" s="3">
        <v>2</v>
      </c>
      <c r="L27" s="3">
        <v>0</v>
      </c>
      <c r="M27" s="3">
        <v>0</v>
      </c>
      <c r="N27" s="3" t="s">
        <v>160</v>
      </c>
      <c r="O27" s="3">
        <v>2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1</v>
      </c>
      <c r="V27" s="3">
        <v>1</v>
      </c>
      <c r="W27" s="3" t="s">
        <v>161</v>
      </c>
      <c r="X27" s="3">
        <v>12</v>
      </c>
      <c r="Y27" s="3">
        <v>12</v>
      </c>
      <c r="Z27" s="3">
        <v>12</v>
      </c>
      <c r="AA27" s="3">
        <v>0</v>
      </c>
      <c r="AB27" s="3" t="s">
        <v>170</v>
      </c>
      <c r="AC27" s="3">
        <v>2</v>
      </c>
      <c r="AD27" s="3">
        <v>12</v>
      </c>
      <c r="AE27" s="3">
        <v>0</v>
      </c>
      <c r="AF27" s="3">
        <v>0</v>
      </c>
      <c r="AG27" s="3">
        <v>0</v>
      </c>
      <c r="AH27" s="3">
        <v>0.4</v>
      </c>
      <c r="AI27" s="3" t="s">
        <v>188</v>
      </c>
      <c r="AJ27" s="3" t="s">
        <v>174</v>
      </c>
    </row>
    <row r="28" spans="1:36">
      <c r="A28" s="6">
        <v>43288</v>
      </c>
      <c r="B28" s="3" t="s">
        <v>247</v>
      </c>
      <c r="C28" s="3" t="s">
        <v>248</v>
      </c>
      <c r="D28" s="3" t="s">
        <v>248</v>
      </c>
      <c r="E28" s="3" t="s">
        <v>249</v>
      </c>
      <c r="F28" s="3" t="s">
        <v>159</v>
      </c>
      <c r="G28" s="3">
        <v>3</v>
      </c>
      <c r="H28" s="3">
        <v>0</v>
      </c>
      <c r="I28" s="3">
        <v>0</v>
      </c>
      <c r="J28" s="3">
        <v>3</v>
      </c>
      <c r="K28" s="3">
        <v>0</v>
      </c>
      <c r="L28" s="3">
        <v>0</v>
      </c>
      <c r="M28" s="3">
        <v>0</v>
      </c>
      <c r="N28" s="3" t="s">
        <v>160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 t="s">
        <v>161</v>
      </c>
      <c r="X28" s="3">
        <v>19.98</v>
      </c>
      <c r="Y28" s="3">
        <v>19.98</v>
      </c>
      <c r="Z28" s="3">
        <v>19.98</v>
      </c>
      <c r="AA28" s="3">
        <v>0</v>
      </c>
      <c r="AB28" s="3" t="s">
        <v>162</v>
      </c>
      <c r="AC28" s="3">
        <v>0</v>
      </c>
      <c r="AD28" s="3">
        <v>15.98</v>
      </c>
      <c r="AE28" s="3">
        <v>63</v>
      </c>
      <c r="AF28" s="3">
        <v>0</v>
      </c>
      <c r="AG28" s="3">
        <v>33.671417</v>
      </c>
      <c r="AH28" s="3">
        <v>0</v>
      </c>
      <c r="AI28" s="3" t="s">
        <v>250</v>
      </c>
      <c r="AJ28" s="3" t="s">
        <v>164</v>
      </c>
    </row>
    <row r="29" spans="1:36">
      <c r="A29" s="6">
        <v>43288</v>
      </c>
      <c r="B29" s="3" t="s">
        <v>251</v>
      </c>
      <c r="C29" s="3" t="s">
        <v>252</v>
      </c>
      <c r="D29" s="3" t="s">
        <v>252</v>
      </c>
      <c r="E29" s="3" t="s">
        <v>186</v>
      </c>
      <c r="F29" s="3" t="s">
        <v>159</v>
      </c>
      <c r="G29" s="3">
        <v>3</v>
      </c>
      <c r="H29" s="3">
        <v>0</v>
      </c>
      <c r="I29" s="3">
        <v>0</v>
      </c>
      <c r="J29" s="3">
        <v>0</v>
      </c>
      <c r="K29" s="3">
        <v>3</v>
      </c>
      <c r="L29" s="3">
        <v>0</v>
      </c>
      <c r="M29" s="3">
        <v>0</v>
      </c>
      <c r="N29" s="3" t="s">
        <v>160</v>
      </c>
      <c r="O29" s="3">
        <v>3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 t="s">
        <v>161</v>
      </c>
      <c r="X29" s="3">
        <v>12</v>
      </c>
      <c r="Y29" s="3">
        <v>12</v>
      </c>
      <c r="Z29" s="3">
        <v>12</v>
      </c>
      <c r="AA29" s="3">
        <v>0</v>
      </c>
      <c r="AB29" s="3" t="s">
        <v>187</v>
      </c>
      <c r="AC29" s="3">
        <v>0</v>
      </c>
      <c r="AD29" s="3">
        <v>9.6</v>
      </c>
      <c r="AE29" s="3">
        <v>63</v>
      </c>
      <c r="AF29" s="3">
        <v>0</v>
      </c>
      <c r="AG29" s="3">
        <v>2.907135</v>
      </c>
      <c r="AH29" s="3">
        <v>0</v>
      </c>
      <c r="AI29" s="3" t="s">
        <v>188</v>
      </c>
      <c r="AJ29" s="3" t="s">
        <v>164</v>
      </c>
    </row>
    <row r="30" spans="1:36">
      <c r="A30" s="6">
        <v>43288</v>
      </c>
      <c r="B30" s="3" t="s">
        <v>29</v>
      </c>
      <c r="C30" s="3" t="s">
        <v>30</v>
      </c>
      <c r="D30" s="3" t="s">
        <v>30</v>
      </c>
      <c r="E30" s="3" t="s">
        <v>31</v>
      </c>
      <c r="F30" s="3" t="s">
        <v>159</v>
      </c>
      <c r="G30" s="3">
        <v>5</v>
      </c>
      <c r="H30" s="3">
        <v>0</v>
      </c>
      <c r="I30" s="3">
        <v>0</v>
      </c>
      <c r="J30" s="3">
        <v>0</v>
      </c>
      <c r="K30" s="3">
        <v>4</v>
      </c>
      <c r="L30" s="3">
        <v>1</v>
      </c>
      <c r="M30" s="3">
        <v>0</v>
      </c>
      <c r="N30" s="3" t="s">
        <v>160</v>
      </c>
      <c r="O30" s="3">
        <v>5</v>
      </c>
      <c r="P30" s="3">
        <v>3.69</v>
      </c>
      <c r="Q30" s="3">
        <v>0</v>
      </c>
      <c r="R30" s="3">
        <v>0</v>
      </c>
      <c r="S30" s="3">
        <v>0</v>
      </c>
      <c r="T30" s="3">
        <v>0</v>
      </c>
      <c r="U30" s="3">
        <v>1</v>
      </c>
      <c r="V30" s="3">
        <v>1</v>
      </c>
      <c r="W30" s="3" t="s">
        <v>207</v>
      </c>
      <c r="X30" s="3">
        <v>15</v>
      </c>
      <c r="Y30" s="3">
        <v>15</v>
      </c>
      <c r="Z30" s="3">
        <v>15</v>
      </c>
      <c r="AA30" s="3">
        <v>0</v>
      </c>
      <c r="AB30" s="3" t="s">
        <v>170</v>
      </c>
      <c r="AC30" s="3">
        <v>0</v>
      </c>
      <c r="AD30" s="3">
        <v>15</v>
      </c>
      <c r="AE30" s="3">
        <v>364</v>
      </c>
      <c r="AF30" s="3">
        <v>0</v>
      </c>
      <c r="AG30" s="3">
        <v>46.207648</v>
      </c>
      <c r="AH30" s="3">
        <v>0.181818181818181</v>
      </c>
      <c r="AI30" s="3" t="s">
        <v>253</v>
      </c>
      <c r="AJ30" s="3" t="s">
        <v>174</v>
      </c>
    </row>
    <row r="31" spans="1:36">
      <c r="A31" s="6">
        <v>43288</v>
      </c>
      <c r="B31" s="3" t="s">
        <v>254</v>
      </c>
      <c r="C31" s="3" t="s">
        <v>255</v>
      </c>
      <c r="D31" s="3" t="s">
        <v>255</v>
      </c>
      <c r="E31" s="3" t="s">
        <v>256</v>
      </c>
      <c r="F31" s="3" t="s">
        <v>159</v>
      </c>
      <c r="G31" s="3">
        <v>4</v>
      </c>
      <c r="H31" s="3">
        <v>0</v>
      </c>
      <c r="I31" s="3">
        <v>0</v>
      </c>
      <c r="J31" s="3">
        <v>4</v>
      </c>
      <c r="K31" s="3">
        <v>0</v>
      </c>
      <c r="L31" s="3">
        <v>0</v>
      </c>
      <c r="M31" s="3">
        <v>0</v>
      </c>
      <c r="N31" s="3" t="s">
        <v>160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 t="s">
        <v>161</v>
      </c>
      <c r="X31" s="3">
        <v>9.5</v>
      </c>
      <c r="Y31" s="3">
        <v>9.5</v>
      </c>
      <c r="Z31" s="3">
        <v>9.5</v>
      </c>
      <c r="AA31" s="3">
        <v>0</v>
      </c>
      <c r="AB31" s="3" t="s">
        <v>162</v>
      </c>
      <c r="AC31" s="3">
        <v>0</v>
      </c>
      <c r="AD31" s="3">
        <v>9.5</v>
      </c>
      <c r="AE31" s="3">
        <v>63</v>
      </c>
      <c r="AF31" s="3">
        <v>0</v>
      </c>
      <c r="AG31" s="3">
        <v>3.437302</v>
      </c>
      <c r="AH31" s="3">
        <v>0</v>
      </c>
      <c r="AI31" s="3" t="s">
        <v>192</v>
      </c>
      <c r="AJ31" s="3" t="s">
        <v>164</v>
      </c>
    </row>
    <row r="32" spans="1:36">
      <c r="A32" s="6">
        <v>43288</v>
      </c>
      <c r="B32" s="3" t="s">
        <v>257</v>
      </c>
      <c r="C32" s="3" t="s">
        <v>258</v>
      </c>
      <c r="D32" s="3" t="s">
        <v>258</v>
      </c>
      <c r="E32" s="3" t="s">
        <v>259</v>
      </c>
      <c r="F32" s="3" t="s">
        <v>159</v>
      </c>
      <c r="G32" s="3">
        <v>3</v>
      </c>
      <c r="H32" s="3">
        <v>0</v>
      </c>
      <c r="I32" s="3">
        <v>0</v>
      </c>
      <c r="J32" s="3">
        <v>3</v>
      </c>
      <c r="K32" s="3">
        <v>0</v>
      </c>
      <c r="L32" s="3">
        <v>0</v>
      </c>
      <c r="M32" s="3">
        <v>0</v>
      </c>
      <c r="N32" s="3" t="s">
        <v>160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1</v>
      </c>
      <c r="W32" s="3" t="s">
        <v>161</v>
      </c>
      <c r="X32" s="3">
        <v>9.5</v>
      </c>
      <c r="Y32" s="3">
        <v>9.5</v>
      </c>
      <c r="Z32" s="3">
        <v>9.5</v>
      </c>
      <c r="AA32" s="3">
        <v>0</v>
      </c>
      <c r="AB32" s="3" t="s">
        <v>162</v>
      </c>
      <c r="AC32" s="3">
        <v>3</v>
      </c>
      <c r="AD32" s="3">
        <v>9.5</v>
      </c>
      <c r="AE32" s="3">
        <v>0</v>
      </c>
      <c r="AF32" s="3">
        <v>0</v>
      </c>
      <c r="AG32" s="3">
        <v>0</v>
      </c>
      <c r="AH32" s="3">
        <v>0.307692307692307</v>
      </c>
      <c r="AI32" s="3" t="s">
        <v>196</v>
      </c>
      <c r="AJ32" s="3" t="s">
        <v>164</v>
      </c>
    </row>
    <row r="33" spans="1:36">
      <c r="A33" s="6">
        <v>43288</v>
      </c>
      <c r="B33" s="3" t="s">
        <v>260</v>
      </c>
      <c r="C33" s="3" t="s">
        <v>261</v>
      </c>
      <c r="D33" s="3" t="s">
        <v>261</v>
      </c>
      <c r="E33" s="3" t="s">
        <v>262</v>
      </c>
      <c r="F33" s="3" t="s">
        <v>159</v>
      </c>
      <c r="G33" s="3">
        <v>4</v>
      </c>
      <c r="H33" s="3">
        <v>0</v>
      </c>
      <c r="I33" s="3">
        <v>0</v>
      </c>
      <c r="J33" s="3">
        <v>4</v>
      </c>
      <c r="K33" s="3">
        <v>0</v>
      </c>
      <c r="L33" s="3">
        <v>0</v>
      </c>
      <c r="M33" s="3">
        <v>0</v>
      </c>
      <c r="N33" s="3" t="s">
        <v>160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 t="s">
        <v>161</v>
      </c>
      <c r="X33" s="3">
        <v>9.5</v>
      </c>
      <c r="Y33" s="3">
        <v>9.5</v>
      </c>
      <c r="Z33" s="3">
        <v>9.5</v>
      </c>
      <c r="AA33" s="3">
        <v>0</v>
      </c>
      <c r="AB33" s="3" t="s">
        <v>162</v>
      </c>
      <c r="AC33" s="3">
        <v>0</v>
      </c>
      <c r="AD33" s="3">
        <v>9.5</v>
      </c>
      <c r="AE33" s="3">
        <v>63</v>
      </c>
      <c r="AF33" s="3">
        <v>0</v>
      </c>
      <c r="AG33" s="3">
        <v>3.437302</v>
      </c>
      <c r="AH33" s="3">
        <v>0</v>
      </c>
      <c r="AI33" s="3" t="s">
        <v>192</v>
      </c>
      <c r="AJ33" s="3" t="s">
        <v>164</v>
      </c>
    </row>
    <row r="34" spans="1:36">
      <c r="A34" s="6">
        <v>43288</v>
      </c>
      <c r="B34" s="3" t="s">
        <v>263</v>
      </c>
      <c r="C34" s="3" t="s">
        <v>264</v>
      </c>
      <c r="D34" s="3" t="s">
        <v>264</v>
      </c>
      <c r="E34" s="3" t="s">
        <v>265</v>
      </c>
      <c r="F34" s="3" t="s">
        <v>159</v>
      </c>
      <c r="G34" s="3">
        <v>4</v>
      </c>
      <c r="H34" s="3">
        <v>0</v>
      </c>
      <c r="I34" s="3">
        <v>0</v>
      </c>
      <c r="J34" s="3">
        <v>4</v>
      </c>
      <c r="K34" s="3">
        <v>0</v>
      </c>
      <c r="L34" s="3">
        <v>0</v>
      </c>
      <c r="M34" s="3">
        <v>0</v>
      </c>
      <c r="N34" s="3" t="s">
        <v>160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 t="s">
        <v>161</v>
      </c>
      <c r="X34" s="3">
        <v>9.5</v>
      </c>
      <c r="Y34" s="3">
        <v>9.5</v>
      </c>
      <c r="Z34" s="3">
        <v>9.5</v>
      </c>
      <c r="AA34" s="3">
        <v>0</v>
      </c>
      <c r="AB34" s="3" t="s">
        <v>162</v>
      </c>
      <c r="AC34" s="3">
        <v>0</v>
      </c>
      <c r="AD34" s="3">
        <v>9.5</v>
      </c>
      <c r="AE34" s="3">
        <v>63</v>
      </c>
      <c r="AF34" s="3">
        <v>0</v>
      </c>
      <c r="AG34" s="3">
        <v>3.437302</v>
      </c>
      <c r="AH34" s="3">
        <v>0</v>
      </c>
      <c r="AI34" s="3" t="s">
        <v>192</v>
      </c>
      <c r="AJ34" s="3" t="s">
        <v>164</v>
      </c>
    </row>
    <row r="35" spans="1:36">
      <c r="A35" s="6">
        <v>43288</v>
      </c>
      <c r="B35" s="3" t="s">
        <v>266</v>
      </c>
      <c r="C35" s="3" t="s">
        <v>267</v>
      </c>
      <c r="D35" s="3" t="s">
        <v>267</v>
      </c>
      <c r="E35" s="3" t="s">
        <v>76</v>
      </c>
      <c r="F35" s="3" t="s">
        <v>159</v>
      </c>
      <c r="G35" s="3">
        <v>3</v>
      </c>
      <c r="H35" s="3">
        <v>0</v>
      </c>
      <c r="I35" s="3">
        <v>3</v>
      </c>
      <c r="J35" s="3">
        <v>0</v>
      </c>
      <c r="K35" s="3">
        <v>0</v>
      </c>
      <c r="L35" s="3">
        <v>0</v>
      </c>
      <c r="M35" s="3">
        <v>0</v>
      </c>
      <c r="N35" s="3" t="s">
        <v>160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6</v>
      </c>
      <c r="U35" s="3">
        <v>8</v>
      </c>
      <c r="V35" s="3">
        <v>13</v>
      </c>
      <c r="W35" s="3" t="s">
        <v>161</v>
      </c>
      <c r="X35" s="3">
        <v>9.9</v>
      </c>
      <c r="Y35" s="3">
        <v>9.9</v>
      </c>
      <c r="Z35" s="3">
        <v>9.9</v>
      </c>
      <c r="AA35" s="3">
        <v>0</v>
      </c>
      <c r="AB35" s="3" t="s">
        <v>162</v>
      </c>
      <c r="AC35" s="3">
        <v>3</v>
      </c>
      <c r="AD35" s="3">
        <v>9.9</v>
      </c>
      <c r="AE35" s="3">
        <v>0</v>
      </c>
      <c r="AF35" s="3">
        <v>0</v>
      </c>
      <c r="AG35" s="3">
        <v>0</v>
      </c>
      <c r="AH35" s="3">
        <v>2.36363636363636</v>
      </c>
      <c r="AI35" s="3" t="s">
        <v>268</v>
      </c>
      <c r="AJ35" s="3" t="s">
        <v>164</v>
      </c>
    </row>
    <row r="36" spans="1:36">
      <c r="A36" s="6">
        <v>43288</v>
      </c>
      <c r="B36" s="3" t="s">
        <v>269</v>
      </c>
      <c r="C36" s="3" t="s">
        <v>270</v>
      </c>
      <c r="D36" s="3" t="s">
        <v>271</v>
      </c>
      <c r="E36" s="3" t="s">
        <v>272</v>
      </c>
      <c r="F36" s="3" t="s">
        <v>159</v>
      </c>
      <c r="G36" s="3">
        <v>5</v>
      </c>
      <c r="H36" s="3">
        <v>0</v>
      </c>
      <c r="I36" s="3">
        <v>0</v>
      </c>
      <c r="J36" s="3">
        <v>5</v>
      </c>
      <c r="K36" s="3">
        <v>0</v>
      </c>
      <c r="L36" s="3">
        <v>0</v>
      </c>
      <c r="M36" s="3">
        <v>0</v>
      </c>
      <c r="N36" s="3" t="s">
        <v>160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 t="s">
        <v>161</v>
      </c>
      <c r="X36" s="3">
        <v>13.99</v>
      </c>
      <c r="Y36" s="3">
        <v>13.99</v>
      </c>
      <c r="Z36" s="3">
        <v>13.99</v>
      </c>
      <c r="AA36" s="3">
        <v>0</v>
      </c>
      <c r="AB36" s="3" t="s">
        <v>162</v>
      </c>
      <c r="AC36" s="3">
        <v>0</v>
      </c>
      <c r="AD36" s="3">
        <v>11.19</v>
      </c>
      <c r="AE36" s="3">
        <v>63</v>
      </c>
      <c r="AF36" s="3">
        <v>0</v>
      </c>
      <c r="AG36" s="3">
        <v>6.187495</v>
      </c>
      <c r="AH36" s="3">
        <v>0</v>
      </c>
      <c r="AI36" s="3" t="s">
        <v>169</v>
      </c>
      <c r="AJ36" s="3" t="s">
        <v>164</v>
      </c>
    </row>
    <row r="37" spans="1:36">
      <c r="A37" s="6">
        <v>43288</v>
      </c>
      <c r="B37" s="3" t="s">
        <v>273</v>
      </c>
      <c r="C37" s="3" t="s">
        <v>274</v>
      </c>
      <c r="D37" s="3" t="s">
        <v>274</v>
      </c>
      <c r="E37" s="3" t="s">
        <v>275</v>
      </c>
      <c r="F37" s="3" t="s">
        <v>159</v>
      </c>
      <c r="G37" s="3">
        <v>7</v>
      </c>
      <c r="H37" s="3">
        <v>0</v>
      </c>
      <c r="I37" s="3">
        <v>1</v>
      </c>
      <c r="J37" s="3">
        <v>0</v>
      </c>
      <c r="K37" s="3">
        <v>4</v>
      </c>
      <c r="L37" s="3">
        <v>2</v>
      </c>
      <c r="M37" s="3">
        <v>0</v>
      </c>
      <c r="N37" s="3" t="s">
        <v>160</v>
      </c>
      <c r="O37" s="3">
        <v>6</v>
      </c>
      <c r="P37" s="3">
        <v>2.71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1</v>
      </c>
      <c r="W37" s="3" t="s">
        <v>207</v>
      </c>
      <c r="X37" s="3">
        <v>20.99</v>
      </c>
      <c r="Y37" s="3">
        <v>20.99</v>
      </c>
      <c r="Z37" s="3">
        <v>20.99</v>
      </c>
      <c r="AA37" s="3">
        <v>0</v>
      </c>
      <c r="AB37" s="3" t="s">
        <v>187</v>
      </c>
      <c r="AC37" s="3">
        <v>5</v>
      </c>
      <c r="AD37" s="3">
        <v>19.88</v>
      </c>
      <c r="AE37" s="3">
        <v>14</v>
      </c>
      <c r="AF37" s="3">
        <v>0</v>
      </c>
      <c r="AG37" s="3">
        <v>112.021756</v>
      </c>
      <c r="AH37" s="3">
        <v>0.142857142857142</v>
      </c>
      <c r="AI37" s="3" t="s">
        <v>276</v>
      </c>
      <c r="AJ37" s="3" t="s">
        <v>174</v>
      </c>
    </row>
    <row r="38" spans="1:36">
      <c r="A38" s="6">
        <v>43288</v>
      </c>
      <c r="B38" s="3" t="s">
        <v>277</v>
      </c>
      <c r="C38" s="3" t="s">
        <v>278</v>
      </c>
      <c r="D38" s="3" t="s">
        <v>278</v>
      </c>
      <c r="E38" s="3" t="s">
        <v>279</v>
      </c>
      <c r="F38" s="3" t="s">
        <v>159</v>
      </c>
      <c r="G38" s="3">
        <v>7</v>
      </c>
      <c r="H38" s="3">
        <v>0</v>
      </c>
      <c r="I38" s="3">
        <v>1</v>
      </c>
      <c r="J38" s="3">
        <v>0</v>
      </c>
      <c r="K38" s="3">
        <v>1</v>
      </c>
      <c r="L38" s="3">
        <v>5</v>
      </c>
      <c r="M38" s="3">
        <v>0</v>
      </c>
      <c r="N38" s="3" t="s">
        <v>160</v>
      </c>
      <c r="O38" s="3">
        <v>6</v>
      </c>
      <c r="P38" s="3">
        <v>14.4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2</v>
      </c>
      <c r="W38" s="3" t="s">
        <v>207</v>
      </c>
      <c r="X38" s="3">
        <v>12.98</v>
      </c>
      <c r="Y38" s="3">
        <v>12.98</v>
      </c>
      <c r="Z38" s="3">
        <v>12.98</v>
      </c>
      <c r="AA38" s="3">
        <v>0</v>
      </c>
      <c r="AB38" s="3" t="s">
        <v>187</v>
      </c>
      <c r="AC38" s="3">
        <v>0</v>
      </c>
      <c r="AD38" s="3">
        <v>11.79</v>
      </c>
      <c r="AE38" s="3">
        <v>7</v>
      </c>
      <c r="AF38" s="3">
        <v>6</v>
      </c>
      <c r="AG38" s="3">
        <v>200.098483</v>
      </c>
      <c r="AH38" s="3">
        <v>0.275862068965517</v>
      </c>
      <c r="AI38" s="3" t="s">
        <v>208</v>
      </c>
      <c r="AJ38" s="3" t="s">
        <v>174</v>
      </c>
    </row>
    <row r="39" spans="1:36">
      <c r="A39" s="6">
        <v>43288</v>
      </c>
      <c r="B39" s="3" t="s">
        <v>280</v>
      </c>
      <c r="C39" s="3" t="s">
        <v>281</v>
      </c>
      <c r="D39" s="3" t="s">
        <v>281</v>
      </c>
      <c r="E39" s="3" t="s">
        <v>282</v>
      </c>
      <c r="F39" s="3" t="s">
        <v>159</v>
      </c>
      <c r="G39" s="3">
        <v>8</v>
      </c>
      <c r="H39" s="3">
        <v>0</v>
      </c>
      <c r="I39" s="3">
        <v>0</v>
      </c>
      <c r="J39" s="3">
        <v>7</v>
      </c>
      <c r="K39" s="3">
        <v>1</v>
      </c>
      <c r="L39" s="3">
        <v>0</v>
      </c>
      <c r="M39" s="3">
        <v>0</v>
      </c>
      <c r="N39" s="3" t="s">
        <v>160</v>
      </c>
      <c r="O39" s="3">
        <v>1</v>
      </c>
      <c r="P39" s="3">
        <v>2.4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 t="s">
        <v>207</v>
      </c>
      <c r="X39" s="3">
        <v>22.98</v>
      </c>
      <c r="Y39" s="3">
        <v>22.98</v>
      </c>
      <c r="Z39" s="3">
        <v>22.98</v>
      </c>
      <c r="AA39" s="3">
        <v>0</v>
      </c>
      <c r="AB39" s="3" t="s">
        <v>187</v>
      </c>
      <c r="AC39" s="3">
        <v>0</v>
      </c>
      <c r="AD39" s="3">
        <v>18.34</v>
      </c>
      <c r="AE39" s="3">
        <v>336</v>
      </c>
      <c r="AF39" s="3">
        <v>0</v>
      </c>
      <c r="AG39" s="3">
        <v>231.777241</v>
      </c>
      <c r="AH39" s="3">
        <v>0</v>
      </c>
      <c r="AI39" s="3" t="s">
        <v>283</v>
      </c>
      <c r="AJ39" s="3" t="s">
        <v>174</v>
      </c>
    </row>
    <row r="40" spans="1:36">
      <c r="A40" s="6">
        <v>43288</v>
      </c>
      <c r="B40" s="3" t="s">
        <v>284</v>
      </c>
      <c r="C40" s="3" t="s">
        <v>285</v>
      </c>
      <c r="D40" s="3" t="s">
        <v>285</v>
      </c>
      <c r="E40" s="3" t="s">
        <v>286</v>
      </c>
      <c r="F40" s="3" t="s">
        <v>159</v>
      </c>
      <c r="G40" s="3">
        <v>3</v>
      </c>
      <c r="H40" s="3">
        <v>0</v>
      </c>
      <c r="I40" s="3">
        <v>0</v>
      </c>
      <c r="J40" s="3">
        <v>3</v>
      </c>
      <c r="K40" s="3">
        <v>0</v>
      </c>
      <c r="L40" s="3">
        <v>0</v>
      </c>
      <c r="M40" s="3">
        <v>0</v>
      </c>
      <c r="N40" s="3" t="s">
        <v>160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1</v>
      </c>
      <c r="W40" s="3" t="s">
        <v>161</v>
      </c>
      <c r="X40" s="3">
        <v>9.5</v>
      </c>
      <c r="Y40" s="3">
        <v>9.5</v>
      </c>
      <c r="Z40" s="3">
        <v>9.5</v>
      </c>
      <c r="AA40" s="3">
        <v>0</v>
      </c>
      <c r="AB40" s="3" t="s">
        <v>162</v>
      </c>
      <c r="AC40" s="3">
        <v>3</v>
      </c>
      <c r="AD40" s="3">
        <v>9.5</v>
      </c>
      <c r="AE40" s="3">
        <v>0</v>
      </c>
      <c r="AF40" s="3">
        <v>0</v>
      </c>
      <c r="AG40" s="3">
        <v>0</v>
      </c>
      <c r="AH40" s="3">
        <v>0.307692307692307</v>
      </c>
      <c r="AI40" s="3" t="s">
        <v>192</v>
      </c>
      <c r="AJ40" s="3" t="s">
        <v>164</v>
      </c>
    </row>
    <row r="41" spans="1:36">
      <c r="A41" s="6">
        <v>43288</v>
      </c>
      <c r="B41" s="3" t="s">
        <v>287</v>
      </c>
      <c r="C41" s="3" t="s">
        <v>288</v>
      </c>
      <c r="D41" s="3" t="s">
        <v>288</v>
      </c>
      <c r="E41" s="3" t="s">
        <v>289</v>
      </c>
      <c r="F41" s="3" t="s">
        <v>159</v>
      </c>
      <c r="G41" s="3">
        <v>16</v>
      </c>
      <c r="H41" s="3">
        <v>0</v>
      </c>
      <c r="I41" s="3">
        <v>0</v>
      </c>
      <c r="J41" s="3">
        <v>1</v>
      </c>
      <c r="K41" s="3">
        <v>0</v>
      </c>
      <c r="L41" s="3">
        <v>15</v>
      </c>
      <c r="M41" s="3">
        <v>0</v>
      </c>
      <c r="N41" s="3" t="s">
        <v>160</v>
      </c>
      <c r="O41" s="3">
        <v>16</v>
      </c>
      <c r="P41" s="3">
        <v>38.39</v>
      </c>
      <c r="Q41" s="3">
        <v>0</v>
      </c>
      <c r="R41" s="3">
        <v>0</v>
      </c>
      <c r="S41" s="3">
        <v>0</v>
      </c>
      <c r="T41" s="3">
        <v>1</v>
      </c>
      <c r="U41" s="3">
        <v>1</v>
      </c>
      <c r="V41" s="3">
        <v>1</v>
      </c>
      <c r="W41" s="3"/>
      <c r="X41" s="3">
        <v>14.98</v>
      </c>
      <c r="Y41" s="3">
        <v>14.98</v>
      </c>
      <c r="Z41" s="3">
        <v>14.98</v>
      </c>
      <c r="AA41" s="3">
        <v>0</v>
      </c>
      <c r="AB41" s="3" t="s">
        <v>230</v>
      </c>
      <c r="AC41" s="3">
        <v>0</v>
      </c>
      <c r="AD41" s="3">
        <v>14.98</v>
      </c>
      <c r="AE41" s="3">
        <v>0</v>
      </c>
      <c r="AF41" s="3">
        <v>16</v>
      </c>
      <c r="AG41" s="3">
        <v>471.336377</v>
      </c>
      <c r="AH41" s="3">
        <v>0.0597014925373134</v>
      </c>
      <c r="AI41" s="3" t="s">
        <v>208</v>
      </c>
      <c r="AJ41" s="3" t="s">
        <v>174</v>
      </c>
    </row>
    <row r="42" spans="1:36">
      <c r="A42" s="6">
        <v>43288</v>
      </c>
      <c r="B42" s="3" t="s">
        <v>290</v>
      </c>
      <c r="C42" s="3" t="s">
        <v>291</v>
      </c>
      <c r="D42" s="3" t="s">
        <v>291</v>
      </c>
      <c r="E42" s="3" t="s">
        <v>292</v>
      </c>
      <c r="F42" s="3" t="s">
        <v>159</v>
      </c>
      <c r="G42" s="3">
        <v>2</v>
      </c>
      <c r="H42" s="3">
        <v>0</v>
      </c>
      <c r="I42" s="3">
        <v>0</v>
      </c>
      <c r="J42" s="3">
        <v>0</v>
      </c>
      <c r="K42" s="3">
        <v>2</v>
      </c>
      <c r="L42" s="3">
        <v>0</v>
      </c>
      <c r="M42" s="3">
        <v>0</v>
      </c>
      <c r="N42" s="3" t="s">
        <v>160</v>
      </c>
      <c r="O42" s="3">
        <v>2</v>
      </c>
      <c r="P42" s="3">
        <v>4.8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 t="s">
        <v>207</v>
      </c>
      <c r="X42" s="3">
        <v>15.98</v>
      </c>
      <c r="Y42" s="3">
        <v>15.98</v>
      </c>
      <c r="Z42" s="3">
        <v>15.98</v>
      </c>
      <c r="AA42" s="3">
        <v>0</v>
      </c>
      <c r="AB42" s="3" t="s">
        <v>187</v>
      </c>
      <c r="AC42" s="3">
        <v>0</v>
      </c>
      <c r="AD42" s="3">
        <v>14.29</v>
      </c>
      <c r="AE42" s="3">
        <v>35</v>
      </c>
      <c r="AF42" s="3">
        <v>1</v>
      </c>
      <c r="AG42" s="3">
        <v>59.657723</v>
      </c>
      <c r="AH42" s="3">
        <v>0</v>
      </c>
      <c r="AI42" s="3" t="s">
        <v>208</v>
      </c>
      <c r="AJ42" s="3" t="s">
        <v>174</v>
      </c>
    </row>
    <row r="43" spans="1:36">
      <c r="A43" s="6">
        <v>43288</v>
      </c>
      <c r="B43" s="3" t="s">
        <v>293</v>
      </c>
      <c r="C43" s="3" t="s">
        <v>294</v>
      </c>
      <c r="D43" s="3" t="s">
        <v>294</v>
      </c>
      <c r="E43" s="3" t="s">
        <v>295</v>
      </c>
      <c r="F43" s="3" t="s">
        <v>159</v>
      </c>
      <c r="G43" s="3">
        <v>5</v>
      </c>
      <c r="H43" s="3">
        <v>0</v>
      </c>
      <c r="I43" s="3">
        <v>0</v>
      </c>
      <c r="J43" s="3">
        <v>0</v>
      </c>
      <c r="K43" s="3">
        <v>5</v>
      </c>
      <c r="L43" s="3">
        <v>0</v>
      </c>
      <c r="M43" s="3">
        <v>0</v>
      </c>
      <c r="N43" s="3" t="s">
        <v>160</v>
      </c>
      <c r="O43" s="3">
        <v>5</v>
      </c>
      <c r="P43" s="3">
        <v>6.83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 t="s">
        <v>207</v>
      </c>
      <c r="X43" s="3">
        <v>12</v>
      </c>
      <c r="Y43" s="3">
        <v>12</v>
      </c>
      <c r="Z43" s="3">
        <v>12</v>
      </c>
      <c r="AA43" s="3">
        <v>0</v>
      </c>
      <c r="AB43" s="3" t="s">
        <v>187</v>
      </c>
      <c r="AC43" s="3">
        <v>0</v>
      </c>
      <c r="AD43" s="3">
        <v>9.6</v>
      </c>
      <c r="AE43" s="3">
        <v>63</v>
      </c>
      <c r="AF43" s="3">
        <v>0</v>
      </c>
      <c r="AG43" s="3">
        <v>89.866664</v>
      </c>
      <c r="AH43" s="3">
        <v>0</v>
      </c>
      <c r="AI43" s="3" t="s">
        <v>241</v>
      </c>
      <c r="AJ43" s="3" t="s">
        <v>174</v>
      </c>
    </row>
    <row r="44" spans="1:36">
      <c r="A44" s="6">
        <v>43288</v>
      </c>
      <c r="B44" s="3" t="s">
        <v>296</v>
      </c>
      <c r="C44" s="3" t="s">
        <v>297</v>
      </c>
      <c r="D44" s="3" t="s">
        <v>297</v>
      </c>
      <c r="E44" s="3" t="s">
        <v>31</v>
      </c>
      <c r="F44" s="3" t="s">
        <v>159</v>
      </c>
      <c r="G44" s="3">
        <v>5</v>
      </c>
      <c r="H44" s="3">
        <v>0</v>
      </c>
      <c r="I44" s="3">
        <v>1</v>
      </c>
      <c r="J44" s="3">
        <v>0</v>
      </c>
      <c r="K44" s="3">
        <v>4</v>
      </c>
      <c r="L44" s="3">
        <v>0</v>
      </c>
      <c r="M44" s="3">
        <v>0</v>
      </c>
      <c r="N44" s="3" t="s">
        <v>160</v>
      </c>
      <c r="O44" s="3">
        <v>4</v>
      </c>
      <c r="P44" s="3">
        <v>2.96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1</v>
      </c>
      <c r="W44" s="3" t="s">
        <v>207</v>
      </c>
      <c r="X44" s="3">
        <v>24.99</v>
      </c>
      <c r="Y44" s="3">
        <v>24.99</v>
      </c>
      <c r="Z44" s="3">
        <v>24.99</v>
      </c>
      <c r="AA44" s="3">
        <v>0</v>
      </c>
      <c r="AB44" s="3" t="s">
        <v>187</v>
      </c>
      <c r="AC44" s="3">
        <v>0</v>
      </c>
      <c r="AD44" s="3">
        <v>15</v>
      </c>
      <c r="AE44" s="3">
        <v>364</v>
      </c>
      <c r="AF44" s="3">
        <v>0</v>
      </c>
      <c r="AG44" s="3">
        <v>55.255774</v>
      </c>
      <c r="AH44" s="3">
        <v>0.210526315789473</v>
      </c>
      <c r="AI44" s="3" t="s">
        <v>253</v>
      </c>
      <c r="AJ44" s="3" t="s">
        <v>174</v>
      </c>
    </row>
    <row r="45" spans="1:36">
      <c r="A45" s="6">
        <v>43288</v>
      </c>
      <c r="B45" s="3" t="s">
        <v>298</v>
      </c>
      <c r="C45" s="3" t="s">
        <v>299</v>
      </c>
      <c r="D45" s="3" t="s">
        <v>299</v>
      </c>
      <c r="E45" s="3" t="s">
        <v>186</v>
      </c>
      <c r="F45" s="3" t="s">
        <v>159</v>
      </c>
      <c r="G45" s="3">
        <v>3</v>
      </c>
      <c r="H45" s="3">
        <v>0</v>
      </c>
      <c r="I45" s="3">
        <v>0</v>
      </c>
      <c r="J45" s="3">
        <v>0</v>
      </c>
      <c r="K45" s="3">
        <v>3</v>
      </c>
      <c r="L45" s="3">
        <v>0</v>
      </c>
      <c r="M45" s="3">
        <v>0</v>
      </c>
      <c r="N45" s="3" t="s">
        <v>160</v>
      </c>
      <c r="O45" s="3">
        <v>3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 t="s">
        <v>161</v>
      </c>
      <c r="X45" s="3">
        <v>12</v>
      </c>
      <c r="Y45" s="3">
        <v>12</v>
      </c>
      <c r="Z45" s="3">
        <v>12</v>
      </c>
      <c r="AA45" s="3">
        <v>0</v>
      </c>
      <c r="AB45" s="3" t="s">
        <v>187</v>
      </c>
      <c r="AC45" s="3">
        <v>0</v>
      </c>
      <c r="AD45" s="3">
        <v>9.6</v>
      </c>
      <c r="AE45" s="3">
        <v>63</v>
      </c>
      <c r="AF45" s="3">
        <v>0</v>
      </c>
      <c r="AG45" s="3">
        <v>2.907135</v>
      </c>
      <c r="AH45" s="3">
        <v>0</v>
      </c>
      <c r="AI45" s="3" t="s">
        <v>188</v>
      </c>
      <c r="AJ45" s="3" t="s">
        <v>164</v>
      </c>
    </row>
    <row r="46" spans="1:36">
      <c r="A46" s="6">
        <v>43288</v>
      </c>
      <c r="B46" s="3" t="s">
        <v>300</v>
      </c>
      <c r="C46" s="3" t="s">
        <v>301</v>
      </c>
      <c r="D46" s="3" t="s">
        <v>301</v>
      </c>
      <c r="E46" s="3" t="s">
        <v>302</v>
      </c>
      <c r="F46" s="3" t="s">
        <v>159</v>
      </c>
      <c r="G46" s="3">
        <v>10</v>
      </c>
      <c r="H46" s="3">
        <v>0</v>
      </c>
      <c r="I46" s="3">
        <v>0</v>
      </c>
      <c r="J46" s="3">
        <v>0</v>
      </c>
      <c r="K46" s="3">
        <v>0</v>
      </c>
      <c r="L46" s="3">
        <v>10</v>
      </c>
      <c r="M46" s="3">
        <v>0</v>
      </c>
      <c r="N46" s="3" t="s">
        <v>160</v>
      </c>
      <c r="O46" s="3">
        <v>10</v>
      </c>
      <c r="P46" s="3">
        <v>24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 t="s">
        <v>207</v>
      </c>
      <c r="X46" s="3">
        <v>14.98</v>
      </c>
      <c r="Y46" s="3">
        <v>14.98</v>
      </c>
      <c r="Z46" s="3">
        <v>14.98</v>
      </c>
      <c r="AA46" s="3">
        <v>0</v>
      </c>
      <c r="AB46" s="3" t="s">
        <v>187</v>
      </c>
      <c r="AC46" s="3">
        <v>0</v>
      </c>
      <c r="AD46" s="3">
        <v>12.98</v>
      </c>
      <c r="AE46" s="3">
        <v>70</v>
      </c>
      <c r="AF46" s="3">
        <v>0</v>
      </c>
      <c r="AG46" s="3">
        <v>299.667561</v>
      </c>
      <c r="AH46" s="3">
        <v>0</v>
      </c>
      <c r="AI46" s="3" t="s">
        <v>208</v>
      </c>
      <c r="AJ46" s="3" t="s">
        <v>174</v>
      </c>
    </row>
    <row r="47" spans="1:36">
      <c r="A47" s="6">
        <v>43288</v>
      </c>
      <c r="B47" s="3" t="s">
        <v>303</v>
      </c>
      <c r="C47" s="3" t="s">
        <v>304</v>
      </c>
      <c r="D47" s="3" t="s">
        <v>304</v>
      </c>
      <c r="E47" s="3" t="s">
        <v>305</v>
      </c>
      <c r="F47" s="3" t="s">
        <v>159</v>
      </c>
      <c r="G47" s="3">
        <v>4</v>
      </c>
      <c r="H47" s="3">
        <v>0</v>
      </c>
      <c r="I47" s="3">
        <v>0</v>
      </c>
      <c r="J47" s="3">
        <v>4</v>
      </c>
      <c r="K47" s="3">
        <v>0</v>
      </c>
      <c r="L47" s="3">
        <v>0</v>
      </c>
      <c r="M47" s="3">
        <v>0</v>
      </c>
      <c r="N47" s="3" t="s">
        <v>160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 t="s">
        <v>161</v>
      </c>
      <c r="X47" s="3">
        <v>8.99</v>
      </c>
      <c r="Y47" s="3">
        <v>8.99</v>
      </c>
      <c r="Z47" s="3">
        <v>8.99</v>
      </c>
      <c r="AA47" s="3">
        <v>0</v>
      </c>
      <c r="AB47" s="3" t="s">
        <v>162</v>
      </c>
      <c r="AC47" s="3">
        <v>0</v>
      </c>
      <c r="AD47" s="3">
        <v>8.99</v>
      </c>
      <c r="AE47" s="3">
        <v>63</v>
      </c>
      <c r="AF47" s="3">
        <v>0</v>
      </c>
      <c r="AG47" s="3">
        <v>11.688962</v>
      </c>
      <c r="AH47" s="3">
        <v>0</v>
      </c>
      <c r="AI47" s="3" t="s">
        <v>196</v>
      </c>
      <c r="AJ47" s="3" t="s">
        <v>164</v>
      </c>
    </row>
    <row r="48" spans="1:36">
      <c r="A48" s="6">
        <v>43288</v>
      </c>
      <c r="B48" s="3" t="s">
        <v>306</v>
      </c>
      <c r="C48" s="3" t="s">
        <v>307</v>
      </c>
      <c r="D48" s="3" t="s">
        <v>307</v>
      </c>
      <c r="E48" s="3" t="s">
        <v>308</v>
      </c>
      <c r="F48" s="3" t="s">
        <v>159</v>
      </c>
      <c r="G48" s="3">
        <v>14</v>
      </c>
      <c r="H48" s="3">
        <v>0</v>
      </c>
      <c r="I48" s="3">
        <v>0</v>
      </c>
      <c r="J48" s="3">
        <v>0</v>
      </c>
      <c r="K48" s="3">
        <v>0</v>
      </c>
      <c r="L48" s="3">
        <v>14</v>
      </c>
      <c r="M48" s="3">
        <v>0</v>
      </c>
      <c r="N48" s="3" t="s">
        <v>160</v>
      </c>
      <c r="O48" s="3">
        <v>14</v>
      </c>
      <c r="P48" s="3">
        <v>33.59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1</v>
      </c>
      <c r="W48" s="3" t="s">
        <v>207</v>
      </c>
      <c r="X48" s="3">
        <v>15.98</v>
      </c>
      <c r="Y48" s="3">
        <v>15.98</v>
      </c>
      <c r="Z48" s="3">
        <v>15.98</v>
      </c>
      <c r="AA48" s="3">
        <v>0</v>
      </c>
      <c r="AB48" s="3" t="s">
        <v>187</v>
      </c>
      <c r="AC48" s="3">
        <v>0</v>
      </c>
      <c r="AD48" s="3">
        <v>12.78</v>
      </c>
      <c r="AE48" s="3">
        <v>63</v>
      </c>
      <c r="AF48" s="3">
        <v>0</v>
      </c>
      <c r="AG48" s="3">
        <v>412.41933</v>
      </c>
      <c r="AH48" s="3">
        <v>0.0701754385964912</v>
      </c>
      <c r="AI48" s="3" t="s">
        <v>208</v>
      </c>
      <c r="AJ48" s="3" t="s">
        <v>174</v>
      </c>
    </row>
    <row r="49" spans="1:36">
      <c r="A49" s="6">
        <v>43288</v>
      </c>
      <c r="B49" s="3" t="s">
        <v>309</v>
      </c>
      <c r="C49" s="3" t="s">
        <v>310</v>
      </c>
      <c r="D49" s="3" t="s">
        <v>310</v>
      </c>
      <c r="E49" s="3" t="s">
        <v>311</v>
      </c>
      <c r="F49" s="3" t="s">
        <v>159</v>
      </c>
      <c r="G49" s="3">
        <v>4</v>
      </c>
      <c r="H49" s="3">
        <v>0</v>
      </c>
      <c r="I49" s="3">
        <v>0</v>
      </c>
      <c r="J49" s="3">
        <v>4</v>
      </c>
      <c r="K49" s="3">
        <v>0</v>
      </c>
      <c r="L49" s="3">
        <v>0</v>
      </c>
      <c r="M49" s="3">
        <v>0</v>
      </c>
      <c r="N49" s="3" t="s">
        <v>160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 t="s">
        <v>161</v>
      </c>
      <c r="X49" s="3">
        <v>9.5</v>
      </c>
      <c r="Y49" s="3">
        <v>9.5</v>
      </c>
      <c r="Z49" s="3">
        <v>9.5</v>
      </c>
      <c r="AA49" s="3">
        <v>0</v>
      </c>
      <c r="AB49" s="3" t="s">
        <v>162</v>
      </c>
      <c r="AC49" s="3">
        <v>0</v>
      </c>
      <c r="AD49" s="3">
        <v>9.5</v>
      </c>
      <c r="AE49" s="3">
        <v>63</v>
      </c>
      <c r="AF49" s="3">
        <v>0</v>
      </c>
      <c r="AG49" s="3">
        <v>3.437302</v>
      </c>
      <c r="AH49" s="3">
        <v>0</v>
      </c>
      <c r="AI49" s="3" t="s">
        <v>192</v>
      </c>
      <c r="AJ49" s="3" t="s">
        <v>164</v>
      </c>
    </row>
    <row r="50" spans="1:36">
      <c r="A50" s="6">
        <v>43288</v>
      </c>
      <c r="B50" s="3" t="s">
        <v>312</v>
      </c>
      <c r="C50" s="3" t="s">
        <v>313</v>
      </c>
      <c r="D50" s="3" t="s">
        <v>313</v>
      </c>
      <c r="E50" s="3" t="s">
        <v>314</v>
      </c>
      <c r="F50" s="3" t="s">
        <v>159</v>
      </c>
      <c r="G50" s="3">
        <v>5</v>
      </c>
      <c r="H50" s="3">
        <v>0</v>
      </c>
      <c r="I50" s="3">
        <v>0</v>
      </c>
      <c r="J50" s="3">
        <v>0</v>
      </c>
      <c r="K50" s="3">
        <v>4</v>
      </c>
      <c r="L50" s="3">
        <v>1</v>
      </c>
      <c r="M50" s="3">
        <v>0</v>
      </c>
      <c r="N50" s="3" t="s">
        <v>160</v>
      </c>
      <c r="O50" s="3">
        <v>5</v>
      </c>
      <c r="P50" s="3">
        <v>1.97</v>
      </c>
      <c r="Q50" s="3">
        <v>0</v>
      </c>
      <c r="R50" s="3">
        <v>0</v>
      </c>
      <c r="S50" s="3">
        <v>0</v>
      </c>
      <c r="T50" s="3">
        <v>1</v>
      </c>
      <c r="U50" s="3">
        <v>1</v>
      </c>
      <c r="V50" s="3">
        <v>1</v>
      </c>
      <c r="W50" s="3"/>
      <c r="X50" s="3">
        <v>20</v>
      </c>
      <c r="Y50" s="3">
        <v>20</v>
      </c>
      <c r="Z50" s="3">
        <v>20</v>
      </c>
      <c r="AA50" s="3">
        <v>0</v>
      </c>
      <c r="AB50" s="3" t="s">
        <v>170</v>
      </c>
      <c r="AC50" s="3">
        <v>5</v>
      </c>
      <c r="AD50" s="3">
        <v>20</v>
      </c>
      <c r="AE50" s="3">
        <v>0</v>
      </c>
      <c r="AF50" s="3">
        <v>0</v>
      </c>
      <c r="AG50" s="3">
        <v>0</v>
      </c>
      <c r="AH50" s="3">
        <v>0.17391304347826</v>
      </c>
      <c r="AI50" s="3" t="s">
        <v>212</v>
      </c>
      <c r="AJ50" s="3" t="s">
        <v>164</v>
      </c>
    </row>
    <row r="51" spans="1:36">
      <c r="A51" s="6">
        <v>43288</v>
      </c>
      <c r="B51" s="3" t="s">
        <v>99</v>
      </c>
      <c r="C51" s="3" t="s">
        <v>100</v>
      </c>
      <c r="D51" s="3" t="s">
        <v>101</v>
      </c>
      <c r="E51" s="3" t="s">
        <v>102</v>
      </c>
      <c r="F51" s="3" t="s">
        <v>159</v>
      </c>
      <c r="G51" s="3">
        <v>67</v>
      </c>
      <c r="H51" s="3">
        <v>0</v>
      </c>
      <c r="I51" s="3">
        <v>67</v>
      </c>
      <c r="J51" s="3">
        <v>0</v>
      </c>
      <c r="K51" s="3">
        <v>0</v>
      </c>
      <c r="L51" s="3">
        <v>0</v>
      </c>
      <c r="M51" s="3">
        <v>0</v>
      </c>
      <c r="N51" s="3" t="s">
        <v>160</v>
      </c>
      <c r="O51" s="3">
        <v>0</v>
      </c>
      <c r="P51" s="3">
        <v>0</v>
      </c>
      <c r="Q51" s="3">
        <v>0</v>
      </c>
      <c r="R51" s="3">
        <v>0</v>
      </c>
      <c r="S51" s="3">
        <v>10</v>
      </c>
      <c r="T51" s="3">
        <v>32</v>
      </c>
      <c r="U51" s="3">
        <v>32</v>
      </c>
      <c r="V51" s="3">
        <v>32</v>
      </c>
      <c r="W51" s="3"/>
      <c r="X51" s="3">
        <v>24.99</v>
      </c>
      <c r="Y51" s="3">
        <v>24.99</v>
      </c>
      <c r="Z51" s="3">
        <v>24.99</v>
      </c>
      <c r="AA51" s="3">
        <v>0</v>
      </c>
      <c r="AB51" s="3" t="s">
        <v>170</v>
      </c>
      <c r="AC51" s="3">
        <v>71</v>
      </c>
      <c r="AD51" s="3">
        <v>24.99</v>
      </c>
      <c r="AE51" s="3">
        <v>0</v>
      </c>
      <c r="AF51" s="3">
        <v>0</v>
      </c>
      <c r="AG51" s="3">
        <v>0</v>
      </c>
      <c r="AH51" s="3">
        <v>3.5</v>
      </c>
      <c r="AI51" s="3" t="s">
        <v>315</v>
      </c>
      <c r="AJ51" s="3" t="s">
        <v>164</v>
      </c>
    </row>
    <row r="52" spans="1:36">
      <c r="A52" s="6">
        <v>43288</v>
      </c>
      <c r="B52" s="3" t="s">
        <v>316</v>
      </c>
      <c r="C52" s="3" t="s">
        <v>317</v>
      </c>
      <c r="D52" s="3" t="s">
        <v>317</v>
      </c>
      <c r="E52" s="3" t="s">
        <v>186</v>
      </c>
      <c r="F52" s="3" t="s">
        <v>159</v>
      </c>
      <c r="G52" s="3">
        <v>2</v>
      </c>
      <c r="H52" s="3">
        <v>0</v>
      </c>
      <c r="I52" s="3">
        <v>0</v>
      </c>
      <c r="J52" s="3">
        <v>0</v>
      </c>
      <c r="K52" s="3">
        <v>2</v>
      </c>
      <c r="L52" s="3">
        <v>0</v>
      </c>
      <c r="M52" s="3">
        <v>0</v>
      </c>
      <c r="N52" s="3" t="s">
        <v>160</v>
      </c>
      <c r="O52" s="3">
        <v>2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 t="s">
        <v>161</v>
      </c>
      <c r="X52" s="3">
        <v>12</v>
      </c>
      <c r="Y52" s="3">
        <v>12</v>
      </c>
      <c r="Z52" s="3">
        <v>12</v>
      </c>
      <c r="AA52" s="3">
        <v>0</v>
      </c>
      <c r="AB52" s="3" t="s">
        <v>170</v>
      </c>
      <c r="AC52" s="3">
        <v>2</v>
      </c>
      <c r="AD52" s="3">
        <v>12</v>
      </c>
      <c r="AE52" s="3">
        <v>0</v>
      </c>
      <c r="AF52" s="3">
        <v>0</v>
      </c>
      <c r="AG52" s="3">
        <v>0</v>
      </c>
      <c r="AH52" s="3">
        <v>0</v>
      </c>
      <c r="AI52" s="3" t="s">
        <v>188</v>
      </c>
      <c r="AJ52" s="3" t="s">
        <v>164</v>
      </c>
    </row>
    <row r="53" spans="1:36">
      <c r="A53" s="6">
        <v>43288</v>
      </c>
      <c r="B53" s="3" t="s">
        <v>318</v>
      </c>
      <c r="C53" s="3" t="s">
        <v>319</v>
      </c>
      <c r="D53" s="3" t="s">
        <v>319</v>
      </c>
      <c r="E53" s="3" t="s">
        <v>320</v>
      </c>
      <c r="F53" s="3" t="s">
        <v>159</v>
      </c>
      <c r="G53" s="3">
        <v>4</v>
      </c>
      <c r="H53" s="3">
        <v>0</v>
      </c>
      <c r="I53" s="3">
        <v>0</v>
      </c>
      <c r="J53" s="3">
        <v>1</v>
      </c>
      <c r="K53" s="3">
        <v>2</v>
      </c>
      <c r="L53" s="3">
        <v>1</v>
      </c>
      <c r="M53" s="3">
        <v>0</v>
      </c>
      <c r="N53" s="3" t="s">
        <v>160</v>
      </c>
      <c r="O53" s="3">
        <v>4</v>
      </c>
      <c r="P53" s="3">
        <v>2.96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1</v>
      </c>
      <c r="W53" s="3" t="s">
        <v>207</v>
      </c>
      <c r="X53" s="3">
        <v>24.99</v>
      </c>
      <c r="Y53" s="3">
        <v>24.99</v>
      </c>
      <c r="Z53" s="3">
        <v>24.99</v>
      </c>
      <c r="AA53" s="3">
        <v>0</v>
      </c>
      <c r="AB53" s="3" t="s">
        <v>187</v>
      </c>
      <c r="AC53" s="3">
        <v>0</v>
      </c>
      <c r="AD53" s="3">
        <v>18.1</v>
      </c>
      <c r="AE53" s="3">
        <v>364</v>
      </c>
      <c r="AF53" s="3">
        <v>0</v>
      </c>
      <c r="AG53" s="3">
        <v>55.211726</v>
      </c>
      <c r="AH53" s="3">
        <v>0.235294117647058</v>
      </c>
      <c r="AI53" s="3" t="s">
        <v>253</v>
      </c>
      <c r="AJ53" s="3" t="s">
        <v>164</v>
      </c>
    </row>
    <row r="54" spans="1:36">
      <c r="A54" s="6">
        <v>43288</v>
      </c>
      <c r="B54" s="3" t="s">
        <v>321</v>
      </c>
      <c r="C54" s="3" t="s">
        <v>322</v>
      </c>
      <c r="D54" s="3" t="s">
        <v>322</v>
      </c>
      <c r="E54" s="3" t="s">
        <v>323</v>
      </c>
      <c r="F54" s="3" t="s">
        <v>159</v>
      </c>
      <c r="G54" s="3">
        <v>5</v>
      </c>
      <c r="H54" s="3">
        <v>0</v>
      </c>
      <c r="I54" s="3">
        <v>0</v>
      </c>
      <c r="J54" s="3">
        <v>0</v>
      </c>
      <c r="K54" s="3">
        <v>0</v>
      </c>
      <c r="L54" s="3">
        <v>5</v>
      </c>
      <c r="M54" s="3">
        <v>0</v>
      </c>
      <c r="N54" s="3" t="s">
        <v>160</v>
      </c>
      <c r="O54" s="3">
        <v>5</v>
      </c>
      <c r="P54" s="3">
        <v>6.48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1</v>
      </c>
      <c r="W54" s="3" t="s">
        <v>207</v>
      </c>
      <c r="X54" s="3">
        <v>22.98</v>
      </c>
      <c r="Y54" s="3">
        <v>22.98</v>
      </c>
      <c r="Z54" s="3">
        <v>22.37</v>
      </c>
      <c r="AA54" s="3">
        <v>0</v>
      </c>
      <c r="AB54" s="3" t="s">
        <v>187</v>
      </c>
      <c r="AC54" s="3">
        <v>0</v>
      </c>
      <c r="AD54" s="3">
        <v>19.58</v>
      </c>
      <c r="AE54" s="3">
        <v>217</v>
      </c>
      <c r="AF54" s="3">
        <v>0</v>
      </c>
      <c r="AG54" s="3">
        <v>104.552245</v>
      </c>
      <c r="AH54" s="3">
        <v>0.19047619047619</v>
      </c>
      <c r="AI54" s="3" t="s">
        <v>324</v>
      </c>
      <c r="AJ54" s="3" t="s">
        <v>174</v>
      </c>
    </row>
    <row r="55" spans="1:36">
      <c r="A55" s="6">
        <v>43288</v>
      </c>
      <c r="B55" s="3" t="s">
        <v>325</v>
      </c>
      <c r="C55" s="3" t="s">
        <v>326</v>
      </c>
      <c r="D55" s="3" t="s">
        <v>326</v>
      </c>
      <c r="E55" s="3" t="s">
        <v>327</v>
      </c>
      <c r="F55" s="3" t="s">
        <v>159</v>
      </c>
      <c r="G55" s="3">
        <v>13</v>
      </c>
      <c r="H55" s="3">
        <v>0</v>
      </c>
      <c r="I55" s="3">
        <v>0</v>
      </c>
      <c r="J55" s="3">
        <v>0</v>
      </c>
      <c r="K55" s="3">
        <v>1</v>
      </c>
      <c r="L55" s="3">
        <v>12</v>
      </c>
      <c r="M55" s="3">
        <v>0</v>
      </c>
      <c r="N55" s="3" t="s">
        <v>160</v>
      </c>
      <c r="O55" s="3">
        <v>13</v>
      </c>
      <c r="P55" s="3">
        <v>31.19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 t="s">
        <v>207</v>
      </c>
      <c r="X55" s="3">
        <v>35.99</v>
      </c>
      <c r="Y55" s="3">
        <v>14.98</v>
      </c>
      <c r="Z55" s="3">
        <v>14.98</v>
      </c>
      <c r="AA55" s="3">
        <v>0</v>
      </c>
      <c r="AB55" s="3" t="s">
        <v>187</v>
      </c>
      <c r="AC55" s="3">
        <v>0</v>
      </c>
      <c r="AD55" s="3">
        <v>13.54</v>
      </c>
      <c r="AE55" s="3">
        <v>364</v>
      </c>
      <c r="AF55" s="3">
        <v>0</v>
      </c>
      <c r="AG55" s="3">
        <v>412.727169</v>
      </c>
      <c r="AH55" s="3">
        <v>0</v>
      </c>
      <c r="AI55" s="3" t="s">
        <v>208</v>
      </c>
      <c r="AJ55" s="3" t="s">
        <v>174</v>
      </c>
    </row>
    <row r="56" spans="1:36">
      <c r="A56" s="6">
        <v>43288</v>
      </c>
      <c r="B56" s="3" t="s">
        <v>328</v>
      </c>
      <c r="C56" s="3" t="s">
        <v>329</v>
      </c>
      <c r="D56" s="3" t="s">
        <v>329</v>
      </c>
      <c r="E56" s="3" t="s">
        <v>330</v>
      </c>
      <c r="F56" s="3" t="s">
        <v>159</v>
      </c>
      <c r="G56" s="3">
        <v>10</v>
      </c>
      <c r="H56" s="3">
        <v>0</v>
      </c>
      <c r="I56" s="3">
        <v>2</v>
      </c>
      <c r="J56" s="3">
        <v>2</v>
      </c>
      <c r="K56" s="3">
        <v>0</v>
      </c>
      <c r="L56" s="3">
        <v>6</v>
      </c>
      <c r="M56" s="3">
        <v>0</v>
      </c>
      <c r="N56" s="3" t="s">
        <v>160</v>
      </c>
      <c r="O56" s="3">
        <v>8</v>
      </c>
      <c r="P56" s="3">
        <v>19.2</v>
      </c>
      <c r="Q56" s="3">
        <v>0</v>
      </c>
      <c r="R56" s="3">
        <v>0</v>
      </c>
      <c r="S56" s="3">
        <v>0</v>
      </c>
      <c r="T56" s="3">
        <v>0</v>
      </c>
      <c r="U56" s="3">
        <v>3</v>
      </c>
      <c r="V56" s="3">
        <v>9</v>
      </c>
      <c r="W56" s="3" t="s">
        <v>207</v>
      </c>
      <c r="X56" s="3">
        <v>15.98</v>
      </c>
      <c r="Y56" s="3">
        <v>15.98</v>
      </c>
      <c r="Z56" s="3">
        <v>15.98</v>
      </c>
      <c r="AA56" s="3">
        <v>0</v>
      </c>
      <c r="AB56" s="3" t="s">
        <v>230</v>
      </c>
      <c r="AC56" s="3">
        <v>0</v>
      </c>
      <c r="AD56" s="3">
        <v>15.98</v>
      </c>
      <c r="AE56" s="3">
        <v>0</v>
      </c>
      <c r="AF56" s="3">
        <v>10</v>
      </c>
      <c r="AG56" s="3">
        <v>247.055874</v>
      </c>
      <c r="AH56" s="3">
        <v>0.76595744680851</v>
      </c>
      <c r="AI56" s="3" t="s">
        <v>208</v>
      </c>
      <c r="AJ56" s="3" t="s">
        <v>174</v>
      </c>
    </row>
    <row r="57" spans="1:36">
      <c r="A57" s="6">
        <v>43288</v>
      </c>
      <c r="B57" s="3" t="s">
        <v>331</v>
      </c>
      <c r="C57" s="3" t="s">
        <v>332</v>
      </c>
      <c r="D57" s="3" t="s">
        <v>332</v>
      </c>
      <c r="E57" s="3" t="s">
        <v>333</v>
      </c>
      <c r="F57" s="3" t="s">
        <v>159</v>
      </c>
      <c r="G57" s="3">
        <v>2</v>
      </c>
      <c r="H57" s="3">
        <v>0</v>
      </c>
      <c r="I57" s="3">
        <v>0</v>
      </c>
      <c r="J57" s="3">
        <v>2</v>
      </c>
      <c r="K57" s="3">
        <v>0</v>
      </c>
      <c r="L57" s="3">
        <v>0</v>
      </c>
      <c r="M57" s="3">
        <v>0</v>
      </c>
      <c r="N57" s="3" t="s">
        <v>160</v>
      </c>
      <c r="O57" s="3">
        <v>0</v>
      </c>
      <c r="P57" s="3">
        <v>0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2</v>
      </c>
      <c r="W57" s="3" t="s">
        <v>161</v>
      </c>
      <c r="X57" s="3">
        <v>9.5</v>
      </c>
      <c r="Y57" s="3">
        <v>9.5</v>
      </c>
      <c r="Z57" s="3">
        <v>9.5</v>
      </c>
      <c r="AA57" s="3">
        <v>0</v>
      </c>
      <c r="AB57" s="3" t="s">
        <v>162</v>
      </c>
      <c r="AC57" s="3">
        <v>1</v>
      </c>
      <c r="AD57" s="3">
        <v>9.38</v>
      </c>
      <c r="AE57" s="3">
        <v>21</v>
      </c>
      <c r="AF57" s="3">
        <v>0</v>
      </c>
      <c r="AG57" s="3">
        <v>8.185425</v>
      </c>
      <c r="AH57" s="3">
        <v>0.8</v>
      </c>
      <c r="AI57" s="3" t="s">
        <v>192</v>
      </c>
      <c r="AJ57" s="3" t="s">
        <v>164</v>
      </c>
    </row>
    <row r="58" spans="1:36">
      <c r="A58" s="6">
        <v>43288</v>
      </c>
      <c r="B58" s="3" t="s">
        <v>334</v>
      </c>
      <c r="C58" s="3" t="s">
        <v>335</v>
      </c>
      <c r="D58" s="3" t="s">
        <v>335</v>
      </c>
      <c r="E58" s="3" t="s">
        <v>186</v>
      </c>
      <c r="F58" s="3" t="s">
        <v>159</v>
      </c>
      <c r="G58" s="3">
        <v>3</v>
      </c>
      <c r="H58" s="3">
        <v>0</v>
      </c>
      <c r="I58" s="3">
        <v>0</v>
      </c>
      <c r="J58" s="3">
        <v>0</v>
      </c>
      <c r="K58" s="3">
        <v>3</v>
      </c>
      <c r="L58" s="3">
        <v>0</v>
      </c>
      <c r="M58" s="3">
        <v>0</v>
      </c>
      <c r="N58" s="3" t="s">
        <v>160</v>
      </c>
      <c r="O58" s="3">
        <v>3</v>
      </c>
      <c r="P58" s="3">
        <v>0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 t="s">
        <v>161</v>
      </c>
      <c r="X58" s="3">
        <v>15</v>
      </c>
      <c r="Y58" s="3">
        <v>15</v>
      </c>
      <c r="Z58" s="3">
        <v>15</v>
      </c>
      <c r="AA58" s="3">
        <v>0</v>
      </c>
      <c r="AB58" s="3" t="s">
        <v>187</v>
      </c>
      <c r="AC58" s="3">
        <v>0</v>
      </c>
      <c r="AD58" s="3">
        <v>12</v>
      </c>
      <c r="AE58" s="3">
        <v>63</v>
      </c>
      <c r="AF58" s="3">
        <v>0</v>
      </c>
      <c r="AG58" s="3">
        <v>3.633919</v>
      </c>
      <c r="AH58" s="3">
        <v>0</v>
      </c>
      <c r="AI58" s="3" t="s">
        <v>188</v>
      </c>
      <c r="AJ58" s="3" t="s">
        <v>164</v>
      </c>
    </row>
    <row r="59" spans="1:36">
      <c r="A59" s="6">
        <v>43288</v>
      </c>
      <c r="B59" s="3" t="s">
        <v>336</v>
      </c>
      <c r="C59" s="3" t="s">
        <v>337</v>
      </c>
      <c r="D59" s="3" t="s">
        <v>337</v>
      </c>
      <c r="E59" s="3" t="s">
        <v>31</v>
      </c>
      <c r="F59" s="3" t="s">
        <v>159</v>
      </c>
      <c r="G59" s="3">
        <v>7</v>
      </c>
      <c r="H59" s="3">
        <v>0</v>
      </c>
      <c r="I59" s="3">
        <v>0</v>
      </c>
      <c r="J59" s="3">
        <v>0</v>
      </c>
      <c r="K59" s="3">
        <v>4</v>
      </c>
      <c r="L59" s="3">
        <v>3</v>
      </c>
      <c r="M59" s="3">
        <v>0</v>
      </c>
      <c r="N59" s="3" t="s">
        <v>160</v>
      </c>
      <c r="O59" s="3">
        <v>7</v>
      </c>
      <c r="P59" s="3">
        <v>5.16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0</v>
      </c>
      <c r="W59" s="3" t="s">
        <v>207</v>
      </c>
      <c r="X59" s="3">
        <v>24.99</v>
      </c>
      <c r="Y59" s="3">
        <v>24.99</v>
      </c>
      <c r="Z59" s="3">
        <v>24.99</v>
      </c>
      <c r="AA59" s="3">
        <v>0</v>
      </c>
      <c r="AB59" s="3" t="s">
        <v>187</v>
      </c>
      <c r="AC59" s="3">
        <v>0</v>
      </c>
      <c r="AD59" s="3">
        <v>15</v>
      </c>
      <c r="AE59" s="3">
        <v>63</v>
      </c>
      <c r="AF59" s="3">
        <v>0</v>
      </c>
      <c r="AG59" s="3">
        <v>71.495123</v>
      </c>
      <c r="AH59" s="3">
        <v>0</v>
      </c>
      <c r="AI59" s="3" t="s">
        <v>253</v>
      </c>
      <c r="AJ59" s="3" t="s">
        <v>174</v>
      </c>
    </row>
    <row r="60" spans="1:36">
      <c r="A60" s="6">
        <v>43288</v>
      </c>
      <c r="B60" s="3" t="s">
        <v>338</v>
      </c>
      <c r="C60" s="3" t="s">
        <v>339</v>
      </c>
      <c r="D60" s="3" t="s">
        <v>339</v>
      </c>
      <c r="E60" s="3" t="s">
        <v>186</v>
      </c>
      <c r="F60" s="3" t="s">
        <v>159</v>
      </c>
      <c r="G60" s="3">
        <v>3</v>
      </c>
      <c r="H60" s="3">
        <v>0</v>
      </c>
      <c r="I60" s="3">
        <v>0</v>
      </c>
      <c r="J60" s="3">
        <v>0</v>
      </c>
      <c r="K60" s="3">
        <v>3</v>
      </c>
      <c r="L60" s="3">
        <v>0</v>
      </c>
      <c r="M60" s="3">
        <v>0</v>
      </c>
      <c r="N60" s="3" t="s">
        <v>160</v>
      </c>
      <c r="O60" s="3">
        <v>3</v>
      </c>
      <c r="P60" s="3">
        <v>0</v>
      </c>
      <c r="Q60" s="3">
        <v>0</v>
      </c>
      <c r="R60" s="3">
        <v>0</v>
      </c>
      <c r="S60" s="3">
        <v>0</v>
      </c>
      <c r="T60" s="3">
        <v>0</v>
      </c>
      <c r="U60" s="3">
        <v>0</v>
      </c>
      <c r="V60" s="3">
        <v>0</v>
      </c>
      <c r="W60" s="3" t="s">
        <v>161</v>
      </c>
      <c r="X60" s="3">
        <v>12</v>
      </c>
      <c r="Y60" s="3">
        <v>12</v>
      </c>
      <c r="Z60" s="3">
        <v>12</v>
      </c>
      <c r="AA60" s="3">
        <v>0</v>
      </c>
      <c r="AB60" s="3" t="s">
        <v>187</v>
      </c>
      <c r="AC60" s="3">
        <v>0</v>
      </c>
      <c r="AD60" s="3">
        <v>9.6</v>
      </c>
      <c r="AE60" s="3">
        <v>63</v>
      </c>
      <c r="AF60" s="3">
        <v>0</v>
      </c>
      <c r="AG60" s="3">
        <v>2.907135</v>
      </c>
      <c r="AH60" s="3">
        <v>0</v>
      </c>
      <c r="AI60" s="3" t="s">
        <v>188</v>
      </c>
      <c r="AJ60" s="3" t="s">
        <v>164</v>
      </c>
    </row>
    <row r="61" spans="1:36">
      <c r="A61" s="6">
        <v>43288</v>
      </c>
      <c r="B61" s="3" t="s">
        <v>340</v>
      </c>
      <c r="C61" s="3" t="s">
        <v>341</v>
      </c>
      <c r="D61" s="3" t="s">
        <v>341</v>
      </c>
      <c r="E61" s="3" t="s">
        <v>342</v>
      </c>
      <c r="F61" s="3" t="s">
        <v>159</v>
      </c>
      <c r="G61" s="3">
        <v>4</v>
      </c>
      <c r="H61" s="3">
        <v>0</v>
      </c>
      <c r="I61" s="3">
        <v>0</v>
      </c>
      <c r="J61" s="3">
        <v>4</v>
      </c>
      <c r="K61" s="3">
        <v>0</v>
      </c>
      <c r="L61" s="3">
        <v>0</v>
      </c>
      <c r="M61" s="3">
        <v>0</v>
      </c>
      <c r="N61" s="3" t="s">
        <v>160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 t="s">
        <v>161</v>
      </c>
      <c r="X61" s="3">
        <v>8.99</v>
      </c>
      <c r="Y61" s="3">
        <v>8.99</v>
      </c>
      <c r="Z61" s="3">
        <v>8.99</v>
      </c>
      <c r="AA61" s="3">
        <v>0</v>
      </c>
      <c r="AB61" s="3" t="s">
        <v>162</v>
      </c>
      <c r="AC61" s="3">
        <v>0</v>
      </c>
      <c r="AD61" s="3">
        <v>8.99</v>
      </c>
      <c r="AE61" s="3">
        <v>63</v>
      </c>
      <c r="AF61" s="3">
        <v>0</v>
      </c>
      <c r="AG61" s="3">
        <v>11.688962</v>
      </c>
      <c r="AH61" s="3">
        <v>0</v>
      </c>
      <c r="AI61" s="3" t="s">
        <v>196</v>
      </c>
      <c r="AJ61" s="3" t="s">
        <v>164</v>
      </c>
    </row>
    <row r="62" spans="1:36">
      <c r="A62" s="6">
        <v>43288</v>
      </c>
      <c r="B62" s="3" t="s">
        <v>343</v>
      </c>
      <c r="C62" s="3" t="s">
        <v>344</v>
      </c>
      <c r="D62" s="3" t="s">
        <v>344</v>
      </c>
      <c r="E62" s="3" t="s">
        <v>345</v>
      </c>
      <c r="F62" s="3" t="s">
        <v>159</v>
      </c>
      <c r="G62" s="3">
        <v>1</v>
      </c>
      <c r="H62" s="3">
        <v>0</v>
      </c>
      <c r="I62" s="3">
        <v>1</v>
      </c>
      <c r="J62" s="3">
        <v>0</v>
      </c>
      <c r="K62" s="3">
        <v>0</v>
      </c>
      <c r="L62" s="3">
        <v>0</v>
      </c>
      <c r="M62" s="3">
        <v>0</v>
      </c>
      <c r="N62" s="3" t="s">
        <v>160</v>
      </c>
      <c r="O62" s="3">
        <v>0</v>
      </c>
      <c r="P62" s="3">
        <v>0</v>
      </c>
      <c r="Q62" s="3">
        <v>0</v>
      </c>
      <c r="R62" s="3">
        <v>0</v>
      </c>
      <c r="S62" s="3">
        <v>0</v>
      </c>
      <c r="T62" s="3">
        <v>2</v>
      </c>
      <c r="U62" s="3">
        <v>5</v>
      </c>
      <c r="V62" s="3">
        <v>5</v>
      </c>
      <c r="W62" s="3"/>
      <c r="X62" s="3">
        <v>10</v>
      </c>
      <c r="Y62" s="3">
        <v>10</v>
      </c>
      <c r="Z62" s="3">
        <v>10</v>
      </c>
      <c r="AA62" s="3">
        <v>0</v>
      </c>
      <c r="AB62" s="3" t="s">
        <v>170</v>
      </c>
      <c r="AC62" s="3">
        <v>1</v>
      </c>
      <c r="AD62" s="3">
        <v>10</v>
      </c>
      <c r="AE62" s="3">
        <v>0</v>
      </c>
      <c r="AF62" s="3">
        <v>0</v>
      </c>
      <c r="AG62" s="3">
        <v>0</v>
      </c>
      <c r="AH62" s="3">
        <v>1.42857142857142</v>
      </c>
      <c r="AI62" s="3" t="s">
        <v>183</v>
      </c>
      <c r="AJ62" s="3" t="s">
        <v>174</v>
      </c>
    </row>
    <row r="63" spans="1:36">
      <c r="A63" s="6">
        <v>43288</v>
      </c>
      <c r="B63" s="3" t="s">
        <v>346</v>
      </c>
      <c r="C63" s="3" t="s">
        <v>347</v>
      </c>
      <c r="D63" s="3" t="s">
        <v>347</v>
      </c>
      <c r="E63" s="3" t="s">
        <v>275</v>
      </c>
      <c r="F63" s="3" t="s">
        <v>159</v>
      </c>
      <c r="G63" s="3">
        <v>4</v>
      </c>
      <c r="H63" s="3">
        <v>0</v>
      </c>
      <c r="I63" s="3">
        <v>0</v>
      </c>
      <c r="J63" s="3">
        <v>0</v>
      </c>
      <c r="K63" s="3">
        <v>4</v>
      </c>
      <c r="L63" s="3">
        <v>0</v>
      </c>
      <c r="M63" s="3">
        <v>0</v>
      </c>
      <c r="N63" s="3" t="s">
        <v>160</v>
      </c>
      <c r="O63" s="3">
        <v>4</v>
      </c>
      <c r="P63" s="3">
        <v>1.81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 t="s">
        <v>207</v>
      </c>
      <c r="X63" s="3">
        <v>20.99</v>
      </c>
      <c r="Y63" s="3">
        <v>20.99</v>
      </c>
      <c r="Z63" s="3">
        <v>20.99</v>
      </c>
      <c r="AA63" s="3">
        <v>0</v>
      </c>
      <c r="AB63" s="3" t="s">
        <v>187</v>
      </c>
      <c r="AC63" s="3">
        <v>2</v>
      </c>
      <c r="AD63" s="3">
        <v>19.76</v>
      </c>
      <c r="AE63" s="3">
        <v>35</v>
      </c>
      <c r="AF63" s="3">
        <v>0</v>
      </c>
      <c r="AG63" s="3">
        <v>62.803707</v>
      </c>
      <c r="AH63" s="3">
        <v>0</v>
      </c>
      <c r="AI63" s="3" t="s">
        <v>276</v>
      </c>
      <c r="AJ63" s="3" t="s">
        <v>174</v>
      </c>
    </row>
    <row r="64" spans="1:36">
      <c r="A64" s="6">
        <v>43288</v>
      </c>
      <c r="B64" s="3" t="s">
        <v>348</v>
      </c>
      <c r="C64" s="3" t="s">
        <v>349</v>
      </c>
      <c r="D64" s="3" t="s">
        <v>350</v>
      </c>
      <c r="E64" s="3" t="s">
        <v>351</v>
      </c>
      <c r="F64" s="3" t="s">
        <v>159</v>
      </c>
      <c r="G64" s="3">
        <v>82</v>
      </c>
      <c r="H64" s="3">
        <v>0</v>
      </c>
      <c r="I64" s="3">
        <v>82</v>
      </c>
      <c r="J64" s="3">
        <v>0</v>
      </c>
      <c r="K64" s="3">
        <v>0</v>
      </c>
      <c r="L64" s="3">
        <v>0</v>
      </c>
      <c r="M64" s="3">
        <v>0</v>
      </c>
      <c r="N64" s="3" t="s">
        <v>160</v>
      </c>
      <c r="O64" s="3">
        <v>0</v>
      </c>
      <c r="P64" s="3">
        <v>0</v>
      </c>
      <c r="Q64" s="3">
        <v>0</v>
      </c>
      <c r="R64" s="3">
        <v>0</v>
      </c>
      <c r="S64" s="3">
        <v>8</v>
      </c>
      <c r="T64" s="3">
        <v>18</v>
      </c>
      <c r="U64" s="3">
        <v>18</v>
      </c>
      <c r="V64" s="3">
        <v>18</v>
      </c>
      <c r="W64" s="3"/>
      <c r="X64" s="3">
        <v>24.99</v>
      </c>
      <c r="Y64" s="3">
        <v>24.99</v>
      </c>
      <c r="Z64" s="3">
        <v>24.99</v>
      </c>
      <c r="AA64" s="3">
        <v>0</v>
      </c>
      <c r="AB64" s="3" t="s">
        <v>170</v>
      </c>
      <c r="AC64" s="3">
        <v>88</v>
      </c>
      <c r="AD64" s="3">
        <v>24.99</v>
      </c>
      <c r="AE64" s="3">
        <v>0</v>
      </c>
      <c r="AF64" s="3">
        <v>0</v>
      </c>
      <c r="AG64" s="3">
        <v>0</v>
      </c>
      <c r="AH64" s="3">
        <v>1.88617886178861</v>
      </c>
      <c r="AI64" s="3" t="s">
        <v>352</v>
      </c>
      <c r="AJ64" s="3" t="s">
        <v>164</v>
      </c>
    </row>
    <row r="65" spans="1:36">
      <c r="A65" s="6">
        <v>43288</v>
      </c>
      <c r="B65" s="3" t="s">
        <v>353</v>
      </c>
      <c r="C65" s="3" t="s">
        <v>354</v>
      </c>
      <c r="D65" s="3" t="s">
        <v>354</v>
      </c>
      <c r="E65" s="3" t="s">
        <v>186</v>
      </c>
      <c r="F65" s="3" t="s">
        <v>159</v>
      </c>
      <c r="G65" s="3">
        <v>3</v>
      </c>
      <c r="H65" s="3">
        <v>0</v>
      </c>
      <c r="I65" s="3">
        <v>0</v>
      </c>
      <c r="J65" s="3">
        <v>0</v>
      </c>
      <c r="K65" s="3">
        <v>3</v>
      </c>
      <c r="L65" s="3">
        <v>0</v>
      </c>
      <c r="M65" s="3">
        <v>0</v>
      </c>
      <c r="N65" s="3" t="s">
        <v>160</v>
      </c>
      <c r="O65" s="3">
        <v>3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 t="s">
        <v>161</v>
      </c>
      <c r="X65" s="3">
        <v>12</v>
      </c>
      <c r="Y65" s="3">
        <v>12</v>
      </c>
      <c r="Z65" s="3">
        <v>12</v>
      </c>
      <c r="AA65" s="3">
        <v>0</v>
      </c>
      <c r="AB65" s="3" t="s">
        <v>187</v>
      </c>
      <c r="AC65" s="3">
        <v>0</v>
      </c>
      <c r="AD65" s="3">
        <v>9.6</v>
      </c>
      <c r="AE65" s="3">
        <v>63</v>
      </c>
      <c r="AF65" s="3">
        <v>0</v>
      </c>
      <c r="AG65" s="3">
        <v>2.907135</v>
      </c>
      <c r="AH65" s="3">
        <v>0</v>
      </c>
      <c r="AI65" s="3" t="s">
        <v>188</v>
      </c>
      <c r="AJ65" s="3" t="s">
        <v>164</v>
      </c>
    </row>
    <row r="66" spans="1:36">
      <c r="A66" s="6">
        <v>43288</v>
      </c>
      <c r="B66" s="3" t="s">
        <v>355</v>
      </c>
      <c r="C66" s="3" t="s">
        <v>356</v>
      </c>
      <c r="D66" s="3" t="s">
        <v>356</v>
      </c>
      <c r="E66" s="3" t="s">
        <v>342</v>
      </c>
      <c r="F66" s="3" t="s">
        <v>159</v>
      </c>
      <c r="G66" s="3">
        <v>2</v>
      </c>
      <c r="H66" s="3">
        <v>0</v>
      </c>
      <c r="I66" s="3">
        <v>0</v>
      </c>
      <c r="J66" s="3">
        <v>2</v>
      </c>
      <c r="K66" s="3">
        <v>0</v>
      </c>
      <c r="L66" s="3">
        <v>0</v>
      </c>
      <c r="M66" s="3">
        <v>0</v>
      </c>
      <c r="N66" s="3" t="s">
        <v>160</v>
      </c>
      <c r="O66" s="3">
        <v>0</v>
      </c>
      <c r="P66" s="3">
        <v>0</v>
      </c>
      <c r="Q66" s="3">
        <v>0</v>
      </c>
      <c r="R66" s="3">
        <v>0</v>
      </c>
      <c r="S66" s="3">
        <v>0</v>
      </c>
      <c r="T66" s="3">
        <v>1</v>
      </c>
      <c r="U66" s="3">
        <v>1</v>
      </c>
      <c r="V66" s="3">
        <v>1</v>
      </c>
      <c r="W66" s="3" t="s">
        <v>161</v>
      </c>
      <c r="X66" s="3">
        <v>8.99</v>
      </c>
      <c r="Y66" s="3">
        <v>8.99</v>
      </c>
      <c r="Z66" s="3">
        <v>8.99</v>
      </c>
      <c r="AA66" s="3">
        <v>0</v>
      </c>
      <c r="AB66" s="3" t="s">
        <v>162</v>
      </c>
      <c r="AC66" s="3">
        <v>2</v>
      </c>
      <c r="AD66" s="3">
        <v>8.99</v>
      </c>
      <c r="AE66" s="3">
        <v>0</v>
      </c>
      <c r="AF66" s="3">
        <v>0</v>
      </c>
      <c r="AG66" s="3">
        <v>0</v>
      </c>
      <c r="AH66" s="3">
        <v>0.363636363636363</v>
      </c>
      <c r="AI66" s="3" t="s">
        <v>196</v>
      </c>
      <c r="AJ66" s="3" t="s">
        <v>164</v>
      </c>
    </row>
    <row r="67" spans="1:36">
      <c r="A67" s="6">
        <v>43288</v>
      </c>
      <c r="B67" s="3" t="s">
        <v>357</v>
      </c>
      <c r="C67" s="3" t="s">
        <v>358</v>
      </c>
      <c r="D67" s="3" t="s">
        <v>358</v>
      </c>
      <c r="E67" s="3" t="s">
        <v>359</v>
      </c>
      <c r="F67" s="3" t="s">
        <v>159</v>
      </c>
      <c r="G67" s="3">
        <v>1</v>
      </c>
      <c r="H67" s="3">
        <v>0</v>
      </c>
      <c r="I67" s="3">
        <v>1</v>
      </c>
      <c r="J67" s="3">
        <v>0</v>
      </c>
      <c r="K67" s="3">
        <v>0</v>
      </c>
      <c r="L67" s="3">
        <v>0</v>
      </c>
      <c r="M67" s="3">
        <v>0</v>
      </c>
      <c r="N67" s="3" t="s">
        <v>160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3</v>
      </c>
      <c r="V67" s="3">
        <v>3</v>
      </c>
      <c r="W67" s="3" t="s">
        <v>161</v>
      </c>
      <c r="X67" s="3">
        <v>24.82</v>
      </c>
      <c r="Y67" s="3">
        <v>24.82</v>
      </c>
      <c r="Z67" s="3">
        <v>24.82</v>
      </c>
      <c r="AA67" s="3">
        <v>0</v>
      </c>
      <c r="AB67" s="3" t="s">
        <v>162</v>
      </c>
      <c r="AC67" s="3">
        <v>1</v>
      </c>
      <c r="AD67" s="3">
        <v>24.82</v>
      </c>
      <c r="AE67" s="3">
        <v>0</v>
      </c>
      <c r="AF67" s="3">
        <v>0</v>
      </c>
      <c r="AG67" s="3">
        <v>0</v>
      </c>
      <c r="AH67" s="3">
        <v>1.71428571428571</v>
      </c>
      <c r="AI67" s="3" t="s">
        <v>360</v>
      </c>
      <c r="AJ67" s="3" t="s">
        <v>174</v>
      </c>
    </row>
    <row r="68" spans="1:36">
      <c r="A68" s="6">
        <v>43288</v>
      </c>
      <c r="B68" s="3" t="s">
        <v>51</v>
      </c>
      <c r="C68" s="3" t="s">
        <v>52</v>
      </c>
      <c r="D68" s="3" t="s">
        <v>53</v>
      </c>
      <c r="E68" s="3" t="s">
        <v>54</v>
      </c>
      <c r="F68" s="3" t="s">
        <v>159</v>
      </c>
      <c r="G68" s="3">
        <v>13</v>
      </c>
      <c r="H68" s="3">
        <v>0</v>
      </c>
      <c r="I68" s="3">
        <v>13</v>
      </c>
      <c r="J68" s="3">
        <v>0</v>
      </c>
      <c r="K68" s="3">
        <v>0</v>
      </c>
      <c r="L68" s="3">
        <v>0</v>
      </c>
      <c r="M68" s="3">
        <v>0</v>
      </c>
      <c r="N68" s="3" t="s">
        <v>160</v>
      </c>
      <c r="O68" s="3">
        <v>0</v>
      </c>
      <c r="P68" s="3">
        <v>0</v>
      </c>
      <c r="Q68" s="3">
        <v>0</v>
      </c>
      <c r="R68" s="3">
        <v>0</v>
      </c>
      <c r="S68" s="3">
        <v>4</v>
      </c>
      <c r="T68" s="3">
        <v>21</v>
      </c>
      <c r="U68" s="3">
        <v>21</v>
      </c>
      <c r="V68" s="3">
        <v>21</v>
      </c>
      <c r="W68" s="3"/>
      <c r="X68" s="3">
        <v>20.99</v>
      </c>
      <c r="Y68" s="3">
        <v>18.99</v>
      </c>
      <c r="Z68" s="3">
        <v>18</v>
      </c>
      <c r="AA68" s="3">
        <v>0</v>
      </c>
      <c r="AB68" s="3" t="s">
        <v>170</v>
      </c>
      <c r="AC68" s="3">
        <v>4</v>
      </c>
      <c r="AD68" s="3">
        <v>18.99</v>
      </c>
      <c r="AE68" s="3">
        <v>0</v>
      </c>
      <c r="AF68" s="3">
        <v>0</v>
      </c>
      <c r="AG68" s="3">
        <v>0</v>
      </c>
      <c r="AH68" s="3">
        <v>1.61538461538461</v>
      </c>
      <c r="AI68" s="3" t="s">
        <v>192</v>
      </c>
      <c r="AJ68" s="3" t="s">
        <v>164</v>
      </c>
    </row>
    <row r="69" spans="1:36">
      <c r="A69" s="6">
        <v>43288</v>
      </c>
      <c r="B69" s="3" t="s">
        <v>361</v>
      </c>
      <c r="C69" s="3" t="s">
        <v>362</v>
      </c>
      <c r="D69" s="3" t="s">
        <v>362</v>
      </c>
      <c r="E69" s="3" t="s">
        <v>363</v>
      </c>
      <c r="F69" s="3" t="s">
        <v>159</v>
      </c>
      <c r="G69" s="3">
        <v>3</v>
      </c>
      <c r="H69" s="3">
        <v>0</v>
      </c>
      <c r="I69" s="3">
        <v>0</v>
      </c>
      <c r="J69" s="3">
        <v>1</v>
      </c>
      <c r="K69" s="3">
        <v>2</v>
      </c>
      <c r="L69" s="3">
        <v>0</v>
      </c>
      <c r="M69" s="3">
        <v>0</v>
      </c>
      <c r="N69" s="3" t="s">
        <v>160</v>
      </c>
      <c r="O69" s="3">
        <v>2</v>
      </c>
      <c r="P69" s="3">
        <v>3.74</v>
      </c>
      <c r="Q69" s="3">
        <v>0</v>
      </c>
      <c r="R69" s="3">
        <v>0</v>
      </c>
      <c r="S69" s="3">
        <v>0</v>
      </c>
      <c r="T69" s="3">
        <v>0</v>
      </c>
      <c r="U69" s="3">
        <v>1</v>
      </c>
      <c r="V69" s="3">
        <v>1</v>
      </c>
      <c r="W69" s="3" t="s">
        <v>161</v>
      </c>
      <c r="X69" s="3">
        <v>14.98</v>
      </c>
      <c r="Y69" s="3">
        <v>14.98</v>
      </c>
      <c r="Z69" s="3">
        <v>14.98</v>
      </c>
      <c r="AA69" s="3">
        <v>0</v>
      </c>
      <c r="AB69" s="3" t="s">
        <v>162</v>
      </c>
      <c r="AC69" s="3">
        <v>3</v>
      </c>
      <c r="AD69" s="3">
        <v>14.98</v>
      </c>
      <c r="AE69" s="3">
        <v>0</v>
      </c>
      <c r="AF69" s="3">
        <v>0</v>
      </c>
      <c r="AG69" s="3">
        <v>0</v>
      </c>
      <c r="AH69" s="3">
        <v>0.285714285714285</v>
      </c>
      <c r="AI69" s="3" t="s">
        <v>364</v>
      </c>
      <c r="AJ69" s="3" t="s">
        <v>174</v>
      </c>
    </row>
    <row r="70" spans="1:36">
      <c r="A70" s="6">
        <v>43288</v>
      </c>
      <c r="B70" s="3" t="s">
        <v>365</v>
      </c>
      <c r="C70" s="3" t="s">
        <v>366</v>
      </c>
      <c r="D70" s="3" t="s">
        <v>366</v>
      </c>
      <c r="E70" s="3" t="s">
        <v>367</v>
      </c>
      <c r="F70" s="3" t="s">
        <v>159</v>
      </c>
      <c r="G70" s="3">
        <v>14</v>
      </c>
      <c r="H70" s="3">
        <v>0</v>
      </c>
      <c r="I70" s="3">
        <v>0</v>
      </c>
      <c r="J70" s="3">
        <v>0</v>
      </c>
      <c r="K70" s="3">
        <v>0</v>
      </c>
      <c r="L70" s="3">
        <v>14</v>
      </c>
      <c r="M70" s="3">
        <v>0</v>
      </c>
      <c r="N70" s="3" t="s">
        <v>160</v>
      </c>
      <c r="O70" s="3">
        <v>14</v>
      </c>
      <c r="P70" s="3">
        <v>33.59</v>
      </c>
      <c r="Q70" s="3">
        <v>0</v>
      </c>
      <c r="R70" s="3">
        <v>0</v>
      </c>
      <c r="S70" s="3">
        <v>0</v>
      </c>
      <c r="T70" s="3">
        <v>0</v>
      </c>
      <c r="U70" s="3">
        <v>1</v>
      </c>
      <c r="V70" s="3">
        <v>2</v>
      </c>
      <c r="W70" s="3" t="s">
        <v>207</v>
      </c>
      <c r="X70" s="3">
        <v>14.98</v>
      </c>
      <c r="Y70" s="3">
        <v>14.98</v>
      </c>
      <c r="Z70" s="3">
        <v>14.98</v>
      </c>
      <c r="AA70" s="3">
        <v>0</v>
      </c>
      <c r="AB70" s="3" t="s">
        <v>170</v>
      </c>
      <c r="AC70" s="3">
        <v>0</v>
      </c>
      <c r="AD70" s="3">
        <v>14.98</v>
      </c>
      <c r="AE70" s="3">
        <v>63</v>
      </c>
      <c r="AF70" s="3">
        <v>0</v>
      </c>
      <c r="AG70" s="3">
        <v>396.114462</v>
      </c>
      <c r="AH70" s="3">
        <v>0.135593220338983</v>
      </c>
      <c r="AI70" s="3" t="s">
        <v>208</v>
      </c>
      <c r="AJ70" s="3" t="s">
        <v>174</v>
      </c>
    </row>
    <row r="71" spans="1:36">
      <c r="A71" s="6">
        <v>43288</v>
      </c>
      <c r="B71" s="3" t="s">
        <v>368</v>
      </c>
      <c r="C71" s="3" t="s">
        <v>369</v>
      </c>
      <c r="D71" s="3" t="s">
        <v>369</v>
      </c>
      <c r="E71" s="3" t="s">
        <v>370</v>
      </c>
      <c r="F71" s="3" t="s">
        <v>159</v>
      </c>
      <c r="G71" s="3">
        <v>9</v>
      </c>
      <c r="H71" s="3">
        <v>0</v>
      </c>
      <c r="I71" s="3">
        <v>0</v>
      </c>
      <c r="J71" s="3">
        <v>0</v>
      </c>
      <c r="K71" s="3">
        <v>0</v>
      </c>
      <c r="L71" s="3">
        <v>9</v>
      </c>
      <c r="M71" s="3">
        <v>0</v>
      </c>
      <c r="N71" s="3" t="s">
        <v>160</v>
      </c>
      <c r="O71" s="3">
        <v>9</v>
      </c>
      <c r="P71" s="3">
        <v>12.12</v>
      </c>
      <c r="Q71" s="3">
        <v>0</v>
      </c>
      <c r="R71" s="3">
        <v>0</v>
      </c>
      <c r="S71" s="3">
        <v>0</v>
      </c>
      <c r="T71" s="3">
        <v>1</v>
      </c>
      <c r="U71" s="3">
        <v>3</v>
      </c>
      <c r="V71" s="3">
        <v>3</v>
      </c>
      <c r="W71" s="3"/>
      <c r="X71" s="3">
        <v>10</v>
      </c>
      <c r="Y71" s="3">
        <v>10</v>
      </c>
      <c r="Z71" s="3">
        <v>10</v>
      </c>
      <c r="AA71" s="3">
        <v>0</v>
      </c>
      <c r="AB71" s="3" t="s">
        <v>187</v>
      </c>
      <c r="AC71" s="3">
        <v>0</v>
      </c>
      <c r="AD71" s="3">
        <v>9.05</v>
      </c>
      <c r="AE71" s="3">
        <v>63</v>
      </c>
      <c r="AF71" s="3">
        <v>0</v>
      </c>
      <c r="AG71" s="3">
        <v>126.628247</v>
      </c>
      <c r="AH71" s="3">
        <v>0.27906976744186</v>
      </c>
      <c r="AI71" s="3" t="s">
        <v>183</v>
      </c>
      <c r="AJ71" s="3" t="s">
        <v>174</v>
      </c>
    </row>
    <row r="72" spans="1:36">
      <c r="A72" s="6">
        <v>43288</v>
      </c>
      <c r="B72" s="3" t="s">
        <v>371</v>
      </c>
      <c r="C72" s="3" t="s">
        <v>372</v>
      </c>
      <c r="D72" s="3" t="s">
        <v>373</v>
      </c>
      <c r="E72" s="3" t="s">
        <v>374</v>
      </c>
      <c r="F72" s="3" t="s">
        <v>159</v>
      </c>
      <c r="G72" s="3">
        <v>4</v>
      </c>
      <c r="H72" s="3">
        <v>0</v>
      </c>
      <c r="I72" s="3">
        <v>4</v>
      </c>
      <c r="J72" s="3">
        <v>0</v>
      </c>
      <c r="K72" s="3">
        <v>0</v>
      </c>
      <c r="L72" s="3">
        <v>0</v>
      </c>
      <c r="M72" s="3">
        <v>0</v>
      </c>
      <c r="N72" s="3" t="s">
        <v>160</v>
      </c>
      <c r="O72" s="3">
        <v>0</v>
      </c>
      <c r="P72" s="3">
        <v>0</v>
      </c>
      <c r="Q72" s="3">
        <v>0</v>
      </c>
      <c r="R72" s="3">
        <v>0</v>
      </c>
      <c r="S72" s="3">
        <v>2</v>
      </c>
      <c r="T72" s="3">
        <v>14</v>
      </c>
      <c r="U72" s="3">
        <v>15</v>
      </c>
      <c r="V72" s="3">
        <v>15</v>
      </c>
      <c r="W72" s="3"/>
      <c r="X72" s="3">
        <v>24.99</v>
      </c>
      <c r="Y72" s="3">
        <v>24.99</v>
      </c>
      <c r="Z72" s="3">
        <v>24</v>
      </c>
      <c r="AA72" s="3">
        <v>0</v>
      </c>
      <c r="AB72" s="3" t="s">
        <v>170</v>
      </c>
      <c r="AC72" s="3">
        <v>5</v>
      </c>
      <c r="AD72" s="3">
        <v>24.99</v>
      </c>
      <c r="AE72" s="3">
        <v>0</v>
      </c>
      <c r="AF72" s="3">
        <v>0</v>
      </c>
      <c r="AG72" s="3">
        <v>0</v>
      </c>
      <c r="AH72" s="3">
        <v>2.14285714285714</v>
      </c>
      <c r="AI72" s="3" t="s">
        <v>375</v>
      </c>
      <c r="AJ72" s="3" t="s">
        <v>164</v>
      </c>
    </row>
    <row r="73" spans="1:36">
      <c r="A73" s="6">
        <v>43288</v>
      </c>
      <c r="B73" s="3" t="s">
        <v>376</v>
      </c>
      <c r="C73" s="3" t="s">
        <v>377</v>
      </c>
      <c r="D73" s="3" t="s">
        <v>377</v>
      </c>
      <c r="E73" s="3" t="s">
        <v>378</v>
      </c>
      <c r="F73" s="3" t="s">
        <v>159</v>
      </c>
      <c r="G73" s="3">
        <v>1</v>
      </c>
      <c r="H73" s="3">
        <v>0</v>
      </c>
      <c r="I73" s="3">
        <v>0</v>
      </c>
      <c r="J73" s="3">
        <v>0</v>
      </c>
      <c r="K73" s="3">
        <v>0</v>
      </c>
      <c r="L73" s="3">
        <v>1</v>
      </c>
      <c r="M73" s="3">
        <v>0</v>
      </c>
      <c r="N73" s="3" t="s">
        <v>160</v>
      </c>
      <c r="O73" s="3">
        <v>1</v>
      </c>
      <c r="P73" s="3">
        <v>0.92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2</v>
      </c>
      <c r="W73" s="3" t="s">
        <v>207</v>
      </c>
      <c r="X73" s="3">
        <v>15.98</v>
      </c>
      <c r="Y73" s="3">
        <v>15.98</v>
      </c>
      <c r="Z73" s="3">
        <v>15.98</v>
      </c>
      <c r="AA73" s="3">
        <v>0</v>
      </c>
      <c r="AB73" s="3" t="s">
        <v>187</v>
      </c>
      <c r="AC73" s="3">
        <v>0</v>
      </c>
      <c r="AD73" s="3">
        <v>15.13</v>
      </c>
      <c r="AE73" s="3">
        <v>7</v>
      </c>
      <c r="AF73" s="3">
        <v>0</v>
      </c>
      <c r="AG73" s="3">
        <v>17.534105</v>
      </c>
      <c r="AH73" s="3">
        <v>1.33333333333333</v>
      </c>
      <c r="AI73" s="3" t="s">
        <v>379</v>
      </c>
      <c r="AJ73" s="3" t="s">
        <v>174</v>
      </c>
    </row>
    <row r="74" spans="1:36">
      <c r="A74" s="6">
        <v>43288</v>
      </c>
      <c r="B74" s="3" t="s">
        <v>380</v>
      </c>
      <c r="C74" s="3" t="s">
        <v>381</v>
      </c>
      <c r="D74" s="3" t="s">
        <v>381</v>
      </c>
      <c r="E74" s="3" t="s">
        <v>382</v>
      </c>
      <c r="F74" s="3" t="s">
        <v>159</v>
      </c>
      <c r="G74" s="3">
        <v>3</v>
      </c>
      <c r="H74" s="3">
        <v>0</v>
      </c>
      <c r="I74" s="3">
        <v>1</v>
      </c>
      <c r="J74" s="3">
        <v>0</v>
      </c>
      <c r="K74" s="3">
        <v>2</v>
      </c>
      <c r="L74" s="3">
        <v>0</v>
      </c>
      <c r="M74" s="3">
        <v>0</v>
      </c>
      <c r="N74" s="3" t="s">
        <v>160</v>
      </c>
      <c r="O74" s="3">
        <v>2</v>
      </c>
      <c r="P74" s="3">
        <v>2.73</v>
      </c>
      <c r="Q74" s="3">
        <v>0</v>
      </c>
      <c r="R74" s="3">
        <v>0</v>
      </c>
      <c r="S74" s="3">
        <v>0</v>
      </c>
      <c r="T74" s="3">
        <v>1</v>
      </c>
      <c r="U74" s="3">
        <v>1</v>
      </c>
      <c r="V74" s="3">
        <v>1</v>
      </c>
      <c r="W74" s="3"/>
      <c r="X74" s="3">
        <v>12</v>
      </c>
      <c r="Y74" s="3">
        <v>12</v>
      </c>
      <c r="Z74" s="3">
        <v>12</v>
      </c>
      <c r="AA74" s="3">
        <v>0</v>
      </c>
      <c r="AB74" s="3" t="s">
        <v>170</v>
      </c>
      <c r="AC74" s="3">
        <v>3</v>
      </c>
      <c r="AD74" s="3">
        <v>12</v>
      </c>
      <c r="AE74" s="3">
        <v>0</v>
      </c>
      <c r="AF74" s="3">
        <v>0</v>
      </c>
      <c r="AG74" s="3">
        <v>0</v>
      </c>
      <c r="AH74" s="3">
        <v>0.333333333333333</v>
      </c>
      <c r="AI74" s="3" t="s">
        <v>241</v>
      </c>
      <c r="AJ74" s="3" t="s">
        <v>174</v>
      </c>
    </row>
    <row r="75" spans="1:36">
      <c r="A75" s="6">
        <v>43288</v>
      </c>
      <c r="B75" s="3" t="s">
        <v>383</v>
      </c>
      <c r="C75" s="3" t="s">
        <v>384</v>
      </c>
      <c r="D75" s="3" t="s">
        <v>384</v>
      </c>
      <c r="E75" s="3" t="s">
        <v>385</v>
      </c>
      <c r="F75" s="3" t="s">
        <v>159</v>
      </c>
      <c r="G75" s="3">
        <v>2</v>
      </c>
      <c r="H75" s="3">
        <v>0</v>
      </c>
      <c r="I75" s="3">
        <v>0</v>
      </c>
      <c r="J75" s="3">
        <v>0</v>
      </c>
      <c r="K75" s="3">
        <v>1</v>
      </c>
      <c r="L75" s="3">
        <v>1</v>
      </c>
      <c r="M75" s="3">
        <v>0</v>
      </c>
      <c r="N75" s="3" t="s">
        <v>160</v>
      </c>
      <c r="O75" s="3">
        <v>2</v>
      </c>
      <c r="P75" s="3">
        <v>4.8</v>
      </c>
      <c r="Q75" s="3">
        <v>0</v>
      </c>
      <c r="R75" s="3">
        <v>0</v>
      </c>
      <c r="S75" s="3">
        <v>0</v>
      </c>
      <c r="T75" s="3">
        <v>1</v>
      </c>
      <c r="U75" s="3">
        <v>5</v>
      </c>
      <c r="V75" s="3">
        <v>13</v>
      </c>
      <c r="W75" s="3"/>
      <c r="X75" s="3">
        <v>12.98</v>
      </c>
      <c r="Y75" s="3">
        <v>12.98</v>
      </c>
      <c r="Z75" s="3">
        <v>12.98</v>
      </c>
      <c r="AA75" s="3">
        <v>0</v>
      </c>
      <c r="AB75" s="3" t="s">
        <v>230</v>
      </c>
      <c r="AC75" s="3">
        <v>0</v>
      </c>
      <c r="AD75" s="3">
        <v>12.98</v>
      </c>
      <c r="AE75" s="3">
        <v>0</v>
      </c>
      <c r="AF75" s="3">
        <v>2</v>
      </c>
      <c r="AG75" s="3">
        <v>16.414075</v>
      </c>
      <c r="AH75" s="3">
        <v>1.92592592592592</v>
      </c>
      <c r="AI75" s="3" t="s">
        <v>208</v>
      </c>
      <c r="AJ75" s="3" t="s">
        <v>174</v>
      </c>
    </row>
    <row r="76" spans="1:36">
      <c r="A76" s="6">
        <v>43288</v>
      </c>
      <c r="B76" s="3" t="s">
        <v>386</v>
      </c>
      <c r="C76" s="3" t="s">
        <v>387</v>
      </c>
      <c r="D76" s="3" t="s">
        <v>387</v>
      </c>
      <c r="E76" s="3" t="s">
        <v>26</v>
      </c>
      <c r="F76" s="3" t="s">
        <v>159</v>
      </c>
      <c r="G76" s="3">
        <v>7</v>
      </c>
      <c r="H76" s="3">
        <v>0</v>
      </c>
      <c r="I76" s="3">
        <v>0</v>
      </c>
      <c r="J76" s="3">
        <v>0</v>
      </c>
      <c r="K76" s="3">
        <v>4</v>
      </c>
      <c r="L76" s="3">
        <v>3</v>
      </c>
      <c r="M76" s="3">
        <v>0</v>
      </c>
      <c r="N76" s="3" t="s">
        <v>160</v>
      </c>
      <c r="O76" s="3">
        <v>7</v>
      </c>
      <c r="P76" s="3">
        <v>2.75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 t="s">
        <v>207</v>
      </c>
      <c r="X76" s="3">
        <v>25</v>
      </c>
      <c r="Y76" s="3">
        <v>25</v>
      </c>
      <c r="Z76" s="3">
        <v>25</v>
      </c>
      <c r="AA76" s="3">
        <v>0</v>
      </c>
      <c r="AB76" s="3" t="s">
        <v>187</v>
      </c>
      <c r="AC76" s="3">
        <v>0</v>
      </c>
      <c r="AD76" s="3">
        <v>20</v>
      </c>
      <c r="AE76" s="3">
        <v>63</v>
      </c>
      <c r="AF76" s="3">
        <v>0</v>
      </c>
      <c r="AG76" s="3">
        <v>44.576836</v>
      </c>
      <c r="AH76" s="3">
        <v>0</v>
      </c>
      <c r="AI76" s="3" t="s">
        <v>212</v>
      </c>
      <c r="AJ76" s="3" t="s">
        <v>174</v>
      </c>
    </row>
    <row r="77" spans="1:36">
      <c r="A77" s="6">
        <v>43288</v>
      </c>
      <c r="B77" s="3" t="s">
        <v>388</v>
      </c>
      <c r="C77" s="3" t="s">
        <v>389</v>
      </c>
      <c r="D77" s="3" t="s">
        <v>389</v>
      </c>
      <c r="E77" s="3" t="s">
        <v>390</v>
      </c>
      <c r="F77" s="3" t="s">
        <v>159</v>
      </c>
      <c r="G77" s="3">
        <v>3</v>
      </c>
      <c r="H77" s="3">
        <v>0</v>
      </c>
      <c r="I77" s="3">
        <v>0</v>
      </c>
      <c r="J77" s="3">
        <v>0</v>
      </c>
      <c r="K77" s="3">
        <v>3</v>
      </c>
      <c r="L77" s="3">
        <v>0</v>
      </c>
      <c r="M77" s="3">
        <v>0</v>
      </c>
      <c r="N77" s="3" t="s">
        <v>160</v>
      </c>
      <c r="O77" s="3">
        <v>3</v>
      </c>
      <c r="P77" s="3">
        <v>4.1</v>
      </c>
      <c r="Q77" s="3">
        <v>0</v>
      </c>
      <c r="R77" s="3">
        <v>0</v>
      </c>
      <c r="S77" s="3">
        <v>0</v>
      </c>
      <c r="T77" s="3">
        <v>1</v>
      </c>
      <c r="U77" s="3">
        <v>2</v>
      </c>
      <c r="V77" s="3">
        <v>2</v>
      </c>
      <c r="W77" s="3"/>
      <c r="X77" s="3">
        <v>12</v>
      </c>
      <c r="Y77" s="3">
        <v>12</v>
      </c>
      <c r="Z77" s="3">
        <v>12</v>
      </c>
      <c r="AA77" s="3">
        <v>0</v>
      </c>
      <c r="AB77" s="3" t="s">
        <v>170</v>
      </c>
      <c r="AC77" s="3">
        <v>3</v>
      </c>
      <c r="AD77" s="3">
        <v>12</v>
      </c>
      <c r="AE77" s="3">
        <v>0</v>
      </c>
      <c r="AF77" s="3">
        <v>0</v>
      </c>
      <c r="AG77" s="3">
        <v>0</v>
      </c>
      <c r="AH77" s="3">
        <v>0.470588235294117</v>
      </c>
      <c r="AI77" s="3" t="s">
        <v>241</v>
      </c>
      <c r="AJ77" s="3" t="s">
        <v>174</v>
      </c>
    </row>
    <row r="78" spans="1:36">
      <c r="A78" s="6">
        <v>43288</v>
      </c>
      <c r="B78" s="3" t="s">
        <v>391</v>
      </c>
      <c r="C78" s="3" t="s">
        <v>392</v>
      </c>
      <c r="D78" s="3" t="s">
        <v>392</v>
      </c>
      <c r="E78" s="3" t="s">
        <v>393</v>
      </c>
      <c r="F78" s="3" t="s">
        <v>159</v>
      </c>
      <c r="G78" s="3">
        <v>4</v>
      </c>
      <c r="H78" s="3">
        <v>0</v>
      </c>
      <c r="I78" s="3">
        <v>1</v>
      </c>
      <c r="J78" s="3">
        <v>0</v>
      </c>
      <c r="K78" s="3">
        <v>3</v>
      </c>
      <c r="L78" s="3">
        <v>0</v>
      </c>
      <c r="M78" s="3">
        <v>0</v>
      </c>
      <c r="N78" s="3" t="s">
        <v>160</v>
      </c>
      <c r="O78" s="3">
        <v>3</v>
      </c>
      <c r="P78" s="3">
        <v>4.1</v>
      </c>
      <c r="Q78" s="3">
        <v>0</v>
      </c>
      <c r="R78" s="3">
        <v>0</v>
      </c>
      <c r="S78" s="3">
        <v>0</v>
      </c>
      <c r="T78" s="3">
        <v>0</v>
      </c>
      <c r="U78" s="3">
        <v>2</v>
      </c>
      <c r="V78" s="3">
        <v>2</v>
      </c>
      <c r="W78" s="3" t="s">
        <v>207</v>
      </c>
      <c r="X78" s="3">
        <v>12</v>
      </c>
      <c r="Y78" s="3">
        <v>12</v>
      </c>
      <c r="Z78" s="3">
        <v>12</v>
      </c>
      <c r="AA78" s="3">
        <v>0</v>
      </c>
      <c r="AB78" s="3" t="s">
        <v>187</v>
      </c>
      <c r="AC78" s="3">
        <v>0</v>
      </c>
      <c r="AD78" s="3">
        <v>9.6</v>
      </c>
      <c r="AE78" s="3">
        <v>63</v>
      </c>
      <c r="AF78" s="3">
        <v>0</v>
      </c>
      <c r="AG78" s="3">
        <v>42.893196</v>
      </c>
      <c r="AH78" s="3">
        <v>0.444444444444444</v>
      </c>
      <c r="AI78" s="3" t="s">
        <v>241</v>
      </c>
      <c r="AJ78" s="3" t="s">
        <v>174</v>
      </c>
    </row>
    <row r="79" spans="1:36">
      <c r="A79" s="6">
        <v>43288</v>
      </c>
      <c r="B79" s="3" t="s">
        <v>394</v>
      </c>
      <c r="C79" s="3" t="s">
        <v>395</v>
      </c>
      <c r="D79" s="3" t="s">
        <v>395</v>
      </c>
      <c r="E79" s="3" t="s">
        <v>396</v>
      </c>
      <c r="F79" s="3" t="s">
        <v>159</v>
      </c>
      <c r="G79" s="3">
        <v>16</v>
      </c>
      <c r="H79" s="3">
        <v>0</v>
      </c>
      <c r="I79" s="3">
        <v>0</v>
      </c>
      <c r="J79" s="3">
        <v>0</v>
      </c>
      <c r="K79" s="3">
        <v>0</v>
      </c>
      <c r="L79" s="3">
        <v>16</v>
      </c>
      <c r="M79" s="3">
        <v>0</v>
      </c>
      <c r="N79" s="3" t="s">
        <v>160</v>
      </c>
      <c r="O79" s="3">
        <v>16</v>
      </c>
      <c r="P79" s="3">
        <v>38.39</v>
      </c>
      <c r="Q79" s="3">
        <v>0</v>
      </c>
      <c r="R79" s="3">
        <v>0</v>
      </c>
      <c r="S79" s="3">
        <v>0</v>
      </c>
      <c r="T79" s="3">
        <v>1</v>
      </c>
      <c r="U79" s="3">
        <v>1</v>
      </c>
      <c r="V79" s="3">
        <v>2</v>
      </c>
      <c r="W79" s="3"/>
      <c r="X79" s="3">
        <v>12.98</v>
      </c>
      <c r="Y79" s="3">
        <v>12.98</v>
      </c>
      <c r="Z79" s="3">
        <v>12.98</v>
      </c>
      <c r="AA79" s="3">
        <v>0</v>
      </c>
      <c r="AB79" s="3" t="s">
        <v>187</v>
      </c>
      <c r="AC79" s="3">
        <v>0</v>
      </c>
      <c r="AD79" s="3">
        <v>11.79</v>
      </c>
      <c r="AE79" s="3">
        <v>7</v>
      </c>
      <c r="AF79" s="3">
        <v>15</v>
      </c>
      <c r="AG79" s="3">
        <v>77.493426</v>
      </c>
      <c r="AH79" s="3">
        <v>0.117647058823529</v>
      </c>
      <c r="AI79" s="3" t="s">
        <v>208</v>
      </c>
      <c r="AJ79" s="3" t="s">
        <v>174</v>
      </c>
    </row>
    <row r="80" spans="1:36">
      <c r="A80" s="6">
        <v>43288</v>
      </c>
      <c r="B80" s="3" t="s">
        <v>397</v>
      </c>
      <c r="C80" s="3" t="s">
        <v>398</v>
      </c>
      <c r="D80" s="3" t="s">
        <v>398</v>
      </c>
      <c r="E80" s="3" t="s">
        <v>186</v>
      </c>
      <c r="F80" s="3" t="s">
        <v>159</v>
      </c>
      <c r="G80" s="3">
        <v>1</v>
      </c>
      <c r="H80" s="3">
        <v>0</v>
      </c>
      <c r="I80" s="3">
        <v>0</v>
      </c>
      <c r="J80" s="3">
        <v>0</v>
      </c>
      <c r="K80" s="3">
        <v>1</v>
      </c>
      <c r="L80" s="3">
        <v>0</v>
      </c>
      <c r="M80" s="3">
        <v>0</v>
      </c>
      <c r="N80" s="3" t="s">
        <v>160</v>
      </c>
      <c r="O80" s="3">
        <v>1</v>
      </c>
      <c r="P80" s="3">
        <v>0</v>
      </c>
      <c r="Q80" s="3">
        <v>0</v>
      </c>
      <c r="R80" s="3">
        <v>0</v>
      </c>
      <c r="S80" s="3">
        <v>2</v>
      </c>
      <c r="T80" s="3">
        <v>2</v>
      </c>
      <c r="U80" s="3">
        <v>2</v>
      </c>
      <c r="V80" s="3">
        <v>2</v>
      </c>
      <c r="W80" s="3" t="s">
        <v>161</v>
      </c>
      <c r="X80" s="3">
        <v>12</v>
      </c>
      <c r="Y80" s="3">
        <v>12</v>
      </c>
      <c r="Z80" s="3">
        <v>12</v>
      </c>
      <c r="AA80" s="3">
        <v>0</v>
      </c>
      <c r="AB80" s="3" t="s">
        <v>187</v>
      </c>
      <c r="AC80" s="3">
        <v>0</v>
      </c>
      <c r="AD80" s="3">
        <v>9.6</v>
      </c>
      <c r="AE80" s="3">
        <v>63</v>
      </c>
      <c r="AF80" s="3">
        <v>0</v>
      </c>
      <c r="AG80" s="3">
        <v>2.907135</v>
      </c>
      <c r="AH80" s="3">
        <v>0.8</v>
      </c>
      <c r="AI80" s="3" t="s">
        <v>188</v>
      </c>
      <c r="AJ80" s="3" t="s">
        <v>164</v>
      </c>
    </row>
    <row r="81" spans="1:36">
      <c r="A81" s="6">
        <v>43288</v>
      </c>
      <c r="B81" s="3" t="s">
        <v>399</v>
      </c>
      <c r="C81" s="3" t="s">
        <v>400</v>
      </c>
      <c r="D81" s="3" t="s">
        <v>401</v>
      </c>
      <c r="E81" s="3" t="s">
        <v>402</v>
      </c>
      <c r="F81" s="3" t="s">
        <v>159</v>
      </c>
      <c r="G81" s="3">
        <v>89</v>
      </c>
      <c r="H81" s="3">
        <v>0</v>
      </c>
      <c r="I81" s="3">
        <v>89</v>
      </c>
      <c r="J81" s="3">
        <v>0</v>
      </c>
      <c r="K81" s="3">
        <v>0</v>
      </c>
      <c r="L81" s="3">
        <v>0</v>
      </c>
      <c r="M81" s="3">
        <v>0</v>
      </c>
      <c r="N81" s="3" t="s">
        <v>160</v>
      </c>
      <c r="O81" s="3">
        <v>0</v>
      </c>
      <c r="P81" s="3">
        <v>0</v>
      </c>
      <c r="Q81" s="3">
        <v>0</v>
      </c>
      <c r="R81" s="3">
        <v>0</v>
      </c>
      <c r="S81" s="3">
        <v>4</v>
      </c>
      <c r="T81" s="3">
        <v>11</v>
      </c>
      <c r="U81" s="3">
        <v>11</v>
      </c>
      <c r="V81" s="3">
        <v>11</v>
      </c>
      <c r="W81" s="3"/>
      <c r="X81" s="3">
        <v>23.99</v>
      </c>
      <c r="Y81" s="3">
        <v>23.99</v>
      </c>
      <c r="Z81" s="3">
        <v>23</v>
      </c>
      <c r="AA81" s="3">
        <v>0</v>
      </c>
      <c r="AB81" s="3" t="s">
        <v>170</v>
      </c>
      <c r="AC81" s="3">
        <v>91</v>
      </c>
      <c r="AD81" s="3">
        <v>23.99</v>
      </c>
      <c r="AE81" s="3">
        <v>0</v>
      </c>
      <c r="AF81" s="3">
        <v>0</v>
      </c>
      <c r="AG81" s="3">
        <v>0</v>
      </c>
      <c r="AH81" s="3">
        <v>1.06493506493506</v>
      </c>
      <c r="AI81" s="3" t="s">
        <v>403</v>
      </c>
      <c r="AJ81" s="3" t="s">
        <v>164</v>
      </c>
    </row>
    <row r="82" spans="1:36">
      <c r="A82" s="6">
        <v>43288</v>
      </c>
      <c r="B82" s="3" t="s">
        <v>404</v>
      </c>
      <c r="C82" s="3" t="s">
        <v>405</v>
      </c>
      <c r="D82" s="3" t="s">
        <v>405</v>
      </c>
      <c r="E82" s="3" t="s">
        <v>406</v>
      </c>
      <c r="F82" s="3" t="s">
        <v>159</v>
      </c>
      <c r="G82" s="3">
        <v>4</v>
      </c>
      <c r="H82" s="3">
        <v>0</v>
      </c>
      <c r="I82" s="3">
        <v>0</v>
      </c>
      <c r="J82" s="3">
        <v>0</v>
      </c>
      <c r="K82" s="3">
        <v>4</v>
      </c>
      <c r="L82" s="3">
        <v>0</v>
      </c>
      <c r="M82" s="3">
        <v>0</v>
      </c>
      <c r="N82" s="3" t="s">
        <v>160</v>
      </c>
      <c r="O82" s="3">
        <v>4</v>
      </c>
      <c r="P82" s="3">
        <v>5.47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 t="s">
        <v>207</v>
      </c>
      <c r="X82" s="3">
        <v>12</v>
      </c>
      <c r="Y82" s="3">
        <v>12</v>
      </c>
      <c r="Z82" s="3">
        <v>12</v>
      </c>
      <c r="AA82" s="3">
        <v>0</v>
      </c>
      <c r="AB82" s="3" t="s">
        <v>187</v>
      </c>
      <c r="AC82" s="3">
        <v>3</v>
      </c>
      <c r="AD82" s="3">
        <v>9.6</v>
      </c>
      <c r="AE82" s="3">
        <v>63</v>
      </c>
      <c r="AF82" s="3">
        <v>0</v>
      </c>
      <c r="AG82" s="3">
        <v>72.383394</v>
      </c>
      <c r="AH82" s="3">
        <v>0</v>
      </c>
      <c r="AI82" s="3" t="s">
        <v>241</v>
      </c>
      <c r="AJ82" s="3" t="s">
        <v>174</v>
      </c>
    </row>
    <row r="83" spans="1:36">
      <c r="A83" s="6">
        <v>43288</v>
      </c>
      <c r="B83" s="3" t="s">
        <v>407</v>
      </c>
      <c r="C83" s="3" t="s">
        <v>408</v>
      </c>
      <c r="D83" s="3" t="s">
        <v>408</v>
      </c>
      <c r="E83" s="3" t="s">
        <v>409</v>
      </c>
      <c r="F83" s="3" t="s">
        <v>159</v>
      </c>
      <c r="G83" s="3">
        <v>4</v>
      </c>
      <c r="H83" s="3">
        <v>0</v>
      </c>
      <c r="I83" s="3">
        <v>0</v>
      </c>
      <c r="J83" s="3">
        <v>0</v>
      </c>
      <c r="K83" s="3">
        <v>1</v>
      </c>
      <c r="L83" s="3">
        <v>3</v>
      </c>
      <c r="M83" s="3">
        <v>0</v>
      </c>
      <c r="N83" s="3" t="s">
        <v>160</v>
      </c>
      <c r="O83" s="3">
        <v>4</v>
      </c>
      <c r="P83" s="3">
        <v>9.6</v>
      </c>
      <c r="Q83" s="3">
        <v>0</v>
      </c>
      <c r="R83" s="3">
        <v>0</v>
      </c>
      <c r="S83" s="3">
        <v>0</v>
      </c>
      <c r="T83" s="3">
        <v>1</v>
      </c>
      <c r="U83" s="3">
        <v>1</v>
      </c>
      <c r="V83" s="3">
        <v>2</v>
      </c>
      <c r="W83" s="3"/>
      <c r="X83" s="3">
        <v>14.98</v>
      </c>
      <c r="Y83" s="3">
        <v>14.98</v>
      </c>
      <c r="Z83" s="3">
        <v>14.98</v>
      </c>
      <c r="AA83" s="3">
        <v>0</v>
      </c>
      <c r="AB83" s="3" t="s">
        <v>230</v>
      </c>
      <c r="AC83" s="3">
        <v>3</v>
      </c>
      <c r="AD83" s="3">
        <v>14.98</v>
      </c>
      <c r="AE83" s="3">
        <v>0</v>
      </c>
      <c r="AF83" s="3">
        <v>1</v>
      </c>
      <c r="AG83" s="3">
        <v>0.387366</v>
      </c>
      <c r="AH83" s="3">
        <v>0.4</v>
      </c>
      <c r="AI83" s="3" t="s">
        <v>208</v>
      </c>
      <c r="AJ83" s="3" t="s">
        <v>174</v>
      </c>
    </row>
    <row r="84" spans="1:36">
      <c r="A84" s="6">
        <v>43288</v>
      </c>
      <c r="B84" s="3" t="s">
        <v>410</v>
      </c>
      <c r="C84" s="3" t="s">
        <v>411</v>
      </c>
      <c r="D84" s="3" t="s">
        <v>411</v>
      </c>
      <c r="E84" s="3" t="s">
        <v>31</v>
      </c>
      <c r="F84" s="3" t="s">
        <v>159</v>
      </c>
      <c r="G84" s="3">
        <v>5</v>
      </c>
      <c r="H84" s="3">
        <v>0</v>
      </c>
      <c r="I84" s="3">
        <v>0</v>
      </c>
      <c r="J84" s="3">
        <v>2</v>
      </c>
      <c r="K84" s="3">
        <v>3</v>
      </c>
      <c r="L84" s="3">
        <v>0</v>
      </c>
      <c r="M84" s="3">
        <v>0</v>
      </c>
      <c r="N84" s="3" t="s">
        <v>160</v>
      </c>
      <c r="O84" s="3">
        <v>4</v>
      </c>
      <c r="P84" s="3">
        <v>2.95</v>
      </c>
      <c r="Q84" s="3">
        <v>0</v>
      </c>
      <c r="R84" s="3">
        <v>0</v>
      </c>
      <c r="S84" s="3">
        <v>0</v>
      </c>
      <c r="T84" s="3">
        <v>0</v>
      </c>
      <c r="U84" s="3">
        <v>1</v>
      </c>
      <c r="V84" s="3">
        <v>1</v>
      </c>
      <c r="W84" s="3" t="s">
        <v>207</v>
      </c>
      <c r="X84" s="3">
        <v>24.99</v>
      </c>
      <c r="Y84" s="3">
        <v>24.99</v>
      </c>
      <c r="Z84" s="3">
        <v>24.99</v>
      </c>
      <c r="AA84" s="3">
        <v>0</v>
      </c>
      <c r="AB84" s="3" t="s">
        <v>187</v>
      </c>
      <c r="AC84" s="3">
        <v>0</v>
      </c>
      <c r="AD84" s="3">
        <v>15</v>
      </c>
      <c r="AE84" s="3">
        <v>364</v>
      </c>
      <c r="AF84" s="3">
        <v>0</v>
      </c>
      <c r="AG84" s="3">
        <v>60.909955</v>
      </c>
      <c r="AH84" s="3">
        <v>0.181818181818181</v>
      </c>
      <c r="AI84" s="3" t="s">
        <v>253</v>
      </c>
      <c r="AJ84" s="3" t="s">
        <v>174</v>
      </c>
    </row>
    <row r="85" spans="1:36">
      <c r="A85" s="6">
        <v>43288</v>
      </c>
      <c r="B85" s="3" t="s">
        <v>412</v>
      </c>
      <c r="C85" s="3" t="s">
        <v>413</v>
      </c>
      <c r="D85" s="3" t="s">
        <v>413</v>
      </c>
      <c r="E85" s="3" t="s">
        <v>414</v>
      </c>
      <c r="F85" s="3" t="s">
        <v>159</v>
      </c>
      <c r="G85" s="3">
        <v>4</v>
      </c>
      <c r="H85" s="3">
        <v>0</v>
      </c>
      <c r="I85" s="3">
        <v>0</v>
      </c>
      <c r="J85" s="3">
        <v>4</v>
      </c>
      <c r="K85" s="3">
        <v>0</v>
      </c>
      <c r="L85" s="3">
        <v>0</v>
      </c>
      <c r="M85" s="3">
        <v>0</v>
      </c>
      <c r="N85" s="3" t="s">
        <v>160</v>
      </c>
      <c r="O85" s="3">
        <v>0</v>
      </c>
      <c r="P85" s="3">
        <v>0</v>
      </c>
      <c r="Q85" s="3">
        <v>0</v>
      </c>
      <c r="R85" s="3">
        <v>0</v>
      </c>
      <c r="S85" s="3">
        <v>0</v>
      </c>
      <c r="T85" s="3">
        <v>0</v>
      </c>
      <c r="U85" s="3">
        <v>0</v>
      </c>
      <c r="V85" s="3">
        <v>0</v>
      </c>
      <c r="W85" s="3" t="s">
        <v>161</v>
      </c>
      <c r="X85" s="3">
        <v>9.5</v>
      </c>
      <c r="Y85" s="3">
        <v>9.5</v>
      </c>
      <c r="Z85" s="3">
        <v>9.5</v>
      </c>
      <c r="AA85" s="3">
        <v>0</v>
      </c>
      <c r="AB85" s="3" t="s">
        <v>162</v>
      </c>
      <c r="AC85" s="3">
        <v>0</v>
      </c>
      <c r="AD85" s="3">
        <v>9.5</v>
      </c>
      <c r="AE85" s="3">
        <v>63</v>
      </c>
      <c r="AF85" s="3">
        <v>0</v>
      </c>
      <c r="AG85" s="3">
        <v>3.437302</v>
      </c>
      <c r="AH85" s="3">
        <v>0</v>
      </c>
      <c r="AI85" s="3" t="s">
        <v>192</v>
      </c>
      <c r="AJ85" s="3" t="s">
        <v>164</v>
      </c>
    </row>
    <row r="86" spans="1:36">
      <c r="A86" s="6">
        <v>43288</v>
      </c>
      <c r="B86" s="3" t="s">
        <v>415</v>
      </c>
      <c r="C86" s="3" t="s">
        <v>416</v>
      </c>
      <c r="D86" s="3" t="s">
        <v>417</v>
      </c>
      <c r="E86" s="3" t="s">
        <v>418</v>
      </c>
      <c r="F86" s="3" t="s">
        <v>159</v>
      </c>
      <c r="G86" s="3">
        <v>11</v>
      </c>
      <c r="H86" s="3">
        <v>0</v>
      </c>
      <c r="I86" s="3">
        <v>11</v>
      </c>
      <c r="J86" s="3">
        <v>0</v>
      </c>
      <c r="K86" s="3">
        <v>0</v>
      </c>
      <c r="L86" s="3">
        <v>0</v>
      </c>
      <c r="M86" s="3">
        <v>0</v>
      </c>
      <c r="N86" s="3" t="s">
        <v>160</v>
      </c>
      <c r="O86" s="3">
        <v>0</v>
      </c>
      <c r="P86" s="3">
        <v>0</v>
      </c>
      <c r="Q86" s="3">
        <v>0</v>
      </c>
      <c r="R86" s="3">
        <v>0</v>
      </c>
      <c r="S86" s="3">
        <v>3</v>
      </c>
      <c r="T86" s="3">
        <v>9</v>
      </c>
      <c r="U86" s="3">
        <v>9</v>
      </c>
      <c r="V86" s="3">
        <v>9</v>
      </c>
      <c r="W86" s="3"/>
      <c r="X86" s="3">
        <v>18.99</v>
      </c>
      <c r="Y86" s="3">
        <v>18.99</v>
      </c>
      <c r="Z86" s="3">
        <v>18</v>
      </c>
      <c r="AA86" s="3">
        <v>0</v>
      </c>
      <c r="AB86" s="3" t="s">
        <v>170</v>
      </c>
      <c r="AC86" s="3">
        <v>13</v>
      </c>
      <c r="AD86" s="3">
        <v>18.99</v>
      </c>
      <c r="AE86" s="3">
        <v>0</v>
      </c>
      <c r="AF86" s="3">
        <v>0</v>
      </c>
      <c r="AG86" s="3">
        <v>0</v>
      </c>
      <c r="AH86" s="3">
        <v>0.642857142857142</v>
      </c>
      <c r="AI86" s="3" t="s">
        <v>419</v>
      </c>
      <c r="AJ86" s="3" t="s">
        <v>164</v>
      </c>
    </row>
    <row r="87" spans="1:36">
      <c r="A87" s="6">
        <v>43288</v>
      </c>
      <c r="B87" s="3" t="s">
        <v>420</v>
      </c>
      <c r="C87" s="3" t="s">
        <v>421</v>
      </c>
      <c r="D87" s="3" t="s">
        <v>421</v>
      </c>
      <c r="E87" s="3" t="s">
        <v>422</v>
      </c>
      <c r="F87" s="3" t="s">
        <v>159</v>
      </c>
      <c r="G87" s="3">
        <v>14</v>
      </c>
      <c r="H87" s="3">
        <v>0</v>
      </c>
      <c r="I87" s="3">
        <v>1</v>
      </c>
      <c r="J87" s="3">
        <v>0</v>
      </c>
      <c r="K87" s="3">
        <v>0</v>
      </c>
      <c r="L87" s="3">
        <v>13</v>
      </c>
      <c r="M87" s="3">
        <v>0</v>
      </c>
      <c r="N87" s="3" t="s">
        <v>160</v>
      </c>
      <c r="O87" s="3">
        <v>13</v>
      </c>
      <c r="P87" s="3">
        <v>31.19</v>
      </c>
      <c r="Q87" s="3">
        <v>0</v>
      </c>
      <c r="R87" s="3">
        <v>0</v>
      </c>
      <c r="S87" s="3">
        <v>0</v>
      </c>
      <c r="T87" s="3">
        <v>0</v>
      </c>
      <c r="U87" s="3">
        <v>1</v>
      </c>
      <c r="V87" s="3">
        <v>4</v>
      </c>
      <c r="W87" s="3" t="s">
        <v>207</v>
      </c>
      <c r="X87" s="3">
        <v>12.98</v>
      </c>
      <c r="Y87" s="3">
        <v>12.98</v>
      </c>
      <c r="Z87" s="3">
        <v>12.98</v>
      </c>
      <c r="AA87" s="3">
        <v>0</v>
      </c>
      <c r="AB87" s="3" t="s">
        <v>187</v>
      </c>
      <c r="AC87" s="3">
        <v>0</v>
      </c>
      <c r="AD87" s="3">
        <v>11.79</v>
      </c>
      <c r="AE87" s="3">
        <v>7</v>
      </c>
      <c r="AF87" s="3">
        <v>13</v>
      </c>
      <c r="AG87" s="3">
        <v>148.750099</v>
      </c>
      <c r="AH87" s="3">
        <v>0.266666666666666</v>
      </c>
      <c r="AI87" s="3" t="s">
        <v>208</v>
      </c>
      <c r="AJ87" s="3" t="s">
        <v>174</v>
      </c>
    </row>
    <row r="88" spans="1:36">
      <c r="A88" s="6">
        <v>43288</v>
      </c>
      <c r="B88" s="3" t="s">
        <v>423</v>
      </c>
      <c r="C88" s="3" t="s">
        <v>424</v>
      </c>
      <c r="D88" s="3" t="s">
        <v>424</v>
      </c>
      <c r="E88" s="3" t="s">
        <v>425</v>
      </c>
      <c r="F88" s="3" t="s">
        <v>159</v>
      </c>
      <c r="G88" s="3">
        <v>8</v>
      </c>
      <c r="H88" s="3">
        <v>0</v>
      </c>
      <c r="I88" s="3">
        <v>8</v>
      </c>
      <c r="J88" s="3">
        <v>0</v>
      </c>
      <c r="K88" s="3">
        <v>0</v>
      </c>
      <c r="L88" s="3">
        <v>0</v>
      </c>
      <c r="M88" s="3">
        <v>0</v>
      </c>
      <c r="N88" s="3" t="s">
        <v>160</v>
      </c>
      <c r="O88" s="3">
        <v>0</v>
      </c>
      <c r="P88" s="3">
        <v>0</v>
      </c>
      <c r="Q88" s="3">
        <v>0</v>
      </c>
      <c r="R88" s="3">
        <v>0</v>
      </c>
      <c r="S88" s="3">
        <v>2</v>
      </c>
      <c r="T88" s="3">
        <v>7</v>
      </c>
      <c r="U88" s="3">
        <v>26</v>
      </c>
      <c r="V88" s="3">
        <v>46</v>
      </c>
      <c r="W88" s="3" t="s">
        <v>161</v>
      </c>
      <c r="X88" s="3">
        <v>17.98</v>
      </c>
      <c r="Y88" s="3">
        <v>17.98</v>
      </c>
      <c r="Z88" s="3">
        <v>17.98</v>
      </c>
      <c r="AA88" s="3">
        <v>0</v>
      </c>
      <c r="AB88" s="3" t="s">
        <v>162</v>
      </c>
      <c r="AC88" s="3">
        <v>2</v>
      </c>
      <c r="AD88" s="3">
        <v>17.98</v>
      </c>
      <c r="AE88" s="3">
        <v>0</v>
      </c>
      <c r="AF88" s="3">
        <v>0</v>
      </c>
      <c r="AG88" s="3">
        <v>0</v>
      </c>
      <c r="AH88" s="3">
        <v>4.71794871794871</v>
      </c>
      <c r="AI88" s="3" t="s">
        <v>426</v>
      </c>
      <c r="AJ88" s="3" t="s">
        <v>164</v>
      </c>
    </row>
    <row r="89" spans="1:36">
      <c r="A89" s="6">
        <v>43288</v>
      </c>
      <c r="B89" s="3" t="s">
        <v>427</v>
      </c>
      <c r="C89" s="3" t="s">
        <v>428</v>
      </c>
      <c r="D89" s="3" t="s">
        <v>428</v>
      </c>
      <c r="E89" s="3" t="s">
        <v>429</v>
      </c>
      <c r="F89" s="3" t="s">
        <v>159</v>
      </c>
      <c r="G89" s="3">
        <v>16</v>
      </c>
      <c r="H89" s="3">
        <v>0</v>
      </c>
      <c r="I89" s="3">
        <v>0</v>
      </c>
      <c r="J89" s="3">
        <v>1</v>
      </c>
      <c r="K89" s="3">
        <v>0</v>
      </c>
      <c r="L89" s="3">
        <v>15</v>
      </c>
      <c r="M89" s="3">
        <v>0</v>
      </c>
      <c r="N89" s="3" t="s">
        <v>160</v>
      </c>
      <c r="O89" s="3">
        <v>16</v>
      </c>
      <c r="P89" s="3">
        <v>38.39</v>
      </c>
      <c r="Q89" s="3">
        <v>0</v>
      </c>
      <c r="R89" s="3">
        <v>0</v>
      </c>
      <c r="S89" s="3">
        <v>0</v>
      </c>
      <c r="T89" s="3">
        <v>0</v>
      </c>
      <c r="U89" s="3">
        <v>0</v>
      </c>
      <c r="V89" s="3">
        <v>1</v>
      </c>
      <c r="W89" s="3" t="s">
        <v>207</v>
      </c>
      <c r="X89" s="3">
        <v>15.98</v>
      </c>
      <c r="Y89" s="3">
        <v>15.98</v>
      </c>
      <c r="Z89" s="3">
        <v>15.98</v>
      </c>
      <c r="AA89" s="3">
        <v>0</v>
      </c>
      <c r="AB89" s="3" t="s">
        <v>187</v>
      </c>
      <c r="AC89" s="3">
        <v>0</v>
      </c>
      <c r="AD89" s="3">
        <v>14.13</v>
      </c>
      <c r="AE89" s="3">
        <v>35</v>
      </c>
      <c r="AF89" s="3">
        <v>15</v>
      </c>
      <c r="AG89" s="3">
        <v>472.001643</v>
      </c>
      <c r="AH89" s="3">
        <v>0.0615384615384615</v>
      </c>
      <c r="AI89" s="3" t="s">
        <v>208</v>
      </c>
      <c r="AJ89" s="3" t="s">
        <v>174</v>
      </c>
    </row>
    <row r="90" spans="1:36">
      <c r="A90" s="6">
        <v>43288</v>
      </c>
      <c r="B90" s="3" t="s">
        <v>430</v>
      </c>
      <c r="C90" s="3" t="s">
        <v>431</v>
      </c>
      <c r="D90" s="3" t="s">
        <v>431</v>
      </c>
      <c r="E90" s="3" t="s">
        <v>432</v>
      </c>
      <c r="F90" s="3" t="s">
        <v>159</v>
      </c>
      <c r="G90" s="3">
        <v>7</v>
      </c>
      <c r="H90" s="3">
        <v>0</v>
      </c>
      <c r="I90" s="3">
        <v>0</v>
      </c>
      <c r="J90" s="3">
        <v>0</v>
      </c>
      <c r="K90" s="3">
        <v>0</v>
      </c>
      <c r="L90" s="3">
        <v>7</v>
      </c>
      <c r="M90" s="3">
        <v>0</v>
      </c>
      <c r="N90" s="3" t="s">
        <v>160</v>
      </c>
      <c r="O90" s="3">
        <v>7</v>
      </c>
      <c r="P90" s="3">
        <v>16.8</v>
      </c>
      <c r="Q90" s="3">
        <v>0</v>
      </c>
      <c r="R90" s="3">
        <v>0</v>
      </c>
      <c r="S90" s="3">
        <v>0</v>
      </c>
      <c r="T90" s="3">
        <v>5</v>
      </c>
      <c r="U90" s="3">
        <v>10</v>
      </c>
      <c r="V90" s="3">
        <v>11</v>
      </c>
      <c r="W90" s="3"/>
      <c r="X90" s="3">
        <v>12.98</v>
      </c>
      <c r="Y90" s="3">
        <v>12.98</v>
      </c>
      <c r="Z90" s="3">
        <v>12.98</v>
      </c>
      <c r="AA90" s="3">
        <v>0</v>
      </c>
      <c r="AB90" s="3" t="s">
        <v>230</v>
      </c>
      <c r="AC90" s="3">
        <v>4</v>
      </c>
      <c r="AD90" s="3">
        <v>12.98</v>
      </c>
      <c r="AE90" s="3">
        <v>0</v>
      </c>
      <c r="AF90" s="3">
        <v>3</v>
      </c>
      <c r="AG90" s="3">
        <v>3.243437</v>
      </c>
      <c r="AH90" s="3">
        <v>0.814814814814814</v>
      </c>
      <c r="AI90" s="3" t="s">
        <v>208</v>
      </c>
      <c r="AJ90" s="3" t="s">
        <v>174</v>
      </c>
    </row>
    <row r="91" spans="1:36">
      <c r="A91" s="6">
        <v>43288</v>
      </c>
      <c r="B91" s="3" t="s">
        <v>433</v>
      </c>
      <c r="C91" s="3" t="s">
        <v>434</v>
      </c>
      <c r="D91" s="3" t="s">
        <v>434</v>
      </c>
      <c r="E91" s="3" t="s">
        <v>435</v>
      </c>
      <c r="F91" s="3" t="s">
        <v>159</v>
      </c>
      <c r="G91" s="3">
        <v>4</v>
      </c>
      <c r="H91" s="3">
        <v>0</v>
      </c>
      <c r="I91" s="3">
        <v>0</v>
      </c>
      <c r="J91" s="3">
        <v>4</v>
      </c>
      <c r="K91" s="3">
        <v>0</v>
      </c>
      <c r="L91" s="3">
        <v>0</v>
      </c>
      <c r="M91" s="3">
        <v>0</v>
      </c>
      <c r="N91" s="3" t="s">
        <v>160</v>
      </c>
      <c r="O91" s="3">
        <v>0</v>
      </c>
      <c r="P91" s="3">
        <v>0</v>
      </c>
      <c r="Q91" s="3">
        <v>0</v>
      </c>
      <c r="R91" s="3">
        <v>0</v>
      </c>
      <c r="S91" s="3">
        <v>0</v>
      </c>
      <c r="T91" s="3">
        <v>0</v>
      </c>
      <c r="U91" s="3">
        <v>0</v>
      </c>
      <c r="V91" s="3">
        <v>0</v>
      </c>
      <c r="W91" s="3" t="s">
        <v>161</v>
      </c>
      <c r="X91" s="3">
        <v>8.99</v>
      </c>
      <c r="Y91" s="3">
        <v>8.99</v>
      </c>
      <c r="Z91" s="3">
        <v>8.99</v>
      </c>
      <c r="AA91" s="3">
        <v>0</v>
      </c>
      <c r="AB91" s="3" t="s">
        <v>162</v>
      </c>
      <c r="AC91" s="3">
        <v>0</v>
      </c>
      <c r="AD91" s="3">
        <v>8.99</v>
      </c>
      <c r="AE91" s="3">
        <v>63</v>
      </c>
      <c r="AF91" s="3">
        <v>0</v>
      </c>
      <c r="AG91" s="3">
        <v>11.688962</v>
      </c>
      <c r="AH91" s="3">
        <v>0</v>
      </c>
      <c r="AI91" s="3" t="s">
        <v>196</v>
      </c>
      <c r="AJ91" s="3" t="s">
        <v>164</v>
      </c>
    </row>
    <row r="92" spans="1:36">
      <c r="A92" s="6">
        <v>43288</v>
      </c>
      <c r="B92" s="3" t="s">
        <v>436</v>
      </c>
      <c r="C92" s="3" t="s">
        <v>437</v>
      </c>
      <c r="D92" s="3" t="s">
        <v>437</v>
      </c>
      <c r="E92" s="3" t="s">
        <v>438</v>
      </c>
      <c r="F92" s="3" t="s">
        <v>159</v>
      </c>
      <c r="G92" s="3">
        <v>1</v>
      </c>
      <c r="H92" s="3">
        <v>0</v>
      </c>
      <c r="I92" s="3">
        <v>0</v>
      </c>
      <c r="J92" s="3">
        <v>1</v>
      </c>
      <c r="K92" s="3">
        <v>0</v>
      </c>
      <c r="L92" s="3">
        <v>0</v>
      </c>
      <c r="M92" s="3">
        <v>0</v>
      </c>
      <c r="N92" s="3" t="s">
        <v>160</v>
      </c>
      <c r="O92" s="3">
        <v>0</v>
      </c>
      <c r="P92" s="3">
        <v>0</v>
      </c>
      <c r="Q92" s="3">
        <v>0</v>
      </c>
      <c r="R92" s="3">
        <v>0</v>
      </c>
      <c r="S92" s="3">
        <v>1</v>
      </c>
      <c r="T92" s="3">
        <v>2</v>
      </c>
      <c r="U92" s="3">
        <v>2</v>
      </c>
      <c r="V92" s="3">
        <v>2</v>
      </c>
      <c r="W92" s="3" t="s">
        <v>161</v>
      </c>
      <c r="X92" s="3">
        <v>25.99</v>
      </c>
      <c r="Y92" s="3">
        <v>25.99</v>
      </c>
      <c r="Z92" s="3">
        <v>25.99</v>
      </c>
      <c r="AA92" s="3">
        <v>0</v>
      </c>
      <c r="AB92" s="3" t="s">
        <v>162</v>
      </c>
      <c r="AC92" s="3">
        <v>2</v>
      </c>
      <c r="AD92" s="3">
        <v>25.99</v>
      </c>
      <c r="AE92" s="3">
        <v>0</v>
      </c>
      <c r="AF92" s="3">
        <v>0</v>
      </c>
      <c r="AG92" s="3">
        <v>0</v>
      </c>
      <c r="AH92" s="3">
        <v>0.8</v>
      </c>
      <c r="AI92" s="3" t="s">
        <v>439</v>
      </c>
      <c r="AJ92" s="3" t="s">
        <v>164</v>
      </c>
    </row>
    <row r="93" spans="1:36">
      <c r="A93" s="6">
        <v>43288</v>
      </c>
      <c r="B93" s="3" t="s">
        <v>440</v>
      </c>
      <c r="C93" s="3" t="s">
        <v>441</v>
      </c>
      <c r="D93" s="3" t="s">
        <v>441</v>
      </c>
      <c r="E93" s="3" t="s">
        <v>442</v>
      </c>
      <c r="F93" s="3" t="s">
        <v>159</v>
      </c>
      <c r="G93" s="3">
        <v>4</v>
      </c>
      <c r="H93" s="3">
        <v>0</v>
      </c>
      <c r="I93" s="3">
        <v>0</v>
      </c>
      <c r="J93" s="3">
        <v>4</v>
      </c>
      <c r="K93" s="3">
        <v>0</v>
      </c>
      <c r="L93" s="3">
        <v>0</v>
      </c>
      <c r="M93" s="3">
        <v>0</v>
      </c>
      <c r="N93" s="3" t="s">
        <v>160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0</v>
      </c>
      <c r="W93" s="3" t="s">
        <v>161</v>
      </c>
      <c r="X93" s="3">
        <v>9.5</v>
      </c>
      <c r="Y93" s="3">
        <v>9.5</v>
      </c>
      <c r="Z93" s="3">
        <v>9.5</v>
      </c>
      <c r="AA93" s="3">
        <v>0</v>
      </c>
      <c r="AB93" s="3" t="s">
        <v>162</v>
      </c>
      <c r="AC93" s="3">
        <v>0</v>
      </c>
      <c r="AD93" s="3">
        <v>9.5</v>
      </c>
      <c r="AE93" s="3">
        <v>63</v>
      </c>
      <c r="AF93" s="3">
        <v>0</v>
      </c>
      <c r="AG93" s="3">
        <v>3.437302</v>
      </c>
      <c r="AH93" s="3">
        <v>0</v>
      </c>
      <c r="AI93" s="3" t="s">
        <v>192</v>
      </c>
      <c r="AJ93" s="3" t="s">
        <v>164</v>
      </c>
    </row>
    <row r="94" spans="1:36">
      <c r="A94" s="6">
        <v>43288</v>
      </c>
      <c r="B94" s="3" t="s">
        <v>443</v>
      </c>
      <c r="C94" s="3" t="s">
        <v>444</v>
      </c>
      <c r="D94" s="3" t="s">
        <v>444</v>
      </c>
      <c r="E94" s="3" t="s">
        <v>445</v>
      </c>
      <c r="F94" s="3" t="s">
        <v>159</v>
      </c>
      <c r="G94" s="3">
        <v>4</v>
      </c>
      <c r="H94" s="3">
        <v>0</v>
      </c>
      <c r="I94" s="3">
        <v>0</v>
      </c>
      <c r="J94" s="3">
        <v>4</v>
      </c>
      <c r="K94" s="3">
        <v>0</v>
      </c>
      <c r="L94" s="3">
        <v>0</v>
      </c>
      <c r="M94" s="3">
        <v>0</v>
      </c>
      <c r="N94" s="3" t="s">
        <v>160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 t="s">
        <v>161</v>
      </c>
      <c r="X94" s="3">
        <v>9.5</v>
      </c>
      <c r="Y94" s="3">
        <v>9.5</v>
      </c>
      <c r="Z94" s="3">
        <v>9.5</v>
      </c>
      <c r="AA94" s="3">
        <v>0</v>
      </c>
      <c r="AB94" s="3" t="s">
        <v>162</v>
      </c>
      <c r="AC94" s="3">
        <v>0</v>
      </c>
      <c r="AD94" s="3">
        <v>9.5</v>
      </c>
      <c r="AE94" s="3">
        <v>63</v>
      </c>
      <c r="AF94" s="3">
        <v>0</v>
      </c>
      <c r="AG94" s="3">
        <v>3.437302</v>
      </c>
      <c r="AH94" s="3">
        <v>0</v>
      </c>
      <c r="AI94" s="3" t="s">
        <v>192</v>
      </c>
      <c r="AJ94" s="3" t="s">
        <v>164</v>
      </c>
    </row>
    <row r="95" spans="1:36">
      <c r="A95" s="6">
        <v>43288</v>
      </c>
      <c r="B95" s="3" t="s">
        <v>446</v>
      </c>
      <c r="C95" s="3" t="s">
        <v>447</v>
      </c>
      <c r="D95" s="3" t="s">
        <v>447</v>
      </c>
      <c r="E95" s="3" t="s">
        <v>31</v>
      </c>
      <c r="F95" s="3" t="s">
        <v>159</v>
      </c>
      <c r="G95" s="3">
        <v>4</v>
      </c>
      <c r="H95" s="3">
        <v>0</v>
      </c>
      <c r="I95" s="3">
        <v>0</v>
      </c>
      <c r="J95" s="3">
        <v>0</v>
      </c>
      <c r="K95" s="3">
        <v>4</v>
      </c>
      <c r="L95" s="3">
        <v>0</v>
      </c>
      <c r="M95" s="3">
        <v>0</v>
      </c>
      <c r="N95" s="3" t="s">
        <v>160</v>
      </c>
      <c r="O95" s="3">
        <v>4</v>
      </c>
      <c r="P95" s="3">
        <v>2.95</v>
      </c>
      <c r="Q95" s="3">
        <v>0</v>
      </c>
      <c r="R95" s="3">
        <v>0</v>
      </c>
      <c r="S95" s="3">
        <v>0</v>
      </c>
      <c r="T95" s="3">
        <v>0</v>
      </c>
      <c r="U95" s="3">
        <v>0</v>
      </c>
      <c r="V95" s="3">
        <v>0</v>
      </c>
      <c r="W95" s="3" t="s">
        <v>207</v>
      </c>
      <c r="X95" s="3">
        <v>24.99</v>
      </c>
      <c r="Y95" s="3">
        <v>24.99</v>
      </c>
      <c r="Z95" s="3">
        <v>24.99</v>
      </c>
      <c r="AA95" s="3">
        <v>0</v>
      </c>
      <c r="AB95" s="3" t="s">
        <v>187</v>
      </c>
      <c r="AC95" s="3">
        <v>3</v>
      </c>
      <c r="AD95" s="3">
        <v>23.64</v>
      </c>
      <c r="AE95" s="3">
        <v>7</v>
      </c>
      <c r="AF95" s="3">
        <v>0</v>
      </c>
      <c r="AG95" s="3">
        <v>87.777473</v>
      </c>
      <c r="AH95" s="3">
        <v>0</v>
      </c>
      <c r="AI95" s="3" t="s">
        <v>253</v>
      </c>
      <c r="AJ95" s="3" t="s">
        <v>174</v>
      </c>
    </row>
    <row r="96" spans="1:36">
      <c r="A96" s="6">
        <v>43288</v>
      </c>
      <c r="B96" s="3" t="s">
        <v>448</v>
      </c>
      <c r="C96" s="3" t="s">
        <v>449</v>
      </c>
      <c r="D96" s="3" t="s">
        <v>449</v>
      </c>
      <c r="E96" s="3" t="s">
        <v>450</v>
      </c>
      <c r="F96" s="3" t="s">
        <v>159</v>
      </c>
      <c r="G96" s="3">
        <v>4</v>
      </c>
      <c r="H96" s="3">
        <v>0</v>
      </c>
      <c r="I96" s="3">
        <v>0</v>
      </c>
      <c r="J96" s="3">
        <v>4</v>
      </c>
      <c r="K96" s="3">
        <v>0</v>
      </c>
      <c r="L96" s="3">
        <v>0</v>
      </c>
      <c r="M96" s="3">
        <v>0</v>
      </c>
      <c r="N96" s="3" t="s">
        <v>160</v>
      </c>
      <c r="O96" s="3">
        <v>0</v>
      </c>
      <c r="P96" s="3">
        <v>0</v>
      </c>
      <c r="Q96" s="3">
        <v>0</v>
      </c>
      <c r="R96" s="3">
        <v>0</v>
      </c>
      <c r="S96" s="3">
        <v>0</v>
      </c>
      <c r="T96" s="3">
        <v>0</v>
      </c>
      <c r="U96" s="3">
        <v>0</v>
      </c>
      <c r="V96" s="3">
        <v>0</v>
      </c>
      <c r="W96" s="3" t="s">
        <v>161</v>
      </c>
      <c r="X96" s="3">
        <v>9.5</v>
      </c>
      <c r="Y96" s="3">
        <v>9.5</v>
      </c>
      <c r="Z96" s="3">
        <v>9.5</v>
      </c>
      <c r="AA96" s="3">
        <v>0</v>
      </c>
      <c r="AB96" s="3" t="s">
        <v>162</v>
      </c>
      <c r="AC96" s="3">
        <v>0</v>
      </c>
      <c r="AD96" s="3">
        <v>9.5</v>
      </c>
      <c r="AE96" s="3">
        <v>63</v>
      </c>
      <c r="AF96" s="3">
        <v>0</v>
      </c>
      <c r="AG96" s="3">
        <v>3.437302</v>
      </c>
      <c r="AH96" s="3">
        <v>0</v>
      </c>
      <c r="AI96" s="3" t="s">
        <v>192</v>
      </c>
      <c r="AJ96" s="3" t="s">
        <v>164</v>
      </c>
    </row>
    <row r="97" spans="1:36">
      <c r="A97" s="6">
        <v>43288</v>
      </c>
      <c r="B97" s="3" t="s">
        <v>451</v>
      </c>
      <c r="C97" s="3" t="s">
        <v>452</v>
      </c>
      <c r="D97" s="3" t="s">
        <v>452</v>
      </c>
      <c r="E97" s="3" t="s">
        <v>453</v>
      </c>
      <c r="F97" s="3" t="s">
        <v>159</v>
      </c>
      <c r="G97" s="3">
        <v>15</v>
      </c>
      <c r="H97" s="3">
        <v>0</v>
      </c>
      <c r="I97" s="3">
        <v>0</v>
      </c>
      <c r="J97" s="3">
        <v>0</v>
      </c>
      <c r="K97" s="3">
        <v>0</v>
      </c>
      <c r="L97" s="3">
        <v>15</v>
      </c>
      <c r="M97" s="3">
        <v>0</v>
      </c>
      <c r="N97" s="3" t="s">
        <v>160</v>
      </c>
      <c r="O97" s="3">
        <v>15</v>
      </c>
      <c r="P97" s="3">
        <v>35.99</v>
      </c>
      <c r="Q97" s="3">
        <v>0</v>
      </c>
      <c r="R97" s="3">
        <v>0</v>
      </c>
      <c r="S97" s="3">
        <v>0</v>
      </c>
      <c r="T97" s="3">
        <v>1</v>
      </c>
      <c r="U97" s="3">
        <v>2</v>
      </c>
      <c r="V97" s="3">
        <v>2</v>
      </c>
      <c r="W97" s="3"/>
      <c r="X97" s="3">
        <v>14.98</v>
      </c>
      <c r="Y97" s="3">
        <v>14.98</v>
      </c>
      <c r="Z97" s="3">
        <v>14.98</v>
      </c>
      <c r="AA97" s="3">
        <v>0</v>
      </c>
      <c r="AB97" s="3" t="s">
        <v>230</v>
      </c>
      <c r="AC97" s="3">
        <v>0</v>
      </c>
      <c r="AD97" s="3">
        <v>14.98</v>
      </c>
      <c r="AE97" s="3">
        <v>0</v>
      </c>
      <c r="AF97" s="3">
        <v>15</v>
      </c>
      <c r="AG97" s="3">
        <v>405.319754</v>
      </c>
      <c r="AH97" s="3">
        <v>0.123076923076923</v>
      </c>
      <c r="AI97" s="3" t="s">
        <v>208</v>
      </c>
      <c r="AJ97" s="3" t="s">
        <v>174</v>
      </c>
    </row>
    <row r="98" spans="1:36">
      <c r="A98" s="6">
        <v>43288</v>
      </c>
      <c r="B98" s="3" t="s">
        <v>454</v>
      </c>
      <c r="C98" s="3" t="s">
        <v>455</v>
      </c>
      <c r="D98" s="3" t="s">
        <v>455</v>
      </c>
      <c r="E98" s="3" t="s">
        <v>26</v>
      </c>
      <c r="F98" s="3" t="s">
        <v>159</v>
      </c>
      <c r="G98" s="3">
        <v>6</v>
      </c>
      <c r="H98" s="3">
        <v>0</v>
      </c>
      <c r="I98" s="3">
        <v>0</v>
      </c>
      <c r="J98" s="3">
        <v>0</v>
      </c>
      <c r="K98" s="3">
        <v>4</v>
      </c>
      <c r="L98" s="3">
        <v>2</v>
      </c>
      <c r="M98" s="3">
        <v>0</v>
      </c>
      <c r="N98" s="3" t="s">
        <v>160</v>
      </c>
      <c r="O98" s="3">
        <v>6</v>
      </c>
      <c r="P98" s="3">
        <v>2.36</v>
      </c>
      <c r="Q98" s="3">
        <v>0</v>
      </c>
      <c r="R98" s="3">
        <v>0</v>
      </c>
      <c r="S98" s="3">
        <v>0</v>
      </c>
      <c r="T98" s="3">
        <v>0</v>
      </c>
      <c r="U98" s="3">
        <v>0</v>
      </c>
      <c r="V98" s="3">
        <v>0</v>
      </c>
      <c r="W98" s="3" t="s">
        <v>207</v>
      </c>
      <c r="X98" s="3">
        <v>25</v>
      </c>
      <c r="Y98" s="3">
        <v>25</v>
      </c>
      <c r="Z98" s="3">
        <v>25</v>
      </c>
      <c r="AA98" s="3">
        <v>0</v>
      </c>
      <c r="AB98" s="3" t="s">
        <v>187</v>
      </c>
      <c r="AC98" s="3">
        <v>3</v>
      </c>
      <c r="AD98" s="3">
        <v>23.4</v>
      </c>
      <c r="AE98" s="3">
        <v>56</v>
      </c>
      <c r="AF98" s="3">
        <v>0</v>
      </c>
      <c r="AG98" s="3">
        <v>104.4151</v>
      </c>
      <c r="AH98" s="3">
        <v>0</v>
      </c>
      <c r="AI98" s="3" t="s">
        <v>212</v>
      </c>
      <c r="AJ98" s="3" t="s">
        <v>174</v>
      </c>
    </row>
    <row r="99" spans="1:36">
      <c r="A99" s="6">
        <v>43288</v>
      </c>
      <c r="B99" s="3" t="s">
        <v>456</v>
      </c>
      <c r="C99" s="3" t="s">
        <v>457</v>
      </c>
      <c r="D99" s="3" t="s">
        <v>457</v>
      </c>
      <c r="E99" s="3" t="s">
        <v>458</v>
      </c>
      <c r="F99" s="3" t="s">
        <v>159</v>
      </c>
      <c r="G99" s="3">
        <v>14</v>
      </c>
      <c r="H99" s="3">
        <v>0</v>
      </c>
      <c r="I99" s="3">
        <v>0</v>
      </c>
      <c r="J99" s="3">
        <v>1</v>
      </c>
      <c r="K99" s="3">
        <v>0</v>
      </c>
      <c r="L99" s="3">
        <v>13</v>
      </c>
      <c r="M99" s="3">
        <v>0</v>
      </c>
      <c r="N99" s="3" t="s">
        <v>160</v>
      </c>
      <c r="O99" s="3">
        <v>13</v>
      </c>
      <c r="P99" s="3">
        <v>31.19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V99" s="3">
        <v>3</v>
      </c>
      <c r="W99" s="3" t="s">
        <v>207</v>
      </c>
      <c r="X99" s="3">
        <v>14.98</v>
      </c>
      <c r="Y99" s="3">
        <v>14.98</v>
      </c>
      <c r="Z99" s="3">
        <v>14.98</v>
      </c>
      <c r="AA99" s="3">
        <v>0</v>
      </c>
      <c r="AB99" s="3" t="s">
        <v>187</v>
      </c>
      <c r="AC99" s="3">
        <v>0</v>
      </c>
      <c r="AD99" s="3">
        <v>13.21</v>
      </c>
      <c r="AE99" s="3">
        <v>35</v>
      </c>
      <c r="AF99" s="3">
        <v>8</v>
      </c>
      <c r="AG99" s="3">
        <v>415.69145</v>
      </c>
      <c r="AH99" s="3">
        <v>0.203389830508474</v>
      </c>
      <c r="AI99" s="3" t="s">
        <v>208</v>
      </c>
      <c r="AJ99" s="3" t="s">
        <v>174</v>
      </c>
    </row>
    <row r="100" spans="1:36">
      <c r="A100" s="6">
        <v>43288</v>
      </c>
      <c r="B100" s="3" t="s">
        <v>459</v>
      </c>
      <c r="C100" s="3" t="s">
        <v>460</v>
      </c>
      <c r="D100" s="3" t="s">
        <v>460</v>
      </c>
      <c r="E100" s="3" t="s">
        <v>461</v>
      </c>
      <c r="F100" s="3" t="s">
        <v>159</v>
      </c>
      <c r="G100" s="3">
        <v>12</v>
      </c>
      <c r="H100" s="3">
        <v>0</v>
      </c>
      <c r="I100" s="3">
        <v>0</v>
      </c>
      <c r="J100" s="3">
        <v>1</v>
      </c>
      <c r="K100" s="3">
        <v>1</v>
      </c>
      <c r="L100" s="3">
        <v>10</v>
      </c>
      <c r="M100" s="3">
        <v>0</v>
      </c>
      <c r="N100" s="3" t="s">
        <v>160</v>
      </c>
      <c r="O100" s="3">
        <v>12</v>
      </c>
      <c r="P100" s="3">
        <v>28.79</v>
      </c>
      <c r="Q100" s="3">
        <v>0</v>
      </c>
      <c r="R100" s="3">
        <v>0</v>
      </c>
      <c r="S100" s="3">
        <v>0</v>
      </c>
      <c r="T100" s="3">
        <v>0</v>
      </c>
      <c r="U100" s="3">
        <v>0</v>
      </c>
      <c r="V100" s="3">
        <v>0</v>
      </c>
      <c r="W100" s="3" t="s">
        <v>207</v>
      </c>
      <c r="X100" s="3">
        <v>15.98</v>
      </c>
      <c r="Y100" s="3">
        <v>15.98</v>
      </c>
      <c r="Z100" s="3">
        <v>15.98</v>
      </c>
      <c r="AA100" s="3">
        <v>0</v>
      </c>
      <c r="AB100" s="3" t="s">
        <v>187</v>
      </c>
      <c r="AC100" s="3">
        <v>1</v>
      </c>
      <c r="AD100" s="3">
        <v>12.78</v>
      </c>
      <c r="AE100" s="3">
        <v>49</v>
      </c>
      <c r="AF100" s="3">
        <v>0</v>
      </c>
      <c r="AG100" s="3">
        <v>367.953978</v>
      </c>
      <c r="AH100" s="3">
        <v>0</v>
      </c>
      <c r="AI100" s="3" t="s">
        <v>208</v>
      </c>
      <c r="AJ100" s="3" t="s">
        <v>174</v>
      </c>
    </row>
    <row r="101" spans="1:36">
      <c r="A101" s="6">
        <v>43288</v>
      </c>
      <c r="B101" s="3" t="s">
        <v>462</v>
      </c>
      <c r="C101" s="3" t="s">
        <v>463</v>
      </c>
      <c r="D101" s="3" t="s">
        <v>463</v>
      </c>
      <c r="E101" s="3" t="s">
        <v>26</v>
      </c>
      <c r="F101" s="3" t="s">
        <v>159</v>
      </c>
      <c r="G101" s="3">
        <v>7</v>
      </c>
      <c r="H101" s="3">
        <v>0</v>
      </c>
      <c r="I101" s="3">
        <v>0</v>
      </c>
      <c r="J101" s="3">
        <v>0</v>
      </c>
      <c r="K101" s="3">
        <v>4</v>
      </c>
      <c r="L101" s="3">
        <v>3</v>
      </c>
      <c r="M101" s="3">
        <v>0</v>
      </c>
      <c r="N101" s="3" t="s">
        <v>160</v>
      </c>
      <c r="O101" s="3">
        <v>7</v>
      </c>
      <c r="P101" s="3">
        <v>2.75</v>
      </c>
      <c r="Q101" s="3">
        <v>0</v>
      </c>
      <c r="R101" s="3">
        <v>0</v>
      </c>
      <c r="S101" s="3">
        <v>0</v>
      </c>
      <c r="T101" s="3">
        <v>0</v>
      </c>
      <c r="U101" s="3">
        <v>0</v>
      </c>
      <c r="V101" s="3">
        <v>0</v>
      </c>
      <c r="W101" s="3" t="s">
        <v>207</v>
      </c>
      <c r="X101" s="3">
        <v>25</v>
      </c>
      <c r="Y101" s="3">
        <v>25</v>
      </c>
      <c r="Z101" s="3">
        <v>25</v>
      </c>
      <c r="AA101" s="3">
        <v>0</v>
      </c>
      <c r="AB101" s="3" t="s">
        <v>187</v>
      </c>
      <c r="AC101" s="3">
        <v>0</v>
      </c>
      <c r="AD101" s="3">
        <v>20</v>
      </c>
      <c r="AE101" s="3">
        <v>63</v>
      </c>
      <c r="AF101" s="3">
        <v>0</v>
      </c>
      <c r="AG101" s="3">
        <v>44.576836</v>
      </c>
      <c r="AH101" s="3">
        <v>0</v>
      </c>
      <c r="AI101" s="3" t="s">
        <v>212</v>
      </c>
      <c r="AJ101" s="3" t="s">
        <v>174</v>
      </c>
    </row>
    <row r="102" spans="1:36">
      <c r="A102" s="6">
        <v>43288</v>
      </c>
      <c r="B102" s="3" t="s">
        <v>44</v>
      </c>
      <c r="C102" s="3" t="s">
        <v>45</v>
      </c>
      <c r="D102" s="3" t="s">
        <v>45</v>
      </c>
      <c r="E102" s="3" t="s">
        <v>46</v>
      </c>
      <c r="F102" s="3" t="s">
        <v>159</v>
      </c>
      <c r="G102" s="3">
        <v>2</v>
      </c>
      <c r="H102" s="3">
        <v>0</v>
      </c>
      <c r="I102" s="3">
        <v>1</v>
      </c>
      <c r="J102" s="3">
        <v>0</v>
      </c>
      <c r="K102" s="3">
        <v>0</v>
      </c>
      <c r="L102" s="3">
        <v>1</v>
      </c>
      <c r="M102" s="3">
        <v>0</v>
      </c>
      <c r="N102" s="3" t="s">
        <v>160</v>
      </c>
      <c r="O102" s="3">
        <v>1</v>
      </c>
      <c r="P102" s="3">
        <v>1.35</v>
      </c>
      <c r="Q102" s="3">
        <v>0</v>
      </c>
      <c r="R102" s="3">
        <v>0</v>
      </c>
      <c r="S102" s="3">
        <v>0</v>
      </c>
      <c r="T102" s="3">
        <v>2</v>
      </c>
      <c r="U102" s="3">
        <v>4</v>
      </c>
      <c r="V102" s="3">
        <v>5</v>
      </c>
      <c r="W102" s="3"/>
      <c r="X102" s="3">
        <v>10</v>
      </c>
      <c r="Y102" s="3">
        <v>10</v>
      </c>
      <c r="Z102" s="3">
        <v>10</v>
      </c>
      <c r="AA102" s="3">
        <v>0</v>
      </c>
      <c r="AB102" s="3" t="s">
        <v>187</v>
      </c>
      <c r="AC102" s="3">
        <v>0</v>
      </c>
      <c r="AD102" s="3">
        <v>8</v>
      </c>
      <c r="AE102" s="3">
        <v>63</v>
      </c>
      <c r="AF102" s="3">
        <v>0</v>
      </c>
      <c r="AG102" s="3">
        <v>15.757432</v>
      </c>
      <c r="AH102" s="3">
        <v>1.25</v>
      </c>
      <c r="AI102" s="3" t="s">
        <v>183</v>
      </c>
      <c r="AJ102" s="3" t="s">
        <v>174</v>
      </c>
    </row>
    <row r="103" spans="1:36">
      <c r="A103" s="6">
        <v>43288</v>
      </c>
      <c r="B103" s="3" t="s">
        <v>464</v>
      </c>
      <c r="C103" s="3" t="s">
        <v>465</v>
      </c>
      <c r="D103" s="3" t="s">
        <v>465</v>
      </c>
      <c r="E103" s="3" t="s">
        <v>466</v>
      </c>
      <c r="F103" s="3" t="s">
        <v>159</v>
      </c>
      <c r="G103" s="3">
        <v>11</v>
      </c>
      <c r="H103" s="3">
        <v>0</v>
      </c>
      <c r="I103" s="3">
        <v>0</v>
      </c>
      <c r="J103" s="3">
        <v>0</v>
      </c>
      <c r="K103" s="3">
        <v>0</v>
      </c>
      <c r="L103" s="3">
        <v>11</v>
      </c>
      <c r="M103" s="3">
        <v>0</v>
      </c>
      <c r="N103" s="3" t="s">
        <v>160</v>
      </c>
      <c r="O103" s="3">
        <v>11</v>
      </c>
      <c r="P103" s="3">
        <v>14.81</v>
      </c>
      <c r="Q103" s="3">
        <v>0</v>
      </c>
      <c r="R103" s="3">
        <v>0</v>
      </c>
      <c r="S103" s="3">
        <v>0</v>
      </c>
      <c r="T103" s="3">
        <v>0</v>
      </c>
      <c r="U103" s="3">
        <v>2</v>
      </c>
      <c r="V103" s="3">
        <v>2</v>
      </c>
      <c r="W103" s="3" t="s">
        <v>207</v>
      </c>
      <c r="X103" s="3">
        <v>19.98</v>
      </c>
      <c r="Y103" s="3">
        <v>19.98</v>
      </c>
      <c r="Z103" s="3">
        <v>19.98</v>
      </c>
      <c r="AA103" s="3">
        <v>0</v>
      </c>
      <c r="AB103" s="3" t="s">
        <v>187</v>
      </c>
      <c r="AC103" s="3">
        <v>5</v>
      </c>
      <c r="AD103" s="3">
        <v>15.98</v>
      </c>
      <c r="AE103" s="3">
        <v>210</v>
      </c>
      <c r="AF103" s="3">
        <v>0</v>
      </c>
      <c r="AG103" s="3">
        <v>21.106787</v>
      </c>
      <c r="AH103" s="3">
        <v>0.166666666666666</v>
      </c>
      <c r="AI103" s="3" t="s">
        <v>183</v>
      </c>
      <c r="AJ103" s="3" t="s">
        <v>174</v>
      </c>
    </row>
    <row r="104" spans="1:36">
      <c r="A104" s="6">
        <v>43288</v>
      </c>
      <c r="B104" s="3" t="s">
        <v>467</v>
      </c>
      <c r="C104" s="3" t="s">
        <v>468</v>
      </c>
      <c r="D104" s="3" t="s">
        <v>468</v>
      </c>
      <c r="E104" s="3" t="s">
        <v>469</v>
      </c>
      <c r="F104" s="3" t="s">
        <v>159</v>
      </c>
      <c r="G104" s="3">
        <v>4</v>
      </c>
      <c r="H104" s="3">
        <v>0</v>
      </c>
      <c r="I104" s="3">
        <v>1</v>
      </c>
      <c r="J104" s="3">
        <v>0</v>
      </c>
      <c r="K104" s="3">
        <v>3</v>
      </c>
      <c r="L104" s="3">
        <v>0</v>
      </c>
      <c r="M104" s="3">
        <v>0</v>
      </c>
      <c r="N104" s="3" t="s">
        <v>160</v>
      </c>
      <c r="O104" s="3">
        <v>3</v>
      </c>
      <c r="P104" s="3">
        <v>4.1</v>
      </c>
      <c r="Q104" s="3">
        <v>0</v>
      </c>
      <c r="R104" s="3">
        <v>0</v>
      </c>
      <c r="S104" s="3">
        <v>1</v>
      </c>
      <c r="T104" s="3">
        <v>1</v>
      </c>
      <c r="U104" s="3">
        <v>2</v>
      </c>
      <c r="V104" s="3">
        <v>2</v>
      </c>
      <c r="W104" s="3"/>
      <c r="X104" s="3">
        <v>12</v>
      </c>
      <c r="Y104" s="3">
        <v>12</v>
      </c>
      <c r="Z104" s="3">
        <v>12</v>
      </c>
      <c r="AA104" s="3">
        <v>0</v>
      </c>
      <c r="AB104" s="3" t="s">
        <v>187</v>
      </c>
      <c r="AC104" s="3">
        <v>0</v>
      </c>
      <c r="AD104" s="3">
        <v>10.31</v>
      </c>
      <c r="AE104" s="3">
        <v>217</v>
      </c>
      <c r="AF104" s="3">
        <v>0</v>
      </c>
      <c r="AG104" s="3">
        <v>59.995722</v>
      </c>
      <c r="AH104" s="3">
        <v>0.421052631578947</v>
      </c>
      <c r="AI104" s="3" t="s">
        <v>241</v>
      </c>
      <c r="AJ104" s="3" t="s">
        <v>174</v>
      </c>
    </row>
    <row r="105" spans="1:36">
      <c r="A105" s="6">
        <v>43288</v>
      </c>
      <c r="B105" s="3" t="s">
        <v>470</v>
      </c>
      <c r="C105" s="3" t="s">
        <v>471</v>
      </c>
      <c r="D105" s="3" t="s">
        <v>471</v>
      </c>
      <c r="E105" s="3" t="s">
        <v>202</v>
      </c>
      <c r="F105" s="3" t="s">
        <v>159</v>
      </c>
      <c r="G105" s="3">
        <v>2</v>
      </c>
      <c r="H105" s="3">
        <v>0</v>
      </c>
      <c r="I105" s="3">
        <v>0</v>
      </c>
      <c r="J105" s="3">
        <v>0</v>
      </c>
      <c r="K105" s="3">
        <v>2</v>
      </c>
      <c r="L105" s="3">
        <v>0</v>
      </c>
      <c r="M105" s="3">
        <v>0</v>
      </c>
      <c r="N105" s="3" t="s">
        <v>160</v>
      </c>
      <c r="O105" s="3">
        <v>2</v>
      </c>
      <c r="P105" s="3">
        <v>0.2</v>
      </c>
      <c r="Q105" s="3">
        <v>0</v>
      </c>
      <c r="R105" s="3">
        <v>0</v>
      </c>
      <c r="S105" s="3">
        <v>0</v>
      </c>
      <c r="T105" s="3">
        <v>0</v>
      </c>
      <c r="U105" s="3">
        <v>0</v>
      </c>
      <c r="V105" s="3">
        <v>0</v>
      </c>
      <c r="W105" s="3" t="s">
        <v>207</v>
      </c>
      <c r="X105" s="3">
        <v>15</v>
      </c>
      <c r="Y105" s="3">
        <v>15</v>
      </c>
      <c r="Z105" s="3">
        <v>15</v>
      </c>
      <c r="AA105" s="3">
        <v>0</v>
      </c>
      <c r="AB105" s="3" t="s">
        <v>187</v>
      </c>
      <c r="AC105" s="3">
        <v>0</v>
      </c>
      <c r="AD105" s="3">
        <v>14.07</v>
      </c>
      <c r="AE105" s="3">
        <v>84</v>
      </c>
      <c r="AF105" s="3">
        <v>0</v>
      </c>
      <c r="AG105" s="3">
        <v>16.61529</v>
      </c>
      <c r="AH105" s="3">
        <v>0</v>
      </c>
      <c r="AI105" s="3" t="s">
        <v>203</v>
      </c>
      <c r="AJ105" s="3" t="s">
        <v>174</v>
      </c>
    </row>
    <row r="106" spans="1:36">
      <c r="A106" s="6">
        <v>43288</v>
      </c>
      <c r="B106" s="3" t="s">
        <v>472</v>
      </c>
      <c r="C106" s="3" t="s">
        <v>473</v>
      </c>
      <c r="D106" s="3" t="s">
        <v>473</v>
      </c>
      <c r="E106" s="3" t="s">
        <v>474</v>
      </c>
      <c r="F106" s="3" t="s">
        <v>159</v>
      </c>
      <c r="G106" s="3">
        <v>3</v>
      </c>
      <c r="H106" s="3">
        <v>0</v>
      </c>
      <c r="I106" s="3">
        <v>2</v>
      </c>
      <c r="J106" s="3">
        <v>1</v>
      </c>
      <c r="K106" s="3">
        <v>0</v>
      </c>
      <c r="L106" s="3">
        <v>0</v>
      </c>
      <c r="M106" s="3">
        <v>0</v>
      </c>
      <c r="N106" s="3" t="s">
        <v>160</v>
      </c>
      <c r="O106" s="3">
        <v>0</v>
      </c>
      <c r="P106" s="3">
        <v>0</v>
      </c>
      <c r="Q106" s="3">
        <v>0</v>
      </c>
      <c r="R106" s="3">
        <v>0</v>
      </c>
      <c r="S106" s="3">
        <v>1</v>
      </c>
      <c r="T106" s="3">
        <v>3</v>
      </c>
      <c r="U106" s="3">
        <v>4</v>
      </c>
      <c r="V106" s="3">
        <v>4</v>
      </c>
      <c r="W106" s="3"/>
      <c r="X106" s="3">
        <v>12.98</v>
      </c>
      <c r="Y106" s="3">
        <v>12.98</v>
      </c>
      <c r="Z106" s="3">
        <v>12.98</v>
      </c>
      <c r="AA106" s="3">
        <v>0</v>
      </c>
      <c r="AB106" s="3" t="s">
        <v>170</v>
      </c>
      <c r="AC106" s="3">
        <v>0</v>
      </c>
      <c r="AD106" s="3">
        <v>13.09</v>
      </c>
      <c r="AE106" s="3">
        <v>49</v>
      </c>
      <c r="AF106" s="3">
        <v>0</v>
      </c>
      <c r="AG106" s="3">
        <v>30.88712</v>
      </c>
      <c r="AH106" s="3">
        <v>0.888888888888888</v>
      </c>
      <c r="AI106" s="3" t="s">
        <v>183</v>
      </c>
      <c r="AJ106" s="3" t="s">
        <v>174</v>
      </c>
    </row>
    <row r="107" spans="1:36">
      <c r="A107" s="6">
        <v>43288</v>
      </c>
      <c r="B107" s="3" t="s">
        <v>81</v>
      </c>
      <c r="C107" s="3" t="s">
        <v>82</v>
      </c>
      <c r="D107" s="3" t="s">
        <v>82</v>
      </c>
      <c r="E107" s="3" t="s">
        <v>76</v>
      </c>
      <c r="F107" s="3" t="s">
        <v>159</v>
      </c>
      <c r="G107" s="3">
        <v>4</v>
      </c>
      <c r="H107" s="3">
        <v>0</v>
      </c>
      <c r="I107" s="3">
        <v>4</v>
      </c>
      <c r="J107" s="3">
        <v>0</v>
      </c>
      <c r="K107" s="3">
        <v>0</v>
      </c>
      <c r="L107" s="3">
        <v>0</v>
      </c>
      <c r="M107" s="3">
        <v>0</v>
      </c>
      <c r="N107" s="3" t="s">
        <v>160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8</v>
      </c>
      <c r="U107" s="3">
        <v>16</v>
      </c>
      <c r="V107" s="3">
        <v>25</v>
      </c>
      <c r="W107" s="3" t="s">
        <v>161</v>
      </c>
      <c r="X107" s="3">
        <v>9.9</v>
      </c>
      <c r="Y107" s="3">
        <v>9.9</v>
      </c>
      <c r="Z107" s="3">
        <v>9.9</v>
      </c>
      <c r="AA107" s="3">
        <v>0</v>
      </c>
      <c r="AB107" s="3" t="s">
        <v>162</v>
      </c>
      <c r="AC107" s="3">
        <v>4</v>
      </c>
      <c r="AD107" s="3">
        <v>9.9</v>
      </c>
      <c r="AE107" s="3">
        <v>0</v>
      </c>
      <c r="AF107" s="3">
        <v>0</v>
      </c>
      <c r="AG107" s="3">
        <v>0</v>
      </c>
      <c r="AH107" s="3">
        <v>2.94117647058823</v>
      </c>
      <c r="AI107" s="3" t="s">
        <v>475</v>
      </c>
      <c r="AJ107" s="3" t="s">
        <v>164</v>
      </c>
    </row>
    <row r="108" spans="1:36">
      <c r="A108" s="6">
        <v>43288</v>
      </c>
      <c r="B108" s="3" t="s">
        <v>476</v>
      </c>
      <c r="C108" s="3" t="s">
        <v>477</v>
      </c>
      <c r="D108" s="3" t="s">
        <v>477</v>
      </c>
      <c r="E108" s="3" t="s">
        <v>31</v>
      </c>
      <c r="F108" s="3" t="s">
        <v>159</v>
      </c>
      <c r="G108" s="3">
        <v>1</v>
      </c>
      <c r="H108" s="3">
        <v>0</v>
      </c>
      <c r="I108" s="3">
        <v>1</v>
      </c>
      <c r="J108" s="3">
        <v>0</v>
      </c>
      <c r="K108" s="3">
        <v>0</v>
      </c>
      <c r="L108" s="3">
        <v>0</v>
      </c>
      <c r="M108" s="3">
        <v>0</v>
      </c>
      <c r="N108" s="3" t="s">
        <v>160</v>
      </c>
      <c r="O108" s="3">
        <v>0</v>
      </c>
      <c r="P108" s="3">
        <v>0</v>
      </c>
      <c r="Q108" s="3">
        <v>0</v>
      </c>
      <c r="R108" s="3">
        <v>0</v>
      </c>
      <c r="S108" s="3">
        <v>0</v>
      </c>
      <c r="T108" s="3">
        <v>0</v>
      </c>
      <c r="U108" s="3">
        <v>0</v>
      </c>
      <c r="V108" s="3">
        <v>1</v>
      </c>
      <c r="W108" s="3" t="s">
        <v>207</v>
      </c>
      <c r="X108" s="3">
        <v>24.99</v>
      </c>
      <c r="Y108" s="3">
        <v>24.99</v>
      </c>
      <c r="Z108" s="3">
        <v>24.99</v>
      </c>
      <c r="AA108" s="3">
        <v>0</v>
      </c>
      <c r="AB108" s="3" t="s">
        <v>187</v>
      </c>
      <c r="AC108" s="3">
        <v>0</v>
      </c>
      <c r="AD108" s="3">
        <v>23.41</v>
      </c>
      <c r="AE108" s="3">
        <v>49</v>
      </c>
      <c r="AF108" s="3">
        <v>0</v>
      </c>
      <c r="AG108" s="3">
        <v>19.08503</v>
      </c>
      <c r="AH108" s="3">
        <v>1</v>
      </c>
      <c r="AI108" s="3" t="s">
        <v>253</v>
      </c>
      <c r="AJ108" s="3" t="s">
        <v>174</v>
      </c>
    </row>
    <row r="109" spans="1:36">
      <c r="A109" s="6">
        <v>43288</v>
      </c>
      <c r="B109" s="3" t="s">
        <v>478</v>
      </c>
      <c r="C109" s="3" t="s">
        <v>479</v>
      </c>
      <c r="D109" s="3" t="s">
        <v>479</v>
      </c>
      <c r="E109" s="3" t="s">
        <v>186</v>
      </c>
      <c r="F109" s="3" t="s">
        <v>159</v>
      </c>
      <c r="G109" s="3">
        <v>1</v>
      </c>
      <c r="H109" s="3">
        <v>0</v>
      </c>
      <c r="I109" s="3">
        <v>0</v>
      </c>
      <c r="J109" s="3">
        <v>0</v>
      </c>
      <c r="K109" s="3">
        <v>1</v>
      </c>
      <c r="L109" s="3">
        <v>0</v>
      </c>
      <c r="M109" s="3">
        <v>0</v>
      </c>
      <c r="N109" s="3" t="s">
        <v>160</v>
      </c>
      <c r="O109" s="3">
        <v>1</v>
      </c>
      <c r="P109" s="3">
        <v>0</v>
      </c>
      <c r="Q109" s="3">
        <v>0</v>
      </c>
      <c r="R109" s="3">
        <v>0</v>
      </c>
      <c r="S109" s="3">
        <v>0</v>
      </c>
      <c r="T109" s="3">
        <v>0</v>
      </c>
      <c r="U109" s="3">
        <v>0</v>
      </c>
      <c r="V109" s="3">
        <v>0</v>
      </c>
      <c r="W109" s="3" t="s">
        <v>161</v>
      </c>
      <c r="X109" s="3">
        <v>12</v>
      </c>
      <c r="Y109" s="3">
        <v>12</v>
      </c>
      <c r="Z109" s="3">
        <v>12</v>
      </c>
      <c r="AA109" s="3">
        <v>0</v>
      </c>
      <c r="AB109" s="3" t="s">
        <v>170</v>
      </c>
      <c r="AC109" s="3">
        <v>1</v>
      </c>
      <c r="AD109" s="3">
        <v>12</v>
      </c>
      <c r="AE109" s="3">
        <v>0</v>
      </c>
      <c r="AF109" s="3">
        <v>0</v>
      </c>
      <c r="AG109" s="3">
        <v>0</v>
      </c>
      <c r="AH109" s="3">
        <v>0</v>
      </c>
      <c r="AI109" s="3" t="s">
        <v>188</v>
      </c>
      <c r="AJ109" s="3" t="s">
        <v>164</v>
      </c>
    </row>
    <row r="110" spans="1:36">
      <c r="A110" s="6">
        <v>43288</v>
      </c>
      <c r="B110" s="3" t="s">
        <v>480</v>
      </c>
      <c r="C110" s="3" t="s">
        <v>481</v>
      </c>
      <c r="D110" s="3" t="s">
        <v>481</v>
      </c>
      <c r="E110" s="3" t="s">
        <v>186</v>
      </c>
      <c r="F110" s="3" t="s">
        <v>159</v>
      </c>
      <c r="G110" s="3">
        <v>3</v>
      </c>
      <c r="H110" s="3">
        <v>0</v>
      </c>
      <c r="I110" s="3">
        <v>0</v>
      </c>
      <c r="J110" s="3">
        <v>0</v>
      </c>
      <c r="K110" s="3">
        <v>3</v>
      </c>
      <c r="L110" s="3">
        <v>0</v>
      </c>
      <c r="M110" s="3">
        <v>0</v>
      </c>
      <c r="N110" s="3" t="s">
        <v>160</v>
      </c>
      <c r="O110" s="3">
        <v>3</v>
      </c>
      <c r="P110" s="3">
        <v>0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 t="s">
        <v>161</v>
      </c>
      <c r="X110" s="3">
        <v>12</v>
      </c>
      <c r="Y110" s="3">
        <v>12</v>
      </c>
      <c r="Z110" s="3">
        <v>12</v>
      </c>
      <c r="AA110" s="3">
        <v>0</v>
      </c>
      <c r="AB110" s="3" t="s">
        <v>187</v>
      </c>
      <c r="AC110" s="3">
        <v>0</v>
      </c>
      <c r="AD110" s="3">
        <v>9.6</v>
      </c>
      <c r="AE110" s="3">
        <v>63</v>
      </c>
      <c r="AF110" s="3">
        <v>0</v>
      </c>
      <c r="AG110" s="3">
        <v>2.907135</v>
      </c>
      <c r="AH110" s="3">
        <v>0</v>
      </c>
      <c r="AI110" s="3" t="s">
        <v>188</v>
      </c>
      <c r="AJ110" s="3" t="s">
        <v>164</v>
      </c>
    </row>
    <row r="111" spans="1:36">
      <c r="A111" s="6">
        <v>43288</v>
      </c>
      <c r="B111" s="3" t="s">
        <v>482</v>
      </c>
      <c r="C111" s="3" t="s">
        <v>483</v>
      </c>
      <c r="D111" s="3" t="s">
        <v>483</v>
      </c>
      <c r="E111" s="3" t="s">
        <v>76</v>
      </c>
      <c r="F111" s="3" t="s">
        <v>159</v>
      </c>
      <c r="G111" s="3">
        <v>6</v>
      </c>
      <c r="H111" s="3">
        <v>0</v>
      </c>
      <c r="I111" s="3">
        <v>5</v>
      </c>
      <c r="J111" s="3">
        <v>1</v>
      </c>
      <c r="K111" s="3">
        <v>0</v>
      </c>
      <c r="L111" s="3">
        <v>0</v>
      </c>
      <c r="M111" s="3">
        <v>0</v>
      </c>
      <c r="N111" s="3" t="s">
        <v>160</v>
      </c>
      <c r="O111" s="3">
        <v>0</v>
      </c>
      <c r="P111" s="3">
        <v>0</v>
      </c>
      <c r="Q111" s="3">
        <v>0</v>
      </c>
      <c r="R111" s="3">
        <v>0</v>
      </c>
      <c r="S111" s="3">
        <v>1</v>
      </c>
      <c r="T111" s="3">
        <v>1</v>
      </c>
      <c r="U111" s="3">
        <v>4</v>
      </c>
      <c r="V111" s="3">
        <v>7</v>
      </c>
      <c r="W111" s="3" t="s">
        <v>161</v>
      </c>
      <c r="X111" s="3">
        <v>9.9</v>
      </c>
      <c r="Y111" s="3">
        <v>9.9</v>
      </c>
      <c r="Z111" s="3">
        <v>9.9</v>
      </c>
      <c r="AA111" s="3">
        <v>0</v>
      </c>
      <c r="AB111" s="3" t="s">
        <v>162</v>
      </c>
      <c r="AC111" s="3">
        <v>1</v>
      </c>
      <c r="AD111" s="3">
        <v>5.98</v>
      </c>
      <c r="AE111" s="3">
        <v>35</v>
      </c>
      <c r="AF111" s="3">
        <v>0</v>
      </c>
      <c r="AG111" s="3">
        <v>16.402378</v>
      </c>
      <c r="AH111" s="3">
        <v>1.07692307692307</v>
      </c>
      <c r="AI111" s="3" t="s">
        <v>484</v>
      </c>
      <c r="AJ111" s="3" t="s">
        <v>164</v>
      </c>
    </row>
    <row r="112" spans="1:36">
      <c r="A112" s="6">
        <v>43288</v>
      </c>
      <c r="B112" s="3" t="s">
        <v>485</v>
      </c>
      <c r="C112" s="3" t="s">
        <v>486</v>
      </c>
      <c r="D112" s="3" t="s">
        <v>486</v>
      </c>
      <c r="E112" s="3" t="s">
        <v>31</v>
      </c>
      <c r="F112" s="3" t="s">
        <v>159</v>
      </c>
      <c r="G112" s="3">
        <v>4</v>
      </c>
      <c r="H112" s="3">
        <v>0</v>
      </c>
      <c r="I112" s="3">
        <v>0</v>
      </c>
      <c r="J112" s="3">
        <v>0</v>
      </c>
      <c r="K112" s="3">
        <v>4</v>
      </c>
      <c r="L112" s="3">
        <v>0</v>
      </c>
      <c r="M112" s="3">
        <v>0</v>
      </c>
      <c r="N112" s="3" t="s">
        <v>160</v>
      </c>
      <c r="O112" s="3">
        <v>4</v>
      </c>
      <c r="P112" s="3">
        <v>2.95</v>
      </c>
      <c r="Q112" s="3">
        <v>0</v>
      </c>
      <c r="R112" s="3">
        <v>0</v>
      </c>
      <c r="S112" s="3">
        <v>0</v>
      </c>
      <c r="T112" s="3">
        <v>0</v>
      </c>
      <c r="U112" s="3">
        <v>0</v>
      </c>
      <c r="V112" s="3">
        <v>0</v>
      </c>
      <c r="W112" s="3" t="s">
        <v>207</v>
      </c>
      <c r="X112" s="3">
        <v>24.99</v>
      </c>
      <c r="Y112" s="3">
        <v>24.99</v>
      </c>
      <c r="Z112" s="3">
        <v>24.99</v>
      </c>
      <c r="AA112" s="3">
        <v>0</v>
      </c>
      <c r="AB112" s="3" t="s">
        <v>187</v>
      </c>
      <c r="AC112" s="3">
        <v>0</v>
      </c>
      <c r="AD112" s="3">
        <v>21.46</v>
      </c>
      <c r="AE112" s="3">
        <v>287</v>
      </c>
      <c r="AF112" s="3">
        <v>0</v>
      </c>
      <c r="AG112" s="3">
        <v>68.875147</v>
      </c>
      <c r="AH112" s="3">
        <v>0</v>
      </c>
      <c r="AI112" s="3" t="s">
        <v>253</v>
      </c>
      <c r="AJ112" s="3" t="s">
        <v>174</v>
      </c>
    </row>
    <row r="113" spans="1:36">
      <c r="A113" s="6">
        <v>43288</v>
      </c>
      <c r="B113" s="3" t="s">
        <v>74</v>
      </c>
      <c r="C113" s="3" t="s">
        <v>75</v>
      </c>
      <c r="D113" s="3" t="s">
        <v>75</v>
      </c>
      <c r="E113" s="3" t="s">
        <v>76</v>
      </c>
      <c r="F113" s="3" t="s">
        <v>159</v>
      </c>
      <c r="G113" s="3">
        <v>5</v>
      </c>
      <c r="H113" s="3">
        <v>0</v>
      </c>
      <c r="I113" s="3">
        <v>5</v>
      </c>
      <c r="J113" s="3">
        <v>0</v>
      </c>
      <c r="K113" s="3">
        <v>0</v>
      </c>
      <c r="L113" s="3">
        <v>0</v>
      </c>
      <c r="M113" s="3">
        <v>0</v>
      </c>
      <c r="N113" s="3" t="s">
        <v>160</v>
      </c>
      <c r="O113" s="3">
        <v>0</v>
      </c>
      <c r="P113" s="3">
        <v>0</v>
      </c>
      <c r="Q113" s="3">
        <v>0</v>
      </c>
      <c r="R113" s="3">
        <v>0</v>
      </c>
      <c r="S113" s="3">
        <v>0</v>
      </c>
      <c r="T113" s="3">
        <v>6</v>
      </c>
      <c r="U113" s="3">
        <v>17</v>
      </c>
      <c r="V113" s="3">
        <v>21</v>
      </c>
      <c r="W113" s="3" t="s">
        <v>161</v>
      </c>
      <c r="X113" s="3">
        <v>9.9</v>
      </c>
      <c r="Y113" s="3">
        <v>9.9</v>
      </c>
      <c r="Z113" s="3">
        <v>9.9</v>
      </c>
      <c r="AA113" s="3">
        <v>0</v>
      </c>
      <c r="AB113" s="3" t="s">
        <v>162</v>
      </c>
      <c r="AC113" s="3">
        <v>5</v>
      </c>
      <c r="AD113" s="3">
        <v>9.9</v>
      </c>
      <c r="AE113" s="3">
        <v>0</v>
      </c>
      <c r="AF113" s="3">
        <v>0</v>
      </c>
      <c r="AG113" s="3">
        <v>0</v>
      </c>
      <c r="AH113" s="3">
        <v>2.54545454545454</v>
      </c>
      <c r="AI113" s="3" t="s">
        <v>487</v>
      </c>
      <c r="AJ113" s="3" t="s">
        <v>164</v>
      </c>
    </row>
    <row r="114" spans="1:36">
      <c r="A114" s="6">
        <v>43288</v>
      </c>
      <c r="B114" s="3" t="s">
        <v>488</v>
      </c>
      <c r="C114" s="3" t="s">
        <v>489</v>
      </c>
      <c r="D114" s="3" t="s">
        <v>489</v>
      </c>
      <c r="E114" s="3" t="s">
        <v>202</v>
      </c>
      <c r="F114" s="3" t="s">
        <v>159</v>
      </c>
      <c r="G114" s="3">
        <v>4</v>
      </c>
      <c r="H114" s="3">
        <v>0</v>
      </c>
      <c r="I114" s="3">
        <v>1</v>
      </c>
      <c r="J114" s="3">
        <v>0</v>
      </c>
      <c r="K114" s="3">
        <v>3</v>
      </c>
      <c r="L114" s="3">
        <v>0</v>
      </c>
      <c r="M114" s="3">
        <v>0</v>
      </c>
      <c r="N114" s="3" t="s">
        <v>160</v>
      </c>
      <c r="O114" s="3">
        <v>3</v>
      </c>
      <c r="P114" s="3">
        <v>0.3</v>
      </c>
      <c r="Q114" s="3">
        <v>0</v>
      </c>
      <c r="R114" s="3">
        <v>0</v>
      </c>
      <c r="S114" s="3">
        <v>0</v>
      </c>
      <c r="T114" s="3">
        <v>2</v>
      </c>
      <c r="U114" s="3">
        <v>2</v>
      </c>
      <c r="V114" s="3">
        <v>3</v>
      </c>
      <c r="W114" s="3"/>
      <c r="X114" s="3">
        <v>10</v>
      </c>
      <c r="Y114" s="3">
        <v>10</v>
      </c>
      <c r="Z114" s="3">
        <v>10</v>
      </c>
      <c r="AA114" s="3">
        <v>0</v>
      </c>
      <c r="AB114" s="3" t="s">
        <v>230</v>
      </c>
      <c r="AC114" s="3">
        <v>0</v>
      </c>
      <c r="AD114" s="3">
        <v>10</v>
      </c>
      <c r="AE114" s="3">
        <v>0</v>
      </c>
      <c r="AF114" s="3">
        <v>4</v>
      </c>
      <c r="AG114" s="3">
        <v>6.891733</v>
      </c>
      <c r="AH114" s="3">
        <v>0.6</v>
      </c>
      <c r="AI114" s="3" t="s">
        <v>203</v>
      </c>
      <c r="AJ114" s="3" t="s">
        <v>174</v>
      </c>
    </row>
    <row r="115" spans="1:36">
      <c r="A115" s="6">
        <v>43288</v>
      </c>
      <c r="B115" s="3" t="s">
        <v>490</v>
      </c>
      <c r="C115" s="3" t="s">
        <v>491</v>
      </c>
      <c r="D115" s="3" t="s">
        <v>492</v>
      </c>
      <c r="E115" s="3" t="s">
        <v>493</v>
      </c>
      <c r="F115" s="3" t="s">
        <v>159</v>
      </c>
      <c r="G115" s="3">
        <v>13</v>
      </c>
      <c r="H115" s="3">
        <v>0</v>
      </c>
      <c r="I115" s="3">
        <v>13</v>
      </c>
      <c r="J115" s="3">
        <v>0</v>
      </c>
      <c r="K115" s="3">
        <v>0</v>
      </c>
      <c r="L115" s="3">
        <v>0</v>
      </c>
      <c r="M115" s="3">
        <v>0</v>
      </c>
      <c r="N115" s="3" t="s">
        <v>160</v>
      </c>
      <c r="O115" s="3">
        <v>0</v>
      </c>
      <c r="P115" s="3">
        <v>0</v>
      </c>
      <c r="Q115" s="3">
        <v>0</v>
      </c>
      <c r="R115" s="3">
        <v>0</v>
      </c>
      <c r="S115" s="3">
        <v>3</v>
      </c>
      <c r="T115" s="3">
        <v>6</v>
      </c>
      <c r="U115" s="3">
        <v>6</v>
      </c>
      <c r="V115" s="3">
        <v>6</v>
      </c>
      <c r="W115" s="3"/>
      <c r="X115" s="3">
        <v>15.99</v>
      </c>
      <c r="Y115" s="3">
        <v>13.99</v>
      </c>
      <c r="Z115" s="3">
        <v>13</v>
      </c>
      <c r="AA115" s="3">
        <v>0</v>
      </c>
      <c r="AB115" s="3" t="s">
        <v>170</v>
      </c>
      <c r="AC115" s="3">
        <v>15</v>
      </c>
      <c r="AD115" s="3">
        <v>13.99</v>
      </c>
      <c r="AE115" s="3">
        <v>0</v>
      </c>
      <c r="AF115" s="3">
        <v>0</v>
      </c>
      <c r="AG115" s="3">
        <v>0</v>
      </c>
      <c r="AH115" s="3">
        <v>0.461538461538461</v>
      </c>
      <c r="AI115" s="3" t="s">
        <v>192</v>
      </c>
      <c r="AJ115" s="3" t="s">
        <v>164</v>
      </c>
    </row>
    <row r="116" spans="1:36">
      <c r="A116" s="6">
        <v>43288</v>
      </c>
      <c r="B116" s="3" t="s">
        <v>494</v>
      </c>
      <c r="C116" s="3" t="s">
        <v>495</v>
      </c>
      <c r="D116" s="3" t="s">
        <v>495</v>
      </c>
      <c r="E116" s="3" t="s">
        <v>496</v>
      </c>
      <c r="F116" s="3" t="s">
        <v>159</v>
      </c>
      <c r="G116" s="3">
        <v>11</v>
      </c>
      <c r="H116" s="3">
        <v>0</v>
      </c>
      <c r="I116" s="3">
        <v>0</v>
      </c>
      <c r="J116" s="3">
        <v>0</v>
      </c>
      <c r="K116" s="3">
        <v>11</v>
      </c>
      <c r="L116" s="3">
        <v>0</v>
      </c>
      <c r="M116" s="3">
        <v>0</v>
      </c>
      <c r="N116" s="3" t="s">
        <v>160</v>
      </c>
      <c r="O116" s="3">
        <v>11</v>
      </c>
      <c r="P116" s="3">
        <v>18.06</v>
      </c>
      <c r="Q116" s="3">
        <v>0</v>
      </c>
      <c r="R116" s="3">
        <v>0</v>
      </c>
      <c r="S116" s="3">
        <v>0</v>
      </c>
      <c r="T116" s="3">
        <v>1</v>
      </c>
      <c r="U116" s="3">
        <v>4</v>
      </c>
      <c r="V116" s="3">
        <v>4</v>
      </c>
      <c r="W116" s="3"/>
      <c r="X116" s="3">
        <v>10.98</v>
      </c>
      <c r="Y116" s="3">
        <v>10.98</v>
      </c>
      <c r="Z116" s="3">
        <v>10.98</v>
      </c>
      <c r="AA116" s="3">
        <v>0</v>
      </c>
      <c r="AB116" s="3" t="s">
        <v>170</v>
      </c>
      <c r="AC116" s="3">
        <v>11</v>
      </c>
      <c r="AD116" s="3">
        <v>10.98</v>
      </c>
      <c r="AE116" s="3">
        <v>0</v>
      </c>
      <c r="AF116" s="3">
        <v>0</v>
      </c>
      <c r="AG116" s="3">
        <v>0</v>
      </c>
      <c r="AH116" s="3">
        <v>0.30188679245283</v>
      </c>
      <c r="AI116" s="3" t="s">
        <v>497</v>
      </c>
      <c r="AJ116" s="3" t="s">
        <v>174</v>
      </c>
    </row>
    <row r="117" spans="1:36">
      <c r="A117" s="6">
        <v>43288</v>
      </c>
      <c r="B117" s="3" t="s">
        <v>498</v>
      </c>
      <c r="C117" s="3" t="s">
        <v>499</v>
      </c>
      <c r="D117" s="3" t="s">
        <v>499</v>
      </c>
      <c r="E117" s="3" t="s">
        <v>500</v>
      </c>
      <c r="F117" s="3" t="s">
        <v>159</v>
      </c>
      <c r="G117" s="3">
        <v>5</v>
      </c>
      <c r="H117" s="3">
        <v>0</v>
      </c>
      <c r="I117" s="3">
        <v>0</v>
      </c>
      <c r="J117" s="3">
        <v>0</v>
      </c>
      <c r="K117" s="3">
        <v>5</v>
      </c>
      <c r="L117" s="3">
        <v>0</v>
      </c>
      <c r="M117" s="3">
        <v>0</v>
      </c>
      <c r="N117" s="3" t="s">
        <v>160</v>
      </c>
      <c r="O117" s="3">
        <v>5</v>
      </c>
      <c r="P117" s="3">
        <v>6.83</v>
      </c>
      <c r="Q117" s="3">
        <v>0</v>
      </c>
      <c r="R117" s="3">
        <v>0</v>
      </c>
      <c r="S117" s="3">
        <v>0</v>
      </c>
      <c r="T117" s="3">
        <v>0</v>
      </c>
      <c r="U117" s="3">
        <v>0</v>
      </c>
      <c r="V117" s="3">
        <v>0</v>
      </c>
      <c r="W117" s="3" t="s">
        <v>207</v>
      </c>
      <c r="X117" s="3">
        <v>12</v>
      </c>
      <c r="Y117" s="3">
        <v>12</v>
      </c>
      <c r="Z117" s="3">
        <v>12</v>
      </c>
      <c r="AA117" s="3">
        <v>0</v>
      </c>
      <c r="AB117" s="3" t="s">
        <v>187</v>
      </c>
      <c r="AC117" s="3">
        <v>0</v>
      </c>
      <c r="AD117" s="3">
        <v>9.6</v>
      </c>
      <c r="AE117" s="3">
        <v>63</v>
      </c>
      <c r="AF117" s="3">
        <v>0</v>
      </c>
      <c r="AG117" s="3">
        <v>80.579982</v>
      </c>
      <c r="AH117" s="3">
        <v>0</v>
      </c>
      <c r="AI117" s="3" t="s">
        <v>241</v>
      </c>
      <c r="AJ117" s="3" t="s">
        <v>174</v>
      </c>
    </row>
    <row r="118" spans="1:36">
      <c r="A118" s="6">
        <v>43288</v>
      </c>
      <c r="B118" s="3" t="s">
        <v>501</v>
      </c>
      <c r="C118" s="3" t="s">
        <v>502</v>
      </c>
      <c r="D118" s="3" t="s">
        <v>502</v>
      </c>
      <c r="E118" s="3" t="s">
        <v>503</v>
      </c>
      <c r="F118" s="3" t="s">
        <v>159</v>
      </c>
      <c r="G118" s="3">
        <v>4</v>
      </c>
      <c r="H118" s="3">
        <v>0</v>
      </c>
      <c r="I118" s="3">
        <v>0</v>
      </c>
      <c r="J118" s="3">
        <v>4</v>
      </c>
      <c r="K118" s="3">
        <v>0</v>
      </c>
      <c r="L118" s="3">
        <v>0</v>
      </c>
      <c r="M118" s="3">
        <v>0</v>
      </c>
      <c r="N118" s="3" t="s">
        <v>160</v>
      </c>
      <c r="O118" s="3">
        <v>0</v>
      </c>
      <c r="P118" s="3">
        <v>0</v>
      </c>
      <c r="Q118" s="3">
        <v>0</v>
      </c>
      <c r="R118" s="3">
        <v>0</v>
      </c>
      <c r="S118" s="3">
        <v>0</v>
      </c>
      <c r="T118" s="3">
        <v>0</v>
      </c>
      <c r="U118" s="3">
        <v>0</v>
      </c>
      <c r="V118" s="3">
        <v>0</v>
      </c>
      <c r="W118" s="3" t="s">
        <v>161</v>
      </c>
      <c r="X118" s="3">
        <v>9.5</v>
      </c>
      <c r="Y118" s="3">
        <v>9.5</v>
      </c>
      <c r="Z118" s="3">
        <v>9.5</v>
      </c>
      <c r="AA118" s="3">
        <v>0</v>
      </c>
      <c r="AB118" s="3" t="s">
        <v>162</v>
      </c>
      <c r="AC118" s="3">
        <v>0</v>
      </c>
      <c r="AD118" s="3">
        <v>9.5</v>
      </c>
      <c r="AE118" s="3">
        <v>63</v>
      </c>
      <c r="AF118" s="3">
        <v>0</v>
      </c>
      <c r="AG118" s="3">
        <v>3.437302</v>
      </c>
      <c r="AH118" s="3">
        <v>0</v>
      </c>
      <c r="AI118" s="3" t="s">
        <v>192</v>
      </c>
      <c r="AJ118" s="3" t="s">
        <v>164</v>
      </c>
    </row>
    <row r="119" spans="1:36">
      <c r="A119" s="6">
        <v>43288</v>
      </c>
      <c r="B119" s="3" t="s">
        <v>504</v>
      </c>
      <c r="C119" s="3" t="s">
        <v>505</v>
      </c>
      <c r="D119" s="3" t="s">
        <v>505</v>
      </c>
      <c r="E119" s="3" t="s">
        <v>506</v>
      </c>
      <c r="F119" s="3" t="s">
        <v>159</v>
      </c>
      <c r="G119" s="3">
        <v>2</v>
      </c>
      <c r="H119" s="3">
        <v>0</v>
      </c>
      <c r="I119" s="3">
        <v>1</v>
      </c>
      <c r="J119" s="3">
        <v>0</v>
      </c>
      <c r="K119" s="3">
        <v>1</v>
      </c>
      <c r="L119" s="3">
        <v>0</v>
      </c>
      <c r="M119" s="3">
        <v>0</v>
      </c>
      <c r="N119" s="3" t="s">
        <v>160</v>
      </c>
      <c r="O119" s="3">
        <v>1</v>
      </c>
      <c r="P119" s="3">
        <v>1.5</v>
      </c>
      <c r="Q119" s="3">
        <v>0</v>
      </c>
      <c r="R119" s="3">
        <v>0</v>
      </c>
      <c r="S119" s="3">
        <v>1</v>
      </c>
      <c r="T119" s="3">
        <v>5</v>
      </c>
      <c r="U119" s="3">
        <v>5</v>
      </c>
      <c r="V119" s="3">
        <v>5</v>
      </c>
      <c r="W119" s="3"/>
      <c r="X119" s="3">
        <v>15.98</v>
      </c>
      <c r="Y119" s="3">
        <v>15.98</v>
      </c>
      <c r="Z119" s="3">
        <v>15.98</v>
      </c>
      <c r="AA119" s="3">
        <v>0</v>
      </c>
      <c r="AB119" s="3" t="s">
        <v>170</v>
      </c>
      <c r="AC119" s="3">
        <v>2</v>
      </c>
      <c r="AD119" s="3">
        <v>15.98</v>
      </c>
      <c r="AE119" s="3">
        <v>0</v>
      </c>
      <c r="AF119" s="3">
        <v>0</v>
      </c>
      <c r="AG119" s="3">
        <v>0</v>
      </c>
      <c r="AH119" s="3">
        <v>1</v>
      </c>
      <c r="AI119" s="3" t="s">
        <v>507</v>
      </c>
      <c r="AJ119" s="3" t="s">
        <v>174</v>
      </c>
    </row>
    <row r="120" spans="1:36">
      <c r="A120" s="6">
        <v>43288</v>
      </c>
      <c r="B120" s="3" t="s">
        <v>508</v>
      </c>
      <c r="C120" s="3" t="s">
        <v>509</v>
      </c>
      <c r="D120" s="3" t="s">
        <v>509</v>
      </c>
      <c r="E120" s="3" t="s">
        <v>510</v>
      </c>
      <c r="F120" s="3" t="s">
        <v>159</v>
      </c>
      <c r="G120" s="3">
        <v>2</v>
      </c>
      <c r="H120" s="3">
        <v>0</v>
      </c>
      <c r="I120" s="3">
        <v>0</v>
      </c>
      <c r="J120" s="3">
        <v>2</v>
      </c>
      <c r="K120" s="3">
        <v>0</v>
      </c>
      <c r="L120" s="3">
        <v>0</v>
      </c>
      <c r="M120" s="3">
        <v>0</v>
      </c>
      <c r="N120" s="3" t="s">
        <v>160</v>
      </c>
      <c r="O120" s="3">
        <v>0</v>
      </c>
      <c r="P120" s="3">
        <v>0</v>
      </c>
      <c r="Q120" s="3">
        <v>0</v>
      </c>
      <c r="R120" s="3">
        <v>0</v>
      </c>
      <c r="S120" s="3">
        <v>0</v>
      </c>
      <c r="T120" s="3">
        <v>0</v>
      </c>
      <c r="U120" s="3">
        <v>0</v>
      </c>
      <c r="V120" s="3">
        <v>1</v>
      </c>
      <c r="W120" s="3" t="s">
        <v>161</v>
      </c>
      <c r="X120" s="3">
        <v>9.5</v>
      </c>
      <c r="Y120" s="3">
        <v>9.5</v>
      </c>
      <c r="Z120" s="3">
        <v>9.5</v>
      </c>
      <c r="AA120" s="3">
        <v>0</v>
      </c>
      <c r="AB120" s="3" t="s">
        <v>162</v>
      </c>
      <c r="AC120" s="3">
        <v>2</v>
      </c>
      <c r="AD120" s="3">
        <v>9.5</v>
      </c>
      <c r="AE120" s="3">
        <v>0</v>
      </c>
      <c r="AF120" s="3">
        <v>0</v>
      </c>
      <c r="AG120" s="3">
        <v>0</v>
      </c>
      <c r="AH120" s="3">
        <v>0.444444444444444</v>
      </c>
      <c r="AI120" s="3" t="s">
        <v>196</v>
      </c>
      <c r="AJ120" s="3" t="s">
        <v>164</v>
      </c>
    </row>
    <row r="121" spans="1:36">
      <c r="A121" s="6">
        <v>43288</v>
      </c>
      <c r="B121" s="3" t="s">
        <v>511</v>
      </c>
      <c r="C121" s="3" t="s">
        <v>512</v>
      </c>
      <c r="D121" s="3" t="s">
        <v>512</v>
      </c>
      <c r="E121" s="3" t="s">
        <v>202</v>
      </c>
      <c r="F121" s="3" t="s">
        <v>159</v>
      </c>
      <c r="G121" s="3">
        <v>5</v>
      </c>
      <c r="H121" s="3">
        <v>0</v>
      </c>
      <c r="I121" s="3">
        <v>0</v>
      </c>
      <c r="J121" s="3">
        <v>0</v>
      </c>
      <c r="K121" s="3">
        <v>4</v>
      </c>
      <c r="L121" s="3">
        <v>1</v>
      </c>
      <c r="M121" s="3">
        <v>0</v>
      </c>
      <c r="N121" s="3" t="s">
        <v>160</v>
      </c>
      <c r="O121" s="3">
        <v>5</v>
      </c>
      <c r="P121" s="3">
        <v>0.5</v>
      </c>
      <c r="Q121" s="3">
        <v>0</v>
      </c>
      <c r="R121" s="3">
        <v>0</v>
      </c>
      <c r="S121" s="3">
        <v>0</v>
      </c>
      <c r="T121" s="3">
        <v>1</v>
      </c>
      <c r="U121" s="3">
        <v>2</v>
      </c>
      <c r="V121" s="3">
        <v>2</v>
      </c>
      <c r="W121" s="3"/>
      <c r="X121" s="3">
        <v>15</v>
      </c>
      <c r="Y121" s="3">
        <v>15</v>
      </c>
      <c r="Z121" s="3">
        <v>15</v>
      </c>
      <c r="AA121" s="3">
        <v>0</v>
      </c>
      <c r="AB121" s="3" t="s">
        <v>187</v>
      </c>
      <c r="AC121" s="3">
        <v>1</v>
      </c>
      <c r="AD121" s="3">
        <v>10</v>
      </c>
      <c r="AE121" s="3">
        <v>196</v>
      </c>
      <c r="AF121" s="3">
        <v>0</v>
      </c>
      <c r="AG121" s="3">
        <v>2.909141</v>
      </c>
      <c r="AH121" s="3">
        <v>0.32</v>
      </c>
      <c r="AI121" s="3" t="s">
        <v>203</v>
      </c>
      <c r="AJ121" s="3" t="s">
        <v>174</v>
      </c>
    </row>
    <row r="122" spans="1:36">
      <c r="A122" s="6">
        <v>43288</v>
      </c>
      <c r="B122" s="3" t="s">
        <v>513</v>
      </c>
      <c r="C122" s="3" t="s">
        <v>514</v>
      </c>
      <c r="D122" s="3" t="s">
        <v>514</v>
      </c>
      <c r="E122" s="3" t="s">
        <v>515</v>
      </c>
      <c r="F122" s="3" t="s">
        <v>159</v>
      </c>
      <c r="G122" s="3">
        <v>3</v>
      </c>
      <c r="H122" s="3">
        <v>0</v>
      </c>
      <c r="I122" s="3">
        <v>0</v>
      </c>
      <c r="J122" s="3">
        <v>0</v>
      </c>
      <c r="K122" s="3">
        <v>3</v>
      </c>
      <c r="L122" s="3">
        <v>0</v>
      </c>
      <c r="M122" s="3">
        <v>0</v>
      </c>
      <c r="N122" s="3" t="s">
        <v>160</v>
      </c>
      <c r="O122" s="3">
        <v>3</v>
      </c>
      <c r="P122" s="3">
        <v>4.1</v>
      </c>
      <c r="Q122" s="3">
        <v>0</v>
      </c>
      <c r="R122" s="3">
        <v>0</v>
      </c>
      <c r="S122" s="3">
        <v>0</v>
      </c>
      <c r="T122" s="3">
        <v>1</v>
      </c>
      <c r="U122" s="3">
        <v>1</v>
      </c>
      <c r="V122" s="3">
        <v>1</v>
      </c>
      <c r="W122" s="3"/>
      <c r="X122" s="3">
        <v>12</v>
      </c>
      <c r="Y122" s="3">
        <v>12</v>
      </c>
      <c r="Z122" s="3">
        <v>12</v>
      </c>
      <c r="AA122" s="3">
        <v>0</v>
      </c>
      <c r="AB122" s="3" t="s">
        <v>187</v>
      </c>
      <c r="AC122" s="3">
        <v>0</v>
      </c>
      <c r="AD122" s="3">
        <v>10.78</v>
      </c>
      <c r="AE122" s="3">
        <v>35</v>
      </c>
      <c r="AF122" s="3">
        <v>0</v>
      </c>
      <c r="AG122" s="3">
        <v>58.487173</v>
      </c>
      <c r="AH122" s="3">
        <v>0.266666666666666</v>
      </c>
      <c r="AI122" s="3" t="s">
        <v>241</v>
      </c>
      <c r="AJ122" s="3" t="s">
        <v>174</v>
      </c>
    </row>
    <row r="123" spans="1:36">
      <c r="A123" s="6">
        <v>43288</v>
      </c>
      <c r="B123" s="3" t="s">
        <v>516</v>
      </c>
      <c r="C123" s="3" t="s">
        <v>517</v>
      </c>
      <c r="D123" s="3" t="s">
        <v>517</v>
      </c>
      <c r="E123" s="3" t="s">
        <v>518</v>
      </c>
      <c r="F123" s="3" t="s">
        <v>159</v>
      </c>
      <c r="G123" s="3">
        <v>18</v>
      </c>
      <c r="H123" s="3">
        <v>0</v>
      </c>
      <c r="I123" s="3">
        <v>0</v>
      </c>
      <c r="J123" s="3">
        <v>0</v>
      </c>
      <c r="K123" s="3">
        <v>2</v>
      </c>
      <c r="L123" s="3">
        <v>16</v>
      </c>
      <c r="M123" s="3">
        <v>0</v>
      </c>
      <c r="N123" s="3" t="s">
        <v>160</v>
      </c>
      <c r="O123" s="3">
        <v>18</v>
      </c>
      <c r="P123" s="3">
        <v>10.57</v>
      </c>
      <c r="Q123" s="3">
        <v>0</v>
      </c>
      <c r="R123" s="3">
        <v>0</v>
      </c>
      <c r="S123" s="3">
        <v>0</v>
      </c>
      <c r="T123" s="3">
        <v>0</v>
      </c>
      <c r="U123" s="3">
        <v>0</v>
      </c>
      <c r="V123" s="3">
        <v>1</v>
      </c>
      <c r="W123" s="3" t="s">
        <v>207</v>
      </c>
      <c r="X123" s="3">
        <v>12.98</v>
      </c>
      <c r="Y123" s="3">
        <v>12.98</v>
      </c>
      <c r="Z123" s="3">
        <v>12.98</v>
      </c>
      <c r="AA123" s="3">
        <v>0</v>
      </c>
      <c r="AB123" s="3" t="s">
        <v>230</v>
      </c>
      <c r="AC123" s="3">
        <v>0</v>
      </c>
      <c r="AD123" s="3">
        <v>12.98</v>
      </c>
      <c r="AE123" s="3">
        <v>0</v>
      </c>
      <c r="AF123" s="3">
        <v>18</v>
      </c>
      <c r="AG123" s="3">
        <v>169.100273</v>
      </c>
      <c r="AH123" s="3">
        <v>0.0547945205479452</v>
      </c>
      <c r="AI123" s="3" t="s">
        <v>519</v>
      </c>
      <c r="AJ123" s="3" t="s">
        <v>174</v>
      </c>
    </row>
    <row r="124" spans="1:36">
      <c r="A124" s="6">
        <v>43288</v>
      </c>
      <c r="B124" s="3" t="s">
        <v>520</v>
      </c>
      <c r="C124" s="3" t="s">
        <v>521</v>
      </c>
      <c r="D124" s="3" t="s">
        <v>521</v>
      </c>
      <c r="E124" s="3" t="s">
        <v>522</v>
      </c>
      <c r="F124" s="3" t="s">
        <v>159</v>
      </c>
      <c r="G124" s="3">
        <v>3</v>
      </c>
      <c r="H124" s="3">
        <v>0</v>
      </c>
      <c r="I124" s="3">
        <v>0</v>
      </c>
      <c r="J124" s="3">
        <v>3</v>
      </c>
      <c r="K124" s="3">
        <v>0</v>
      </c>
      <c r="L124" s="3">
        <v>0</v>
      </c>
      <c r="M124" s="3">
        <v>0</v>
      </c>
      <c r="N124" s="3" t="s">
        <v>160</v>
      </c>
      <c r="O124" s="3">
        <v>0</v>
      </c>
      <c r="P124" s="3">
        <v>0</v>
      </c>
      <c r="Q124" s="3">
        <v>0</v>
      </c>
      <c r="R124" s="3">
        <v>0</v>
      </c>
      <c r="S124" s="3">
        <v>0</v>
      </c>
      <c r="T124" s="3">
        <v>0</v>
      </c>
      <c r="U124" s="3">
        <v>0</v>
      </c>
      <c r="V124" s="3">
        <v>1</v>
      </c>
      <c r="W124" s="3" t="s">
        <v>161</v>
      </c>
      <c r="X124" s="3">
        <v>9.5</v>
      </c>
      <c r="Y124" s="3">
        <v>9.5</v>
      </c>
      <c r="Z124" s="3">
        <v>9.5</v>
      </c>
      <c r="AA124" s="3">
        <v>0</v>
      </c>
      <c r="AB124" s="3" t="s">
        <v>162</v>
      </c>
      <c r="AC124" s="3">
        <v>3</v>
      </c>
      <c r="AD124" s="3">
        <v>9.5</v>
      </c>
      <c r="AE124" s="3">
        <v>0</v>
      </c>
      <c r="AF124" s="3">
        <v>0</v>
      </c>
      <c r="AG124" s="3">
        <v>0</v>
      </c>
      <c r="AH124" s="3">
        <v>0.307692307692307</v>
      </c>
      <c r="AI124" s="3" t="s">
        <v>196</v>
      </c>
      <c r="AJ124" s="3" t="s">
        <v>164</v>
      </c>
    </row>
    <row r="125" spans="1:36">
      <c r="A125" s="6">
        <v>43288</v>
      </c>
      <c r="B125" s="3" t="s">
        <v>523</v>
      </c>
      <c r="C125" s="3" t="s">
        <v>524</v>
      </c>
      <c r="D125" s="3" t="s">
        <v>524</v>
      </c>
      <c r="E125" s="3" t="s">
        <v>525</v>
      </c>
      <c r="F125" s="3" t="s">
        <v>159</v>
      </c>
      <c r="G125" s="3">
        <v>4</v>
      </c>
      <c r="H125" s="3">
        <v>0</v>
      </c>
      <c r="I125" s="3">
        <v>0</v>
      </c>
      <c r="J125" s="3">
        <v>4</v>
      </c>
      <c r="K125" s="3">
        <v>0</v>
      </c>
      <c r="L125" s="3">
        <v>0</v>
      </c>
      <c r="M125" s="3">
        <v>0</v>
      </c>
      <c r="N125" s="3" t="s">
        <v>160</v>
      </c>
      <c r="O125" s="3">
        <v>0</v>
      </c>
      <c r="P125" s="3">
        <v>0</v>
      </c>
      <c r="Q125" s="3">
        <v>0</v>
      </c>
      <c r="R125" s="3">
        <v>0</v>
      </c>
      <c r="S125" s="3">
        <v>0</v>
      </c>
      <c r="T125" s="3">
        <v>0</v>
      </c>
      <c r="U125" s="3">
        <v>0</v>
      </c>
      <c r="V125" s="3">
        <v>0</v>
      </c>
      <c r="W125" s="3" t="s">
        <v>161</v>
      </c>
      <c r="X125" s="3">
        <v>9.5</v>
      </c>
      <c r="Y125" s="3">
        <v>9.5</v>
      </c>
      <c r="Z125" s="3">
        <v>9.5</v>
      </c>
      <c r="AA125" s="3">
        <v>0</v>
      </c>
      <c r="AB125" s="3" t="s">
        <v>162</v>
      </c>
      <c r="AC125" s="3">
        <v>0</v>
      </c>
      <c r="AD125" s="3">
        <v>9.5</v>
      </c>
      <c r="AE125" s="3">
        <v>63</v>
      </c>
      <c r="AF125" s="3">
        <v>0</v>
      </c>
      <c r="AG125" s="3">
        <v>3.437302</v>
      </c>
      <c r="AH125" s="3">
        <v>0</v>
      </c>
      <c r="AI125" s="3" t="s">
        <v>192</v>
      </c>
      <c r="AJ125" s="3" t="s">
        <v>164</v>
      </c>
    </row>
    <row r="126" spans="1:36">
      <c r="A126" s="6">
        <v>43288</v>
      </c>
      <c r="B126" s="3" t="s">
        <v>526</v>
      </c>
      <c r="C126" s="3" t="s">
        <v>527</v>
      </c>
      <c r="D126" s="3" t="s">
        <v>527</v>
      </c>
      <c r="E126" s="3" t="s">
        <v>528</v>
      </c>
      <c r="F126" s="3" t="s">
        <v>159</v>
      </c>
      <c r="G126" s="3">
        <v>4</v>
      </c>
      <c r="H126" s="3">
        <v>0</v>
      </c>
      <c r="I126" s="3">
        <v>0</v>
      </c>
      <c r="J126" s="3">
        <v>4</v>
      </c>
      <c r="K126" s="3">
        <v>0</v>
      </c>
      <c r="L126" s="3">
        <v>0</v>
      </c>
      <c r="M126" s="3">
        <v>0</v>
      </c>
      <c r="N126" s="3" t="s">
        <v>160</v>
      </c>
      <c r="O126" s="3">
        <v>0</v>
      </c>
      <c r="P126" s="3">
        <v>0</v>
      </c>
      <c r="Q126" s="3">
        <v>0</v>
      </c>
      <c r="R126" s="3">
        <v>0</v>
      </c>
      <c r="S126" s="3">
        <v>0</v>
      </c>
      <c r="T126" s="3">
        <v>0</v>
      </c>
      <c r="U126" s="3">
        <v>0</v>
      </c>
      <c r="V126" s="3">
        <v>0</v>
      </c>
      <c r="W126" s="3" t="s">
        <v>161</v>
      </c>
      <c r="X126" s="3">
        <v>9.5</v>
      </c>
      <c r="Y126" s="3">
        <v>9.5</v>
      </c>
      <c r="Z126" s="3">
        <v>9.5</v>
      </c>
      <c r="AA126" s="3">
        <v>0</v>
      </c>
      <c r="AB126" s="3" t="s">
        <v>162</v>
      </c>
      <c r="AC126" s="3">
        <v>0</v>
      </c>
      <c r="AD126" s="3">
        <v>9.5</v>
      </c>
      <c r="AE126" s="3">
        <v>63</v>
      </c>
      <c r="AF126" s="3">
        <v>0</v>
      </c>
      <c r="AG126" s="3">
        <v>3.437302</v>
      </c>
      <c r="AH126" s="3">
        <v>0</v>
      </c>
      <c r="AI126" s="3" t="s">
        <v>192</v>
      </c>
      <c r="AJ126" s="3" t="s">
        <v>164</v>
      </c>
    </row>
    <row r="127" spans="1:36">
      <c r="A127" s="6">
        <v>43288</v>
      </c>
      <c r="B127" s="3" t="s">
        <v>529</v>
      </c>
      <c r="C127" s="3" t="s">
        <v>530</v>
      </c>
      <c r="D127" s="3" t="s">
        <v>530</v>
      </c>
      <c r="E127" s="3" t="s">
        <v>531</v>
      </c>
      <c r="F127" s="3" t="s">
        <v>159</v>
      </c>
      <c r="G127" s="3">
        <v>9</v>
      </c>
      <c r="H127" s="3">
        <v>0</v>
      </c>
      <c r="I127" s="3">
        <v>0</v>
      </c>
      <c r="J127" s="3">
        <v>0</v>
      </c>
      <c r="K127" s="3">
        <v>0</v>
      </c>
      <c r="L127" s="3">
        <v>9</v>
      </c>
      <c r="M127" s="3">
        <v>0</v>
      </c>
      <c r="N127" s="3" t="s">
        <v>160</v>
      </c>
      <c r="O127" s="3">
        <v>9</v>
      </c>
      <c r="P127" s="3">
        <v>12.12</v>
      </c>
      <c r="Q127" s="3">
        <v>0</v>
      </c>
      <c r="R127" s="3">
        <v>0</v>
      </c>
      <c r="S127" s="3">
        <v>0</v>
      </c>
      <c r="T127" s="3">
        <v>0</v>
      </c>
      <c r="U127" s="3">
        <v>2</v>
      </c>
      <c r="V127" s="3">
        <v>3</v>
      </c>
      <c r="W127" s="3" t="s">
        <v>207</v>
      </c>
      <c r="X127" s="3">
        <v>16.98</v>
      </c>
      <c r="Y127" s="3">
        <v>16.98</v>
      </c>
      <c r="Z127" s="3">
        <v>16.98</v>
      </c>
      <c r="AA127" s="3">
        <v>0</v>
      </c>
      <c r="AB127" s="3" t="s">
        <v>187</v>
      </c>
      <c r="AC127" s="3">
        <v>8</v>
      </c>
      <c r="AD127" s="3">
        <v>16.06</v>
      </c>
      <c r="AE127" s="3">
        <v>14</v>
      </c>
      <c r="AF127" s="3">
        <v>0</v>
      </c>
      <c r="AG127" s="3">
        <v>0.057936</v>
      </c>
      <c r="AH127" s="3">
        <v>0.292682926829268</v>
      </c>
      <c r="AI127" s="3" t="s">
        <v>183</v>
      </c>
      <c r="AJ127" s="3" t="s">
        <v>174</v>
      </c>
    </row>
    <row r="128" spans="1:36">
      <c r="A128" s="6">
        <v>43288</v>
      </c>
      <c r="B128" s="3" t="s">
        <v>532</v>
      </c>
      <c r="C128" s="3" t="s">
        <v>533</v>
      </c>
      <c r="D128" s="3" t="s">
        <v>534</v>
      </c>
      <c r="E128" s="3" t="s">
        <v>535</v>
      </c>
      <c r="F128" s="3" t="s">
        <v>159</v>
      </c>
      <c r="G128" s="3">
        <v>19</v>
      </c>
      <c r="H128" s="3">
        <v>0</v>
      </c>
      <c r="I128" s="3">
        <v>19</v>
      </c>
      <c r="J128" s="3">
        <v>0</v>
      </c>
      <c r="K128" s="3">
        <v>0</v>
      </c>
      <c r="L128" s="3">
        <v>0</v>
      </c>
      <c r="M128" s="3">
        <v>0</v>
      </c>
      <c r="N128" s="3" t="s">
        <v>160</v>
      </c>
      <c r="O128" s="3">
        <v>0</v>
      </c>
      <c r="P128" s="3">
        <v>0</v>
      </c>
      <c r="Q128" s="3">
        <v>0</v>
      </c>
      <c r="R128" s="3">
        <v>0</v>
      </c>
      <c r="S128" s="3">
        <v>1</v>
      </c>
      <c r="T128" s="3">
        <v>1</v>
      </c>
      <c r="U128" s="3">
        <v>1</v>
      </c>
      <c r="V128" s="3">
        <v>1</v>
      </c>
      <c r="W128" s="3"/>
      <c r="X128" s="3">
        <v>24.99</v>
      </c>
      <c r="Y128" s="3">
        <v>24.99</v>
      </c>
      <c r="Z128" s="3">
        <v>24</v>
      </c>
      <c r="AA128" s="3">
        <v>0</v>
      </c>
      <c r="AB128" s="3" t="s">
        <v>170</v>
      </c>
      <c r="AC128" s="3">
        <v>20</v>
      </c>
      <c r="AD128" s="3">
        <v>24.99</v>
      </c>
      <c r="AE128" s="3">
        <v>0</v>
      </c>
      <c r="AF128" s="3">
        <v>0</v>
      </c>
      <c r="AG128" s="3">
        <v>0</v>
      </c>
      <c r="AH128" s="3">
        <v>0.0526315789473684</v>
      </c>
      <c r="AI128" s="3" t="s">
        <v>536</v>
      </c>
      <c r="AJ128" s="3" t="s">
        <v>164</v>
      </c>
    </row>
    <row r="129" spans="1:36">
      <c r="A129" s="6">
        <v>43288</v>
      </c>
      <c r="B129" s="3" t="s">
        <v>537</v>
      </c>
      <c r="C129" s="3" t="s">
        <v>538</v>
      </c>
      <c r="D129" s="3" t="s">
        <v>538</v>
      </c>
      <c r="E129" s="3" t="s">
        <v>76</v>
      </c>
      <c r="F129" s="3" t="s">
        <v>159</v>
      </c>
      <c r="G129" s="3">
        <v>13</v>
      </c>
      <c r="H129" s="3">
        <v>0</v>
      </c>
      <c r="I129" s="3">
        <v>13</v>
      </c>
      <c r="J129" s="3">
        <v>0</v>
      </c>
      <c r="K129" s="3">
        <v>0</v>
      </c>
      <c r="L129" s="3">
        <v>0</v>
      </c>
      <c r="M129" s="3">
        <v>0</v>
      </c>
      <c r="N129" s="3" t="s">
        <v>160</v>
      </c>
      <c r="O129" s="3">
        <v>0</v>
      </c>
      <c r="P129" s="3">
        <v>0</v>
      </c>
      <c r="Q129" s="3">
        <v>0</v>
      </c>
      <c r="R129" s="3">
        <v>0</v>
      </c>
      <c r="S129" s="3">
        <v>0</v>
      </c>
      <c r="T129" s="3">
        <v>3</v>
      </c>
      <c r="U129" s="3">
        <v>4</v>
      </c>
      <c r="V129" s="3">
        <v>9</v>
      </c>
      <c r="W129" s="3" t="s">
        <v>161</v>
      </c>
      <c r="X129" s="3">
        <v>9.9</v>
      </c>
      <c r="Y129" s="3">
        <v>9.9</v>
      </c>
      <c r="Z129" s="3">
        <v>9.9</v>
      </c>
      <c r="AA129" s="3">
        <v>0</v>
      </c>
      <c r="AB129" s="3" t="s">
        <v>162</v>
      </c>
      <c r="AC129" s="3">
        <v>13</v>
      </c>
      <c r="AD129" s="3">
        <v>9.9</v>
      </c>
      <c r="AE129" s="3">
        <v>0</v>
      </c>
      <c r="AF129" s="3">
        <v>0</v>
      </c>
      <c r="AG129" s="3">
        <v>0</v>
      </c>
      <c r="AH129" s="3">
        <v>0.947368421052631</v>
      </c>
      <c r="AI129" s="3" t="s">
        <v>539</v>
      </c>
      <c r="AJ129" s="3" t="s">
        <v>164</v>
      </c>
    </row>
    <row r="130" spans="1:36">
      <c r="A130" s="6">
        <v>43288</v>
      </c>
      <c r="B130" s="3" t="s">
        <v>540</v>
      </c>
      <c r="C130" s="3" t="s">
        <v>541</v>
      </c>
      <c r="D130" s="3" t="s">
        <v>541</v>
      </c>
      <c r="E130" s="3" t="s">
        <v>186</v>
      </c>
      <c r="F130" s="3" t="s">
        <v>159</v>
      </c>
      <c r="G130" s="3">
        <v>3</v>
      </c>
      <c r="H130" s="3">
        <v>0</v>
      </c>
      <c r="I130" s="3">
        <v>0</v>
      </c>
      <c r="J130" s="3">
        <v>0</v>
      </c>
      <c r="K130" s="3">
        <v>3</v>
      </c>
      <c r="L130" s="3">
        <v>0</v>
      </c>
      <c r="M130" s="3">
        <v>0</v>
      </c>
      <c r="N130" s="3" t="s">
        <v>160</v>
      </c>
      <c r="O130" s="3">
        <v>3</v>
      </c>
      <c r="P130" s="3">
        <v>0</v>
      </c>
      <c r="Q130" s="3">
        <v>0</v>
      </c>
      <c r="R130" s="3">
        <v>0</v>
      </c>
      <c r="S130" s="3">
        <v>0</v>
      </c>
      <c r="T130" s="3">
        <v>0</v>
      </c>
      <c r="U130" s="3">
        <v>0</v>
      </c>
      <c r="V130" s="3">
        <v>0</v>
      </c>
      <c r="W130" s="3" t="s">
        <v>161</v>
      </c>
      <c r="X130" s="3">
        <v>12</v>
      </c>
      <c r="Y130" s="3">
        <v>12</v>
      </c>
      <c r="Z130" s="3">
        <v>12</v>
      </c>
      <c r="AA130" s="3">
        <v>0</v>
      </c>
      <c r="AB130" s="3" t="s">
        <v>187</v>
      </c>
      <c r="AC130" s="3">
        <v>0</v>
      </c>
      <c r="AD130" s="3">
        <v>9.6</v>
      </c>
      <c r="AE130" s="3">
        <v>63</v>
      </c>
      <c r="AF130" s="3">
        <v>0</v>
      </c>
      <c r="AG130" s="3">
        <v>2.907135</v>
      </c>
      <c r="AH130" s="3">
        <v>0</v>
      </c>
      <c r="AI130" s="3" t="s">
        <v>188</v>
      </c>
      <c r="AJ130" s="3" t="s">
        <v>164</v>
      </c>
    </row>
    <row r="131" spans="1:36">
      <c r="A131" s="6">
        <v>43288</v>
      </c>
      <c r="B131" s="3" t="s">
        <v>542</v>
      </c>
      <c r="C131" s="3" t="s">
        <v>543</v>
      </c>
      <c r="D131" s="3" t="s">
        <v>543</v>
      </c>
      <c r="E131" s="3" t="s">
        <v>31</v>
      </c>
      <c r="F131" s="3" t="s">
        <v>159</v>
      </c>
      <c r="G131" s="3">
        <v>4</v>
      </c>
      <c r="H131" s="3">
        <v>0</v>
      </c>
      <c r="I131" s="3">
        <v>0</v>
      </c>
      <c r="J131" s="3">
        <v>1</v>
      </c>
      <c r="K131" s="3">
        <v>3</v>
      </c>
      <c r="L131" s="3">
        <v>0</v>
      </c>
      <c r="M131" s="3">
        <v>0</v>
      </c>
      <c r="N131" s="3" t="s">
        <v>160</v>
      </c>
      <c r="O131" s="3">
        <v>3</v>
      </c>
      <c r="P131" s="3">
        <v>2.22</v>
      </c>
      <c r="Q131" s="3">
        <v>0</v>
      </c>
      <c r="R131" s="3">
        <v>0</v>
      </c>
      <c r="S131" s="3">
        <v>0</v>
      </c>
      <c r="T131" s="3">
        <v>0</v>
      </c>
      <c r="U131" s="3">
        <v>0</v>
      </c>
      <c r="V131" s="3">
        <v>0</v>
      </c>
      <c r="W131" s="3" t="s">
        <v>207</v>
      </c>
      <c r="X131" s="3">
        <v>24.99</v>
      </c>
      <c r="Y131" s="3">
        <v>24.99</v>
      </c>
      <c r="Z131" s="3">
        <v>24.99</v>
      </c>
      <c r="AA131" s="3">
        <v>0</v>
      </c>
      <c r="AB131" s="3" t="s">
        <v>187</v>
      </c>
      <c r="AC131" s="3">
        <v>0</v>
      </c>
      <c r="AD131" s="3">
        <v>21.55</v>
      </c>
      <c r="AE131" s="3">
        <v>308</v>
      </c>
      <c r="AF131" s="3">
        <v>0</v>
      </c>
      <c r="AG131" s="3">
        <v>68.338285</v>
      </c>
      <c r="AH131" s="3">
        <v>0</v>
      </c>
      <c r="AI131" s="3" t="s">
        <v>253</v>
      </c>
      <c r="AJ131" s="3" t="s">
        <v>174</v>
      </c>
    </row>
    <row r="132" spans="1:36">
      <c r="A132" s="6">
        <v>43288</v>
      </c>
      <c r="B132" s="3" t="s">
        <v>544</v>
      </c>
      <c r="C132" s="3" t="s">
        <v>545</v>
      </c>
      <c r="D132" s="3" t="s">
        <v>545</v>
      </c>
      <c r="E132" s="3" t="s">
        <v>186</v>
      </c>
      <c r="F132" s="3" t="s">
        <v>159</v>
      </c>
      <c r="G132" s="3">
        <v>3</v>
      </c>
      <c r="H132" s="3">
        <v>0</v>
      </c>
      <c r="I132" s="3">
        <v>0</v>
      </c>
      <c r="J132" s="3">
        <v>0</v>
      </c>
      <c r="K132" s="3">
        <v>3</v>
      </c>
      <c r="L132" s="3">
        <v>0</v>
      </c>
      <c r="M132" s="3">
        <v>0</v>
      </c>
      <c r="N132" s="3" t="s">
        <v>160</v>
      </c>
      <c r="O132" s="3">
        <v>3</v>
      </c>
      <c r="P132" s="3">
        <v>0</v>
      </c>
      <c r="Q132" s="3">
        <v>0</v>
      </c>
      <c r="R132" s="3">
        <v>0</v>
      </c>
      <c r="S132" s="3">
        <v>0</v>
      </c>
      <c r="T132" s="3">
        <v>0</v>
      </c>
      <c r="U132" s="3">
        <v>0</v>
      </c>
      <c r="V132" s="3">
        <v>0</v>
      </c>
      <c r="W132" s="3" t="s">
        <v>161</v>
      </c>
      <c r="X132" s="3">
        <v>12</v>
      </c>
      <c r="Y132" s="3">
        <v>12</v>
      </c>
      <c r="Z132" s="3">
        <v>12</v>
      </c>
      <c r="AA132" s="3">
        <v>0</v>
      </c>
      <c r="AB132" s="3" t="s">
        <v>187</v>
      </c>
      <c r="AC132" s="3">
        <v>0</v>
      </c>
      <c r="AD132" s="3">
        <v>9.6</v>
      </c>
      <c r="AE132" s="3">
        <v>63</v>
      </c>
      <c r="AF132" s="3">
        <v>0</v>
      </c>
      <c r="AG132" s="3">
        <v>2.907135</v>
      </c>
      <c r="AH132" s="3">
        <v>0</v>
      </c>
      <c r="AI132" s="3" t="s">
        <v>188</v>
      </c>
      <c r="AJ132" s="3" t="s">
        <v>164</v>
      </c>
    </row>
    <row r="133" spans="1:36">
      <c r="A133" s="6">
        <v>43288</v>
      </c>
      <c r="B133" s="3" t="s">
        <v>546</v>
      </c>
      <c r="C133" s="3" t="s">
        <v>547</v>
      </c>
      <c r="D133" s="3" t="s">
        <v>547</v>
      </c>
      <c r="E133" s="3" t="s">
        <v>548</v>
      </c>
      <c r="F133" s="3" t="s">
        <v>159</v>
      </c>
      <c r="G133" s="3">
        <v>6</v>
      </c>
      <c r="H133" s="3">
        <v>0</v>
      </c>
      <c r="I133" s="3">
        <v>2</v>
      </c>
      <c r="J133" s="3">
        <v>0</v>
      </c>
      <c r="K133" s="3">
        <v>0</v>
      </c>
      <c r="L133" s="3">
        <v>4</v>
      </c>
      <c r="M133" s="3">
        <v>0</v>
      </c>
      <c r="N133" s="3" t="s">
        <v>160</v>
      </c>
      <c r="O133" s="3">
        <v>4</v>
      </c>
      <c r="P133" s="3">
        <v>9.6</v>
      </c>
      <c r="Q133" s="3">
        <v>0</v>
      </c>
      <c r="R133" s="3">
        <v>0</v>
      </c>
      <c r="S133" s="3">
        <v>0</v>
      </c>
      <c r="T133" s="3">
        <v>0</v>
      </c>
      <c r="U133" s="3">
        <v>4</v>
      </c>
      <c r="V133" s="3">
        <v>8</v>
      </c>
      <c r="W133" s="3" t="s">
        <v>207</v>
      </c>
      <c r="X133" s="3">
        <v>15.98</v>
      </c>
      <c r="Y133" s="3">
        <v>15.98</v>
      </c>
      <c r="Z133" s="3">
        <v>15.98</v>
      </c>
      <c r="AA133" s="3">
        <v>0</v>
      </c>
      <c r="AB133" s="3" t="s">
        <v>230</v>
      </c>
      <c r="AC133" s="3">
        <v>5</v>
      </c>
      <c r="AD133" s="3">
        <v>15.98</v>
      </c>
      <c r="AE133" s="3">
        <v>0</v>
      </c>
      <c r="AF133" s="3">
        <v>1</v>
      </c>
      <c r="AG133" s="3">
        <v>0.075328</v>
      </c>
      <c r="AH133" s="3">
        <v>1</v>
      </c>
      <c r="AI133" s="3" t="s">
        <v>208</v>
      </c>
      <c r="AJ133" s="3" t="s">
        <v>174</v>
      </c>
    </row>
    <row r="134" spans="1:36">
      <c r="A134" s="6">
        <v>43288</v>
      </c>
      <c r="B134" s="3" t="s">
        <v>549</v>
      </c>
      <c r="C134" s="3" t="s">
        <v>550</v>
      </c>
      <c r="D134" s="3" t="s">
        <v>550</v>
      </c>
      <c r="E134" s="3" t="s">
        <v>551</v>
      </c>
      <c r="F134" s="3" t="s">
        <v>159</v>
      </c>
      <c r="G134" s="3">
        <v>4</v>
      </c>
      <c r="H134" s="3">
        <v>0</v>
      </c>
      <c r="I134" s="3">
        <v>0</v>
      </c>
      <c r="J134" s="3">
        <v>4</v>
      </c>
      <c r="K134" s="3">
        <v>0</v>
      </c>
      <c r="L134" s="3">
        <v>0</v>
      </c>
      <c r="M134" s="3">
        <v>0</v>
      </c>
      <c r="N134" s="3" t="s">
        <v>160</v>
      </c>
      <c r="O134" s="3">
        <v>0</v>
      </c>
      <c r="P134" s="3">
        <v>0</v>
      </c>
      <c r="Q134" s="3">
        <v>0</v>
      </c>
      <c r="R134" s="3">
        <v>0</v>
      </c>
      <c r="S134" s="3">
        <v>0</v>
      </c>
      <c r="T134" s="3">
        <v>0</v>
      </c>
      <c r="U134" s="3">
        <v>0</v>
      </c>
      <c r="V134" s="3">
        <v>0</v>
      </c>
      <c r="W134" s="3" t="s">
        <v>161</v>
      </c>
      <c r="X134" s="3">
        <v>9.5</v>
      </c>
      <c r="Y134" s="3">
        <v>9.5</v>
      </c>
      <c r="Z134" s="3">
        <v>9.5</v>
      </c>
      <c r="AA134" s="3">
        <v>0</v>
      </c>
      <c r="AB134" s="3" t="s">
        <v>162</v>
      </c>
      <c r="AC134" s="3">
        <v>0</v>
      </c>
      <c r="AD134" s="3">
        <v>9.5</v>
      </c>
      <c r="AE134" s="3">
        <v>63</v>
      </c>
      <c r="AF134" s="3">
        <v>0</v>
      </c>
      <c r="AG134" s="3">
        <v>3.437302</v>
      </c>
      <c r="AH134" s="3">
        <v>0</v>
      </c>
      <c r="AI134" s="3" t="s">
        <v>192</v>
      </c>
      <c r="AJ134" s="3" t="s">
        <v>164</v>
      </c>
    </row>
    <row r="135" spans="1:36">
      <c r="A135" s="6">
        <v>43288</v>
      </c>
      <c r="B135" s="3" t="s">
        <v>552</v>
      </c>
      <c r="C135" s="3" t="s">
        <v>553</v>
      </c>
      <c r="D135" s="3" t="s">
        <v>553</v>
      </c>
      <c r="E135" s="3" t="s">
        <v>554</v>
      </c>
      <c r="F135" s="3" t="s">
        <v>159</v>
      </c>
      <c r="G135" s="3">
        <v>3</v>
      </c>
      <c r="H135" s="3">
        <v>0</v>
      </c>
      <c r="I135" s="3">
        <v>1</v>
      </c>
      <c r="J135" s="3">
        <v>0</v>
      </c>
      <c r="K135" s="3">
        <v>0</v>
      </c>
      <c r="L135" s="3">
        <v>2</v>
      </c>
      <c r="M135" s="3">
        <v>0</v>
      </c>
      <c r="N135" s="3" t="s">
        <v>160</v>
      </c>
      <c r="O135" s="3">
        <v>2</v>
      </c>
      <c r="P135" s="3">
        <v>6.02</v>
      </c>
      <c r="Q135" s="3">
        <v>0</v>
      </c>
      <c r="R135" s="3">
        <v>0</v>
      </c>
      <c r="S135" s="3">
        <v>0</v>
      </c>
      <c r="T135" s="3">
        <v>0</v>
      </c>
      <c r="U135" s="3">
        <v>1</v>
      </c>
      <c r="V135" s="3">
        <v>1</v>
      </c>
      <c r="W135" s="3" t="s">
        <v>161</v>
      </c>
      <c r="X135" s="3">
        <v>24.82</v>
      </c>
      <c r="Y135" s="3">
        <v>24.82</v>
      </c>
      <c r="Z135" s="3">
        <v>24.82</v>
      </c>
      <c r="AA135" s="3">
        <v>0</v>
      </c>
      <c r="AB135" s="3" t="s">
        <v>170</v>
      </c>
      <c r="AC135" s="3">
        <v>3</v>
      </c>
      <c r="AD135" s="3">
        <v>24.82</v>
      </c>
      <c r="AE135" s="3">
        <v>0</v>
      </c>
      <c r="AF135" s="3">
        <v>0</v>
      </c>
      <c r="AG135" s="3">
        <v>0</v>
      </c>
      <c r="AH135" s="3">
        <v>0.333333333333333</v>
      </c>
      <c r="AI135" s="3" t="s">
        <v>360</v>
      </c>
      <c r="AJ135" s="3" t="s">
        <v>174</v>
      </c>
    </row>
    <row r="136" spans="1:36">
      <c r="A136" s="6">
        <v>43288</v>
      </c>
      <c r="B136" s="3" t="s">
        <v>555</v>
      </c>
      <c r="C136" s="3" t="s">
        <v>556</v>
      </c>
      <c r="D136" s="3" t="s">
        <v>557</v>
      </c>
      <c r="E136" s="3" t="s">
        <v>558</v>
      </c>
      <c r="F136" s="3" t="s">
        <v>159</v>
      </c>
      <c r="G136" s="3">
        <v>2</v>
      </c>
      <c r="H136" s="3">
        <v>0</v>
      </c>
      <c r="I136" s="3">
        <v>0</v>
      </c>
      <c r="J136" s="3">
        <v>2</v>
      </c>
      <c r="K136" s="3">
        <v>0</v>
      </c>
      <c r="L136" s="3">
        <v>0</v>
      </c>
      <c r="M136" s="3">
        <v>0</v>
      </c>
      <c r="N136" s="3" t="s">
        <v>160</v>
      </c>
      <c r="O136" s="3">
        <v>0</v>
      </c>
      <c r="P136" s="3">
        <v>0</v>
      </c>
      <c r="Q136" s="3">
        <v>0</v>
      </c>
      <c r="R136" s="3">
        <v>0</v>
      </c>
      <c r="S136" s="3">
        <v>0</v>
      </c>
      <c r="T136" s="3">
        <v>0</v>
      </c>
      <c r="U136" s="3">
        <v>0</v>
      </c>
      <c r="V136" s="3">
        <v>3</v>
      </c>
      <c r="W136" s="3" t="s">
        <v>161</v>
      </c>
      <c r="X136" s="3">
        <v>11.99</v>
      </c>
      <c r="Y136" s="3">
        <v>11.99</v>
      </c>
      <c r="Z136" s="3">
        <v>11.99</v>
      </c>
      <c r="AA136" s="3">
        <v>0</v>
      </c>
      <c r="AB136" s="3" t="s">
        <v>162</v>
      </c>
      <c r="AC136" s="3">
        <v>2</v>
      </c>
      <c r="AD136" s="3">
        <v>11.99</v>
      </c>
      <c r="AE136" s="3">
        <v>0</v>
      </c>
      <c r="AF136" s="3">
        <v>0</v>
      </c>
      <c r="AG136" s="3">
        <v>0</v>
      </c>
      <c r="AH136" s="3">
        <v>1.09090909090909</v>
      </c>
      <c r="AI136" s="3" t="s">
        <v>169</v>
      </c>
      <c r="AJ136" s="3" t="s">
        <v>164</v>
      </c>
    </row>
    <row r="137" spans="1:36">
      <c r="A137" s="6">
        <v>43288</v>
      </c>
      <c r="B137" s="3" t="s">
        <v>559</v>
      </c>
      <c r="C137" s="3" t="s">
        <v>560</v>
      </c>
      <c r="D137" s="3" t="s">
        <v>560</v>
      </c>
      <c r="E137" s="3" t="s">
        <v>26</v>
      </c>
      <c r="F137" s="3" t="s">
        <v>159</v>
      </c>
      <c r="G137" s="3">
        <v>6</v>
      </c>
      <c r="H137" s="3">
        <v>0</v>
      </c>
      <c r="I137" s="3">
        <v>0</v>
      </c>
      <c r="J137" s="3">
        <v>0</v>
      </c>
      <c r="K137" s="3">
        <v>3</v>
      </c>
      <c r="L137" s="3">
        <v>3</v>
      </c>
      <c r="M137" s="3">
        <v>0</v>
      </c>
      <c r="N137" s="3" t="s">
        <v>160</v>
      </c>
      <c r="O137" s="3">
        <v>6</v>
      </c>
      <c r="P137" s="3">
        <v>2.36</v>
      </c>
      <c r="Q137" s="3">
        <v>0</v>
      </c>
      <c r="R137" s="3">
        <v>0</v>
      </c>
      <c r="S137" s="3">
        <v>0</v>
      </c>
      <c r="T137" s="3">
        <v>0</v>
      </c>
      <c r="U137" s="3">
        <v>0</v>
      </c>
      <c r="V137" s="3">
        <v>0</v>
      </c>
      <c r="W137" s="3" t="s">
        <v>207</v>
      </c>
      <c r="X137" s="3">
        <v>25</v>
      </c>
      <c r="Y137" s="3">
        <v>25</v>
      </c>
      <c r="Z137" s="3">
        <v>25</v>
      </c>
      <c r="AA137" s="3">
        <v>0</v>
      </c>
      <c r="AB137" s="3" t="s">
        <v>187</v>
      </c>
      <c r="AC137" s="3">
        <v>0</v>
      </c>
      <c r="AD137" s="3">
        <v>20</v>
      </c>
      <c r="AE137" s="3">
        <v>63</v>
      </c>
      <c r="AF137" s="3">
        <v>0</v>
      </c>
      <c r="AG137" s="3">
        <v>38.218864</v>
      </c>
      <c r="AH137" s="3">
        <v>0</v>
      </c>
      <c r="AI137" s="3" t="s">
        <v>212</v>
      </c>
      <c r="AJ137" s="3" t="s">
        <v>174</v>
      </c>
    </row>
    <row r="138" spans="1:36">
      <c r="A138" s="6">
        <v>43288</v>
      </c>
      <c r="B138" s="3" t="s">
        <v>561</v>
      </c>
      <c r="C138" s="3" t="s">
        <v>562</v>
      </c>
      <c r="D138" s="3" t="s">
        <v>562</v>
      </c>
      <c r="E138" s="3" t="s">
        <v>563</v>
      </c>
      <c r="F138" s="3" t="s">
        <v>159</v>
      </c>
      <c r="G138" s="3">
        <v>3</v>
      </c>
      <c r="H138" s="3">
        <v>0</v>
      </c>
      <c r="I138" s="3">
        <v>0</v>
      </c>
      <c r="J138" s="3">
        <v>3</v>
      </c>
      <c r="K138" s="3">
        <v>0</v>
      </c>
      <c r="L138" s="3">
        <v>0</v>
      </c>
      <c r="M138" s="3">
        <v>0</v>
      </c>
      <c r="N138" s="3" t="s">
        <v>160</v>
      </c>
      <c r="O138" s="3">
        <v>0</v>
      </c>
      <c r="P138" s="3">
        <v>0</v>
      </c>
      <c r="Q138" s="3">
        <v>0</v>
      </c>
      <c r="R138" s="3">
        <v>0</v>
      </c>
      <c r="S138" s="3">
        <v>0</v>
      </c>
      <c r="T138" s="3">
        <v>0</v>
      </c>
      <c r="U138" s="3">
        <v>0</v>
      </c>
      <c r="V138" s="3">
        <v>1</v>
      </c>
      <c r="W138" s="3" t="s">
        <v>161</v>
      </c>
      <c r="X138" s="3">
        <v>8.99</v>
      </c>
      <c r="Y138" s="3">
        <v>8.99</v>
      </c>
      <c r="Z138" s="3">
        <v>8.99</v>
      </c>
      <c r="AA138" s="3">
        <v>0</v>
      </c>
      <c r="AB138" s="3" t="s">
        <v>162</v>
      </c>
      <c r="AC138" s="3">
        <v>0</v>
      </c>
      <c r="AD138" s="3">
        <v>7.7</v>
      </c>
      <c r="AE138" s="3">
        <v>364</v>
      </c>
      <c r="AF138" s="3">
        <v>0</v>
      </c>
      <c r="AG138" s="3">
        <v>12.129621</v>
      </c>
      <c r="AH138" s="3">
        <v>0.307692307692307</v>
      </c>
      <c r="AI138" s="3" t="s">
        <v>196</v>
      </c>
      <c r="AJ138" s="3" t="s">
        <v>164</v>
      </c>
    </row>
    <row r="139" spans="1:36">
      <c r="A139" s="6">
        <v>43288</v>
      </c>
      <c r="B139" s="3" t="s">
        <v>564</v>
      </c>
      <c r="C139" s="3" t="s">
        <v>565</v>
      </c>
      <c r="D139" s="3" t="s">
        <v>565</v>
      </c>
      <c r="E139" s="3" t="s">
        <v>76</v>
      </c>
      <c r="F139" s="3" t="s">
        <v>159</v>
      </c>
      <c r="G139" s="3">
        <v>4</v>
      </c>
      <c r="H139" s="3">
        <v>0</v>
      </c>
      <c r="I139" s="3">
        <v>4</v>
      </c>
      <c r="J139" s="3">
        <v>0</v>
      </c>
      <c r="K139" s="3">
        <v>0</v>
      </c>
      <c r="L139" s="3">
        <v>0</v>
      </c>
      <c r="M139" s="3">
        <v>0</v>
      </c>
      <c r="N139" s="3" t="s">
        <v>160</v>
      </c>
      <c r="O139" s="3">
        <v>0</v>
      </c>
      <c r="P139" s="3">
        <v>0</v>
      </c>
      <c r="Q139" s="3">
        <v>0</v>
      </c>
      <c r="R139" s="3">
        <v>0</v>
      </c>
      <c r="S139" s="3">
        <v>2</v>
      </c>
      <c r="T139" s="3">
        <v>3</v>
      </c>
      <c r="U139" s="3">
        <v>6</v>
      </c>
      <c r="V139" s="3">
        <v>9</v>
      </c>
      <c r="W139" s="3" t="s">
        <v>161</v>
      </c>
      <c r="X139" s="3">
        <v>9.9</v>
      </c>
      <c r="Y139" s="3">
        <v>9.9</v>
      </c>
      <c r="Z139" s="3">
        <v>9.9</v>
      </c>
      <c r="AA139" s="3">
        <v>0</v>
      </c>
      <c r="AB139" s="3" t="s">
        <v>162</v>
      </c>
      <c r="AC139" s="3">
        <v>5</v>
      </c>
      <c r="AD139" s="3">
        <v>9.9</v>
      </c>
      <c r="AE139" s="3">
        <v>0</v>
      </c>
      <c r="AF139" s="3">
        <v>0</v>
      </c>
      <c r="AG139" s="3">
        <v>0</v>
      </c>
      <c r="AH139" s="3">
        <v>1.56521739130434</v>
      </c>
      <c r="AI139" s="3" t="s">
        <v>566</v>
      </c>
      <c r="AJ139" s="3" t="s">
        <v>164</v>
      </c>
    </row>
    <row r="140" spans="1:36">
      <c r="A140" s="6">
        <v>43288</v>
      </c>
      <c r="B140" s="3" t="s">
        <v>567</v>
      </c>
      <c r="C140" s="3" t="s">
        <v>568</v>
      </c>
      <c r="D140" s="3" t="s">
        <v>568</v>
      </c>
      <c r="E140" s="3" t="s">
        <v>569</v>
      </c>
      <c r="F140" s="3" t="s">
        <v>159</v>
      </c>
      <c r="G140" s="3">
        <v>3</v>
      </c>
      <c r="H140" s="3">
        <v>0</v>
      </c>
      <c r="I140" s="3">
        <v>0</v>
      </c>
      <c r="J140" s="3">
        <v>0</v>
      </c>
      <c r="K140" s="3">
        <v>3</v>
      </c>
      <c r="L140" s="3">
        <v>0</v>
      </c>
      <c r="M140" s="3">
        <v>0</v>
      </c>
      <c r="N140" s="3" t="s">
        <v>160</v>
      </c>
      <c r="O140" s="3">
        <v>3</v>
      </c>
      <c r="P140" s="3">
        <v>4.1</v>
      </c>
      <c r="Q140" s="3">
        <v>0</v>
      </c>
      <c r="R140" s="3">
        <v>0</v>
      </c>
      <c r="S140" s="3">
        <v>0</v>
      </c>
      <c r="T140" s="3">
        <v>1</v>
      </c>
      <c r="U140" s="3">
        <v>1</v>
      </c>
      <c r="V140" s="3">
        <v>1</v>
      </c>
      <c r="W140" s="3"/>
      <c r="X140" s="3">
        <v>12</v>
      </c>
      <c r="Y140" s="3">
        <v>12</v>
      </c>
      <c r="Z140" s="3">
        <v>12</v>
      </c>
      <c r="AA140" s="3">
        <v>0</v>
      </c>
      <c r="AB140" s="3" t="s">
        <v>170</v>
      </c>
      <c r="AC140" s="3">
        <v>3</v>
      </c>
      <c r="AD140" s="3">
        <v>12</v>
      </c>
      <c r="AE140" s="3">
        <v>0</v>
      </c>
      <c r="AF140" s="3">
        <v>0</v>
      </c>
      <c r="AG140" s="3">
        <v>0</v>
      </c>
      <c r="AH140" s="3">
        <v>0.266666666666666</v>
      </c>
      <c r="AI140" s="3" t="s">
        <v>241</v>
      </c>
      <c r="AJ140" s="3" t="s">
        <v>174</v>
      </c>
    </row>
    <row r="141" spans="1:36">
      <c r="A141" s="6">
        <v>43288</v>
      </c>
      <c r="B141" s="3" t="s">
        <v>570</v>
      </c>
      <c r="C141" s="3" t="s">
        <v>571</v>
      </c>
      <c r="D141" s="3" t="s">
        <v>571</v>
      </c>
      <c r="E141" s="3" t="s">
        <v>26</v>
      </c>
      <c r="F141" s="3" t="s">
        <v>159</v>
      </c>
      <c r="G141" s="3">
        <v>6</v>
      </c>
      <c r="H141" s="3">
        <v>0</v>
      </c>
      <c r="I141" s="3">
        <v>0</v>
      </c>
      <c r="J141" s="3">
        <v>0</v>
      </c>
      <c r="K141" s="3">
        <v>4</v>
      </c>
      <c r="L141" s="3">
        <v>2</v>
      </c>
      <c r="M141" s="3">
        <v>0</v>
      </c>
      <c r="N141" s="3" t="s">
        <v>160</v>
      </c>
      <c r="O141" s="3">
        <v>6</v>
      </c>
      <c r="P141" s="3">
        <v>2.36</v>
      </c>
      <c r="Q141" s="3">
        <v>0</v>
      </c>
      <c r="R141" s="3">
        <v>0</v>
      </c>
      <c r="S141" s="3">
        <v>0</v>
      </c>
      <c r="T141" s="3">
        <v>1</v>
      </c>
      <c r="U141" s="3">
        <v>1</v>
      </c>
      <c r="V141" s="3">
        <v>1</v>
      </c>
      <c r="W141" s="3"/>
      <c r="X141" s="3">
        <v>25</v>
      </c>
      <c r="Y141" s="3">
        <v>25</v>
      </c>
      <c r="Z141" s="3">
        <v>25</v>
      </c>
      <c r="AA141" s="3">
        <v>0</v>
      </c>
      <c r="AB141" s="3" t="s">
        <v>170</v>
      </c>
      <c r="AC141" s="3">
        <v>6</v>
      </c>
      <c r="AD141" s="3">
        <v>25</v>
      </c>
      <c r="AE141" s="3">
        <v>0</v>
      </c>
      <c r="AF141" s="3">
        <v>0</v>
      </c>
      <c r="AG141" s="3">
        <v>0</v>
      </c>
      <c r="AH141" s="3">
        <v>0.148148148148148</v>
      </c>
      <c r="AI141" s="3" t="s">
        <v>212</v>
      </c>
      <c r="AJ141" s="3" t="s">
        <v>174</v>
      </c>
    </row>
    <row r="142" spans="1:36">
      <c r="A142" s="6">
        <v>43288</v>
      </c>
      <c r="B142" s="3" t="s">
        <v>572</v>
      </c>
      <c r="C142" s="3" t="s">
        <v>573</v>
      </c>
      <c r="D142" s="3" t="s">
        <v>573</v>
      </c>
      <c r="E142" s="3" t="s">
        <v>574</v>
      </c>
      <c r="F142" s="3" t="s">
        <v>159</v>
      </c>
      <c r="G142" s="3">
        <v>4</v>
      </c>
      <c r="H142" s="3">
        <v>0</v>
      </c>
      <c r="I142" s="3">
        <v>0</v>
      </c>
      <c r="J142" s="3">
        <v>0</v>
      </c>
      <c r="K142" s="3">
        <v>4</v>
      </c>
      <c r="L142" s="3">
        <v>0</v>
      </c>
      <c r="M142" s="3">
        <v>0</v>
      </c>
      <c r="N142" s="3" t="s">
        <v>160</v>
      </c>
      <c r="O142" s="3">
        <v>4</v>
      </c>
      <c r="P142" s="3">
        <v>5.47</v>
      </c>
      <c r="Q142" s="3">
        <v>0</v>
      </c>
      <c r="R142" s="3">
        <v>0</v>
      </c>
      <c r="S142" s="3">
        <v>0</v>
      </c>
      <c r="T142" s="3">
        <v>0</v>
      </c>
      <c r="U142" s="3">
        <v>0</v>
      </c>
      <c r="V142" s="3">
        <v>0</v>
      </c>
      <c r="W142" s="3" t="s">
        <v>207</v>
      </c>
      <c r="X142" s="3">
        <v>12</v>
      </c>
      <c r="Y142" s="3">
        <v>12</v>
      </c>
      <c r="Z142" s="3">
        <v>12</v>
      </c>
      <c r="AA142" s="3">
        <v>0</v>
      </c>
      <c r="AB142" s="3" t="s">
        <v>187</v>
      </c>
      <c r="AC142" s="3">
        <v>3</v>
      </c>
      <c r="AD142" s="3">
        <v>9.6</v>
      </c>
      <c r="AE142" s="3">
        <v>63</v>
      </c>
      <c r="AF142" s="3">
        <v>0</v>
      </c>
      <c r="AG142" s="3">
        <v>72.322742</v>
      </c>
      <c r="AH142" s="3">
        <v>0</v>
      </c>
      <c r="AI142" s="3" t="s">
        <v>241</v>
      </c>
      <c r="AJ142" s="3" t="s">
        <v>174</v>
      </c>
    </row>
    <row r="143" spans="1:36">
      <c r="A143" s="6">
        <v>43288</v>
      </c>
      <c r="B143" s="3" t="s">
        <v>575</v>
      </c>
      <c r="C143" s="3" t="s">
        <v>576</v>
      </c>
      <c r="D143" s="3" t="s">
        <v>576</v>
      </c>
      <c r="E143" s="3" t="s">
        <v>577</v>
      </c>
      <c r="F143" s="3" t="s">
        <v>159</v>
      </c>
      <c r="G143" s="3">
        <v>4</v>
      </c>
      <c r="H143" s="3">
        <v>0</v>
      </c>
      <c r="I143" s="3">
        <v>0</v>
      </c>
      <c r="J143" s="3">
        <v>4</v>
      </c>
      <c r="K143" s="3">
        <v>0</v>
      </c>
      <c r="L143" s="3">
        <v>0</v>
      </c>
      <c r="M143" s="3">
        <v>0</v>
      </c>
      <c r="N143" s="3" t="s">
        <v>160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 t="s">
        <v>161</v>
      </c>
      <c r="X143" s="3">
        <v>9.5</v>
      </c>
      <c r="Y143" s="3">
        <v>9.5</v>
      </c>
      <c r="Z143" s="3">
        <v>9.5</v>
      </c>
      <c r="AA143" s="3">
        <v>0</v>
      </c>
      <c r="AB143" s="3" t="s">
        <v>162</v>
      </c>
      <c r="AC143" s="3">
        <v>0</v>
      </c>
      <c r="AD143" s="3">
        <v>8.99</v>
      </c>
      <c r="AE143" s="3">
        <v>63</v>
      </c>
      <c r="AF143" s="3">
        <v>0</v>
      </c>
      <c r="AG143" s="3">
        <v>11.688962</v>
      </c>
      <c r="AH143" s="3">
        <v>0</v>
      </c>
      <c r="AI143" s="3" t="s">
        <v>196</v>
      </c>
      <c r="AJ143" s="3" t="s">
        <v>164</v>
      </c>
    </row>
    <row r="144" spans="1:36">
      <c r="A144" s="6">
        <v>43288</v>
      </c>
      <c r="B144" s="3" t="s">
        <v>578</v>
      </c>
      <c r="C144" s="3" t="s">
        <v>579</v>
      </c>
      <c r="D144" s="3" t="s">
        <v>580</v>
      </c>
      <c r="E144" s="3" t="s">
        <v>581</v>
      </c>
      <c r="F144" s="3" t="s">
        <v>159</v>
      </c>
      <c r="G144" s="3">
        <v>50</v>
      </c>
      <c r="H144" s="3">
        <v>0</v>
      </c>
      <c r="I144" s="3">
        <v>50</v>
      </c>
      <c r="J144" s="3">
        <v>0</v>
      </c>
      <c r="K144" s="3">
        <v>0</v>
      </c>
      <c r="L144" s="3">
        <v>0</v>
      </c>
      <c r="M144" s="3">
        <v>0</v>
      </c>
      <c r="N144" s="3" t="s">
        <v>160</v>
      </c>
      <c r="O144" s="3">
        <v>0</v>
      </c>
      <c r="P144" s="3">
        <v>0</v>
      </c>
      <c r="Q144" s="3">
        <v>0</v>
      </c>
      <c r="R144" s="3">
        <v>0</v>
      </c>
      <c r="S144" s="3">
        <v>2</v>
      </c>
      <c r="T144" s="3">
        <v>8</v>
      </c>
      <c r="U144" s="3">
        <v>8</v>
      </c>
      <c r="V144" s="3">
        <v>8</v>
      </c>
      <c r="W144" s="3"/>
      <c r="X144" s="3">
        <v>18.99</v>
      </c>
      <c r="Y144" s="3">
        <v>18.99</v>
      </c>
      <c r="Z144" s="3">
        <v>18</v>
      </c>
      <c r="AA144" s="3">
        <v>0</v>
      </c>
      <c r="AB144" s="3" t="s">
        <v>170</v>
      </c>
      <c r="AC144" s="3">
        <v>51</v>
      </c>
      <c r="AD144" s="3">
        <v>18.99</v>
      </c>
      <c r="AE144" s="3">
        <v>0</v>
      </c>
      <c r="AF144" s="3">
        <v>0</v>
      </c>
      <c r="AG144" s="3">
        <v>0</v>
      </c>
      <c r="AH144" s="3">
        <v>1.6774193548387</v>
      </c>
      <c r="AI144" s="3" t="s">
        <v>582</v>
      </c>
      <c r="AJ144" s="3" t="s">
        <v>164</v>
      </c>
    </row>
    <row r="145" spans="1:36">
      <c r="A145" s="6">
        <v>43288</v>
      </c>
      <c r="B145" s="3" t="s">
        <v>583</v>
      </c>
      <c r="C145" s="3" t="s">
        <v>584</v>
      </c>
      <c r="D145" s="3" t="s">
        <v>584</v>
      </c>
      <c r="E145" s="3" t="s">
        <v>186</v>
      </c>
      <c r="F145" s="3" t="s">
        <v>159</v>
      </c>
      <c r="G145" s="3">
        <v>3</v>
      </c>
      <c r="H145" s="3">
        <v>0</v>
      </c>
      <c r="I145" s="3">
        <v>0</v>
      </c>
      <c r="J145" s="3">
        <v>0</v>
      </c>
      <c r="K145" s="3">
        <v>3</v>
      </c>
      <c r="L145" s="3">
        <v>0</v>
      </c>
      <c r="M145" s="3">
        <v>0</v>
      </c>
      <c r="N145" s="3" t="s">
        <v>160</v>
      </c>
      <c r="O145" s="3">
        <v>3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 t="s">
        <v>161</v>
      </c>
      <c r="X145" s="3">
        <v>12</v>
      </c>
      <c r="Y145" s="3">
        <v>12</v>
      </c>
      <c r="Z145" s="3">
        <v>12</v>
      </c>
      <c r="AA145" s="3">
        <v>0</v>
      </c>
      <c r="AB145" s="3" t="s">
        <v>187</v>
      </c>
      <c r="AC145" s="3">
        <v>0</v>
      </c>
      <c r="AD145" s="3">
        <v>9.6</v>
      </c>
      <c r="AE145" s="3">
        <v>63</v>
      </c>
      <c r="AF145" s="3">
        <v>0</v>
      </c>
      <c r="AG145" s="3">
        <v>2.907135</v>
      </c>
      <c r="AH145" s="3">
        <v>0</v>
      </c>
      <c r="AI145" s="3" t="s">
        <v>188</v>
      </c>
      <c r="AJ145" s="3" t="s">
        <v>164</v>
      </c>
    </row>
    <row r="146" spans="1:36">
      <c r="A146" s="6">
        <v>43288</v>
      </c>
      <c r="B146" s="3" t="s">
        <v>585</v>
      </c>
      <c r="C146" s="3" t="s">
        <v>586</v>
      </c>
      <c r="D146" s="3" t="s">
        <v>586</v>
      </c>
      <c r="E146" s="3" t="s">
        <v>587</v>
      </c>
      <c r="F146" s="3" t="s">
        <v>159</v>
      </c>
      <c r="G146" s="3">
        <v>16</v>
      </c>
      <c r="H146" s="3">
        <v>0</v>
      </c>
      <c r="I146" s="3">
        <v>0</v>
      </c>
      <c r="J146" s="3">
        <v>1</v>
      </c>
      <c r="K146" s="3">
        <v>0</v>
      </c>
      <c r="L146" s="3">
        <v>15</v>
      </c>
      <c r="M146" s="3">
        <v>0</v>
      </c>
      <c r="N146" s="3" t="s">
        <v>160</v>
      </c>
      <c r="O146" s="3">
        <v>15</v>
      </c>
      <c r="P146" s="3">
        <v>35.99</v>
      </c>
      <c r="Q146" s="3">
        <v>0</v>
      </c>
      <c r="R146" s="3">
        <v>0</v>
      </c>
      <c r="S146" s="3">
        <v>0</v>
      </c>
      <c r="T146" s="3">
        <v>0</v>
      </c>
      <c r="U146" s="3">
        <v>2</v>
      </c>
      <c r="V146" s="3">
        <v>3</v>
      </c>
      <c r="W146" s="3" t="s">
        <v>207</v>
      </c>
      <c r="X146" s="3">
        <v>14.98</v>
      </c>
      <c r="Y146" s="3">
        <v>14.98</v>
      </c>
      <c r="Z146" s="3">
        <v>14.98</v>
      </c>
      <c r="AA146" s="3">
        <v>0</v>
      </c>
      <c r="AB146" s="3" t="s">
        <v>230</v>
      </c>
      <c r="AC146" s="3">
        <v>0</v>
      </c>
      <c r="AD146" s="3">
        <v>14.98</v>
      </c>
      <c r="AE146" s="3">
        <v>0</v>
      </c>
      <c r="AF146" s="3">
        <v>16</v>
      </c>
      <c r="AG146" s="3">
        <v>431.468179</v>
      </c>
      <c r="AH146" s="3">
        <v>0.17391304347826</v>
      </c>
      <c r="AI146" s="3" t="s">
        <v>208</v>
      </c>
      <c r="AJ146" s="3" t="s">
        <v>174</v>
      </c>
    </row>
    <row r="147" spans="1:36">
      <c r="A147" s="6">
        <v>43288</v>
      </c>
      <c r="B147" s="3" t="s">
        <v>588</v>
      </c>
      <c r="C147" s="3" t="s">
        <v>589</v>
      </c>
      <c r="D147" s="3" t="s">
        <v>589</v>
      </c>
      <c r="E147" s="3" t="s">
        <v>590</v>
      </c>
      <c r="F147" s="3" t="s">
        <v>159</v>
      </c>
      <c r="G147" s="3">
        <v>3</v>
      </c>
      <c r="H147" s="3">
        <v>0</v>
      </c>
      <c r="I147" s="3">
        <v>1</v>
      </c>
      <c r="J147" s="3">
        <v>1</v>
      </c>
      <c r="K147" s="3">
        <v>1</v>
      </c>
      <c r="L147" s="3">
        <v>0</v>
      </c>
      <c r="M147" s="3">
        <v>0</v>
      </c>
      <c r="N147" s="3" t="s">
        <v>160</v>
      </c>
      <c r="O147" s="3">
        <v>2</v>
      </c>
      <c r="P147" s="3">
        <v>3.28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1</v>
      </c>
      <c r="W147" s="3" t="s">
        <v>207</v>
      </c>
      <c r="X147" s="3">
        <v>21.98</v>
      </c>
      <c r="Y147" s="3">
        <v>21.98</v>
      </c>
      <c r="Z147" s="3">
        <v>21.98</v>
      </c>
      <c r="AA147" s="3">
        <v>0</v>
      </c>
      <c r="AB147" s="3" t="s">
        <v>187</v>
      </c>
      <c r="AC147" s="3">
        <v>0</v>
      </c>
      <c r="AD147" s="3">
        <v>19.62</v>
      </c>
      <c r="AE147" s="3">
        <v>133</v>
      </c>
      <c r="AF147" s="3">
        <v>0</v>
      </c>
      <c r="AG147" s="3">
        <v>78.394603</v>
      </c>
      <c r="AH147" s="3">
        <v>0.333333333333333</v>
      </c>
      <c r="AI147" s="3" t="s">
        <v>497</v>
      </c>
      <c r="AJ147" s="3" t="s">
        <v>174</v>
      </c>
    </row>
    <row r="148" spans="1:36">
      <c r="A148" s="6">
        <v>43288</v>
      </c>
      <c r="B148" s="3" t="s">
        <v>591</v>
      </c>
      <c r="C148" s="3" t="s">
        <v>592</v>
      </c>
      <c r="D148" s="3" t="s">
        <v>592</v>
      </c>
      <c r="E148" s="3" t="s">
        <v>14</v>
      </c>
      <c r="F148" s="3" t="s">
        <v>159</v>
      </c>
      <c r="G148" s="3">
        <v>12</v>
      </c>
      <c r="H148" s="3">
        <v>0</v>
      </c>
      <c r="I148" s="3">
        <v>12</v>
      </c>
      <c r="J148" s="3">
        <v>0</v>
      </c>
      <c r="K148" s="3">
        <v>0</v>
      </c>
      <c r="L148" s="3">
        <v>0</v>
      </c>
      <c r="M148" s="3">
        <v>0</v>
      </c>
      <c r="N148" s="3" t="s">
        <v>160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2</v>
      </c>
      <c r="U148" s="3">
        <v>5</v>
      </c>
      <c r="V148" s="3">
        <v>11</v>
      </c>
      <c r="W148" s="3" t="s">
        <v>161</v>
      </c>
      <c r="X148" s="3">
        <v>17.9</v>
      </c>
      <c r="Y148" s="3">
        <v>17.9</v>
      </c>
      <c r="Z148" s="3">
        <v>17.9</v>
      </c>
      <c r="AA148" s="3">
        <v>0</v>
      </c>
      <c r="AB148" s="3" t="s">
        <v>162</v>
      </c>
      <c r="AC148" s="3">
        <v>12</v>
      </c>
      <c r="AD148" s="3">
        <v>17.9</v>
      </c>
      <c r="AE148" s="3">
        <v>0</v>
      </c>
      <c r="AF148" s="3">
        <v>0</v>
      </c>
      <c r="AG148" s="3">
        <v>0</v>
      </c>
      <c r="AH148" s="3">
        <v>0.977777777777777</v>
      </c>
      <c r="AI148" s="3" t="s">
        <v>593</v>
      </c>
      <c r="AJ148" s="3" t="s">
        <v>164</v>
      </c>
    </row>
    <row r="149" spans="1:36">
      <c r="A149" s="6">
        <v>43288</v>
      </c>
      <c r="B149" s="3" t="s">
        <v>594</v>
      </c>
      <c r="C149" s="3" t="s">
        <v>595</v>
      </c>
      <c r="D149" s="3" t="s">
        <v>596</v>
      </c>
      <c r="E149" s="3" t="s">
        <v>178</v>
      </c>
      <c r="F149" s="3" t="s">
        <v>159</v>
      </c>
      <c r="G149" s="3">
        <v>8</v>
      </c>
      <c r="H149" s="3">
        <v>0</v>
      </c>
      <c r="I149" s="3">
        <v>8</v>
      </c>
      <c r="J149" s="3">
        <v>0</v>
      </c>
      <c r="K149" s="3">
        <v>0</v>
      </c>
      <c r="L149" s="3">
        <v>0</v>
      </c>
      <c r="M149" s="3">
        <v>0</v>
      </c>
      <c r="N149" s="3" t="s">
        <v>160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2</v>
      </c>
      <c r="U149" s="3">
        <v>2</v>
      </c>
      <c r="V149" s="3">
        <v>2</v>
      </c>
      <c r="W149" s="3" t="s">
        <v>161</v>
      </c>
      <c r="X149" s="3">
        <v>9.99</v>
      </c>
      <c r="Y149" s="3">
        <v>9.99</v>
      </c>
      <c r="Z149" s="3">
        <v>9.99</v>
      </c>
      <c r="AA149" s="3">
        <v>0</v>
      </c>
      <c r="AB149" s="3" t="s">
        <v>162</v>
      </c>
      <c r="AC149" s="3">
        <v>0</v>
      </c>
      <c r="AD149" s="3">
        <v>6.01</v>
      </c>
      <c r="AE149" s="3">
        <v>56</v>
      </c>
      <c r="AF149" s="3">
        <v>0</v>
      </c>
      <c r="AG149" s="3">
        <v>52.390882</v>
      </c>
      <c r="AH149" s="3">
        <v>0.5</v>
      </c>
      <c r="AI149" s="3" t="s">
        <v>597</v>
      </c>
      <c r="AJ149" s="3" t="s">
        <v>164</v>
      </c>
    </row>
    <row r="150" spans="1:36">
      <c r="A150" s="6">
        <v>43288</v>
      </c>
      <c r="B150" s="3" t="s">
        <v>598</v>
      </c>
      <c r="C150" s="3" t="s">
        <v>599</v>
      </c>
      <c r="D150" s="3" t="s">
        <v>600</v>
      </c>
      <c r="E150" s="3" t="s">
        <v>601</v>
      </c>
      <c r="F150" s="3" t="s">
        <v>159</v>
      </c>
      <c r="G150" s="3">
        <v>3</v>
      </c>
      <c r="H150" s="3">
        <v>0</v>
      </c>
      <c r="I150" s="3">
        <v>0</v>
      </c>
      <c r="J150" s="3">
        <v>3</v>
      </c>
      <c r="K150" s="3">
        <v>0</v>
      </c>
      <c r="L150" s="3">
        <v>0</v>
      </c>
      <c r="M150" s="3">
        <v>0</v>
      </c>
      <c r="N150" s="3" t="s">
        <v>160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1</v>
      </c>
      <c r="U150" s="3">
        <v>2</v>
      </c>
      <c r="V150" s="3">
        <v>2</v>
      </c>
      <c r="W150" s="3" t="s">
        <v>161</v>
      </c>
      <c r="X150" s="3">
        <v>11.99</v>
      </c>
      <c r="Y150" s="3">
        <v>11.99</v>
      </c>
      <c r="Z150" s="3">
        <v>11.99</v>
      </c>
      <c r="AA150" s="3">
        <v>0</v>
      </c>
      <c r="AB150" s="3" t="s">
        <v>162</v>
      </c>
      <c r="AC150" s="3">
        <v>3</v>
      </c>
      <c r="AD150" s="3">
        <v>11.99</v>
      </c>
      <c r="AE150" s="3">
        <v>0</v>
      </c>
      <c r="AF150" s="3">
        <v>0</v>
      </c>
      <c r="AG150" s="3">
        <v>0</v>
      </c>
      <c r="AH150" s="3">
        <v>0.470588235294117</v>
      </c>
      <c r="AI150" s="3" t="s">
        <v>169</v>
      </c>
      <c r="AJ150" s="3" t="s">
        <v>164</v>
      </c>
    </row>
    <row r="151" spans="1:36">
      <c r="A151" s="6">
        <v>43288</v>
      </c>
      <c r="B151" s="3" t="s">
        <v>602</v>
      </c>
      <c r="C151" s="3" t="s">
        <v>603</v>
      </c>
      <c r="D151" s="3" t="s">
        <v>603</v>
      </c>
      <c r="E151" s="3" t="s">
        <v>604</v>
      </c>
      <c r="F151" s="3" t="s">
        <v>159</v>
      </c>
      <c r="G151" s="3">
        <v>5</v>
      </c>
      <c r="H151" s="3">
        <v>0</v>
      </c>
      <c r="I151" s="3">
        <v>0</v>
      </c>
      <c r="J151" s="3">
        <v>0</v>
      </c>
      <c r="K151" s="3">
        <v>0</v>
      </c>
      <c r="L151" s="3">
        <v>5</v>
      </c>
      <c r="M151" s="3">
        <v>0</v>
      </c>
      <c r="N151" s="3" t="s">
        <v>160</v>
      </c>
      <c r="O151" s="3">
        <v>5</v>
      </c>
      <c r="P151" s="3">
        <v>12</v>
      </c>
      <c r="Q151" s="3">
        <v>0</v>
      </c>
      <c r="R151" s="3">
        <v>0</v>
      </c>
      <c r="S151" s="3">
        <v>0</v>
      </c>
      <c r="T151" s="3">
        <v>0</v>
      </c>
      <c r="U151" s="3">
        <v>3</v>
      </c>
      <c r="V151" s="3">
        <v>3</v>
      </c>
      <c r="W151" s="3" t="s">
        <v>207</v>
      </c>
      <c r="X151" s="3">
        <v>15.98</v>
      </c>
      <c r="Y151" s="3">
        <v>15.98</v>
      </c>
      <c r="Z151" s="3">
        <v>15.98</v>
      </c>
      <c r="AA151" s="3">
        <v>0</v>
      </c>
      <c r="AB151" s="3" t="s">
        <v>230</v>
      </c>
      <c r="AC151" s="3">
        <v>2</v>
      </c>
      <c r="AD151" s="3">
        <v>15.98</v>
      </c>
      <c r="AE151" s="3">
        <v>0</v>
      </c>
      <c r="AF151" s="3">
        <v>3</v>
      </c>
      <c r="AG151" s="3">
        <v>4.994583</v>
      </c>
      <c r="AH151" s="3">
        <v>0.461538461538461</v>
      </c>
      <c r="AI151" s="3" t="s">
        <v>208</v>
      </c>
      <c r="AJ151" s="3" t="s">
        <v>174</v>
      </c>
    </row>
    <row r="152" spans="1:36">
      <c r="A152" s="6">
        <v>43288</v>
      </c>
      <c r="B152" s="3" t="s">
        <v>115</v>
      </c>
      <c r="C152" s="3" t="s">
        <v>116</v>
      </c>
      <c r="D152" s="3" t="s">
        <v>117</v>
      </c>
      <c r="E152" s="3" t="s">
        <v>118</v>
      </c>
      <c r="F152" s="3" t="s">
        <v>159</v>
      </c>
      <c r="G152" s="3">
        <v>81</v>
      </c>
      <c r="H152" s="3">
        <v>0</v>
      </c>
      <c r="I152" s="3">
        <v>81</v>
      </c>
      <c r="J152" s="3">
        <v>0</v>
      </c>
      <c r="K152" s="3">
        <v>0</v>
      </c>
      <c r="L152" s="3">
        <v>0</v>
      </c>
      <c r="M152" s="3">
        <v>0</v>
      </c>
      <c r="N152" s="3" t="s">
        <v>160</v>
      </c>
      <c r="O152" s="3">
        <v>0</v>
      </c>
      <c r="P152" s="3">
        <v>0</v>
      </c>
      <c r="Q152" s="3">
        <v>0</v>
      </c>
      <c r="R152" s="3">
        <v>0</v>
      </c>
      <c r="S152" s="3">
        <v>15</v>
      </c>
      <c r="T152" s="3">
        <v>39</v>
      </c>
      <c r="U152" s="3">
        <v>39</v>
      </c>
      <c r="V152" s="3">
        <v>39</v>
      </c>
      <c r="W152" s="3"/>
      <c r="X152" s="3">
        <v>24.99</v>
      </c>
      <c r="Y152" s="3">
        <v>24.99</v>
      </c>
      <c r="Z152" s="3">
        <v>23</v>
      </c>
      <c r="AA152" s="3">
        <v>0</v>
      </c>
      <c r="AB152" s="3" t="s">
        <v>170</v>
      </c>
      <c r="AC152" s="3">
        <v>88</v>
      </c>
      <c r="AD152" s="3">
        <v>24.99</v>
      </c>
      <c r="AE152" s="3">
        <v>0</v>
      </c>
      <c r="AF152" s="3">
        <v>0</v>
      </c>
      <c r="AG152" s="3">
        <v>0</v>
      </c>
      <c r="AH152" s="3">
        <v>3.47586206896551</v>
      </c>
      <c r="AI152" s="3" t="s">
        <v>605</v>
      </c>
      <c r="AJ152" s="3" t="s">
        <v>164</v>
      </c>
    </row>
    <row r="153" spans="1:36">
      <c r="A153" s="6">
        <v>43288</v>
      </c>
      <c r="B153" s="3" t="s">
        <v>606</v>
      </c>
      <c r="C153" s="3" t="s">
        <v>607</v>
      </c>
      <c r="D153" s="3" t="s">
        <v>607</v>
      </c>
      <c r="E153" s="3" t="s">
        <v>608</v>
      </c>
      <c r="F153" s="3" t="s">
        <v>159</v>
      </c>
      <c r="G153" s="3">
        <v>8</v>
      </c>
      <c r="H153" s="3">
        <v>0</v>
      </c>
      <c r="I153" s="3">
        <v>0</v>
      </c>
      <c r="J153" s="3">
        <v>0</v>
      </c>
      <c r="K153" s="3">
        <v>1</v>
      </c>
      <c r="L153" s="3">
        <v>7</v>
      </c>
      <c r="M153" s="3">
        <v>0</v>
      </c>
      <c r="N153" s="3" t="s">
        <v>160</v>
      </c>
      <c r="O153" s="3">
        <v>8</v>
      </c>
      <c r="P153" s="3">
        <v>19.2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1</v>
      </c>
      <c r="W153" s="3" t="s">
        <v>207</v>
      </c>
      <c r="X153" s="3">
        <v>35.99</v>
      </c>
      <c r="Y153" s="3">
        <v>15.98</v>
      </c>
      <c r="Z153" s="3">
        <v>15.98</v>
      </c>
      <c r="AA153" s="3">
        <v>0</v>
      </c>
      <c r="AB153" s="3" t="s">
        <v>187</v>
      </c>
      <c r="AC153" s="3">
        <v>0</v>
      </c>
      <c r="AD153" s="3">
        <v>12.78</v>
      </c>
      <c r="AE153" s="3">
        <v>364</v>
      </c>
      <c r="AF153" s="3">
        <v>0</v>
      </c>
      <c r="AG153" s="3">
        <v>264.047919</v>
      </c>
      <c r="AH153" s="3">
        <v>0.108108108108108</v>
      </c>
      <c r="AI153" s="3" t="s">
        <v>208</v>
      </c>
      <c r="AJ153" s="3" t="s">
        <v>174</v>
      </c>
    </row>
    <row r="154" spans="1:36">
      <c r="A154" s="6">
        <v>43288</v>
      </c>
      <c r="B154" s="3" t="s">
        <v>609</v>
      </c>
      <c r="C154" s="3" t="s">
        <v>610</v>
      </c>
      <c r="D154" s="3" t="s">
        <v>610</v>
      </c>
      <c r="E154" s="3" t="s">
        <v>611</v>
      </c>
      <c r="F154" s="3" t="s">
        <v>159</v>
      </c>
      <c r="G154" s="3">
        <v>2</v>
      </c>
      <c r="H154" s="3">
        <v>0</v>
      </c>
      <c r="I154" s="3">
        <v>1</v>
      </c>
      <c r="J154" s="3">
        <v>0</v>
      </c>
      <c r="K154" s="3">
        <v>1</v>
      </c>
      <c r="L154" s="3">
        <v>0</v>
      </c>
      <c r="M154" s="3">
        <v>0</v>
      </c>
      <c r="N154" s="3" t="s">
        <v>160</v>
      </c>
      <c r="O154" s="3">
        <v>1</v>
      </c>
      <c r="P154" s="3">
        <v>1.37</v>
      </c>
      <c r="Q154" s="3">
        <v>0</v>
      </c>
      <c r="R154" s="3">
        <v>0</v>
      </c>
      <c r="S154" s="3">
        <v>0</v>
      </c>
      <c r="T154" s="3">
        <v>1</v>
      </c>
      <c r="U154" s="3">
        <v>3</v>
      </c>
      <c r="V154" s="3">
        <v>3</v>
      </c>
      <c r="W154" s="3"/>
      <c r="X154" s="3">
        <v>12</v>
      </c>
      <c r="Y154" s="3">
        <v>12</v>
      </c>
      <c r="Z154" s="3">
        <v>12</v>
      </c>
      <c r="AA154" s="3">
        <v>0</v>
      </c>
      <c r="AB154" s="3" t="s">
        <v>187</v>
      </c>
      <c r="AC154" s="3">
        <v>0</v>
      </c>
      <c r="AD154" s="3">
        <v>9.6</v>
      </c>
      <c r="AE154" s="3">
        <v>63</v>
      </c>
      <c r="AF154" s="3">
        <v>0</v>
      </c>
      <c r="AG154" s="3">
        <v>16.310598</v>
      </c>
      <c r="AH154" s="3">
        <v>0.923076923076923</v>
      </c>
      <c r="AI154" s="3" t="s">
        <v>241</v>
      </c>
      <c r="AJ154" s="3" t="s">
        <v>174</v>
      </c>
    </row>
    <row r="155" spans="1:36">
      <c r="A155" s="6">
        <v>43288</v>
      </c>
      <c r="B155" s="3" t="s">
        <v>612</v>
      </c>
      <c r="C155" s="3" t="s">
        <v>613</v>
      </c>
      <c r="D155" s="3" t="s">
        <v>613</v>
      </c>
      <c r="E155" s="3" t="s">
        <v>26</v>
      </c>
      <c r="F155" s="3" t="s">
        <v>159</v>
      </c>
      <c r="G155" s="3">
        <v>6</v>
      </c>
      <c r="H155" s="3">
        <v>0</v>
      </c>
      <c r="I155" s="3">
        <v>2</v>
      </c>
      <c r="J155" s="3">
        <v>0</v>
      </c>
      <c r="K155" s="3">
        <v>4</v>
      </c>
      <c r="L155" s="3">
        <v>0</v>
      </c>
      <c r="M155" s="3">
        <v>0</v>
      </c>
      <c r="N155" s="3" t="s">
        <v>160</v>
      </c>
      <c r="O155" s="3">
        <v>4</v>
      </c>
      <c r="P155" s="3">
        <v>1.57</v>
      </c>
      <c r="Q155" s="3">
        <v>0</v>
      </c>
      <c r="R155" s="3">
        <v>0</v>
      </c>
      <c r="S155" s="3">
        <v>1</v>
      </c>
      <c r="T155" s="3">
        <v>1</v>
      </c>
      <c r="U155" s="3">
        <v>1</v>
      </c>
      <c r="V155" s="3">
        <v>1</v>
      </c>
      <c r="W155" s="3"/>
      <c r="X155" s="3">
        <v>20</v>
      </c>
      <c r="Y155" s="3">
        <v>20</v>
      </c>
      <c r="Z155" s="3">
        <v>20</v>
      </c>
      <c r="AA155" s="3">
        <v>0</v>
      </c>
      <c r="AB155" s="3" t="s">
        <v>187</v>
      </c>
      <c r="AC155" s="3">
        <v>1</v>
      </c>
      <c r="AD155" s="3">
        <v>18.58</v>
      </c>
      <c r="AE155" s="3">
        <v>112</v>
      </c>
      <c r="AF155" s="3">
        <v>0</v>
      </c>
      <c r="AG155" s="3">
        <v>64.837813</v>
      </c>
      <c r="AH155" s="3">
        <v>0.166666666666666</v>
      </c>
      <c r="AI155" s="3" t="s">
        <v>212</v>
      </c>
      <c r="AJ155" s="3" t="s">
        <v>174</v>
      </c>
    </row>
    <row r="156" spans="1:36">
      <c r="A156" s="6">
        <v>43288</v>
      </c>
      <c r="B156" s="3" t="s">
        <v>614</v>
      </c>
      <c r="C156" s="3" t="s">
        <v>615</v>
      </c>
      <c r="D156" s="3" t="s">
        <v>615</v>
      </c>
      <c r="E156" s="3" t="s">
        <v>26</v>
      </c>
      <c r="F156" s="3" t="s">
        <v>159</v>
      </c>
      <c r="G156" s="3">
        <v>10</v>
      </c>
      <c r="H156" s="3">
        <v>0</v>
      </c>
      <c r="I156" s="3">
        <v>0</v>
      </c>
      <c r="J156" s="3">
        <v>0</v>
      </c>
      <c r="K156" s="3">
        <v>8</v>
      </c>
      <c r="L156" s="3">
        <v>2</v>
      </c>
      <c r="M156" s="3">
        <v>0</v>
      </c>
      <c r="N156" s="3" t="s">
        <v>160</v>
      </c>
      <c r="O156" s="3">
        <v>10</v>
      </c>
      <c r="P156" s="3">
        <v>3.93</v>
      </c>
      <c r="Q156" s="3">
        <v>0</v>
      </c>
      <c r="R156" s="3">
        <v>0</v>
      </c>
      <c r="S156" s="3">
        <v>0</v>
      </c>
      <c r="T156" s="3">
        <v>1</v>
      </c>
      <c r="U156" s="3">
        <v>1</v>
      </c>
      <c r="V156" s="3">
        <v>1</v>
      </c>
      <c r="W156" s="3" t="s">
        <v>207</v>
      </c>
      <c r="X156" s="3">
        <v>20</v>
      </c>
      <c r="Y156" s="3">
        <v>20</v>
      </c>
      <c r="Z156" s="3">
        <v>20</v>
      </c>
      <c r="AA156" s="3">
        <v>0</v>
      </c>
      <c r="AB156" s="3" t="s">
        <v>170</v>
      </c>
      <c r="AC156" s="3">
        <v>10</v>
      </c>
      <c r="AD156" s="3">
        <v>20</v>
      </c>
      <c r="AE156" s="3">
        <v>0</v>
      </c>
      <c r="AF156" s="3">
        <v>0</v>
      </c>
      <c r="AG156" s="3">
        <v>0</v>
      </c>
      <c r="AH156" s="3">
        <v>0.0930232558139534</v>
      </c>
      <c r="AI156" s="3" t="s">
        <v>212</v>
      </c>
      <c r="AJ156" s="3" t="s">
        <v>174</v>
      </c>
    </row>
    <row r="157" spans="1:36">
      <c r="A157" s="6">
        <v>43288</v>
      </c>
      <c r="B157" s="3" t="s">
        <v>616</v>
      </c>
      <c r="C157" s="3" t="s">
        <v>617</v>
      </c>
      <c r="D157" s="3" t="s">
        <v>617</v>
      </c>
      <c r="E157" s="3" t="s">
        <v>186</v>
      </c>
      <c r="F157" s="3" t="s">
        <v>159</v>
      </c>
      <c r="G157" s="3">
        <v>3</v>
      </c>
      <c r="H157" s="3">
        <v>0</v>
      </c>
      <c r="I157" s="3">
        <v>0</v>
      </c>
      <c r="J157" s="3">
        <v>0</v>
      </c>
      <c r="K157" s="3">
        <v>3</v>
      </c>
      <c r="L157" s="3">
        <v>0</v>
      </c>
      <c r="M157" s="3">
        <v>0</v>
      </c>
      <c r="N157" s="3" t="s">
        <v>160</v>
      </c>
      <c r="O157" s="3">
        <v>3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 t="s">
        <v>161</v>
      </c>
      <c r="X157" s="3">
        <v>12</v>
      </c>
      <c r="Y157" s="3">
        <v>12</v>
      </c>
      <c r="Z157" s="3">
        <v>12</v>
      </c>
      <c r="AA157" s="3">
        <v>0</v>
      </c>
      <c r="AB157" s="3" t="s">
        <v>187</v>
      </c>
      <c r="AC157" s="3">
        <v>0</v>
      </c>
      <c r="AD157" s="3">
        <v>9.6</v>
      </c>
      <c r="AE157" s="3">
        <v>63</v>
      </c>
      <c r="AF157" s="3">
        <v>0</v>
      </c>
      <c r="AG157" s="3">
        <v>2.907135</v>
      </c>
      <c r="AH157" s="3">
        <v>0</v>
      </c>
      <c r="AI157" s="3" t="s">
        <v>188</v>
      </c>
      <c r="AJ157" s="3" t="s">
        <v>164</v>
      </c>
    </row>
    <row r="158" spans="1:36">
      <c r="A158" s="6">
        <v>43288</v>
      </c>
      <c r="B158" s="3" t="s">
        <v>618</v>
      </c>
      <c r="C158" s="3" t="s">
        <v>619</v>
      </c>
      <c r="D158" s="3" t="s">
        <v>619</v>
      </c>
      <c r="E158" s="3" t="s">
        <v>26</v>
      </c>
      <c r="F158" s="3" t="s">
        <v>159</v>
      </c>
      <c r="G158" s="3">
        <v>6</v>
      </c>
      <c r="H158" s="3">
        <v>0</v>
      </c>
      <c r="I158" s="3">
        <v>0</v>
      </c>
      <c r="J158" s="3">
        <v>0</v>
      </c>
      <c r="K158" s="3">
        <v>4</v>
      </c>
      <c r="L158" s="3">
        <v>2</v>
      </c>
      <c r="M158" s="3">
        <v>0</v>
      </c>
      <c r="N158" s="3" t="s">
        <v>160</v>
      </c>
      <c r="O158" s="3">
        <v>6</v>
      </c>
      <c r="P158" s="3">
        <v>2.36</v>
      </c>
      <c r="Q158" s="3">
        <v>0</v>
      </c>
      <c r="R158" s="3">
        <v>0</v>
      </c>
      <c r="S158" s="3">
        <v>0</v>
      </c>
      <c r="T158" s="3">
        <v>1</v>
      </c>
      <c r="U158" s="3">
        <v>1</v>
      </c>
      <c r="V158" s="3">
        <v>1</v>
      </c>
      <c r="W158" s="3"/>
      <c r="X158" s="3">
        <v>25</v>
      </c>
      <c r="Y158" s="3">
        <v>25</v>
      </c>
      <c r="Z158" s="3">
        <v>25</v>
      </c>
      <c r="AA158" s="3">
        <v>0</v>
      </c>
      <c r="AB158" s="3" t="s">
        <v>170</v>
      </c>
      <c r="AC158" s="3">
        <v>6</v>
      </c>
      <c r="AD158" s="3">
        <v>25</v>
      </c>
      <c r="AE158" s="3">
        <v>0</v>
      </c>
      <c r="AF158" s="3">
        <v>0</v>
      </c>
      <c r="AG158" s="3">
        <v>0</v>
      </c>
      <c r="AH158" s="3">
        <v>0.148148148148148</v>
      </c>
      <c r="AI158" s="3" t="s">
        <v>212</v>
      </c>
      <c r="AJ158" s="3" t="s">
        <v>174</v>
      </c>
    </row>
    <row r="159" spans="1:36">
      <c r="A159" s="6">
        <v>43288</v>
      </c>
      <c r="B159" s="3" t="s">
        <v>620</v>
      </c>
      <c r="C159" s="3" t="s">
        <v>621</v>
      </c>
      <c r="D159" s="3" t="s">
        <v>621</v>
      </c>
      <c r="E159" s="3" t="s">
        <v>622</v>
      </c>
      <c r="F159" s="3" t="s">
        <v>159</v>
      </c>
      <c r="G159" s="3">
        <v>4</v>
      </c>
      <c r="H159" s="3">
        <v>0</v>
      </c>
      <c r="I159" s="3">
        <v>0</v>
      </c>
      <c r="J159" s="3">
        <v>4</v>
      </c>
      <c r="K159" s="3">
        <v>0</v>
      </c>
      <c r="L159" s="3">
        <v>0</v>
      </c>
      <c r="M159" s="3">
        <v>0</v>
      </c>
      <c r="N159" s="3" t="s">
        <v>160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 t="s">
        <v>161</v>
      </c>
      <c r="X159" s="3">
        <v>9.5</v>
      </c>
      <c r="Y159" s="3">
        <v>9.5</v>
      </c>
      <c r="Z159" s="3">
        <v>9.5</v>
      </c>
      <c r="AA159" s="3">
        <v>0</v>
      </c>
      <c r="AB159" s="3" t="s">
        <v>162</v>
      </c>
      <c r="AC159" s="3">
        <v>0</v>
      </c>
      <c r="AD159" s="3">
        <v>9.5</v>
      </c>
      <c r="AE159" s="3">
        <v>63</v>
      </c>
      <c r="AF159" s="3">
        <v>0</v>
      </c>
      <c r="AG159" s="3">
        <v>3.437302</v>
      </c>
      <c r="AH159" s="3">
        <v>0</v>
      </c>
      <c r="AI159" s="3" t="s">
        <v>192</v>
      </c>
      <c r="AJ159" s="3" t="s">
        <v>164</v>
      </c>
    </row>
    <row r="160" spans="1:36">
      <c r="A160" s="6">
        <v>43288</v>
      </c>
      <c r="B160" s="3" t="s">
        <v>623</v>
      </c>
      <c r="C160" s="3" t="s">
        <v>624</v>
      </c>
      <c r="D160" s="3" t="s">
        <v>624</v>
      </c>
      <c r="E160" s="3" t="s">
        <v>625</v>
      </c>
      <c r="F160" s="3" t="s">
        <v>159</v>
      </c>
      <c r="G160" s="3">
        <v>4</v>
      </c>
      <c r="H160" s="3">
        <v>0</v>
      </c>
      <c r="I160" s="3">
        <v>0</v>
      </c>
      <c r="J160" s="3">
        <v>4</v>
      </c>
      <c r="K160" s="3">
        <v>0</v>
      </c>
      <c r="L160" s="3">
        <v>0</v>
      </c>
      <c r="M160" s="3">
        <v>0</v>
      </c>
      <c r="N160" s="3" t="s">
        <v>160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 t="s">
        <v>161</v>
      </c>
      <c r="X160" s="3">
        <v>8.99</v>
      </c>
      <c r="Y160" s="3">
        <v>8.99</v>
      </c>
      <c r="Z160" s="3">
        <v>8.99</v>
      </c>
      <c r="AA160" s="3">
        <v>0</v>
      </c>
      <c r="AB160" s="3" t="s">
        <v>162</v>
      </c>
      <c r="AC160" s="3">
        <v>0</v>
      </c>
      <c r="AD160" s="3">
        <v>8.99</v>
      </c>
      <c r="AE160" s="3">
        <v>63</v>
      </c>
      <c r="AF160" s="3">
        <v>0</v>
      </c>
      <c r="AG160" s="3">
        <v>11.688962</v>
      </c>
      <c r="AH160" s="3">
        <v>0</v>
      </c>
      <c r="AI160" s="3" t="s">
        <v>196</v>
      </c>
      <c r="AJ160" s="3" t="s">
        <v>164</v>
      </c>
    </row>
    <row r="161" spans="1:36">
      <c r="A161" s="6">
        <v>43288</v>
      </c>
      <c r="B161" s="3" t="s">
        <v>83</v>
      </c>
      <c r="C161" s="3" t="s">
        <v>84</v>
      </c>
      <c r="D161" s="3" t="s">
        <v>85</v>
      </c>
      <c r="E161" s="3" t="s">
        <v>86</v>
      </c>
      <c r="F161" s="3" t="s">
        <v>159</v>
      </c>
      <c r="G161" s="3">
        <v>42</v>
      </c>
      <c r="H161" s="3">
        <v>0</v>
      </c>
      <c r="I161" s="3">
        <v>42</v>
      </c>
      <c r="J161" s="3">
        <v>0</v>
      </c>
      <c r="K161" s="3">
        <v>0</v>
      </c>
      <c r="L161" s="3">
        <v>0</v>
      </c>
      <c r="M161" s="3">
        <v>0</v>
      </c>
      <c r="N161" s="3" t="s">
        <v>160</v>
      </c>
      <c r="O161" s="3">
        <v>0</v>
      </c>
      <c r="P161" s="3">
        <v>0</v>
      </c>
      <c r="Q161" s="3">
        <v>0</v>
      </c>
      <c r="R161" s="3">
        <v>0</v>
      </c>
      <c r="S161" s="3">
        <v>4</v>
      </c>
      <c r="T161" s="3">
        <v>4</v>
      </c>
      <c r="U161" s="3">
        <v>4</v>
      </c>
      <c r="V161" s="3">
        <v>4</v>
      </c>
      <c r="W161" s="3" t="s">
        <v>207</v>
      </c>
      <c r="X161" s="3">
        <v>13.99</v>
      </c>
      <c r="Y161" s="3">
        <v>13.99</v>
      </c>
      <c r="Z161" s="3">
        <v>13.99</v>
      </c>
      <c r="AA161" s="3">
        <v>0</v>
      </c>
      <c r="AB161" s="3" t="s">
        <v>170</v>
      </c>
      <c r="AC161" s="3">
        <v>19</v>
      </c>
      <c r="AD161" s="3">
        <v>13.99</v>
      </c>
      <c r="AE161" s="3">
        <v>0</v>
      </c>
      <c r="AF161" s="3">
        <v>0</v>
      </c>
      <c r="AG161" s="3">
        <v>0</v>
      </c>
      <c r="AH161" s="3">
        <v>6.94736842105263</v>
      </c>
      <c r="AI161" s="3" t="s">
        <v>626</v>
      </c>
      <c r="AJ161" s="3" t="s">
        <v>164</v>
      </c>
    </row>
    <row r="162" spans="1:36">
      <c r="A162" s="6">
        <v>43288</v>
      </c>
      <c r="B162" s="3" t="s">
        <v>627</v>
      </c>
      <c r="C162" s="3" t="s">
        <v>628</v>
      </c>
      <c r="D162" s="3" t="s">
        <v>629</v>
      </c>
      <c r="E162" s="3" t="s">
        <v>630</v>
      </c>
      <c r="F162" s="3" t="s">
        <v>159</v>
      </c>
      <c r="G162" s="3">
        <v>18</v>
      </c>
      <c r="H162" s="3">
        <v>0</v>
      </c>
      <c r="I162" s="3">
        <v>18</v>
      </c>
      <c r="J162" s="3">
        <v>0</v>
      </c>
      <c r="K162" s="3">
        <v>0</v>
      </c>
      <c r="L162" s="3">
        <v>0</v>
      </c>
      <c r="M162" s="3">
        <v>0</v>
      </c>
      <c r="N162" s="3" t="s">
        <v>160</v>
      </c>
      <c r="O162" s="3">
        <v>0</v>
      </c>
      <c r="P162" s="3">
        <v>0</v>
      </c>
      <c r="Q162" s="3">
        <v>0</v>
      </c>
      <c r="R162" s="3">
        <v>0</v>
      </c>
      <c r="S162" s="3">
        <v>4</v>
      </c>
      <c r="T162" s="3">
        <v>16</v>
      </c>
      <c r="U162" s="3">
        <v>17</v>
      </c>
      <c r="V162" s="3">
        <v>17</v>
      </c>
      <c r="W162" s="3"/>
      <c r="X162" s="3">
        <v>13.99</v>
      </c>
      <c r="Y162" s="3">
        <v>13.99</v>
      </c>
      <c r="Z162" s="3">
        <v>13</v>
      </c>
      <c r="AA162" s="3">
        <v>0</v>
      </c>
      <c r="AB162" s="3" t="s">
        <v>170</v>
      </c>
      <c r="AC162" s="3">
        <v>21</v>
      </c>
      <c r="AD162" s="3">
        <v>13.99</v>
      </c>
      <c r="AE162" s="3">
        <v>0</v>
      </c>
      <c r="AF162" s="3">
        <v>0</v>
      </c>
      <c r="AG162" s="3">
        <v>0</v>
      </c>
      <c r="AH162" s="3">
        <v>1.0625</v>
      </c>
      <c r="AI162" s="3" t="s">
        <v>631</v>
      </c>
      <c r="AJ162" s="3" t="s">
        <v>164</v>
      </c>
    </row>
    <row r="163" spans="1:36">
      <c r="A163" s="6">
        <v>43288</v>
      </c>
      <c r="B163" s="3" t="s">
        <v>24</v>
      </c>
      <c r="C163" s="3" t="s">
        <v>25</v>
      </c>
      <c r="D163" s="3" t="s">
        <v>25</v>
      </c>
      <c r="E163" s="3" t="s">
        <v>26</v>
      </c>
      <c r="F163" s="3" t="s">
        <v>159</v>
      </c>
      <c r="G163" s="3">
        <v>4</v>
      </c>
      <c r="H163" s="3">
        <v>0</v>
      </c>
      <c r="I163" s="3">
        <v>0</v>
      </c>
      <c r="J163" s="3">
        <v>0</v>
      </c>
      <c r="K163" s="3">
        <v>4</v>
      </c>
      <c r="L163" s="3">
        <v>0</v>
      </c>
      <c r="M163" s="3">
        <v>0</v>
      </c>
      <c r="N163" s="3" t="s">
        <v>160</v>
      </c>
      <c r="O163" s="3">
        <v>4</v>
      </c>
      <c r="P163" s="3">
        <v>1.58</v>
      </c>
      <c r="Q163" s="3">
        <v>0</v>
      </c>
      <c r="R163" s="3">
        <v>0</v>
      </c>
      <c r="S163" s="3">
        <v>0</v>
      </c>
      <c r="T163" s="3">
        <v>2</v>
      </c>
      <c r="U163" s="3">
        <v>2</v>
      </c>
      <c r="V163" s="3">
        <v>2</v>
      </c>
      <c r="W163" s="3" t="s">
        <v>207</v>
      </c>
      <c r="X163" s="3">
        <v>20</v>
      </c>
      <c r="Y163" s="3">
        <v>20</v>
      </c>
      <c r="Z163" s="3">
        <v>20</v>
      </c>
      <c r="AA163" s="3">
        <v>0</v>
      </c>
      <c r="AB163" s="3" t="s">
        <v>170</v>
      </c>
      <c r="AC163" s="3">
        <v>4</v>
      </c>
      <c r="AD163" s="3">
        <v>20</v>
      </c>
      <c r="AE163" s="3">
        <v>0</v>
      </c>
      <c r="AF163" s="3">
        <v>0</v>
      </c>
      <c r="AG163" s="3">
        <v>0</v>
      </c>
      <c r="AH163" s="3">
        <v>0.363636363636363</v>
      </c>
      <c r="AI163" s="3" t="s">
        <v>212</v>
      </c>
      <c r="AJ163" s="3" t="s">
        <v>174</v>
      </c>
    </row>
    <row r="164" spans="1:36">
      <c r="A164" s="6">
        <v>43288</v>
      </c>
      <c r="B164" s="3" t="s">
        <v>632</v>
      </c>
      <c r="C164" s="3" t="s">
        <v>633</v>
      </c>
      <c r="D164" s="3" t="s">
        <v>633</v>
      </c>
      <c r="E164" s="3" t="s">
        <v>634</v>
      </c>
      <c r="F164" s="3" t="s">
        <v>159</v>
      </c>
      <c r="G164" s="3">
        <v>2</v>
      </c>
      <c r="H164" s="3">
        <v>0</v>
      </c>
      <c r="I164" s="3">
        <v>2</v>
      </c>
      <c r="J164" s="3">
        <v>0</v>
      </c>
      <c r="K164" s="3">
        <v>0</v>
      </c>
      <c r="L164" s="3">
        <v>0</v>
      </c>
      <c r="M164" s="3">
        <v>0</v>
      </c>
      <c r="N164" s="3" t="s">
        <v>160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1</v>
      </c>
      <c r="U164" s="3">
        <v>11</v>
      </c>
      <c r="V164" s="3">
        <v>12</v>
      </c>
      <c r="W164" s="3"/>
      <c r="X164" s="3">
        <v>15.98</v>
      </c>
      <c r="Y164" s="3">
        <v>15.98</v>
      </c>
      <c r="Z164" s="3">
        <v>15.98</v>
      </c>
      <c r="AA164" s="3">
        <v>0</v>
      </c>
      <c r="AB164" s="3" t="s">
        <v>170</v>
      </c>
      <c r="AC164" s="3">
        <v>2</v>
      </c>
      <c r="AD164" s="3">
        <v>15.98</v>
      </c>
      <c r="AE164" s="3">
        <v>0</v>
      </c>
      <c r="AF164" s="3">
        <v>0</v>
      </c>
      <c r="AG164" s="3">
        <v>0</v>
      </c>
      <c r="AH164" s="3">
        <v>1.84615384615384</v>
      </c>
      <c r="AI164" s="3" t="s">
        <v>208</v>
      </c>
      <c r="AJ164" s="3" t="s">
        <v>174</v>
      </c>
    </row>
    <row r="165" spans="1:36">
      <c r="A165" s="6">
        <v>43288</v>
      </c>
      <c r="B165" s="3" t="s">
        <v>635</v>
      </c>
      <c r="C165" s="3" t="s">
        <v>636</v>
      </c>
      <c r="D165" s="3" t="s">
        <v>636</v>
      </c>
      <c r="E165" s="3" t="s">
        <v>26</v>
      </c>
      <c r="F165" s="3" t="s">
        <v>159</v>
      </c>
      <c r="G165" s="3">
        <v>6</v>
      </c>
      <c r="H165" s="3">
        <v>0</v>
      </c>
      <c r="I165" s="3">
        <v>0</v>
      </c>
      <c r="J165" s="3">
        <v>0</v>
      </c>
      <c r="K165" s="3">
        <v>4</v>
      </c>
      <c r="L165" s="3">
        <v>2</v>
      </c>
      <c r="M165" s="3">
        <v>0</v>
      </c>
      <c r="N165" s="3" t="s">
        <v>160</v>
      </c>
      <c r="O165" s="3">
        <v>6</v>
      </c>
      <c r="P165" s="3">
        <v>0.98</v>
      </c>
      <c r="Q165" s="3">
        <v>0</v>
      </c>
      <c r="R165" s="3">
        <v>0</v>
      </c>
      <c r="S165" s="3">
        <v>0</v>
      </c>
      <c r="T165" s="3">
        <v>0</v>
      </c>
      <c r="U165" s="3">
        <v>1</v>
      </c>
      <c r="V165" s="3">
        <v>1</v>
      </c>
      <c r="W165" s="3" t="s">
        <v>207</v>
      </c>
      <c r="X165" s="3">
        <v>25</v>
      </c>
      <c r="Y165" s="3">
        <v>25</v>
      </c>
      <c r="Z165" s="3">
        <v>25</v>
      </c>
      <c r="AA165" s="3">
        <v>0</v>
      </c>
      <c r="AB165" s="3" t="s">
        <v>170</v>
      </c>
      <c r="AC165" s="3">
        <v>6</v>
      </c>
      <c r="AD165" s="3">
        <v>25</v>
      </c>
      <c r="AE165" s="3">
        <v>0</v>
      </c>
      <c r="AF165" s="3">
        <v>0</v>
      </c>
      <c r="AG165" s="3">
        <v>0</v>
      </c>
      <c r="AH165" s="3">
        <v>0.153846153846153</v>
      </c>
      <c r="AI165" s="3" t="s">
        <v>637</v>
      </c>
      <c r="AJ165" s="3" t="s">
        <v>174</v>
      </c>
    </row>
    <row r="166" spans="1:36">
      <c r="A166" s="6">
        <v>43288</v>
      </c>
      <c r="B166" s="3" t="s">
        <v>638</v>
      </c>
      <c r="C166" s="3" t="s">
        <v>639</v>
      </c>
      <c r="D166" s="3" t="s">
        <v>639</v>
      </c>
      <c r="E166" s="3" t="s">
        <v>640</v>
      </c>
      <c r="F166" s="3" t="s">
        <v>159</v>
      </c>
      <c r="G166" s="3">
        <v>4</v>
      </c>
      <c r="H166" s="3">
        <v>0</v>
      </c>
      <c r="I166" s="3">
        <v>0</v>
      </c>
      <c r="J166" s="3">
        <v>4</v>
      </c>
      <c r="K166" s="3">
        <v>0</v>
      </c>
      <c r="L166" s="3">
        <v>0</v>
      </c>
      <c r="M166" s="3">
        <v>0</v>
      </c>
      <c r="N166" s="3" t="s">
        <v>160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0</v>
      </c>
      <c r="W166" s="3" t="s">
        <v>161</v>
      </c>
      <c r="X166" s="3">
        <v>9.5</v>
      </c>
      <c r="Y166" s="3">
        <v>9.5</v>
      </c>
      <c r="Z166" s="3">
        <v>9.5</v>
      </c>
      <c r="AA166" s="3">
        <v>0</v>
      </c>
      <c r="AB166" s="3" t="s">
        <v>162</v>
      </c>
      <c r="AC166" s="3">
        <v>0</v>
      </c>
      <c r="AD166" s="3">
        <v>9.5</v>
      </c>
      <c r="AE166" s="3">
        <v>63</v>
      </c>
      <c r="AF166" s="3">
        <v>0</v>
      </c>
      <c r="AG166" s="3">
        <v>3.437302</v>
      </c>
      <c r="AH166" s="3">
        <v>0</v>
      </c>
      <c r="AI166" s="3" t="s">
        <v>192</v>
      </c>
      <c r="AJ166" s="3" t="s">
        <v>164</v>
      </c>
    </row>
    <row r="167" spans="1:36">
      <c r="A167" s="6">
        <v>43288</v>
      </c>
      <c r="B167" s="3" t="s">
        <v>641</v>
      </c>
      <c r="C167" s="3" t="s">
        <v>642</v>
      </c>
      <c r="D167" s="3" t="s">
        <v>642</v>
      </c>
      <c r="E167" s="3" t="s">
        <v>643</v>
      </c>
      <c r="F167" s="3" t="s">
        <v>159</v>
      </c>
      <c r="G167" s="3">
        <v>2</v>
      </c>
      <c r="H167" s="3">
        <v>0</v>
      </c>
      <c r="I167" s="3">
        <v>2</v>
      </c>
      <c r="J167" s="3">
        <v>0</v>
      </c>
      <c r="K167" s="3">
        <v>0</v>
      </c>
      <c r="L167" s="3">
        <v>0</v>
      </c>
      <c r="M167" s="3">
        <v>0</v>
      </c>
      <c r="N167" s="3" t="s">
        <v>160</v>
      </c>
      <c r="O167" s="3">
        <v>0</v>
      </c>
      <c r="P167" s="3">
        <v>0</v>
      </c>
      <c r="Q167" s="3">
        <v>0</v>
      </c>
      <c r="R167" s="3">
        <v>0</v>
      </c>
      <c r="S167" s="3">
        <v>5</v>
      </c>
      <c r="T167" s="3">
        <v>22</v>
      </c>
      <c r="U167" s="3">
        <v>59</v>
      </c>
      <c r="V167" s="3">
        <v>70</v>
      </c>
      <c r="W167" s="3"/>
      <c r="X167" s="3">
        <v>12.99</v>
      </c>
      <c r="Y167" s="3">
        <v>12.99</v>
      </c>
      <c r="Z167" s="3">
        <v>12.99</v>
      </c>
      <c r="AA167" s="3">
        <v>0</v>
      </c>
      <c r="AB167" s="3" t="s">
        <v>170</v>
      </c>
      <c r="AC167" s="3">
        <v>4</v>
      </c>
      <c r="AD167" s="3">
        <v>12.99</v>
      </c>
      <c r="AE167" s="3">
        <v>0</v>
      </c>
      <c r="AF167" s="3">
        <v>0</v>
      </c>
      <c r="AG167" s="3">
        <v>0</v>
      </c>
      <c r="AH167" s="3">
        <v>3.27659574468085</v>
      </c>
      <c r="AI167" s="3" t="s">
        <v>644</v>
      </c>
      <c r="AJ167" s="3" t="s">
        <v>164</v>
      </c>
    </row>
    <row r="168" spans="1:36">
      <c r="A168" s="6">
        <v>43288</v>
      </c>
      <c r="B168" s="3" t="s">
        <v>645</v>
      </c>
      <c r="C168" s="3" t="s">
        <v>646</v>
      </c>
      <c r="D168" s="3" t="s">
        <v>647</v>
      </c>
      <c r="E168" s="3" t="s">
        <v>648</v>
      </c>
      <c r="F168" s="3" t="s">
        <v>159</v>
      </c>
      <c r="G168" s="3">
        <v>20</v>
      </c>
      <c r="H168" s="3">
        <v>0</v>
      </c>
      <c r="I168" s="3">
        <v>20</v>
      </c>
      <c r="J168" s="3">
        <v>0</v>
      </c>
      <c r="K168" s="3">
        <v>0</v>
      </c>
      <c r="L168" s="3">
        <v>0</v>
      </c>
      <c r="M168" s="3">
        <v>0</v>
      </c>
      <c r="N168" s="3" t="s">
        <v>160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 t="s">
        <v>161</v>
      </c>
      <c r="X168" s="3">
        <v>58.99</v>
      </c>
      <c r="Y168" s="3">
        <v>58.99</v>
      </c>
      <c r="Z168" s="3">
        <v>58.99</v>
      </c>
      <c r="AA168" s="3">
        <v>0</v>
      </c>
      <c r="AB168" s="3" t="s">
        <v>162</v>
      </c>
      <c r="AC168" s="3">
        <v>20</v>
      </c>
      <c r="AD168" s="3">
        <v>58.99</v>
      </c>
      <c r="AE168" s="3">
        <v>0</v>
      </c>
      <c r="AF168" s="3">
        <v>0</v>
      </c>
      <c r="AG168" s="3">
        <v>0</v>
      </c>
      <c r="AH168" s="3">
        <v>0</v>
      </c>
      <c r="AI168" s="3" t="s">
        <v>649</v>
      </c>
      <c r="AJ168" s="3" t="s">
        <v>164</v>
      </c>
    </row>
    <row r="169" spans="1:36">
      <c r="A169" s="6">
        <v>43288</v>
      </c>
      <c r="B169" s="3" t="s">
        <v>650</v>
      </c>
      <c r="C169" s="3" t="s">
        <v>651</v>
      </c>
      <c r="D169" s="3" t="s">
        <v>651</v>
      </c>
      <c r="E169" s="3" t="s">
        <v>186</v>
      </c>
      <c r="F169" s="3" t="s">
        <v>159</v>
      </c>
      <c r="G169" s="3">
        <v>2</v>
      </c>
      <c r="H169" s="3">
        <v>0</v>
      </c>
      <c r="I169" s="3">
        <v>0</v>
      </c>
      <c r="J169" s="3">
        <v>0</v>
      </c>
      <c r="K169" s="3">
        <v>2</v>
      </c>
      <c r="L169" s="3">
        <v>0</v>
      </c>
      <c r="M169" s="3">
        <v>0</v>
      </c>
      <c r="N169" s="3" t="s">
        <v>160</v>
      </c>
      <c r="O169" s="3">
        <v>2</v>
      </c>
      <c r="P169" s="3">
        <v>0</v>
      </c>
      <c r="Q169" s="3">
        <v>0</v>
      </c>
      <c r="R169" s="3">
        <v>0</v>
      </c>
      <c r="S169" s="3">
        <v>0</v>
      </c>
      <c r="T169" s="3">
        <v>0</v>
      </c>
      <c r="U169" s="3">
        <v>1</v>
      </c>
      <c r="V169" s="3">
        <v>1</v>
      </c>
      <c r="W169" s="3" t="s">
        <v>161</v>
      </c>
      <c r="X169" s="3">
        <v>12</v>
      </c>
      <c r="Y169" s="3">
        <v>12</v>
      </c>
      <c r="Z169" s="3">
        <v>12</v>
      </c>
      <c r="AA169" s="3">
        <v>0</v>
      </c>
      <c r="AB169" s="3" t="s">
        <v>187</v>
      </c>
      <c r="AC169" s="3">
        <v>0</v>
      </c>
      <c r="AD169" s="3">
        <v>11.01</v>
      </c>
      <c r="AE169" s="3">
        <v>217</v>
      </c>
      <c r="AF169" s="3">
        <v>0</v>
      </c>
      <c r="AG169" s="3">
        <v>9.560916</v>
      </c>
      <c r="AH169" s="3">
        <v>0.4</v>
      </c>
      <c r="AI169" s="3" t="s">
        <v>188</v>
      </c>
      <c r="AJ169" s="3" t="s">
        <v>174</v>
      </c>
    </row>
    <row r="170" spans="1:36">
      <c r="A170" s="6">
        <v>43288</v>
      </c>
      <c r="B170" s="3" t="s">
        <v>27</v>
      </c>
      <c r="C170" s="3" t="s">
        <v>28</v>
      </c>
      <c r="D170" s="3" t="s">
        <v>28</v>
      </c>
      <c r="E170" s="3" t="s">
        <v>26</v>
      </c>
      <c r="F170" s="3" t="s">
        <v>159</v>
      </c>
      <c r="G170" s="3">
        <v>6</v>
      </c>
      <c r="H170" s="3">
        <v>0</v>
      </c>
      <c r="I170" s="3">
        <v>1</v>
      </c>
      <c r="J170" s="3">
        <v>0</v>
      </c>
      <c r="K170" s="3">
        <v>4</v>
      </c>
      <c r="L170" s="3">
        <v>1</v>
      </c>
      <c r="M170" s="3">
        <v>0</v>
      </c>
      <c r="N170" s="3" t="s">
        <v>160</v>
      </c>
      <c r="O170" s="3">
        <v>5</v>
      </c>
      <c r="P170" s="3">
        <v>1.96</v>
      </c>
      <c r="Q170" s="3">
        <v>0</v>
      </c>
      <c r="R170" s="3">
        <v>0</v>
      </c>
      <c r="S170" s="3">
        <v>0</v>
      </c>
      <c r="T170" s="3">
        <v>1</v>
      </c>
      <c r="U170" s="3">
        <v>2</v>
      </c>
      <c r="V170" s="3">
        <v>2</v>
      </c>
      <c r="W170" s="3"/>
      <c r="X170" s="3">
        <v>25</v>
      </c>
      <c r="Y170" s="3">
        <v>25</v>
      </c>
      <c r="Z170" s="3">
        <v>25</v>
      </c>
      <c r="AA170" s="3">
        <v>0</v>
      </c>
      <c r="AB170" s="3" t="s">
        <v>187</v>
      </c>
      <c r="AC170" s="3">
        <v>0</v>
      </c>
      <c r="AD170" s="3">
        <v>17.55</v>
      </c>
      <c r="AE170" s="3">
        <v>98</v>
      </c>
      <c r="AF170" s="3">
        <v>0</v>
      </c>
      <c r="AG170" s="3">
        <v>44.836557</v>
      </c>
      <c r="AH170" s="3">
        <v>0.296296296296296</v>
      </c>
      <c r="AI170" s="3" t="s">
        <v>212</v>
      </c>
      <c r="AJ170" s="3" t="s">
        <v>174</v>
      </c>
    </row>
    <row r="171" spans="1:36">
      <c r="A171" s="6">
        <v>43288</v>
      </c>
      <c r="B171" s="3" t="s">
        <v>652</v>
      </c>
      <c r="C171" s="3" t="s">
        <v>653</v>
      </c>
      <c r="D171" s="3" t="s">
        <v>653</v>
      </c>
      <c r="E171" s="3" t="s">
        <v>654</v>
      </c>
      <c r="F171" s="3" t="s">
        <v>159</v>
      </c>
      <c r="G171" s="3">
        <v>1</v>
      </c>
      <c r="H171" s="3">
        <v>0</v>
      </c>
      <c r="I171" s="3">
        <v>0</v>
      </c>
      <c r="J171" s="3">
        <v>1</v>
      </c>
      <c r="K171" s="3">
        <v>0</v>
      </c>
      <c r="L171" s="3">
        <v>0</v>
      </c>
      <c r="M171" s="3">
        <v>0</v>
      </c>
      <c r="N171" s="3" t="s">
        <v>160</v>
      </c>
      <c r="O171" s="3">
        <v>1</v>
      </c>
      <c r="P171" s="3">
        <v>1.35</v>
      </c>
      <c r="Q171" s="3">
        <v>0</v>
      </c>
      <c r="R171" s="3">
        <v>0</v>
      </c>
      <c r="S171" s="3">
        <v>0</v>
      </c>
      <c r="T171" s="3">
        <v>4</v>
      </c>
      <c r="U171" s="3">
        <v>4</v>
      </c>
      <c r="V171" s="3">
        <v>4</v>
      </c>
      <c r="W171" s="3"/>
      <c r="X171" s="3"/>
      <c r="Y171" s="3"/>
      <c r="Z171" s="3">
        <v>-1</v>
      </c>
      <c r="AA171" s="3">
        <v>-1</v>
      </c>
      <c r="AB171" s="3" t="s">
        <v>172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1.06666666666666</v>
      </c>
      <c r="AI171" s="3" t="s">
        <v>183</v>
      </c>
      <c r="AJ171" s="3" t="s">
        <v>174</v>
      </c>
    </row>
    <row r="172" spans="1:36">
      <c r="A172" s="6">
        <v>43288</v>
      </c>
      <c r="B172" s="3" t="s">
        <v>655</v>
      </c>
      <c r="C172" s="3" t="s">
        <v>656</v>
      </c>
      <c r="D172" s="3" t="s">
        <v>656</v>
      </c>
      <c r="E172" s="3" t="s">
        <v>20</v>
      </c>
      <c r="F172" s="3" t="s">
        <v>159</v>
      </c>
      <c r="G172" s="3">
        <v>9</v>
      </c>
      <c r="H172" s="3">
        <v>0</v>
      </c>
      <c r="I172" s="3">
        <v>0</v>
      </c>
      <c r="J172" s="3">
        <v>9</v>
      </c>
      <c r="K172" s="3">
        <v>0</v>
      </c>
      <c r="L172" s="3">
        <v>0</v>
      </c>
      <c r="M172" s="3">
        <v>0</v>
      </c>
      <c r="N172" s="3" t="s">
        <v>160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 t="s">
        <v>161</v>
      </c>
      <c r="X172" s="3">
        <v>20.99</v>
      </c>
      <c r="Y172" s="3">
        <v>20.99</v>
      </c>
      <c r="Z172" s="3">
        <v>20.99</v>
      </c>
      <c r="AA172" s="3">
        <v>0</v>
      </c>
      <c r="AB172" s="3" t="s">
        <v>162</v>
      </c>
      <c r="AC172" s="3">
        <v>4</v>
      </c>
      <c r="AD172" s="3">
        <v>19.79</v>
      </c>
      <c r="AE172" s="3">
        <v>35</v>
      </c>
      <c r="AF172" s="3">
        <v>0</v>
      </c>
      <c r="AG172" s="3">
        <v>440.450949</v>
      </c>
      <c r="AH172" s="3">
        <v>0</v>
      </c>
      <c r="AI172" s="3" t="s">
        <v>657</v>
      </c>
      <c r="AJ172" s="3" t="s">
        <v>164</v>
      </c>
    </row>
    <row r="173" spans="1:36">
      <c r="A173" s="6">
        <v>43288</v>
      </c>
      <c r="B173" s="3" t="s">
        <v>658</v>
      </c>
      <c r="C173" s="3" t="s">
        <v>659</v>
      </c>
      <c r="D173" s="3" t="s">
        <v>659</v>
      </c>
      <c r="E173" s="3" t="s">
        <v>249</v>
      </c>
      <c r="F173" s="3" t="s">
        <v>159</v>
      </c>
      <c r="G173" s="3">
        <v>3</v>
      </c>
      <c r="H173" s="3">
        <v>0</v>
      </c>
      <c r="I173" s="3">
        <v>0</v>
      </c>
      <c r="J173" s="3">
        <v>3</v>
      </c>
      <c r="K173" s="3">
        <v>0</v>
      </c>
      <c r="L173" s="3">
        <v>0</v>
      </c>
      <c r="M173" s="3">
        <v>0</v>
      </c>
      <c r="N173" s="3" t="s">
        <v>160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 t="s">
        <v>161</v>
      </c>
      <c r="X173" s="3">
        <v>16.98</v>
      </c>
      <c r="Y173" s="3">
        <v>16.98</v>
      </c>
      <c r="Z173" s="3">
        <v>16.98</v>
      </c>
      <c r="AA173" s="3">
        <v>0</v>
      </c>
      <c r="AB173" s="3" t="s">
        <v>162</v>
      </c>
      <c r="AC173" s="3">
        <v>0</v>
      </c>
      <c r="AD173" s="3">
        <v>13.58</v>
      </c>
      <c r="AE173" s="3">
        <v>63</v>
      </c>
      <c r="AF173" s="3">
        <v>0</v>
      </c>
      <c r="AG173" s="3">
        <v>29.030654</v>
      </c>
      <c r="AH173" s="3">
        <v>0</v>
      </c>
      <c r="AI173" s="3" t="s">
        <v>660</v>
      </c>
      <c r="AJ173" s="3" t="s">
        <v>164</v>
      </c>
    </row>
    <row r="174" spans="1:36">
      <c r="A174" s="6">
        <v>43288</v>
      </c>
      <c r="B174" s="3" t="s">
        <v>103</v>
      </c>
      <c r="C174" s="3" t="s">
        <v>104</v>
      </c>
      <c r="D174" s="3" t="s">
        <v>105</v>
      </c>
      <c r="E174" s="3" t="s">
        <v>106</v>
      </c>
      <c r="F174" s="3" t="s">
        <v>159</v>
      </c>
      <c r="G174" s="3">
        <v>76</v>
      </c>
      <c r="H174" s="3">
        <v>0</v>
      </c>
      <c r="I174" s="3">
        <v>76</v>
      </c>
      <c r="J174" s="3">
        <v>0</v>
      </c>
      <c r="K174" s="3">
        <v>0</v>
      </c>
      <c r="L174" s="3">
        <v>0</v>
      </c>
      <c r="M174" s="3">
        <v>0</v>
      </c>
      <c r="N174" s="3" t="s">
        <v>160</v>
      </c>
      <c r="O174" s="3">
        <v>0</v>
      </c>
      <c r="P174" s="3">
        <v>0</v>
      </c>
      <c r="Q174" s="3">
        <v>0</v>
      </c>
      <c r="R174" s="3">
        <v>0</v>
      </c>
      <c r="S174" s="3">
        <v>9</v>
      </c>
      <c r="T174" s="3">
        <v>23</v>
      </c>
      <c r="U174" s="3">
        <v>23</v>
      </c>
      <c r="V174" s="3">
        <v>23</v>
      </c>
      <c r="W174" s="3" t="s">
        <v>207</v>
      </c>
      <c r="X174" s="3">
        <v>24.99</v>
      </c>
      <c r="Y174" s="3">
        <v>24.99</v>
      </c>
      <c r="Z174" s="3">
        <v>24.99</v>
      </c>
      <c r="AA174" s="3">
        <v>0</v>
      </c>
      <c r="AB174" s="3" t="s">
        <v>170</v>
      </c>
      <c r="AC174" s="3">
        <v>82</v>
      </c>
      <c r="AD174" s="3">
        <v>24.99</v>
      </c>
      <c r="AE174" s="3">
        <v>0</v>
      </c>
      <c r="AF174" s="3">
        <v>0</v>
      </c>
      <c r="AG174" s="3">
        <v>0</v>
      </c>
      <c r="AH174" s="3">
        <v>3.19354838709677</v>
      </c>
      <c r="AI174" s="3" t="s">
        <v>661</v>
      </c>
      <c r="AJ174" s="3" t="s">
        <v>164</v>
      </c>
    </row>
    <row r="175" spans="1:36">
      <c r="A175" s="6">
        <v>43288</v>
      </c>
      <c r="B175" s="3" t="s">
        <v>662</v>
      </c>
      <c r="C175" s="3" t="s">
        <v>663</v>
      </c>
      <c r="D175" s="3" t="s">
        <v>663</v>
      </c>
      <c r="E175" s="3" t="s">
        <v>664</v>
      </c>
      <c r="F175" s="3" t="s">
        <v>159</v>
      </c>
      <c r="G175" s="3">
        <v>14</v>
      </c>
      <c r="H175" s="3">
        <v>0</v>
      </c>
      <c r="I175" s="3">
        <v>1</v>
      </c>
      <c r="J175" s="3">
        <v>0</v>
      </c>
      <c r="K175" s="3">
        <v>0</v>
      </c>
      <c r="L175" s="3">
        <v>13</v>
      </c>
      <c r="M175" s="3">
        <v>0</v>
      </c>
      <c r="N175" s="3" t="s">
        <v>160</v>
      </c>
      <c r="O175" s="3">
        <v>13</v>
      </c>
      <c r="P175" s="3">
        <v>31.19</v>
      </c>
      <c r="Q175" s="3">
        <v>0</v>
      </c>
      <c r="R175" s="3">
        <v>0</v>
      </c>
      <c r="S175" s="3">
        <v>0</v>
      </c>
      <c r="T175" s="3">
        <v>0</v>
      </c>
      <c r="U175" s="3">
        <v>1</v>
      </c>
      <c r="V175" s="3">
        <v>2</v>
      </c>
      <c r="W175" s="3" t="s">
        <v>207</v>
      </c>
      <c r="X175" s="3">
        <v>12.98</v>
      </c>
      <c r="Y175" s="3">
        <v>12.98</v>
      </c>
      <c r="Z175" s="3">
        <v>12.98</v>
      </c>
      <c r="AA175" s="3">
        <v>0</v>
      </c>
      <c r="AB175" s="3" t="s">
        <v>187</v>
      </c>
      <c r="AC175" s="3">
        <v>0</v>
      </c>
      <c r="AD175" s="3">
        <v>11.79</v>
      </c>
      <c r="AE175" s="3">
        <v>98</v>
      </c>
      <c r="AF175" s="3">
        <v>0</v>
      </c>
      <c r="AG175" s="3">
        <v>167.800252</v>
      </c>
      <c r="AH175" s="3">
        <v>0.140350877192982</v>
      </c>
      <c r="AI175" s="3" t="s">
        <v>208</v>
      </c>
      <c r="AJ175" s="3" t="s">
        <v>174</v>
      </c>
    </row>
    <row r="176" spans="1:36">
      <c r="A176" s="6">
        <v>43288</v>
      </c>
      <c r="B176" s="3" t="s">
        <v>665</v>
      </c>
      <c r="C176" s="3" t="s">
        <v>666</v>
      </c>
      <c r="D176" s="3" t="s">
        <v>666</v>
      </c>
      <c r="E176" s="3" t="s">
        <v>186</v>
      </c>
      <c r="F176" s="3" t="s">
        <v>159</v>
      </c>
      <c r="G176" s="3">
        <v>3</v>
      </c>
      <c r="H176" s="3">
        <v>0</v>
      </c>
      <c r="I176" s="3">
        <v>0</v>
      </c>
      <c r="J176" s="3">
        <v>0</v>
      </c>
      <c r="K176" s="3">
        <v>3</v>
      </c>
      <c r="L176" s="3">
        <v>0</v>
      </c>
      <c r="M176" s="3">
        <v>0</v>
      </c>
      <c r="N176" s="3" t="s">
        <v>160</v>
      </c>
      <c r="O176" s="3">
        <v>3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 t="s">
        <v>161</v>
      </c>
      <c r="X176" s="3">
        <v>12</v>
      </c>
      <c r="Y176" s="3">
        <v>12</v>
      </c>
      <c r="Z176" s="3">
        <v>12</v>
      </c>
      <c r="AA176" s="3">
        <v>0</v>
      </c>
      <c r="AB176" s="3" t="s">
        <v>187</v>
      </c>
      <c r="AC176" s="3">
        <v>0</v>
      </c>
      <c r="AD176" s="3">
        <v>9.6</v>
      </c>
      <c r="AE176" s="3">
        <v>63</v>
      </c>
      <c r="AF176" s="3">
        <v>0</v>
      </c>
      <c r="AG176" s="3">
        <v>2.907135</v>
      </c>
      <c r="AH176" s="3">
        <v>0</v>
      </c>
      <c r="AI176" s="3" t="s">
        <v>188</v>
      </c>
      <c r="AJ176" s="3" t="s">
        <v>164</v>
      </c>
    </row>
    <row r="177" spans="1:36">
      <c r="A177" s="6">
        <v>43288</v>
      </c>
      <c r="B177" s="3" t="s">
        <v>15</v>
      </c>
      <c r="C177" s="3" t="s">
        <v>16</v>
      </c>
      <c r="D177" s="3" t="s">
        <v>16</v>
      </c>
      <c r="E177" s="3" t="s">
        <v>17</v>
      </c>
      <c r="F177" s="3" t="s">
        <v>159</v>
      </c>
      <c r="G177" s="3">
        <v>1</v>
      </c>
      <c r="H177" s="3">
        <v>0</v>
      </c>
      <c r="I177" s="3">
        <v>0</v>
      </c>
      <c r="J177" s="3">
        <v>0</v>
      </c>
      <c r="K177" s="3">
        <v>1</v>
      </c>
      <c r="L177" s="3">
        <v>0</v>
      </c>
      <c r="M177" s="3">
        <v>0</v>
      </c>
      <c r="N177" s="3" t="s">
        <v>160</v>
      </c>
      <c r="O177" s="3">
        <v>1</v>
      </c>
      <c r="P177" s="3">
        <v>1.37</v>
      </c>
      <c r="Q177" s="3">
        <v>0</v>
      </c>
      <c r="R177" s="3">
        <v>0</v>
      </c>
      <c r="S177" s="3">
        <v>1</v>
      </c>
      <c r="T177" s="3">
        <v>2</v>
      </c>
      <c r="U177" s="3">
        <v>2</v>
      </c>
      <c r="V177" s="3">
        <v>4</v>
      </c>
      <c r="W177" s="3"/>
      <c r="X177" s="3">
        <v>12</v>
      </c>
      <c r="Y177" s="3">
        <v>12</v>
      </c>
      <c r="Z177" s="3">
        <v>12</v>
      </c>
      <c r="AA177" s="3">
        <v>0</v>
      </c>
      <c r="AB177" s="3" t="s">
        <v>187</v>
      </c>
      <c r="AC177" s="3">
        <v>0</v>
      </c>
      <c r="AD177" s="3">
        <v>10.88</v>
      </c>
      <c r="AE177" s="3">
        <v>35</v>
      </c>
      <c r="AF177" s="3">
        <v>0</v>
      </c>
      <c r="AG177" s="3">
        <v>12.425771</v>
      </c>
      <c r="AH177" s="3">
        <v>1.33333333333333</v>
      </c>
      <c r="AI177" s="3" t="s">
        <v>241</v>
      </c>
      <c r="AJ177" s="3" t="s">
        <v>174</v>
      </c>
    </row>
    <row r="178" spans="1:36">
      <c r="A178" s="6">
        <v>43288</v>
      </c>
      <c r="B178" s="3" t="s">
        <v>667</v>
      </c>
      <c r="C178" s="3" t="s">
        <v>668</v>
      </c>
      <c r="D178" s="3" t="s">
        <v>668</v>
      </c>
      <c r="E178" s="3" t="s">
        <v>669</v>
      </c>
      <c r="F178" s="3" t="s">
        <v>159</v>
      </c>
      <c r="G178" s="3">
        <v>7</v>
      </c>
      <c r="H178" s="3">
        <v>0</v>
      </c>
      <c r="I178" s="3">
        <v>0</v>
      </c>
      <c r="J178" s="3">
        <v>0</v>
      </c>
      <c r="K178" s="3">
        <v>0</v>
      </c>
      <c r="L178" s="3">
        <v>7</v>
      </c>
      <c r="M178" s="3">
        <v>0</v>
      </c>
      <c r="N178" s="3" t="s">
        <v>160</v>
      </c>
      <c r="O178" s="3">
        <v>7</v>
      </c>
      <c r="P178" s="3">
        <v>9.43</v>
      </c>
      <c r="Q178" s="3">
        <v>0</v>
      </c>
      <c r="R178" s="3">
        <v>0</v>
      </c>
      <c r="S178" s="3">
        <v>0</v>
      </c>
      <c r="T178" s="3">
        <v>0</v>
      </c>
      <c r="U178" s="3">
        <v>4</v>
      </c>
      <c r="V178" s="3">
        <v>4</v>
      </c>
      <c r="W178" s="3" t="s">
        <v>207</v>
      </c>
      <c r="X178" s="3">
        <v>10</v>
      </c>
      <c r="Y178" s="3">
        <v>10</v>
      </c>
      <c r="Z178" s="3">
        <v>10</v>
      </c>
      <c r="AA178" s="3">
        <v>0</v>
      </c>
      <c r="AB178" s="3" t="s">
        <v>187</v>
      </c>
      <c r="AC178" s="3">
        <v>6</v>
      </c>
      <c r="AD178" s="3">
        <v>8</v>
      </c>
      <c r="AE178" s="3">
        <v>63</v>
      </c>
      <c r="AF178" s="3">
        <v>0</v>
      </c>
      <c r="AG178" s="3">
        <v>0.07435</v>
      </c>
      <c r="AH178" s="3">
        <v>0.444444444444444</v>
      </c>
      <c r="AI178" s="3" t="s">
        <v>183</v>
      </c>
      <c r="AJ178" s="3" t="s">
        <v>174</v>
      </c>
    </row>
    <row r="179" spans="1:36">
      <c r="A179" s="6">
        <v>43288</v>
      </c>
      <c r="B179" s="3" t="s">
        <v>670</v>
      </c>
      <c r="C179" s="3" t="s">
        <v>671</v>
      </c>
      <c r="D179" s="3" t="s">
        <v>671</v>
      </c>
      <c r="E179" s="3" t="s">
        <v>672</v>
      </c>
      <c r="F179" s="3" t="s">
        <v>159</v>
      </c>
      <c r="G179" s="3">
        <v>4</v>
      </c>
      <c r="H179" s="3">
        <v>0</v>
      </c>
      <c r="I179" s="3">
        <v>0</v>
      </c>
      <c r="J179" s="3">
        <v>4</v>
      </c>
      <c r="K179" s="3">
        <v>0</v>
      </c>
      <c r="L179" s="3">
        <v>0</v>
      </c>
      <c r="M179" s="3">
        <v>0</v>
      </c>
      <c r="N179" s="3" t="s">
        <v>160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 t="s">
        <v>161</v>
      </c>
      <c r="X179" s="3">
        <v>9.5</v>
      </c>
      <c r="Y179" s="3">
        <v>9.5</v>
      </c>
      <c r="Z179" s="3">
        <v>9.5</v>
      </c>
      <c r="AA179" s="3">
        <v>0</v>
      </c>
      <c r="AB179" s="3" t="s">
        <v>162</v>
      </c>
      <c r="AC179" s="3">
        <v>0</v>
      </c>
      <c r="AD179" s="3">
        <v>9.5</v>
      </c>
      <c r="AE179" s="3">
        <v>63</v>
      </c>
      <c r="AF179" s="3">
        <v>0</v>
      </c>
      <c r="AG179" s="3">
        <v>3.437302</v>
      </c>
      <c r="AH179" s="3">
        <v>0</v>
      </c>
      <c r="AI179" s="3" t="s">
        <v>192</v>
      </c>
      <c r="AJ179" s="3" t="s">
        <v>164</v>
      </c>
    </row>
    <row r="180" spans="1:36">
      <c r="A180" s="6">
        <v>43288</v>
      </c>
      <c r="B180" s="3" t="s">
        <v>673</v>
      </c>
      <c r="C180" s="3" t="s">
        <v>674</v>
      </c>
      <c r="D180" s="3" t="s">
        <v>674</v>
      </c>
      <c r="E180" s="3" t="s">
        <v>26</v>
      </c>
      <c r="F180" s="3" t="s">
        <v>159</v>
      </c>
      <c r="G180" s="3">
        <v>4</v>
      </c>
      <c r="H180" s="3">
        <v>0</v>
      </c>
      <c r="I180" s="3">
        <v>1</v>
      </c>
      <c r="J180" s="3">
        <v>1</v>
      </c>
      <c r="K180" s="3">
        <v>2</v>
      </c>
      <c r="L180" s="3">
        <v>0</v>
      </c>
      <c r="M180" s="3">
        <v>0</v>
      </c>
      <c r="N180" s="3" t="s">
        <v>160</v>
      </c>
      <c r="O180" s="3">
        <v>3</v>
      </c>
      <c r="P180" s="3">
        <v>1.18</v>
      </c>
      <c r="Q180" s="3">
        <v>0</v>
      </c>
      <c r="R180" s="3">
        <v>0</v>
      </c>
      <c r="S180" s="3">
        <v>0</v>
      </c>
      <c r="T180" s="3">
        <v>0</v>
      </c>
      <c r="U180" s="3">
        <v>1</v>
      </c>
      <c r="V180" s="3">
        <v>2</v>
      </c>
      <c r="W180" s="3" t="s">
        <v>207</v>
      </c>
      <c r="X180" s="3">
        <v>25</v>
      </c>
      <c r="Y180" s="3">
        <v>25</v>
      </c>
      <c r="Z180" s="3">
        <v>25</v>
      </c>
      <c r="AA180" s="3">
        <v>0</v>
      </c>
      <c r="AB180" s="3" t="s">
        <v>187</v>
      </c>
      <c r="AC180" s="3">
        <v>0</v>
      </c>
      <c r="AD180" s="3">
        <v>21.11</v>
      </c>
      <c r="AE180" s="3">
        <v>364</v>
      </c>
      <c r="AF180" s="3">
        <v>0</v>
      </c>
      <c r="AG180" s="3">
        <v>52.114724</v>
      </c>
      <c r="AH180" s="3">
        <v>0.5</v>
      </c>
      <c r="AI180" s="3" t="s">
        <v>212</v>
      </c>
      <c r="AJ180" s="3" t="s">
        <v>174</v>
      </c>
    </row>
    <row r="181" spans="1:36">
      <c r="A181" s="6">
        <v>43288</v>
      </c>
      <c r="B181" s="3" t="s">
        <v>675</v>
      </c>
      <c r="C181" s="3" t="s">
        <v>676</v>
      </c>
      <c r="D181" s="3" t="s">
        <v>676</v>
      </c>
      <c r="E181" s="3" t="s">
        <v>677</v>
      </c>
      <c r="F181" s="3" t="s">
        <v>159</v>
      </c>
      <c r="G181" s="3">
        <v>4</v>
      </c>
      <c r="H181" s="3">
        <v>0</v>
      </c>
      <c r="I181" s="3">
        <v>0</v>
      </c>
      <c r="J181" s="3">
        <v>4</v>
      </c>
      <c r="K181" s="3">
        <v>0</v>
      </c>
      <c r="L181" s="3">
        <v>0</v>
      </c>
      <c r="M181" s="3">
        <v>0</v>
      </c>
      <c r="N181" s="3" t="s">
        <v>160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 t="s">
        <v>161</v>
      </c>
      <c r="X181" s="3">
        <v>9.5</v>
      </c>
      <c r="Y181" s="3">
        <v>9.5</v>
      </c>
      <c r="Z181" s="3">
        <v>9.5</v>
      </c>
      <c r="AA181" s="3">
        <v>0</v>
      </c>
      <c r="AB181" s="3" t="s">
        <v>162</v>
      </c>
      <c r="AC181" s="3">
        <v>0</v>
      </c>
      <c r="AD181" s="3">
        <v>9.5</v>
      </c>
      <c r="AE181" s="3">
        <v>63</v>
      </c>
      <c r="AF181" s="3">
        <v>0</v>
      </c>
      <c r="AG181" s="3">
        <v>3.437302</v>
      </c>
      <c r="AH181" s="3">
        <v>0</v>
      </c>
      <c r="AI181" s="3" t="s">
        <v>192</v>
      </c>
      <c r="AJ181" s="3" t="s">
        <v>164</v>
      </c>
    </row>
    <row r="182" spans="1:36">
      <c r="A182" s="6">
        <v>43288</v>
      </c>
      <c r="B182" s="3" t="s">
        <v>678</v>
      </c>
      <c r="C182" s="3" t="s">
        <v>679</v>
      </c>
      <c r="D182" s="3" t="s">
        <v>679</v>
      </c>
      <c r="E182" s="3" t="s">
        <v>680</v>
      </c>
      <c r="F182" s="3" t="s">
        <v>159</v>
      </c>
      <c r="G182" s="3">
        <v>13</v>
      </c>
      <c r="H182" s="3">
        <v>0</v>
      </c>
      <c r="I182" s="3">
        <v>0</v>
      </c>
      <c r="J182" s="3">
        <v>0</v>
      </c>
      <c r="K182" s="3">
        <v>0</v>
      </c>
      <c r="L182" s="3">
        <v>13</v>
      </c>
      <c r="M182" s="3">
        <v>0</v>
      </c>
      <c r="N182" s="3" t="s">
        <v>160</v>
      </c>
      <c r="O182" s="3">
        <v>13</v>
      </c>
      <c r="P182" s="3">
        <v>31.19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1</v>
      </c>
      <c r="W182" s="3" t="s">
        <v>207</v>
      </c>
      <c r="X182" s="3">
        <v>15.98</v>
      </c>
      <c r="Y182" s="3">
        <v>15.98</v>
      </c>
      <c r="Z182" s="3">
        <v>15.98</v>
      </c>
      <c r="AA182" s="3">
        <v>0</v>
      </c>
      <c r="AB182" s="3" t="s">
        <v>187</v>
      </c>
      <c r="AC182" s="3">
        <v>0</v>
      </c>
      <c r="AD182" s="3">
        <v>12.78</v>
      </c>
      <c r="AE182" s="3">
        <v>364</v>
      </c>
      <c r="AF182" s="3">
        <v>0</v>
      </c>
      <c r="AG182" s="3">
        <v>383.283297</v>
      </c>
      <c r="AH182" s="3">
        <v>0.0754716981132075</v>
      </c>
      <c r="AI182" s="3" t="s">
        <v>208</v>
      </c>
      <c r="AJ182" s="3" t="s">
        <v>174</v>
      </c>
    </row>
    <row r="183" spans="1:36">
      <c r="A183" s="6">
        <v>43288</v>
      </c>
      <c r="B183" s="3" t="s">
        <v>681</v>
      </c>
      <c r="C183" s="3" t="s">
        <v>682</v>
      </c>
      <c r="D183" s="3" t="s">
        <v>682</v>
      </c>
      <c r="E183" s="3" t="s">
        <v>683</v>
      </c>
      <c r="F183" s="3" t="s">
        <v>159</v>
      </c>
      <c r="G183" s="3">
        <v>5</v>
      </c>
      <c r="H183" s="3">
        <v>0</v>
      </c>
      <c r="I183" s="3">
        <v>1</v>
      </c>
      <c r="J183" s="3">
        <v>0</v>
      </c>
      <c r="K183" s="3">
        <v>4</v>
      </c>
      <c r="L183" s="3">
        <v>0</v>
      </c>
      <c r="M183" s="3">
        <v>0</v>
      </c>
      <c r="N183" s="3" t="s">
        <v>160</v>
      </c>
      <c r="O183" s="3">
        <v>4</v>
      </c>
      <c r="P183" s="3">
        <v>6.57</v>
      </c>
      <c r="Q183" s="3">
        <v>0</v>
      </c>
      <c r="R183" s="3">
        <v>0</v>
      </c>
      <c r="S183" s="3">
        <v>1</v>
      </c>
      <c r="T183" s="3">
        <v>4</v>
      </c>
      <c r="U183" s="3">
        <v>6</v>
      </c>
      <c r="V183" s="3">
        <v>6</v>
      </c>
      <c r="W183" s="3"/>
      <c r="X183" s="3">
        <v>12.98</v>
      </c>
      <c r="Y183" s="3">
        <v>12.98</v>
      </c>
      <c r="Z183" s="3">
        <v>12.98</v>
      </c>
      <c r="AA183" s="3">
        <v>0</v>
      </c>
      <c r="AB183" s="3" t="s">
        <v>170</v>
      </c>
      <c r="AC183" s="3">
        <v>5</v>
      </c>
      <c r="AD183" s="3">
        <v>12.98</v>
      </c>
      <c r="AE183" s="3">
        <v>0</v>
      </c>
      <c r="AF183" s="3">
        <v>0</v>
      </c>
      <c r="AG183" s="3">
        <v>0</v>
      </c>
      <c r="AH183" s="3">
        <v>0.685714285714285</v>
      </c>
      <c r="AI183" s="3" t="s">
        <v>497</v>
      </c>
      <c r="AJ183" s="3" t="s">
        <v>174</v>
      </c>
    </row>
    <row r="184" spans="1:36">
      <c r="A184" s="6">
        <v>43288</v>
      </c>
      <c r="B184" s="3" t="s">
        <v>684</v>
      </c>
      <c r="C184" s="3" t="s">
        <v>685</v>
      </c>
      <c r="D184" s="3" t="s">
        <v>685</v>
      </c>
      <c r="E184" s="3" t="s">
        <v>76</v>
      </c>
      <c r="F184" s="3" t="s">
        <v>159</v>
      </c>
      <c r="G184" s="3">
        <v>10</v>
      </c>
      <c r="H184" s="3">
        <v>0</v>
      </c>
      <c r="I184" s="3">
        <v>10</v>
      </c>
      <c r="J184" s="3">
        <v>0</v>
      </c>
      <c r="K184" s="3">
        <v>0</v>
      </c>
      <c r="L184" s="3">
        <v>0</v>
      </c>
      <c r="M184" s="3">
        <v>0</v>
      </c>
      <c r="N184" s="3" t="s">
        <v>160</v>
      </c>
      <c r="O184" s="3">
        <v>0</v>
      </c>
      <c r="P184" s="3">
        <v>0</v>
      </c>
      <c r="Q184" s="3">
        <v>0</v>
      </c>
      <c r="R184" s="3">
        <v>0</v>
      </c>
      <c r="S184" s="3">
        <v>2</v>
      </c>
      <c r="T184" s="3">
        <v>3</v>
      </c>
      <c r="U184" s="3">
        <v>5</v>
      </c>
      <c r="V184" s="3">
        <v>9</v>
      </c>
      <c r="W184" s="3" t="s">
        <v>161</v>
      </c>
      <c r="X184" s="3">
        <v>9.9</v>
      </c>
      <c r="Y184" s="3">
        <v>9.9</v>
      </c>
      <c r="Z184" s="3">
        <v>9.9</v>
      </c>
      <c r="AA184" s="3">
        <v>0</v>
      </c>
      <c r="AB184" s="3" t="s">
        <v>162</v>
      </c>
      <c r="AC184" s="3">
        <v>11</v>
      </c>
      <c r="AD184" s="3">
        <v>9.9</v>
      </c>
      <c r="AE184" s="3">
        <v>0</v>
      </c>
      <c r="AF184" s="3">
        <v>0</v>
      </c>
      <c r="AG184" s="3">
        <v>0</v>
      </c>
      <c r="AH184" s="3">
        <v>1.125</v>
      </c>
      <c r="AI184" s="3" t="s">
        <v>686</v>
      </c>
      <c r="AJ184" s="3" t="s">
        <v>164</v>
      </c>
    </row>
    <row r="185" spans="1:36">
      <c r="A185" s="6">
        <v>43288</v>
      </c>
      <c r="B185" s="3" t="s">
        <v>687</v>
      </c>
      <c r="C185" s="3" t="s">
        <v>688</v>
      </c>
      <c r="D185" s="3" t="s">
        <v>688</v>
      </c>
      <c r="E185" s="3" t="s">
        <v>689</v>
      </c>
      <c r="F185" s="3" t="s">
        <v>159</v>
      </c>
      <c r="G185" s="3">
        <v>10</v>
      </c>
      <c r="H185" s="3">
        <v>0</v>
      </c>
      <c r="I185" s="3">
        <v>0</v>
      </c>
      <c r="J185" s="3">
        <v>0</v>
      </c>
      <c r="K185" s="3">
        <v>10</v>
      </c>
      <c r="L185" s="3">
        <v>0</v>
      </c>
      <c r="M185" s="3">
        <v>0</v>
      </c>
      <c r="N185" s="3" t="s">
        <v>160</v>
      </c>
      <c r="O185" s="3">
        <v>10</v>
      </c>
      <c r="P185" s="3">
        <v>1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 t="s">
        <v>207</v>
      </c>
      <c r="X185" s="3">
        <v>15</v>
      </c>
      <c r="Y185" s="3">
        <v>15</v>
      </c>
      <c r="Z185" s="3">
        <v>10.76</v>
      </c>
      <c r="AA185" s="3">
        <v>0</v>
      </c>
      <c r="AB185" s="3" t="s">
        <v>187</v>
      </c>
      <c r="AC185" s="3">
        <v>2</v>
      </c>
      <c r="AD185" s="3">
        <v>13.92</v>
      </c>
      <c r="AE185" s="3">
        <v>161</v>
      </c>
      <c r="AF185" s="3">
        <v>0</v>
      </c>
      <c r="AG185" s="3">
        <v>82.483462</v>
      </c>
      <c r="AH185" s="3">
        <v>0</v>
      </c>
      <c r="AI185" s="3" t="s">
        <v>203</v>
      </c>
      <c r="AJ185" s="3" t="s">
        <v>174</v>
      </c>
    </row>
    <row r="186" spans="1:36">
      <c r="A186" s="6">
        <v>43288</v>
      </c>
      <c r="B186" s="3" t="s">
        <v>690</v>
      </c>
      <c r="C186" s="3" t="s">
        <v>691</v>
      </c>
      <c r="D186" s="3" t="s">
        <v>691</v>
      </c>
      <c r="E186" s="3" t="s">
        <v>692</v>
      </c>
      <c r="F186" s="3" t="s">
        <v>159</v>
      </c>
      <c r="G186" s="3">
        <v>15</v>
      </c>
      <c r="H186" s="3">
        <v>0</v>
      </c>
      <c r="I186" s="3">
        <v>1</v>
      </c>
      <c r="J186" s="3">
        <v>0</v>
      </c>
      <c r="K186" s="3">
        <v>0</v>
      </c>
      <c r="L186" s="3">
        <v>14</v>
      </c>
      <c r="M186" s="3">
        <v>0</v>
      </c>
      <c r="N186" s="3" t="s">
        <v>160</v>
      </c>
      <c r="O186" s="3">
        <v>14</v>
      </c>
      <c r="P186" s="3">
        <v>33.59</v>
      </c>
      <c r="Q186" s="3">
        <v>0</v>
      </c>
      <c r="R186" s="3">
        <v>0</v>
      </c>
      <c r="S186" s="3">
        <v>0</v>
      </c>
      <c r="T186" s="3">
        <v>0</v>
      </c>
      <c r="U186" s="3">
        <v>1</v>
      </c>
      <c r="V186" s="3">
        <v>4</v>
      </c>
      <c r="W186" s="3" t="s">
        <v>207</v>
      </c>
      <c r="X186" s="3">
        <v>15.98</v>
      </c>
      <c r="Y186" s="3">
        <v>15.98</v>
      </c>
      <c r="Z186" s="3">
        <v>15.98</v>
      </c>
      <c r="AA186" s="3">
        <v>0</v>
      </c>
      <c r="AB186" s="3" t="s">
        <v>230</v>
      </c>
      <c r="AC186" s="3">
        <v>0</v>
      </c>
      <c r="AD186" s="3">
        <v>15.98</v>
      </c>
      <c r="AE186" s="3">
        <v>0</v>
      </c>
      <c r="AF186" s="3">
        <v>15</v>
      </c>
      <c r="AG186" s="3">
        <v>415.442388</v>
      </c>
      <c r="AH186" s="3">
        <v>0.253968253968253</v>
      </c>
      <c r="AI186" s="3" t="s">
        <v>208</v>
      </c>
      <c r="AJ186" s="3" t="s">
        <v>174</v>
      </c>
    </row>
    <row r="187" spans="1:36">
      <c r="A187" s="6">
        <v>43288</v>
      </c>
      <c r="B187" s="3" t="s">
        <v>693</v>
      </c>
      <c r="C187" s="3" t="s">
        <v>694</v>
      </c>
      <c r="D187" s="3" t="s">
        <v>694</v>
      </c>
      <c r="E187" s="3" t="s">
        <v>26</v>
      </c>
      <c r="F187" s="3" t="s">
        <v>159</v>
      </c>
      <c r="G187" s="3">
        <v>3</v>
      </c>
      <c r="H187" s="3">
        <v>0</v>
      </c>
      <c r="I187" s="3">
        <v>0</v>
      </c>
      <c r="J187" s="3">
        <v>0</v>
      </c>
      <c r="K187" s="3">
        <v>1</v>
      </c>
      <c r="L187" s="3">
        <v>2</v>
      </c>
      <c r="M187" s="3">
        <v>0</v>
      </c>
      <c r="N187" s="3" t="s">
        <v>160</v>
      </c>
      <c r="O187" s="3">
        <v>3</v>
      </c>
      <c r="P187" s="3">
        <v>1.18</v>
      </c>
      <c r="Q187" s="3">
        <v>0</v>
      </c>
      <c r="R187" s="3">
        <v>0</v>
      </c>
      <c r="S187" s="3">
        <v>0</v>
      </c>
      <c r="T187" s="3">
        <v>1</v>
      </c>
      <c r="U187" s="3">
        <v>1</v>
      </c>
      <c r="V187" s="3">
        <v>1</v>
      </c>
      <c r="W187" s="3" t="s">
        <v>207</v>
      </c>
      <c r="X187" s="3">
        <v>25</v>
      </c>
      <c r="Y187" s="3">
        <v>25</v>
      </c>
      <c r="Z187" s="3">
        <v>25</v>
      </c>
      <c r="AA187" s="3">
        <v>0</v>
      </c>
      <c r="AB187" s="3" t="s">
        <v>170</v>
      </c>
      <c r="AC187" s="3">
        <v>3</v>
      </c>
      <c r="AD187" s="3">
        <v>25</v>
      </c>
      <c r="AE187" s="3">
        <v>0</v>
      </c>
      <c r="AF187" s="3">
        <v>0</v>
      </c>
      <c r="AG187" s="3">
        <v>0</v>
      </c>
      <c r="AH187" s="3">
        <v>0.266666666666666</v>
      </c>
      <c r="AI187" s="3" t="s">
        <v>212</v>
      </c>
      <c r="AJ187" s="3" t="s">
        <v>174</v>
      </c>
    </row>
    <row r="188" spans="1:36">
      <c r="A188" s="6">
        <v>43288</v>
      </c>
      <c r="B188" s="3" t="s">
        <v>695</v>
      </c>
      <c r="C188" s="3" t="s">
        <v>696</v>
      </c>
      <c r="D188" s="3" t="s">
        <v>696</v>
      </c>
      <c r="E188" s="3" t="s">
        <v>697</v>
      </c>
      <c r="F188" s="3" t="s">
        <v>159</v>
      </c>
      <c r="G188" s="3">
        <v>4</v>
      </c>
      <c r="H188" s="3">
        <v>0</v>
      </c>
      <c r="I188" s="3">
        <v>0</v>
      </c>
      <c r="J188" s="3">
        <v>4</v>
      </c>
      <c r="K188" s="3">
        <v>0</v>
      </c>
      <c r="L188" s="3">
        <v>0</v>
      </c>
      <c r="M188" s="3">
        <v>0</v>
      </c>
      <c r="N188" s="3" t="s">
        <v>160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 t="s">
        <v>161</v>
      </c>
      <c r="X188" s="3">
        <v>9.5</v>
      </c>
      <c r="Y188" s="3">
        <v>9.5</v>
      </c>
      <c r="Z188" s="3">
        <v>9.5</v>
      </c>
      <c r="AA188" s="3">
        <v>0</v>
      </c>
      <c r="AB188" s="3" t="s">
        <v>162</v>
      </c>
      <c r="AC188" s="3">
        <v>0</v>
      </c>
      <c r="AD188" s="3">
        <v>9.5</v>
      </c>
      <c r="AE188" s="3">
        <v>63</v>
      </c>
      <c r="AF188" s="3">
        <v>0</v>
      </c>
      <c r="AG188" s="3">
        <v>3.437302</v>
      </c>
      <c r="AH188" s="3">
        <v>0</v>
      </c>
      <c r="AI188" s="3" t="s">
        <v>192</v>
      </c>
      <c r="AJ188" s="3" t="s">
        <v>164</v>
      </c>
    </row>
    <row r="189" spans="1:36">
      <c r="A189" s="6">
        <v>43288</v>
      </c>
      <c r="B189" s="3" t="s">
        <v>698</v>
      </c>
      <c r="C189" s="3" t="s">
        <v>699</v>
      </c>
      <c r="D189" s="3" t="s">
        <v>699</v>
      </c>
      <c r="E189" s="3" t="s">
        <v>700</v>
      </c>
      <c r="F189" s="3" t="s">
        <v>159</v>
      </c>
      <c r="G189" s="3">
        <v>3</v>
      </c>
      <c r="H189" s="3">
        <v>0</v>
      </c>
      <c r="I189" s="3">
        <v>1</v>
      </c>
      <c r="J189" s="3">
        <v>0</v>
      </c>
      <c r="K189" s="3">
        <v>2</v>
      </c>
      <c r="L189" s="3">
        <v>0</v>
      </c>
      <c r="M189" s="3">
        <v>0</v>
      </c>
      <c r="N189" s="3" t="s">
        <v>160</v>
      </c>
      <c r="O189" s="3">
        <v>2</v>
      </c>
      <c r="P189" s="3">
        <v>2.73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1</v>
      </c>
      <c r="W189" s="3" t="s">
        <v>207</v>
      </c>
      <c r="X189" s="3">
        <v>12</v>
      </c>
      <c r="Y189" s="3">
        <v>12</v>
      </c>
      <c r="Z189" s="3">
        <v>12</v>
      </c>
      <c r="AA189" s="3">
        <v>0</v>
      </c>
      <c r="AB189" s="3" t="s">
        <v>187</v>
      </c>
      <c r="AC189" s="3">
        <v>2</v>
      </c>
      <c r="AD189" s="3">
        <v>11.34</v>
      </c>
      <c r="AE189" s="3">
        <v>14</v>
      </c>
      <c r="AF189" s="3">
        <v>0</v>
      </c>
      <c r="AG189" s="3">
        <v>57.761117</v>
      </c>
      <c r="AH189" s="3">
        <v>0.363636363636363</v>
      </c>
      <c r="AI189" s="3" t="s">
        <v>241</v>
      </c>
      <c r="AJ189" s="3" t="s">
        <v>174</v>
      </c>
    </row>
    <row r="190" spans="1:36">
      <c r="A190" s="6">
        <v>43288</v>
      </c>
      <c r="B190" s="3" t="s">
        <v>701</v>
      </c>
      <c r="C190" s="3" t="s">
        <v>702</v>
      </c>
      <c r="D190" s="3" t="s">
        <v>702</v>
      </c>
      <c r="E190" s="3" t="s">
        <v>76</v>
      </c>
      <c r="F190" s="3" t="s">
        <v>159</v>
      </c>
      <c r="G190" s="3">
        <v>12</v>
      </c>
      <c r="H190" s="3">
        <v>0</v>
      </c>
      <c r="I190" s="3">
        <v>5</v>
      </c>
      <c r="J190" s="3">
        <v>7</v>
      </c>
      <c r="K190" s="3">
        <v>0</v>
      </c>
      <c r="L190" s="3">
        <v>0</v>
      </c>
      <c r="M190" s="3">
        <v>0</v>
      </c>
      <c r="N190" s="3" t="s">
        <v>160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3</v>
      </c>
      <c r="W190" s="3" t="s">
        <v>161</v>
      </c>
      <c r="X190" s="3">
        <v>9.9</v>
      </c>
      <c r="Y190" s="3">
        <v>9.9</v>
      </c>
      <c r="Z190" s="3">
        <v>9.9</v>
      </c>
      <c r="AA190" s="3">
        <v>0</v>
      </c>
      <c r="AB190" s="3" t="s">
        <v>162</v>
      </c>
      <c r="AC190" s="3">
        <v>1</v>
      </c>
      <c r="AD190" s="3">
        <v>9.05</v>
      </c>
      <c r="AE190" s="3">
        <v>217</v>
      </c>
      <c r="AF190" s="3">
        <v>0</v>
      </c>
      <c r="AG190" s="3">
        <v>85.582403</v>
      </c>
      <c r="AH190" s="3">
        <v>0.292682926829268</v>
      </c>
      <c r="AI190" s="3" t="s">
        <v>703</v>
      </c>
      <c r="AJ190" s="3" t="s">
        <v>164</v>
      </c>
    </row>
    <row r="191" spans="1:36">
      <c r="A191" s="6">
        <v>43288</v>
      </c>
      <c r="B191" s="3" t="s">
        <v>704</v>
      </c>
      <c r="C191" s="3" t="s">
        <v>705</v>
      </c>
      <c r="D191" s="3" t="s">
        <v>705</v>
      </c>
      <c r="E191" s="3" t="s">
        <v>706</v>
      </c>
      <c r="F191" s="3" t="s">
        <v>159</v>
      </c>
      <c r="G191" s="3">
        <v>3</v>
      </c>
      <c r="H191" s="3">
        <v>0</v>
      </c>
      <c r="I191" s="3">
        <v>0</v>
      </c>
      <c r="J191" s="3">
        <v>3</v>
      </c>
      <c r="K191" s="3">
        <v>0</v>
      </c>
      <c r="L191" s="3">
        <v>0</v>
      </c>
      <c r="M191" s="3">
        <v>0</v>
      </c>
      <c r="N191" s="3" t="s">
        <v>160</v>
      </c>
      <c r="O191" s="3">
        <v>0</v>
      </c>
      <c r="P191" s="3">
        <v>0</v>
      </c>
      <c r="Q191" s="3">
        <v>0</v>
      </c>
      <c r="R191" s="3">
        <v>0</v>
      </c>
      <c r="S191" s="3">
        <v>0</v>
      </c>
      <c r="T191" s="3">
        <v>0</v>
      </c>
      <c r="U191" s="3">
        <v>0</v>
      </c>
      <c r="V191" s="3">
        <v>1</v>
      </c>
      <c r="W191" s="3" t="s">
        <v>161</v>
      </c>
      <c r="X191" s="3">
        <v>9.9</v>
      </c>
      <c r="Y191" s="3">
        <v>9.9</v>
      </c>
      <c r="Z191" s="3">
        <v>9.9</v>
      </c>
      <c r="AA191" s="3">
        <v>0</v>
      </c>
      <c r="AB191" s="3" t="s">
        <v>162</v>
      </c>
      <c r="AC191" s="3">
        <v>3</v>
      </c>
      <c r="AD191" s="3">
        <v>9.9</v>
      </c>
      <c r="AE191" s="3">
        <v>0</v>
      </c>
      <c r="AF191" s="3">
        <v>0</v>
      </c>
      <c r="AG191" s="3">
        <v>0</v>
      </c>
      <c r="AH191" s="3">
        <v>0.307692307692307</v>
      </c>
      <c r="AI191" s="3" t="s">
        <v>192</v>
      </c>
      <c r="AJ191" s="3" t="s">
        <v>164</v>
      </c>
    </row>
    <row r="192" spans="1:36">
      <c r="A192" s="6">
        <v>43288</v>
      </c>
      <c r="B192" s="3" t="s">
        <v>707</v>
      </c>
      <c r="C192" s="3" t="s">
        <v>708</v>
      </c>
      <c r="D192" s="3" t="s">
        <v>709</v>
      </c>
      <c r="E192" s="3" t="s">
        <v>710</v>
      </c>
      <c r="F192" s="3" t="s">
        <v>159</v>
      </c>
      <c r="G192" s="3">
        <v>6</v>
      </c>
      <c r="H192" s="3">
        <v>0</v>
      </c>
      <c r="I192" s="3">
        <v>6</v>
      </c>
      <c r="J192" s="3">
        <v>0</v>
      </c>
      <c r="K192" s="3">
        <v>0</v>
      </c>
      <c r="L192" s="3">
        <v>0</v>
      </c>
      <c r="M192" s="3">
        <v>0</v>
      </c>
      <c r="N192" s="3" t="s">
        <v>160</v>
      </c>
      <c r="O192" s="3">
        <v>0</v>
      </c>
      <c r="P192" s="3">
        <v>0</v>
      </c>
      <c r="Q192" s="3">
        <v>0</v>
      </c>
      <c r="R192" s="3">
        <v>0</v>
      </c>
      <c r="S192" s="3">
        <v>3</v>
      </c>
      <c r="T192" s="3">
        <v>14</v>
      </c>
      <c r="U192" s="3">
        <v>14</v>
      </c>
      <c r="V192" s="3">
        <v>14</v>
      </c>
      <c r="W192" s="3"/>
      <c r="X192" s="3">
        <v>18.99</v>
      </c>
      <c r="Y192" s="3">
        <v>18.99</v>
      </c>
      <c r="Z192" s="3">
        <v>18</v>
      </c>
      <c r="AA192" s="3">
        <v>0</v>
      </c>
      <c r="AB192" s="3" t="s">
        <v>170</v>
      </c>
      <c r="AC192" s="3">
        <v>8</v>
      </c>
      <c r="AD192" s="3">
        <v>18.99</v>
      </c>
      <c r="AE192" s="3">
        <v>0</v>
      </c>
      <c r="AF192" s="3">
        <v>0</v>
      </c>
      <c r="AG192" s="3">
        <v>0</v>
      </c>
      <c r="AH192" s="3">
        <v>1.07692307692307</v>
      </c>
      <c r="AI192" s="3" t="s">
        <v>192</v>
      </c>
      <c r="AJ192" s="3" t="s">
        <v>164</v>
      </c>
    </row>
    <row r="193" spans="1:36">
      <c r="A193" s="6">
        <v>43288</v>
      </c>
      <c r="B193" s="3" t="s">
        <v>711</v>
      </c>
      <c r="C193" s="3" t="s">
        <v>712</v>
      </c>
      <c r="D193" s="3" t="s">
        <v>712</v>
      </c>
      <c r="E193" s="3" t="s">
        <v>713</v>
      </c>
      <c r="F193" s="3" t="s">
        <v>159</v>
      </c>
      <c r="G193" s="3">
        <v>4</v>
      </c>
      <c r="H193" s="3">
        <v>0</v>
      </c>
      <c r="I193" s="3">
        <v>0</v>
      </c>
      <c r="J193" s="3">
        <v>0</v>
      </c>
      <c r="K193" s="3">
        <v>4</v>
      </c>
      <c r="L193" s="3">
        <v>0</v>
      </c>
      <c r="M193" s="3">
        <v>0</v>
      </c>
      <c r="N193" s="3" t="s">
        <v>160</v>
      </c>
      <c r="O193" s="3">
        <v>4</v>
      </c>
      <c r="P193" s="3">
        <v>5.47</v>
      </c>
      <c r="Q193" s="3">
        <v>0</v>
      </c>
      <c r="R193" s="3">
        <v>0</v>
      </c>
      <c r="S193" s="3">
        <v>0</v>
      </c>
      <c r="T193" s="3">
        <v>0</v>
      </c>
      <c r="U193" s="3">
        <v>1</v>
      </c>
      <c r="V193" s="3">
        <v>1</v>
      </c>
      <c r="W193" s="3" t="s">
        <v>207</v>
      </c>
      <c r="X193" s="3">
        <v>12</v>
      </c>
      <c r="Y193" s="3">
        <v>12</v>
      </c>
      <c r="Z193" s="3">
        <v>12</v>
      </c>
      <c r="AA193" s="3">
        <v>0</v>
      </c>
      <c r="AB193" s="3" t="s">
        <v>170</v>
      </c>
      <c r="AC193" s="3">
        <v>4</v>
      </c>
      <c r="AD193" s="3">
        <v>12</v>
      </c>
      <c r="AE193" s="3">
        <v>0</v>
      </c>
      <c r="AF193" s="3">
        <v>0</v>
      </c>
      <c r="AG193" s="3">
        <v>0</v>
      </c>
      <c r="AH193" s="3">
        <v>0.222222222222222</v>
      </c>
      <c r="AI193" s="3" t="s">
        <v>241</v>
      </c>
      <c r="AJ193" s="3" t="s">
        <v>174</v>
      </c>
    </row>
    <row r="194" spans="1:36">
      <c r="A194" s="6">
        <v>43288</v>
      </c>
      <c r="B194" s="3" t="s">
        <v>714</v>
      </c>
      <c r="C194" s="3" t="s">
        <v>715</v>
      </c>
      <c r="D194" s="3" t="s">
        <v>715</v>
      </c>
      <c r="E194" s="3" t="s">
        <v>716</v>
      </c>
      <c r="F194" s="3" t="s">
        <v>159</v>
      </c>
      <c r="G194" s="3">
        <v>4</v>
      </c>
      <c r="H194" s="3">
        <v>0</v>
      </c>
      <c r="I194" s="3">
        <v>0</v>
      </c>
      <c r="J194" s="3">
        <v>4</v>
      </c>
      <c r="K194" s="3">
        <v>0</v>
      </c>
      <c r="L194" s="3">
        <v>0</v>
      </c>
      <c r="M194" s="3">
        <v>0</v>
      </c>
      <c r="N194" s="3" t="s">
        <v>160</v>
      </c>
      <c r="O194" s="3">
        <v>0</v>
      </c>
      <c r="P194" s="3">
        <v>0</v>
      </c>
      <c r="Q194" s="3">
        <v>0</v>
      </c>
      <c r="R194" s="3">
        <v>0</v>
      </c>
      <c r="S194" s="3">
        <v>0</v>
      </c>
      <c r="T194" s="3">
        <v>0</v>
      </c>
      <c r="U194" s="3">
        <v>0</v>
      </c>
      <c r="V194" s="3">
        <v>0</v>
      </c>
      <c r="W194" s="3" t="s">
        <v>161</v>
      </c>
      <c r="X194" s="3">
        <v>9.5</v>
      </c>
      <c r="Y194" s="3">
        <v>9.5</v>
      </c>
      <c r="Z194" s="3">
        <v>9.5</v>
      </c>
      <c r="AA194" s="3">
        <v>0</v>
      </c>
      <c r="AB194" s="3" t="s">
        <v>162</v>
      </c>
      <c r="AC194" s="3">
        <v>0</v>
      </c>
      <c r="AD194" s="3">
        <v>9.5</v>
      </c>
      <c r="AE194" s="3">
        <v>63</v>
      </c>
      <c r="AF194" s="3">
        <v>0</v>
      </c>
      <c r="AG194" s="3">
        <v>3.437302</v>
      </c>
      <c r="AH194" s="3">
        <v>0</v>
      </c>
      <c r="AI194" s="3" t="s">
        <v>192</v>
      </c>
      <c r="AJ194" s="3" t="s">
        <v>164</v>
      </c>
    </row>
    <row r="195" spans="1:36">
      <c r="A195" s="6">
        <v>43288</v>
      </c>
      <c r="B195" s="3" t="s">
        <v>111</v>
      </c>
      <c r="C195" s="3" t="s">
        <v>112</v>
      </c>
      <c r="D195" s="3" t="s">
        <v>113</v>
      </c>
      <c r="E195" s="3" t="s">
        <v>114</v>
      </c>
      <c r="F195" s="3" t="s">
        <v>159</v>
      </c>
      <c r="G195" s="3">
        <v>110</v>
      </c>
      <c r="H195" s="3">
        <v>0</v>
      </c>
      <c r="I195" s="3">
        <v>110</v>
      </c>
      <c r="J195" s="3">
        <v>0</v>
      </c>
      <c r="K195" s="3">
        <v>0</v>
      </c>
      <c r="L195" s="3">
        <v>0</v>
      </c>
      <c r="M195" s="3">
        <v>0</v>
      </c>
      <c r="N195" s="3" t="s">
        <v>160</v>
      </c>
      <c r="O195" s="3">
        <v>0</v>
      </c>
      <c r="P195" s="3">
        <v>0</v>
      </c>
      <c r="Q195" s="3">
        <v>0</v>
      </c>
      <c r="R195" s="3">
        <v>0</v>
      </c>
      <c r="S195" s="3">
        <v>7</v>
      </c>
      <c r="T195" s="3">
        <v>54</v>
      </c>
      <c r="U195" s="3">
        <v>60</v>
      </c>
      <c r="V195" s="3">
        <v>60</v>
      </c>
      <c r="W195" s="3"/>
      <c r="X195" s="3">
        <v>18.99</v>
      </c>
      <c r="Y195" s="3">
        <v>18.99</v>
      </c>
      <c r="Z195" s="3">
        <v>18.99</v>
      </c>
      <c r="AA195" s="3">
        <v>0</v>
      </c>
      <c r="AB195" s="3" t="s">
        <v>170</v>
      </c>
      <c r="AC195" s="3">
        <v>114</v>
      </c>
      <c r="AD195" s="3">
        <v>18.99</v>
      </c>
      <c r="AE195" s="3">
        <v>0</v>
      </c>
      <c r="AF195" s="3">
        <v>0</v>
      </c>
      <c r="AG195" s="3">
        <v>0</v>
      </c>
      <c r="AH195" s="3">
        <v>2.42105263157894</v>
      </c>
      <c r="AI195" s="3" t="s">
        <v>717</v>
      </c>
      <c r="AJ195" s="3" t="s">
        <v>164</v>
      </c>
    </row>
    <row r="196" spans="1:36">
      <c r="A196" s="6">
        <v>43288</v>
      </c>
      <c r="B196" s="3" t="s">
        <v>718</v>
      </c>
      <c r="C196" s="3" t="s">
        <v>719</v>
      </c>
      <c r="D196" s="3" t="s">
        <v>719</v>
      </c>
      <c r="E196" s="3" t="s">
        <v>720</v>
      </c>
      <c r="F196" s="3" t="s">
        <v>159</v>
      </c>
      <c r="G196" s="3">
        <v>5</v>
      </c>
      <c r="H196" s="3">
        <v>0</v>
      </c>
      <c r="I196" s="3">
        <v>0</v>
      </c>
      <c r="J196" s="3">
        <v>0</v>
      </c>
      <c r="K196" s="3">
        <v>5</v>
      </c>
      <c r="L196" s="3">
        <v>0</v>
      </c>
      <c r="M196" s="3">
        <v>0</v>
      </c>
      <c r="N196" s="3" t="s">
        <v>160</v>
      </c>
      <c r="O196" s="3">
        <v>5</v>
      </c>
      <c r="P196" s="3">
        <v>6.83</v>
      </c>
      <c r="Q196" s="3">
        <v>0</v>
      </c>
      <c r="R196" s="3">
        <v>0</v>
      </c>
      <c r="S196" s="3">
        <v>0</v>
      </c>
      <c r="T196" s="3">
        <v>0</v>
      </c>
      <c r="U196" s="3">
        <v>0</v>
      </c>
      <c r="V196" s="3">
        <v>0</v>
      </c>
      <c r="W196" s="3" t="s">
        <v>207</v>
      </c>
      <c r="X196" s="3">
        <v>12</v>
      </c>
      <c r="Y196" s="3">
        <v>12</v>
      </c>
      <c r="Z196" s="3">
        <v>12</v>
      </c>
      <c r="AA196" s="3">
        <v>0</v>
      </c>
      <c r="AB196" s="3" t="s">
        <v>187</v>
      </c>
      <c r="AC196" s="3">
        <v>0</v>
      </c>
      <c r="AD196" s="3">
        <v>9.6</v>
      </c>
      <c r="AE196" s="3">
        <v>63</v>
      </c>
      <c r="AF196" s="3">
        <v>0</v>
      </c>
      <c r="AG196" s="3">
        <v>80.579982</v>
      </c>
      <c r="AH196" s="3">
        <v>0</v>
      </c>
      <c r="AI196" s="3" t="s">
        <v>241</v>
      </c>
      <c r="AJ196" s="3" t="s">
        <v>174</v>
      </c>
    </row>
    <row r="197" spans="1:36">
      <c r="A197" s="6">
        <v>43288</v>
      </c>
      <c r="B197" s="3" t="s">
        <v>721</v>
      </c>
      <c r="C197" s="3" t="s">
        <v>580</v>
      </c>
      <c r="D197" s="3" t="s">
        <v>580</v>
      </c>
      <c r="E197" s="3" t="s">
        <v>581</v>
      </c>
      <c r="F197" s="3" t="s">
        <v>159</v>
      </c>
      <c r="G197" s="3">
        <v>31</v>
      </c>
      <c r="H197" s="3">
        <v>0</v>
      </c>
      <c r="I197" s="3">
        <v>31</v>
      </c>
      <c r="J197" s="3">
        <v>0</v>
      </c>
      <c r="K197" s="3">
        <v>0</v>
      </c>
      <c r="L197" s="3">
        <v>0</v>
      </c>
      <c r="M197" s="3">
        <v>0</v>
      </c>
      <c r="N197" s="3" t="s">
        <v>160</v>
      </c>
      <c r="O197" s="3">
        <v>0</v>
      </c>
      <c r="P197" s="3">
        <v>0</v>
      </c>
      <c r="Q197" s="3">
        <v>0</v>
      </c>
      <c r="R197" s="3">
        <v>0</v>
      </c>
      <c r="S197" s="3">
        <v>1</v>
      </c>
      <c r="T197" s="3">
        <v>11</v>
      </c>
      <c r="U197" s="3">
        <v>33</v>
      </c>
      <c r="V197" s="3">
        <v>44</v>
      </c>
      <c r="W197" s="3"/>
      <c r="X197" s="3">
        <v>18.99</v>
      </c>
      <c r="Y197" s="3">
        <v>18.99</v>
      </c>
      <c r="Z197" s="3">
        <v>18</v>
      </c>
      <c r="AA197" s="3">
        <v>0</v>
      </c>
      <c r="AB197" s="3" t="s">
        <v>170</v>
      </c>
      <c r="AC197" s="3">
        <v>31</v>
      </c>
      <c r="AD197" s="3">
        <v>18.99</v>
      </c>
      <c r="AE197" s="3">
        <v>0</v>
      </c>
      <c r="AF197" s="3">
        <v>0</v>
      </c>
      <c r="AG197" s="3">
        <v>0</v>
      </c>
      <c r="AH197" s="3">
        <v>1.6774193548387</v>
      </c>
      <c r="AI197" s="3" t="s">
        <v>582</v>
      </c>
      <c r="AJ197" s="3" t="s">
        <v>164</v>
      </c>
    </row>
    <row r="198" spans="1:36">
      <c r="A198" s="6">
        <v>43288</v>
      </c>
      <c r="B198" s="3" t="s">
        <v>722</v>
      </c>
      <c r="C198" s="3" t="s">
        <v>723</v>
      </c>
      <c r="D198" s="3" t="s">
        <v>723</v>
      </c>
      <c r="E198" s="3" t="s">
        <v>724</v>
      </c>
      <c r="F198" s="3" t="s">
        <v>159</v>
      </c>
      <c r="G198" s="3">
        <v>2</v>
      </c>
      <c r="H198" s="3">
        <v>0</v>
      </c>
      <c r="I198" s="3">
        <v>0</v>
      </c>
      <c r="J198" s="3">
        <v>2</v>
      </c>
      <c r="K198" s="3">
        <v>0</v>
      </c>
      <c r="L198" s="3">
        <v>0</v>
      </c>
      <c r="M198" s="3">
        <v>0</v>
      </c>
      <c r="N198" s="3" t="s">
        <v>160</v>
      </c>
      <c r="O198" s="3">
        <v>0</v>
      </c>
      <c r="P198" s="3">
        <v>0</v>
      </c>
      <c r="Q198" s="3">
        <v>0</v>
      </c>
      <c r="R198" s="3">
        <v>0</v>
      </c>
      <c r="S198" s="3">
        <v>0</v>
      </c>
      <c r="T198" s="3">
        <v>0</v>
      </c>
      <c r="U198" s="3">
        <v>0</v>
      </c>
      <c r="V198" s="3">
        <v>2</v>
      </c>
      <c r="W198" s="3" t="s">
        <v>161</v>
      </c>
      <c r="X198" s="3">
        <v>9.9</v>
      </c>
      <c r="Y198" s="3">
        <v>9.9</v>
      </c>
      <c r="Z198" s="3">
        <v>9.9</v>
      </c>
      <c r="AA198" s="3">
        <v>0</v>
      </c>
      <c r="AB198" s="3" t="s">
        <v>162</v>
      </c>
      <c r="AC198" s="3">
        <v>2</v>
      </c>
      <c r="AD198" s="3">
        <v>9.9</v>
      </c>
      <c r="AE198" s="3">
        <v>0</v>
      </c>
      <c r="AF198" s="3">
        <v>0</v>
      </c>
      <c r="AG198" s="3">
        <v>0</v>
      </c>
      <c r="AH198" s="3">
        <v>0.8</v>
      </c>
      <c r="AI198" s="3" t="s">
        <v>192</v>
      </c>
      <c r="AJ198" s="3" t="s">
        <v>164</v>
      </c>
    </row>
    <row r="199" spans="1:36">
      <c r="A199" s="6">
        <v>43288</v>
      </c>
      <c r="B199" s="3" t="s">
        <v>38</v>
      </c>
      <c r="C199" s="3" t="s">
        <v>39</v>
      </c>
      <c r="D199" s="3" t="s">
        <v>39</v>
      </c>
      <c r="E199" s="3" t="s">
        <v>40</v>
      </c>
      <c r="F199" s="3" t="s">
        <v>159</v>
      </c>
      <c r="G199" s="3">
        <v>11</v>
      </c>
      <c r="H199" s="3">
        <v>0</v>
      </c>
      <c r="I199" s="3">
        <v>2</v>
      </c>
      <c r="J199" s="3">
        <v>0</v>
      </c>
      <c r="K199" s="3">
        <v>0</v>
      </c>
      <c r="L199" s="3">
        <v>9</v>
      </c>
      <c r="M199" s="3">
        <v>0</v>
      </c>
      <c r="N199" s="3" t="s">
        <v>160</v>
      </c>
      <c r="O199" s="3">
        <v>9</v>
      </c>
      <c r="P199" s="3">
        <v>21.6</v>
      </c>
      <c r="Q199" s="3">
        <v>0</v>
      </c>
      <c r="R199" s="3">
        <v>0</v>
      </c>
      <c r="S199" s="3">
        <v>0</v>
      </c>
      <c r="T199" s="3">
        <v>2</v>
      </c>
      <c r="U199" s="3">
        <v>9</v>
      </c>
      <c r="V199" s="3">
        <v>10</v>
      </c>
      <c r="W199" s="3"/>
      <c r="X199" s="3">
        <v>12.98</v>
      </c>
      <c r="Y199" s="3">
        <v>12.98</v>
      </c>
      <c r="Z199" s="3">
        <v>12.98</v>
      </c>
      <c r="AA199" s="3">
        <v>0</v>
      </c>
      <c r="AB199" s="3" t="s">
        <v>187</v>
      </c>
      <c r="AC199" s="3">
        <v>4</v>
      </c>
      <c r="AD199" s="3">
        <v>11.79</v>
      </c>
      <c r="AE199" s="3">
        <v>7</v>
      </c>
      <c r="AF199" s="3">
        <v>6</v>
      </c>
      <c r="AG199" s="3">
        <v>14.695478</v>
      </c>
      <c r="AH199" s="3">
        <v>0.666666666666666</v>
      </c>
      <c r="AI199" s="3" t="s">
        <v>208</v>
      </c>
      <c r="AJ199" s="3" t="s">
        <v>174</v>
      </c>
    </row>
    <row r="200" spans="1:36">
      <c r="A200" s="6">
        <v>43288</v>
      </c>
      <c r="B200" s="3" t="s">
        <v>725</v>
      </c>
      <c r="C200" s="3" t="s">
        <v>726</v>
      </c>
      <c r="D200" s="3" t="s">
        <v>726</v>
      </c>
      <c r="E200" s="3" t="s">
        <v>727</v>
      </c>
      <c r="F200" s="3" t="s">
        <v>159</v>
      </c>
      <c r="G200" s="3">
        <v>13</v>
      </c>
      <c r="H200" s="3">
        <v>0</v>
      </c>
      <c r="I200" s="3">
        <v>0</v>
      </c>
      <c r="J200" s="3">
        <v>0</v>
      </c>
      <c r="K200" s="3">
        <v>0</v>
      </c>
      <c r="L200" s="3">
        <v>13</v>
      </c>
      <c r="M200" s="3">
        <v>0</v>
      </c>
      <c r="N200" s="3" t="s">
        <v>160</v>
      </c>
      <c r="O200" s="3">
        <v>13</v>
      </c>
      <c r="P200" s="3">
        <v>24.31</v>
      </c>
      <c r="Q200" s="3">
        <v>0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 t="s">
        <v>207</v>
      </c>
      <c r="X200" s="3">
        <v>22.98</v>
      </c>
      <c r="Y200" s="3">
        <v>22.98</v>
      </c>
      <c r="Z200" s="3">
        <v>18.98</v>
      </c>
      <c r="AA200" s="3">
        <v>0</v>
      </c>
      <c r="AB200" s="3" t="s">
        <v>187</v>
      </c>
      <c r="AC200" s="3">
        <v>0</v>
      </c>
      <c r="AD200" s="3">
        <v>18.98</v>
      </c>
      <c r="AE200" s="3">
        <v>231</v>
      </c>
      <c r="AF200" s="3">
        <v>0</v>
      </c>
      <c r="AG200" s="3">
        <v>333.714035</v>
      </c>
      <c r="AH200" s="3">
        <v>0</v>
      </c>
      <c r="AI200" s="3" t="s">
        <v>364</v>
      </c>
      <c r="AJ200" s="3" t="s">
        <v>174</v>
      </c>
    </row>
    <row r="201" spans="1:36">
      <c r="A201" s="6">
        <v>43288</v>
      </c>
      <c r="B201" s="3" t="s">
        <v>728</v>
      </c>
      <c r="C201" s="3" t="s">
        <v>729</v>
      </c>
      <c r="D201" s="3" t="s">
        <v>729</v>
      </c>
      <c r="E201" s="3" t="s">
        <v>730</v>
      </c>
      <c r="F201" s="3" t="s">
        <v>159</v>
      </c>
      <c r="G201" s="3">
        <v>4</v>
      </c>
      <c r="H201" s="3">
        <v>0</v>
      </c>
      <c r="I201" s="3">
        <v>0</v>
      </c>
      <c r="J201" s="3">
        <v>4</v>
      </c>
      <c r="K201" s="3">
        <v>0</v>
      </c>
      <c r="L201" s="3">
        <v>0</v>
      </c>
      <c r="M201" s="3">
        <v>0</v>
      </c>
      <c r="N201" s="3" t="s">
        <v>160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 t="s">
        <v>161</v>
      </c>
      <c r="X201" s="3">
        <v>9.5</v>
      </c>
      <c r="Y201" s="3">
        <v>9.5</v>
      </c>
      <c r="Z201" s="3">
        <v>9.5</v>
      </c>
      <c r="AA201" s="3">
        <v>0</v>
      </c>
      <c r="AB201" s="3" t="s">
        <v>162</v>
      </c>
      <c r="AC201" s="3">
        <v>0</v>
      </c>
      <c r="AD201" s="3">
        <v>9.5</v>
      </c>
      <c r="AE201" s="3">
        <v>63</v>
      </c>
      <c r="AF201" s="3">
        <v>0</v>
      </c>
      <c r="AG201" s="3">
        <v>3.437302</v>
      </c>
      <c r="AH201" s="3">
        <v>0</v>
      </c>
      <c r="AI201" s="3" t="s">
        <v>192</v>
      </c>
      <c r="AJ201" s="3" t="s">
        <v>164</v>
      </c>
    </row>
    <row r="202" spans="1:36">
      <c r="A202" s="6">
        <v>43288</v>
      </c>
      <c r="B202" s="3" t="s">
        <v>731</v>
      </c>
      <c r="C202" s="3" t="s">
        <v>732</v>
      </c>
      <c r="D202" s="3" t="s">
        <v>732</v>
      </c>
      <c r="E202" s="3" t="s">
        <v>320</v>
      </c>
      <c r="F202" s="3" t="s">
        <v>159</v>
      </c>
      <c r="G202" s="3">
        <v>3</v>
      </c>
      <c r="H202" s="3">
        <v>0</v>
      </c>
      <c r="I202" s="3">
        <v>0</v>
      </c>
      <c r="J202" s="3">
        <v>1</v>
      </c>
      <c r="K202" s="3">
        <v>2</v>
      </c>
      <c r="L202" s="3">
        <v>0</v>
      </c>
      <c r="M202" s="3">
        <v>0</v>
      </c>
      <c r="N202" s="3" t="s">
        <v>160</v>
      </c>
      <c r="O202" s="3">
        <v>3</v>
      </c>
      <c r="P202" s="3">
        <v>2.21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1</v>
      </c>
      <c r="W202" s="3" t="s">
        <v>207</v>
      </c>
      <c r="X202" s="3">
        <v>24.99</v>
      </c>
      <c r="Y202" s="3">
        <v>24.99</v>
      </c>
      <c r="Z202" s="3">
        <v>24.99</v>
      </c>
      <c r="AA202" s="3">
        <v>0</v>
      </c>
      <c r="AB202" s="3" t="s">
        <v>187</v>
      </c>
      <c r="AC202" s="3">
        <v>0</v>
      </c>
      <c r="AD202" s="3">
        <v>21.55</v>
      </c>
      <c r="AE202" s="3">
        <v>280</v>
      </c>
      <c r="AF202" s="3">
        <v>0</v>
      </c>
      <c r="AG202" s="3">
        <v>53.520556</v>
      </c>
      <c r="AH202" s="3">
        <v>0.307692307692307</v>
      </c>
      <c r="AI202" s="3" t="s">
        <v>253</v>
      </c>
      <c r="AJ202" s="3" t="s">
        <v>164</v>
      </c>
    </row>
    <row r="203" spans="1:36">
      <c r="A203" s="6">
        <v>43288</v>
      </c>
      <c r="B203" s="3" t="s">
        <v>733</v>
      </c>
      <c r="C203" s="3" t="s">
        <v>734</v>
      </c>
      <c r="D203" s="3" t="s">
        <v>734</v>
      </c>
      <c r="E203" s="3" t="s">
        <v>76</v>
      </c>
      <c r="F203" s="3" t="s">
        <v>159</v>
      </c>
      <c r="G203" s="3">
        <v>3</v>
      </c>
      <c r="H203" s="3">
        <v>0</v>
      </c>
      <c r="I203" s="3">
        <v>3</v>
      </c>
      <c r="J203" s="3">
        <v>0</v>
      </c>
      <c r="K203" s="3">
        <v>0</v>
      </c>
      <c r="L203" s="3">
        <v>0</v>
      </c>
      <c r="M203" s="3">
        <v>0</v>
      </c>
      <c r="N203" s="3" t="s">
        <v>160</v>
      </c>
      <c r="O203" s="3">
        <v>0</v>
      </c>
      <c r="P203" s="3">
        <v>0</v>
      </c>
      <c r="Q203" s="3">
        <v>0</v>
      </c>
      <c r="R203" s="3">
        <v>0</v>
      </c>
      <c r="S203" s="3">
        <v>1</v>
      </c>
      <c r="T203" s="3">
        <v>4</v>
      </c>
      <c r="U203" s="3">
        <v>7</v>
      </c>
      <c r="V203" s="3">
        <v>10</v>
      </c>
      <c r="W203" s="3" t="s">
        <v>161</v>
      </c>
      <c r="X203" s="3">
        <v>9.9</v>
      </c>
      <c r="Y203" s="3">
        <v>9.9</v>
      </c>
      <c r="Z203" s="3">
        <v>9.9</v>
      </c>
      <c r="AA203" s="3">
        <v>0</v>
      </c>
      <c r="AB203" s="3" t="s">
        <v>162</v>
      </c>
      <c r="AC203" s="3">
        <v>1</v>
      </c>
      <c r="AD203" s="3">
        <v>7.92</v>
      </c>
      <c r="AE203" s="3">
        <v>14</v>
      </c>
      <c r="AF203" s="3">
        <v>0</v>
      </c>
      <c r="AG203" s="3">
        <v>0.158745</v>
      </c>
      <c r="AH203" s="3">
        <v>1.81818181818181</v>
      </c>
      <c r="AI203" s="3" t="s">
        <v>735</v>
      </c>
      <c r="AJ203" s="3" t="s">
        <v>164</v>
      </c>
    </row>
    <row r="204" spans="1:36">
      <c r="A204" s="6">
        <v>43288</v>
      </c>
      <c r="B204" s="3" t="s">
        <v>736</v>
      </c>
      <c r="C204" s="3" t="s">
        <v>737</v>
      </c>
      <c r="D204" s="3" t="s">
        <v>737</v>
      </c>
      <c r="E204" s="3" t="s">
        <v>26</v>
      </c>
      <c r="F204" s="3" t="s">
        <v>159</v>
      </c>
      <c r="G204" s="3">
        <v>7</v>
      </c>
      <c r="H204" s="3">
        <v>0</v>
      </c>
      <c r="I204" s="3">
        <v>1</v>
      </c>
      <c r="J204" s="3">
        <v>0</v>
      </c>
      <c r="K204" s="3">
        <v>5</v>
      </c>
      <c r="L204" s="3">
        <v>1</v>
      </c>
      <c r="M204" s="3">
        <v>0</v>
      </c>
      <c r="N204" s="3" t="s">
        <v>160</v>
      </c>
      <c r="O204" s="3">
        <v>6</v>
      </c>
      <c r="P204" s="3">
        <v>0.98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 t="s">
        <v>207</v>
      </c>
      <c r="X204" s="3">
        <v>25</v>
      </c>
      <c r="Y204" s="3">
        <v>25</v>
      </c>
      <c r="Z204" s="3">
        <v>25</v>
      </c>
      <c r="AA204" s="3">
        <v>0</v>
      </c>
      <c r="AB204" s="3" t="s">
        <v>187</v>
      </c>
      <c r="AC204" s="3">
        <v>0</v>
      </c>
      <c r="AD204" s="3">
        <v>20</v>
      </c>
      <c r="AE204" s="3">
        <v>63</v>
      </c>
      <c r="AF204" s="3">
        <v>0</v>
      </c>
      <c r="AG204" s="3">
        <v>26.463176</v>
      </c>
      <c r="AH204" s="3">
        <v>0</v>
      </c>
      <c r="AI204" s="3" t="s">
        <v>637</v>
      </c>
      <c r="AJ204" s="3" t="s">
        <v>174</v>
      </c>
    </row>
    <row r="205" spans="1:36">
      <c r="A205" s="6">
        <v>43288</v>
      </c>
      <c r="B205" s="3" t="s">
        <v>738</v>
      </c>
      <c r="C205" s="3" t="s">
        <v>739</v>
      </c>
      <c r="D205" s="3" t="s">
        <v>739</v>
      </c>
      <c r="E205" s="3" t="s">
        <v>740</v>
      </c>
      <c r="F205" s="3" t="s">
        <v>159</v>
      </c>
      <c r="G205" s="3">
        <v>4</v>
      </c>
      <c r="H205" s="3">
        <v>0</v>
      </c>
      <c r="I205" s="3">
        <v>0</v>
      </c>
      <c r="J205" s="3">
        <v>4</v>
      </c>
      <c r="K205" s="3">
        <v>0</v>
      </c>
      <c r="L205" s="3">
        <v>0</v>
      </c>
      <c r="M205" s="3">
        <v>0</v>
      </c>
      <c r="N205" s="3" t="s">
        <v>160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 t="s">
        <v>161</v>
      </c>
      <c r="X205" s="3">
        <v>9.5</v>
      </c>
      <c r="Y205" s="3">
        <v>9.5</v>
      </c>
      <c r="Z205" s="3">
        <v>9.5</v>
      </c>
      <c r="AA205" s="3">
        <v>0</v>
      </c>
      <c r="AB205" s="3" t="s">
        <v>162</v>
      </c>
      <c r="AC205" s="3">
        <v>0</v>
      </c>
      <c r="AD205" s="3">
        <v>9.5</v>
      </c>
      <c r="AE205" s="3">
        <v>63</v>
      </c>
      <c r="AF205" s="3">
        <v>0</v>
      </c>
      <c r="AG205" s="3">
        <v>3.437302</v>
      </c>
      <c r="AH205" s="3">
        <v>0</v>
      </c>
      <c r="AI205" s="3" t="s">
        <v>192</v>
      </c>
      <c r="AJ205" s="3" t="s">
        <v>164</v>
      </c>
    </row>
    <row r="206" spans="1:36">
      <c r="A206" s="6">
        <v>43288</v>
      </c>
      <c r="B206" s="3" t="s">
        <v>741</v>
      </c>
      <c r="C206" s="3" t="s">
        <v>742</v>
      </c>
      <c r="D206" s="3" t="s">
        <v>742</v>
      </c>
      <c r="E206" s="3" t="s">
        <v>743</v>
      </c>
      <c r="F206" s="3" t="s">
        <v>159</v>
      </c>
      <c r="G206" s="3">
        <v>4</v>
      </c>
      <c r="H206" s="3">
        <v>0</v>
      </c>
      <c r="I206" s="3">
        <v>0</v>
      </c>
      <c r="J206" s="3">
        <v>4</v>
      </c>
      <c r="K206" s="3">
        <v>0</v>
      </c>
      <c r="L206" s="3">
        <v>0</v>
      </c>
      <c r="M206" s="3">
        <v>0</v>
      </c>
      <c r="N206" s="3" t="s">
        <v>160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 t="s">
        <v>161</v>
      </c>
      <c r="X206" s="3">
        <v>9.5</v>
      </c>
      <c r="Y206" s="3">
        <v>9.5</v>
      </c>
      <c r="Z206" s="3">
        <v>9.5</v>
      </c>
      <c r="AA206" s="3">
        <v>0</v>
      </c>
      <c r="AB206" s="3" t="s">
        <v>162</v>
      </c>
      <c r="AC206" s="3">
        <v>0</v>
      </c>
      <c r="AD206" s="3">
        <v>9.5</v>
      </c>
      <c r="AE206" s="3">
        <v>63</v>
      </c>
      <c r="AF206" s="3">
        <v>0</v>
      </c>
      <c r="AG206" s="3">
        <v>3.437302</v>
      </c>
      <c r="AH206" s="3">
        <v>0</v>
      </c>
      <c r="AI206" s="3" t="s">
        <v>192</v>
      </c>
      <c r="AJ206" s="3" t="s">
        <v>164</v>
      </c>
    </row>
    <row r="207" spans="1:36">
      <c r="A207" s="6">
        <v>43288</v>
      </c>
      <c r="B207" s="3" t="s">
        <v>119</v>
      </c>
      <c r="C207" s="3" t="s">
        <v>120</v>
      </c>
      <c r="D207" s="3" t="s">
        <v>121</v>
      </c>
      <c r="E207" s="3" t="s">
        <v>122</v>
      </c>
      <c r="F207" s="3" t="s">
        <v>159</v>
      </c>
      <c r="G207" s="3">
        <v>71</v>
      </c>
      <c r="H207" s="3">
        <v>0</v>
      </c>
      <c r="I207" s="3">
        <v>71</v>
      </c>
      <c r="J207" s="3">
        <v>0</v>
      </c>
      <c r="K207" s="3">
        <v>0</v>
      </c>
      <c r="L207" s="3">
        <v>0</v>
      </c>
      <c r="M207" s="3">
        <v>0</v>
      </c>
      <c r="N207" s="3" t="s">
        <v>160</v>
      </c>
      <c r="O207" s="3">
        <v>0</v>
      </c>
      <c r="P207" s="3">
        <v>0</v>
      </c>
      <c r="Q207" s="3">
        <v>0</v>
      </c>
      <c r="R207" s="3">
        <v>0</v>
      </c>
      <c r="S207" s="3">
        <v>16</v>
      </c>
      <c r="T207" s="3">
        <v>61</v>
      </c>
      <c r="U207" s="3">
        <v>61</v>
      </c>
      <c r="V207" s="3">
        <v>61</v>
      </c>
      <c r="W207" s="3"/>
      <c r="X207" s="3">
        <v>18.99</v>
      </c>
      <c r="Y207" s="3">
        <v>18.99</v>
      </c>
      <c r="Z207" s="3">
        <v>18.99</v>
      </c>
      <c r="AA207" s="3">
        <v>0</v>
      </c>
      <c r="AB207" s="3" t="s">
        <v>170</v>
      </c>
      <c r="AC207" s="3">
        <v>75</v>
      </c>
      <c r="AD207" s="3">
        <v>18.99</v>
      </c>
      <c r="AE207" s="3">
        <v>0</v>
      </c>
      <c r="AF207" s="3">
        <v>0</v>
      </c>
      <c r="AG207" s="3">
        <v>0</v>
      </c>
      <c r="AH207" s="3">
        <v>6.74157303370786</v>
      </c>
      <c r="AI207" s="3" t="s">
        <v>744</v>
      </c>
      <c r="AJ207" s="3" t="s">
        <v>164</v>
      </c>
    </row>
    <row r="208" spans="1:36">
      <c r="A208" s="6">
        <v>43288</v>
      </c>
      <c r="B208" s="3" t="s">
        <v>745</v>
      </c>
      <c r="C208" s="3" t="s">
        <v>746</v>
      </c>
      <c r="D208" s="3" t="s">
        <v>746</v>
      </c>
      <c r="E208" s="3" t="s">
        <v>747</v>
      </c>
      <c r="F208" s="3" t="s">
        <v>159</v>
      </c>
      <c r="G208" s="3">
        <v>18</v>
      </c>
      <c r="H208" s="3">
        <v>0</v>
      </c>
      <c r="I208" s="3">
        <v>0</v>
      </c>
      <c r="J208" s="3">
        <v>0</v>
      </c>
      <c r="K208" s="3">
        <v>0</v>
      </c>
      <c r="L208" s="3">
        <v>18</v>
      </c>
      <c r="M208" s="3">
        <v>0</v>
      </c>
      <c r="N208" s="3" t="s">
        <v>160</v>
      </c>
      <c r="O208" s="3">
        <v>18</v>
      </c>
      <c r="P208" s="3">
        <v>43.19</v>
      </c>
      <c r="Q208" s="3">
        <v>0</v>
      </c>
      <c r="R208" s="3">
        <v>0</v>
      </c>
      <c r="S208" s="3">
        <v>0</v>
      </c>
      <c r="T208" s="3">
        <v>0</v>
      </c>
      <c r="U208" s="3">
        <v>1</v>
      </c>
      <c r="V208" s="3">
        <v>1</v>
      </c>
      <c r="W208" s="3" t="s">
        <v>207</v>
      </c>
      <c r="X208" s="3">
        <v>15.98</v>
      </c>
      <c r="Y208" s="3">
        <v>15.98</v>
      </c>
      <c r="Z208" s="3">
        <v>15.98</v>
      </c>
      <c r="AA208" s="3">
        <v>0</v>
      </c>
      <c r="AB208" s="3" t="s">
        <v>187</v>
      </c>
      <c r="AC208" s="3">
        <v>0</v>
      </c>
      <c r="AD208" s="3">
        <v>12.32</v>
      </c>
      <c r="AE208" s="3">
        <v>126</v>
      </c>
      <c r="AF208" s="3">
        <v>0</v>
      </c>
      <c r="AG208" s="3">
        <v>323.662294</v>
      </c>
      <c r="AH208" s="3">
        <v>0.054054054054054</v>
      </c>
      <c r="AI208" s="3" t="s">
        <v>208</v>
      </c>
      <c r="AJ208" s="3" t="s">
        <v>174</v>
      </c>
    </row>
    <row r="209" spans="1:36">
      <c r="A209" s="6">
        <v>43288</v>
      </c>
      <c r="B209" s="3" t="s">
        <v>748</v>
      </c>
      <c r="C209" s="3" t="s">
        <v>109</v>
      </c>
      <c r="D209" s="3" t="s">
        <v>109</v>
      </c>
      <c r="E209" s="3" t="s">
        <v>110</v>
      </c>
      <c r="F209" s="3" t="s">
        <v>159</v>
      </c>
      <c r="G209" s="3">
        <v>21</v>
      </c>
      <c r="H209" s="3">
        <v>0</v>
      </c>
      <c r="I209" s="3">
        <v>21</v>
      </c>
      <c r="J209" s="3">
        <v>0</v>
      </c>
      <c r="K209" s="3">
        <v>0</v>
      </c>
      <c r="L209" s="3">
        <v>0</v>
      </c>
      <c r="M209" s="3">
        <v>0</v>
      </c>
      <c r="N209" s="3" t="s">
        <v>160</v>
      </c>
      <c r="O209" s="3">
        <v>0</v>
      </c>
      <c r="P209" s="3">
        <v>0</v>
      </c>
      <c r="Q209" s="3">
        <v>0</v>
      </c>
      <c r="R209" s="3">
        <v>0</v>
      </c>
      <c r="S209" s="3">
        <v>1</v>
      </c>
      <c r="T209" s="3">
        <v>18</v>
      </c>
      <c r="U209" s="3">
        <v>36</v>
      </c>
      <c r="V209" s="3">
        <v>50</v>
      </c>
      <c r="W209" s="3"/>
      <c r="X209" s="3">
        <v>24.99</v>
      </c>
      <c r="Y209" s="3">
        <v>24.99</v>
      </c>
      <c r="Z209" s="3">
        <v>23</v>
      </c>
      <c r="AA209" s="3">
        <v>0</v>
      </c>
      <c r="AB209" s="3" t="s">
        <v>170</v>
      </c>
      <c r="AC209" s="3">
        <v>20</v>
      </c>
      <c r="AD209" s="3">
        <v>24.99</v>
      </c>
      <c r="AE209" s="3">
        <v>0</v>
      </c>
      <c r="AF209" s="3">
        <v>0</v>
      </c>
      <c r="AG209" s="3">
        <v>0</v>
      </c>
      <c r="AH209" s="3">
        <v>2.87179487179487</v>
      </c>
      <c r="AI209" s="3" t="s">
        <v>749</v>
      </c>
      <c r="AJ209" s="3" t="s">
        <v>164</v>
      </c>
    </row>
    <row r="210" spans="1:36">
      <c r="A210" s="6">
        <v>43288</v>
      </c>
      <c r="B210" s="3" t="s">
        <v>750</v>
      </c>
      <c r="C210" s="3" t="s">
        <v>751</v>
      </c>
      <c r="D210" s="3" t="s">
        <v>751</v>
      </c>
      <c r="E210" s="3" t="s">
        <v>752</v>
      </c>
      <c r="F210" s="3" t="s">
        <v>159</v>
      </c>
      <c r="G210" s="3">
        <v>3</v>
      </c>
      <c r="H210" s="3">
        <v>0</v>
      </c>
      <c r="I210" s="3">
        <v>0</v>
      </c>
      <c r="J210" s="3">
        <v>3</v>
      </c>
      <c r="K210" s="3">
        <v>0</v>
      </c>
      <c r="L210" s="3">
        <v>0</v>
      </c>
      <c r="M210" s="3">
        <v>0</v>
      </c>
      <c r="N210" s="3" t="s">
        <v>160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1</v>
      </c>
      <c r="W210" s="3" t="s">
        <v>161</v>
      </c>
      <c r="X210" s="3">
        <v>9.5</v>
      </c>
      <c r="Y210" s="3">
        <v>9.5</v>
      </c>
      <c r="Z210" s="3">
        <v>9.5</v>
      </c>
      <c r="AA210" s="3">
        <v>0</v>
      </c>
      <c r="AB210" s="3" t="s">
        <v>162</v>
      </c>
      <c r="AC210" s="3">
        <v>3</v>
      </c>
      <c r="AD210" s="3">
        <v>9.5</v>
      </c>
      <c r="AE210" s="3">
        <v>0</v>
      </c>
      <c r="AF210" s="3">
        <v>0</v>
      </c>
      <c r="AG210" s="3">
        <v>0</v>
      </c>
      <c r="AH210" s="3">
        <v>0.307692307692307</v>
      </c>
      <c r="AI210" s="3" t="s">
        <v>196</v>
      </c>
      <c r="AJ210" s="3" t="s">
        <v>164</v>
      </c>
    </row>
    <row r="211" spans="1:36">
      <c r="A211" s="6">
        <v>43288</v>
      </c>
      <c r="B211" s="3" t="s">
        <v>753</v>
      </c>
      <c r="C211" s="3" t="s">
        <v>754</v>
      </c>
      <c r="D211" s="3" t="s">
        <v>754</v>
      </c>
      <c r="E211" s="3" t="s">
        <v>31</v>
      </c>
      <c r="F211" s="3" t="s">
        <v>159</v>
      </c>
      <c r="G211" s="3">
        <v>6</v>
      </c>
      <c r="H211" s="3">
        <v>0</v>
      </c>
      <c r="I211" s="3">
        <v>0</v>
      </c>
      <c r="J211" s="3">
        <v>0</v>
      </c>
      <c r="K211" s="3">
        <v>4</v>
      </c>
      <c r="L211" s="3">
        <v>2</v>
      </c>
      <c r="M211" s="3">
        <v>0</v>
      </c>
      <c r="N211" s="3" t="s">
        <v>160</v>
      </c>
      <c r="O211" s="3">
        <v>6</v>
      </c>
      <c r="P211" s="3">
        <v>4.43</v>
      </c>
      <c r="Q211" s="3">
        <v>0</v>
      </c>
      <c r="R211" s="3">
        <v>0</v>
      </c>
      <c r="S211" s="3">
        <v>1</v>
      </c>
      <c r="T211" s="3">
        <v>1</v>
      </c>
      <c r="U211" s="3">
        <v>1</v>
      </c>
      <c r="V211" s="3">
        <v>1</v>
      </c>
      <c r="W211" s="3"/>
      <c r="X211" s="3">
        <v>15</v>
      </c>
      <c r="Y211" s="3">
        <v>15</v>
      </c>
      <c r="Z211" s="3">
        <v>15</v>
      </c>
      <c r="AA211" s="3">
        <v>0</v>
      </c>
      <c r="AB211" s="3" t="s">
        <v>170</v>
      </c>
      <c r="AC211" s="3">
        <v>0</v>
      </c>
      <c r="AD211" s="3">
        <v>15</v>
      </c>
      <c r="AE211" s="3">
        <v>63</v>
      </c>
      <c r="AF211" s="3">
        <v>0</v>
      </c>
      <c r="AG211" s="3">
        <v>71.495123</v>
      </c>
      <c r="AH211" s="3">
        <v>0.148148148148148</v>
      </c>
      <c r="AI211" s="3" t="s">
        <v>253</v>
      </c>
      <c r="AJ211" s="3" t="s">
        <v>174</v>
      </c>
    </row>
    <row r="212" spans="1:36">
      <c r="A212" s="6">
        <v>43288</v>
      </c>
      <c r="B212" s="3" t="s">
        <v>755</v>
      </c>
      <c r="C212" s="3" t="s">
        <v>756</v>
      </c>
      <c r="D212" s="3" t="s">
        <v>756</v>
      </c>
      <c r="E212" s="3" t="s">
        <v>186</v>
      </c>
      <c r="F212" s="3" t="s">
        <v>159</v>
      </c>
      <c r="G212" s="3">
        <v>3</v>
      </c>
      <c r="H212" s="3">
        <v>0</v>
      </c>
      <c r="I212" s="3">
        <v>0</v>
      </c>
      <c r="J212" s="3">
        <v>0</v>
      </c>
      <c r="K212" s="3">
        <v>3</v>
      </c>
      <c r="L212" s="3">
        <v>0</v>
      </c>
      <c r="M212" s="3">
        <v>0</v>
      </c>
      <c r="N212" s="3" t="s">
        <v>160</v>
      </c>
      <c r="O212" s="3">
        <v>3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1</v>
      </c>
      <c r="V212" s="3">
        <v>1</v>
      </c>
      <c r="W212" s="3" t="s">
        <v>161</v>
      </c>
      <c r="X212" s="3">
        <v>12</v>
      </c>
      <c r="Y212" s="3">
        <v>12</v>
      </c>
      <c r="Z212" s="3">
        <v>12</v>
      </c>
      <c r="AA212" s="3">
        <v>0</v>
      </c>
      <c r="AB212" s="3" t="s">
        <v>170</v>
      </c>
      <c r="AC212" s="3">
        <v>3</v>
      </c>
      <c r="AD212" s="3">
        <v>12</v>
      </c>
      <c r="AE212" s="3">
        <v>0</v>
      </c>
      <c r="AF212" s="3">
        <v>0</v>
      </c>
      <c r="AG212" s="3">
        <v>0</v>
      </c>
      <c r="AH212" s="3">
        <v>0.285714285714285</v>
      </c>
      <c r="AI212" s="3" t="s">
        <v>188</v>
      </c>
      <c r="AJ212" s="3" t="s">
        <v>174</v>
      </c>
    </row>
    <row r="213" spans="1:36">
      <c r="A213" s="6">
        <v>43288</v>
      </c>
      <c r="B213" s="3" t="s">
        <v>757</v>
      </c>
      <c r="C213" s="3" t="s">
        <v>758</v>
      </c>
      <c r="D213" s="3" t="s">
        <v>758</v>
      </c>
      <c r="E213" s="3" t="s">
        <v>759</v>
      </c>
      <c r="F213" s="3" t="s">
        <v>159</v>
      </c>
      <c r="G213" s="3">
        <v>18</v>
      </c>
      <c r="H213" s="3">
        <v>0</v>
      </c>
      <c r="I213" s="3">
        <v>0</v>
      </c>
      <c r="J213" s="3">
        <v>0</v>
      </c>
      <c r="K213" s="3">
        <v>0</v>
      </c>
      <c r="L213" s="3">
        <v>18</v>
      </c>
      <c r="M213" s="3">
        <v>0</v>
      </c>
      <c r="N213" s="3" t="s">
        <v>160</v>
      </c>
      <c r="O213" s="3">
        <v>18</v>
      </c>
      <c r="P213" s="3">
        <v>43.19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 t="s">
        <v>207</v>
      </c>
      <c r="X213" s="3">
        <v>15.98</v>
      </c>
      <c r="Y213" s="3">
        <v>15.98</v>
      </c>
      <c r="Z213" s="3">
        <v>15.98</v>
      </c>
      <c r="AA213" s="3">
        <v>0</v>
      </c>
      <c r="AB213" s="3" t="s">
        <v>187</v>
      </c>
      <c r="AC213" s="3">
        <v>2</v>
      </c>
      <c r="AD213" s="3">
        <v>12.78</v>
      </c>
      <c r="AE213" s="3">
        <v>42</v>
      </c>
      <c r="AF213" s="3">
        <v>0</v>
      </c>
      <c r="AG213" s="3">
        <v>550.724436</v>
      </c>
      <c r="AH213" s="3">
        <v>0</v>
      </c>
      <c r="AI213" s="3" t="s">
        <v>208</v>
      </c>
      <c r="AJ213" s="3" t="s">
        <v>174</v>
      </c>
    </row>
    <row r="214" spans="1:36">
      <c r="A214" s="6">
        <v>43288</v>
      </c>
      <c r="B214" s="3" t="s">
        <v>760</v>
      </c>
      <c r="C214" s="3" t="s">
        <v>761</v>
      </c>
      <c r="D214" s="3" t="s">
        <v>761</v>
      </c>
      <c r="E214" s="3" t="s">
        <v>762</v>
      </c>
      <c r="F214" s="3" t="s">
        <v>159</v>
      </c>
      <c r="G214" s="3">
        <v>18</v>
      </c>
      <c r="H214" s="3">
        <v>0</v>
      </c>
      <c r="I214" s="3">
        <v>0</v>
      </c>
      <c r="J214" s="3">
        <v>0</v>
      </c>
      <c r="K214" s="3">
        <v>0</v>
      </c>
      <c r="L214" s="3">
        <v>18</v>
      </c>
      <c r="M214" s="3">
        <v>0</v>
      </c>
      <c r="N214" s="3" t="s">
        <v>160</v>
      </c>
      <c r="O214" s="3">
        <v>18</v>
      </c>
      <c r="P214" s="3">
        <v>43.19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 t="s">
        <v>207</v>
      </c>
      <c r="X214" s="3">
        <v>14.98</v>
      </c>
      <c r="Y214" s="3">
        <v>14.98</v>
      </c>
      <c r="Z214" s="3">
        <v>14.98</v>
      </c>
      <c r="AA214" s="3">
        <v>0</v>
      </c>
      <c r="AB214" s="3" t="s">
        <v>187</v>
      </c>
      <c r="AC214" s="3">
        <v>0</v>
      </c>
      <c r="AD214" s="3">
        <v>13.29</v>
      </c>
      <c r="AE214" s="3">
        <v>49</v>
      </c>
      <c r="AF214" s="3">
        <v>0</v>
      </c>
      <c r="AG214" s="3">
        <v>545.575827</v>
      </c>
      <c r="AH214" s="3">
        <v>0</v>
      </c>
      <c r="AI214" s="3" t="s">
        <v>208</v>
      </c>
      <c r="AJ214" s="3" t="s">
        <v>174</v>
      </c>
    </row>
    <row r="215" spans="1:36">
      <c r="A215" s="6">
        <v>43288</v>
      </c>
      <c r="B215" s="3" t="s">
        <v>763</v>
      </c>
      <c r="C215" s="3" t="s">
        <v>764</v>
      </c>
      <c r="D215" s="3" t="s">
        <v>764</v>
      </c>
      <c r="E215" s="3" t="s">
        <v>765</v>
      </c>
      <c r="F215" s="3" t="s">
        <v>159</v>
      </c>
      <c r="G215" s="3">
        <v>1</v>
      </c>
      <c r="H215" s="3">
        <v>0</v>
      </c>
      <c r="I215" s="3">
        <v>1</v>
      </c>
      <c r="J215" s="3">
        <v>0</v>
      </c>
      <c r="K215" s="3">
        <v>0</v>
      </c>
      <c r="L215" s="3">
        <v>0</v>
      </c>
      <c r="M215" s="3">
        <v>0</v>
      </c>
      <c r="N215" s="3" t="s">
        <v>160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13</v>
      </c>
      <c r="U215" s="3">
        <v>20</v>
      </c>
      <c r="V215" s="3">
        <v>20</v>
      </c>
      <c r="W215" s="3" t="s">
        <v>207</v>
      </c>
      <c r="X215" s="3">
        <v>39.98</v>
      </c>
      <c r="Y215" s="3">
        <v>15.98</v>
      </c>
      <c r="Z215" s="3">
        <v>15.98</v>
      </c>
      <c r="AA215" s="3">
        <v>0</v>
      </c>
      <c r="AB215" s="3" t="s">
        <v>170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1.7391304347826</v>
      </c>
      <c r="AI215" s="3" t="s">
        <v>766</v>
      </c>
      <c r="AJ215" s="3" t="s">
        <v>174</v>
      </c>
    </row>
    <row r="216" spans="1:36">
      <c r="A216" s="6">
        <v>43288</v>
      </c>
      <c r="B216" s="3" t="s">
        <v>767</v>
      </c>
      <c r="C216" s="3" t="s">
        <v>768</v>
      </c>
      <c r="D216" s="3" t="s">
        <v>768</v>
      </c>
      <c r="E216" s="3" t="s">
        <v>769</v>
      </c>
      <c r="F216" s="3" t="s">
        <v>159</v>
      </c>
      <c r="G216" s="3">
        <v>3</v>
      </c>
      <c r="H216" s="3">
        <v>0</v>
      </c>
      <c r="I216" s="3">
        <v>0</v>
      </c>
      <c r="J216" s="3">
        <v>0</v>
      </c>
      <c r="K216" s="3">
        <v>0</v>
      </c>
      <c r="L216" s="3">
        <v>3</v>
      </c>
      <c r="M216" s="3">
        <v>0</v>
      </c>
      <c r="N216" s="3" t="s">
        <v>160</v>
      </c>
      <c r="O216" s="3">
        <v>3</v>
      </c>
      <c r="P216" s="3">
        <v>7.2</v>
      </c>
      <c r="Q216" s="3">
        <v>0</v>
      </c>
      <c r="R216" s="3">
        <v>0</v>
      </c>
      <c r="S216" s="3">
        <v>0</v>
      </c>
      <c r="T216" s="3">
        <v>3</v>
      </c>
      <c r="U216" s="3">
        <v>15</v>
      </c>
      <c r="V216" s="3">
        <v>16</v>
      </c>
      <c r="W216" s="3"/>
      <c r="X216" s="3">
        <v>14.98</v>
      </c>
      <c r="Y216" s="3">
        <v>14.98</v>
      </c>
      <c r="Z216" s="3">
        <v>14.98</v>
      </c>
      <c r="AA216" s="3">
        <v>0</v>
      </c>
      <c r="AB216" s="3" t="s">
        <v>170</v>
      </c>
      <c r="AC216" s="3">
        <v>3</v>
      </c>
      <c r="AD216" s="3">
        <v>14.98</v>
      </c>
      <c r="AE216" s="3">
        <v>0</v>
      </c>
      <c r="AF216" s="3">
        <v>0</v>
      </c>
      <c r="AG216" s="3">
        <v>0</v>
      </c>
      <c r="AH216" s="3">
        <v>1.39130434782608</v>
      </c>
      <c r="AI216" s="3" t="s">
        <v>208</v>
      </c>
      <c r="AJ216" s="3" t="s">
        <v>174</v>
      </c>
    </row>
    <row r="217" spans="1:36">
      <c r="A217" s="6">
        <v>43288</v>
      </c>
      <c r="B217" s="3" t="s">
        <v>91</v>
      </c>
      <c r="C217" s="3" t="s">
        <v>92</v>
      </c>
      <c r="D217" s="3" t="s">
        <v>93</v>
      </c>
      <c r="E217" s="3" t="s">
        <v>94</v>
      </c>
      <c r="F217" s="3" t="s">
        <v>159</v>
      </c>
      <c r="G217" s="3">
        <v>79</v>
      </c>
      <c r="H217" s="3">
        <v>0</v>
      </c>
      <c r="I217" s="3">
        <v>79</v>
      </c>
      <c r="J217" s="3">
        <v>0</v>
      </c>
      <c r="K217" s="3">
        <v>0</v>
      </c>
      <c r="L217" s="3">
        <v>0</v>
      </c>
      <c r="M217" s="3">
        <v>0</v>
      </c>
      <c r="N217" s="3" t="s">
        <v>160</v>
      </c>
      <c r="O217" s="3">
        <v>0</v>
      </c>
      <c r="P217" s="3">
        <v>0</v>
      </c>
      <c r="Q217" s="3">
        <v>0</v>
      </c>
      <c r="R217" s="3">
        <v>0</v>
      </c>
      <c r="S217" s="3">
        <v>14</v>
      </c>
      <c r="T217" s="3">
        <v>100</v>
      </c>
      <c r="U217" s="3">
        <v>119</v>
      </c>
      <c r="V217" s="3">
        <v>119</v>
      </c>
      <c r="W217" s="3"/>
      <c r="X217" s="3">
        <v>13.99</v>
      </c>
      <c r="Y217" s="3">
        <v>13.99</v>
      </c>
      <c r="Z217" s="3">
        <v>13.99</v>
      </c>
      <c r="AA217" s="3">
        <v>0</v>
      </c>
      <c r="AB217" s="3" t="s">
        <v>170</v>
      </c>
      <c r="AC217" s="3">
        <v>90</v>
      </c>
      <c r="AD217" s="3">
        <v>13.99</v>
      </c>
      <c r="AE217" s="3">
        <v>0</v>
      </c>
      <c r="AF217" s="3">
        <v>0</v>
      </c>
      <c r="AG217" s="3">
        <v>0</v>
      </c>
      <c r="AH217" s="3">
        <v>5.36170212765957</v>
      </c>
      <c r="AI217" s="3" t="s">
        <v>770</v>
      </c>
      <c r="AJ217" s="3" t="s">
        <v>164</v>
      </c>
    </row>
    <row r="218" spans="1:36">
      <c r="A218" s="6">
        <v>43288</v>
      </c>
      <c r="B218" s="3" t="s">
        <v>771</v>
      </c>
      <c r="C218" s="3" t="s">
        <v>772</v>
      </c>
      <c r="D218" s="3" t="s">
        <v>772</v>
      </c>
      <c r="E218" s="3" t="s">
        <v>773</v>
      </c>
      <c r="F218" s="3" t="s">
        <v>159</v>
      </c>
      <c r="G218" s="3">
        <v>4</v>
      </c>
      <c r="H218" s="3">
        <v>0</v>
      </c>
      <c r="I218" s="3">
        <v>0</v>
      </c>
      <c r="J218" s="3">
        <v>4</v>
      </c>
      <c r="K218" s="3">
        <v>0</v>
      </c>
      <c r="L218" s="3">
        <v>0</v>
      </c>
      <c r="M218" s="3">
        <v>0</v>
      </c>
      <c r="N218" s="3" t="s">
        <v>160</v>
      </c>
      <c r="O218" s="3">
        <v>0</v>
      </c>
      <c r="P218" s="3">
        <v>0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 t="s">
        <v>161</v>
      </c>
      <c r="X218" s="3">
        <v>9.5</v>
      </c>
      <c r="Y218" s="3">
        <v>9.5</v>
      </c>
      <c r="Z218" s="3">
        <v>9.5</v>
      </c>
      <c r="AA218" s="3">
        <v>0</v>
      </c>
      <c r="AB218" s="3" t="s">
        <v>162</v>
      </c>
      <c r="AC218" s="3">
        <v>0</v>
      </c>
      <c r="AD218" s="3">
        <v>9.5</v>
      </c>
      <c r="AE218" s="3">
        <v>63</v>
      </c>
      <c r="AF218" s="3">
        <v>0</v>
      </c>
      <c r="AG218" s="3">
        <v>3.437302</v>
      </c>
      <c r="AH218" s="3">
        <v>0</v>
      </c>
      <c r="AI218" s="3" t="s">
        <v>192</v>
      </c>
      <c r="AJ218" s="3" t="s">
        <v>164</v>
      </c>
    </row>
    <row r="219" spans="1:36">
      <c r="A219" s="6">
        <v>43288</v>
      </c>
      <c r="B219" s="3" t="s">
        <v>774</v>
      </c>
      <c r="C219" s="3" t="s">
        <v>775</v>
      </c>
      <c r="D219" s="3" t="s">
        <v>775</v>
      </c>
      <c r="E219" s="3" t="s">
        <v>186</v>
      </c>
      <c r="F219" s="3" t="s">
        <v>159</v>
      </c>
      <c r="G219" s="3">
        <v>3</v>
      </c>
      <c r="H219" s="3">
        <v>0</v>
      </c>
      <c r="I219" s="3">
        <v>1</v>
      </c>
      <c r="J219" s="3">
        <v>0</v>
      </c>
      <c r="K219" s="3">
        <v>2</v>
      </c>
      <c r="L219" s="3">
        <v>0</v>
      </c>
      <c r="M219" s="3">
        <v>0</v>
      </c>
      <c r="N219" s="3" t="s">
        <v>160</v>
      </c>
      <c r="O219" s="3">
        <v>2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1</v>
      </c>
      <c r="W219" s="3" t="s">
        <v>161</v>
      </c>
      <c r="X219" s="3">
        <v>12</v>
      </c>
      <c r="Y219" s="3">
        <v>12</v>
      </c>
      <c r="Z219" s="3">
        <v>12</v>
      </c>
      <c r="AA219" s="3">
        <v>0</v>
      </c>
      <c r="AB219" s="3" t="s">
        <v>170</v>
      </c>
      <c r="AC219" s="3">
        <v>3</v>
      </c>
      <c r="AD219" s="3">
        <v>12</v>
      </c>
      <c r="AE219" s="3">
        <v>0</v>
      </c>
      <c r="AF219" s="3">
        <v>0</v>
      </c>
      <c r="AG219" s="3">
        <v>0</v>
      </c>
      <c r="AH219" s="3">
        <v>0.333333333333333</v>
      </c>
      <c r="AI219" s="3" t="s">
        <v>188</v>
      </c>
      <c r="AJ219" s="3" t="s">
        <v>174</v>
      </c>
    </row>
    <row r="220" spans="1:36">
      <c r="A220" s="6">
        <v>43288</v>
      </c>
      <c r="B220" s="3" t="s">
        <v>776</v>
      </c>
      <c r="C220" s="3" t="s">
        <v>777</v>
      </c>
      <c r="D220" s="3" t="s">
        <v>777</v>
      </c>
      <c r="E220" s="3" t="s">
        <v>778</v>
      </c>
      <c r="F220" s="3" t="s">
        <v>159</v>
      </c>
      <c r="G220" s="3">
        <v>17</v>
      </c>
      <c r="H220" s="3">
        <v>0</v>
      </c>
      <c r="I220" s="3">
        <v>17</v>
      </c>
      <c r="J220" s="3">
        <v>0</v>
      </c>
      <c r="K220" s="3">
        <v>0</v>
      </c>
      <c r="L220" s="3">
        <v>0</v>
      </c>
      <c r="M220" s="3">
        <v>0</v>
      </c>
      <c r="N220" s="3" t="s">
        <v>160</v>
      </c>
      <c r="O220" s="3">
        <v>0</v>
      </c>
      <c r="P220" s="3">
        <v>0</v>
      </c>
      <c r="Q220" s="3">
        <v>0</v>
      </c>
      <c r="R220" s="3">
        <v>0</v>
      </c>
      <c r="S220" s="3">
        <v>2</v>
      </c>
      <c r="T220" s="3">
        <v>10</v>
      </c>
      <c r="U220" s="3">
        <v>19</v>
      </c>
      <c r="V220" s="3">
        <v>30</v>
      </c>
      <c r="W220" s="3"/>
      <c r="X220" s="3">
        <v>18.99</v>
      </c>
      <c r="Y220" s="3">
        <v>18.99</v>
      </c>
      <c r="Z220" s="3">
        <v>18</v>
      </c>
      <c r="AA220" s="3">
        <v>0</v>
      </c>
      <c r="AB220" s="3" t="s">
        <v>170</v>
      </c>
      <c r="AC220" s="3">
        <v>18</v>
      </c>
      <c r="AD220" s="3">
        <v>18.99</v>
      </c>
      <c r="AE220" s="3">
        <v>0</v>
      </c>
      <c r="AF220" s="3">
        <v>0</v>
      </c>
      <c r="AG220" s="3">
        <v>0</v>
      </c>
      <c r="AH220" s="3">
        <v>0.838709677419354</v>
      </c>
      <c r="AI220" s="3" t="s">
        <v>779</v>
      </c>
      <c r="AJ220" s="3" t="s">
        <v>164</v>
      </c>
    </row>
    <row r="221" spans="1:36">
      <c r="A221" s="6">
        <v>43288</v>
      </c>
      <c r="B221" s="3" t="s">
        <v>780</v>
      </c>
      <c r="C221" s="3" t="s">
        <v>781</v>
      </c>
      <c r="D221" s="3" t="s">
        <v>781</v>
      </c>
      <c r="E221" s="3" t="s">
        <v>76</v>
      </c>
      <c r="F221" s="3" t="s">
        <v>159</v>
      </c>
      <c r="G221" s="3">
        <v>6</v>
      </c>
      <c r="H221" s="3">
        <v>0</v>
      </c>
      <c r="I221" s="3">
        <v>6</v>
      </c>
      <c r="J221" s="3">
        <v>0</v>
      </c>
      <c r="K221" s="3">
        <v>0</v>
      </c>
      <c r="L221" s="3">
        <v>0</v>
      </c>
      <c r="M221" s="3">
        <v>0</v>
      </c>
      <c r="N221" s="3" t="s">
        <v>160</v>
      </c>
      <c r="O221" s="3">
        <v>0</v>
      </c>
      <c r="P221" s="3">
        <v>0</v>
      </c>
      <c r="Q221" s="3">
        <v>0</v>
      </c>
      <c r="R221" s="3">
        <v>0</v>
      </c>
      <c r="S221" s="3">
        <v>2</v>
      </c>
      <c r="T221" s="3">
        <v>2</v>
      </c>
      <c r="U221" s="3">
        <v>8</v>
      </c>
      <c r="V221" s="3">
        <v>9</v>
      </c>
      <c r="W221" s="3" t="s">
        <v>161</v>
      </c>
      <c r="X221" s="3">
        <v>9.9</v>
      </c>
      <c r="Y221" s="3">
        <v>9.9</v>
      </c>
      <c r="Z221" s="3">
        <v>9.9</v>
      </c>
      <c r="AA221" s="3">
        <v>0</v>
      </c>
      <c r="AB221" s="3" t="s">
        <v>162</v>
      </c>
      <c r="AC221" s="3">
        <v>1</v>
      </c>
      <c r="AD221" s="3">
        <v>5.98</v>
      </c>
      <c r="AE221" s="3">
        <v>49</v>
      </c>
      <c r="AF221" s="3">
        <v>0</v>
      </c>
      <c r="AG221" s="3">
        <v>22.403598</v>
      </c>
      <c r="AH221" s="3">
        <v>1.16129032258064</v>
      </c>
      <c r="AI221" s="3" t="s">
        <v>566</v>
      </c>
      <c r="AJ221" s="3" t="s">
        <v>164</v>
      </c>
    </row>
    <row r="222" spans="1:36">
      <c r="A222" s="6">
        <v>43288</v>
      </c>
      <c r="B222" s="3" t="s">
        <v>782</v>
      </c>
      <c r="C222" s="3" t="s">
        <v>783</v>
      </c>
      <c r="D222" s="3" t="s">
        <v>783</v>
      </c>
      <c r="E222" s="3" t="s">
        <v>76</v>
      </c>
      <c r="F222" s="3" t="s">
        <v>159</v>
      </c>
      <c r="G222" s="3">
        <v>4</v>
      </c>
      <c r="H222" s="3">
        <v>0</v>
      </c>
      <c r="I222" s="3">
        <v>4</v>
      </c>
      <c r="J222" s="3">
        <v>0</v>
      </c>
      <c r="K222" s="3">
        <v>0</v>
      </c>
      <c r="L222" s="3">
        <v>0</v>
      </c>
      <c r="M222" s="3">
        <v>0</v>
      </c>
      <c r="N222" s="3" t="s">
        <v>160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2</v>
      </c>
      <c r="U222" s="3">
        <v>6</v>
      </c>
      <c r="V222" s="3">
        <v>9</v>
      </c>
      <c r="W222" s="3" t="s">
        <v>161</v>
      </c>
      <c r="X222" s="3">
        <v>9.9</v>
      </c>
      <c r="Y222" s="3">
        <v>9.9</v>
      </c>
      <c r="Z222" s="3">
        <v>9.9</v>
      </c>
      <c r="AA222" s="3">
        <v>0</v>
      </c>
      <c r="AB222" s="3" t="s">
        <v>162</v>
      </c>
      <c r="AC222" s="3">
        <v>4</v>
      </c>
      <c r="AD222" s="3">
        <v>9.9</v>
      </c>
      <c r="AE222" s="3">
        <v>0</v>
      </c>
      <c r="AF222" s="3">
        <v>0</v>
      </c>
      <c r="AG222" s="3">
        <v>0</v>
      </c>
      <c r="AH222" s="3">
        <v>1.56521739130434</v>
      </c>
      <c r="AI222" s="3" t="s">
        <v>268</v>
      </c>
      <c r="AJ222" s="3" t="s">
        <v>164</v>
      </c>
    </row>
    <row r="223" spans="1:36">
      <c r="A223" s="6">
        <v>43288</v>
      </c>
      <c r="B223" s="3" t="s">
        <v>784</v>
      </c>
      <c r="C223" s="3" t="s">
        <v>785</v>
      </c>
      <c r="D223" s="3" t="s">
        <v>785</v>
      </c>
      <c r="E223" s="3" t="s">
        <v>786</v>
      </c>
      <c r="F223" s="3" t="s">
        <v>159</v>
      </c>
      <c r="G223" s="3">
        <v>4</v>
      </c>
      <c r="H223" s="3">
        <v>0</v>
      </c>
      <c r="I223" s="3">
        <v>0</v>
      </c>
      <c r="J223" s="3">
        <v>0</v>
      </c>
      <c r="K223" s="3">
        <v>4</v>
      </c>
      <c r="L223" s="3">
        <v>0</v>
      </c>
      <c r="M223" s="3">
        <v>0</v>
      </c>
      <c r="N223" s="3" t="s">
        <v>160</v>
      </c>
      <c r="O223" s="3">
        <v>4</v>
      </c>
      <c r="P223" s="3">
        <v>5.47</v>
      </c>
      <c r="Q223" s="3">
        <v>0</v>
      </c>
      <c r="R223" s="3">
        <v>0</v>
      </c>
      <c r="S223" s="3">
        <v>1</v>
      </c>
      <c r="T223" s="3">
        <v>1</v>
      </c>
      <c r="U223" s="3">
        <v>1</v>
      </c>
      <c r="V223" s="3">
        <v>1</v>
      </c>
      <c r="W223" s="3"/>
      <c r="X223" s="3">
        <v>12</v>
      </c>
      <c r="Y223" s="3">
        <v>12</v>
      </c>
      <c r="Z223" s="3">
        <v>12</v>
      </c>
      <c r="AA223" s="3">
        <v>0</v>
      </c>
      <c r="AB223" s="3" t="s">
        <v>187</v>
      </c>
      <c r="AC223" s="3">
        <v>0</v>
      </c>
      <c r="AD223" s="3">
        <v>9.6</v>
      </c>
      <c r="AE223" s="3">
        <v>63</v>
      </c>
      <c r="AF223" s="3">
        <v>0</v>
      </c>
      <c r="AG223" s="3">
        <v>80.579982</v>
      </c>
      <c r="AH223" s="3">
        <v>0.210526315789473</v>
      </c>
      <c r="AI223" s="3" t="s">
        <v>241</v>
      </c>
      <c r="AJ223" s="3" t="s">
        <v>174</v>
      </c>
    </row>
    <row r="224" spans="1:36">
      <c r="A224" s="6">
        <v>43288</v>
      </c>
      <c r="B224" s="3" t="s">
        <v>787</v>
      </c>
      <c r="C224" s="3" t="s">
        <v>788</v>
      </c>
      <c r="D224" s="3" t="s">
        <v>788</v>
      </c>
      <c r="E224" s="3" t="s">
        <v>31</v>
      </c>
      <c r="F224" s="3" t="s">
        <v>159</v>
      </c>
      <c r="G224" s="3">
        <v>7</v>
      </c>
      <c r="H224" s="3">
        <v>0</v>
      </c>
      <c r="I224" s="3">
        <v>0</v>
      </c>
      <c r="J224" s="3">
        <v>0</v>
      </c>
      <c r="K224" s="3">
        <v>4</v>
      </c>
      <c r="L224" s="3">
        <v>3</v>
      </c>
      <c r="M224" s="3">
        <v>0</v>
      </c>
      <c r="N224" s="3" t="s">
        <v>160</v>
      </c>
      <c r="O224" s="3">
        <v>7</v>
      </c>
      <c r="P224" s="3">
        <v>5.16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 t="s">
        <v>207</v>
      </c>
      <c r="X224" s="3">
        <v>24.99</v>
      </c>
      <c r="Y224" s="3">
        <v>24.99</v>
      </c>
      <c r="Z224" s="3">
        <v>24.99</v>
      </c>
      <c r="AA224" s="3">
        <v>0</v>
      </c>
      <c r="AB224" s="3" t="s">
        <v>187</v>
      </c>
      <c r="AC224" s="3">
        <v>0</v>
      </c>
      <c r="AD224" s="3">
        <v>15</v>
      </c>
      <c r="AE224" s="3">
        <v>63</v>
      </c>
      <c r="AF224" s="3">
        <v>0</v>
      </c>
      <c r="AG224" s="3">
        <v>71.495123</v>
      </c>
      <c r="AH224" s="3">
        <v>0</v>
      </c>
      <c r="AI224" s="3" t="s">
        <v>253</v>
      </c>
      <c r="AJ224" s="3" t="s">
        <v>174</v>
      </c>
    </row>
    <row r="225" spans="1:36">
      <c r="A225" s="6">
        <v>43288</v>
      </c>
      <c r="B225" s="3" t="s">
        <v>789</v>
      </c>
      <c r="C225" s="3" t="s">
        <v>790</v>
      </c>
      <c r="D225" s="3" t="s">
        <v>790</v>
      </c>
      <c r="E225" s="3" t="s">
        <v>791</v>
      </c>
      <c r="F225" s="3" t="s">
        <v>159</v>
      </c>
      <c r="G225" s="3">
        <v>5</v>
      </c>
      <c r="H225" s="3">
        <v>0</v>
      </c>
      <c r="I225" s="3">
        <v>0</v>
      </c>
      <c r="J225" s="3">
        <v>0</v>
      </c>
      <c r="K225" s="3">
        <v>5</v>
      </c>
      <c r="L225" s="3">
        <v>0</v>
      </c>
      <c r="M225" s="3">
        <v>0</v>
      </c>
      <c r="N225" s="3" t="s">
        <v>160</v>
      </c>
      <c r="O225" s="3">
        <v>5</v>
      </c>
      <c r="P225" s="3">
        <v>6.83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 t="s">
        <v>207</v>
      </c>
      <c r="X225" s="3">
        <v>12</v>
      </c>
      <c r="Y225" s="3">
        <v>12</v>
      </c>
      <c r="Z225" s="3">
        <v>12</v>
      </c>
      <c r="AA225" s="3">
        <v>0</v>
      </c>
      <c r="AB225" s="3" t="s">
        <v>187</v>
      </c>
      <c r="AC225" s="3">
        <v>0</v>
      </c>
      <c r="AD225" s="3">
        <v>9.6</v>
      </c>
      <c r="AE225" s="3">
        <v>63</v>
      </c>
      <c r="AF225" s="3">
        <v>0</v>
      </c>
      <c r="AG225" s="3">
        <v>80.579982</v>
      </c>
      <c r="AH225" s="3">
        <v>0</v>
      </c>
      <c r="AI225" s="3" t="s">
        <v>241</v>
      </c>
      <c r="AJ225" s="3" t="s">
        <v>174</v>
      </c>
    </row>
    <row r="226" spans="1:36">
      <c r="A226" s="6">
        <v>43288</v>
      </c>
      <c r="B226" s="3" t="s">
        <v>18</v>
      </c>
      <c r="C226" s="3" t="s">
        <v>19</v>
      </c>
      <c r="D226" s="3" t="s">
        <v>19</v>
      </c>
      <c r="E226" s="3" t="s">
        <v>20</v>
      </c>
      <c r="F226" s="3" t="s">
        <v>159</v>
      </c>
      <c r="G226" s="3">
        <v>5</v>
      </c>
      <c r="H226" s="3">
        <v>0</v>
      </c>
      <c r="I226" s="3">
        <v>0</v>
      </c>
      <c r="J226" s="3">
        <v>5</v>
      </c>
      <c r="K226" s="3">
        <v>0</v>
      </c>
      <c r="L226" s="3">
        <v>0</v>
      </c>
      <c r="M226" s="3">
        <v>0</v>
      </c>
      <c r="N226" s="3" t="s">
        <v>160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2</v>
      </c>
      <c r="U226" s="3">
        <v>3</v>
      </c>
      <c r="V226" s="3">
        <v>3</v>
      </c>
      <c r="W226" s="3" t="s">
        <v>161</v>
      </c>
      <c r="X226" s="3">
        <v>20.99</v>
      </c>
      <c r="Y226" s="3">
        <v>20.99</v>
      </c>
      <c r="Z226" s="3">
        <v>20.99</v>
      </c>
      <c r="AA226" s="3">
        <v>0</v>
      </c>
      <c r="AB226" s="3" t="s">
        <v>162</v>
      </c>
      <c r="AC226" s="3">
        <v>0</v>
      </c>
      <c r="AD226" s="3">
        <v>16.47</v>
      </c>
      <c r="AE226" s="3">
        <v>70</v>
      </c>
      <c r="AF226" s="3">
        <v>0</v>
      </c>
      <c r="AG226" s="3">
        <v>137.200248</v>
      </c>
      <c r="AH226" s="3">
        <v>0.428571428571428</v>
      </c>
      <c r="AI226" s="3" t="s">
        <v>792</v>
      </c>
      <c r="AJ226" s="3" t="s">
        <v>164</v>
      </c>
    </row>
    <row r="227" spans="1:36">
      <c r="A227" s="6">
        <v>43288</v>
      </c>
      <c r="B227" s="3" t="s">
        <v>793</v>
      </c>
      <c r="C227" s="3" t="s">
        <v>794</v>
      </c>
      <c r="D227" s="3" t="s">
        <v>794</v>
      </c>
      <c r="E227" s="3" t="s">
        <v>795</v>
      </c>
      <c r="F227" s="3" t="s">
        <v>159</v>
      </c>
      <c r="G227" s="3">
        <v>4</v>
      </c>
      <c r="H227" s="3">
        <v>0</v>
      </c>
      <c r="I227" s="3">
        <v>0</v>
      </c>
      <c r="J227" s="3">
        <v>4</v>
      </c>
      <c r="K227" s="3">
        <v>0</v>
      </c>
      <c r="L227" s="3">
        <v>0</v>
      </c>
      <c r="M227" s="3">
        <v>0</v>
      </c>
      <c r="N227" s="3" t="s">
        <v>160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 t="s">
        <v>161</v>
      </c>
      <c r="X227" s="3">
        <v>9.5</v>
      </c>
      <c r="Y227" s="3">
        <v>9.5</v>
      </c>
      <c r="Z227" s="3">
        <v>9.5</v>
      </c>
      <c r="AA227" s="3">
        <v>0</v>
      </c>
      <c r="AB227" s="3" t="s">
        <v>162</v>
      </c>
      <c r="AC227" s="3">
        <v>0</v>
      </c>
      <c r="AD227" s="3">
        <v>9.5</v>
      </c>
      <c r="AE227" s="3">
        <v>63</v>
      </c>
      <c r="AF227" s="3">
        <v>0</v>
      </c>
      <c r="AG227" s="3">
        <v>3.437302</v>
      </c>
      <c r="AH227" s="3">
        <v>0</v>
      </c>
      <c r="AI227" s="3" t="s">
        <v>192</v>
      </c>
      <c r="AJ227" s="3" t="s">
        <v>164</v>
      </c>
    </row>
    <row r="228" spans="1:36">
      <c r="A228" s="6">
        <v>43288</v>
      </c>
      <c r="B228" s="3" t="s">
        <v>796</v>
      </c>
      <c r="C228" s="3" t="s">
        <v>117</v>
      </c>
      <c r="D228" s="3" t="s">
        <v>117</v>
      </c>
      <c r="E228" s="3" t="s">
        <v>118</v>
      </c>
      <c r="F228" s="3" t="s">
        <v>159</v>
      </c>
      <c r="G228" s="3">
        <v>15</v>
      </c>
      <c r="H228" s="3">
        <v>0</v>
      </c>
      <c r="I228" s="3">
        <v>15</v>
      </c>
      <c r="J228" s="3">
        <v>0</v>
      </c>
      <c r="K228" s="3">
        <v>0</v>
      </c>
      <c r="L228" s="3">
        <v>0</v>
      </c>
      <c r="M228" s="3">
        <v>0</v>
      </c>
      <c r="N228" s="3" t="s">
        <v>160</v>
      </c>
      <c r="O228" s="3">
        <v>0</v>
      </c>
      <c r="P228" s="3">
        <v>0</v>
      </c>
      <c r="Q228" s="3">
        <v>0</v>
      </c>
      <c r="R228" s="3">
        <v>0</v>
      </c>
      <c r="S228" s="3">
        <v>2</v>
      </c>
      <c r="T228" s="3">
        <v>11</v>
      </c>
      <c r="U228" s="3">
        <v>52</v>
      </c>
      <c r="V228" s="3">
        <v>87</v>
      </c>
      <c r="W228" s="3"/>
      <c r="X228" s="3">
        <v>25.99</v>
      </c>
      <c r="Y228" s="3">
        <v>25.99</v>
      </c>
      <c r="Z228" s="3">
        <v>23</v>
      </c>
      <c r="AA228" s="3">
        <v>0</v>
      </c>
      <c r="AB228" s="3" t="s">
        <v>170</v>
      </c>
      <c r="AC228" s="3">
        <v>16</v>
      </c>
      <c r="AD228" s="3">
        <v>25.99</v>
      </c>
      <c r="AE228" s="3">
        <v>0</v>
      </c>
      <c r="AF228" s="3">
        <v>0</v>
      </c>
      <c r="AG228" s="3">
        <v>0</v>
      </c>
      <c r="AH228" s="3">
        <v>3.47586206896551</v>
      </c>
      <c r="AI228" s="3" t="s">
        <v>605</v>
      </c>
      <c r="AJ228" s="3" t="s">
        <v>164</v>
      </c>
    </row>
    <row r="229" spans="1:36">
      <c r="A229" s="6">
        <v>43288</v>
      </c>
      <c r="B229" s="3" t="s">
        <v>797</v>
      </c>
      <c r="C229" s="3" t="s">
        <v>798</v>
      </c>
      <c r="D229" s="3" t="s">
        <v>798</v>
      </c>
      <c r="E229" s="3" t="s">
        <v>799</v>
      </c>
      <c r="F229" s="3" t="s">
        <v>159</v>
      </c>
      <c r="G229" s="3">
        <v>1</v>
      </c>
      <c r="H229" s="3">
        <v>0</v>
      </c>
      <c r="I229" s="3">
        <v>1</v>
      </c>
      <c r="J229" s="3">
        <v>0</v>
      </c>
      <c r="K229" s="3">
        <v>0</v>
      </c>
      <c r="L229" s="3">
        <v>0</v>
      </c>
      <c r="M229" s="3">
        <v>0</v>
      </c>
      <c r="N229" s="3" t="s">
        <v>160</v>
      </c>
      <c r="O229" s="3">
        <v>0</v>
      </c>
      <c r="P229" s="3">
        <v>0</v>
      </c>
      <c r="Q229" s="3">
        <v>0</v>
      </c>
      <c r="R229" s="3">
        <v>0</v>
      </c>
      <c r="S229" s="3">
        <v>2</v>
      </c>
      <c r="T229" s="3">
        <v>4</v>
      </c>
      <c r="U229" s="3">
        <v>5</v>
      </c>
      <c r="V229" s="3">
        <v>6</v>
      </c>
      <c r="W229" s="3"/>
      <c r="X229" s="3">
        <v>12</v>
      </c>
      <c r="Y229" s="3">
        <v>12</v>
      </c>
      <c r="Z229" s="3">
        <v>12</v>
      </c>
      <c r="AA229" s="3">
        <v>0</v>
      </c>
      <c r="AB229" s="3" t="s">
        <v>170</v>
      </c>
      <c r="AC229" s="3">
        <v>2</v>
      </c>
      <c r="AD229" s="3">
        <v>12</v>
      </c>
      <c r="AE229" s="3">
        <v>0</v>
      </c>
      <c r="AF229" s="3">
        <v>0</v>
      </c>
      <c r="AG229" s="3">
        <v>0</v>
      </c>
      <c r="AH229" s="3">
        <v>1.71428571428571</v>
      </c>
      <c r="AI229" s="3" t="s">
        <v>241</v>
      </c>
      <c r="AJ229" s="3" t="s">
        <v>174</v>
      </c>
    </row>
    <row r="230" spans="1:36">
      <c r="A230" s="6">
        <v>43288</v>
      </c>
      <c r="B230" s="3" t="s">
        <v>800</v>
      </c>
      <c r="C230" s="3" t="s">
        <v>801</v>
      </c>
      <c r="D230" s="3" t="s">
        <v>801</v>
      </c>
      <c r="E230" s="3" t="s">
        <v>802</v>
      </c>
      <c r="F230" s="3" t="s">
        <v>159</v>
      </c>
      <c r="G230" s="3">
        <v>4</v>
      </c>
      <c r="H230" s="3">
        <v>0</v>
      </c>
      <c r="I230" s="3">
        <v>0</v>
      </c>
      <c r="J230" s="3">
        <v>4</v>
      </c>
      <c r="K230" s="3">
        <v>0</v>
      </c>
      <c r="L230" s="3">
        <v>0</v>
      </c>
      <c r="M230" s="3">
        <v>0</v>
      </c>
      <c r="N230" s="3" t="s">
        <v>160</v>
      </c>
      <c r="O230" s="3">
        <v>0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 t="s">
        <v>161</v>
      </c>
      <c r="X230" s="3">
        <v>9.5</v>
      </c>
      <c r="Y230" s="3">
        <v>9.5</v>
      </c>
      <c r="Z230" s="3">
        <v>9.5</v>
      </c>
      <c r="AA230" s="3">
        <v>0</v>
      </c>
      <c r="AB230" s="3" t="s">
        <v>162</v>
      </c>
      <c r="AC230" s="3">
        <v>0</v>
      </c>
      <c r="AD230" s="3">
        <v>9.5</v>
      </c>
      <c r="AE230" s="3">
        <v>63</v>
      </c>
      <c r="AF230" s="3">
        <v>0</v>
      </c>
      <c r="AG230" s="3">
        <v>3.437302</v>
      </c>
      <c r="AH230" s="3">
        <v>0</v>
      </c>
      <c r="AI230" s="3" t="s">
        <v>192</v>
      </c>
      <c r="AJ230" s="3" t="s">
        <v>164</v>
      </c>
    </row>
    <row r="231" spans="1:36">
      <c r="A231" s="6">
        <v>43288</v>
      </c>
      <c r="B231" s="3" t="s">
        <v>59</v>
      </c>
      <c r="C231" s="3" t="s">
        <v>60</v>
      </c>
      <c r="D231" s="3" t="s">
        <v>61</v>
      </c>
      <c r="E231" s="3" t="s">
        <v>62</v>
      </c>
      <c r="F231" s="3" t="s">
        <v>159</v>
      </c>
      <c r="G231" s="3">
        <v>9</v>
      </c>
      <c r="H231" s="3">
        <v>0</v>
      </c>
      <c r="I231" s="3">
        <v>9</v>
      </c>
      <c r="J231" s="3">
        <v>0</v>
      </c>
      <c r="K231" s="3">
        <v>0</v>
      </c>
      <c r="L231" s="3">
        <v>0</v>
      </c>
      <c r="M231" s="3">
        <v>0</v>
      </c>
      <c r="N231" s="3" t="s">
        <v>160</v>
      </c>
      <c r="O231" s="3">
        <v>0</v>
      </c>
      <c r="P231" s="3">
        <v>0</v>
      </c>
      <c r="Q231" s="3">
        <v>0</v>
      </c>
      <c r="R231" s="3">
        <v>0</v>
      </c>
      <c r="S231" s="3">
        <v>4</v>
      </c>
      <c r="T231" s="3">
        <v>10</v>
      </c>
      <c r="U231" s="3">
        <v>10</v>
      </c>
      <c r="V231" s="3">
        <v>10</v>
      </c>
      <c r="W231" s="3"/>
      <c r="X231" s="3">
        <v>30.99</v>
      </c>
      <c r="Y231" s="3">
        <v>24.99</v>
      </c>
      <c r="Z231" s="3">
        <v>24</v>
      </c>
      <c r="AA231" s="3">
        <v>0</v>
      </c>
      <c r="AB231" s="3" t="s">
        <v>170</v>
      </c>
      <c r="AC231" s="3">
        <v>13</v>
      </c>
      <c r="AD231" s="3">
        <v>24.99</v>
      </c>
      <c r="AE231" s="3">
        <v>0</v>
      </c>
      <c r="AF231" s="3">
        <v>0</v>
      </c>
      <c r="AG231" s="3">
        <v>0</v>
      </c>
      <c r="AH231" s="3">
        <v>0.689655172413793</v>
      </c>
      <c r="AI231" s="3" t="s">
        <v>803</v>
      </c>
      <c r="AJ231" s="3" t="s">
        <v>164</v>
      </c>
    </row>
    <row r="232" spans="1:36">
      <c r="A232" s="6">
        <v>43288</v>
      </c>
      <c r="B232" s="3" t="s">
        <v>804</v>
      </c>
      <c r="C232" s="3" t="s">
        <v>805</v>
      </c>
      <c r="D232" s="3" t="s">
        <v>805</v>
      </c>
      <c r="E232" s="3" t="s">
        <v>806</v>
      </c>
      <c r="F232" s="3" t="s">
        <v>159</v>
      </c>
      <c r="G232" s="3">
        <v>5</v>
      </c>
      <c r="H232" s="3">
        <v>0</v>
      </c>
      <c r="I232" s="3">
        <v>0</v>
      </c>
      <c r="J232" s="3">
        <v>1</v>
      </c>
      <c r="K232" s="3">
        <v>4</v>
      </c>
      <c r="L232" s="3">
        <v>0</v>
      </c>
      <c r="M232" s="3">
        <v>0</v>
      </c>
      <c r="N232" s="3" t="s">
        <v>160</v>
      </c>
      <c r="O232" s="3">
        <v>4</v>
      </c>
      <c r="P232" s="3">
        <v>5.47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0</v>
      </c>
      <c r="W232" s="3" t="s">
        <v>207</v>
      </c>
      <c r="X232" s="3">
        <v>12</v>
      </c>
      <c r="Y232" s="3">
        <v>12</v>
      </c>
      <c r="Z232" s="3">
        <v>12</v>
      </c>
      <c r="AA232" s="3">
        <v>0</v>
      </c>
      <c r="AB232" s="3" t="s">
        <v>170</v>
      </c>
      <c r="AC232" s="3">
        <v>5</v>
      </c>
      <c r="AD232" s="3">
        <v>12</v>
      </c>
      <c r="AE232" s="3">
        <v>0</v>
      </c>
      <c r="AF232" s="3">
        <v>0</v>
      </c>
      <c r="AG232" s="3">
        <v>0</v>
      </c>
      <c r="AH232" s="3">
        <v>0</v>
      </c>
      <c r="AI232" s="3" t="s">
        <v>241</v>
      </c>
      <c r="AJ232" s="3" t="s">
        <v>174</v>
      </c>
    </row>
    <row r="233" spans="1:36">
      <c r="A233" s="6">
        <v>43288</v>
      </c>
      <c r="B233" s="3" t="s">
        <v>807</v>
      </c>
      <c r="C233" s="3" t="s">
        <v>808</v>
      </c>
      <c r="D233" s="3" t="s">
        <v>808</v>
      </c>
      <c r="E233" s="3" t="s">
        <v>76</v>
      </c>
      <c r="F233" s="3" t="s">
        <v>159</v>
      </c>
      <c r="G233" s="3">
        <v>9</v>
      </c>
      <c r="H233" s="3">
        <v>0</v>
      </c>
      <c r="I233" s="3">
        <v>5</v>
      </c>
      <c r="J233" s="3">
        <v>4</v>
      </c>
      <c r="K233" s="3">
        <v>0</v>
      </c>
      <c r="L233" s="3">
        <v>0</v>
      </c>
      <c r="M233" s="3">
        <v>0</v>
      </c>
      <c r="N233" s="3" t="s">
        <v>160</v>
      </c>
      <c r="O233" s="3">
        <v>0</v>
      </c>
      <c r="P233" s="3">
        <v>0</v>
      </c>
      <c r="Q233" s="3">
        <v>0</v>
      </c>
      <c r="R233" s="3">
        <v>0</v>
      </c>
      <c r="S233" s="3">
        <v>1</v>
      </c>
      <c r="T233" s="3">
        <v>1</v>
      </c>
      <c r="U233" s="3">
        <v>2</v>
      </c>
      <c r="V233" s="3">
        <v>6</v>
      </c>
      <c r="W233" s="3" t="s">
        <v>161</v>
      </c>
      <c r="X233" s="3">
        <v>9.9</v>
      </c>
      <c r="Y233" s="3">
        <v>9.9</v>
      </c>
      <c r="Z233" s="3">
        <v>9.9</v>
      </c>
      <c r="AA233" s="3">
        <v>0</v>
      </c>
      <c r="AB233" s="3" t="s">
        <v>162</v>
      </c>
      <c r="AC233" s="3">
        <v>0</v>
      </c>
      <c r="AD233" s="3">
        <v>7.92</v>
      </c>
      <c r="AE233" s="3">
        <v>63</v>
      </c>
      <c r="AF233" s="3">
        <v>0</v>
      </c>
      <c r="AG233" s="3">
        <v>47.504418</v>
      </c>
      <c r="AH233" s="3">
        <v>0.685714285714285</v>
      </c>
      <c r="AI233" s="3" t="s">
        <v>268</v>
      </c>
      <c r="AJ233" s="3" t="s">
        <v>164</v>
      </c>
    </row>
    <row r="234" spans="1:36">
      <c r="A234" s="6">
        <v>43288</v>
      </c>
      <c r="B234" s="3" t="s">
        <v>809</v>
      </c>
      <c r="C234" s="3" t="s">
        <v>810</v>
      </c>
      <c r="D234" s="3" t="s">
        <v>811</v>
      </c>
      <c r="E234" s="3" t="s">
        <v>812</v>
      </c>
      <c r="F234" s="3" t="s">
        <v>159</v>
      </c>
      <c r="G234" s="3">
        <v>1</v>
      </c>
      <c r="H234" s="3">
        <v>0</v>
      </c>
      <c r="I234" s="3">
        <v>0</v>
      </c>
      <c r="J234" s="3">
        <v>1</v>
      </c>
      <c r="K234" s="3">
        <v>0</v>
      </c>
      <c r="L234" s="3">
        <v>0</v>
      </c>
      <c r="M234" s="3">
        <v>0</v>
      </c>
      <c r="N234" s="3" t="s">
        <v>160</v>
      </c>
      <c r="O234" s="3">
        <v>0</v>
      </c>
      <c r="P234" s="3">
        <v>0</v>
      </c>
      <c r="Q234" s="3">
        <v>0</v>
      </c>
      <c r="R234" s="3">
        <v>0</v>
      </c>
      <c r="S234" s="3">
        <v>0</v>
      </c>
      <c r="T234" s="3">
        <v>0</v>
      </c>
      <c r="U234" s="3">
        <v>2</v>
      </c>
      <c r="V234" s="3">
        <v>3</v>
      </c>
      <c r="W234" s="3" t="s">
        <v>161</v>
      </c>
      <c r="X234" s="3">
        <v>13.99</v>
      </c>
      <c r="Y234" s="3">
        <v>13.99</v>
      </c>
      <c r="Z234" s="3">
        <v>13.99</v>
      </c>
      <c r="AA234" s="3">
        <v>0</v>
      </c>
      <c r="AB234" s="3" t="s">
        <v>162</v>
      </c>
      <c r="AC234" s="3">
        <v>1</v>
      </c>
      <c r="AD234" s="3">
        <v>13.99</v>
      </c>
      <c r="AE234" s="3">
        <v>0</v>
      </c>
      <c r="AF234" s="3">
        <v>0</v>
      </c>
      <c r="AG234" s="3">
        <v>0</v>
      </c>
      <c r="AH234" s="3">
        <v>1.33333333333333</v>
      </c>
      <c r="AI234" s="3" t="s">
        <v>169</v>
      </c>
      <c r="AJ234" s="3" t="s">
        <v>164</v>
      </c>
    </row>
    <row r="235" spans="1:36">
      <c r="A235" s="6">
        <v>43288</v>
      </c>
      <c r="B235" s="3" t="s">
        <v>813</v>
      </c>
      <c r="C235" s="3" t="s">
        <v>814</v>
      </c>
      <c r="D235" s="3" t="s">
        <v>814</v>
      </c>
      <c r="E235" s="3" t="s">
        <v>275</v>
      </c>
      <c r="F235" s="3" t="s">
        <v>159</v>
      </c>
      <c r="G235" s="3">
        <v>6</v>
      </c>
      <c r="H235" s="3">
        <v>0</v>
      </c>
      <c r="I235" s="3">
        <v>0</v>
      </c>
      <c r="J235" s="3">
        <v>0</v>
      </c>
      <c r="K235" s="3">
        <v>4</v>
      </c>
      <c r="L235" s="3">
        <v>2</v>
      </c>
      <c r="M235" s="3">
        <v>0</v>
      </c>
      <c r="N235" s="3" t="s">
        <v>160</v>
      </c>
      <c r="O235" s="3">
        <v>6</v>
      </c>
      <c r="P235" s="3">
        <v>2.71</v>
      </c>
      <c r="Q235" s="3">
        <v>0</v>
      </c>
      <c r="R235" s="3">
        <v>0</v>
      </c>
      <c r="S235" s="3">
        <v>0</v>
      </c>
      <c r="T235" s="3">
        <v>0</v>
      </c>
      <c r="U235" s="3">
        <v>0</v>
      </c>
      <c r="V235" s="3">
        <v>0</v>
      </c>
      <c r="W235" s="3" t="s">
        <v>207</v>
      </c>
      <c r="X235" s="3">
        <v>20.99</v>
      </c>
      <c r="Y235" s="3">
        <v>20.99</v>
      </c>
      <c r="Z235" s="3">
        <v>20.99</v>
      </c>
      <c r="AA235" s="3">
        <v>0</v>
      </c>
      <c r="AB235" s="3" t="s">
        <v>170</v>
      </c>
      <c r="AC235" s="3">
        <v>6</v>
      </c>
      <c r="AD235" s="3">
        <v>20.99</v>
      </c>
      <c r="AE235" s="3">
        <v>0</v>
      </c>
      <c r="AF235" s="3">
        <v>0</v>
      </c>
      <c r="AG235" s="3">
        <v>0</v>
      </c>
      <c r="AH235" s="3">
        <v>0</v>
      </c>
      <c r="AI235" s="3" t="s">
        <v>276</v>
      </c>
      <c r="AJ235" s="3" t="s">
        <v>174</v>
      </c>
    </row>
    <row r="236" spans="1:36">
      <c r="A236" s="6">
        <v>43288</v>
      </c>
      <c r="B236" s="3" t="s">
        <v>815</v>
      </c>
      <c r="C236" s="3" t="s">
        <v>816</v>
      </c>
      <c r="D236" s="3" t="s">
        <v>816</v>
      </c>
      <c r="E236" s="3" t="s">
        <v>817</v>
      </c>
      <c r="F236" s="3" t="s">
        <v>159</v>
      </c>
      <c r="G236" s="3">
        <v>5</v>
      </c>
      <c r="H236" s="3">
        <v>0</v>
      </c>
      <c r="I236" s="3">
        <v>0</v>
      </c>
      <c r="J236" s="3">
        <v>5</v>
      </c>
      <c r="K236" s="3">
        <v>0</v>
      </c>
      <c r="L236" s="3">
        <v>0</v>
      </c>
      <c r="M236" s="3">
        <v>0</v>
      </c>
      <c r="N236" s="3" t="s">
        <v>160</v>
      </c>
      <c r="O236" s="3">
        <v>0</v>
      </c>
      <c r="P236" s="3">
        <v>0</v>
      </c>
      <c r="Q236" s="3">
        <v>0</v>
      </c>
      <c r="R236" s="3">
        <v>0</v>
      </c>
      <c r="S236" s="3">
        <v>0</v>
      </c>
      <c r="T236" s="3">
        <v>0</v>
      </c>
      <c r="U236" s="3">
        <v>0</v>
      </c>
      <c r="V236" s="3">
        <v>0</v>
      </c>
      <c r="W236" s="3" t="s">
        <v>161</v>
      </c>
      <c r="X236" s="3">
        <v>9.99</v>
      </c>
      <c r="Y236" s="3">
        <v>9.99</v>
      </c>
      <c r="Z236" s="3">
        <v>9.99</v>
      </c>
      <c r="AA236" s="3">
        <v>0</v>
      </c>
      <c r="AB236" s="3" t="s">
        <v>162</v>
      </c>
      <c r="AC236" s="3">
        <v>0</v>
      </c>
      <c r="AD236" s="3">
        <v>7.99</v>
      </c>
      <c r="AE236" s="3">
        <v>63</v>
      </c>
      <c r="AF236" s="3">
        <v>0</v>
      </c>
      <c r="AG236" s="3">
        <v>4.57242</v>
      </c>
      <c r="AH236" s="3">
        <v>0</v>
      </c>
      <c r="AI236" s="3" t="s">
        <v>169</v>
      </c>
      <c r="AJ236" s="3" t="s">
        <v>164</v>
      </c>
    </row>
    <row r="237" spans="1:36">
      <c r="A237" s="6">
        <v>43288</v>
      </c>
      <c r="B237" s="3" t="s">
        <v>818</v>
      </c>
      <c r="C237" s="3" t="s">
        <v>819</v>
      </c>
      <c r="D237" s="3" t="s">
        <v>819</v>
      </c>
      <c r="E237" s="3" t="s">
        <v>76</v>
      </c>
      <c r="F237" s="3" t="s">
        <v>159</v>
      </c>
      <c r="G237" s="3">
        <v>6</v>
      </c>
      <c r="H237" s="3">
        <v>0</v>
      </c>
      <c r="I237" s="3">
        <v>6</v>
      </c>
      <c r="J237" s="3">
        <v>0</v>
      </c>
      <c r="K237" s="3">
        <v>0</v>
      </c>
      <c r="L237" s="3">
        <v>0</v>
      </c>
      <c r="M237" s="3">
        <v>0</v>
      </c>
      <c r="N237" s="3" t="s">
        <v>160</v>
      </c>
      <c r="O237" s="3">
        <v>0</v>
      </c>
      <c r="P237" s="3">
        <v>0</v>
      </c>
      <c r="Q237" s="3">
        <v>0</v>
      </c>
      <c r="R237" s="3">
        <v>0</v>
      </c>
      <c r="S237" s="3">
        <v>0</v>
      </c>
      <c r="T237" s="3">
        <v>1</v>
      </c>
      <c r="U237" s="3">
        <v>9</v>
      </c>
      <c r="V237" s="3">
        <v>10</v>
      </c>
      <c r="W237" s="3" t="s">
        <v>161</v>
      </c>
      <c r="X237" s="3">
        <v>9.9</v>
      </c>
      <c r="Y237" s="3">
        <v>9.9</v>
      </c>
      <c r="Z237" s="3">
        <v>9.9</v>
      </c>
      <c r="AA237" s="3">
        <v>0</v>
      </c>
      <c r="AB237" s="3" t="s">
        <v>162</v>
      </c>
      <c r="AC237" s="3">
        <v>3</v>
      </c>
      <c r="AD237" s="3">
        <v>7.57</v>
      </c>
      <c r="AE237" s="3">
        <v>21</v>
      </c>
      <c r="AF237" s="3">
        <v>0</v>
      </c>
      <c r="AG237" s="3">
        <v>3.296954</v>
      </c>
      <c r="AH237" s="3">
        <v>1.33333333333333</v>
      </c>
      <c r="AI237" s="3" t="s">
        <v>820</v>
      </c>
      <c r="AJ237" s="3" t="s">
        <v>164</v>
      </c>
    </row>
    <row r="238" spans="1:36">
      <c r="A238" s="6">
        <v>43288</v>
      </c>
      <c r="B238" s="3" t="s">
        <v>821</v>
      </c>
      <c r="C238" s="3" t="s">
        <v>822</v>
      </c>
      <c r="D238" s="3" t="s">
        <v>822</v>
      </c>
      <c r="E238" s="3" t="s">
        <v>275</v>
      </c>
      <c r="F238" s="3" t="s">
        <v>159</v>
      </c>
      <c r="G238" s="3">
        <v>2</v>
      </c>
      <c r="H238" s="3">
        <v>0</v>
      </c>
      <c r="I238" s="3">
        <v>0</v>
      </c>
      <c r="J238" s="3">
        <v>0</v>
      </c>
      <c r="K238" s="3">
        <v>2</v>
      </c>
      <c r="L238" s="3">
        <v>0</v>
      </c>
      <c r="M238" s="3">
        <v>0</v>
      </c>
      <c r="N238" s="3" t="s">
        <v>160</v>
      </c>
      <c r="O238" s="3">
        <v>2</v>
      </c>
      <c r="P238" s="3">
        <v>0.9</v>
      </c>
      <c r="Q238" s="3">
        <v>0</v>
      </c>
      <c r="R238" s="3">
        <v>0</v>
      </c>
      <c r="S238" s="3">
        <v>0</v>
      </c>
      <c r="T238" s="3">
        <v>0</v>
      </c>
      <c r="U238" s="3">
        <v>1</v>
      </c>
      <c r="V238" s="3">
        <v>1</v>
      </c>
      <c r="W238" s="3" t="s">
        <v>207</v>
      </c>
      <c r="X238" s="3">
        <v>20.99</v>
      </c>
      <c r="Y238" s="3">
        <v>20.99</v>
      </c>
      <c r="Z238" s="3">
        <v>20.99</v>
      </c>
      <c r="AA238" s="3">
        <v>0</v>
      </c>
      <c r="AB238" s="3" t="s">
        <v>187</v>
      </c>
      <c r="AC238" s="3">
        <v>0</v>
      </c>
      <c r="AD238" s="3">
        <v>17.61</v>
      </c>
      <c r="AE238" s="3">
        <v>364</v>
      </c>
      <c r="AF238" s="3">
        <v>0</v>
      </c>
      <c r="AG238" s="3">
        <v>14.372211</v>
      </c>
      <c r="AH238" s="3">
        <v>0.4</v>
      </c>
      <c r="AI238" s="3" t="s">
        <v>276</v>
      </c>
      <c r="AJ238" s="3" t="s">
        <v>174</v>
      </c>
    </row>
    <row r="239" spans="1:36">
      <c r="A239" s="6">
        <v>43288</v>
      </c>
      <c r="B239" s="3" t="s">
        <v>823</v>
      </c>
      <c r="C239" s="3" t="s">
        <v>824</v>
      </c>
      <c r="D239" s="3" t="s">
        <v>824</v>
      </c>
      <c r="E239" s="3" t="s">
        <v>186</v>
      </c>
      <c r="F239" s="3" t="s">
        <v>159</v>
      </c>
      <c r="G239" s="3">
        <v>2</v>
      </c>
      <c r="H239" s="3">
        <v>0</v>
      </c>
      <c r="I239" s="3">
        <v>0</v>
      </c>
      <c r="J239" s="3">
        <v>0</v>
      </c>
      <c r="K239" s="3">
        <v>2</v>
      </c>
      <c r="L239" s="3">
        <v>0</v>
      </c>
      <c r="M239" s="3">
        <v>0</v>
      </c>
      <c r="N239" s="3" t="s">
        <v>160</v>
      </c>
      <c r="O239" s="3">
        <v>2</v>
      </c>
      <c r="P239" s="3">
        <v>0</v>
      </c>
      <c r="Q239" s="3">
        <v>0</v>
      </c>
      <c r="R239" s="3">
        <v>0</v>
      </c>
      <c r="S239" s="3">
        <v>0</v>
      </c>
      <c r="T239" s="3">
        <v>0</v>
      </c>
      <c r="U239" s="3">
        <v>0</v>
      </c>
      <c r="V239" s="3">
        <v>0</v>
      </c>
      <c r="W239" s="3" t="s">
        <v>161</v>
      </c>
      <c r="X239" s="3">
        <v>12</v>
      </c>
      <c r="Y239" s="3">
        <v>12</v>
      </c>
      <c r="Z239" s="3">
        <v>12</v>
      </c>
      <c r="AA239" s="3">
        <v>0</v>
      </c>
      <c r="AB239" s="3" t="s">
        <v>187</v>
      </c>
      <c r="AC239" s="3">
        <v>0</v>
      </c>
      <c r="AD239" s="3">
        <v>9.6</v>
      </c>
      <c r="AE239" s="3">
        <v>63</v>
      </c>
      <c r="AF239" s="3">
        <v>0</v>
      </c>
      <c r="AG239" s="3">
        <v>1.93809</v>
      </c>
      <c r="AH239" s="3">
        <v>0</v>
      </c>
      <c r="AI239" s="3" t="s">
        <v>188</v>
      </c>
      <c r="AJ239" s="3" t="s">
        <v>164</v>
      </c>
    </row>
    <row r="240" spans="1:36">
      <c r="A240" s="6">
        <v>43288</v>
      </c>
      <c r="B240" s="3" t="s">
        <v>825</v>
      </c>
      <c r="C240" s="3" t="s">
        <v>826</v>
      </c>
      <c r="D240" s="3" t="s">
        <v>826</v>
      </c>
      <c r="E240" s="3" t="s">
        <v>186</v>
      </c>
      <c r="F240" s="3" t="s">
        <v>159</v>
      </c>
      <c r="G240" s="3">
        <v>3</v>
      </c>
      <c r="H240" s="3">
        <v>0</v>
      </c>
      <c r="I240" s="3">
        <v>0</v>
      </c>
      <c r="J240" s="3">
        <v>0</v>
      </c>
      <c r="K240" s="3">
        <v>3</v>
      </c>
      <c r="L240" s="3">
        <v>0</v>
      </c>
      <c r="M240" s="3">
        <v>0</v>
      </c>
      <c r="N240" s="3" t="s">
        <v>160</v>
      </c>
      <c r="O240" s="3">
        <v>3</v>
      </c>
      <c r="P240" s="3">
        <v>0</v>
      </c>
      <c r="Q240" s="3">
        <v>0</v>
      </c>
      <c r="R240" s="3">
        <v>0</v>
      </c>
      <c r="S240" s="3">
        <v>0</v>
      </c>
      <c r="T240" s="3">
        <v>0</v>
      </c>
      <c r="U240" s="3">
        <v>0</v>
      </c>
      <c r="V240" s="3">
        <v>0</v>
      </c>
      <c r="W240" s="3" t="s">
        <v>161</v>
      </c>
      <c r="X240" s="3">
        <v>12</v>
      </c>
      <c r="Y240" s="3">
        <v>12</v>
      </c>
      <c r="Z240" s="3">
        <v>12</v>
      </c>
      <c r="AA240" s="3">
        <v>0</v>
      </c>
      <c r="AB240" s="3" t="s">
        <v>187</v>
      </c>
      <c r="AC240" s="3">
        <v>0</v>
      </c>
      <c r="AD240" s="3">
        <v>9.6</v>
      </c>
      <c r="AE240" s="3">
        <v>63</v>
      </c>
      <c r="AF240" s="3">
        <v>0</v>
      </c>
      <c r="AG240" s="3">
        <v>2.907135</v>
      </c>
      <c r="AH240" s="3">
        <v>0</v>
      </c>
      <c r="AI240" s="3" t="s">
        <v>188</v>
      </c>
      <c r="AJ240" s="3" t="s">
        <v>164</v>
      </c>
    </row>
    <row r="241" spans="1:36">
      <c r="A241" s="6">
        <v>43288</v>
      </c>
      <c r="B241" s="3" t="s">
        <v>827</v>
      </c>
      <c r="C241" s="3" t="s">
        <v>828</v>
      </c>
      <c r="D241" s="3" t="s">
        <v>828</v>
      </c>
      <c r="E241" s="3" t="s">
        <v>26</v>
      </c>
      <c r="F241" s="3" t="s">
        <v>159</v>
      </c>
      <c r="G241" s="3">
        <v>2</v>
      </c>
      <c r="H241" s="3">
        <v>0</v>
      </c>
      <c r="I241" s="3">
        <v>1</v>
      </c>
      <c r="J241" s="3">
        <v>0</v>
      </c>
      <c r="K241" s="3">
        <v>1</v>
      </c>
      <c r="L241" s="3">
        <v>0</v>
      </c>
      <c r="M241" s="3">
        <v>0</v>
      </c>
      <c r="N241" s="3" t="s">
        <v>160</v>
      </c>
      <c r="O241" s="3">
        <v>1</v>
      </c>
      <c r="P241" s="3">
        <v>0.39</v>
      </c>
      <c r="Q241" s="3">
        <v>0</v>
      </c>
      <c r="R241" s="3">
        <v>0</v>
      </c>
      <c r="S241" s="3">
        <v>0</v>
      </c>
      <c r="T241" s="3">
        <v>4</v>
      </c>
      <c r="U241" s="3">
        <v>4</v>
      </c>
      <c r="V241" s="3">
        <v>4</v>
      </c>
      <c r="W241" s="3" t="s">
        <v>207</v>
      </c>
      <c r="X241" s="3">
        <v>20</v>
      </c>
      <c r="Y241" s="3">
        <v>20</v>
      </c>
      <c r="Z241" s="3">
        <v>20</v>
      </c>
      <c r="AA241" s="3">
        <v>0</v>
      </c>
      <c r="AB241" s="3" t="s">
        <v>170</v>
      </c>
      <c r="AC241" s="3">
        <v>2</v>
      </c>
      <c r="AD241" s="3">
        <v>20</v>
      </c>
      <c r="AE241" s="3">
        <v>0</v>
      </c>
      <c r="AF241" s="3">
        <v>0</v>
      </c>
      <c r="AG241" s="3">
        <v>0</v>
      </c>
      <c r="AH241" s="3">
        <v>0.941176470588235</v>
      </c>
      <c r="AI241" s="3" t="s">
        <v>212</v>
      </c>
      <c r="AJ241" s="3" t="s">
        <v>174</v>
      </c>
    </row>
    <row r="242" spans="1:36">
      <c r="A242" s="6">
        <v>43288</v>
      </c>
      <c r="B242" s="3" t="s">
        <v>829</v>
      </c>
      <c r="C242" s="3" t="s">
        <v>830</v>
      </c>
      <c r="D242" s="3" t="s">
        <v>830</v>
      </c>
      <c r="E242" s="3" t="s">
        <v>831</v>
      </c>
      <c r="F242" s="3" t="s">
        <v>159</v>
      </c>
      <c r="G242" s="3">
        <v>8</v>
      </c>
      <c r="H242" s="3">
        <v>0</v>
      </c>
      <c r="I242" s="3">
        <v>0</v>
      </c>
      <c r="J242" s="3">
        <v>1</v>
      </c>
      <c r="K242" s="3">
        <v>0</v>
      </c>
      <c r="L242" s="3">
        <v>7</v>
      </c>
      <c r="M242" s="3">
        <v>0</v>
      </c>
      <c r="N242" s="3" t="s">
        <v>160</v>
      </c>
      <c r="O242" s="3">
        <v>7</v>
      </c>
      <c r="P242" s="3">
        <v>9.43</v>
      </c>
      <c r="Q242" s="3">
        <v>0</v>
      </c>
      <c r="R242" s="3">
        <v>0</v>
      </c>
      <c r="S242" s="3">
        <v>2</v>
      </c>
      <c r="T242" s="3">
        <v>2</v>
      </c>
      <c r="U242" s="3">
        <v>3</v>
      </c>
      <c r="V242" s="3">
        <v>4</v>
      </c>
      <c r="W242" s="3" t="s">
        <v>207</v>
      </c>
      <c r="X242" s="3">
        <v>12.98</v>
      </c>
      <c r="Y242" s="3">
        <v>12.98</v>
      </c>
      <c r="Z242" s="3">
        <v>12.98</v>
      </c>
      <c r="AA242" s="3">
        <v>0</v>
      </c>
      <c r="AB242" s="3" t="s">
        <v>187</v>
      </c>
      <c r="AC242" s="3">
        <v>1</v>
      </c>
      <c r="AD242" s="3">
        <v>11.63</v>
      </c>
      <c r="AE242" s="3">
        <v>63</v>
      </c>
      <c r="AF242" s="3">
        <v>0</v>
      </c>
      <c r="AG242" s="3">
        <v>148.258106</v>
      </c>
      <c r="AH242" s="3">
        <v>0.390243902439024</v>
      </c>
      <c r="AI242" s="3" t="s">
        <v>183</v>
      </c>
      <c r="AJ242" s="3" t="s">
        <v>174</v>
      </c>
    </row>
    <row r="243" spans="1:36">
      <c r="A243" s="6">
        <v>43288</v>
      </c>
      <c r="B243" s="3" t="s">
        <v>832</v>
      </c>
      <c r="C243" s="3" t="s">
        <v>833</v>
      </c>
      <c r="D243" s="3" t="s">
        <v>834</v>
      </c>
      <c r="E243" s="3" t="s">
        <v>835</v>
      </c>
      <c r="F243" s="3" t="s">
        <v>159</v>
      </c>
      <c r="G243" s="3">
        <v>2</v>
      </c>
      <c r="H243" s="3">
        <v>0</v>
      </c>
      <c r="I243" s="3">
        <v>2</v>
      </c>
      <c r="J243" s="3">
        <v>0</v>
      </c>
      <c r="K243" s="3">
        <v>0</v>
      </c>
      <c r="L243" s="3">
        <v>0</v>
      </c>
      <c r="M243" s="3">
        <v>0</v>
      </c>
      <c r="N243" s="3" t="s">
        <v>160</v>
      </c>
      <c r="O243" s="3">
        <v>0</v>
      </c>
      <c r="P243" s="3">
        <v>0</v>
      </c>
      <c r="Q243" s="3">
        <v>0</v>
      </c>
      <c r="R243" s="3">
        <v>0</v>
      </c>
      <c r="S243" s="3">
        <v>1</v>
      </c>
      <c r="T243" s="3">
        <v>3</v>
      </c>
      <c r="U243" s="3">
        <v>3</v>
      </c>
      <c r="V243" s="3">
        <v>3</v>
      </c>
      <c r="W243" s="3"/>
      <c r="X243" s="3"/>
      <c r="Y243" s="3"/>
      <c r="Z243" s="3">
        <v>-1</v>
      </c>
      <c r="AA243" s="3">
        <v>-1</v>
      </c>
      <c r="AB243" s="3" t="s">
        <v>172</v>
      </c>
      <c r="AC243" s="3">
        <v>3</v>
      </c>
      <c r="AD243" s="3">
        <v>29.99</v>
      </c>
      <c r="AE243" s="3">
        <v>0</v>
      </c>
      <c r="AF243" s="3">
        <v>0</v>
      </c>
      <c r="AG243" s="3">
        <v>0</v>
      </c>
      <c r="AH243" s="3">
        <v>4.88888888888888</v>
      </c>
      <c r="AI243" s="3" t="s">
        <v>836</v>
      </c>
      <c r="AJ243" s="3" t="s">
        <v>164</v>
      </c>
    </row>
    <row r="244" spans="1:36">
      <c r="A244" s="6">
        <v>43288</v>
      </c>
      <c r="B244" s="3" t="s">
        <v>837</v>
      </c>
      <c r="C244" s="3" t="s">
        <v>838</v>
      </c>
      <c r="D244" s="3" t="s">
        <v>838</v>
      </c>
      <c r="E244" s="3" t="s">
        <v>689</v>
      </c>
      <c r="F244" s="3" t="s">
        <v>159</v>
      </c>
      <c r="G244" s="3">
        <v>7</v>
      </c>
      <c r="H244" s="3">
        <v>0</v>
      </c>
      <c r="I244" s="3">
        <v>0</v>
      </c>
      <c r="J244" s="3">
        <v>0</v>
      </c>
      <c r="K244" s="3">
        <v>0</v>
      </c>
      <c r="L244" s="3">
        <v>7</v>
      </c>
      <c r="M244" s="3">
        <v>0</v>
      </c>
      <c r="N244" s="3" t="s">
        <v>160</v>
      </c>
      <c r="O244" s="3">
        <v>0</v>
      </c>
      <c r="P244" s="3">
        <v>0</v>
      </c>
      <c r="Q244" s="3">
        <v>7</v>
      </c>
      <c r="R244" s="3">
        <v>3.5</v>
      </c>
      <c r="S244" s="3">
        <v>0</v>
      </c>
      <c r="T244" s="3">
        <v>0</v>
      </c>
      <c r="U244" s="3">
        <v>0</v>
      </c>
      <c r="V244" s="3">
        <v>0</v>
      </c>
      <c r="W244" s="3" t="s">
        <v>207</v>
      </c>
      <c r="X244" s="3">
        <v>15</v>
      </c>
      <c r="Y244" s="3">
        <v>15</v>
      </c>
      <c r="Z244" s="3">
        <v>15</v>
      </c>
      <c r="AA244" s="3">
        <v>0</v>
      </c>
      <c r="AB244" s="3" t="s">
        <v>187</v>
      </c>
      <c r="AC244" s="3">
        <v>0</v>
      </c>
      <c r="AD244" s="3">
        <v>10.38</v>
      </c>
      <c r="AE244" s="3">
        <v>364</v>
      </c>
      <c r="AF244" s="3">
        <v>0</v>
      </c>
      <c r="AG244" s="3">
        <v>31.623927</v>
      </c>
      <c r="AH244" s="3">
        <v>0</v>
      </c>
      <c r="AI244" s="3" t="s">
        <v>203</v>
      </c>
      <c r="AJ244" s="3" t="s">
        <v>174</v>
      </c>
    </row>
    <row r="245" spans="1:36">
      <c r="A245" s="6">
        <v>43288</v>
      </c>
      <c r="B245" s="3" t="s">
        <v>95</v>
      </c>
      <c r="C245" s="3" t="s">
        <v>96</v>
      </c>
      <c r="D245" s="3" t="s">
        <v>97</v>
      </c>
      <c r="E245" s="3" t="s">
        <v>98</v>
      </c>
      <c r="F245" s="3" t="s">
        <v>159</v>
      </c>
      <c r="G245" s="3">
        <v>95</v>
      </c>
      <c r="H245" s="3">
        <v>0</v>
      </c>
      <c r="I245" s="3">
        <v>95</v>
      </c>
      <c r="J245" s="3">
        <v>0</v>
      </c>
      <c r="K245" s="3">
        <v>0</v>
      </c>
      <c r="L245" s="3">
        <v>0</v>
      </c>
      <c r="M245" s="3">
        <v>0</v>
      </c>
      <c r="N245" s="3" t="s">
        <v>160</v>
      </c>
      <c r="O245" s="3">
        <v>0</v>
      </c>
      <c r="P245" s="3">
        <v>0</v>
      </c>
      <c r="Q245" s="3">
        <v>0</v>
      </c>
      <c r="R245" s="3">
        <v>0</v>
      </c>
      <c r="S245" s="3">
        <v>18</v>
      </c>
      <c r="T245" s="3">
        <v>101</v>
      </c>
      <c r="U245" s="3">
        <v>103</v>
      </c>
      <c r="V245" s="3">
        <v>103</v>
      </c>
      <c r="W245" s="3"/>
      <c r="X245" s="3">
        <v>18.99</v>
      </c>
      <c r="Y245" s="3">
        <v>18.99</v>
      </c>
      <c r="Z245" s="3">
        <v>18.99</v>
      </c>
      <c r="AA245" s="3">
        <v>0</v>
      </c>
      <c r="AB245" s="3" t="s">
        <v>170</v>
      </c>
      <c r="AC245" s="3">
        <v>84</v>
      </c>
      <c r="AD245" s="3">
        <v>18.99</v>
      </c>
      <c r="AE245" s="3">
        <v>0</v>
      </c>
      <c r="AF245" s="3">
        <v>0</v>
      </c>
      <c r="AG245" s="3">
        <v>0</v>
      </c>
      <c r="AH245" s="3">
        <v>6.592</v>
      </c>
      <c r="AI245" s="3" t="s">
        <v>839</v>
      </c>
      <c r="AJ245" s="3" t="s">
        <v>164</v>
      </c>
    </row>
    <row r="246" spans="1:36">
      <c r="A246" s="6">
        <v>43288</v>
      </c>
      <c r="B246" s="3" t="s">
        <v>840</v>
      </c>
      <c r="C246" s="3" t="s">
        <v>841</v>
      </c>
      <c r="D246" s="3" t="s">
        <v>841</v>
      </c>
      <c r="E246" s="3" t="s">
        <v>76</v>
      </c>
      <c r="F246" s="3" t="s">
        <v>159</v>
      </c>
      <c r="G246" s="3">
        <v>12</v>
      </c>
      <c r="H246" s="3">
        <v>0</v>
      </c>
      <c r="I246" s="3">
        <v>6</v>
      </c>
      <c r="J246" s="3">
        <v>6</v>
      </c>
      <c r="K246" s="3">
        <v>0</v>
      </c>
      <c r="L246" s="3">
        <v>0</v>
      </c>
      <c r="M246" s="3">
        <v>0</v>
      </c>
      <c r="N246" s="3" t="s">
        <v>160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0</v>
      </c>
      <c r="U246" s="3">
        <v>1</v>
      </c>
      <c r="V246" s="3">
        <v>2</v>
      </c>
      <c r="W246" s="3" t="s">
        <v>161</v>
      </c>
      <c r="X246" s="3">
        <v>9.9</v>
      </c>
      <c r="Y246" s="3">
        <v>9.9</v>
      </c>
      <c r="Z246" s="3">
        <v>9.9</v>
      </c>
      <c r="AA246" s="3">
        <v>0</v>
      </c>
      <c r="AB246" s="3" t="s">
        <v>162</v>
      </c>
      <c r="AC246" s="3">
        <v>0</v>
      </c>
      <c r="AD246" s="3">
        <v>7.92</v>
      </c>
      <c r="AE246" s="3">
        <v>364</v>
      </c>
      <c r="AF246" s="3">
        <v>0</v>
      </c>
      <c r="AG246" s="3">
        <v>54.815572</v>
      </c>
      <c r="AH246" s="3">
        <v>0.2</v>
      </c>
      <c r="AI246" s="3" t="s">
        <v>686</v>
      </c>
      <c r="AJ246" s="3" t="s">
        <v>164</v>
      </c>
    </row>
    <row r="247" spans="1:36">
      <c r="A247" s="6">
        <v>43288</v>
      </c>
      <c r="B247" s="3" t="s">
        <v>842</v>
      </c>
      <c r="C247" s="3" t="s">
        <v>843</v>
      </c>
      <c r="D247" s="3" t="s">
        <v>843</v>
      </c>
      <c r="E247" s="3" t="s">
        <v>14</v>
      </c>
      <c r="F247" s="3" t="s">
        <v>159</v>
      </c>
      <c r="G247" s="3">
        <v>20</v>
      </c>
      <c r="H247" s="3">
        <v>0</v>
      </c>
      <c r="I247" s="3">
        <v>20</v>
      </c>
      <c r="J247" s="3">
        <v>0</v>
      </c>
      <c r="K247" s="3">
        <v>0</v>
      </c>
      <c r="L247" s="3">
        <v>0</v>
      </c>
      <c r="M247" s="3">
        <v>0</v>
      </c>
      <c r="N247" s="3" t="s">
        <v>160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1</v>
      </c>
      <c r="U247" s="3">
        <v>3</v>
      </c>
      <c r="V247" s="3">
        <v>12</v>
      </c>
      <c r="W247" s="3" t="s">
        <v>161</v>
      </c>
      <c r="X247" s="3">
        <v>17.9</v>
      </c>
      <c r="Y247" s="3">
        <v>17.9</v>
      </c>
      <c r="Z247" s="3">
        <v>17.9</v>
      </c>
      <c r="AA247" s="3">
        <v>0</v>
      </c>
      <c r="AB247" s="3" t="s">
        <v>162</v>
      </c>
      <c r="AC247" s="3">
        <v>4</v>
      </c>
      <c r="AD247" s="3">
        <v>15.72</v>
      </c>
      <c r="AE247" s="3">
        <v>147</v>
      </c>
      <c r="AF247" s="3">
        <v>0</v>
      </c>
      <c r="AG247" s="3">
        <v>28.491492</v>
      </c>
      <c r="AH247" s="3">
        <v>0.872727272727272</v>
      </c>
      <c r="AI247" s="3" t="s">
        <v>844</v>
      </c>
      <c r="AJ247" s="3" t="s">
        <v>164</v>
      </c>
    </row>
    <row r="248" spans="1:36">
      <c r="A248" s="6">
        <v>43288</v>
      </c>
      <c r="B248" s="3" t="s">
        <v>845</v>
      </c>
      <c r="C248" s="3" t="s">
        <v>846</v>
      </c>
      <c r="D248" s="3" t="s">
        <v>846</v>
      </c>
      <c r="E248" s="3" t="s">
        <v>26</v>
      </c>
      <c r="F248" s="3" t="s">
        <v>159</v>
      </c>
      <c r="G248" s="3">
        <v>7</v>
      </c>
      <c r="H248" s="3">
        <v>0</v>
      </c>
      <c r="I248" s="3">
        <v>0</v>
      </c>
      <c r="J248" s="3">
        <v>0</v>
      </c>
      <c r="K248" s="3">
        <v>4</v>
      </c>
      <c r="L248" s="3">
        <v>3</v>
      </c>
      <c r="M248" s="3">
        <v>0</v>
      </c>
      <c r="N248" s="3" t="s">
        <v>160</v>
      </c>
      <c r="O248" s="3">
        <v>7</v>
      </c>
      <c r="P248" s="3">
        <v>1.14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 t="s">
        <v>207</v>
      </c>
      <c r="X248" s="3">
        <v>25</v>
      </c>
      <c r="Y248" s="3">
        <v>25</v>
      </c>
      <c r="Z248" s="3">
        <v>25</v>
      </c>
      <c r="AA248" s="3">
        <v>0</v>
      </c>
      <c r="AB248" s="3" t="s">
        <v>187</v>
      </c>
      <c r="AC248" s="3">
        <v>0</v>
      </c>
      <c r="AD248" s="3">
        <v>20</v>
      </c>
      <c r="AE248" s="3">
        <v>63</v>
      </c>
      <c r="AF248" s="3">
        <v>0</v>
      </c>
      <c r="AG248" s="3">
        <v>26.76746</v>
      </c>
      <c r="AH248" s="3">
        <v>0</v>
      </c>
      <c r="AI248" s="3" t="s">
        <v>637</v>
      </c>
      <c r="AJ248" s="3" t="s">
        <v>174</v>
      </c>
    </row>
    <row r="249" spans="1:36">
      <c r="A249" s="6">
        <v>43288</v>
      </c>
      <c r="B249" s="3" t="s">
        <v>847</v>
      </c>
      <c r="C249" s="3" t="s">
        <v>848</v>
      </c>
      <c r="D249" s="3" t="s">
        <v>848</v>
      </c>
      <c r="E249" s="3" t="s">
        <v>186</v>
      </c>
      <c r="F249" s="3" t="s">
        <v>159</v>
      </c>
      <c r="G249" s="3">
        <v>3</v>
      </c>
      <c r="H249" s="3">
        <v>0</v>
      </c>
      <c r="I249" s="3">
        <v>0</v>
      </c>
      <c r="J249" s="3">
        <v>0</v>
      </c>
      <c r="K249" s="3">
        <v>3</v>
      </c>
      <c r="L249" s="3">
        <v>0</v>
      </c>
      <c r="M249" s="3">
        <v>0</v>
      </c>
      <c r="N249" s="3" t="s">
        <v>160</v>
      </c>
      <c r="O249" s="3">
        <v>3</v>
      </c>
      <c r="P249" s="3">
        <v>0</v>
      </c>
      <c r="Q249" s="3">
        <v>0</v>
      </c>
      <c r="R249" s="3">
        <v>0</v>
      </c>
      <c r="S249" s="3">
        <v>0</v>
      </c>
      <c r="T249" s="3">
        <v>0</v>
      </c>
      <c r="U249" s="3">
        <v>0</v>
      </c>
      <c r="V249" s="3">
        <v>0</v>
      </c>
      <c r="W249" s="3" t="s">
        <v>161</v>
      </c>
      <c r="X249" s="3">
        <v>12</v>
      </c>
      <c r="Y249" s="3">
        <v>12</v>
      </c>
      <c r="Z249" s="3">
        <v>12</v>
      </c>
      <c r="AA249" s="3">
        <v>0</v>
      </c>
      <c r="AB249" s="3" t="s">
        <v>187</v>
      </c>
      <c r="AC249" s="3">
        <v>0</v>
      </c>
      <c r="AD249" s="3">
        <v>9.6</v>
      </c>
      <c r="AE249" s="3">
        <v>63</v>
      </c>
      <c r="AF249" s="3">
        <v>0</v>
      </c>
      <c r="AG249" s="3">
        <v>2.907135</v>
      </c>
      <c r="AH249" s="3">
        <v>0</v>
      </c>
      <c r="AI249" s="3" t="s">
        <v>188</v>
      </c>
      <c r="AJ249" s="3" t="s">
        <v>164</v>
      </c>
    </row>
    <row r="250" spans="1:36">
      <c r="A250" s="6">
        <v>43288</v>
      </c>
      <c r="B250" s="3" t="s">
        <v>849</v>
      </c>
      <c r="C250" s="3" t="s">
        <v>850</v>
      </c>
      <c r="D250" s="3" t="s">
        <v>850</v>
      </c>
      <c r="E250" s="3" t="s">
        <v>186</v>
      </c>
      <c r="F250" s="3" t="s">
        <v>159</v>
      </c>
      <c r="G250" s="3">
        <v>2</v>
      </c>
      <c r="H250" s="3">
        <v>0</v>
      </c>
      <c r="I250" s="3">
        <v>0</v>
      </c>
      <c r="J250" s="3">
        <v>0</v>
      </c>
      <c r="K250" s="3">
        <v>2</v>
      </c>
      <c r="L250" s="3">
        <v>0</v>
      </c>
      <c r="M250" s="3">
        <v>0</v>
      </c>
      <c r="N250" s="3" t="s">
        <v>160</v>
      </c>
      <c r="O250" s="3">
        <v>2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 t="s">
        <v>161</v>
      </c>
      <c r="X250" s="3">
        <v>12</v>
      </c>
      <c r="Y250" s="3">
        <v>12</v>
      </c>
      <c r="Z250" s="3">
        <v>12</v>
      </c>
      <c r="AA250" s="3">
        <v>0</v>
      </c>
      <c r="AB250" s="3" t="s">
        <v>187</v>
      </c>
      <c r="AC250" s="3">
        <v>0</v>
      </c>
      <c r="AD250" s="3">
        <v>9.6</v>
      </c>
      <c r="AE250" s="3">
        <v>63</v>
      </c>
      <c r="AF250" s="3">
        <v>0</v>
      </c>
      <c r="AG250" s="3">
        <v>1.93809</v>
      </c>
      <c r="AH250" s="3">
        <v>0</v>
      </c>
      <c r="AI250" s="3" t="s">
        <v>188</v>
      </c>
      <c r="AJ250" s="3" t="s">
        <v>164</v>
      </c>
    </row>
    <row r="251" spans="1:36">
      <c r="A251" s="6">
        <v>43288</v>
      </c>
      <c r="B251" s="3" t="s">
        <v>851</v>
      </c>
      <c r="C251" s="3" t="s">
        <v>852</v>
      </c>
      <c r="D251" s="3" t="s">
        <v>853</v>
      </c>
      <c r="E251" s="3" t="s">
        <v>178</v>
      </c>
      <c r="F251" s="3" t="s">
        <v>159</v>
      </c>
      <c r="G251" s="3">
        <v>8</v>
      </c>
      <c r="H251" s="3">
        <v>0</v>
      </c>
      <c r="I251" s="3">
        <v>8</v>
      </c>
      <c r="J251" s="3">
        <v>0</v>
      </c>
      <c r="K251" s="3">
        <v>0</v>
      </c>
      <c r="L251" s="3">
        <v>0</v>
      </c>
      <c r="M251" s="3">
        <v>0</v>
      </c>
      <c r="N251" s="3" t="s">
        <v>160</v>
      </c>
      <c r="O251" s="3">
        <v>0</v>
      </c>
      <c r="P251" s="3">
        <v>0</v>
      </c>
      <c r="Q251" s="3">
        <v>0</v>
      </c>
      <c r="R251" s="3">
        <v>0</v>
      </c>
      <c r="S251" s="3">
        <v>1</v>
      </c>
      <c r="T251" s="3">
        <v>2</v>
      </c>
      <c r="U251" s="3">
        <v>2</v>
      </c>
      <c r="V251" s="3">
        <v>2</v>
      </c>
      <c r="W251" s="3" t="s">
        <v>161</v>
      </c>
      <c r="X251" s="3">
        <v>10.99</v>
      </c>
      <c r="Y251" s="3">
        <v>10.99</v>
      </c>
      <c r="Z251" s="3">
        <v>10.99</v>
      </c>
      <c r="AA251" s="3">
        <v>0</v>
      </c>
      <c r="AB251" s="3" t="s">
        <v>162</v>
      </c>
      <c r="AC251" s="3">
        <v>9</v>
      </c>
      <c r="AD251" s="3">
        <v>10.99</v>
      </c>
      <c r="AE251" s="3">
        <v>0</v>
      </c>
      <c r="AF251" s="3">
        <v>0</v>
      </c>
      <c r="AG251" s="3">
        <v>0</v>
      </c>
      <c r="AH251" s="3">
        <v>0.5</v>
      </c>
      <c r="AI251" s="3" t="s">
        <v>836</v>
      </c>
      <c r="AJ251" s="3" t="s">
        <v>164</v>
      </c>
    </row>
    <row r="252" spans="1:36">
      <c r="A252" s="6">
        <v>43288</v>
      </c>
      <c r="B252" s="3" t="s">
        <v>77</v>
      </c>
      <c r="C252" s="3" t="s">
        <v>78</v>
      </c>
      <c r="D252" s="3" t="s">
        <v>79</v>
      </c>
      <c r="E252" s="3" t="s">
        <v>80</v>
      </c>
      <c r="F252" s="3" t="s">
        <v>159</v>
      </c>
      <c r="G252" s="3">
        <v>112</v>
      </c>
      <c r="H252" s="3">
        <v>0</v>
      </c>
      <c r="I252" s="3">
        <v>112</v>
      </c>
      <c r="J252" s="3">
        <v>0</v>
      </c>
      <c r="K252" s="3">
        <v>0</v>
      </c>
      <c r="L252" s="3">
        <v>0</v>
      </c>
      <c r="M252" s="3">
        <v>0</v>
      </c>
      <c r="N252" s="3" t="s">
        <v>160</v>
      </c>
      <c r="O252" s="3">
        <v>0</v>
      </c>
      <c r="P252" s="3">
        <v>0</v>
      </c>
      <c r="Q252" s="3">
        <v>0</v>
      </c>
      <c r="R252" s="3">
        <v>0</v>
      </c>
      <c r="S252" s="3">
        <v>22</v>
      </c>
      <c r="T252" s="3">
        <v>74</v>
      </c>
      <c r="U252" s="3">
        <v>74</v>
      </c>
      <c r="V252" s="3">
        <v>74</v>
      </c>
      <c r="W252" s="3"/>
      <c r="X252" s="3">
        <v>13.99</v>
      </c>
      <c r="Y252" s="3">
        <v>13.99</v>
      </c>
      <c r="Z252" s="3">
        <v>13.99</v>
      </c>
      <c r="AA252" s="3">
        <v>0</v>
      </c>
      <c r="AB252" s="3" t="s">
        <v>170</v>
      </c>
      <c r="AC252" s="3">
        <v>110</v>
      </c>
      <c r="AD252" s="3">
        <v>13.99</v>
      </c>
      <c r="AE252" s="3">
        <v>0</v>
      </c>
      <c r="AF252" s="3">
        <v>0</v>
      </c>
      <c r="AG252" s="3">
        <v>0</v>
      </c>
      <c r="AH252" s="3">
        <v>6.39370078740157</v>
      </c>
      <c r="AI252" s="3" t="s">
        <v>854</v>
      </c>
      <c r="AJ252" s="3" t="s">
        <v>164</v>
      </c>
    </row>
    <row r="253" spans="1:36">
      <c r="A253" s="6">
        <v>43288</v>
      </c>
      <c r="B253" s="3" t="s">
        <v>855</v>
      </c>
      <c r="C253" s="3" t="s">
        <v>401</v>
      </c>
      <c r="D253" s="3" t="s">
        <v>401</v>
      </c>
      <c r="E253" s="3" t="s">
        <v>402</v>
      </c>
      <c r="F253" s="3" t="s">
        <v>159</v>
      </c>
      <c r="G253" s="3">
        <v>13</v>
      </c>
      <c r="H253" s="3">
        <v>0</v>
      </c>
      <c r="I253" s="3">
        <v>13</v>
      </c>
      <c r="J253" s="3">
        <v>0</v>
      </c>
      <c r="K253" s="3">
        <v>0</v>
      </c>
      <c r="L253" s="3">
        <v>0</v>
      </c>
      <c r="M253" s="3">
        <v>0</v>
      </c>
      <c r="N253" s="3" t="s">
        <v>160</v>
      </c>
      <c r="O253" s="3">
        <v>0</v>
      </c>
      <c r="P253" s="3">
        <v>0</v>
      </c>
      <c r="Q253" s="3">
        <v>0</v>
      </c>
      <c r="R253" s="3">
        <v>0</v>
      </c>
      <c r="S253" s="3">
        <v>0</v>
      </c>
      <c r="T253" s="3">
        <v>6</v>
      </c>
      <c r="U253" s="3">
        <v>22</v>
      </c>
      <c r="V253" s="3">
        <v>30</v>
      </c>
      <c r="W253" s="3"/>
      <c r="X253" s="3">
        <v>24.99</v>
      </c>
      <c r="Y253" s="3">
        <v>24.99</v>
      </c>
      <c r="Z253" s="3">
        <v>23</v>
      </c>
      <c r="AA253" s="3">
        <v>0</v>
      </c>
      <c r="AB253" s="3" t="s">
        <v>170</v>
      </c>
      <c r="AC253" s="3">
        <v>13</v>
      </c>
      <c r="AD253" s="3">
        <v>24.99</v>
      </c>
      <c r="AE253" s="3">
        <v>0</v>
      </c>
      <c r="AF253" s="3">
        <v>0</v>
      </c>
      <c r="AG253" s="3">
        <v>0</v>
      </c>
      <c r="AH253" s="3">
        <v>1.06493506493506</v>
      </c>
      <c r="AI253" s="3" t="s">
        <v>403</v>
      </c>
      <c r="AJ253" s="3" t="s">
        <v>164</v>
      </c>
    </row>
    <row r="254" spans="1:36">
      <c r="A254" s="6">
        <v>43288</v>
      </c>
      <c r="B254" s="3" t="s">
        <v>856</v>
      </c>
      <c r="C254" s="3" t="s">
        <v>857</v>
      </c>
      <c r="D254" s="3" t="s">
        <v>857</v>
      </c>
      <c r="E254" s="3" t="s">
        <v>858</v>
      </c>
      <c r="F254" s="3" t="s">
        <v>159</v>
      </c>
      <c r="G254" s="3">
        <v>5</v>
      </c>
      <c r="H254" s="3">
        <v>0</v>
      </c>
      <c r="I254" s="3">
        <v>0</v>
      </c>
      <c r="J254" s="3">
        <v>0</v>
      </c>
      <c r="K254" s="3">
        <v>1</v>
      </c>
      <c r="L254" s="3">
        <v>4</v>
      </c>
      <c r="M254" s="3">
        <v>0</v>
      </c>
      <c r="N254" s="3" t="s">
        <v>160</v>
      </c>
      <c r="O254" s="3">
        <v>5</v>
      </c>
      <c r="P254" s="3">
        <v>12</v>
      </c>
      <c r="Q254" s="3">
        <v>0</v>
      </c>
      <c r="R254" s="3">
        <v>0</v>
      </c>
      <c r="S254" s="3">
        <v>0</v>
      </c>
      <c r="T254" s="3">
        <v>0</v>
      </c>
      <c r="U254" s="3">
        <v>0</v>
      </c>
      <c r="V254" s="3">
        <v>2</v>
      </c>
      <c r="W254" s="3" t="s">
        <v>207</v>
      </c>
      <c r="X254" s="3">
        <v>14.98</v>
      </c>
      <c r="Y254" s="3">
        <v>14.98</v>
      </c>
      <c r="Z254" s="3">
        <v>14.98</v>
      </c>
      <c r="AA254" s="3">
        <v>0</v>
      </c>
      <c r="AB254" s="3" t="s">
        <v>187</v>
      </c>
      <c r="AC254" s="3">
        <v>0</v>
      </c>
      <c r="AD254" s="3">
        <v>13.35</v>
      </c>
      <c r="AE254" s="3">
        <v>49</v>
      </c>
      <c r="AF254" s="3">
        <v>2</v>
      </c>
      <c r="AG254" s="3">
        <v>147.931007</v>
      </c>
      <c r="AH254" s="3">
        <v>0.363636363636363</v>
      </c>
      <c r="AI254" s="3" t="s">
        <v>208</v>
      </c>
      <c r="AJ254" s="3" t="s">
        <v>174</v>
      </c>
    </row>
    <row r="255" spans="1:36">
      <c r="A255" s="6">
        <v>43288</v>
      </c>
      <c r="B255" s="3" t="s">
        <v>859</v>
      </c>
      <c r="C255" s="3" t="s">
        <v>860</v>
      </c>
      <c r="D255" s="3" t="s">
        <v>860</v>
      </c>
      <c r="E255" s="3" t="s">
        <v>26</v>
      </c>
      <c r="F255" s="3" t="s">
        <v>159</v>
      </c>
      <c r="G255" s="3">
        <v>6</v>
      </c>
      <c r="H255" s="3">
        <v>0</v>
      </c>
      <c r="I255" s="3">
        <v>0</v>
      </c>
      <c r="J255" s="3">
        <v>0</v>
      </c>
      <c r="K255" s="3">
        <v>4</v>
      </c>
      <c r="L255" s="3">
        <v>2</v>
      </c>
      <c r="M255" s="3">
        <v>0</v>
      </c>
      <c r="N255" s="3" t="s">
        <v>160</v>
      </c>
      <c r="O255" s="3">
        <v>6</v>
      </c>
      <c r="P255" s="3">
        <v>2.36</v>
      </c>
      <c r="Q255" s="3">
        <v>0</v>
      </c>
      <c r="R255" s="3">
        <v>0</v>
      </c>
      <c r="S255" s="3">
        <v>0</v>
      </c>
      <c r="T255" s="3">
        <v>1</v>
      </c>
      <c r="U255" s="3">
        <v>1</v>
      </c>
      <c r="V255" s="3">
        <v>1</v>
      </c>
      <c r="W255" s="3"/>
      <c r="X255" s="3">
        <v>20</v>
      </c>
      <c r="Y255" s="3">
        <v>20</v>
      </c>
      <c r="Z255" s="3">
        <v>20</v>
      </c>
      <c r="AA255" s="3">
        <v>0</v>
      </c>
      <c r="AB255" s="3" t="s">
        <v>170</v>
      </c>
      <c r="AC255" s="3">
        <v>6</v>
      </c>
      <c r="AD255" s="3">
        <v>20</v>
      </c>
      <c r="AE255" s="3">
        <v>0</v>
      </c>
      <c r="AF255" s="3">
        <v>0</v>
      </c>
      <c r="AG255" s="3">
        <v>0</v>
      </c>
      <c r="AH255" s="3">
        <v>0.148148148148148</v>
      </c>
      <c r="AI255" s="3" t="s">
        <v>212</v>
      </c>
      <c r="AJ255" s="3" t="s">
        <v>174</v>
      </c>
    </row>
    <row r="256" spans="1:36">
      <c r="A256" s="6">
        <v>43288</v>
      </c>
      <c r="B256" s="3" t="s">
        <v>861</v>
      </c>
      <c r="C256" s="3" t="s">
        <v>862</v>
      </c>
      <c r="D256" s="3" t="s">
        <v>862</v>
      </c>
      <c r="E256" s="3" t="s">
        <v>863</v>
      </c>
      <c r="F256" s="3" t="s">
        <v>159</v>
      </c>
      <c r="G256" s="3">
        <v>19</v>
      </c>
      <c r="H256" s="3">
        <v>0</v>
      </c>
      <c r="I256" s="3">
        <v>0</v>
      </c>
      <c r="J256" s="3">
        <v>0</v>
      </c>
      <c r="K256" s="3">
        <v>0</v>
      </c>
      <c r="L256" s="3">
        <v>19</v>
      </c>
      <c r="M256" s="3">
        <v>0</v>
      </c>
      <c r="N256" s="3" t="s">
        <v>160</v>
      </c>
      <c r="O256" s="3">
        <v>19</v>
      </c>
      <c r="P256" s="3">
        <v>45.59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 t="s">
        <v>207</v>
      </c>
      <c r="X256" s="3">
        <v>12.98</v>
      </c>
      <c r="Y256" s="3">
        <v>12.98</v>
      </c>
      <c r="Z256" s="3">
        <v>12.98</v>
      </c>
      <c r="AA256" s="3">
        <v>0</v>
      </c>
      <c r="AB256" s="3" t="s">
        <v>170</v>
      </c>
      <c r="AC256" s="3">
        <v>0</v>
      </c>
      <c r="AD256" s="3">
        <v>12.98</v>
      </c>
      <c r="AE256" s="3">
        <v>63</v>
      </c>
      <c r="AF256" s="3">
        <v>0</v>
      </c>
      <c r="AG256" s="3">
        <v>559.711947</v>
      </c>
      <c r="AH256" s="3">
        <v>0</v>
      </c>
      <c r="AI256" s="3" t="s">
        <v>208</v>
      </c>
      <c r="AJ256" s="3" t="s">
        <v>174</v>
      </c>
    </row>
    <row r="257" spans="1:36">
      <c r="A257" s="6">
        <v>43288</v>
      </c>
      <c r="B257" s="3" t="s">
        <v>864</v>
      </c>
      <c r="C257" s="3" t="s">
        <v>865</v>
      </c>
      <c r="D257" s="3" t="s">
        <v>866</v>
      </c>
      <c r="E257" s="3" t="s">
        <v>867</v>
      </c>
      <c r="F257" s="3" t="s">
        <v>159</v>
      </c>
      <c r="G257" s="3">
        <v>4</v>
      </c>
      <c r="H257" s="3">
        <v>0</v>
      </c>
      <c r="I257" s="3">
        <v>0</v>
      </c>
      <c r="J257" s="3">
        <v>4</v>
      </c>
      <c r="K257" s="3">
        <v>0</v>
      </c>
      <c r="L257" s="3">
        <v>0</v>
      </c>
      <c r="M257" s="3">
        <v>0</v>
      </c>
      <c r="N257" s="3" t="s">
        <v>160</v>
      </c>
      <c r="O257" s="3">
        <v>0</v>
      </c>
      <c r="P257" s="3">
        <v>0</v>
      </c>
      <c r="Q257" s="3">
        <v>0</v>
      </c>
      <c r="R257" s="3">
        <v>0</v>
      </c>
      <c r="S257" s="3">
        <v>0</v>
      </c>
      <c r="T257" s="3">
        <v>0</v>
      </c>
      <c r="U257" s="3">
        <v>0</v>
      </c>
      <c r="V257" s="3">
        <v>0</v>
      </c>
      <c r="W257" s="3" t="s">
        <v>161</v>
      </c>
      <c r="X257" s="3">
        <v>13.99</v>
      </c>
      <c r="Y257" s="3">
        <v>13.99</v>
      </c>
      <c r="Z257" s="3">
        <v>13.99</v>
      </c>
      <c r="AA257" s="3">
        <v>0</v>
      </c>
      <c r="AB257" s="3" t="s">
        <v>162</v>
      </c>
      <c r="AC257" s="3">
        <v>4</v>
      </c>
      <c r="AD257" s="3">
        <v>13.99</v>
      </c>
      <c r="AE257" s="3">
        <v>0</v>
      </c>
      <c r="AF257" s="3">
        <v>0</v>
      </c>
      <c r="AG257" s="3">
        <v>0</v>
      </c>
      <c r="AH257" s="3">
        <v>0</v>
      </c>
      <c r="AI257" s="3" t="s">
        <v>169</v>
      </c>
      <c r="AJ257" s="3" t="s">
        <v>164</v>
      </c>
    </row>
    <row r="258" spans="1:36">
      <c r="A258" s="6">
        <v>43288</v>
      </c>
      <c r="B258" s="3" t="s">
        <v>868</v>
      </c>
      <c r="C258" s="3" t="s">
        <v>869</v>
      </c>
      <c r="D258" s="3" t="s">
        <v>869</v>
      </c>
      <c r="E258" s="3" t="s">
        <v>870</v>
      </c>
      <c r="F258" s="3" t="s">
        <v>159</v>
      </c>
      <c r="G258" s="3">
        <v>1</v>
      </c>
      <c r="H258" s="3">
        <v>0</v>
      </c>
      <c r="I258" s="3">
        <v>0</v>
      </c>
      <c r="J258" s="3">
        <v>1</v>
      </c>
      <c r="K258" s="3">
        <v>0</v>
      </c>
      <c r="L258" s="3">
        <v>0</v>
      </c>
      <c r="M258" s="3">
        <v>0</v>
      </c>
      <c r="N258" s="3" t="s">
        <v>160</v>
      </c>
      <c r="O258" s="3">
        <v>0</v>
      </c>
      <c r="P258" s="3">
        <v>0</v>
      </c>
      <c r="Q258" s="3">
        <v>0</v>
      </c>
      <c r="R258" s="3">
        <v>0</v>
      </c>
      <c r="S258" s="3">
        <v>0</v>
      </c>
      <c r="T258" s="3">
        <v>0</v>
      </c>
      <c r="U258" s="3">
        <v>1</v>
      </c>
      <c r="V258" s="3">
        <v>3</v>
      </c>
      <c r="W258" s="3" t="s">
        <v>161</v>
      </c>
      <c r="X258" s="3">
        <v>9.5</v>
      </c>
      <c r="Y258" s="3">
        <v>9.5</v>
      </c>
      <c r="Z258" s="3">
        <v>9.5</v>
      </c>
      <c r="AA258" s="3">
        <v>0</v>
      </c>
      <c r="AB258" s="3" t="s">
        <v>162</v>
      </c>
      <c r="AC258" s="3">
        <v>1</v>
      </c>
      <c r="AD258" s="3">
        <v>9.9</v>
      </c>
      <c r="AE258" s="3">
        <v>0</v>
      </c>
      <c r="AF258" s="3">
        <v>0</v>
      </c>
      <c r="AG258" s="3">
        <v>0</v>
      </c>
      <c r="AH258" s="3">
        <v>1.5</v>
      </c>
      <c r="AI258" s="3" t="s">
        <v>192</v>
      </c>
      <c r="AJ258" s="3" t="s">
        <v>164</v>
      </c>
    </row>
    <row r="259" spans="1:36">
      <c r="A259" s="6">
        <v>43288</v>
      </c>
      <c r="B259" s="3" t="s">
        <v>871</v>
      </c>
      <c r="C259" s="3" t="s">
        <v>872</v>
      </c>
      <c r="D259" s="3" t="s">
        <v>872</v>
      </c>
      <c r="E259" s="3" t="s">
        <v>14</v>
      </c>
      <c r="F259" s="3" t="s">
        <v>159</v>
      </c>
      <c r="G259" s="3">
        <v>8</v>
      </c>
      <c r="H259" s="3">
        <v>0</v>
      </c>
      <c r="I259" s="3">
        <v>8</v>
      </c>
      <c r="J259" s="3">
        <v>0</v>
      </c>
      <c r="K259" s="3">
        <v>0</v>
      </c>
      <c r="L259" s="3">
        <v>0</v>
      </c>
      <c r="M259" s="3">
        <v>0</v>
      </c>
      <c r="N259" s="3" t="s">
        <v>160</v>
      </c>
      <c r="O259" s="3">
        <v>0</v>
      </c>
      <c r="P259" s="3">
        <v>0</v>
      </c>
      <c r="Q259" s="3">
        <v>0</v>
      </c>
      <c r="R259" s="3">
        <v>0</v>
      </c>
      <c r="S259" s="3">
        <v>0</v>
      </c>
      <c r="T259" s="3">
        <v>2</v>
      </c>
      <c r="U259" s="3">
        <v>7</v>
      </c>
      <c r="V259" s="3">
        <v>14</v>
      </c>
      <c r="W259" s="3" t="s">
        <v>161</v>
      </c>
      <c r="X259" s="3">
        <v>17.9</v>
      </c>
      <c r="Y259" s="3">
        <v>17.9</v>
      </c>
      <c r="Z259" s="3">
        <v>17.9</v>
      </c>
      <c r="AA259" s="3">
        <v>0</v>
      </c>
      <c r="AB259" s="3" t="s">
        <v>162</v>
      </c>
      <c r="AC259" s="3">
        <v>8</v>
      </c>
      <c r="AD259" s="3">
        <v>17.9</v>
      </c>
      <c r="AE259" s="3">
        <v>0</v>
      </c>
      <c r="AF259" s="3">
        <v>0</v>
      </c>
      <c r="AG259" s="3">
        <v>0</v>
      </c>
      <c r="AH259" s="3">
        <v>1.80645161290322</v>
      </c>
      <c r="AI259" s="3" t="s">
        <v>873</v>
      </c>
      <c r="AJ259" s="3" t="s">
        <v>164</v>
      </c>
    </row>
    <row r="260" spans="1:36">
      <c r="A260" s="6">
        <v>43288</v>
      </c>
      <c r="B260" s="3" t="s">
        <v>874</v>
      </c>
      <c r="C260" s="3" t="s">
        <v>875</v>
      </c>
      <c r="D260" s="3" t="s">
        <v>875</v>
      </c>
      <c r="E260" s="3" t="s">
        <v>876</v>
      </c>
      <c r="F260" s="3" t="s">
        <v>159</v>
      </c>
      <c r="G260" s="3">
        <v>3</v>
      </c>
      <c r="H260" s="3">
        <v>0</v>
      </c>
      <c r="I260" s="3">
        <v>0</v>
      </c>
      <c r="J260" s="3">
        <v>3</v>
      </c>
      <c r="K260" s="3">
        <v>0</v>
      </c>
      <c r="L260" s="3">
        <v>0</v>
      </c>
      <c r="M260" s="3">
        <v>0</v>
      </c>
      <c r="N260" s="3" t="s">
        <v>160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1</v>
      </c>
      <c r="V260" s="3">
        <v>1</v>
      </c>
      <c r="W260" s="3" t="s">
        <v>161</v>
      </c>
      <c r="X260" s="3">
        <v>9.5</v>
      </c>
      <c r="Y260" s="3">
        <v>9.5</v>
      </c>
      <c r="Z260" s="3">
        <v>9.5</v>
      </c>
      <c r="AA260" s="3">
        <v>0</v>
      </c>
      <c r="AB260" s="3" t="s">
        <v>162</v>
      </c>
      <c r="AC260" s="3">
        <v>3</v>
      </c>
      <c r="AD260" s="3">
        <v>9.5</v>
      </c>
      <c r="AE260" s="3">
        <v>0</v>
      </c>
      <c r="AF260" s="3">
        <v>0</v>
      </c>
      <c r="AG260" s="3">
        <v>0</v>
      </c>
      <c r="AH260" s="3">
        <v>0.285714285714285</v>
      </c>
      <c r="AI260" s="3" t="s">
        <v>192</v>
      </c>
      <c r="AJ260" s="3" t="s">
        <v>164</v>
      </c>
    </row>
    <row r="261" spans="1:36">
      <c r="A261" s="6">
        <v>43288</v>
      </c>
      <c r="B261" s="3" t="s">
        <v>47</v>
      </c>
      <c r="C261" s="3" t="s">
        <v>48</v>
      </c>
      <c r="D261" s="3" t="s">
        <v>49</v>
      </c>
      <c r="E261" s="3" t="s">
        <v>50</v>
      </c>
      <c r="F261" s="3" t="s">
        <v>159</v>
      </c>
      <c r="G261" s="3">
        <v>7</v>
      </c>
      <c r="H261" s="3">
        <v>0</v>
      </c>
      <c r="I261" s="3">
        <v>7</v>
      </c>
      <c r="J261" s="3">
        <v>0</v>
      </c>
      <c r="K261" s="3">
        <v>0</v>
      </c>
      <c r="L261" s="3">
        <v>0</v>
      </c>
      <c r="M261" s="3">
        <v>0</v>
      </c>
      <c r="N261" s="3" t="s">
        <v>160</v>
      </c>
      <c r="O261" s="3">
        <v>0</v>
      </c>
      <c r="P261" s="3">
        <v>0</v>
      </c>
      <c r="Q261" s="3">
        <v>0</v>
      </c>
      <c r="R261" s="3">
        <v>0</v>
      </c>
      <c r="S261" s="3">
        <v>5</v>
      </c>
      <c r="T261" s="3">
        <v>26</v>
      </c>
      <c r="U261" s="3">
        <v>26</v>
      </c>
      <c r="V261" s="3">
        <v>26</v>
      </c>
      <c r="W261" s="3"/>
      <c r="X261" s="3">
        <v>15.99</v>
      </c>
      <c r="Y261" s="3">
        <v>13.99</v>
      </c>
      <c r="Z261" s="3">
        <v>13</v>
      </c>
      <c r="AA261" s="3">
        <v>0</v>
      </c>
      <c r="AB261" s="3" t="s">
        <v>170</v>
      </c>
      <c r="AC261" s="3">
        <v>9</v>
      </c>
      <c r="AD261" s="3">
        <v>13.99</v>
      </c>
      <c r="AE261" s="3">
        <v>0</v>
      </c>
      <c r="AF261" s="3">
        <v>0</v>
      </c>
      <c r="AG261" s="3">
        <v>0</v>
      </c>
      <c r="AH261" s="3">
        <v>1.92592592592592</v>
      </c>
      <c r="AI261" s="3" t="s">
        <v>192</v>
      </c>
      <c r="AJ261" s="3" t="s">
        <v>164</v>
      </c>
    </row>
    <row r="262" spans="1:36">
      <c r="A262" s="6">
        <v>43288</v>
      </c>
      <c r="B262" s="3" t="s">
        <v>877</v>
      </c>
      <c r="C262" s="3" t="s">
        <v>878</v>
      </c>
      <c r="D262" s="3" t="s">
        <v>878</v>
      </c>
      <c r="E262" s="3" t="s">
        <v>879</v>
      </c>
      <c r="F262" s="3" t="s">
        <v>159</v>
      </c>
      <c r="G262" s="3">
        <v>3</v>
      </c>
      <c r="H262" s="3">
        <v>0</v>
      </c>
      <c r="I262" s="3">
        <v>0</v>
      </c>
      <c r="J262" s="3">
        <v>0</v>
      </c>
      <c r="K262" s="3">
        <v>3</v>
      </c>
      <c r="L262" s="3">
        <v>0</v>
      </c>
      <c r="M262" s="3">
        <v>0</v>
      </c>
      <c r="N262" s="3" t="s">
        <v>160</v>
      </c>
      <c r="O262" s="3">
        <v>3</v>
      </c>
      <c r="P262" s="3">
        <v>4.1</v>
      </c>
      <c r="Q262" s="3">
        <v>0</v>
      </c>
      <c r="R262" s="3">
        <v>0</v>
      </c>
      <c r="S262" s="3">
        <v>0</v>
      </c>
      <c r="T262" s="3">
        <v>1</v>
      </c>
      <c r="U262" s="3">
        <v>1</v>
      </c>
      <c r="V262" s="3">
        <v>1</v>
      </c>
      <c r="W262" s="3"/>
      <c r="X262" s="3">
        <v>12</v>
      </c>
      <c r="Y262" s="3">
        <v>12</v>
      </c>
      <c r="Z262" s="3">
        <v>12</v>
      </c>
      <c r="AA262" s="3">
        <v>0</v>
      </c>
      <c r="AB262" s="3" t="s">
        <v>170</v>
      </c>
      <c r="AC262" s="3">
        <v>3</v>
      </c>
      <c r="AD262" s="3">
        <v>12</v>
      </c>
      <c r="AE262" s="3">
        <v>0</v>
      </c>
      <c r="AF262" s="3">
        <v>0</v>
      </c>
      <c r="AG262" s="3">
        <v>0</v>
      </c>
      <c r="AH262" s="3">
        <v>0.266666666666666</v>
      </c>
      <c r="AI262" s="3" t="s">
        <v>241</v>
      </c>
      <c r="AJ262" s="3" t="s">
        <v>174</v>
      </c>
    </row>
    <row r="263" spans="1:36">
      <c r="A263" s="6">
        <v>43288</v>
      </c>
      <c r="B263" s="3" t="s">
        <v>880</v>
      </c>
      <c r="C263" s="3" t="s">
        <v>881</v>
      </c>
      <c r="D263" s="3" t="s">
        <v>882</v>
      </c>
      <c r="E263" s="3" t="s">
        <v>158</v>
      </c>
      <c r="F263" s="3" t="s">
        <v>159</v>
      </c>
      <c r="G263" s="3">
        <v>3</v>
      </c>
      <c r="H263" s="3">
        <v>0</v>
      </c>
      <c r="I263" s="3">
        <v>3</v>
      </c>
      <c r="J263" s="3">
        <v>0</v>
      </c>
      <c r="K263" s="3">
        <v>0</v>
      </c>
      <c r="L263" s="3">
        <v>0</v>
      </c>
      <c r="M263" s="3">
        <v>0</v>
      </c>
      <c r="N263" s="3" t="s">
        <v>160</v>
      </c>
      <c r="O263" s="3">
        <v>0</v>
      </c>
      <c r="P263" s="3">
        <v>0</v>
      </c>
      <c r="Q263" s="3">
        <v>0</v>
      </c>
      <c r="R263" s="3">
        <v>0</v>
      </c>
      <c r="S263" s="3">
        <v>1</v>
      </c>
      <c r="T263" s="3">
        <v>2</v>
      </c>
      <c r="U263" s="3">
        <v>2</v>
      </c>
      <c r="V263" s="3">
        <v>2</v>
      </c>
      <c r="W263" s="3" t="s">
        <v>161</v>
      </c>
      <c r="X263" s="3">
        <v>10.99</v>
      </c>
      <c r="Y263" s="3">
        <v>10.99</v>
      </c>
      <c r="Z263" s="3">
        <v>10.99</v>
      </c>
      <c r="AA263" s="3">
        <v>0</v>
      </c>
      <c r="AB263" s="3" t="s">
        <v>162</v>
      </c>
      <c r="AC263" s="3">
        <v>4</v>
      </c>
      <c r="AD263" s="3">
        <v>10.99</v>
      </c>
      <c r="AE263" s="3">
        <v>0</v>
      </c>
      <c r="AF263" s="3">
        <v>0</v>
      </c>
      <c r="AG263" s="3">
        <v>0</v>
      </c>
      <c r="AH263" s="3">
        <v>1.33333333333333</v>
      </c>
      <c r="AI263" s="3" t="s">
        <v>883</v>
      </c>
      <c r="AJ263" s="3" t="s">
        <v>164</v>
      </c>
    </row>
    <row r="264" spans="1:36">
      <c r="A264" s="6">
        <v>43288</v>
      </c>
      <c r="B264" s="3" t="s">
        <v>884</v>
      </c>
      <c r="C264" s="3" t="s">
        <v>885</v>
      </c>
      <c r="D264" s="3" t="s">
        <v>885</v>
      </c>
      <c r="E264" s="3" t="s">
        <v>886</v>
      </c>
      <c r="F264" s="3" t="s">
        <v>159</v>
      </c>
      <c r="G264" s="3">
        <v>5</v>
      </c>
      <c r="H264" s="3">
        <v>0</v>
      </c>
      <c r="I264" s="3">
        <v>0</v>
      </c>
      <c r="J264" s="3">
        <v>0</v>
      </c>
      <c r="K264" s="3">
        <v>5</v>
      </c>
      <c r="L264" s="3">
        <v>0</v>
      </c>
      <c r="M264" s="3">
        <v>0</v>
      </c>
      <c r="N264" s="3" t="s">
        <v>160</v>
      </c>
      <c r="O264" s="3">
        <v>5</v>
      </c>
      <c r="P264" s="3">
        <v>6.83</v>
      </c>
      <c r="Q264" s="3">
        <v>0</v>
      </c>
      <c r="R264" s="3">
        <v>0</v>
      </c>
      <c r="S264" s="3">
        <v>0</v>
      </c>
      <c r="T264" s="3">
        <v>0</v>
      </c>
      <c r="U264" s="3">
        <v>0</v>
      </c>
      <c r="V264" s="3">
        <v>0</v>
      </c>
      <c r="W264" s="3" t="s">
        <v>207</v>
      </c>
      <c r="X264" s="3">
        <v>12</v>
      </c>
      <c r="Y264" s="3">
        <v>12</v>
      </c>
      <c r="Z264" s="3">
        <v>12</v>
      </c>
      <c r="AA264" s="3">
        <v>0</v>
      </c>
      <c r="AB264" s="3" t="s">
        <v>187</v>
      </c>
      <c r="AC264" s="3">
        <v>0</v>
      </c>
      <c r="AD264" s="3">
        <v>9.6</v>
      </c>
      <c r="AE264" s="3">
        <v>63</v>
      </c>
      <c r="AF264" s="3">
        <v>0</v>
      </c>
      <c r="AG264" s="3">
        <v>89.866664</v>
      </c>
      <c r="AH264" s="3">
        <v>0</v>
      </c>
      <c r="AI264" s="3" t="s">
        <v>241</v>
      </c>
      <c r="AJ264" s="3" t="s">
        <v>174</v>
      </c>
    </row>
    <row r="265" spans="1:36">
      <c r="A265" s="6">
        <v>43288</v>
      </c>
      <c r="B265" s="3" t="s">
        <v>887</v>
      </c>
      <c r="C265" s="3" t="s">
        <v>888</v>
      </c>
      <c r="D265" s="3" t="s">
        <v>888</v>
      </c>
      <c r="E265" s="3" t="s">
        <v>889</v>
      </c>
      <c r="F265" s="3" t="s">
        <v>159</v>
      </c>
      <c r="G265" s="3">
        <v>15</v>
      </c>
      <c r="H265" s="3">
        <v>0</v>
      </c>
      <c r="I265" s="3">
        <v>0</v>
      </c>
      <c r="J265" s="3">
        <v>0</v>
      </c>
      <c r="K265" s="3">
        <v>0</v>
      </c>
      <c r="L265" s="3">
        <v>15</v>
      </c>
      <c r="M265" s="3">
        <v>0</v>
      </c>
      <c r="N265" s="3" t="s">
        <v>160</v>
      </c>
      <c r="O265" s="3">
        <v>15</v>
      </c>
      <c r="P265" s="3">
        <v>35.99</v>
      </c>
      <c r="Q265" s="3">
        <v>0</v>
      </c>
      <c r="R265" s="3">
        <v>0</v>
      </c>
      <c r="S265" s="3">
        <v>0</v>
      </c>
      <c r="T265" s="3">
        <v>3</v>
      </c>
      <c r="U265" s="3">
        <v>3</v>
      </c>
      <c r="V265" s="3">
        <v>3</v>
      </c>
      <c r="W265" s="3"/>
      <c r="X265" s="3">
        <v>14.98</v>
      </c>
      <c r="Y265" s="3">
        <v>14.98</v>
      </c>
      <c r="Z265" s="3">
        <v>14.98</v>
      </c>
      <c r="AA265" s="3">
        <v>0</v>
      </c>
      <c r="AB265" s="3" t="s">
        <v>187</v>
      </c>
      <c r="AC265" s="3">
        <v>2</v>
      </c>
      <c r="AD265" s="3">
        <v>12.15</v>
      </c>
      <c r="AE265" s="3">
        <v>7</v>
      </c>
      <c r="AF265" s="3">
        <v>12</v>
      </c>
      <c r="AG265" s="3">
        <v>48.387198</v>
      </c>
      <c r="AH265" s="3">
        <v>0.17391304347826</v>
      </c>
      <c r="AI265" s="3" t="s">
        <v>208</v>
      </c>
      <c r="AJ265" s="3" t="s">
        <v>174</v>
      </c>
    </row>
    <row r="266" spans="1:36">
      <c r="A266" s="6">
        <v>43288</v>
      </c>
      <c r="B266" s="3" t="s">
        <v>890</v>
      </c>
      <c r="C266" s="3" t="s">
        <v>891</v>
      </c>
      <c r="D266" s="3" t="s">
        <v>891</v>
      </c>
      <c r="E266" s="3" t="s">
        <v>14</v>
      </c>
      <c r="F266" s="3" t="s">
        <v>159</v>
      </c>
      <c r="G266" s="3">
        <v>8</v>
      </c>
      <c r="H266" s="3">
        <v>0</v>
      </c>
      <c r="I266" s="3">
        <v>5</v>
      </c>
      <c r="J266" s="3">
        <v>3</v>
      </c>
      <c r="K266" s="3">
        <v>0</v>
      </c>
      <c r="L266" s="3">
        <v>0</v>
      </c>
      <c r="M266" s="3">
        <v>0</v>
      </c>
      <c r="N266" s="3" t="s">
        <v>160</v>
      </c>
      <c r="O266" s="3">
        <v>0</v>
      </c>
      <c r="P266" s="3">
        <v>0</v>
      </c>
      <c r="Q266" s="3">
        <v>0</v>
      </c>
      <c r="R266" s="3">
        <v>0</v>
      </c>
      <c r="S266" s="3">
        <v>0</v>
      </c>
      <c r="T266" s="3">
        <v>1</v>
      </c>
      <c r="U266" s="3">
        <v>2</v>
      </c>
      <c r="V266" s="3">
        <v>6</v>
      </c>
      <c r="W266" s="3" t="s">
        <v>161</v>
      </c>
      <c r="X266" s="3">
        <v>17.9</v>
      </c>
      <c r="Y266" s="3">
        <v>17.9</v>
      </c>
      <c r="Z266" s="3">
        <v>17.9</v>
      </c>
      <c r="AA266" s="3">
        <v>0</v>
      </c>
      <c r="AB266" s="3" t="s">
        <v>162</v>
      </c>
      <c r="AC266" s="3">
        <v>0</v>
      </c>
      <c r="AD266" s="3">
        <v>15.44</v>
      </c>
      <c r="AE266" s="3">
        <v>217</v>
      </c>
      <c r="AF266" s="3">
        <v>0</v>
      </c>
      <c r="AG266" s="3">
        <v>159.586966</v>
      </c>
      <c r="AH266" s="3">
        <v>0.685714285714285</v>
      </c>
      <c r="AI266" s="3" t="s">
        <v>892</v>
      </c>
      <c r="AJ266" s="3" t="s">
        <v>164</v>
      </c>
    </row>
    <row r="267" spans="1:36">
      <c r="A267" s="6">
        <v>43288</v>
      </c>
      <c r="B267" s="3" t="s">
        <v>893</v>
      </c>
      <c r="C267" s="3" t="s">
        <v>894</v>
      </c>
      <c r="D267" s="3" t="s">
        <v>894</v>
      </c>
      <c r="E267" s="3" t="s">
        <v>577</v>
      </c>
      <c r="F267" s="3" t="s">
        <v>159</v>
      </c>
      <c r="G267" s="3">
        <v>1</v>
      </c>
      <c r="H267" s="3">
        <v>0</v>
      </c>
      <c r="I267" s="3">
        <v>0</v>
      </c>
      <c r="J267" s="3">
        <v>1</v>
      </c>
      <c r="K267" s="3">
        <v>0</v>
      </c>
      <c r="L267" s="3">
        <v>0</v>
      </c>
      <c r="M267" s="3">
        <v>0</v>
      </c>
      <c r="N267" s="3" t="s">
        <v>160</v>
      </c>
      <c r="O267" s="3">
        <v>0</v>
      </c>
      <c r="P267" s="3">
        <v>0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3</v>
      </c>
      <c r="W267" s="3" t="s">
        <v>161</v>
      </c>
      <c r="X267" s="3">
        <v>9.5</v>
      </c>
      <c r="Y267" s="3">
        <v>9.5</v>
      </c>
      <c r="Z267" s="3">
        <v>9.5</v>
      </c>
      <c r="AA267" s="3">
        <v>0</v>
      </c>
      <c r="AB267" s="3" t="s">
        <v>162</v>
      </c>
      <c r="AC267" s="3">
        <v>1</v>
      </c>
      <c r="AD267" s="3">
        <v>9.5</v>
      </c>
      <c r="AE267" s="3">
        <v>0</v>
      </c>
      <c r="AF267" s="3">
        <v>0</v>
      </c>
      <c r="AG267" s="3">
        <v>0</v>
      </c>
      <c r="AH267" s="3">
        <v>1.71428571428571</v>
      </c>
      <c r="AI267" s="3" t="s">
        <v>196</v>
      </c>
      <c r="AJ267" s="3" t="s">
        <v>164</v>
      </c>
    </row>
    <row r="268" spans="1:36">
      <c r="A268" s="6">
        <v>43288</v>
      </c>
      <c r="B268" s="3" t="s">
        <v>895</v>
      </c>
      <c r="C268" s="3" t="s">
        <v>896</v>
      </c>
      <c r="D268" s="3" t="s">
        <v>896</v>
      </c>
      <c r="E268" s="3" t="s">
        <v>76</v>
      </c>
      <c r="F268" s="3" t="s">
        <v>159</v>
      </c>
      <c r="G268" s="3">
        <v>5</v>
      </c>
      <c r="H268" s="3">
        <v>0</v>
      </c>
      <c r="I268" s="3">
        <v>5</v>
      </c>
      <c r="J268" s="3">
        <v>0</v>
      </c>
      <c r="K268" s="3">
        <v>0</v>
      </c>
      <c r="L268" s="3">
        <v>0</v>
      </c>
      <c r="M268" s="3">
        <v>0</v>
      </c>
      <c r="N268" s="3" t="s">
        <v>160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1</v>
      </c>
      <c r="U268" s="3">
        <v>2</v>
      </c>
      <c r="V268" s="3">
        <v>10</v>
      </c>
      <c r="W268" s="3" t="s">
        <v>161</v>
      </c>
      <c r="X268" s="3">
        <v>9.9</v>
      </c>
      <c r="Y268" s="3">
        <v>9.9</v>
      </c>
      <c r="Z268" s="3">
        <v>9.9</v>
      </c>
      <c r="AA268" s="3">
        <v>0</v>
      </c>
      <c r="AB268" s="3" t="s">
        <v>162</v>
      </c>
      <c r="AC268" s="3">
        <v>5</v>
      </c>
      <c r="AD268" s="3">
        <v>9.9</v>
      </c>
      <c r="AE268" s="3">
        <v>0</v>
      </c>
      <c r="AF268" s="3">
        <v>0</v>
      </c>
      <c r="AG268" s="3">
        <v>0</v>
      </c>
      <c r="AH268" s="3">
        <v>1.7391304347826</v>
      </c>
      <c r="AI268" s="3" t="s">
        <v>487</v>
      </c>
      <c r="AJ268" s="3" t="s">
        <v>164</v>
      </c>
    </row>
    <row r="269" spans="1:36">
      <c r="A269" s="6">
        <v>43288</v>
      </c>
      <c r="B269" s="3" t="s">
        <v>897</v>
      </c>
      <c r="C269" s="3" t="s">
        <v>898</v>
      </c>
      <c r="D269" s="3" t="s">
        <v>777</v>
      </c>
      <c r="E269" s="3" t="s">
        <v>778</v>
      </c>
      <c r="F269" s="3" t="s">
        <v>159</v>
      </c>
      <c r="G269" s="3">
        <v>110</v>
      </c>
      <c r="H269" s="3">
        <v>0</v>
      </c>
      <c r="I269" s="3">
        <v>110</v>
      </c>
      <c r="J269" s="3">
        <v>0</v>
      </c>
      <c r="K269" s="3">
        <v>0</v>
      </c>
      <c r="L269" s="3">
        <v>0</v>
      </c>
      <c r="M269" s="3">
        <v>0</v>
      </c>
      <c r="N269" s="3" t="s">
        <v>160</v>
      </c>
      <c r="O269" s="3">
        <v>0</v>
      </c>
      <c r="P269" s="3">
        <v>0</v>
      </c>
      <c r="Q269" s="3">
        <v>0</v>
      </c>
      <c r="R269" s="3">
        <v>0</v>
      </c>
      <c r="S269" s="3">
        <v>1</v>
      </c>
      <c r="T269" s="3">
        <v>9</v>
      </c>
      <c r="U269" s="3">
        <v>9</v>
      </c>
      <c r="V269" s="3">
        <v>9</v>
      </c>
      <c r="W269" s="3"/>
      <c r="X269" s="3">
        <v>18.99</v>
      </c>
      <c r="Y269" s="3">
        <v>18.99</v>
      </c>
      <c r="Z269" s="3">
        <v>18</v>
      </c>
      <c r="AA269" s="3">
        <v>0</v>
      </c>
      <c r="AB269" s="3" t="s">
        <v>170</v>
      </c>
      <c r="AC269" s="3">
        <v>111</v>
      </c>
      <c r="AD269" s="3">
        <v>18.99</v>
      </c>
      <c r="AE269" s="3">
        <v>0</v>
      </c>
      <c r="AF269" s="3">
        <v>0</v>
      </c>
      <c r="AG269" s="3">
        <v>0</v>
      </c>
      <c r="AH269" s="3">
        <v>0.838709677419354</v>
      </c>
      <c r="AI269" s="3" t="s">
        <v>779</v>
      </c>
      <c r="AJ269" s="3" t="s">
        <v>164</v>
      </c>
    </row>
    <row r="270" spans="1:36">
      <c r="A270" s="6">
        <v>43288</v>
      </c>
      <c r="B270" s="3" t="s">
        <v>899</v>
      </c>
      <c r="C270" s="3" t="s">
        <v>900</v>
      </c>
      <c r="D270" s="3" t="s">
        <v>900</v>
      </c>
      <c r="E270" s="3" t="s">
        <v>901</v>
      </c>
      <c r="F270" s="3" t="s">
        <v>159</v>
      </c>
      <c r="G270" s="3">
        <v>5</v>
      </c>
      <c r="H270" s="3">
        <v>0</v>
      </c>
      <c r="I270" s="3">
        <v>0</v>
      </c>
      <c r="J270" s="3">
        <v>1</v>
      </c>
      <c r="K270" s="3">
        <v>0</v>
      </c>
      <c r="L270" s="3">
        <v>4</v>
      </c>
      <c r="M270" s="3">
        <v>0</v>
      </c>
      <c r="N270" s="3" t="s">
        <v>160</v>
      </c>
      <c r="O270" s="3">
        <v>5</v>
      </c>
      <c r="P270" s="3">
        <v>12</v>
      </c>
      <c r="Q270" s="3">
        <v>0</v>
      </c>
      <c r="R270" s="3">
        <v>0</v>
      </c>
      <c r="S270" s="3">
        <v>0</v>
      </c>
      <c r="T270" s="3">
        <v>1</v>
      </c>
      <c r="U270" s="3">
        <v>1</v>
      </c>
      <c r="V270" s="3">
        <v>4</v>
      </c>
      <c r="W270" s="3"/>
      <c r="X270" s="3">
        <v>14.98</v>
      </c>
      <c r="Y270" s="3">
        <v>14.98</v>
      </c>
      <c r="Z270" s="3">
        <v>14.98</v>
      </c>
      <c r="AA270" s="3">
        <v>0</v>
      </c>
      <c r="AB270" s="3" t="s">
        <v>187</v>
      </c>
      <c r="AC270" s="3">
        <v>0</v>
      </c>
      <c r="AD270" s="3">
        <v>13.21</v>
      </c>
      <c r="AE270" s="3">
        <v>35</v>
      </c>
      <c r="AF270" s="3">
        <v>3</v>
      </c>
      <c r="AG270" s="3">
        <v>148.600886</v>
      </c>
      <c r="AH270" s="3">
        <v>0.615384615384615</v>
      </c>
      <c r="AI270" s="3" t="s">
        <v>208</v>
      </c>
      <c r="AJ270" s="3" t="s">
        <v>174</v>
      </c>
    </row>
    <row r="271" spans="1:36">
      <c r="A271" s="6">
        <v>43288</v>
      </c>
      <c r="B271" s="3" t="s">
        <v>902</v>
      </c>
      <c r="C271" s="3" t="s">
        <v>903</v>
      </c>
      <c r="D271" s="3" t="s">
        <v>903</v>
      </c>
      <c r="E271" s="3" t="s">
        <v>904</v>
      </c>
      <c r="F271" s="3" t="s">
        <v>159</v>
      </c>
      <c r="G271" s="3">
        <v>4</v>
      </c>
      <c r="H271" s="3">
        <v>0</v>
      </c>
      <c r="I271" s="3">
        <v>0</v>
      </c>
      <c r="J271" s="3">
        <v>4</v>
      </c>
      <c r="K271" s="3">
        <v>0</v>
      </c>
      <c r="L271" s="3">
        <v>0</v>
      </c>
      <c r="M271" s="3">
        <v>0</v>
      </c>
      <c r="N271" s="3" t="s">
        <v>160</v>
      </c>
      <c r="O271" s="3">
        <v>0</v>
      </c>
      <c r="P271" s="3">
        <v>0</v>
      </c>
      <c r="Q271" s="3">
        <v>0</v>
      </c>
      <c r="R271" s="3">
        <v>0</v>
      </c>
      <c r="S271" s="3">
        <v>0</v>
      </c>
      <c r="T271" s="3">
        <v>0</v>
      </c>
      <c r="U271" s="3">
        <v>0</v>
      </c>
      <c r="V271" s="3">
        <v>0</v>
      </c>
      <c r="W271" s="3" t="s">
        <v>161</v>
      </c>
      <c r="X271" s="3">
        <v>9.5</v>
      </c>
      <c r="Y271" s="3">
        <v>9.5</v>
      </c>
      <c r="Z271" s="3">
        <v>9.5</v>
      </c>
      <c r="AA271" s="3">
        <v>0</v>
      </c>
      <c r="AB271" s="3" t="s">
        <v>162</v>
      </c>
      <c r="AC271" s="3">
        <v>0</v>
      </c>
      <c r="AD271" s="3">
        <v>9.5</v>
      </c>
      <c r="AE271" s="3">
        <v>63</v>
      </c>
      <c r="AF271" s="3">
        <v>0</v>
      </c>
      <c r="AG271" s="3">
        <v>3.437302</v>
      </c>
      <c r="AH271" s="3">
        <v>0</v>
      </c>
      <c r="AI271" s="3" t="s">
        <v>192</v>
      </c>
      <c r="AJ271" s="3" t="s">
        <v>164</v>
      </c>
    </row>
    <row r="272" spans="1:36">
      <c r="A272" s="6">
        <v>43288</v>
      </c>
      <c r="B272" s="3" t="s">
        <v>905</v>
      </c>
      <c r="C272" s="3" t="s">
        <v>906</v>
      </c>
      <c r="D272" s="3" t="s">
        <v>906</v>
      </c>
      <c r="E272" s="3" t="s">
        <v>689</v>
      </c>
      <c r="F272" s="3" t="s">
        <v>159</v>
      </c>
      <c r="G272" s="3">
        <v>2</v>
      </c>
      <c r="H272" s="3">
        <v>0</v>
      </c>
      <c r="I272" s="3">
        <v>0</v>
      </c>
      <c r="J272" s="3">
        <v>1</v>
      </c>
      <c r="K272" s="3">
        <v>0</v>
      </c>
      <c r="L272" s="3">
        <v>1</v>
      </c>
      <c r="M272" s="3">
        <v>0</v>
      </c>
      <c r="N272" s="3" t="s">
        <v>160</v>
      </c>
      <c r="O272" s="3">
        <v>2</v>
      </c>
      <c r="P272" s="3">
        <v>0.2</v>
      </c>
      <c r="Q272" s="3">
        <v>0</v>
      </c>
      <c r="R272" s="3">
        <v>0</v>
      </c>
      <c r="S272" s="3">
        <v>0</v>
      </c>
      <c r="T272" s="3">
        <v>0</v>
      </c>
      <c r="U272" s="3">
        <v>0</v>
      </c>
      <c r="V272" s="3">
        <v>0</v>
      </c>
      <c r="W272" s="3" t="s">
        <v>207</v>
      </c>
      <c r="X272" s="3">
        <v>15</v>
      </c>
      <c r="Y272" s="3">
        <v>15</v>
      </c>
      <c r="Z272" s="3">
        <v>15</v>
      </c>
      <c r="AA272" s="3">
        <v>0</v>
      </c>
      <c r="AB272" s="3" t="s">
        <v>187</v>
      </c>
      <c r="AC272" s="3">
        <v>0</v>
      </c>
      <c r="AD272" s="3">
        <v>14.03</v>
      </c>
      <c r="AE272" s="3">
        <v>70</v>
      </c>
      <c r="AF272" s="3">
        <v>0</v>
      </c>
      <c r="AG272" s="3">
        <v>16.880725</v>
      </c>
      <c r="AH272" s="3">
        <v>0</v>
      </c>
      <c r="AI272" s="3" t="s">
        <v>203</v>
      </c>
      <c r="AJ272" s="3" t="s">
        <v>174</v>
      </c>
    </row>
    <row r="273" spans="1:36">
      <c r="A273" s="6">
        <v>43288</v>
      </c>
      <c r="B273" s="3" t="s">
        <v>907</v>
      </c>
      <c r="C273" s="3" t="s">
        <v>908</v>
      </c>
      <c r="D273" s="3" t="s">
        <v>909</v>
      </c>
      <c r="E273" s="3" t="s">
        <v>158</v>
      </c>
      <c r="F273" s="3" t="s">
        <v>159</v>
      </c>
      <c r="G273" s="3">
        <v>4</v>
      </c>
      <c r="H273" s="3">
        <v>0</v>
      </c>
      <c r="I273" s="3">
        <v>4</v>
      </c>
      <c r="J273" s="3">
        <v>0</v>
      </c>
      <c r="K273" s="3">
        <v>0</v>
      </c>
      <c r="L273" s="3">
        <v>0</v>
      </c>
      <c r="M273" s="3">
        <v>0</v>
      </c>
      <c r="N273" s="3" t="s">
        <v>160</v>
      </c>
      <c r="O273" s="3">
        <v>0</v>
      </c>
      <c r="P273" s="3">
        <v>0</v>
      </c>
      <c r="Q273" s="3">
        <v>0</v>
      </c>
      <c r="R273" s="3">
        <v>0</v>
      </c>
      <c r="S273" s="3">
        <v>0</v>
      </c>
      <c r="T273" s="3">
        <v>1</v>
      </c>
      <c r="U273" s="3">
        <v>1</v>
      </c>
      <c r="V273" s="3">
        <v>1</v>
      </c>
      <c r="W273" s="3" t="s">
        <v>161</v>
      </c>
      <c r="X273" s="3">
        <v>10.99</v>
      </c>
      <c r="Y273" s="3">
        <v>10.99</v>
      </c>
      <c r="Z273" s="3">
        <v>10.99</v>
      </c>
      <c r="AA273" s="3">
        <v>0</v>
      </c>
      <c r="AB273" s="3" t="s">
        <v>162</v>
      </c>
      <c r="AC273" s="3">
        <v>4</v>
      </c>
      <c r="AD273" s="3">
        <v>10.99</v>
      </c>
      <c r="AE273" s="3">
        <v>0</v>
      </c>
      <c r="AF273" s="3">
        <v>0</v>
      </c>
      <c r="AG273" s="3">
        <v>0</v>
      </c>
      <c r="AH273" s="3">
        <v>0.5</v>
      </c>
      <c r="AI273" s="3" t="s">
        <v>910</v>
      </c>
      <c r="AJ273" s="3" t="s">
        <v>164</v>
      </c>
    </row>
    <row r="274" spans="1:36">
      <c r="A274" s="6">
        <v>43288</v>
      </c>
      <c r="B274" s="3" t="s">
        <v>911</v>
      </c>
      <c r="C274" s="3" t="s">
        <v>912</v>
      </c>
      <c r="D274" s="3" t="s">
        <v>912</v>
      </c>
      <c r="E274" s="3" t="s">
        <v>913</v>
      </c>
      <c r="F274" s="3" t="s">
        <v>159</v>
      </c>
      <c r="G274" s="3">
        <v>1</v>
      </c>
      <c r="H274" s="3">
        <v>0</v>
      </c>
      <c r="I274" s="3">
        <v>0</v>
      </c>
      <c r="J274" s="3">
        <v>0</v>
      </c>
      <c r="K274" s="3">
        <v>1</v>
      </c>
      <c r="L274" s="3">
        <v>0</v>
      </c>
      <c r="M274" s="3">
        <v>0</v>
      </c>
      <c r="N274" s="3" t="s">
        <v>160</v>
      </c>
      <c r="O274" s="3">
        <v>1</v>
      </c>
      <c r="P274" s="3">
        <v>0.1</v>
      </c>
      <c r="Q274" s="3">
        <v>0</v>
      </c>
      <c r="R274" s="3">
        <v>0</v>
      </c>
      <c r="S274" s="3">
        <v>0</v>
      </c>
      <c r="T274" s="3">
        <v>0</v>
      </c>
      <c r="U274" s="3">
        <v>0</v>
      </c>
      <c r="V274" s="3">
        <v>0</v>
      </c>
      <c r="W274" s="3" t="s">
        <v>207</v>
      </c>
      <c r="X274" s="3">
        <v>15</v>
      </c>
      <c r="Y274" s="3">
        <v>15</v>
      </c>
      <c r="Z274" s="3">
        <v>15</v>
      </c>
      <c r="AA274" s="3">
        <v>0</v>
      </c>
      <c r="AB274" s="3" t="s">
        <v>187</v>
      </c>
      <c r="AC274" s="3">
        <v>0</v>
      </c>
      <c r="AD274" s="3">
        <v>14.25</v>
      </c>
      <c r="AE274" s="3">
        <v>7</v>
      </c>
      <c r="AF274" s="3">
        <v>0</v>
      </c>
      <c r="AG274" s="3">
        <v>9.278743</v>
      </c>
      <c r="AH274" s="3">
        <v>0</v>
      </c>
      <c r="AI274" s="3" t="s">
        <v>203</v>
      </c>
      <c r="AJ274" s="3" t="s">
        <v>164</v>
      </c>
    </row>
    <row r="275" spans="1:36">
      <c r="A275" s="6">
        <v>43288</v>
      </c>
      <c r="B275" s="3" t="s">
        <v>914</v>
      </c>
      <c r="C275" s="3" t="s">
        <v>915</v>
      </c>
      <c r="D275" s="3" t="s">
        <v>915</v>
      </c>
      <c r="E275" s="3" t="s">
        <v>26</v>
      </c>
      <c r="F275" s="3" t="s">
        <v>159</v>
      </c>
      <c r="G275" s="3">
        <v>7</v>
      </c>
      <c r="H275" s="3">
        <v>0</v>
      </c>
      <c r="I275" s="3">
        <v>0</v>
      </c>
      <c r="J275" s="3">
        <v>0</v>
      </c>
      <c r="K275" s="3">
        <v>4</v>
      </c>
      <c r="L275" s="3">
        <v>3</v>
      </c>
      <c r="M275" s="3">
        <v>0</v>
      </c>
      <c r="N275" s="3" t="s">
        <v>160</v>
      </c>
      <c r="O275" s="3">
        <v>7</v>
      </c>
      <c r="P275" s="3">
        <v>1.14</v>
      </c>
      <c r="Q275" s="3">
        <v>0</v>
      </c>
      <c r="R275" s="3">
        <v>0</v>
      </c>
      <c r="S275" s="3">
        <v>0</v>
      </c>
      <c r="T275" s="3">
        <v>0</v>
      </c>
      <c r="U275" s="3">
        <v>0</v>
      </c>
      <c r="V275" s="3">
        <v>0</v>
      </c>
      <c r="W275" s="3" t="s">
        <v>207</v>
      </c>
      <c r="X275" s="3">
        <v>25</v>
      </c>
      <c r="Y275" s="3">
        <v>25</v>
      </c>
      <c r="Z275" s="3">
        <v>25</v>
      </c>
      <c r="AA275" s="3">
        <v>0</v>
      </c>
      <c r="AB275" s="3" t="s">
        <v>187</v>
      </c>
      <c r="AC275" s="3">
        <v>0</v>
      </c>
      <c r="AD275" s="3">
        <v>20</v>
      </c>
      <c r="AE275" s="3">
        <v>63</v>
      </c>
      <c r="AF275" s="3">
        <v>0</v>
      </c>
      <c r="AG275" s="3">
        <v>26.76746</v>
      </c>
      <c r="AH275" s="3">
        <v>0</v>
      </c>
      <c r="AI275" s="3" t="s">
        <v>637</v>
      </c>
      <c r="AJ275" s="3" t="s">
        <v>174</v>
      </c>
    </row>
    <row r="276" spans="1:36">
      <c r="A276" s="6">
        <v>43288</v>
      </c>
      <c r="B276" s="3" t="s">
        <v>916</v>
      </c>
      <c r="C276" s="3" t="s">
        <v>917</v>
      </c>
      <c r="D276" s="3" t="s">
        <v>917</v>
      </c>
      <c r="E276" s="3" t="s">
        <v>918</v>
      </c>
      <c r="F276" s="3" t="s">
        <v>159</v>
      </c>
      <c r="G276" s="3">
        <v>4</v>
      </c>
      <c r="H276" s="3">
        <v>0</v>
      </c>
      <c r="I276" s="3">
        <v>0</v>
      </c>
      <c r="J276" s="3">
        <v>4</v>
      </c>
      <c r="K276" s="3">
        <v>0</v>
      </c>
      <c r="L276" s="3">
        <v>0</v>
      </c>
      <c r="M276" s="3">
        <v>0</v>
      </c>
      <c r="N276" s="3" t="s">
        <v>160</v>
      </c>
      <c r="O276" s="3">
        <v>0</v>
      </c>
      <c r="P276" s="3">
        <v>0</v>
      </c>
      <c r="Q276" s="3">
        <v>0</v>
      </c>
      <c r="R276" s="3">
        <v>0</v>
      </c>
      <c r="S276" s="3">
        <v>0</v>
      </c>
      <c r="T276" s="3">
        <v>0</v>
      </c>
      <c r="U276" s="3">
        <v>0</v>
      </c>
      <c r="V276" s="3">
        <v>0</v>
      </c>
      <c r="W276" s="3" t="s">
        <v>161</v>
      </c>
      <c r="X276" s="3">
        <v>9.5</v>
      </c>
      <c r="Y276" s="3">
        <v>9.5</v>
      </c>
      <c r="Z276" s="3">
        <v>9.5</v>
      </c>
      <c r="AA276" s="3">
        <v>0</v>
      </c>
      <c r="AB276" s="3" t="s">
        <v>162</v>
      </c>
      <c r="AC276" s="3">
        <v>0</v>
      </c>
      <c r="AD276" s="3">
        <v>7.6</v>
      </c>
      <c r="AE276" s="3">
        <v>63</v>
      </c>
      <c r="AF276" s="3">
        <v>0</v>
      </c>
      <c r="AG276" s="3">
        <v>3.308096</v>
      </c>
      <c r="AH276" s="3">
        <v>0</v>
      </c>
      <c r="AI276" s="3" t="s">
        <v>192</v>
      </c>
      <c r="AJ276" s="3" t="s">
        <v>164</v>
      </c>
    </row>
    <row r="277" spans="1:36">
      <c r="A277" s="6">
        <v>43288</v>
      </c>
      <c r="B277" s="3" t="s">
        <v>919</v>
      </c>
      <c r="C277" s="3" t="s">
        <v>920</v>
      </c>
      <c r="D277" s="3" t="s">
        <v>921</v>
      </c>
      <c r="E277" s="3" t="s">
        <v>922</v>
      </c>
      <c r="F277" s="3" t="s">
        <v>159</v>
      </c>
      <c r="G277" s="3">
        <v>86</v>
      </c>
      <c r="H277" s="3">
        <v>0</v>
      </c>
      <c r="I277" s="3">
        <v>86</v>
      </c>
      <c r="J277" s="3">
        <v>0</v>
      </c>
      <c r="K277" s="3">
        <v>0</v>
      </c>
      <c r="L277" s="3">
        <v>0</v>
      </c>
      <c r="M277" s="3">
        <v>0</v>
      </c>
      <c r="N277" s="3" t="s">
        <v>160</v>
      </c>
      <c r="O277" s="3">
        <v>0</v>
      </c>
      <c r="P277" s="3">
        <v>0</v>
      </c>
      <c r="Q277" s="3">
        <v>0</v>
      </c>
      <c r="R277" s="3">
        <v>0</v>
      </c>
      <c r="S277" s="3">
        <v>12</v>
      </c>
      <c r="T277" s="3">
        <v>80</v>
      </c>
      <c r="U277" s="3">
        <v>80</v>
      </c>
      <c r="V277" s="3">
        <v>80</v>
      </c>
      <c r="W277" s="3"/>
      <c r="X277" s="3">
        <v>13.99</v>
      </c>
      <c r="Y277" s="3">
        <v>13.99</v>
      </c>
      <c r="Z277" s="3">
        <v>13.99</v>
      </c>
      <c r="AA277" s="3">
        <v>0</v>
      </c>
      <c r="AB277" s="3" t="s">
        <v>170</v>
      </c>
      <c r="AC277" s="3">
        <v>71</v>
      </c>
      <c r="AD277" s="3">
        <v>13.99</v>
      </c>
      <c r="AE277" s="3">
        <v>0</v>
      </c>
      <c r="AF277" s="3">
        <v>0</v>
      </c>
      <c r="AG277" s="3">
        <v>0</v>
      </c>
      <c r="AH277" s="3">
        <v>7.61061946902654</v>
      </c>
      <c r="AI277" s="3" t="s">
        <v>923</v>
      </c>
      <c r="AJ277" s="3" t="s">
        <v>164</v>
      </c>
    </row>
    <row r="278" spans="1:36">
      <c r="A278" s="6">
        <v>43288</v>
      </c>
      <c r="B278" s="3" t="s">
        <v>924</v>
      </c>
      <c r="C278" s="3" t="s">
        <v>925</v>
      </c>
      <c r="D278" s="3" t="s">
        <v>925</v>
      </c>
      <c r="E278" s="3" t="s">
        <v>249</v>
      </c>
      <c r="F278" s="3" t="s">
        <v>159</v>
      </c>
      <c r="G278" s="3">
        <v>2</v>
      </c>
      <c r="H278" s="3">
        <v>0</v>
      </c>
      <c r="I278" s="3">
        <v>0</v>
      </c>
      <c r="J278" s="3">
        <v>2</v>
      </c>
      <c r="K278" s="3">
        <v>0</v>
      </c>
      <c r="L278" s="3">
        <v>0</v>
      </c>
      <c r="M278" s="3">
        <v>0</v>
      </c>
      <c r="N278" s="3" t="s">
        <v>160</v>
      </c>
      <c r="O278" s="3">
        <v>0</v>
      </c>
      <c r="P278" s="3">
        <v>0</v>
      </c>
      <c r="Q278" s="3">
        <v>0</v>
      </c>
      <c r="R278" s="3">
        <v>0</v>
      </c>
      <c r="S278" s="3">
        <v>0</v>
      </c>
      <c r="T278" s="3">
        <v>0</v>
      </c>
      <c r="U278" s="3">
        <v>0</v>
      </c>
      <c r="V278" s="3">
        <v>0</v>
      </c>
      <c r="W278" s="3" t="s">
        <v>161</v>
      </c>
      <c r="X278" s="3">
        <v>45.9</v>
      </c>
      <c r="Y278" s="3">
        <v>45.9</v>
      </c>
      <c r="Z278" s="3">
        <v>45.9</v>
      </c>
      <c r="AA278" s="3">
        <v>0</v>
      </c>
      <c r="AB278" s="3" t="s">
        <v>162</v>
      </c>
      <c r="AC278" s="3">
        <v>0</v>
      </c>
      <c r="AD278" s="3">
        <v>36.72</v>
      </c>
      <c r="AE278" s="3">
        <v>63</v>
      </c>
      <c r="AF278" s="3">
        <v>0</v>
      </c>
      <c r="AG278" s="3">
        <v>7.628703</v>
      </c>
      <c r="AH278" s="3">
        <v>0</v>
      </c>
      <c r="AI278" s="3" t="s">
        <v>169</v>
      </c>
      <c r="AJ278" s="3" t="s">
        <v>164</v>
      </c>
    </row>
    <row r="279" spans="1:36">
      <c r="A279" s="6">
        <v>43288</v>
      </c>
      <c r="B279" s="3" t="s">
        <v>926</v>
      </c>
      <c r="C279" s="3" t="s">
        <v>927</v>
      </c>
      <c r="D279" s="3" t="s">
        <v>927</v>
      </c>
      <c r="E279" s="3" t="s">
        <v>275</v>
      </c>
      <c r="F279" s="3" t="s">
        <v>159</v>
      </c>
      <c r="G279" s="3">
        <v>5</v>
      </c>
      <c r="H279" s="3">
        <v>0</v>
      </c>
      <c r="I279" s="3">
        <v>0</v>
      </c>
      <c r="J279" s="3">
        <v>0</v>
      </c>
      <c r="K279" s="3">
        <v>4</v>
      </c>
      <c r="L279" s="3">
        <v>1</v>
      </c>
      <c r="M279" s="3">
        <v>0</v>
      </c>
      <c r="N279" s="3" t="s">
        <v>160</v>
      </c>
      <c r="O279" s="3">
        <v>5</v>
      </c>
      <c r="P279" s="3">
        <v>2.25</v>
      </c>
      <c r="Q279" s="3">
        <v>0</v>
      </c>
      <c r="R279" s="3">
        <v>0</v>
      </c>
      <c r="S279" s="3">
        <v>0</v>
      </c>
      <c r="T279" s="3">
        <v>0</v>
      </c>
      <c r="U279" s="3">
        <v>0</v>
      </c>
      <c r="V279" s="3">
        <v>0</v>
      </c>
      <c r="W279" s="3" t="s">
        <v>207</v>
      </c>
      <c r="X279" s="3">
        <v>20.99</v>
      </c>
      <c r="Y279" s="3">
        <v>20.99</v>
      </c>
      <c r="Z279" s="3">
        <v>20.99</v>
      </c>
      <c r="AA279" s="3">
        <v>0</v>
      </c>
      <c r="AB279" s="3" t="s">
        <v>187</v>
      </c>
      <c r="AC279" s="3">
        <v>0</v>
      </c>
      <c r="AD279" s="3">
        <v>15.44</v>
      </c>
      <c r="AE279" s="3">
        <v>364</v>
      </c>
      <c r="AF279" s="3">
        <v>0</v>
      </c>
      <c r="AG279" s="3">
        <v>48.144165</v>
      </c>
      <c r="AH279" s="3">
        <v>0</v>
      </c>
      <c r="AI279" s="3" t="s">
        <v>276</v>
      </c>
      <c r="AJ279" s="3" t="s">
        <v>174</v>
      </c>
    </row>
    <row r="280" spans="1:36">
      <c r="A280" s="6">
        <v>43288</v>
      </c>
      <c r="B280" s="3" t="s">
        <v>8</v>
      </c>
      <c r="C280" s="3" t="s">
        <v>9</v>
      </c>
      <c r="D280" s="3" t="s">
        <v>10</v>
      </c>
      <c r="E280" s="3" t="s">
        <v>11</v>
      </c>
      <c r="F280" s="3" t="s">
        <v>159</v>
      </c>
      <c r="G280" s="3">
        <v>4</v>
      </c>
      <c r="H280" s="3">
        <v>0</v>
      </c>
      <c r="I280" s="3">
        <v>4</v>
      </c>
      <c r="J280" s="3">
        <v>0</v>
      </c>
      <c r="K280" s="3">
        <v>0</v>
      </c>
      <c r="L280" s="3">
        <v>0</v>
      </c>
      <c r="M280" s="3">
        <v>0</v>
      </c>
      <c r="N280" s="3" t="s">
        <v>160</v>
      </c>
      <c r="O280" s="3">
        <v>0</v>
      </c>
      <c r="P280" s="3">
        <v>0</v>
      </c>
      <c r="Q280" s="3">
        <v>0</v>
      </c>
      <c r="R280" s="3">
        <v>0</v>
      </c>
      <c r="S280" s="3">
        <v>1</v>
      </c>
      <c r="T280" s="3">
        <v>4</v>
      </c>
      <c r="U280" s="3">
        <v>4</v>
      </c>
      <c r="V280" s="3">
        <v>4</v>
      </c>
      <c r="W280" s="3" t="s">
        <v>161</v>
      </c>
      <c r="X280" s="3">
        <v>35.99</v>
      </c>
      <c r="Y280" s="3">
        <v>35.99</v>
      </c>
      <c r="Z280" s="3">
        <v>35.99</v>
      </c>
      <c r="AA280" s="3">
        <v>0</v>
      </c>
      <c r="AB280" s="3" t="s">
        <v>162</v>
      </c>
      <c r="AC280" s="3">
        <v>6</v>
      </c>
      <c r="AD280" s="3">
        <v>35.99</v>
      </c>
      <c r="AE280" s="3">
        <v>0</v>
      </c>
      <c r="AF280" s="3">
        <v>0</v>
      </c>
      <c r="AG280" s="3">
        <v>0</v>
      </c>
      <c r="AH280" s="3">
        <v>0.615384615384615</v>
      </c>
      <c r="AI280" s="3" t="s">
        <v>928</v>
      </c>
      <c r="AJ280" s="3" t="s">
        <v>164</v>
      </c>
    </row>
    <row r="281" spans="1:36">
      <c r="A281" s="6">
        <v>43288</v>
      </c>
      <c r="B281" s="3" t="s">
        <v>35</v>
      </c>
      <c r="C281" s="3" t="s">
        <v>36</v>
      </c>
      <c r="D281" s="3" t="s">
        <v>36</v>
      </c>
      <c r="E281" s="3" t="s">
        <v>37</v>
      </c>
      <c r="F281" s="3" t="s">
        <v>159</v>
      </c>
      <c r="G281" s="3">
        <v>3</v>
      </c>
      <c r="H281" s="3">
        <v>0</v>
      </c>
      <c r="I281" s="3">
        <v>0</v>
      </c>
      <c r="J281" s="3">
        <v>1</v>
      </c>
      <c r="K281" s="3">
        <v>0</v>
      </c>
      <c r="L281" s="3">
        <v>2</v>
      </c>
      <c r="M281" s="3">
        <v>0</v>
      </c>
      <c r="N281" s="3" t="s">
        <v>160</v>
      </c>
      <c r="O281" s="3">
        <v>2</v>
      </c>
      <c r="P281" s="3">
        <v>2.7</v>
      </c>
      <c r="Q281" s="3">
        <v>0</v>
      </c>
      <c r="R281" s="3">
        <v>0</v>
      </c>
      <c r="S281" s="3">
        <v>1</v>
      </c>
      <c r="T281" s="3">
        <v>1</v>
      </c>
      <c r="U281" s="3">
        <v>1</v>
      </c>
      <c r="V281" s="3">
        <v>1</v>
      </c>
      <c r="W281" s="3"/>
      <c r="X281" s="3">
        <v>10</v>
      </c>
      <c r="Y281" s="3">
        <v>10</v>
      </c>
      <c r="Z281" s="3">
        <v>10</v>
      </c>
      <c r="AA281" s="3">
        <v>0</v>
      </c>
      <c r="AB281" s="3" t="s">
        <v>230</v>
      </c>
      <c r="AC281" s="3">
        <v>0</v>
      </c>
      <c r="AD281" s="3">
        <v>10</v>
      </c>
      <c r="AE281" s="3">
        <v>0</v>
      </c>
      <c r="AF281" s="3">
        <v>3</v>
      </c>
      <c r="AG281" s="3">
        <v>51.830453</v>
      </c>
      <c r="AH281" s="3">
        <v>0.266666666666666</v>
      </c>
      <c r="AI281" s="3" t="s">
        <v>183</v>
      </c>
      <c r="AJ281" s="3" t="s">
        <v>174</v>
      </c>
    </row>
    <row r="282" spans="1:36">
      <c r="A282" s="6">
        <v>43288</v>
      </c>
      <c r="B282" s="3" t="s">
        <v>929</v>
      </c>
      <c r="C282" s="3" t="s">
        <v>930</v>
      </c>
      <c r="D282" s="3" t="s">
        <v>930</v>
      </c>
      <c r="E282" s="3" t="s">
        <v>931</v>
      </c>
      <c r="F282" s="3" t="s">
        <v>159</v>
      </c>
      <c r="G282" s="3">
        <v>5</v>
      </c>
      <c r="H282" s="3">
        <v>0</v>
      </c>
      <c r="I282" s="3">
        <v>0</v>
      </c>
      <c r="J282" s="3">
        <v>0</v>
      </c>
      <c r="K282" s="3">
        <v>5</v>
      </c>
      <c r="L282" s="3">
        <v>0</v>
      </c>
      <c r="M282" s="3">
        <v>0</v>
      </c>
      <c r="N282" s="3" t="s">
        <v>160</v>
      </c>
      <c r="O282" s="3">
        <v>5</v>
      </c>
      <c r="P282" s="3">
        <v>6.84</v>
      </c>
      <c r="Q282" s="3">
        <v>0</v>
      </c>
      <c r="R282" s="3">
        <v>0</v>
      </c>
      <c r="S282" s="3">
        <v>0</v>
      </c>
      <c r="T282" s="3">
        <v>0</v>
      </c>
      <c r="U282" s="3">
        <v>0</v>
      </c>
      <c r="V282" s="3">
        <v>0</v>
      </c>
      <c r="W282" s="3" t="s">
        <v>207</v>
      </c>
      <c r="X282" s="3">
        <v>12</v>
      </c>
      <c r="Y282" s="3">
        <v>12</v>
      </c>
      <c r="Z282" s="3">
        <v>12</v>
      </c>
      <c r="AA282" s="3">
        <v>0</v>
      </c>
      <c r="AB282" s="3" t="s">
        <v>187</v>
      </c>
      <c r="AC282" s="3">
        <v>0</v>
      </c>
      <c r="AD282" s="3">
        <v>9.6</v>
      </c>
      <c r="AE282" s="3">
        <v>63</v>
      </c>
      <c r="AF282" s="3">
        <v>0</v>
      </c>
      <c r="AG282" s="3">
        <v>80.579982</v>
      </c>
      <c r="AH282" s="3">
        <v>0</v>
      </c>
      <c r="AI282" s="3" t="s">
        <v>241</v>
      </c>
      <c r="AJ282" s="3" t="s">
        <v>174</v>
      </c>
    </row>
    <row r="283" spans="1:36">
      <c r="A283" s="6">
        <v>43288</v>
      </c>
      <c r="B283" s="3" t="s">
        <v>932</v>
      </c>
      <c r="C283" s="3" t="s">
        <v>933</v>
      </c>
      <c r="D283" s="3" t="s">
        <v>933</v>
      </c>
      <c r="E283" s="3" t="s">
        <v>934</v>
      </c>
      <c r="F283" s="3" t="s">
        <v>159</v>
      </c>
      <c r="G283" s="3">
        <v>6</v>
      </c>
      <c r="H283" s="3">
        <v>0</v>
      </c>
      <c r="I283" s="3">
        <v>0</v>
      </c>
      <c r="J283" s="3">
        <v>0</v>
      </c>
      <c r="K283" s="3">
        <v>0</v>
      </c>
      <c r="L283" s="3">
        <v>6</v>
      </c>
      <c r="M283" s="3">
        <v>0</v>
      </c>
      <c r="N283" s="3" t="s">
        <v>160</v>
      </c>
      <c r="O283" s="3">
        <v>6</v>
      </c>
      <c r="P283" s="3">
        <v>8.08</v>
      </c>
      <c r="Q283" s="3">
        <v>0</v>
      </c>
      <c r="R283" s="3">
        <v>0</v>
      </c>
      <c r="S283" s="3">
        <v>2</v>
      </c>
      <c r="T283" s="3">
        <v>5</v>
      </c>
      <c r="U283" s="3">
        <v>5</v>
      </c>
      <c r="V283" s="3">
        <v>7</v>
      </c>
      <c r="W283" s="3"/>
      <c r="X283" s="3">
        <v>12.98</v>
      </c>
      <c r="Y283" s="3">
        <v>12.98</v>
      </c>
      <c r="Z283" s="3">
        <v>12.98</v>
      </c>
      <c r="AA283" s="3">
        <v>0</v>
      </c>
      <c r="AB283" s="3" t="s">
        <v>170</v>
      </c>
      <c r="AC283" s="3">
        <v>7</v>
      </c>
      <c r="AD283" s="3">
        <v>16.05</v>
      </c>
      <c r="AE283" s="3">
        <v>7</v>
      </c>
      <c r="AF283" s="3">
        <v>0</v>
      </c>
      <c r="AG283" s="3">
        <v>0.235123</v>
      </c>
      <c r="AH283" s="3">
        <v>0.682926829268292</v>
      </c>
      <c r="AI283" s="3" t="s">
        <v>183</v>
      </c>
      <c r="AJ283" s="3" t="s">
        <v>174</v>
      </c>
    </row>
    <row r="284" spans="1:36">
      <c r="A284" s="6">
        <v>43288</v>
      </c>
      <c r="B284" s="3" t="s">
        <v>935</v>
      </c>
      <c r="C284" s="3" t="s">
        <v>936</v>
      </c>
      <c r="D284" s="3" t="s">
        <v>936</v>
      </c>
      <c r="E284" s="3" t="s">
        <v>249</v>
      </c>
      <c r="F284" s="3" t="s">
        <v>159</v>
      </c>
      <c r="G284" s="3">
        <v>3</v>
      </c>
      <c r="H284" s="3">
        <v>0</v>
      </c>
      <c r="I284" s="3">
        <v>0</v>
      </c>
      <c r="J284" s="3">
        <v>3</v>
      </c>
      <c r="K284" s="3">
        <v>0</v>
      </c>
      <c r="L284" s="3">
        <v>0</v>
      </c>
      <c r="M284" s="3">
        <v>0</v>
      </c>
      <c r="N284" s="3" t="s">
        <v>160</v>
      </c>
      <c r="O284" s="3">
        <v>0</v>
      </c>
      <c r="P284" s="3">
        <v>0</v>
      </c>
      <c r="Q284" s="3">
        <v>0</v>
      </c>
      <c r="R284" s="3">
        <v>0</v>
      </c>
      <c r="S284" s="3">
        <v>0</v>
      </c>
      <c r="T284" s="3">
        <v>0</v>
      </c>
      <c r="U284" s="3">
        <v>0</v>
      </c>
      <c r="V284" s="3">
        <v>0</v>
      </c>
      <c r="W284" s="3" t="s">
        <v>161</v>
      </c>
      <c r="X284" s="3">
        <v>15.98</v>
      </c>
      <c r="Y284" s="3">
        <v>15.98</v>
      </c>
      <c r="Z284" s="3">
        <v>15.98</v>
      </c>
      <c r="AA284" s="3">
        <v>0</v>
      </c>
      <c r="AB284" s="3" t="s">
        <v>162</v>
      </c>
      <c r="AC284" s="3">
        <v>0</v>
      </c>
      <c r="AD284" s="3">
        <v>12.78</v>
      </c>
      <c r="AE284" s="3">
        <v>63</v>
      </c>
      <c r="AF284" s="3">
        <v>0</v>
      </c>
      <c r="AG284" s="3">
        <v>41.038247</v>
      </c>
      <c r="AH284" s="3">
        <v>0</v>
      </c>
      <c r="AI284" s="3" t="s">
        <v>937</v>
      </c>
      <c r="AJ284" s="3" t="s">
        <v>164</v>
      </c>
    </row>
    <row r="285" spans="1:36">
      <c r="A285" s="6">
        <v>43288</v>
      </c>
      <c r="B285" s="3" t="s">
        <v>55</v>
      </c>
      <c r="C285" s="3" t="s">
        <v>56</v>
      </c>
      <c r="D285" s="3" t="s">
        <v>57</v>
      </c>
      <c r="E285" s="3" t="s">
        <v>58</v>
      </c>
      <c r="F285" s="3" t="s">
        <v>159</v>
      </c>
      <c r="G285" s="3">
        <v>14</v>
      </c>
      <c r="H285" s="3">
        <v>0</v>
      </c>
      <c r="I285" s="3">
        <v>14</v>
      </c>
      <c r="J285" s="3">
        <v>0</v>
      </c>
      <c r="K285" s="3">
        <v>0</v>
      </c>
      <c r="L285" s="3">
        <v>0</v>
      </c>
      <c r="M285" s="3">
        <v>0</v>
      </c>
      <c r="N285" s="3" t="s">
        <v>160</v>
      </c>
      <c r="O285" s="3">
        <v>0</v>
      </c>
      <c r="P285" s="3">
        <v>0</v>
      </c>
      <c r="Q285" s="3">
        <v>0</v>
      </c>
      <c r="R285" s="3">
        <v>0</v>
      </c>
      <c r="S285" s="3">
        <v>3</v>
      </c>
      <c r="T285" s="3">
        <v>6</v>
      </c>
      <c r="U285" s="3">
        <v>6</v>
      </c>
      <c r="V285" s="3">
        <v>6</v>
      </c>
      <c r="W285" s="3"/>
      <c r="X285" s="3">
        <v>18.99</v>
      </c>
      <c r="Y285" s="3">
        <v>18.99</v>
      </c>
      <c r="Z285" s="3">
        <v>18</v>
      </c>
      <c r="AA285" s="3">
        <v>0</v>
      </c>
      <c r="AB285" s="3" t="s">
        <v>170</v>
      </c>
      <c r="AC285" s="3">
        <v>16</v>
      </c>
      <c r="AD285" s="3">
        <v>18.99</v>
      </c>
      <c r="AE285" s="3">
        <v>0</v>
      </c>
      <c r="AF285" s="3">
        <v>0</v>
      </c>
      <c r="AG285" s="3">
        <v>0</v>
      </c>
      <c r="AH285" s="3">
        <v>0.428571428571428</v>
      </c>
      <c r="AI285" s="3" t="s">
        <v>938</v>
      </c>
      <c r="AJ285" s="3" t="s">
        <v>164</v>
      </c>
    </row>
    <row r="286" spans="1:36">
      <c r="A286" s="6">
        <v>43288</v>
      </c>
      <c r="B286" s="3" t="s">
        <v>12</v>
      </c>
      <c r="C286" s="3" t="s">
        <v>13</v>
      </c>
      <c r="D286" s="3" t="s">
        <v>13</v>
      </c>
      <c r="E286" s="3" t="s">
        <v>14</v>
      </c>
      <c r="F286" s="3" t="s">
        <v>159</v>
      </c>
      <c r="G286" s="3">
        <v>4</v>
      </c>
      <c r="H286" s="3">
        <v>0</v>
      </c>
      <c r="I286" s="3">
        <v>4</v>
      </c>
      <c r="J286" s="3">
        <v>0</v>
      </c>
      <c r="K286" s="3">
        <v>0</v>
      </c>
      <c r="L286" s="3">
        <v>0</v>
      </c>
      <c r="M286" s="3">
        <v>0</v>
      </c>
      <c r="N286" s="3" t="s">
        <v>160</v>
      </c>
      <c r="O286" s="3">
        <v>0</v>
      </c>
      <c r="P286" s="3">
        <v>0</v>
      </c>
      <c r="Q286" s="3">
        <v>0</v>
      </c>
      <c r="R286" s="3">
        <v>0</v>
      </c>
      <c r="S286" s="3">
        <v>1</v>
      </c>
      <c r="T286" s="3">
        <v>2</v>
      </c>
      <c r="U286" s="3">
        <v>22</v>
      </c>
      <c r="V286" s="3">
        <v>30</v>
      </c>
      <c r="W286" s="3" t="s">
        <v>161</v>
      </c>
      <c r="X286" s="3">
        <v>17.9</v>
      </c>
      <c r="Y286" s="3">
        <v>17.9</v>
      </c>
      <c r="Z286" s="3">
        <v>17.9</v>
      </c>
      <c r="AA286" s="3">
        <v>0</v>
      </c>
      <c r="AB286" s="3" t="s">
        <v>162</v>
      </c>
      <c r="AC286" s="3">
        <v>0</v>
      </c>
      <c r="AD286" s="3">
        <v>0</v>
      </c>
      <c r="AE286" s="3">
        <v>0</v>
      </c>
      <c r="AF286" s="3">
        <v>0</v>
      </c>
      <c r="AG286" s="3">
        <v>0</v>
      </c>
      <c r="AH286" s="3">
        <v>5</v>
      </c>
      <c r="AI286" s="3" t="s">
        <v>939</v>
      </c>
      <c r="AJ286" s="3" t="s">
        <v>164</v>
      </c>
    </row>
    <row r="287" spans="1:36">
      <c r="A287" s="6">
        <v>43288</v>
      </c>
      <c r="B287" s="3" t="s">
        <v>940</v>
      </c>
      <c r="C287" s="3" t="s">
        <v>941</v>
      </c>
      <c r="D287" s="3" t="s">
        <v>941</v>
      </c>
      <c r="E287" s="3" t="s">
        <v>31</v>
      </c>
      <c r="F287" s="3" t="s">
        <v>159</v>
      </c>
      <c r="G287" s="3">
        <v>1</v>
      </c>
      <c r="H287" s="3">
        <v>0</v>
      </c>
      <c r="I287" s="3">
        <v>0</v>
      </c>
      <c r="J287" s="3">
        <v>1</v>
      </c>
      <c r="K287" s="3">
        <v>0</v>
      </c>
      <c r="L287" s="3">
        <v>0</v>
      </c>
      <c r="M287" s="3">
        <v>0</v>
      </c>
      <c r="N287" s="3" t="s">
        <v>160</v>
      </c>
      <c r="O287" s="3">
        <v>0</v>
      </c>
      <c r="P287" s="3">
        <v>0</v>
      </c>
      <c r="Q287" s="3">
        <v>0</v>
      </c>
      <c r="R287" s="3">
        <v>0</v>
      </c>
      <c r="S287" s="3">
        <v>0</v>
      </c>
      <c r="T287" s="3">
        <v>1</v>
      </c>
      <c r="U287" s="3">
        <v>1</v>
      </c>
      <c r="V287" s="3">
        <v>2</v>
      </c>
      <c r="W287" s="3"/>
      <c r="X287" s="3">
        <v>24.99</v>
      </c>
      <c r="Y287" s="3">
        <v>24.99</v>
      </c>
      <c r="Z287" s="3">
        <v>24.99</v>
      </c>
      <c r="AA287" s="3">
        <v>0</v>
      </c>
      <c r="AB287" s="3" t="s">
        <v>187</v>
      </c>
      <c r="AC287" s="3">
        <v>0</v>
      </c>
      <c r="AD287" s="3">
        <v>23.59</v>
      </c>
      <c r="AE287" s="3">
        <v>21</v>
      </c>
      <c r="AF287" s="3">
        <v>0</v>
      </c>
      <c r="AG287" s="3">
        <v>19.631836</v>
      </c>
      <c r="AH287" s="3">
        <v>1.14285714285714</v>
      </c>
      <c r="AI287" s="3" t="s">
        <v>253</v>
      </c>
      <c r="AJ287" s="3" t="s">
        <v>174</v>
      </c>
    </row>
    <row r="288" spans="1:36">
      <c r="A288" s="6">
        <v>43288</v>
      </c>
      <c r="B288" s="3" t="s">
        <v>942</v>
      </c>
      <c r="C288" s="3" t="s">
        <v>943</v>
      </c>
      <c r="D288" s="3" t="s">
        <v>943</v>
      </c>
      <c r="E288" s="3" t="s">
        <v>944</v>
      </c>
      <c r="F288" s="3" t="s">
        <v>159</v>
      </c>
      <c r="G288" s="3">
        <v>1</v>
      </c>
      <c r="H288" s="3">
        <v>0</v>
      </c>
      <c r="I288" s="3">
        <v>1</v>
      </c>
      <c r="J288" s="3">
        <v>0</v>
      </c>
      <c r="K288" s="3">
        <v>0</v>
      </c>
      <c r="L288" s="3">
        <v>0</v>
      </c>
      <c r="M288" s="3">
        <v>0</v>
      </c>
      <c r="N288" s="3" t="s">
        <v>160</v>
      </c>
      <c r="O288" s="3">
        <v>0</v>
      </c>
      <c r="P288" s="3">
        <v>0</v>
      </c>
      <c r="Q288" s="3">
        <v>0</v>
      </c>
      <c r="R288" s="3">
        <v>0</v>
      </c>
      <c r="S288" s="3">
        <v>1</v>
      </c>
      <c r="T288" s="3">
        <v>5</v>
      </c>
      <c r="U288" s="3">
        <v>7</v>
      </c>
      <c r="V288" s="3">
        <v>7</v>
      </c>
      <c r="W288" s="3" t="s">
        <v>161</v>
      </c>
      <c r="X288" s="3">
        <v>29.99</v>
      </c>
      <c r="Y288" s="3">
        <v>29.99</v>
      </c>
      <c r="Z288" s="3">
        <v>29.99</v>
      </c>
      <c r="AA288" s="3">
        <v>0</v>
      </c>
      <c r="AB288" s="3" t="s">
        <v>162</v>
      </c>
      <c r="AC288" s="3">
        <v>2</v>
      </c>
      <c r="AD288" s="3">
        <v>29.99</v>
      </c>
      <c r="AE288" s="3">
        <v>0</v>
      </c>
      <c r="AF288" s="3">
        <v>0</v>
      </c>
      <c r="AG288" s="3">
        <v>0</v>
      </c>
      <c r="AH288" s="3">
        <v>1.75</v>
      </c>
      <c r="AI288" s="3" t="s">
        <v>196</v>
      </c>
      <c r="AJ288" s="3" t="s">
        <v>164</v>
      </c>
    </row>
    <row r="289" spans="1:36">
      <c r="A289" s="6">
        <v>43288</v>
      </c>
      <c r="B289" s="3" t="s">
        <v>945</v>
      </c>
      <c r="C289" s="3" t="s">
        <v>946</v>
      </c>
      <c r="D289" s="3" t="s">
        <v>946</v>
      </c>
      <c r="E289" s="3" t="s">
        <v>947</v>
      </c>
      <c r="F289" s="3" t="s">
        <v>159</v>
      </c>
      <c r="G289" s="3">
        <v>9</v>
      </c>
      <c r="H289" s="3">
        <v>0</v>
      </c>
      <c r="I289" s="3">
        <v>0</v>
      </c>
      <c r="J289" s="3">
        <v>7</v>
      </c>
      <c r="K289" s="3">
        <v>0</v>
      </c>
      <c r="L289" s="3">
        <v>2</v>
      </c>
      <c r="M289" s="3">
        <v>0</v>
      </c>
      <c r="N289" s="3" t="s">
        <v>160</v>
      </c>
      <c r="O289" s="3">
        <v>2</v>
      </c>
      <c r="P289" s="3">
        <v>3.11</v>
      </c>
      <c r="Q289" s="3">
        <v>0</v>
      </c>
      <c r="R289" s="3">
        <v>0</v>
      </c>
      <c r="S289" s="3">
        <v>0</v>
      </c>
      <c r="T289" s="3">
        <v>0</v>
      </c>
      <c r="U289" s="3">
        <v>0</v>
      </c>
      <c r="V289" s="3">
        <v>0</v>
      </c>
      <c r="W289" s="3" t="s">
        <v>207</v>
      </c>
      <c r="X289" s="3">
        <v>22.98</v>
      </c>
      <c r="Y289" s="3">
        <v>22.98</v>
      </c>
      <c r="Z289" s="3">
        <v>22.98</v>
      </c>
      <c r="AA289" s="3">
        <v>0</v>
      </c>
      <c r="AB289" s="3" t="s">
        <v>187</v>
      </c>
      <c r="AC289" s="3">
        <v>0</v>
      </c>
      <c r="AD289" s="3">
        <v>17.03</v>
      </c>
      <c r="AE289" s="3">
        <v>364</v>
      </c>
      <c r="AF289" s="3">
        <v>0</v>
      </c>
      <c r="AG289" s="3">
        <v>162.266789</v>
      </c>
      <c r="AH289" s="3">
        <v>0</v>
      </c>
      <c r="AI289" s="3" t="s">
        <v>948</v>
      </c>
      <c r="AJ289" s="3" t="s">
        <v>174</v>
      </c>
    </row>
    <row r="290" spans="1:36">
      <c r="A290" s="6">
        <v>43288</v>
      </c>
      <c r="B290" s="3" t="s">
        <v>63</v>
      </c>
      <c r="C290" s="3" t="s">
        <v>64</v>
      </c>
      <c r="D290" s="3" t="s">
        <v>65</v>
      </c>
      <c r="E290" s="3" t="s">
        <v>66</v>
      </c>
      <c r="F290" s="3" t="s">
        <v>159</v>
      </c>
      <c r="G290" s="3">
        <v>19</v>
      </c>
      <c r="H290" s="3">
        <v>0</v>
      </c>
      <c r="I290" s="3">
        <v>19</v>
      </c>
      <c r="J290" s="3">
        <v>0</v>
      </c>
      <c r="K290" s="3">
        <v>0</v>
      </c>
      <c r="L290" s="3">
        <v>0</v>
      </c>
      <c r="M290" s="3">
        <v>0</v>
      </c>
      <c r="N290" s="3" t="s">
        <v>160</v>
      </c>
      <c r="O290" s="3">
        <v>0</v>
      </c>
      <c r="P290" s="3">
        <v>0</v>
      </c>
      <c r="Q290" s="3">
        <v>0</v>
      </c>
      <c r="R290" s="3">
        <v>0</v>
      </c>
      <c r="S290" s="3">
        <v>0</v>
      </c>
      <c r="T290" s="3">
        <v>1</v>
      </c>
      <c r="U290" s="3">
        <v>1</v>
      </c>
      <c r="V290" s="3">
        <v>1</v>
      </c>
      <c r="W290" s="3"/>
      <c r="X290" s="3">
        <v>25.99</v>
      </c>
      <c r="Y290" s="3">
        <v>25.99</v>
      </c>
      <c r="Z290" s="3">
        <v>24</v>
      </c>
      <c r="AA290" s="3">
        <v>0</v>
      </c>
      <c r="AB290" s="3" t="s">
        <v>170</v>
      </c>
      <c r="AC290" s="3">
        <v>19</v>
      </c>
      <c r="AD290" s="3">
        <v>25.99</v>
      </c>
      <c r="AE290" s="3">
        <v>0</v>
      </c>
      <c r="AF290" s="3">
        <v>0</v>
      </c>
      <c r="AG290" s="3">
        <v>0</v>
      </c>
      <c r="AH290" s="3">
        <v>0.0526315789473684</v>
      </c>
      <c r="AI290" s="3" t="s">
        <v>949</v>
      </c>
      <c r="AJ290" s="3" t="s">
        <v>164</v>
      </c>
    </row>
    <row r="291" spans="1:36">
      <c r="A291" s="6">
        <v>43288</v>
      </c>
      <c r="B291" s="3" t="s">
        <v>32</v>
      </c>
      <c r="C291" s="3" t="s">
        <v>33</v>
      </c>
      <c r="D291" s="3" t="s">
        <v>33</v>
      </c>
      <c r="E291" s="3" t="s">
        <v>34</v>
      </c>
      <c r="F291" s="3" t="s">
        <v>159</v>
      </c>
      <c r="G291" s="3">
        <v>9</v>
      </c>
      <c r="H291" s="3">
        <v>0</v>
      </c>
      <c r="I291" s="3">
        <v>0</v>
      </c>
      <c r="J291" s="3">
        <v>0</v>
      </c>
      <c r="K291" s="3">
        <v>9</v>
      </c>
      <c r="L291" s="3">
        <v>0</v>
      </c>
      <c r="M291" s="3">
        <v>0</v>
      </c>
      <c r="N291" s="3" t="s">
        <v>160</v>
      </c>
      <c r="O291" s="3">
        <v>9</v>
      </c>
      <c r="P291" s="3">
        <v>14.77</v>
      </c>
      <c r="Q291" s="3">
        <v>0</v>
      </c>
      <c r="R291" s="3">
        <v>0</v>
      </c>
      <c r="S291" s="3">
        <v>0</v>
      </c>
      <c r="T291" s="3">
        <v>0</v>
      </c>
      <c r="U291" s="3">
        <v>1</v>
      </c>
      <c r="V291" s="3">
        <v>1</v>
      </c>
      <c r="W291" s="3" t="s">
        <v>207</v>
      </c>
      <c r="X291" s="3">
        <v>19.98</v>
      </c>
      <c r="Y291" s="3">
        <v>19.98</v>
      </c>
      <c r="Z291" s="3">
        <v>19.98</v>
      </c>
      <c r="AA291" s="3">
        <v>0</v>
      </c>
      <c r="AB291" s="3" t="s">
        <v>187</v>
      </c>
      <c r="AC291" s="3">
        <v>0</v>
      </c>
      <c r="AD291" s="3">
        <v>16.16</v>
      </c>
      <c r="AE291" s="3">
        <v>217</v>
      </c>
      <c r="AF291" s="3">
        <v>0</v>
      </c>
      <c r="AG291" s="3">
        <v>210.34154</v>
      </c>
      <c r="AH291" s="3">
        <v>0.105263157894736</v>
      </c>
      <c r="AI291" s="3" t="s">
        <v>497</v>
      </c>
      <c r="AJ291" s="3" t="s">
        <v>174</v>
      </c>
    </row>
    <row r="292" spans="1:36">
      <c r="A292" s="6">
        <v>43288</v>
      </c>
      <c r="B292" s="3" t="s">
        <v>950</v>
      </c>
      <c r="C292" s="3" t="s">
        <v>951</v>
      </c>
      <c r="D292" s="3" t="s">
        <v>951</v>
      </c>
      <c r="E292" s="3" t="s">
        <v>952</v>
      </c>
      <c r="F292" s="3" t="s">
        <v>159</v>
      </c>
      <c r="G292" s="3">
        <v>13</v>
      </c>
      <c r="H292" s="3">
        <v>0</v>
      </c>
      <c r="I292" s="3">
        <v>0</v>
      </c>
      <c r="J292" s="3">
        <v>0</v>
      </c>
      <c r="K292" s="3">
        <v>0</v>
      </c>
      <c r="L292" s="3">
        <v>13</v>
      </c>
      <c r="M292" s="3">
        <v>0</v>
      </c>
      <c r="N292" s="3" t="s">
        <v>160</v>
      </c>
      <c r="O292" s="3">
        <v>13</v>
      </c>
      <c r="P292" s="3">
        <v>17.51</v>
      </c>
      <c r="Q292" s="3">
        <v>0</v>
      </c>
      <c r="R292" s="3">
        <v>0</v>
      </c>
      <c r="S292" s="3">
        <v>0</v>
      </c>
      <c r="T292" s="3">
        <v>0</v>
      </c>
      <c r="U292" s="3">
        <v>0</v>
      </c>
      <c r="V292" s="3">
        <v>1</v>
      </c>
      <c r="W292" s="3" t="s">
        <v>207</v>
      </c>
      <c r="X292" s="3">
        <v>10</v>
      </c>
      <c r="Y292" s="3">
        <v>10</v>
      </c>
      <c r="Z292" s="3">
        <v>10</v>
      </c>
      <c r="AA292" s="3">
        <v>0</v>
      </c>
      <c r="AB292" s="3" t="s">
        <v>187</v>
      </c>
      <c r="AC292" s="3">
        <v>3</v>
      </c>
      <c r="AD292" s="3">
        <v>8.53</v>
      </c>
      <c r="AE292" s="3">
        <v>35</v>
      </c>
      <c r="AF292" s="3">
        <v>0</v>
      </c>
      <c r="AG292" s="3">
        <v>228.771629</v>
      </c>
      <c r="AH292" s="3">
        <v>0.0754716981132075</v>
      </c>
      <c r="AI292" s="3" t="s">
        <v>183</v>
      </c>
      <c r="AJ292" s="3" t="s">
        <v>174</v>
      </c>
    </row>
    <row r="293" spans="1:36">
      <c r="A293" s="6">
        <v>43288</v>
      </c>
      <c r="B293" s="3" t="s">
        <v>107</v>
      </c>
      <c r="C293" s="3" t="s">
        <v>108</v>
      </c>
      <c r="D293" s="3" t="s">
        <v>109</v>
      </c>
      <c r="E293" s="3" t="s">
        <v>110</v>
      </c>
      <c r="F293" s="3" t="s">
        <v>159</v>
      </c>
      <c r="G293" s="3">
        <v>20</v>
      </c>
      <c r="H293" s="3">
        <v>0</v>
      </c>
      <c r="I293" s="3">
        <v>20</v>
      </c>
      <c r="J293" s="3">
        <v>0</v>
      </c>
      <c r="K293" s="3">
        <v>0</v>
      </c>
      <c r="L293" s="3">
        <v>0</v>
      </c>
      <c r="M293" s="3">
        <v>0</v>
      </c>
      <c r="N293" s="3" t="s">
        <v>160</v>
      </c>
      <c r="O293" s="3">
        <v>0</v>
      </c>
      <c r="P293" s="3">
        <v>0</v>
      </c>
      <c r="Q293" s="3">
        <v>0</v>
      </c>
      <c r="R293" s="3">
        <v>0</v>
      </c>
      <c r="S293" s="3">
        <v>4</v>
      </c>
      <c r="T293" s="3">
        <v>6</v>
      </c>
      <c r="U293" s="3">
        <v>6</v>
      </c>
      <c r="V293" s="3">
        <v>6</v>
      </c>
      <c r="W293" s="3"/>
      <c r="X293" s="3">
        <v>24.99</v>
      </c>
      <c r="Y293" s="3">
        <v>24.99</v>
      </c>
      <c r="Z293" s="3">
        <v>23</v>
      </c>
      <c r="AA293" s="3">
        <v>0</v>
      </c>
      <c r="AB293" s="3" t="s">
        <v>170</v>
      </c>
      <c r="AC293" s="3">
        <v>22</v>
      </c>
      <c r="AD293" s="3">
        <v>24.99</v>
      </c>
      <c r="AE293" s="3">
        <v>0</v>
      </c>
      <c r="AF293" s="3">
        <v>0</v>
      </c>
      <c r="AG293" s="3">
        <v>0</v>
      </c>
      <c r="AH293" s="3">
        <v>2.87179487179487</v>
      </c>
      <c r="AI293" s="3" t="s">
        <v>749</v>
      </c>
      <c r="AJ293" s="3" t="s">
        <v>164</v>
      </c>
    </row>
    <row r="294" spans="1:36">
      <c r="A294" s="6">
        <v>43288</v>
      </c>
      <c r="B294" s="3" t="s">
        <v>953</v>
      </c>
      <c r="C294" s="3" t="s">
        <v>954</v>
      </c>
      <c r="D294" s="3" t="s">
        <v>954</v>
      </c>
      <c r="E294" s="3" t="s">
        <v>186</v>
      </c>
      <c r="F294" s="3" t="s">
        <v>159</v>
      </c>
      <c r="G294" s="3">
        <v>3</v>
      </c>
      <c r="H294" s="3">
        <v>0</v>
      </c>
      <c r="I294" s="3">
        <v>1</v>
      </c>
      <c r="J294" s="3">
        <v>0</v>
      </c>
      <c r="K294" s="3">
        <v>2</v>
      </c>
      <c r="L294" s="3">
        <v>0</v>
      </c>
      <c r="M294" s="3">
        <v>0</v>
      </c>
      <c r="N294" s="3" t="s">
        <v>160</v>
      </c>
      <c r="O294" s="3">
        <v>2</v>
      </c>
      <c r="P294" s="3">
        <v>0</v>
      </c>
      <c r="Q294" s="3">
        <v>0</v>
      </c>
      <c r="R294" s="3">
        <v>0</v>
      </c>
      <c r="S294" s="3">
        <v>0</v>
      </c>
      <c r="T294" s="3">
        <v>0</v>
      </c>
      <c r="U294" s="3">
        <v>0</v>
      </c>
      <c r="V294" s="3">
        <v>1</v>
      </c>
      <c r="W294" s="3" t="s">
        <v>161</v>
      </c>
      <c r="X294" s="3">
        <v>12</v>
      </c>
      <c r="Y294" s="3">
        <v>12</v>
      </c>
      <c r="Z294" s="3">
        <v>12</v>
      </c>
      <c r="AA294" s="3">
        <v>0</v>
      </c>
      <c r="AB294" s="3" t="s">
        <v>170</v>
      </c>
      <c r="AC294" s="3">
        <v>3</v>
      </c>
      <c r="AD294" s="3">
        <v>12</v>
      </c>
      <c r="AE294" s="3">
        <v>0</v>
      </c>
      <c r="AF294" s="3">
        <v>0</v>
      </c>
      <c r="AG294" s="3">
        <v>0</v>
      </c>
      <c r="AH294" s="3">
        <v>0.333333333333333</v>
      </c>
      <c r="AI294" s="3" t="s">
        <v>188</v>
      </c>
      <c r="AJ294" s="3" t="s">
        <v>174</v>
      </c>
    </row>
    <row r="295" spans="1:36">
      <c r="A295" s="6">
        <v>43288</v>
      </c>
      <c r="B295" s="3" t="s">
        <v>955</v>
      </c>
      <c r="C295" s="3" t="s">
        <v>956</v>
      </c>
      <c r="D295" s="3" t="s">
        <v>956</v>
      </c>
      <c r="E295" s="3" t="s">
        <v>957</v>
      </c>
      <c r="F295" s="3" t="s">
        <v>159</v>
      </c>
      <c r="G295" s="3">
        <v>9</v>
      </c>
      <c r="H295" s="3">
        <v>0</v>
      </c>
      <c r="I295" s="3">
        <v>0</v>
      </c>
      <c r="J295" s="3">
        <v>0</v>
      </c>
      <c r="K295" s="3">
        <v>1</v>
      </c>
      <c r="L295" s="3">
        <v>8</v>
      </c>
      <c r="M295" s="3">
        <v>0</v>
      </c>
      <c r="N295" s="3" t="s">
        <v>160</v>
      </c>
      <c r="O295" s="3">
        <v>9</v>
      </c>
      <c r="P295" s="3">
        <v>12.12</v>
      </c>
      <c r="Q295" s="3">
        <v>0</v>
      </c>
      <c r="R295" s="3">
        <v>0</v>
      </c>
      <c r="S295" s="3">
        <v>1</v>
      </c>
      <c r="T295" s="3">
        <v>1</v>
      </c>
      <c r="U295" s="3">
        <v>3</v>
      </c>
      <c r="V295" s="3">
        <v>3</v>
      </c>
      <c r="W295" s="3"/>
      <c r="X295" s="3">
        <v>10</v>
      </c>
      <c r="Y295" s="3">
        <v>10</v>
      </c>
      <c r="Z295" s="3">
        <v>10</v>
      </c>
      <c r="AA295" s="3">
        <v>0</v>
      </c>
      <c r="AB295" s="3" t="s">
        <v>170</v>
      </c>
      <c r="AC295" s="3">
        <v>0</v>
      </c>
      <c r="AD295" s="3">
        <v>10</v>
      </c>
      <c r="AE295" s="3">
        <v>63</v>
      </c>
      <c r="AF295" s="3">
        <v>0</v>
      </c>
      <c r="AG295" s="3">
        <v>119.247247</v>
      </c>
      <c r="AH295" s="3">
        <v>0.27906976744186</v>
      </c>
      <c r="AI295" s="3" t="s">
        <v>183</v>
      </c>
      <c r="AJ295" s="3" t="s">
        <v>174</v>
      </c>
    </row>
    <row r="296" spans="1:36">
      <c r="A296" s="6">
        <v>43288</v>
      </c>
      <c r="B296" s="3" t="s">
        <v>958</v>
      </c>
      <c r="C296" s="3" t="s">
        <v>959</v>
      </c>
      <c r="D296" s="3" t="s">
        <v>959</v>
      </c>
      <c r="E296" s="3" t="s">
        <v>76</v>
      </c>
      <c r="F296" s="3" t="s">
        <v>159</v>
      </c>
      <c r="G296" s="3">
        <v>10</v>
      </c>
      <c r="H296" s="3">
        <v>0</v>
      </c>
      <c r="I296" s="3">
        <v>10</v>
      </c>
      <c r="J296" s="3">
        <v>0</v>
      </c>
      <c r="K296" s="3">
        <v>0</v>
      </c>
      <c r="L296" s="3">
        <v>0</v>
      </c>
      <c r="M296" s="3">
        <v>0</v>
      </c>
      <c r="N296" s="3" t="s">
        <v>160</v>
      </c>
      <c r="O296" s="3">
        <v>0</v>
      </c>
      <c r="P296" s="3">
        <v>0</v>
      </c>
      <c r="Q296" s="3">
        <v>0</v>
      </c>
      <c r="R296" s="3">
        <v>0</v>
      </c>
      <c r="S296" s="3">
        <v>1</v>
      </c>
      <c r="T296" s="3">
        <v>1</v>
      </c>
      <c r="U296" s="3">
        <v>4</v>
      </c>
      <c r="V296" s="3">
        <v>7</v>
      </c>
      <c r="W296" s="3" t="s">
        <v>161</v>
      </c>
      <c r="X296" s="3">
        <v>9.9</v>
      </c>
      <c r="Y296" s="3">
        <v>9.9</v>
      </c>
      <c r="Z296" s="3">
        <v>9.9</v>
      </c>
      <c r="AA296" s="3">
        <v>0</v>
      </c>
      <c r="AB296" s="3" t="s">
        <v>162</v>
      </c>
      <c r="AC296" s="3">
        <v>0</v>
      </c>
      <c r="AD296" s="3">
        <v>5.99</v>
      </c>
      <c r="AE296" s="3">
        <v>70</v>
      </c>
      <c r="AF296" s="3">
        <v>0</v>
      </c>
      <c r="AG296" s="3">
        <v>40.614887</v>
      </c>
      <c r="AH296" s="3">
        <v>0.736842105263157</v>
      </c>
      <c r="AI296" s="3" t="s">
        <v>566</v>
      </c>
      <c r="AJ296" s="3" t="s">
        <v>164</v>
      </c>
    </row>
    <row r="297" spans="1:36">
      <c r="A297" s="6">
        <v>43288</v>
      </c>
      <c r="B297" s="3" t="s">
        <v>960</v>
      </c>
      <c r="C297" s="3" t="s">
        <v>961</v>
      </c>
      <c r="D297" s="3" t="s">
        <v>961</v>
      </c>
      <c r="E297" s="3" t="s">
        <v>962</v>
      </c>
      <c r="F297" s="3" t="s">
        <v>159</v>
      </c>
      <c r="G297" s="3">
        <v>4</v>
      </c>
      <c r="H297" s="3">
        <v>0</v>
      </c>
      <c r="I297" s="3">
        <v>0</v>
      </c>
      <c r="J297" s="3">
        <v>4</v>
      </c>
      <c r="K297" s="3">
        <v>0</v>
      </c>
      <c r="L297" s="3">
        <v>0</v>
      </c>
      <c r="M297" s="3">
        <v>0</v>
      </c>
      <c r="N297" s="3" t="s">
        <v>160</v>
      </c>
      <c r="O297" s="3">
        <v>0</v>
      </c>
      <c r="P297" s="3">
        <v>0</v>
      </c>
      <c r="Q297" s="3">
        <v>0</v>
      </c>
      <c r="R297" s="3">
        <v>0</v>
      </c>
      <c r="S297" s="3">
        <v>0</v>
      </c>
      <c r="T297" s="3">
        <v>0</v>
      </c>
      <c r="U297" s="3">
        <v>0</v>
      </c>
      <c r="V297" s="3">
        <v>0</v>
      </c>
      <c r="W297" s="3" t="s">
        <v>161</v>
      </c>
      <c r="X297" s="3">
        <v>9.5</v>
      </c>
      <c r="Y297" s="3">
        <v>9.5</v>
      </c>
      <c r="Z297" s="3">
        <v>9.5</v>
      </c>
      <c r="AA297" s="3">
        <v>0</v>
      </c>
      <c r="AB297" s="3" t="s">
        <v>162</v>
      </c>
      <c r="AC297" s="3">
        <v>0</v>
      </c>
      <c r="AD297" s="3">
        <v>9.5</v>
      </c>
      <c r="AE297" s="3">
        <v>63</v>
      </c>
      <c r="AF297" s="3">
        <v>0</v>
      </c>
      <c r="AG297" s="3">
        <v>3.437302</v>
      </c>
      <c r="AH297" s="3">
        <v>0</v>
      </c>
      <c r="AI297" s="3" t="s">
        <v>192</v>
      </c>
      <c r="AJ297" s="3" t="s">
        <v>164</v>
      </c>
    </row>
    <row r="298" spans="1:36">
      <c r="A298" s="6">
        <v>43288</v>
      </c>
      <c r="B298" s="3" t="s">
        <v>963</v>
      </c>
      <c r="C298" s="3" t="s">
        <v>964</v>
      </c>
      <c r="D298" s="3" t="s">
        <v>964</v>
      </c>
      <c r="E298" s="3" t="s">
        <v>186</v>
      </c>
      <c r="F298" s="3" t="s">
        <v>159</v>
      </c>
      <c r="G298" s="3">
        <v>3</v>
      </c>
      <c r="H298" s="3">
        <v>0</v>
      </c>
      <c r="I298" s="3">
        <v>0</v>
      </c>
      <c r="J298" s="3">
        <v>0</v>
      </c>
      <c r="K298" s="3">
        <v>3</v>
      </c>
      <c r="L298" s="3">
        <v>0</v>
      </c>
      <c r="M298" s="3">
        <v>0</v>
      </c>
      <c r="N298" s="3" t="s">
        <v>160</v>
      </c>
      <c r="O298" s="3">
        <v>3</v>
      </c>
      <c r="P298" s="3">
        <v>0</v>
      </c>
      <c r="Q298" s="3">
        <v>0</v>
      </c>
      <c r="R298" s="3">
        <v>0</v>
      </c>
      <c r="S298" s="3">
        <v>0</v>
      </c>
      <c r="T298" s="3">
        <v>0</v>
      </c>
      <c r="U298" s="3">
        <v>0</v>
      </c>
      <c r="V298" s="3">
        <v>0</v>
      </c>
      <c r="W298" s="3" t="s">
        <v>161</v>
      </c>
      <c r="X298" s="3">
        <v>12</v>
      </c>
      <c r="Y298" s="3">
        <v>12</v>
      </c>
      <c r="Z298" s="3">
        <v>12</v>
      </c>
      <c r="AA298" s="3">
        <v>0</v>
      </c>
      <c r="AB298" s="3" t="s">
        <v>187</v>
      </c>
      <c r="AC298" s="3">
        <v>0</v>
      </c>
      <c r="AD298" s="3">
        <v>9.6</v>
      </c>
      <c r="AE298" s="3">
        <v>63</v>
      </c>
      <c r="AF298" s="3">
        <v>0</v>
      </c>
      <c r="AG298" s="3">
        <v>2.907135</v>
      </c>
      <c r="AH298" s="3">
        <v>0</v>
      </c>
      <c r="AI298" s="3" t="s">
        <v>188</v>
      </c>
      <c r="AJ298" s="3" t="s">
        <v>164</v>
      </c>
    </row>
    <row r="299" spans="1:36">
      <c r="A299" s="6">
        <v>43288</v>
      </c>
      <c r="B299" s="3" t="s">
        <v>965</v>
      </c>
      <c r="C299" s="3" t="s">
        <v>966</v>
      </c>
      <c r="D299" s="3" t="s">
        <v>966</v>
      </c>
      <c r="E299" s="3" t="s">
        <v>967</v>
      </c>
      <c r="F299" s="3" t="s">
        <v>159</v>
      </c>
      <c r="G299" s="3">
        <v>12</v>
      </c>
      <c r="H299" s="3">
        <v>0</v>
      </c>
      <c r="I299" s="3">
        <v>0</v>
      </c>
      <c r="J299" s="3">
        <v>0</v>
      </c>
      <c r="K299" s="3">
        <v>0</v>
      </c>
      <c r="L299" s="3">
        <v>12</v>
      </c>
      <c r="M299" s="3">
        <v>0</v>
      </c>
      <c r="N299" s="3" t="s">
        <v>160</v>
      </c>
      <c r="O299" s="3">
        <v>12</v>
      </c>
      <c r="P299" s="3">
        <v>16.16</v>
      </c>
      <c r="Q299" s="3">
        <v>0</v>
      </c>
      <c r="R299" s="3">
        <v>0</v>
      </c>
      <c r="S299" s="3">
        <v>0</v>
      </c>
      <c r="T299" s="3">
        <v>0</v>
      </c>
      <c r="U299" s="3">
        <v>0</v>
      </c>
      <c r="V299" s="3">
        <v>0</v>
      </c>
      <c r="W299" s="3" t="s">
        <v>207</v>
      </c>
      <c r="X299" s="3">
        <v>19.98</v>
      </c>
      <c r="Y299" s="3">
        <v>19.98</v>
      </c>
      <c r="Z299" s="3">
        <v>19.98</v>
      </c>
      <c r="AA299" s="3">
        <v>0</v>
      </c>
      <c r="AB299" s="3" t="s">
        <v>187</v>
      </c>
      <c r="AC299" s="3">
        <v>0</v>
      </c>
      <c r="AD299" s="3">
        <v>10</v>
      </c>
      <c r="AE299" s="3">
        <v>364</v>
      </c>
      <c r="AF299" s="3">
        <v>0</v>
      </c>
      <c r="AG299" s="3">
        <v>203.196909</v>
      </c>
      <c r="AH299" s="3">
        <v>0</v>
      </c>
      <c r="AI299" s="3" t="s">
        <v>183</v>
      </c>
      <c r="AJ299" s="3" t="s">
        <v>174</v>
      </c>
    </row>
    <row r="300" spans="1:36">
      <c r="A300" s="6">
        <v>43288</v>
      </c>
      <c r="B300" s="3" t="s">
        <v>968</v>
      </c>
      <c r="C300" s="3" t="s">
        <v>969</v>
      </c>
      <c r="D300" s="3" t="s">
        <v>969</v>
      </c>
      <c r="E300" s="3" t="s">
        <v>186</v>
      </c>
      <c r="F300" s="3" t="s">
        <v>159</v>
      </c>
      <c r="G300" s="3">
        <v>1</v>
      </c>
      <c r="H300" s="3">
        <v>0</v>
      </c>
      <c r="I300" s="3">
        <v>0</v>
      </c>
      <c r="J300" s="3">
        <v>0</v>
      </c>
      <c r="K300" s="3">
        <v>1</v>
      </c>
      <c r="L300" s="3">
        <v>0</v>
      </c>
      <c r="M300" s="3">
        <v>0</v>
      </c>
      <c r="N300" s="3" t="s">
        <v>160</v>
      </c>
      <c r="O300" s="3">
        <v>1</v>
      </c>
      <c r="P300" s="3">
        <v>0</v>
      </c>
      <c r="Q300" s="3">
        <v>0</v>
      </c>
      <c r="R300" s="3">
        <v>0</v>
      </c>
      <c r="S300" s="3">
        <v>0</v>
      </c>
      <c r="T300" s="3">
        <v>0</v>
      </c>
      <c r="U300" s="3">
        <v>0</v>
      </c>
      <c r="V300" s="3">
        <v>0</v>
      </c>
      <c r="W300" s="3" t="s">
        <v>161</v>
      </c>
      <c r="X300" s="3">
        <v>12</v>
      </c>
      <c r="Y300" s="3">
        <v>12</v>
      </c>
      <c r="Z300" s="3">
        <v>12</v>
      </c>
      <c r="AA300" s="3">
        <v>0</v>
      </c>
      <c r="AB300" s="3" t="s">
        <v>170</v>
      </c>
      <c r="AC300" s="3">
        <v>1</v>
      </c>
      <c r="AD300" s="3">
        <v>12</v>
      </c>
      <c r="AE300" s="3">
        <v>0</v>
      </c>
      <c r="AF300" s="3">
        <v>0</v>
      </c>
      <c r="AG300" s="3">
        <v>0</v>
      </c>
      <c r="AH300" s="3">
        <v>0</v>
      </c>
      <c r="AI300" s="3" t="s">
        <v>188</v>
      </c>
      <c r="AJ300" s="3" t="s">
        <v>164</v>
      </c>
    </row>
    <row r="301" spans="1:36">
      <c r="A301" s="6">
        <v>43288</v>
      </c>
      <c r="B301" s="3" t="s">
        <v>970</v>
      </c>
      <c r="C301" s="3" t="s">
        <v>971</v>
      </c>
      <c r="D301" s="3" t="s">
        <v>971</v>
      </c>
      <c r="E301" s="3" t="s">
        <v>972</v>
      </c>
      <c r="F301" s="3" t="s">
        <v>159</v>
      </c>
      <c r="G301" s="3">
        <v>6</v>
      </c>
      <c r="H301" s="3">
        <v>0</v>
      </c>
      <c r="I301" s="3">
        <v>0</v>
      </c>
      <c r="J301" s="3">
        <v>1</v>
      </c>
      <c r="K301" s="3">
        <v>2</v>
      </c>
      <c r="L301" s="3">
        <v>3</v>
      </c>
      <c r="M301" s="3">
        <v>0</v>
      </c>
      <c r="N301" s="3" t="s">
        <v>160</v>
      </c>
      <c r="O301" s="3">
        <v>6</v>
      </c>
      <c r="P301" s="3">
        <v>8.08</v>
      </c>
      <c r="Q301" s="3">
        <v>0</v>
      </c>
      <c r="R301" s="3">
        <v>0</v>
      </c>
      <c r="S301" s="3">
        <v>0</v>
      </c>
      <c r="T301" s="3">
        <v>0</v>
      </c>
      <c r="U301" s="3">
        <v>1</v>
      </c>
      <c r="V301" s="3">
        <v>1</v>
      </c>
      <c r="W301" s="3" t="s">
        <v>207</v>
      </c>
      <c r="X301" s="3">
        <v>19.98</v>
      </c>
      <c r="Y301" s="3">
        <v>19.98</v>
      </c>
      <c r="Z301" s="3">
        <v>19.98</v>
      </c>
      <c r="AA301" s="3">
        <v>0</v>
      </c>
      <c r="AB301" s="3" t="s">
        <v>187</v>
      </c>
      <c r="AC301" s="3">
        <v>2</v>
      </c>
      <c r="AD301" s="3">
        <v>17.59</v>
      </c>
      <c r="AE301" s="3">
        <v>119</v>
      </c>
      <c r="AF301" s="3">
        <v>0</v>
      </c>
      <c r="AG301" s="3">
        <v>8.190968</v>
      </c>
      <c r="AH301" s="3">
        <v>0.153846153846153</v>
      </c>
      <c r="AI301" s="3" t="s">
        <v>183</v>
      </c>
      <c r="AJ301" s="3" t="s">
        <v>174</v>
      </c>
    </row>
    <row r="302" spans="1:36">
      <c r="A302" s="6">
        <v>43288</v>
      </c>
      <c r="B302" s="3" t="s">
        <v>973</v>
      </c>
      <c r="C302" s="3" t="s">
        <v>974</v>
      </c>
      <c r="D302" s="3" t="s">
        <v>974</v>
      </c>
      <c r="E302" s="3" t="s">
        <v>186</v>
      </c>
      <c r="F302" s="3" t="s">
        <v>159</v>
      </c>
      <c r="G302" s="3">
        <v>3</v>
      </c>
      <c r="H302" s="3">
        <v>0</v>
      </c>
      <c r="I302" s="3">
        <v>0</v>
      </c>
      <c r="J302" s="3">
        <v>0</v>
      </c>
      <c r="K302" s="3">
        <v>3</v>
      </c>
      <c r="L302" s="3">
        <v>0</v>
      </c>
      <c r="M302" s="3">
        <v>0</v>
      </c>
      <c r="N302" s="3" t="s">
        <v>160</v>
      </c>
      <c r="O302" s="3">
        <v>3</v>
      </c>
      <c r="P302" s="3">
        <v>0</v>
      </c>
      <c r="Q302" s="3">
        <v>0</v>
      </c>
      <c r="R302" s="3">
        <v>0</v>
      </c>
      <c r="S302" s="3">
        <v>0</v>
      </c>
      <c r="T302" s="3">
        <v>0</v>
      </c>
      <c r="U302" s="3">
        <v>0</v>
      </c>
      <c r="V302" s="3">
        <v>0</v>
      </c>
      <c r="W302" s="3" t="s">
        <v>161</v>
      </c>
      <c r="X302" s="3">
        <v>12</v>
      </c>
      <c r="Y302" s="3">
        <v>12</v>
      </c>
      <c r="Z302" s="3">
        <v>12</v>
      </c>
      <c r="AA302" s="3">
        <v>0</v>
      </c>
      <c r="AB302" s="3" t="s">
        <v>187</v>
      </c>
      <c r="AC302" s="3">
        <v>0</v>
      </c>
      <c r="AD302" s="3">
        <v>9.6</v>
      </c>
      <c r="AE302" s="3">
        <v>63</v>
      </c>
      <c r="AF302" s="3">
        <v>0</v>
      </c>
      <c r="AG302" s="3">
        <v>2.907135</v>
      </c>
      <c r="AH302" s="3">
        <v>0</v>
      </c>
      <c r="AI302" s="3" t="s">
        <v>188</v>
      </c>
      <c r="AJ302" s="3" t="s">
        <v>164</v>
      </c>
    </row>
    <row r="303" spans="1:36">
      <c r="A303" s="6">
        <v>43288</v>
      </c>
      <c r="B303" s="3" t="s">
        <v>975</v>
      </c>
      <c r="C303" s="3" t="s">
        <v>976</v>
      </c>
      <c r="D303" s="3" t="s">
        <v>642</v>
      </c>
      <c r="E303" s="3" t="s">
        <v>643</v>
      </c>
      <c r="F303" s="3" t="s">
        <v>159</v>
      </c>
      <c r="G303" s="3">
        <v>53</v>
      </c>
      <c r="H303" s="3">
        <v>0</v>
      </c>
      <c r="I303" s="3">
        <v>53</v>
      </c>
      <c r="J303" s="3">
        <v>0</v>
      </c>
      <c r="K303" s="3">
        <v>0</v>
      </c>
      <c r="L303" s="3">
        <v>0</v>
      </c>
      <c r="M303" s="3">
        <v>0</v>
      </c>
      <c r="N303" s="3" t="s">
        <v>160</v>
      </c>
      <c r="O303" s="3">
        <v>0</v>
      </c>
      <c r="P303" s="3">
        <v>0</v>
      </c>
      <c r="Q303" s="3">
        <v>0</v>
      </c>
      <c r="R303" s="3">
        <v>0</v>
      </c>
      <c r="S303" s="3">
        <v>0</v>
      </c>
      <c r="T303" s="3">
        <v>7</v>
      </c>
      <c r="U303" s="3">
        <v>7</v>
      </c>
      <c r="V303" s="3">
        <v>7</v>
      </c>
      <c r="W303" s="3"/>
      <c r="X303" s="3">
        <v>13.99</v>
      </c>
      <c r="Y303" s="3">
        <v>13.99</v>
      </c>
      <c r="Z303" s="3">
        <v>12.99</v>
      </c>
      <c r="AA303" s="3">
        <v>0</v>
      </c>
      <c r="AB303" s="3" t="s">
        <v>170</v>
      </c>
      <c r="AC303" s="3">
        <v>53</v>
      </c>
      <c r="AD303" s="3">
        <v>13.99</v>
      </c>
      <c r="AE303" s="3">
        <v>0</v>
      </c>
      <c r="AF303" s="3">
        <v>0</v>
      </c>
      <c r="AG303" s="3">
        <v>0</v>
      </c>
      <c r="AH303" s="3">
        <v>3.27659574468085</v>
      </c>
      <c r="AI303" s="3" t="s">
        <v>644</v>
      </c>
      <c r="AJ303" s="3" t="s">
        <v>164</v>
      </c>
    </row>
    <row r="304" spans="1:36">
      <c r="A304" s="6">
        <v>43288</v>
      </c>
      <c r="B304" s="3" t="s">
        <v>977</v>
      </c>
      <c r="C304" s="3" t="s">
        <v>978</v>
      </c>
      <c r="D304" s="3" t="s">
        <v>978</v>
      </c>
      <c r="E304" s="3" t="s">
        <v>979</v>
      </c>
      <c r="F304" s="3" t="s">
        <v>159</v>
      </c>
      <c r="G304" s="3">
        <v>1</v>
      </c>
      <c r="H304" s="3">
        <v>0</v>
      </c>
      <c r="I304" s="3">
        <v>0</v>
      </c>
      <c r="J304" s="3">
        <v>1</v>
      </c>
      <c r="K304" s="3">
        <v>0</v>
      </c>
      <c r="L304" s="3">
        <v>0</v>
      </c>
      <c r="M304" s="3">
        <v>0</v>
      </c>
      <c r="N304" s="3" t="s">
        <v>160</v>
      </c>
      <c r="O304" s="3">
        <v>0</v>
      </c>
      <c r="P304" s="3">
        <v>0</v>
      </c>
      <c r="Q304" s="3">
        <v>0</v>
      </c>
      <c r="R304" s="3">
        <v>0</v>
      </c>
      <c r="S304" s="3">
        <v>1</v>
      </c>
      <c r="T304" s="3">
        <v>1</v>
      </c>
      <c r="U304" s="3">
        <v>1</v>
      </c>
      <c r="V304" s="3">
        <v>3</v>
      </c>
      <c r="W304" s="3" t="s">
        <v>161</v>
      </c>
      <c r="X304" s="3">
        <v>9.99</v>
      </c>
      <c r="Y304" s="3">
        <v>8.99</v>
      </c>
      <c r="Z304" s="3">
        <v>8.99</v>
      </c>
      <c r="AA304" s="3">
        <v>0</v>
      </c>
      <c r="AB304" s="3" t="s">
        <v>980</v>
      </c>
      <c r="AC304" s="3">
        <v>2</v>
      </c>
      <c r="AD304" s="3">
        <v>9.5</v>
      </c>
      <c r="AE304" s="3">
        <v>0</v>
      </c>
      <c r="AF304" s="3">
        <v>0</v>
      </c>
      <c r="AG304" s="3">
        <v>0</v>
      </c>
      <c r="AH304" s="3">
        <v>1.33333333333333</v>
      </c>
      <c r="AI304" s="3" t="s">
        <v>196</v>
      </c>
      <c r="AJ304" s="3" t="s">
        <v>164</v>
      </c>
    </row>
    <row r="305" spans="1:36">
      <c r="A305" s="6">
        <v>43288</v>
      </c>
      <c r="B305" s="3" t="s">
        <v>981</v>
      </c>
      <c r="C305" s="3" t="s">
        <v>982</v>
      </c>
      <c r="D305" s="3" t="s">
        <v>982</v>
      </c>
      <c r="E305" s="3" t="s">
        <v>320</v>
      </c>
      <c r="F305" s="3" t="s">
        <v>159</v>
      </c>
      <c r="G305" s="3">
        <v>2</v>
      </c>
      <c r="H305" s="3">
        <v>0</v>
      </c>
      <c r="I305" s="3">
        <v>0</v>
      </c>
      <c r="J305" s="3">
        <v>0</v>
      </c>
      <c r="K305" s="3">
        <v>1</v>
      </c>
      <c r="L305" s="3">
        <v>1</v>
      </c>
      <c r="M305" s="3">
        <v>0</v>
      </c>
      <c r="N305" s="3" t="s">
        <v>160</v>
      </c>
      <c r="O305" s="3">
        <v>2</v>
      </c>
      <c r="P305" s="3">
        <v>1.48</v>
      </c>
      <c r="Q305" s="3">
        <v>0</v>
      </c>
      <c r="R305" s="3">
        <v>0</v>
      </c>
      <c r="S305" s="3">
        <v>0</v>
      </c>
      <c r="T305" s="3">
        <v>0</v>
      </c>
      <c r="U305" s="3">
        <v>1</v>
      </c>
      <c r="V305" s="3">
        <v>2</v>
      </c>
      <c r="W305" s="3" t="s">
        <v>207</v>
      </c>
      <c r="X305" s="3">
        <v>24.99</v>
      </c>
      <c r="Y305" s="3">
        <v>24.99</v>
      </c>
      <c r="Z305" s="3">
        <v>24.99</v>
      </c>
      <c r="AA305" s="3">
        <v>0</v>
      </c>
      <c r="AB305" s="3" t="s">
        <v>187</v>
      </c>
      <c r="AC305" s="3">
        <v>0</v>
      </c>
      <c r="AD305" s="3">
        <v>23.42</v>
      </c>
      <c r="AE305" s="3">
        <v>77</v>
      </c>
      <c r="AF305" s="3">
        <v>0</v>
      </c>
      <c r="AG305" s="3">
        <v>34.205235</v>
      </c>
      <c r="AH305" s="3">
        <v>0.727272727272727</v>
      </c>
      <c r="AI305" s="3" t="s">
        <v>253</v>
      </c>
      <c r="AJ305" s="3" t="s">
        <v>164</v>
      </c>
    </row>
    <row r="306" spans="1:36">
      <c r="A306" s="6">
        <v>43288</v>
      </c>
      <c r="B306" s="3" t="s">
        <v>983</v>
      </c>
      <c r="C306" s="3" t="s">
        <v>984</v>
      </c>
      <c r="D306" s="3" t="s">
        <v>984</v>
      </c>
      <c r="E306" s="3" t="s">
        <v>913</v>
      </c>
      <c r="F306" s="3" t="s">
        <v>159</v>
      </c>
      <c r="G306" s="3">
        <v>2</v>
      </c>
      <c r="H306" s="3">
        <v>0</v>
      </c>
      <c r="I306" s="3">
        <v>0</v>
      </c>
      <c r="J306" s="3">
        <v>0</v>
      </c>
      <c r="K306" s="3">
        <v>2</v>
      </c>
      <c r="L306" s="3">
        <v>0</v>
      </c>
      <c r="M306" s="3">
        <v>0</v>
      </c>
      <c r="N306" s="3" t="s">
        <v>160</v>
      </c>
      <c r="O306" s="3">
        <v>2</v>
      </c>
      <c r="P306" s="3">
        <v>0.2</v>
      </c>
      <c r="Q306" s="3">
        <v>0</v>
      </c>
      <c r="R306" s="3">
        <v>0</v>
      </c>
      <c r="S306" s="3">
        <v>0</v>
      </c>
      <c r="T306" s="3">
        <v>0</v>
      </c>
      <c r="U306" s="3">
        <v>0</v>
      </c>
      <c r="V306" s="3">
        <v>0</v>
      </c>
      <c r="W306" s="3" t="s">
        <v>207</v>
      </c>
      <c r="X306" s="3">
        <v>10</v>
      </c>
      <c r="Y306" s="3">
        <v>10</v>
      </c>
      <c r="Z306" s="3">
        <v>10</v>
      </c>
      <c r="AA306" s="3">
        <v>0</v>
      </c>
      <c r="AB306" s="3" t="s">
        <v>170</v>
      </c>
      <c r="AC306" s="3">
        <v>0</v>
      </c>
      <c r="AD306" s="3">
        <v>13.8</v>
      </c>
      <c r="AE306" s="3">
        <v>161</v>
      </c>
      <c r="AF306" s="3">
        <v>0</v>
      </c>
      <c r="AG306" s="3">
        <v>16.711688</v>
      </c>
      <c r="AH306" s="3">
        <v>0</v>
      </c>
      <c r="AI306" s="3" t="s">
        <v>203</v>
      </c>
      <c r="AJ306" s="3" t="s">
        <v>164</v>
      </c>
    </row>
    <row r="307" spans="1:36">
      <c r="A307" s="4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</row>
    <row r="308" spans="1:36">
      <c r="A308" s="4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</row>
    <row r="309" spans="1:33">
      <c r="A309" s="4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</row>
    <row r="310" spans="1:33">
      <c r="A310" s="4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</row>
    <row r="311" spans="1:33">
      <c r="A311" s="4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</row>
    <row r="312" spans="1:33">
      <c r="A312" s="4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</row>
    <row r="313" spans="1:33">
      <c r="A313" s="4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</row>
    <row r="314" spans="1:33">
      <c r="A314" s="4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</row>
    <row r="315" spans="1:33">
      <c r="A315" s="4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</row>
    <row r="316" spans="1:33">
      <c r="A316" s="4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</row>
    <row r="317" spans="1:33">
      <c r="A317" s="4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</row>
    <row r="318" spans="1:33">
      <c r="A318" s="4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</row>
    <row r="319" spans="1:33">
      <c r="A319" s="4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</row>
    <row r="320" spans="1:33">
      <c r="A320" s="4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</row>
    <row r="321" spans="1:33">
      <c r="A321" s="4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</row>
    <row r="322" spans="1:33">
      <c r="A322" s="4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</row>
    <row r="323" spans="1:33">
      <c r="A323" s="4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</row>
    <row r="324" spans="1:33">
      <c r="A324" s="4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</row>
    <row r="325" spans="1:33">
      <c r="A325" s="4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</row>
    <row r="326" spans="1:33">
      <c r="A326" s="4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</row>
    <row r="327" spans="1:33">
      <c r="A327" s="4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</row>
    <row r="328" spans="1:33">
      <c r="A328" s="4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</row>
    <row r="329" spans="1:33">
      <c r="A329" s="4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</row>
    <row r="330" spans="1:33">
      <c r="A330" s="4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</row>
    <row r="331" spans="1:33">
      <c r="A331" s="4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</row>
    <row r="332" spans="1:33">
      <c r="A332" s="4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</row>
    <row r="333" spans="1:33">
      <c r="A333" s="4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</row>
    <row r="334" spans="1:33">
      <c r="A334" s="4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</row>
    <row r="335" spans="1:33">
      <c r="A335" s="4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</row>
    <row r="336" spans="1:33">
      <c r="A336" s="4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</row>
    <row r="337" spans="1:33">
      <c r="A337" s="4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</row>
    <row r="338" spans="1:33">
      <c r="A338" s="4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</row>
    <row r="339" spans="1:33">
      <c r="A339" s="4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</row>
    <row r="340" spans="1:33">
      <c r="A340" s="4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</row>
    <row r="341" spans="1:33">
      <c r="A341" s="4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</row>
    <row r="342" spans="1:33">
      <c r="A342" s="4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</row>
    <row r="343" spans="1:33">
      <c r="A343" s="4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</row>
    <row r="344" spans="1:33">
      <c r="A344" s="4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</row>
    <row r="345" spans="1:33">
      <c r="A345" s="4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</row>
    <row r="346" spans="1:33">
      <c r="A346" s="4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</row>
    <row r="347" spans="1:33">
      <c r="A347" s="4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</row>
    <row r="348" spans="1:33">
      <c r="A348" s="4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</row>
    <row r="349" spans="1:33">
      <c r="A349" s="4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</row>
    <row r="350" spans="1:33">
      <c r="A350" s="4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</row>
    <row r="351" spans="1:33">
      <c r="A351" s="4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</row>
    <row r="352" spans="1:33">
      <c r="A352" s="4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</row>
    <row r="353" spans="1:33">
      <c r="A353" s="4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</row>
    <row r="354" spans="1:33">
      <c r="A354" s="4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</row>
    <row r="355" spans="1:33">
      <c r="A355" s="4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</row>
    <row r="356" spans="1:33">
      <c r="A356" s="4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</row>
    <row r="357" spans="1:33">
      <c r="A357" s="4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</row>
    <row r="358" spans="1:33">
      <c r="A358" s="4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</row>
    <row r="359" spans="1:33">
      <c r="A359" s="4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</row>
    <row r="360" spans="1:33">
      <c r="A360" s="4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</row>
    <row r="361" spans="1:33">
      <c r="A361" s="4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</row>
    <row r="362" spans="1:33">
      <c r="A362" s="4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</row>
    <row r="363" spans="1:33">
      <c r="A363" s="4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</row>
    <row r="364" spans="1:33">
      <c r="A364" s="4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</row>
    <row r="365" spans="1:33">
      <c r="A365" s="4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</row>
    <row r="366" spans="1:33">
      <c r="A366" s="4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</row>
    <row r="367" spans="1:33">
      <c r="A367" s="4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</row>
    <row r="368" spans="1:33">
      <c r="A368" s="4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</row>
    <row r="369" spans="1:33">
      <c r="A369" s="4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</row>
    <row r="370" spans="1:33">
      <c r="A370" s="4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</row>
    <row r="371" spans="1:33">
      <c r="A371" s="4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</row>
    <row r="372" spans="1:33">
      <c r="A372" s="4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</row>
    <row r="373" spans="1:33">
      <c r="A373" s="4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</row>
    <row r="374" spans="1:1">
      <c r="A374" s="7"/>
    </row>
    <row r="375" spans="1:1">
      <c r="A375" s="7"/>
    </row>
    <row r="376" spans="1:1">
      <c r="A376" s="7"/>
    </row>
    <row r="377" spans="1:1">
      <c r="A377" s="7"/>
    </row>
    <row r="378" spans="1:1">
      <c r="A378" s="7"/>
    </row>
    <row r="379" spans="1:1">
      <c r="A379" s="7"/>
    </row>
    <row r="380" spans="1:1">
      <c r="A380" s="7"/>
    </row>
    <row r="381" spans="1:1">
      <c r="A381" s="7"/>
    </row>
    <row r="382" spans="1:1">
      <c r="A382" s="7"/>
    </row>
    <row r="383" spans="1:1">
      <c r="A383" s="7"/>
    </row>
    <row r="384" spans="1:1">
      <c r="A384" s="7"/>
    </row>
    <row r="385" spans="1:1">
      <c r="A385" s="7"/>
    </row>
    <row r="386" spans="1:1">
      <c r="A386" s="7"/>
    </row>
    <row r="387" spans="1:1">
      <c r="A387" s="7"/>
    </row>
    <row r="388" spans="1:1">
      <c r="A388" s="7"/>
    </row>
    <row r="389" spans="1:1">
      <c r="A389" s="7"/>
    </row>
    <row r="390" spans="1:1">
      <c r="A390" s="7"/>
    </row>
    <row r="391" spans="1:1">
      <c r="A391" s="7"/>
    </row>
    <row r="392" spans="1:1">
      <c r="A392" s="7"/>
    </row>
    <row r="393" spans="1:1">
      <c r="A393" s="7"/>
    </row>
    <row r="394" spans="1:1">
      <c r="A394" s="7"/>
    </row>
    <row r="395" spans="1:1">
      <c r="A395" s="7"/>
    </row>
    <row r="396" spans="1:1">
      <c r="A396" s="7"/>
    </row>
    <row r="397" spans="1:1">
      <c r="A397" s="7"/>
    </row>
    <row r="398" spans="1:1">
      <c r="A398" s="7"/>
    </row>
    <row r="399" spans="1:1">
      <c r="A399" s="7"/>
    </row>
    <row r="400" spans="1:1">
      <c r="A400" s="7"/>
    </row>
    <row r="401" spans="1:1">
      <c r="A401" s="7"/>
    </row>
    <row r="402" spans="1:1">
      <c r="A402" s="7"/>
    </row>
    <row r="403" spans="1:1">
      <c r="A403" s="7"/>
    </row>
    <row r="404" spans="1:1">
      <c r="A404" s="7"/>
    </row>
    <row r="405" spans="1:1">
      <c r="A405" s="7"/>
    </row>
    <row r="406" spans="1:1">
      <c r="A406" s="7"/>
    </row>
    <row r="407" spans="1:1">
      <c r="A407" s="7"/>
    </row>
    <row r="408" spans="1:1">
      <c r="A408" s="7"/>
    </row>
    <row r="409" spans="1:1">
      <c r="A409" s="7"/>
    </row>
    <row r="410" spans="1:1">
      <c r="A410" s="7"/>
    </row>
    <row r="411" spans="1:1">
      <c r="A411" s="7"/>
    </row>
    <row r="412" spans="1:1">
      <c r="A412" s="7"/>
    </row>
    <row r="413" spans="1:1">
      <c r="A413" s="7"/>
    </row>
    <row r="414" spans="1:1">
      <c r="A414" s="7"/>
    </row>
    <row r="415" spans="1:1">
      <c r="A415" s="7"/>
    </row>
    <row r="416" spans="1:1">
      <c r="A416" s="7"/>
    </row>
    <row r="417" spans="1:1">
      <c r="A417" s="7"/>
    </row>
    <row r="418" spans="1:1">
      <c r="A418" s="7"/>
    </row>
    <row r="419" spans="1:1">
      <c r="A419" s="7"/>
    </row>
    <row r="420" spans="1:1">
      <c r="A420" s="7"/>
    </row>
    <row r="421" spans="1:1">
      <c r="A421" s="7"/>
    </row>
    <row r="422" spans="1:1">
      <c r="A422" s="7"/>
    </row>
    <row r="423" spans="1:1">
      <c r="A423" s="7"/>
    </row>
    <row r="424" spans="1:1">
      <c r="A424" s="7"/>
    </row>
    <row r="425" spans="1:1">
      <c r="A425" s="7"/>
    </row>
    <row r="426" spans="1:1">
      <c r="A426" s="7"/>
    </row>
    <row r="427" spans="1:1">
      <c r="A427" s="7"/>
    </row>
    <row r="428" spans="1:1">
      <c r="A428" s="7"/>
    </row>
    <row r="429" spans="1:1">
      <c r="A429" s="7"/>
    </row>
    <row r="430" spans="1:1">
      <c r="A430" s="7"/>
    </row>
    <row r="431" spans="1:1">
      <c r="A431" s="7"/>
    </row>
    <row r="432" spans="1:1">
      <c r="A432" s="7"/>
    </row>
    <row r="433" spans="1:1">
      <c r="A433" s="7"/>
    </row>
    <row r="434" spans="1:1">
      <c r="A434" s="7"/>
    </row>
    <row r="435" spans="1:1">
      <c r="A435" s="7"/>
    </row>
    <row r="436" spans="1:1">
      <c r="A436" s="7"/>
    </row>
    <row r="437" spans="1:1">
      <c r="A437" s="7"/>
    </row>
    <row r="438" spans="1:1">
      <c r="A438" s="7"/>
    </row>
    <row r="439" spans="1:1">
      <c r="A439" s="7"/>
    </row>
    <row r="440" spans="1:1">
      <c r="A440" s="7"/>
    </row>
    <row r="441" spans="1:1">
      <c r="A441" s="7"/>
    </row>
    <row r="442" spans="1:1">
      <c r="A442" s="7"/>
    </row>
    <row r="443" spans="1:1">
      <c r="A443" s="7"/>
    </row>
    <row r="444" spans="1:1">
      <c r="A444" s="7"/>
    </row>
    <row r="445" spans="1:1">
      <c r="A445" s="7"/>
    </row>
    <row r="446" spans="1:1">
      <c r="A446" s="7"/>
    </row>
    <row r="447" spans="1:1">
      <c r="A447" s="7"/>
    </row>
    <row r="448" spans="1:1">
      <c r="A448" s="7"/>
    </row>
    <row r="449" spans="1:1">
      <c r="A449" s="7"/>
    </row>
    <row r="450" spans="1:1">
      <c r="A450" s="7"/>
    </row>
    <row r="451" spans="1:1">
      <c r="A451" s="7"/>
    </row>
    <row r="452" spans="1:1">
      <c r="A452" s="7"/>
    </row>
    <row r="453" spans="1:1">
      <c r="A453" s="7"/>
    </row>
    <row r="454" spans="1:1">
      <c r="A454" s="7"/>
    </row>
    <row r="455" spans="1:1">
      <c r="A455" s="7"/>
    </row>
    <row r="456" spans="1:1">
      <c r="A456" s="7"/>
    </row>
    <row r="457" spans="1:1">
      <c r="A457" s="7"/>
    </row>
    <row r="458" spans="1:1">
      <c r="A458" s="7"/>
    </row>
    <row r="459" spans="1:1">
      <c r="A459" s="7"/>
    </row>
    <row r="460" spans="1:1">
      <c r="A460" s="7"/>
    </row>
    <row r="461" spans="1:1">
      <c r="A461" s="7"/>
    </row>
    <row r="462" spans="1:1">
      <c r="A462" s="7"/>
    </row>
    <row r="463" spans="1:1">
      <c r="A463" s="7"/>
    </row>
    <row r="464" spans="1:1">
      <c r="A464" s="7"/>
    </row>
    <row r="465" spans="1:1">
      <c r="A465" s="7"/>
    </row>
    <row r="466" spans="1:1">
      <c r="A466" s="7"/>
    </row>
    <row r="467" spans="1:1">
      <c r="A467" s="7"/>
    </row>
    <row r="468" spans="1:1">
      <c r="A468" s="7"/>
    </row>
    <row r="469" spans="1:1">
      <c r="A469" s="7"/>
    </row>
    <row r="470" spans="1:1">
      <c r="A470" s="7"/>
    </row>
    <row r="471" spans="1:1">
      <c r="A471" s="7"/>
    </row>
    <row r="472" spans="1:1">
      <c r="A472" s="7"/>
    </row>
    <row r="473" spans="1:1">
      <c r="A473" s="7"/>
    </row>
    <row r="474" spans="1:1">
      <c r="A474" s="7"/>
    </row>
    <row r="475" spans="1:1">
      <c r="A475" s="7"/>
    </row>
    <row r="476" spans="1:1">
      <c r="A476" s="7"/>
    </row>
    <row r="477" spans="1:1">
      <c r="A477" s="7"/>
    </row>
    <row r="478" spans="1:1">
      <c r="A478" s="7"/>
    </row>
    <row r="479" spans="1:1">
      <c r="A479" s="7"/>
    </row>
    <row r="480" spans="1:1">
      <c r="A480" s="7"/>
    </row>
    <row r="481" spans="1:1">
      <c r="A481" s="7"/>
    </row>
    <row r="482" spans="1:1">
      <c r="A482" s="7"/>
    </row>
    <row r="483" spans="1:1">
      <c r="A483" s="7"/>
    </row>
    <row r="484" spans="1:1">
      <c r="A484" s="7"/>
    </row>
    <row r="485" spans="1:1">
      <c r="A485" s="7"/>
    </row>
    <row r="486" spans="1:1">
      <c r="A486" s="7"/>
    </row>
    <row r="487" spans="1:1">
      <c r="A487" s="7"/>
    </row>
    <row r="488" spans="1:1">
      <c r="A488" s="7"/>
    </row>
    <row r="489" spans="1:1">
      <c r="A489" s="7"/>
    </row>
    <row r="490" spans="1:1">
      <c r="A490" s="7"/>
    </row>
    <row r="491" spans="1:1">
      <c r="A491" s="7"/>
    </row>
    <row r="492" spans="1:1">
      <c r="A492" s="7"/>
    </row>
    <row r="493" spans="1:1">
      <c r="A493" s="7"/>
    </row>
    <row r="494" spans="1:1">
      <c r="A494" s="7"/>
    </row>
    <row r="495" spans="1:1">
      <c r="A495" s="7"/>
    </row>
    <row r="496" spans="1:1">
      <c r="A496" s="7"/>
    </row>
    <row r="497" spans="1:1">
      <c r="A497" s="7"/>
    </row>
    <row r="498" spans="1:1">
      <c r="A498" s="7"/>
    </row>
    <row r="499" spans="1:1">
      <c r="A499" s="7"/>
    </row>
    <row r="500" spans="1:1">
      <c r="A500" s="7"/>
    </row>
    <row r="501" spans="1:1">
      <c r="A501" s="7"/>
    </row>
    <row r="502" spans="1:1">
      <c r="A502" s="7"/>
    </row>
    <row r="503" spans="1:1">
      <c r="A503" s="7"/>
    </row>
    <row r="504" spans="1:1">
      <c r="A504" s="7"/>
    </row>
    <row r="505" spans="1:1">
      <c r="A505" s="7"/>
    </row>
    <row r="506" spans="1:1">
      <c r="A506" s="7"/>
    </row>
    <row r="507" spans="1:1">
      <c r="A507" s="7"/>
    </row>
    <row r="508" spans="1:1">
      <c r="A508" s="7"/>
    </row>
    <row r="509" spans="1:1">
      <c r="A509" s="7"/>
    </row>
    <row r="510" spans="1:1">
      <c r="A510" s="7"/>
    </row>
    <row r="511" spans="1:1">
      <c r="A511" s="7"/>
    </row>
    <row r="512" spans="1:1">
      <c r="A512" s="7"/>
    </row>
    <row r="513" spans="1:1">
      <c r="A513" s="7"/>
    </row>
    <row r="514" spans="1:1">
      <c r="A514" s="7"/>
    </row>
    <row r="515" spans="1:1">
      <c r="A515" s="7"/>
    </row>
    <row r="516" spans="1:1">
      <c r="A516" s="7"/>
    </row>
    <row r="517" spans="1:1">
      <c r="A517" s="7"/>
    </row>
    <row r="518" spans="1:1">
      <c r="A518" s="7"/>
    </row>
    <row r="519" spans="1:1">
      <c r="A519" s="7"/>
    </row>
    <row r="520" spans="1:1">
      <c r="A520" s="7"/>
    </row>
    <row r="521" spans="1:1">
      <c r="A521" s="7"/>
    </row>
    <row r="522" spans="1:1">
      <c r="A522" s="7"/>
    </row>
    <row r="523" spans="1:1">
      <c r="A523" s="7"/>
    </row>
    <row r="524" spans="1:1">
      <c r="A524" s="7"/>
    </row>
    <row r="525" spans="1:1">
      <c r="A525" s="7"/>
    </row>
    <row r="526" spans="1:1">
      <c r="A526" s="7"/>
    </row>
    <row r="527" spans="1:1">
      <c r="A527" s="7"/>
    </row>
    <row r="528" spans="1:1">
      <c r="A528" s="7"/>
    </row>
    <row r="529" spans="1:1">
      <c r="A529" s="7"/>
    </row>
    <row r="530" spans="1:1">
      <c r="A530" s="7"/>
    </row>
    <row r="531" spans="1:1">
      <c r="A531" s="7"/>
    </row>
    <row r="532" spans="1:1">
      <c r="A532" s="7"/>
    </row>
    <row r="533" spans="1:1">
      <c r="A533" s="7"/>
    </row>
    <row r="534" spans="1:1">
      <c r="A534" s="7"/>
    </row>
    <row r="535" spans="1:1">
      <c r="A535" s="7"/>
    </row>
    <row r="536" spans="1:1">
      <c r="A536" s="7"/>
    </row>
    <row r="537" spans="1:1">
      <c r="A537" s="7"/>
    </row>
    <row r="538" spans="1:1">
      <c r="A538" s="7"/>
    </row>
    <row r="539" spans="1:1">
      <c r="A539" s="7"/>
    </row>
    <row r="540" spans="1:1">
      <c r="A540" s="7"/>
    </row>
    <row r="541" spans="1:1">
      <c r="A541" s="7"/>
    </row>
    <row r="542" spans="1:1">
      <c r="A542" s="7"/>
    </row>
    <row r="543" spans="1:1">
      <c r="A543" s="7"/>
    </row>
    <row r="544" spans="1:1">
      <c r="A544" s="7"/>
    </row>
    <row r="545" spans="1:1">
      <c r="A545" s="7"/>
    </row>
    <row r="546" spans="1:1">
      <c r="A546" s="7"/>
    </row>
    <row r="547" spans="1:1">
      <c r="A547" s="7"/>
    </row>
    <row r="548" spans="1:1">
      <c r="A548" s="7"/>
    </row>
    <row r="549" spans="1:1">
      <c r="A549" s="7"/>
    </row>
    <row r="550" spans="1:1">
      <c r="A550" s="7"/>
    </row>
    <row r="551" spans="1:1">
      <c r="A551" s="7"/>
    </row>
    <row r="552" spans="1:1">
      <c r="A552" s="7"/>
    </row>
    <row r="553" spans="1:1">
      <c r="A553" s="7"/>
    </row>
    <row r="554" spans="1:1">
      <c r="A554" s="7"/>
    </row>
    <row r="555" spans="1:1">
      <c r="A555" s="7"/>
    </row>
    <row r="556" spans="1:1">
      <c r="A556" s="7"/>
    </row>
    <row r="557" spans="1:1">
      <c r="A557" s="7"/>
    </row>
    <row r="558" spans="1:1">
      <c r="A558" s="7"/>
    </row>
    <row r="559" spans="1:1">
      <c r="A559" s="7"/>
    </row>
    <row r="560" spans="1:1">
      <c r="A560" s="7"/>
    </row>
    <row r="561" spans="1:1">
      <c r="A561" s="7"/>
    </row>
    <row r="562" spans="1:1">
      <c r="A562" s="7"/>
    </row>
    <row r="563" spans="1:1">
      <c r="A563" s="7"/>
    </row>
    <row r="564" spans="1:1">
      <c r="A564" s="7"/>
    </row>
    <row r="565" spans="1:1">
      <c r="A565" s="7"/>
    </row>
    <row r="566" spans="1:1">
      <c r="A566" s="7"/>
    </row>
    <row r="567" spans="1:1">
      <c r="A567" s="7"/>
    </row>
    <row r="568" spans="1:1">
      <c r="A568" s="7"/>
    </row>
    <row r="569" spans="1:1">
      <c r="A569" s="7"/>
    </row>
    <row r="570" spans="1:1">
      <c r="A570" s="7"/>
    </row>
    <row r="571" spans="1:1">
      <c r="A571" s="7"/>
    </row>
    <row r="572" spans="1:1">
      <c r="A572" s="7"/>
    </row>
    <row r="573" spans="1:1">
      <c r="A573" s="7"/>
    </row>
    <row r="574" spans="1:1">
      <c r="A574" s="7"/>
    </row>
    <row r="575" spans="1:1">
      <c r="A575" s="7"/>
    </row>
    <row r="576" spans="1:1">
      <c r="A576" s="7"/>
    </row>
    <row r="577" spans="1:1">
      <c r="A577" s="7"/>
    </row>
    <row r="578" spans="1:1">
      <c r="A578" s="7"/>
    </row>
    <row r="579" spans="1:1">
      <c r="A579" s="7"/>
    </row>
    <row r="580" spans="1:1">
      <c r="A580" s="7"/>
    </row>
    <row r="581" spans="1:1">
      <c r="A581" s="7"/>
    </row>
    <row r="582" spans="1:1">
      <c r="A582" s="7"/>
    </row>
    <row r="583" spans="1:1">
      <c r="A583" s="7"/>
    </row>
    <row r="584" spans="1:1">
      <c r="A584" s="7"/>
    </row>
    <row r="585" spans="1:1">
      <c r="A585" s="7"/>
    </row>
    <row r="586" spans="1:1">
      <c r="A586" s="7"/>
    </row>
    <row r="587" spans="1:1">
      <c r="A587" s="7"/>
    </row>
    <row r="588" spans="1:1">
      <c r="A588" s="7"/>
    </row>
    <row r="589" spans="1:1">
      <c r="A589" s="7"/>
    </row>
    <row r="590" spans="1:1">
      <c r="A590" s="7"/>
    </row>
    <row r="591" spans="1:1">
      <c r="A591" s="7"/>
    </row>
    <row r="592" spans="1:1">
      <c r="A592" s="7"/>
    </row>
    <row r="593" spans="1:1">
      <c r="A593" s="7"/>
    </row>
    <row r="594" spans="1:1">
      <c r="A594" s="7"/>
    </row>
    <row r="595" spans="1:1">
      <c r="A595" s="7"/>
    </row>
    <row r="596" spans="1:1">
      <c r="A596" s="7"/>
    </row>
    <row r="597" spans="1:1">
      <c r="A597" s="7"/>
    </row>
    <row r="598" spans="1:1">
      <c r="A598" s="7"/>
    </row>
    <row r="599" spans="1:1">
      <c r="A599" s="7"/>
    </row>
    <row r="600" spans="1:1">
      <c r="A600" s="7"/>
    </row>
    <row r="601" spans="1:1">
      <c r="A601" s="7"/>
    </row>
    <row r="602" spans="1:1">
      <c r="A602" s="7"/>
    </row>
    <row r="603" spans="1:1">
      <c r="A603" s="7"/>
    </row>
    <row r="604" spans="1:1">
      <c r="A604" s="7"/>
    </row>
    <row r="605" spans="1:1">
      <c r="A605" s="7"/>
    </row>
    <row r="606" spans="1:1">
      <c r="A606" s="7"/>
    </row>
    <row r="607" spans="1:1">
      <c r="A607" s="7"/>
    </row>
    <row r="608" spans="1:1">
      <c r="A608" s="7"/>
    </row>
    <row r="609" spans="1:1">
      <c r="A609" s="7"/>
    </row>
    <row r="610" spans="1:1">
      <c r="A610" s="7"/>
    </row>
    <row r="611" spans="1:1">
      <c r="A611" s="7"/>
    </row>
    <row r="612" spans="1:1">
      <c r="A612" s="7"/>
    </row>
    <row r="613" spans="1:1">
      <c r="A613" s="7"/>
    </row>
    <row r="614" spans="1:1">
      <c r="A614" s="7"/>
    </row>
    <row r="615" spans="1:1">
      <c r="A615" s="7"/>
    </row>
    <row r="616" spans="1:1">
      <c r="A616" s="7"/>
    </row>
    <row r="617" spans="1:1">
      <c r="A617" s="7"/>
    </row>
    <row r="618" spans="1:1">
      <c r="A618" s="7"/>
    </row>
    <row r="619" spans="1:1">
      <c r="A619" s="7"/>
    </row>
    <row r="620" spans="1:1">
      <c r="A620" s="7"/>
    </row>
    <row r="621" spans="1:1">
      <c r="A621" s="7"/>
    </row>
    <row r="622" spans="1:1">
      <c r="A622" s="7"/>
    </row>
    <row r="623" spans="1:1">
      <c r="A623" s="7"/>
    </row>
    <row r="624" spans="1:1">
      <c r="A624" s="7"/>
    </row>
    <row r="625" spans="1:1">
      <c r="A625" s="7"/>
    </row>
    <row r="626" spans="1:1">
      <c r="A626" s="7"/>
    </row>
    <row r="627" spans="1:1">
      <c r="A627" s="7"/>
    </row>
    <row r="628" spans="1:1">
      <c r="A628" s="7"/>
    </row>
    <row r="629" spans="1:1">
      <c r="A629" s="7"/>
    </row>
    <row r="630" spans="1:1">
      <c r="A630" s="7"/>
    </row>
    <row r="631" spans="1:1">
      <c r="A631" s="7"/>
    </row>
    <row r="632" spans="1:1">
      <c r="A632" s="7"/>
    </row>
    <row r="633" spans="1:1">
      <c r="A633" s="7"/>
    </row>
    <row r="634" spans="1:1">
      <c r="A634" s="7"/>
    </row>
    <row r="635" spans="1:1">
      <c r="A635" s="7"/>
    </row>
    <row r="636" spans="1:1">
      <c r="A636" s="7"/>
    </row>
    <row r="637" spans="1:1">
      <c r="A637" s="7"/>
    </row>
    <row r="638" spans="1:1">
      <c r="A638" s="7"/>
    </row>
    <row r="639" spans="1:1">
      <c r="A639" s="7"/>
    </row>
    <row r="640" spans="1:1">
      <c r="A640" s="7"/>
    </row>
    <row r="641" spans="1:1">
      <c r="A641" s="7"/>
    </row>
    <row r="642" spans="1:1">
      <c r="A642" s="7"/>
    </row>
    <row r="643" spans="1:1">
      <c r="A643" s="7"/>
    </row>
    <row r="644" spans="1:1">
      <c r="A644" s="7"/>
    </row>
    <row r="645" spans="1:1">
      <c r="A645" s="7"/>
    </row>
    <row r="646" spans="1:1">
      <c r="A646" s="7"/>
    </row>
    <row r="647" spans="1:1">
      <c r="A647" s="7"/>
    </row>
    <row r="648" spans="1:1">
      <c r="A648" s="7"/>
    </row>
    <row r="649" spans="1:1">
      <c r="A649" s="7"/>
    </row>
    <row r="650" spans="1:1">
      <c r="A650" s="7"/>
    </row>
    <row r="651" spans="1:1">
      <c r="A651" s="7"/>
    </row>
    <row r="652" spans="1:1">
      <c r="A652" s="7"/>
    </row>
    <row r="653" spans="1:1">
      <c r="A653" s="7"/>
    </row>
    <row r="654" spans="1:1">
      <c r="A654" s="7"/>
    </row>
    <row r="655" spans="1:1">
      <c r="A655" s="7"/>
    </row>
    <row r="656" spans="1:1">
      <c r="A656" s="7"/>
    </row>
    <row r="657" spans="1:1">
      <c r="A657" s="7"/>
    </row>
    <row r="658" spans="1:1">
      <c r="A658" s="7"/>
    </row>
    <row r="659" spans="1:1">
      <c r="A659" s="7"/>
    </row>
    <row r="660" spans="1:1">
      <c r="A660" s="7"/>
    </row>
    <row r="661" spans="1:1">
      <c r="A661" s="7"/>
    </row>
    <row r="662" spans="1:1">
      <c r="A662" s="7"/>
    </row>
    <row r="663" spans="1:1">
      <c r="A663" s="7"/>
    </row>
    <row r="664" spans="1:1">
      <c r="A664" s="7"/>
    </row>
    <row r="665" spans="1:1">
      <c r="A665" s="7"/>
    </row>
    <row r="666" spans="1:1">
      <c r="A666" s="7"/>
    </row>
    <row r="667" spans="1:1">
      <c r="A667" s="7"/>
    </row>
    <row r="668" spans="1:1">
      <c r="A668" s="7"/>
    </row>
    <row r="669" spans="1:1">
      <c r="A669" s="7"/>
    </row>
    <row r="670" spans="1:1">
      <c r="A670" s="7"/>
    </row>
    <row r="671" spans="1:1">
      <c r="A671" s="7"/>
    </row>
    <row r="672" spans="1:1">
      <c r="A672" s="7"/>
    </row>
    <row r="673" spans="1:1">
      <c r="A673" s="7"/>
    </row>
    <row r="674" spans="1:1">
      <c r="A674" s="7"/>
    </row>
    <row r="675" spans="1:1">
      <c r="A675" s="7"/>
    </row>
    <row r="676" spans="1:1">
      <c r="A676" s="7"/>
    </row>
    <row r="677" spans="1:1">
      <c r="A677" s="7"/>
    </row>
    <row r="678" spans="1:1">
      <c r="A678" s="7"/>
    </row>
    <row r="679" spans="1:1">
      <c r="A679" s="7"/>
    </row>
    <row r="680" spans="1:1">
      <c r="A680" s="7"/>
    </row>
    <row r="681" spans="1:1">
      <c r="A681" s="7"/>
    </row>
    <row r="682" spans="1:1">
      <c r="A682" s="7"/>
    </row>
    <row r="683" spans="1:1">
      <c r="A683" s="7"/>
    </row>
    <row r="684" spans="1:1">
      <c r="A684" s="7"/>
    </row>
    <row r="685" spans="1:1">
      <c r="A685" s="7"/>
    </row>
    <row r="686" spans="1:1">
      <c r="A686" s="7"/>
    </row>
    <row r="687" spans="1:1">
      <c r="A687" s="7"/>
    </row>
    <row r="688" spans="1:1">
      <c r="A688" s="7"/>
    </row>
    <row r="689" spans="1:1">
      <c r="A689" s="7"/>
    </row>
    <row r="690" spans="1:1">
      <c r="A690" s="7"/>
    </row>
    <row r="691" spans="1:1">
      <c r="A691" s="7"/>
    </row>
    <row r="692" spans="1:1">
      <c r="A692" s="7"/>
    </row>
    <row r="693" spans="1:1">
      <c r="A693" s="7"/>
    </row>
    <row r="694" spans="1:1">
      <c r="A694" s="7"/>
    </row>
    <row r="695" spans="1:1">
      <c r="A695" s="7"/>
    </row>
    <row r="696" spans="1:1">
      <c r="A696" s="7"/>
    </row>
    <row r="697" spans="1:1">
      <c r="A697" s="7"/>
    </row>
    <row r="698" spans="1:1">
      <c r="A698" s="7"/>
    </row>
    <row r="699" spans="1:1">
      <c r="A699" s="7"/>
    </row>
    <row r="700" spans="1:1">
      <c r="A700" s="7"/>
    </row>
    <row r="701" spans="1:1">
      <c r="A701" s="7"/>
    </row>
    <row r="702" spans="1:1">
      <c r="A702" s="7"/>
    </row>
    <row r="703" spans="1:1">
      <c r="A703" s="7"/>
    </row>
    <row r="704" spans="1:1">
      <c r="A704" s="7"/>
    </row>
    <row r="705" spans="1:1">
      <c r="A705" s="7"/>
    </row>
    <row r="706" spans="1:1">
      <c r="A706" s="7"/>
    </row>
    <row r="707" spans="1:1">
      <c r="A707" s="7"/>
    </row>
    <row r="708" spans="1:1">
      <c r="A708" s="7"/>
    </row>
    <row r="709" spans="1:1">
      <c r="A709" s="7"/>
    </row>
    <row r="710" spans="1:1">
      <c r="A710" s="7"/>
    </row>
    <row r="711" spans="1:1">
      <c r="A711" s="7"/>
    </row>
    <row r="712" spans="1:1">
      <c r="A712" s="7"/>
    </row>
    <row r="713" spans="1:1">
      <c r="A713" s="7"/>
    </row>
    <row r="714" spans="1:1">
      <c r="A714" s="7"/>
    </row>
    <row r="715" spans="1:1">
      <c r="A715" s="7"/>
    </row>
    <row r="716" spans="1:1">
      <c r="A716" s="7"/>
    </row>
    <row r="717" spans="1:1">
      <c r="A717" s="7"/>
    </row>
    <row r="718" spans="1:1">
      <c r="A718" s="7"/>
    </row>
    <row r="719" spans="1:1">
      <c r="A719" s="7"/>
    </row>
    <row r="720" spans="1:1">
      <c r="A720" s="7"/>
    </row>
    <row r="721" spans="1:1">
      <c r="A721" s="7"/>
    </row>
    <row r="722" spans="1:1">
      <c r="A722" s="7"/>
    </row>
    <row r="723" spans="1:1">
      <c r="A723" s="7"/>
    </row>
    <row r="724" spans="1:1">
      <c r="A724" s="7"/>
    </row>
    <row r="725" spans="1:1">
      <c r="A725" s="7"/>
    </row>
    <row r="726" spans="1:1">
      <c r="A726" s="7"/>
    </row>
    <row r="727" spans="1:1">
      <c r="A727" s="7"/>
    </row>
    <row r="728" spans="1:1">
      <c r="A728" s="7"/>
    </row>
    <row r="729" spans="1:1">
      <c r="A729" s="7"/>
    </row>
    <row r="730" spans="1:1">
      <c r="A730" s="7"/>
    </row>
    <row r="731" spans="1:1">
      <c r="A731" s="7"/>
    </row>
    <row r="732" spans="1:1">
      <c r="A732" s="7"/>
    </row>
    <row r="733" spans="1:1">
      <c r="A733" s="7"/>
    </row>
    <row r="734" spans="1:1">
      <c r="A734" s="7"/>
    </row>
    <row r="735" spans="1:1">
      <c r="A735" s="7"/>
    </row>
    <row r="736" spans="1:1">
      <c r="A736" s="7"/>
    </row>
    <row r="737" spans="1:1">
      <c r="A737" s="7"/>
    </row>
    <row r="738" spans="1:1">
      <c r="A738" s="7"/>
    </row>
    <row r="739" spans="1:1">
      <c r="A739" s="7"/>
    </row>
    <row r="740" spans="1:1">
      <c r="A740" s="7"/>
    </row>
    <row r="741" spans="1:1">
      <c r="A741" s="7"/>
    </row>
    <row r="742" spans="1:1">
      <c r="A742" s="7"/>
    </row>
    <row r="743" spans="1:1">
      <c r="A743" s="7"/>
    </row>
    <row r="744" spans="1:1">
      <c r="A744" s="7"/>
    </row>
    <row r="745" spans="1:1">
      <c r="A745" s="7"/>
    </row>
    <row r="746" spans="1:1">
      <c r="A746" s="7"/>
    </row>
    <row r="747" spans="1:1">
      <c r="A747" s="7"/>
    </row>
    <row r="748" spans="1:1">
      <c r="A748" s="7"/>
    </row>
    <row r="749" spans="1:1">
      <c r="A749" s="7"/>
    </row>
    <row r="750" spans="1:1">
      <c r="A750" s="7"/>
    </row>
    <row r="751" spans="1:1">
      <c r="A751" s="7"/>
    </row>
    <row r="752" spans="1:1">
      <c r="A752" s="7"/>
    </row>
    <row r="753" spans="1:1">
      <c r="A753" s="7"/>
    </row>
    <row r="754" spans="1:1">
      <c r="A754" s="7"/>
    </row>
    <row r="755" spans="1:1">
      <c r="A755" s="7"/>
    </row>
    <row r="756" spans="1:1">
      <c r="A756" s="7"/>
    </row>
    <row r="757" spans="1:1">
      <c r="A757" s="7"/>
    </row>
    <row r="758" spans="1:1">
      <c r="A758" s="7"/>
    </row>
    <row r="759" spans="1:1">
      <c r="A759" s="7"/>
    </row>
    <row r="760" spans="1:1">
      <c r="A760" s="7"/>
    </row>
    <row r="761" spans="1:1">
      <c r="A761" s="7"/>
    </row>
    <row r="762" spans="1:1">
      <c r="A762" s="7"/>
    </row>
    <row r="763" spans="1:1">
      <c r="A763" s="7"/>
    </row>
    <row r="764" spans="1:1">
      <c r="A764" s="7"/>
    </row>
    <row r="765" spans="1:1">
      <c r="A765" s="7"/>
    </row>
    <row r="766" spans="1:1">
      <c r="A766" s="7"/>
    </row>
    <row r="767" spans="1:1">
      <c r="A767" s="7"/>
    </row>
    <row r="768" spans="1:1">
      <c r="A768" s="7"/>
    </row>
    <row r="769" spans="1:1">
      <c r="A769" s="7"/>
    </row>
    <row r="770" spans="1:1">
      <c r="A770" s="7"/>
    </row>
    <row r="771" spans="1:1">
      <c r="A771" s="7"/>
    </row>
    <row r="772" spans="1:1">
      <c r="A772" s="7"/>
    </row>
    <row r="773" spans="1:1">
      <c r="A773" s="7"/>
    </row>
    <row r="774" spans="1:1">
      <c r="A774" s="7"/>
    </row>
    <row r="775" spans="1:1">
      <c r="A775" s="7"/>
    </row>
    <row r="776" spans="1:1">
      <c r="A776" s="7"/>
    </row>
    <row r="777" spans="1:1">
      <c r="A777" s="7"/>
    </row>
    <row r="778" spans="1:1">
      <c r="A778" s="7"/>
    </row>
    <row r="779" spans="1:1">
      <c r="A779" s="7"/>
    </row>
    <row r="780" spans="1:1">
      <c r="A780" s="7"/>
    </row>
    <row r="781" spans="1:1">
      <c r="A781" s="7"/>
    </row>
    <row r="782" spans="1:1">
      <c r="A782" s="7"/>
    </row>
    <row r="783" spans="1:1">
      <c r="A783" s="7"/>
    </row>
    <row r="784" spans="1:1">
      <c r="A784" s="7"/>
    </row>
    <row r="785" spans="1:1">
      <c r="A785" s="7"/>
    </row>
    <row r="786" spans="1:1">
      <c r="A786" s="7"/>
    </row>
    <row r="787" spans="1:1">
      <c r="A787" s="7"/>
    </row>
    <row r="788" spans="1:1">
      <c r="A788" s="7"/>
    </row>
    <row r="789" spans="1:1">
      <c r="A789" s="7"/>
    </row>
    <row r="790" spans="1:1">
      <c r="A790" s="7"/>
    </row>
    <row r="791" spans="1:1">
      <c r="A791" s="7"/>
    </row>
    <row r="792" spans="1:1">
      <c r="A792" s="7"/>
    </row>
    <row r="793" spans="1:1">
      <c r="A793" s="7"/>
    </row>
    <row r="794" spans="1:1">
      <c r="A794" s="7"/>
    </row>
    <row r="795" spans="1:1">
      <c r="A795" s="7"/>
    </row>
    <row r="796" spans="1:1">
      <c r="A796" s="7"/>
    </row>
    <row r="797" spans="1:1">
      <c r="A797" s="7"/>
    </row>
    <row r="798" spans="1:1">
      <c r="A798" s="7"/>
    </row>
    <row r="799" spans="1:1">
      <c r="A799" s="7"/>
    </row>
    <row r="800" spans="1:1">
      <c r="A800" s="7"/>
    </row>
    <row r="801" spans="1:1">
      <c r="A801" s="7"/>
    </row>
    <row r="802" spans="1:1">
      <c r="A802" s="7"/>
    </row>
    <row r="803" spans="1:1">
      <c r="A803" s="7"/>
    </row>
    <row r="804" spans="1:1">
      <c r="A804" s="7"/>
    </row>
    <row r="805" spans="1:1">
      <c r="A805" s="7"/>
    </row>
    <row r="806" spans="1:1">
      <c r="A806" s="7"/>
    </row>
    <row r="807" spans="1:1">
      <c r="A807" s="7"/>
    </row>
    <row r="808" spans="1:1">
      <c r="A808" s="7"/>
    </row>
    <row r="809" spans="1:1">
      <c r="A809" s="7"/>
    </row>
    <row r="810" spans="1:1">
      <c r="A810" s="7"/>
    </row>
    <row r="811" spans="1:1">
      <c r="A811" s="7"/>
    </row>
    <row r="812" spans="1:1">
      <c r="A812" s="7"/>
    </row>
    <row r="813" spans="1:1">
      <c r="A813" s="7"/>
    </row>
    <row r="814" spans="1:1">
      <c r="A814" s="7"/>
    </row>
    <row r="815" spans="1:1">
      <c r="A815" s="7"/>
    </row>
    <row r="816" spans="1:1">
      <c r="A816" s="7"/>
    </row>
    <row r="817" spans="1:1">
      <c r="A817" s="7"/>
    </row>
    <row r="818" spans="1:1">
      <c r="A818" s="7"/>
    </row>
    <row r="819" spans="1:1">
      <c r="A819" s="7"/>
    </row>
    <row r="820" spans="1:1">
      <c r="A820" s="7"/>
    </row>
    <row r="821" spans="1:1">
      <c r="A821" s="7"/>
    </row>
    <row r="822" spans="1:1">
      <c r="A822" s="7"/>
    </row>
    <row r="823" spans="1:1">
      <c r="A823" s="7"/>
    </row>
    <row r="824" spans="1:1">
      <c r="A824" s="7"/>
    </row>
    <row r="825" spans="1:1">
      <c r="A825" s="7"/>
    </row>
    <row r="826" spans="1:1">
      <c r="A826" s="7"/>
    </row>
    <row r="827" spans="1:1">
      <c r="A827" s="7"/>
    </row>
    <row r="828" spans="1:1">
      <c r="A828" s="7"/>
    </row>
    <row r="829" spans="1:1">
      <c r="A829" s="7"/>
    </row>
    <row r="830" spans="1:1">
      <c r="A830" s="7"/>
    </row>
    <row r="831" spans="1:1">
      <c r="A831" s="7"/>
    </row>
    <row r="832" spans="1:1">
      <c r="A832" s="7"/>
    </row>
    <row r="833" spans="1:1">
      <c r="A833" s="7"/>
    </row>
    <row r="834" spans="1:1">
      <c r="A834" s="7"/>
    </row>
    <row r="835" spans="1:1">
      <c r="A835" s="7"/>
    </row>
    <row r="836" spans="1:1">
      <c r="A836" s="7"/>
    </row>
    <row r="837" spans="1:1">
      <c r="A837" s="7"/>
    </row>
    <row r="838" spans="1:1">
      <c r="A838" s="7"/>
    </row>
    <row r="839" spans="1:1">
      <c r="A839" s="7"/>
    </row>
    <row r="840" spans="1:1">
      <c r="A840" s="7"/>
    </row>
    <row r="841" spans="1:1">
      <c r="A841" s="7"/>
    </row>
    <row r="842" spans="1:1">
      <c r="A842" s="7"/>
    </row>
    <row r="843" spans="1:1">
      <c r="A843" s="7"/>
    </row>
    <row r="844" spans="1:1">
      <c r="A844" s="7"/>
    </row>
    <row r="845" spans="1:1">
      <c r="A845" s="7"/>
    </row>
    <row r="846" spans="1:1">
      <c r="A846" s="7"/>
    </row>
    <row r="847" spans="1:1">
      <c r="A847" s="7"/>
    </row>
    <row r="848" spans="1:1">
      <c r="A848" s="7"/>
    </row>
    <row r="849" spans="1:1">
      <c r="A849" s="7"/>
    </row>
    <row r="850" spans="1:1">
      <c r="A850" s="7"/>
    </row>
    <row r="851" spans="1:1">
      <c r="A851" s="7"/>
    </row>
    <row r="852" spans="1:1">
      <c r="A852" s="7"/>
    </row>
    <row r="853" spans="1:1">
      <c r="A853" s="7"/>
    </row>
    <row r="854" spans="1:1">
      <c r="A854" s="7"/>
    </row>
    <row r="855" spans="1:1">
      <c r="A855" s="7"/>
    </row>
    <row r="856" spans="1:1">
      <c r="A856" s="7"/>
    </row>
    <row r="857" spans="1:1">
      <c r="A857" s="7"/>
    </row>
    <row r="858" spans="1:1">
      <c r="A858" s="7"/>
    </row>
    <row r="859" spans="1:1">
      <c r="A859" s="7"/>
    </row>
    <row r="860" spans="1:1">
      <c r="A860" s="7"/>
    </row>
    <row r="861" spans="1:1">
      <c r="A861" s="7"/>
    </row>
    <row r="862" spans="1:1">
      <c r="A862" s="7"/>
    </row>
    <row r="863" spans="1:1">
      <c r="A863" s="7"/>
    </row>
    <row r="864" spans="1:1">
      <c r="A864" s="7"/>
    </row>
    <row r="865" spans="1:1">
      <c r="A865" s="7"/>
    </row>
    <row r="866" spans="1:1">
      <c r="A866" s="7"/>
    </row>
    <row r="867" spans="1:1">
      <c r="A867" s="7"/>
    </row>
    <row r="868" spans="1:1">
      <c r="A868" s="7"/>
    </row>
    <row r="869" spans="1:1">
      <c r="A869" s="7"/>
    </row>
    <row r="870" spans="1:1">
      <c r="A870" s="7"/>
    </row>
    <row r="871" spans="1:1">
      <c r="A871" s="7"/>
    </row>
    <row r="872" spans="1:1">
      <c r="A872" s="7"/>
    </row>
    <row r="873" spans="1:1">
      <c r="A873" s="7"/>
    </row>
    <row r="874" spans="1:1">
      <c r="A874" s="7"/>
    </row>
    <row r="875" spans="1:1">
      <c r="A875" s="7"/>
    </row>
    <row r="876" spans="1:1">
      <c r="A876" s="7"/>
    </row>
    <row r="877" spans="1:1">
      <c r="A877" s="7"/>
    </row>
    <row r="878" spans="1:1">
      <c r="A878" s="7"/>
    </row>
    <row r="879" spans="1:1">
      <c r="A879" s="7"/>
    </row>
    <row r="880" spans="1:1">
      <c r="A880" s="7"/>
    </row>
    <row r="881" spans="1:1">
      <c r="A881" s="7"/>
    </row>
    <row r="882" spans="1:1">
      <c r="A882" s="7"/>
    </row>
    <row r="883" spans="1:1">
      <c r="A883" s="7"/>
    </row>
    <row r="884" spans="1:1">
      <c r="A884" s="7"/>
    </row>
    <row r="885" spans="1:1">
      <c r="A885" s="7"/>
    </row>
    <row r="886" spans="1:1">
      <c r="A886" s="7"/>
    </row>
    <row r="887" spans="1:1">
      <c r="A887" s="7"/>
    </row>
    <row r="888" spans="1:1">
      <c r="A888" s="7"/>
    </row>
    <row r="889" spans="1:1">
      <c r="A889" s="7"/>
    </row>
    <row r="890" spans="1:1">
      <c r="A890" s="7"/>
    </row>
    <row r="891" spans="1:1">
      <c r="A891" s="7"/>
    </row>
    <row r="892" spans="1:1">
      <c r="A892" s="7"/>
    </row>
    <row r="893" spans="1:1">
      <c r="A893" s="7"/>
    </row>
    <row r="894" spans="1:1">
      <c r="A894" s="7"/>
    </row>
    <row r="895" spans="1:1">
      <c r="A895" s="7"/>
    </row>
    <row r="896" spans="1:1">
      <c r="A896" s="7"/>
    </row>
    <row r="897" spans="1:1">
      <c r="A897" s="7"/>
    </row>
    <row r="898" spans="1:1">
      <c r="A898" s="7"/>
    </row>
    <row r="899" spans="1:1">
      <c r="A899" s="7"/>
    </row>
    <row r="900" spans="1:1">
      <c r="A900" s="7"/>
    </row>
    <row r="901" spans="1:1">
      <c r="A901" s="7"/>
    </row>
    <row r="902" spans="1:1">
      <c r="A902" s="7"/>
    </row>
    <row r="903" spans="1:1">
      <c r="A903" s="7"/>
    </row>
    <row r="904" spans="1:1">
      <c r="A904" s="7"/>
    </row>
    <row r="905" spans="1:1">
      <c r="A905" s="7"/>
    </row>
    <row r="906" spans="1:1">
      <c r="A906" s="7"/>
    </row>
    <row r="907" spans="1:1">
      <c r="A907" s="7"/>
    </row>
    <row r="908" spans="1:1">
      <c r="A908" s="7"/>
    </row>
    <row r="909" spans="1:1">
      <c r="A909" s="7"/>
    </row>
    <row r="910" spans="1:1">
      <c r="A910" s="7"/>
    </row>
    <row r="911" spans="1:1">
      <c r="A911" s="7"/>
    </row>
    <row r="912" spans="1:1">
      <c r="A912" s="7"/>
    </row>
    <row r="913" spans="1:1">
      <c r="A913" s="7"/>
    </row>
    <row r="914" spans="1:1">
      <c r="A914" s="7"/>
    </row>
    <row r="915" spans="1:1">
      <c r="A915" s="7"/>
    </row>
    <row r="916" spans="1:1">
      <c r="A916" s="7"/>
    </row>
    <row r="917" spans="1:1">
      <c r="A917" s="7"/>
    </row>
    <row r="918" spans="1:1">
      <c r="A918" s="7"/>
    </row>
    <row r="919" spans="1:1">
      <c r="A919" s="7"/>
    </row>
    <row r="920" spans="1:1">
      <c r="A920" s="7"/>
    </row>
    <row r="921" spans="1:1">
      <c r="A921" s="7"/>
    </row>
    <row r="922" spans="1:1">
      <c r="A922" s="7"/>
    </row>
    <row r="923" spans="1:1">
      <c r="A923" s="7"/>
    </row>
    <row r="924" spans="1:1">
      <c r="A924" s="7"/>
    </row>
    <row r="925" spans="1:1">
      <c r="A925" s="7"/>
    </row>
    <row r="926" spans="1:1">
      <c r="A926" s="7"/>
    </row>
    <row r="927" spans="1:1">
      <c r="A927" s="7"/>
    </row>
    <row r="928" spans="1:1">
      <c r="A928" s="7"/>
    </row>
    <row r="929" spans="1:1">
      <c r="A929" s="7"/>
    </row>
    <row r="930" spans="1:1">
      <c r="A930" s="7"/>
    </row>
    <row r="931" spans="1:1">
      <c r="A931" s="7"/>
    </row>
    <row r="932" spans="1:1">
      <c r="A932" s="7"/>
    </row>
    <row r="933" spans="1:1">
      <c r="A933" s="7"/>
    </row>
    <row r="934" spans="1:1">
      <c r="A934" s="7"/>
    </row>
    <row r="935" spans="1:1">
      <c r="A935" s="7"/>
    </row>
    <row r="936" spans="1:1">
      <c r="A936" s="7"/>
    </row>
    <row r="937" spans="1:1">
      <c r="A937" s="7"/>
    </row>
    <row r="938" spans="1:1">
      <c r="A938" s="7"/>
    </row>
    <row r="939" spans="1:1">
      <c r="A939" s="7"/>
    </row>
    <row r="940" spans="1:1">
      <c r="A940" s="7"/>
    </row>
    <row r="941" spans="1:1">
      <c r="A941" s="7"/>
    </row>
    <row r="942" spans="1:1">
      <c r="A942" s="7"/>
    </row>
    <row r="943" spans="1:1">
      <c r="A943" s="7"/>
    </row>
    <row r="944" spans="1:1">
      <c r="A944" s="7"/>
    </row>
    <row r="945" spans="1:1">
      <c r="A945" s="7"/>
    </row>
    <row r="946" spans="1:1">
      <c r="A946" s="7"/>
    </row>
    <row r="947" spans="1:1">
      <c r="A947" s="7"/>
    </row>
    <row r="948" spans="1:1">
      <c r="A948" s="7"/>
    </row>
    <row r="949" spans="1:1">
      <c r="A949" s="7"/>
    </row>
    <row r="950" spans="1:1">
      <c r="A950" s="7"/>
    </row>
    <row r="951" spans="1:1">
      <c r="A951" s="7"/>
    </row>
    <row r="952" spans="1:1">
      <c r="A952" s="7"/>
    </row>
    <row r="953" spans="1:1">
      <c r="A953" s="7"/>
    </row>
    <row r="954" spans="1:1">
      <c r="A954" s="7"/>
    </row>
    <row r="955" spans="1:1">
      <c r="A955" s="7"/>
    </row>
    <row r="956" spans="1:1">
      <c r="A956" s="7"/>
    </row>
    <row r="957" spans="1:1">
      <c r="A957" s="7"/>
    </row>
    <row r="958" spans="1:1">
      <c r="A958" s="7"/>
    </row>
    <row r="959" spans="1:1">
      <c r="A959" s="7"/>
    </row>
    <row r="960" spans="1:1">
      <c r="A960" s="7"/>
    </row>
    <row r="961" spans="1:1">
      <c r="A961" s="7"/>
    </row>
    <row r="962" spans="1:1">
      <c r="A962" s="7"/>
    </row>
    <row r="963" spans="1:1">
      <c r="A963" s="7"/>
    </row>
    <row r="964" spans="1:1">
      <c r="A964" s="7"/>
    </row>
    <row r="965" spans="1:1">
      <c r="A965" s="7"/>
    </row>
    <row r="966" spans="1:1">
      <c r="A966" s="7"/>
    </row>
    <row r="967" spans="1:1">
      <c r="A967" s="7"/>
    </row>
    <row r="968" spans="1:1">
      <c r="A968" s="7"/>
    </row>
    <row r="969" spans="1:1">
      <c r="A969" s="7"/>
    </row>
    <row r="970" spans="1:1">
      <c r="A970" s="7"/>
    </row>
    <row r="971" spans="1:1">
      <c r="A971" s="7"/>
    </row>
    <row r="972" spans="1:1">
      <c r="A972" s="7"/>
    </row>
    <row r="973" spans="1:1">
      <c r="A973" s="7"/>
    </row>
    <row r="974" spans="1:1">
      <c r="A974" s="7"/>
    </row>
    <row r="975" spans="1:1">
      <c r="A975" s="7"/>
    </row>
    <row r="976" spans="1:1">
      <c r="A976" s="7"/>
    </row>
    <row r="977" spans="1:1">
      <c r="A977" s="7"/>
    </row>
    <row r="978" spans="1:1">
      <c r="A978" s="7"/>
    </row>
    <row r="979" spans="1:1">
      <c r="A979" s="7"/>
    </row>
    <row r="980" spans="1:1">
      <c r="A980" s="7"/>
    </row>
    <row r="981" spans="1:1">
      <c r="A981" s="7"/>
    </row>
    <row r="982" spans="1:1">
      <c r="A982" s="7"/>
    </row>
    <row r="983" spans="1:1">
      <c r="A983" s="7"/>
    </row>
    <row r="984" spans="1:1">
      <c r="A984" s="7"/>
    </row>
    <row r="985" spans="1:1">
      <c r="A985" s="7"/>
    </row>
    <row r="986" spans="1:1">
      <c r="A986" s="7"/>
    </row>
    <row r="987" spans="1:1">
      <c r="A987" s="7"/>
    </row>
    <row r="988" spans="1:1">
      <c r="A988" s="7"/>
    </row>
    <row r="989" spans="1:1">
      <c r="A989" s="7"/>
    </row>
    <row r="990" spans="1:1">
      <c r="A990" s="7"/>
    </row>
    <row r="991" spans="1:1">
      <c r="A991" s="7"/>
    </row>
    <row r="992" spans="1:1">
      <c r="A992" s="7"/>
    </row>
    <row r="993" spans="1:1">
      <c r="A993" s="7"/>
    </row>
    <row r="994" spans="1:1">
      <c r="A994" s="7"/>
    </row>
    <row r="995" spans="1:1">
      <c r="A995" s="7"/>
    </row>
    <row r="996" spans="1:1">
      <c r="A996" s="7"/>
    </row>
    <row r="997" spans="1:1">
      <c r="A997" s="7"/>
    </row>
    <row r="998" spans="1:1">
      <c r="A998" s="7"/>
    </row>
    <row r="999" spans="1:1">
      <c r="A999" s="7"/>
    </row>
    <row r="1000" spans="1:1">
      <c r="A1000" s="7"/>
    </row>
    <row r="1001" spans="1:1">
      <c r="A1001" s="7"/>
    </row>
    <row r="1002" spans="1:1">
      <c r="A1002" s="7"/>
    </row>
    <row r="1003" spans="1:1">
      <c r="A1003" s="7"/>
    </row>
    <row r="1004" spans="1:1">
      <c r="A1004" s="7"/>
    </row>
    <row r="1005" spans="1:1">
      <c r="A1005" s="7"/>
    </row>
    <row r="1006" spans="1:1">
      <c r="A1006" s="7"/>
    </row>
    <row r="1007" spans="1:1">
      <c r="A1007" s="7"/>
    </row>
    <row r="1008" spans="1:1">
      <c r="A1008" s="7"/>
    </row>
    <row r="1009" spans="1:1">
      <c r="A1009" s="7"/>
    </row>
    <row r="1010" spans="1:1">
      <c r="A1010" s="7"/>
    </row>
    <row r="1011" spans="1:1">
      <c r="A1011" s="7"/>
    </row>
    <row r="1012" spans="1:1">
      <c r="A1012" s="7"/>
    </row>
    <row r="1013" spans="1:1">
      <c r="A1013" s="7"/>
    </row>
    <row r="1014" spans="1:1">
      <c r="A1014" s="7"/>
    </row>
    <row r="1015" spans="1:1">
      <c r="A1015" s="7"/>
    </row>
    <row r="1016" spans="1:1">
      <c r="A1016" s="7"/>
    </row>
    <row r="1017" spans="1:1">
      <c r="A1017" s="7"/>
    </row>
    <row r="1018" spans="1:1">
      <c r="A1018" s="7"/>
    </row>
    <row r="1019" spans="1:1">
      <c r="A1019" s="7"/>
    </row>
    <row r="1020" spans="1:1">
      <c r="A1020" s="7"/>
    </row>
    <row r="1021" spans="1:1">
      <c r="A1021" s="7"/>
    </row>
    <row r="1022" spans="1:1">
      <c r="A1022" s="7"/>
    </row>
    <row r="1023" spans="1:1">
      <c r="A1023" s="7"/>
    </row>
    <row r="1024" spans="1:1">
      <c r="A1024" s="7"/>
    </row>
    <row r="1025" spans="1:1">
      <c r="A1025" s="7"/>
    </row>
    <row r="1026" spans="1:1">
      <c r="A1026" s="7"/>
    </row>
    <row r="1027" spans="1:1">
      <c r="A1027" s="7"/>
    </row>
    <row r="1028" spans="1:1">
      <c r="A1028" s="7"/>
    </row>
    <row r="1029" spans="1:1">
      <c r="A1029" s="7"/>
    </row>
    <row r="1030" spans="1:1">
      <c r="A1030" s="7"/>
    </row>
    <row r="1031" spans="1:1">
      <c r="A1031" s="7"/>
    </row>
    <row r="1032" spans="1:1">
      <c r="A1032" s="7"/>
    </row>
    <row r="1033" spans="1:1">
      <c r="A1033" s="7"/>
    </row>
    <row r="1034" spans="1:1">
      <c r="A1034" s="7"/>
    </row>
    <row r="1035" spans="1:1">
      <c r="A1035" s="7"/>
    </row>
    <row r="1036" spans="1:1">
      <c r="A1036" s="7"/>
    </row>
    <row r="1037" spans="1:1">
      <c r="A1037" s="7"/>
    </row>
    <row r="1038" spans="1:1">
      <c r="A1038" s="7"/>
    </row>
    <row r="1039" spans="1:1">
      <c r="A1039" s="7"/>
    </row>
    <row r="1040" spans="1:1">
      <c r="A1040" s="7"/>
    </row>
    <row r="1041" spans="1:1">
      <c r="A1041" s="7"/>
    </row>
    <row r="1042" spans="1:1">
      <c r="A1042" s="7"/>
    </row>
    <row r="1043" spans="1:1">
      <c r="A1043" s="7"/>
    </row>
    <row r="1044" spans="1:1">
      <c r="A1044" s="7"/>
    </row>
    <row r="1045" spans="1:1">
      <c r="A1045" s="7"/>
    </row>
    <row r="1046" spans="1:1">
      <c r="A1046" s="7"/>
    </row>
    <row r="1047" spans="1:1">
      <c r="A1047" s="7"/>
    </row>
    <row r="1048" spans="1:1">
      <c r="A1048" s="7"/>
    </row>
    <row r="1049" spans="1:1">
      <c r="A1049" s="7"/>
    </row>
    <row r="1050" spans="1:1">
      <c r="A1050" s="7"/>
    </row>
    <row r="1051" spans="1:1">
      <c r="A1051" s="7"/>
    </row>
    <row r="1052" spans="1:1">
      <c r="A1052" s="7"/>
    </row>
    <row r="1053" spans="1:1">
      <c r="A1053" s="7"/>
    </row>
    <row r="1054" spans="1:1">
      <c r="A1054" s="7"/>
    </row>
    <row r="1055" spans="1:1">
      <c r="A1055" s="7"/>
    </row>
    <row r="1056" spans="1:1">
      <c r="A1056" s="7"/>
    </row>
    <row r="1057" spans="1:1">
      <c r="A1057" s="7"/>
    </row>
    <row r="1058" spans="1:1">
      <c r="A1058" s="7"/>
    </row>
    <row r="1059" spans="1:1">
      <c r="A1059" s="7"/>
    </row>
    <row r="1060" spans="1:1">
      <c r="A1060" s="7"/>
    </row>
    <row r="1061" spans="1:1">
      <c r="A1061" s="7"/>
    </row>
    <row r="1062" spans="1:1">
      <c r="A1062" s="7"/>
    </row>
    <row r="1063" spans="1:1">
      <c r="A1063" s="7"/>
    </row>
    <row r="1064" spans="1:1">
      <c r="A1064" s="7"/>
    </row>
    <row r="1065" spans="1:1">
      <c r="A1065" s="7"/>
    </row>
    <row r="1066" spans="1:1">
      <c r="A1066" s="7"/>
    </row>
    <row r="1067" spans="1:1">
      <c r="A1067" s="7"/>
    </row>
    <row r="1068" spans="1:1">
      <c r="A1068" s="7"/>
    </row>
    <row r="1069" spans="1:1">
      <c r="A1069" s="7"/>
    </row>
    <row r="1070" spans="1:1">
      <c r="A1070" s="7"/>
    </row>
    <row r="1071" spans="1:1">
      <c r="A1071" s="7"/>
    </row>
    <row r="1072" spans="1:1">
      <c r="A1072" s="7"/>
    </row>
    <row r="1073" spans="1:1">
      <c r="A1073" s="7"/>
    </row>
    <row r="1074" spans="1:1">
      <c r="A1074" s="7"/>
    </row>
    <row r="1075" spans="1:1">
      <c r="A1075" s="7"/>
    </row>
    <row r="1076" spans="1:1">
      <c r="A1076" s="7"/>
    </row>
    <row r="1077" spans="1:1">
      <c r="A1077" s="7"/>
    </row>
    <row r="1078" spans="1:1">
      <c r="A1078" s="7"/>
    </row>
    <row r="1079" spans="1:1">
      <c r="A1079" s="7"/>
    </row>
    <row r="1080" spans="1:1">
      <c r="A1080" s="7"/>
    </row>
    <row r="1081" spans="1:1">
      <c r="A1081" s="7"/>
    </row>
    <row r="1082" spans="1:1">
      <c r="A1082" s="7"/>
    </row>
    <row r="1083" spans="1:1">
      <c r="A1083" s="7"/>
    </row>
    <row r="1084" spans="1:1">
      <c r="A1084" s="7"/>
    </row>
    <row r="1085" spans="1:1">
      <c r="A1085" s="7"/>
    </row>
    <row r="1086" spans="1:1">
      <c r="A1086" s="7"/>
    </row>
    <row r="1087" spans="1:1">
      <c r="A1087" s="7"/>
    </row>
    <row r="1088" spans="1:1">
      <c r="A1088" s="7"/>
    </row>
    <row r="1089" spans="1:1">
      <c r="A1089" s="7"/>
    </row>
    <row r="1090" spans="1:1">
      <c r="A1090" s="7"/>
    </row>
    <row r="1091" spans="1:1">
      <c r="A1091" s="7"/>
    </row>
    <row r="1092" spans="1:1">
      <c r="A1092" s="7"/>
    </row>
    <row r="1093" spans="1:1">
      <c r="A1093" s="7"/>
    </row>
    <row r="1094" spans="1:1">
      <c r="A1094" s="7"/>
    </row>
    <row r="1095" spans="1:1">
      <c r="A1095" s="7"/>
    </row>
    <row r="1096" spans="1:1">
      <c r="A1096" s="7"/>
    </row>
    <row r="1097" spans="1:1">
      <c r="A1097" s="7"/>
    </row>
    <row r="1098" spans="1:1">
      <c r="A1098" s="7"/>
    </row>
    <row r="1099" spans="1:1">
      <c r="A1099" s="7"/>
    </row>
    <row r="1100" spans="1:1">
      <c r="A1100" s="7"/>
    </row>
    <row r="1101" spans="1:1">
      <c r="A1101" s="7"/>
    </row>
    <row r="1102" spans="1:1">
      <c r="A1102" s="7"/>
    </row>
    <row r="1103" spans="1:1">
      <c r="A1103" s="7"/>
    </row>
    <row r="1104" spans="1:1">
      <c r="A1104" s="7"/>
    </row>
    <row r="1105" spans="1:1">
      <c r="A1105" s="7"/>
    </row>
    <row r="1106" spans="1:1">
      <c r="A1106" s="7"/>
    </row>
    <row r="1107" spans="1:1">
      <c r="A1107" s="7"/>
    </row>
    <row r="1108" spans="1:1">
      <c r="A1108" s="7"/>
    </row>
    <row r="1109" spans="1:1">
      <c r="A1109" s="7"/>
    </row>
    <row r="1110" spans="1:1">
      <c r="A1110" s="7"/>
    </row>
    <row r="1111" spans="1:1">
      <c r="A1111" s="7"/>
    </row>
    <row r="1112" spans="1:1">
      <c r="A1112" s="7"/>
    </row>
    <row r="1113" spans="1:1">
      <c r="A1113" s="7"/>
    </row>
    <row r="1114" spans="1:1">
      <c r="A1114" s="7"/>
    </row>
    <row r="1115" spans="1:1">
      <c r="A1115" s="7"/>
    </row>
    <row r="1116" spans="1:1">
      <c r="A1116" s="7"/>
    </row>
    <row r="1117" spans="1:1">
      <c r="A1117" s="7"/>
    </row>
    <row r="1118" spans="1:1">
      <c r="A1118" s="7"/>
    </row>
    <row r="1119" spans="1:1">
      <c r="A1119" s="7"/>
    </row>
    <row r="1120" spans="1:1">
      <c r="A1120" s="7"/>
    </row>
    <row r="1121" spans="1:1">
      <c r="A1121" s="7"/>
    </row>
    <row r="1122" spans="1:1">
      <c r="A1122" s="7"/>
    </row>
    <row r="1123" spans="1:1">
      <c r="A1123" s="7"/>
    </row>
    <row r="1124" spans="1:1">
      <c r="A1124" s="7"/>
    </row>
    <row r="1125" spans="1:1">
      <c r="A1125" s="7"/>
    </row>
    <row r="1126" spans="1:1">
      <c r="A1126" s="7"/>
    </row>
    <row r="1127" spans="1:1">
      <c r="A1127" s="7"/>
    </row>
    <row r="1128" spans="1:1">
      <c r="A1128" s="7"/>
    </row>
    <row r="1129" spans="1:1">
      <c r="A1129" s="7"/>
    </row>
    <row r="1130" spans="1:1">
      <c r="A1130" s="7"/>
    </row>
    <row r="1131" spans="1:1">
      <c r="A1131" s="7"/>
    </row>
    <row r="1132" spans="1:1">
      <c r="A1132" s="7"/>
    </row>
    <row r="1133" spans="1:1">
      <c r="A1133" s="7"/>
    </row>
    <row r="1134" spans="1:1">
      <c r="A1134" s="7"/>
    </row>
    <row r="1135" spans="1:1">
      <c r="A1135" s="7"/>
    </row>
    <row r="1136" spans="1:1">
      <c r="A1136" s="7"/>
    </row>
    <row r="1137" spans="1:1">
      <c r="A1137" s="7"/>
    </row>
    <row r="1138" spans="1:1">
      <c r="A1138" s="7"/>
    </row>
    <row r="1139" spans="1:1">
      <c r="A1139" s="7"/>
    </row>
    <row r="1140" spans="1:1">
      <c r="A1140" s="7"/>
    </row>
    <row r="1141" spans="1:1">
      <c r="A1141" s="7"/>
    </row>
    <row r="1142" spans="1:1">
      <c r="A1142" s="7"/>
    </row>
    <row r="1143" spans="1:1">
      <c r="A1143" s="7"/>
    </row>
    <row r="1144" spans="1:1">
      <c r="A1144" s="7"/>
    </row>
    <row r="1145" spans="1:1">
      <c r="A1145" s="7"/>
    </row>
    <row r="1146" spans="1:1">
      <c r="A1146" s="7"/>
    </row>
    <row r="1147" spans="1:1">
      <c r="A1147" s="7"/>
    </row>
    <row r="1148" spans="1:1">
      <c r="A1148" s="7"/>
    </row>
    <row r="1149" spans="1:1">
      <c r="A1149" s="7"/>
    </row>
    <row r="1150" spans="1:1">
      <c r="A1150" s="7"/>
    </row>
    <row r="1151" spans="1:1">
      <c r="A1151" s="7"/>
    </row>
    <row r="1152" spans="1:1">
      <c r="A1152" s="7"/>
    </row>
    <row r="1153" spans="1:1">
      <c r="A1153" s="7"/>
    </row>
    <row r="1154" spans="1:1">
      <c r="A1154" s="7"/>
    </row>
    <row r="1155" spans="1:1">
      <c r="A1155" s="7"/>
    </row>
    <row r="1156" spans="1:1">
      <c r="A1156" s="7"/>
    </row>
    <row r="1157" spans="1:1">
      <c r="A1157" s="7"/>
    </row>
    <row r="1158" spans="1:1">
      <c r="A1158" s="7"/>
    </row>
    <row r="1159" spans="1:1">
      <c r="A1159" s="7"/>
    </row>
    <row r="1160" spans="1:1">
      <c r="A1160" s="7"/>
    </row>
    <row r="1161" spans="1:1">
      <c r="A1161" s="7"/>
    </row>
    <row r="1162" spans="1:1">
      <c r="A1162" s="7"/>
    </row>
    <row r="1163" spans="1:1">
      <c r="A1163" s="7"/>
    </row>
    <row r="1164" spans="1:1">
      <c r="A1164" s="7"/>
    </row>
    <row r="1165" spans="1:1">
      <c r="A1165" s="7"/>
    </row>
    <row r="1166" spans="1:1">
      <c r="A1166" s="7"/>
    </row>
    <row r="1167" spans="1:1">
      <c r="A1167" s="7"/>
    </row>
    <row r="1168" spans="1:1">
      <c r="A1168" s="7"/>
    </row>
    <row r="1169" spans="1:1">
      <c r="A1169" s="7"/>
    </row>
    <row r="1170" spans="1:1">
      <c r="A1170" s="7"/>
    </row>
    <row r="1171" spans="1:1">
      <c r="A1171" s="7"/>
    </row>
    <row r="1172" spans="1:1">
      <c r="A1172" s="7"/>
    </row>
    <row r="1173" spans="1:1">
      <c r="A1173" s="7"/>
    </row>
    <row r="1174" spans="1:1">
      <c r="A1174" s="7"/>
    </row>
    <row r="1175" spans="1:1">
      <c r="A1175" s="7"/>
    </row>
    <row r="1176" spans="1:1">
      <c r="A1176" s="7"/>
    </row>
    <row r="1177" spans="1:1">
      <c r="A1177" s="7"/>
    </row>
    <row r="1178" spans="1:1">
      <c r="A1178" s="7"/>
    </row>
    <row r="1179" spans="1:1">
      <c r="A1179" s="7"/>
    </row>
    <row r="1180" spans="1:1">
      <c r="A1180" s="7"/>
    </row>
    <row r="1181" spans="1:1">
      <c r="A1181" s="7"/>
    </row>
    <row r="1182" spans="1:1">
      <c r="A1182" s="7"/>
    </row>
    <row r="1183" spans="1:1">
      <c r="A1183" s="7"/>
    </row>
    <row r="1184" spans="1:1">
      <c r="A1184" s="7"/>
    </row>
    <row r="1185" spans="1:1">
      <c r="A1185" s="7"/>
    </row>
    <row r="1186" spans="1:1">
      <c r="A1186" s="7"/>
    </row>
    <row r="1187" spans="1:1">
      <c r="A1187" s="7"/>
    </row>
    <row r="1188" spans="1:1">
      <c r="A1188" s="7"/>
    </row>
    <row r="1189" spans="1:1">
      <c r="A1189" s="7"/>
    </row>
    <row r="1190" spans="1:1">
      <c r="A1190" s="7"/>
    </row>
    <row r="1191" spans="1:1">
      <c r="A1191" s="7"/>
    </row>
    <row r="1192" spans="1:1">
      <c r="A1192" s="7"/>
    </row>
    <row r="1193" spans="1:1">
      <c r="A1193" s="7"/>
    </row>
    <row r="1194" spans="1:1">
      <c r="A1194" s="7"/>
    </row>
    <row r="1195" spans="1:1">
      <c r="A1195" s="7"/>
    </row>
    <row r="1196" spans="1:1">
      <c r="A1196" s="7"/>
    </row>
    <row r="1197" spans="1:1">
      <c r="A1197" s="7"/>
    </row>
    <row r="1198" spans="1:1">
      <c r="A1198" s="7"/>
    </row>
    <row r="1199" spans="1:1">
      <c r="A1199" s="7"/>
    </row>
    <row r="1200" spans="1:1">
      <c r="A1200" s="7"/>
    </row>
    <row r="1201" spans="1:1">
      <c r="A1201" s="7"/>
    </row>
    <row r="1202" spans="1:1">
      <c r="A1202" s="7"/>
    </row>
    <row r="1203" spans="1:1">
      <c r="A1203" s="7"/>
    </row>
    <row r="1204" spans="1:1">
      <c r="A1204" s="7"/>
    </row>
    <row r="1205" spans="1:1">
      <c r="A1205" s="7"/>
    </row>
    <row r="1206" spans="1:1">
      <c r="A1206" s="7"/>
    </row>
    <row r="1207" spans="1:1">
      <c r="A1207" s="7"/>
    </row>
    <row r="1208" spans="1:1">
      <c r="A1208" s="7"/>
    </row>
    <row r="1209" spans="1:1">
      <c r="A1209" s="7"/>
    </row>
    <row r="1210" spans="1:1">
      <c r="A1210" s="7"/>
    </row>
    <row r="1211" spans="1:1">
      <c r="A1211" s="7"/>
    </row>
    <row r="1212" spans="1:1">
      <c r="A1212" s="7"/>
    </row>
    <row r="1213" spans="1:1">
      <c r="A1213" s="7"/>
    </row>
    <row r="1214" spans="1:1">
      <c r="A1214" s="7"/>
    </row>
    <row r="1215" spans="1:1">
      <c r="A1215" s="7"/>
    </row>
    <row r="1216" spans="1:1">
      <c r="A1216" s="7"/>
    </row>
    <row r="1217" spans="1:1">
      <c r="A1217" s="7"/>
    </row>
    <row r="1218" spans="1:1">
      <c r="A1218" s="7"/>
    </row>
    <row r="1219" spans="1:1">
      <c r="A1219" s="7"/>
    </row>
    <row r="1220" spans="1:1">
      <c r="A1220" s="7"/>
    </row>
    <row r="1221" spans="1:1">
      <c r="A1221" s="7"/>
    </row>
    <row r="1222" spans="1:1">
      <c r="A1222" s="7"/>
    </row>
    <row r="1223" spans="1:1">
      <c r="A1223" s="7"/>
    </row>
    <row r="1224" spans="1:1">
      <c r="A1224" s="7"/>
    </row>
    <row r="1225" spans="1:1">
      <c r="A1225" s="7"/>
    </row>
    <row r="1226" spans="1:1">
      <c r="A1226" s="7"/>
    </row>
    <row r="1227" spans="1:1">
      <c r="A1227" s="7"/>
    </row>
    <row r="1228" spans="1:1">
      <c r="A1228" s="7"/>
    </row>
    <row r="1229" spans="1:1">
      <c r="A1229" s="7"/>
    </row>
    <row r="1230" spans="1:1">
      <c r="A1230" s="7"/>
    </row>
    <row r="1231" spans="1:1">
      <c r="A1231" s="7"/>
    </row>
    <row r="1232" spans="1:1">
      <c r="A1232" s="7"/>
    </row>
    <row r="1233" spans="1:1">
      <c r="A1233" s="7"/>
    </row>
    <row r="1234" spans="1:1">
      <c r="A1234" s="7"/>
    </row>
    <row r="1235" spans="1:1">
      <c r="A1235" s="7"/>
    </row>
    <row r="1236" spans="1:1">
      <c r="A1236" s="7"/>
    </row>
    <row r="1237" spans="1:1">
      <c r="A1237" s="7"/>
    </row>
    <row r="1238" spans="1:1">
      <c r="A1238" s="7"/>
    </row>
    <row r="1239" spans="1:1">
      <c r="A1239" s="7"/>
    </row>
    <row r="1240" spans="1:1">
      <c r="A1240" s="7"/>
    </row>
    <row r="1241" spans="1:1">
      <c r="A1241" s="7"/>
    </row>
    <row r="1242" spans="1:1">
      <c r="A1242" s="7"/>
    </row>
    <row r="1243" spans="1:1">
      <c r="A1243" s="7"/>
    </row>
    <row r="1244" spans="1:1">
      <c r="A1244" s="7"/>
    </row>
    <row r="1245" spans="1:1">
      <c r="A1245" s="7"/>
    </row>
    <row r="1246" spans="1:1">
      <c r="A1246" s="7"/>
    </row>
    <row r="1247" spans="1:1">
      <c r="A1247" s="7"/>
    </row>
    <row r="1248" spans="1:1">
      <c r="A1248" s="7"/>
    </row>
    <row r="1249" spans="1:1">
      <c r="A1249" s="7"/>
    </row>
    <row r="1250" spans="1:1">
      <c r="A1250" s="7"/>
    </row>
    <row r="1251" spans="1:1">
      <c r="A1251" s="7"/>
    </row>
    <row r="1252" spans="1:1">
      <c r="A1252" s="7"/>
    </row>
    <row r="1253" spans="1:1">
      <c r="A1253" s="7"/>
    </row>
    <row r="1254" spans="1:1">
      <c r="A1254" s="7"/>
    </row>
    <row r="1255" spans="1:1">
      <c r="A1255" s="7"/>
    </row>
    <row r="1256" spans="1:1">
      <c r="A1256" s="7"/>
    </row>
    <row r="1257" spans="1:1">
      <c r="A1257" s="7"/>
    </row>
    <row r="1258" spans="1:1">
      <c r="A1258" s="7"/>
    </row>
    <row r="1259" spans="1:1">
      <c r="A1259" s="7"/>
    </row>
    <row r="1260" spans="1:1">
      <c r="A1260" s="7"/>
    </row>
    <row r="1261" spans="1:1">
      <c r="A1261" s="7"/>
    </row>
    <row r="1262" spans="1:1">
      <c r="A1262" s="7"/>
    </row>
    <row r="1263" spans="1:1">
      <c r="A1263" s="7"/>
    </row>
    <row r="1264" spans="1:1">
      <c r="A1264" s="7"/>
    </row>
    <row r="1265" spans="1:1">
      <c r="A1265" s="7"/>
    </row>
    <row r="1266" spans="1:1">
      <c r="A1266" s="7"/>
    </row>
    <row r="1267" spans="1:1">
      <c r="A1267" s="7"/>
    </row>
    <row r="1268" spans="1:1">
      <c r="A1268" s="7"/>
    </row>
    <row r="1269" spans="1:1">
      <c r="A1269" s="7"/>
    </row>
    <row r="1270" spans="1:1">
      <c r="A1270" s="7"/>
    </row>
    <row r="1271" spans="1:1">
      <c r="A1271" s="7"/>
    </row>
    <row r="1272" spans="1:1">
      <c r="A1272" s="7"/>
    </row>
    <row r="1273" spans="1:1">
      <c r="A1273" s="7"/>
    </row>
    <row r="1274" spans="1:1">
      <c r="A1274" s="7"/>
    </row>
    <row r="1275" spans="1:1">
      <c r="A1275" s="7"/>
    </row>
    <row r="1276" spans="1:1">
      <c r="A1276" s="7"/>
    </row>
    <row r="1277" spans="1:1">
      <c r="A1277" s="7"/>
    </row>
    <row r="1278" spans="1:1">
      <c r="A1278" s="7"/>
    </row>
    <row r="1279" spans="1:1">
      <c r="A1279" s="7"/>
    </row>
    <row r="1280" spans="1:1">
      <c r="A1280" s="7"/>
    </row>
    <row r="1281" spans="1:1">
      <c r="A1281" s="7"/>
    </row>
    <row r="1282" spans="1:1">
      <c r="A1282" s="7"/>
    </row>
    <row r="1283" spans="1:1">
      <c r="A1283" s="7"/>
    </row>
    <row r="1284" spans="1:1">
      <c r="A1284" s="7"/>
    </row>
    <row r="1285" spans="1:1">
      <c r="A1285" s="7"/>
    </row>
    <row r="1286" spans="1:1">
      <c r="A1286" s="7"/>
    </row>
    <row r="1287" spans="1:1">
      <c r="A1287" s="7"/>
    </row>
    <row r="1288" spans="1:1">
      <c r="A1288" s="7"/>
    </row>
    <row r="1289" spans="1:1">
      <c r="A1289" s="7"/>
    </row>
    <row r="1290" spans="1:1">
      <c r="A1290" s="7"/>
    </row>
    <row r="1291" spans="1:1">
      <c r="A1291" s="7"/>
    </row>
    <row r="1292" spans="1:1">
      <c r="A1292" s="7"/>
    </row>
    <row r="1293" spans="1:1">
      <c r="A1293" s="7"/>
    </row>
    <row r="1294" spans="1:1">
      <c r="A1294" s="7"/>
    </row>
    <row r="1295" spans="1:1">
      <c r="A1295" s="7"/>
    </row>
    <row r="1296" spans="1:1">
      <c r="A1296" s="7"/>
    </row>
    <row r="1297" spans="1:1">
      <c r="A1297" s="7"/>
    </row>
    <row r="1298" spans="1:1">
      <c r="A1298" s="7"/>
    </row>
    <row r="1299" spans="1:1">
      <c r="A1299" s="7"/>
    </row>
    <row r="1300" spans="1:1">
      <c r="A1300" s="7"/>
    </row>
    <row r="1301" spans="1:1">
      <c r="A1301" s="7"/>
    </row>
    <row r="1302" spans="1:1">
      <c r="A1302" s="7"/>
    </row>
    <row r="1303" spans="1:1">
      <c r="A1303" s="7"/>
    </row>
    <row r="1304" spans="1:1">
      <c r="A1304" s="7"/>
    </row>
    <row r="1305" spans="1:1">
      <c r="A1305" s="7"/>
    </row>
    <row r="1306" spans="1:1">
      <c r="A1306" s="7"/>
    </row>
    <row r="1307" spans="1:1">
      <c r="A1307" s="7"/>
    </row>
    <row r="1308" spans="1:1">
      <c r="A1308" s="7"/>
    </row>
    <row r="1309" spans="1:1">
      <c r="A1309" s="7"/>
    </row>
    <row r="1310" spans="1:1">
      <c r="A1310" s="7"/>
    </row>
    <row r="1311" spans="1:1">
      <c r="A1311" s="7"/>
    </row>
    <row r="1312" spans="1:1">
      <c r="A1312" s="7"/>
    </row>
    <row r="1313" spans="1:1">
      <c r="A1313" s="7"/>
    </row>
    <row r="1314" spans="1:1">
      <c r="A1314" s="7"/>
    </row>
    <row r="1315" spans="1:1">
      <c r="A1315" s="7"/>
    </row>
    <row r="1316" spans="1:1">
      <c r="A1316" s="7"/>
    </row>
    <row r="1317" spans="1:1">
      <c r="A1317" s="7"/>
    </row>
    <row r="1318" spans="1:1">
      <c r="A1318" s="7"/>
    </row>
    <row r="1319" spans="1:1">
      <c r="A1319" s="7"/>
    </row>
    <row r="1320" spans="1:1">
      <c r="A1320" s="7"/>
    </row>
    <row r="1321" spans="1:1">
      <c r="A1321" s="7"/>
    </row>
    <row r="1322" spans="1:1">
      <c r="A1322" s="7"/>
    </row>
    <row r="1323" spans="1:1">
      <c r="A1323" s="7"/>
    </row>
    <row r="1324" spans="1:1">
      <c r="A1324" s="7"/>
    </row>
    <row r="1325" spans="1:1">
      <c r="A1325" s="7"/>
    </row>
    <row r="1326" spans="1:1">
      <c r="A1326" s="7"/>
    </row>
    <row r="1327" spans="1:1">
      <c r="A1327" s="7"/>
    </row>
    <row r="1328" spans="1:1">
      <c r="A1328" s="7"/>
    </row>
    <row r="1329" spans="1:1">
      <c r="A1329" s="7"/>
    </row>
    <row r="1330" spans="1:1">
      <c r="A1330" s="7"/>
    </row>
    <row r="1331" spans="1:1">
      <c r="A1331" s="7"/>
    </row>
    <row r="1332" spans="1:1">
      <c r="A1332" s="7"/>
    </row>
    <row r="1333" spans="1:1">
      <c r="A1333" s="7"/>
    </row>
    <row r="1334" spans="1:1">
      <c r="A1334" s="7"/>
    </row>
    <row r="1335" spans="1:1">
      <c r="A1335" s="7"/>
    </row>
    <row r="1336" spans="1:1">
      <c r="A1336" s="7"/>
    </row>
    <row r="1337" spans="1:1">
      <c r="A1337" s="7"/>
    </row>
    <row r="1338" spans="1:1">
      <c r="A1338" s="7"/>
    </row>
    <row r="1339" spans="1:1">
      <c r="A1339" s="7"/>
    </row>
    <row r="1340" spans="1:1">
      <c r="A1340" s="7"/>
    </row>
    <row r="1341" spans="1:1">
      <c r="A1341" s="7"/>
    </row>
    <row r="1342" spans="1:1">
      <c r="A1342" s="7"/>
    </row>
    <row r="1343" spans="1:1">
      <c r="A1343" s="7"/>
    </row>
    <row r="1344" spans="1:1">
      <c r="A1344" s="7"/>
    </row>
    <row r="1345" spans="1:1">
      <c r="A1345" s="7"/>
    </row>
    <row r="1346" spans="1:1">
      <c r="A1346" s="7"/>
    </row>
    <row r="1347" spans="1:1">
      <c r="A1347" s="7"/>
    </row>
    <row r="1348" spans="1:1">
      <c r="A1348" s="7"/>
    </row>
    <row r="1349" spans="1:1">
      <c r="A1349" s="7"/>
    </row>
    <row r="1350" spans="1:1">
      <c r="A1350" s="7"/>
    </row>
    <row r="1351" spans="1:1">
      <c r="A1351" s="7"/>
    </row>
    <row r="1352" spans="1:1">
      <c r="A1352" s="7"/>
    </row>
    <row r="1353" spans="1:1">
      <c r="A1353" s="7"/>
    </row>
    <row r="1354" spans="1:1">
      <c r="A1354" s="7"/>
    </row>
    <row r="1355" spans="1:1">
      <c r="A1355" s="7"/>
    </row>
    <row r="1356" spans="1:1">
      <c r="A1356" s="7"/>
    </row>
    <row r="1357" spans="1:1">
      <c r="A1357" s="7"/>
    </row>
    <row r="1358" spans="1:1">
      <c r="A1358" s="7"/>
    </row>
    <row r="1359" spans="1:1">
      <c r="A1359" s="7"/>
    </row>
    <row r="1360" spans="1:1">
      <c r="A1360" s="7"/>
    </row>
    <row r="1361" spans="1:1">
      <c r="A1361" s="7"/>
    </row>
    <row r="1362" spans="1:1">
      <c r="A1362" s="7"/>
    </row>
    <row r="1363" spans="1:1">
      <c r="A1363" s="7"/>
    </row>
    <row r="1364" spans="1:1">
      <c r="A1364" s="7"/>
    </row>
    <row r="1365" spans="1:1">
      <c r="A1365" s="7"/>
    </row>
    <row r="1366" spans="1:1">
      <c r="A1366" s="7"/>
    </row>
    <row r="1367" spans="1:1">
      <c r="A1367" s="7"/>
    </row>
    <row r="1368" spans="1:1">
      <c r="A1368" s="7"/>
    </row>
    <row r="1369" spans="1:1">
      <c r="A1369" s="7"/>
    </row>
    <row r="1370" spans="1:1">
      <c r="A1370" s="7"/>
    </row>
    <row r="1371" spans="1:1">
      <c r="A1371" s="7"/>
    </row>
    <row r="1372" spans="1:1">
      <c r="A1372" s="7"/>
    </row>
    <row r="1373" spans="1:1">
      <c r="A1373" s="7"/>
    </row>
    <row r="1374" spans="1:1">
      <c r="A1374" s="7"/>
    </row>
    <row r="1375" spans="1:1">
      <c r="A1375" s="7"/>
    </row>
    <row r="1376" spans="1:1">
      <c r="A1376" s="7"/>
    </row>
    <row r="1377" spans="1:1">
      <c r="A1377" s="7"/>
    </row>
    <row r="1378" spans="1:1">
      <c r="A1378" s="7"/>
    </row>
    <row r="1379" spans="1:1">
      <c r="A1379" s="7"/>
    </row>
    <row r="1380" spans="1:1">
      <c r="A1380" s="7"/>
    </row>
    <row r="1381" spans="1:1">
      <c r="A1381" s="7"/>
    </row>
    <row r="1382" spans="1:1">
      <c r="A1382" s="7"/>
    </row>
    <row r="1383" spans="1:1">
      <c r="A1383" s="7"/>
    </row>
    <row r="1384" spans="1:1">
      <c r="A1384" s="7"/>
    </row>
    <row r="1385" spans="1:1">
      <c r="A1385" s="7"/>
    </row>
    <row r="1386" spans="1:1">
      <c r="A1386" s="7"/>
    </row>
    <row r="1387" spans="1:1">
      <c r="A1387" s="7"/>
    </row>
    <row r="1388" spans="1:1">
      <c r="A1388" s="7"/>
    </row>
    <row r="1389" spans="1:1">
      <c r="A1389" s="7"/>
    </row>
    <row r="1390" spans="1:1">
      <c r="A1390" s="7"/>
    </row>
    <row r="1391" spans="1:1">
      <c r="A1391" s="7"/>
    </row>
    <row r="1392" spans="1:1">
      <c r="A1392" s="7"/>
    </row>
    <row r="1393" spans="1:1">
      <c r="A1393" s="7"/>
    </row>
    <row r="1394" spans="1:1">
      <c r="A1394" s="7"/>
    </row>
    <row r="1395" spans="1:1">
      <c r="A1395" s="7"/>
    </row>
    <row r="1396" spans="1:1">
      <c r="A1396" s="7"/>
    </row>
    <row r="1397" spans="1:1">
      <c r="A1397" s="7"/>
    </row>
    <row r="1398" spans="1:1">
      <c r="A1398" s="7"/>
    </row>
    <row r="1399" spans="1:1">
      <c r="A1399" s="7"/>
    </row>
    <row r="1400" spans="1:1">
      <c r="A1400" s="7"/>
    </row>
    <row r="1401" spans="1:1">
      <c r="A1401" s="7"/>
    </row>
    <row r="1402" spans="1:1">
      <c r="A1402" s="7"/>
    </row>
    <row r="1403" spans="1:1">
      <c r="A1403" s="7"/>
    </row>
    <row r="1404" spans="1:1">
      <c r="A1404" s="7"/>
    </row>
    <row r="1405" spans="1:1">
      <c r="A1405" s="7"/>
    </row>
    <row r="1406" spans="1:1">
      <c r="A1406" s="7"/>
    </row>
    <row r="1407" spans="1:1">
      <c r="A1407" s="7"/>
    </row>
    <row r="1408" spans="1:1">
      <c r="A1408" s="7"/>
    </row>
    <row r="1409" spans="1:1">
      <c r="A1409" s="7"/>
    </row>
    <row r="1410" spans="1:1">
      <c r="A1410" s="7"/>
    </row>
    <row r="1411" spans="1:1">
      <c r="A1411" s="7"/>
    </row>
    <row r="1412" spans="1:1">
      <c r="A1412" s="7"/>
    </row>
    <row r="1413" spans="1:1">
      <c r="A1413" s="7"/>
    </row>
    <row r="1414" spans="1:1">
      <c r="A1414" s="7"/>
    </row>
    <row r="1415" spans="1:1">
      <c r="A1415" s="7"/>
    </row>
    <row r="1416" spans="1:1">
      <c r="A1416" s="7"/>
    </row>
    <row r="1417" spans="1:1">
      <c r="A1417" s="7"/>
    </row>
    <row r="1418" spans="1:1">
      <c r="A1418" s="7"/>
    </row>
    <row r="1419" spans="1:1">
      <c r="A1419" s="7"/>
    </row>
    <row r="1420" spans="1:1">
      <c r="A1420" s="7"/>
    </row>
    <row r="1421" spans="1:1">
      <c r="A1421" s="7"/>
    </row>
    <row r="1422" spans="1:1">
      <c r="A1422" s="7"/>
    </row>
    <row r="1423" spans="1:1">
      <c r="A1423" s="7"/>
    </row>
    <row r="1424" spans="1:1">
      <c r="A1424" s="7"/>
    </row>
    <row r="1425" spans="1:1">
      <c r="A1425" s="7"/>
    </row>
    <row r="1426" spans="1:1">
      <c r="A1426" s="7"/>
    </row>
    <row r="1427" spans="1:1">
      <c r="A1427" s="7"/>
    </row>
    <row r="1428" spans="1:1">
      <c r="A1428" s="7"/>
    </row>
    <row r="1429" spans="1:1">
      <c r="A1429" s="7"/>
    </row>
    <row r="1430" spans="1:1">
      <c r="A1430" s="7"/>
    </row>
    <row r="1431" spans="1:1">
      <c r="A1431" s="7"/>
    </row>
    <row r="1432" spans="1:1">
      <c r="A1432" s="7"/>
    </row>
    <row r="1433" spans="1:1">
      <c r="A1433" s="7"/>
    </row>
    <row r="1434" spans="1:1">
      <c r="A1434" s="7"/>
    </row>
    <row r="1435" spans="1:1">
      <c r="A1435" s="7"/>
    </row>
    <row r="1436" spans="1:1">
      <c r="A1436" s="7"/>
    </row>
    <row r="1437" spans="1:1">
      <c r="A1437" s="7"/>
    </row>
    <row r="1438" spans="1:1">
      <c r="A1438" s="7"/>
    </row>
    <row r="1439" spans="1:1">
      <c r="A1439" s="7"/>
    </row>
    <row r="1440" spans="1:1">
      <c r="A1440" s="7"/>
    </row>
    <row r="1441" spans="1:1">
      <c r="A1441" s="7"/>
    </row>
    <row r="1442" spans="1:1">
      <c r="A1442" s="7"/>
    </row>
    <row r="1443" spans="1:1">
      <c r="A1443" s="7"/>
    </row>
    <row r="1444" spans="1:1">
      <c r="A1444" s="7"/>
    </row>
    <row r="1445" spans="1:1">
      <c r="A1445" s="7"/>
    </row>
    <row r="1446" spans="1:1">
      <c r="A1446" s="7"/>
    </row>
    <row r="1447" spans="1:1">
      <c r="A1447" s="7"/>
    </row>
    <row r="1448" spans="1:1">
      <c r="A1448" s="7"/>
    </row>
    <row r="1449" spans="1:1">
      <c r="A1449" s="7"/>
    </row>
    <row r="1450" spans="1:1">
      <c r="A1450" s="7"/>
    </row>
    <row r="1451" spans="1:1">
      <c r="A1451" s="7"/>
    </row>
    <row r="1452" spans="1:1">
      <c r="A1452" s="7"/>
    </row>
    <row r="1453" spans="1:1">
      <c r="A1453" s="7"/>
    </row>
    <row r="1454" spans="1:1">
      <c r="A1454" s="7"/>
    </row>
    <row r="1455" spans="1:1">
      <c r="A1455" s="7"/>
    </row>
    <row r="1456" spans="1:1">
      <c r="A1456" s="7"/>
    </row>
    <row r="1457" spans="1:1">
      <c r="A1457" s="7"/>
    </row>
    <row r="1458" spans="1:1">
      <c r="A1458" s="7"/>
    </row>
    <row r="1459" spans="1:1">
      <c r="A1459" s="7"/>
    </row>
    <row r="1460" spans="1:1">
      <c r="A1460" s="7"/>
    </row>
    <row r="1461" spans="1:1">
      <c r="A1461" s="7"/>
    </row>
    <row r="1462" spans="1:1">
      <c r="A1462" s="7"/>
    </row>
    <row r="1463" spans="1:1">
      <c r="A1463" s="7"/>
    </row>
    <row r="1464" spans="1:1">
      <c r="A1464" s="7"/>
    </row>
    <row r="1465" spans="1:1">
      <c r="A1465" s="7"/>
    </row>
    <row r="1466" spans="1:1">
      <c r="A1466" s="7"/>
    </row>
    <row r="1467" spans="1:1">
      <c r="A1467" s="7"/>
    </row>
    <row r="1468" spans="1:1">
      <c r="A1468" s="7"/>
    </row>
    <row r="1469" spans="1:1">
      <c r="A1469" s="7"/>
    </row>
    <row r="1470" spans="1:1">
      <c r="A1470" s="7"/>
    </row>
    <row r="1471" spans="1:1">
      <c r="A1471" s="7"/>
    </row>
    <row r="1472" spans="1:1">
      <c r="A1472" s="7"/>
    </row>
    <row r="1473" spans="1:1">
      <c r="A1473" s="7"/>
    </row>
    <row r="1474" spans="1:1">
      <c r="A1474" s="7"/>
    </row>
    <row r="1475" spans="1:1">
      <c r="A1475" s="7"/>
    </row>
    <row r="1476" spans="1:1">
      <c r="A1476" s="7"/>
    </row>
    <row r="1477" spans="1:1">
      <c r="A1477" s="7"/>
    </row>
    <row r="1478" spans="1:1">
      <c r="A1478" s="7"/>
    </row>
    <row r="1479" spans="1:1">
      <c r="A1479" s="7"/>
    </row>
    <row r="1480" spans="1:1">
      <c r="A1480" s="7"/>
    </row>
    <row r="1481" spans="1:1">
      <c r="A1481" s="7"/>
    </row>
    <row r="1482" spans="1:1">
      <c r="A1482" s="7"/>
    </row>
    <row r="1483" spans="1:1">
      <c r="A1483" s="7"/>
    </row>
    <row r="1484" spans="1:1">
      <c r="A1484" s="7"/>
    </row>
    <row r="1485" spans="1:1">
      <c r="A1485" s="7"/>
    </row>
    <row r="1486" spans="1:1">
      <c r="A1486" s="7"/>
    </row>
    <row r="1487" spans="1:1">
      <c r="A1487" s="7"/>
    </row>
    <row r="1488" spans="1:1">
      <c r="A1488" s="7"/>
    </row>
    <row r="1489" spans="1:1">
      <c r="A1489" s="7"/>
    </row>
    <row r="1490" spans="1:1">
      <c r="A1490" s="7"/>
    </row>
    <row r="1491" spans="1:1">
      <c r="A1491" s="7"/>
    </row>
    <row r="1492" spans="1:1">
      <c r="A1492" s="7"/>
    </row>
    <row r="1493" spans="1:1">
      <c r="A1493" s="7"/>
    </row>
    <row r="1494" spans="1:1">
      <c r="A1494" s="7"/>
    </row>
    <row r="1495" spans="1:1">
      <c r="A1495" s="7"/>
    </row>
    <row r="1496" spans="1:1">
      <c r="A1496" s="7"/>
    </row>
    <row r="1497" spans="1:1">
      <c r="A1497" s="7"/>
    </row>
    <row r="1498" spans="1:1">
      <c r="A1498" s="7"/>
    </row>
    <row r="1499" spans="1:1">
      <c r="A1499" s="7"/>
    </row>
    <row r="1500" spans="1:1">
      <c r="A1500" s="7"/>
    </row>
    <row r="1501" spans="1:1">
      <c r="A1501" s="7"/>
    </row>
    <row r="1502" spans="1:1">
      <c r="A1502" s="7"/>
    </row>
    <row r="1503" spans="1:1">
      <c r="A1503" s="7"/>
    </row>
    <row r="1504" spans="1:1">
      <c r="A1504" s="7"/>
    </row>
    <row r="1505" spans="1:1">
      <c r="A1505" s="7"/>
    </row>
    <row r="1506" spans="1:1">
      <c r="A1506" s="7"/>
    </row>
    <row r="1507" spans="1:1">
      <c r="A1507" s="7"/>
    </row>
    <row r="1508" spans="1:1">
      <c r="A1508" s="7"/>
    </row>
    <row r="1509" spans="1:1">
      <c r="A1509" s="7"/>
    </row>
    <row r="1510" spans="1:1">
      <c r="A1510" s="7"/>
    </row>
    <row r="1511" spans="1:1">
      <c r="A1511" s="7"/>
    </row>
    <row r="1512" spans="1:1">
      <c r="A1512" s="7"/>
    </row>
    <row r="1513" spans="1:1">
      <c r="A1513" s="7"/>
    </row>
    <row r="1514" spans="1:1">
      <c r="A1514" s="7"/>
    </row>
    <row r="1515" spans="1:1">
      <c r="A1515" s="7"/>
    </row>
    <row r="1516" spans="1:1">
      <c r="A1516" s="7"/>
    </row>
    <row r="1517" spans="1:1">
      <c r="A1517" s="7"/>
    </row>
    <row r="1518" spans="1:1">
      <c r="A1518" s="7"/>
    </row>
    <row r="1519" spans="1:1">
      <c r="A1519" s="7"/>
    </row>
    <row r="1520" spans="1:1">
      <c r="A1520" s="7"/>
    </row>
    <row r="1521" spans="1:1">
      <c r="A1521" s="7"/>
    </row>
    <row r="1522" spans="1:1">
      <c r="A1522" s="7"/>
    </row>
    <row r="1523" spans="1:1">
      <c r="A1523" s="7"/>
    </row>
    <row r="1524" spans="1:1">
      <c r="A1524" s="7"/>
    </row>
    <row r="1525" spans="1:1">
      <c r="A1525" s="7"/>
    </row>
    <row r="1526" spans="1:1">
      <c r="A1526" s="7"/>
    </row>
    <row r="1527" spans="1:1">
      <c r="A1527" s="7"/>
    </row>
    <row r="1528" spans="1:1">
      <c r="A1528" s="7"/>
    </row>
    <row r="1529" spans="1:1">
      <c r="A1529" s="7"/>
    </row>
    <row r="1530" spans="1:1">
      <c r="A1530" s="7"/>
    </row>
    <row r="1531" spans="1:1">
      <c r="A1531" s="7"/>
    </row>
    <row r="1532" spans="1:1">
      <c r="A1532" s="7"/>
    </row>
    <row r="1533" spans="1:1">
      <c r="A1533" s="7"/>
    </row>
    <row r="1534" spans="1:1">
      <c r="A1534" s="7"/>
    </row>
    <row r="1535" spans="1:1">
      <c r="A1535" s="7"/>
    </row>
    <row r="1536" spans="1:1">
      <c r="A1536" s="7"/>
    </row>
    <row r="1537" spans="1:1">
      <c r="A1537" s="7"/>
    </row>
    <row r="1538" spans="1:1">
      <c r="A1538" s="7"/>
    </row>
    <row r="1539" spans="1:1">
      <c r="A1539" s="7"/>
    </row>
    <row r="1540" spans="1:1">
      <c r="A1540" s="7"/>
    </row>
    <row r="1541" spans="1:1">
      <c r="A1541" s="7"/>
    </row>
    <row r="1542" spans="1:1">
      <c r="A1542" s="7"/>
    </row>
    <row r="1543" spans="1:1">
      <c r="A1543" s="7"/>
    </row>
    <row r="1544" spans="1:1">
      <c r="A1544" s="7"/>
    </row>
    <row r="1545" spans="1:1">
      <c r="A1545" s="7"/>
    </row>
    <row r="1546" spans="1:1">
      <c r="A1546" s="7"/>
    </row>
    <row r="1547" spans="1:1">
      <c r="A1547" s="7"/>
    </row>
    <row r="1548" spans="1:1">
      <c r="A1548" s="7"/>
    </row>
    <row r="1549" spans="1:1">
      <c r="A1549" s="7"/>
    </row>
    <row r="1550" spans="1:1">
      <c r="A1550" s="7"/>
    </row>
    <row r="1551" spans="1:1">
      <c r="A1551" s="7"/>
    </row>
    <row r="1552" spans="1:1">
      <c r="A1552" s="7"/>
    </row>
    <row r="1553" spans="1:1">
      <c r="A1553" s="7"/>
    </row>
    <row r="1554" spans="1:1">
      <c r="A1554" s="7"/>
    </row>
    <row r="1555" spans="1:1">
      <c r="A1555" s="7"/>
    </row>
    <row r="1556" spans="1:1">
      <c r="A1556" s="7"/>
    </row>
    <row r="1557" spans="1:1">
      <c r="A1557" s="7"/>
    </row>
    <row r="1558" spans="1:1">
      <c r="A1558" s="7"/>
    </row>
    <row r="1559" spans="1:1">
      <c r="A1559" s="7"/>
    </row>
    <row r="1560" spans="1:1">
      <c r="A1560" s="7"/>
    </row>
    <row r="1561" spans="1:1">
      <c r="A1561" s="7"/>
    </row>
    <row r="1562" spans="1:1">
      <c r="A1562" s="7"/>
    </row>
    <row r="1563" spans="1:1">
      <c r="A1563" s="7"/>
    </row>
    <row r="1564" spans="1:1">
      <c r="A1564" s="7"/>
    </row>
    <row r="1565" spans="1:1">
      <c r="A1565" s="7"/>
    </row>
    <row r="1566" spans="1:1">
      <c r="A1566" s="7"/>
    </row>
    <row r="1567" spans="1:1">
      <c r="A1567" s="7"/>
    </row>
    <row r="1568" spans="1:1">
      <c r="A1568" s="7"/>
    </row>
    <row r="1569" spans="1:1">
      <c r="A1569" s="7"/>
    </row>
    <row r="1570" spans="1:1">
      <c r="A1570" s="7"/>
    </row>
    <row r="1571" spans="1:1">
      <c r="A1571" s="7"/>
    </row>
    <row r="1572" spans="1:1">
      <c r="A1572" s="7"/>
    </row>
    <row r="1573" spans="1:1">
      <c r="A1573" s="7"/>
    </row>
    <row r="1574" spans="1:1">
      <c r="A1574" s="7"/>
    </row>
    <row r="1575" spans="1:1">
      <c r="A1575" s="7"/>
    </row>
    <row r="1576" spans="1:1">
      <c r="A1576" s="7"/>
    </row>
    <row r="1577" spans="1:1">
      <c r="A1577" s="7"/>
    </row>
    <row r="1578" spans="1:1">
      <c r="A1578" s="7"/>
    </row>
    <row r="1579" spans="1:1">
      <c r="A1579" s="7"/>
    </row>
    <row r="1580" spans="1:1">
      <c r="A1580" s="7"/>
    </row>
    <row r="1581" spans="1:1">
      <c r="A1581" s="7"/>
    </row>
    <row r="1582" spans="1:1">
      <c r="A1582" s="7"/>
    </row>
    <row r="1583" spans="1:1">
      <c r="A1583" s="7"/>
    </row>
    <row r="1584" spans="1:1">
      <c r="A1584" s="7"/>
    </row>
    <row r="1585" spans="1:1">
      <c r="A1585" s="7"/>
    </row>
    <row r="1586" spans="1:1">
      <c r="A1586" s="7"/>
    </row>
    <row r="1587" spans="1:1">
      <c r="A1587" s="7"/>
    </row>
    <row r="1588" spans="1:1">
      <c r="A1588" s="7"/>
    </row>
    <row r="1589" spans="1:1">
      <c r="A1589" s="7"/>
    </row>
    <row r="1590" spans="1:1">
      <c r="A1590" s="7"/>
    </row>
    <row r="1591" spans="1:1">
      <c r="A1591" s="7"/>
    </row>
    <row r="1592" spans="1:1">
      <c r="A1592" s="7"/>
    </row>
    <row r="1593" spans="1:1">
      <c r="A1593" s="7"/>
    </row>
    <row r="1594" spans="1:1">
      <c r="A1594" s="7"/>
    </row>
    <row r="1595" spans="1:1">
      <c r="A1595" s="7"/>
    </row>
    <row r="1596" spans="1:1">
      <c r="A1596" s="7"/>
    </row>
    <row r="1597" spans="1:1">
      <c r="A1597" s="7"/>
    </row>
    <row r="1598" spans="1:1">
      <c r="A1598" s="7"/>
    </row>
    <row r="1599" spans="1:1">
      <c r="A1599" s="7"/>
    </row>
    <row r="1600" spans="1:1">
      <c r="A1600" s="7"/>
    </row>
    <row r="1601" spans="1:1">
      <c r="A1601" s="7"/>
    </row>
    <row r="1602" spans="1:1">
      <c r="A1602" s="7"/>
    </row>
    <row r="1603" spans="1:1">
      <c r="A1603" s="7"/>
    </row>
    <row r="1604" spans="1:1">
      <c r="A1604" s="7"/>
    </row>
    <row r="1605" spans="1:1">
      <c r="A1605" s="7"/>
    </row>
    <row r="1606" spans="1:1">
      <c r="A1606" s="7"/>
    </row>
    <row r="1607" spans="1:1">
      <c r="A1607" s="7"/>
    </row>
    <row r="1608" spans="1:1">
      <c r="A1608" s="7"/>
    </row>
    <row r="1609" spans="1:1">
      <c r="A1609" s="7"/>
    </row>
    <row r="1610" spans="1:1">
      <c r="A1610" s="7"/>
    </row>
    <row r="1611" spans="1:1">
      <c r="A1611" s="7"/>
    </row>
    <row r="1612" spans="1:1">
      <c r="A1612" s="7"/>
    </row>
    <row r="1613" spans="1:1">
      <c r="A1613" s="7"/>
    </row>
    <row r="1614" spans="1:1">
      <c r="A1614" s="7"/>
    </row>
    <row r="1615" spans="1:1">
      <c r="A1615" s="7"/>
    </row>
    <row r="1616" spans="1:1">
      <c r="A1616" s="7"/>
    </row>
    <row r="1617" spans="1:1">
      <c r="A1617" s="7"/>
    </row>
    <row r="1618" spans="1:1">
      <c r="A1618" s="7"/>
    </row>
    <row r="1619" spans="1:1">
      <c r="A1619" s="7"/>
    </row>
    <row r="1620" spans="1:1">
      <c r="A1620" s="7"/>
    </row>
    <row r="1621" spans="1:1">
      <c r="A1621" s="7"/>
    </row>
    <row r="1622" spans="1:1">
      <c r="A1622" s="7"/>
    </row>
    <row r="1623" spans="1:1">
      <c r="A1623" s="7"/>
    </row>
    <row r="1624" spans="1:1">
      <c r="A1624" s="7"/>
    </row>
    <row r="1625" spans="1:1">
      <c r="A1625" s="7"/>
    </row>
    <row r="1626" spans="1:1">
      <c r="A1626" s="7"/>
    </row>
    <row r="1627" spans="1:1">
      <c r="A1627" s="7"/>
    </row>
    <row r="1628" spans="1:1">
      <c r="A1628" s="7"/>
    </row>
    <row r="1629" spans="1:1">
      <c r="A1629" s="7"/>
    </row>
    <row r="1630" spans="1:1">
      <c r="A1630" s="7"/>
    </row>
    <row r="1631" spans="1:1">
      <c r="A1631" s="7"/>
    </row>
    <row r="1632" spans="1:1">
      <c r="A1632" s="7"/>
    </row>
    <row r="1633" spans="1:1">
      <c r="A1633" s="7"/>
    </row>
    <row r="1634" spans="1:1">
      <c r="A1634" s="7"/>
    </row>
    <row r="1635" spans="1:1">
      <c r="A1635" s="7"/>
    </row>
    <row r="1636" spans="1:1">
      <c r="A1636" s="7"/>
    </row>
    <row r="1637" spans="1:1">
      <c r="A1637" s="7"/>
    </row>
    <row r="1638" spans="1:1">
      <c r="A1638" s="7"/>
    </row>
    <row r="1639" spans="1:1">
      <c r="A1639" s="7"/>
    </row>
    <row r="1640" spans="1:1">
      <c r="A1640" s="7"/>
    </row>
    <row r="1641" spans="1:1">
      <c r="A1641" s="7"/>
    </row>
    <row r="1642" spans="1:1">
      <c r="A1642" s="7"/>
    </row>
    <row r="1643" spans="1:1">
      <c r="A1643" s="7"/>
    </row>
    <row r="1644" spans="1:1">
      <c r="A1644" s="7"/>
    </row>
    <row r="1645" spans="1:1">
      <c r="A1645" s="7"/>
    </row>
    <row r="1646" spans="1:1">
      <c r="A1646" s="7"/>
    </row>
    <row r="1647" spans="1:1">
      <c r="A1647" s="7"/>
    </row>
    <row r="1648" spans="1:1">
      <c r="A1648" s="7"/>
    </row>
    <row r="1649" spans="1:1">
      <c r="A1649" s="7"/>
    </row>
    <row r="1650" spans="1:1">
      <c r="A1650" s="7"/>
    </row>
    <row r="1651" spans="1:1">
      <c r="A1651" s="7"/>
    </row>
    <row r="1652" spans="1:1">
      <c r="A1652" s="7"/>
    </row>
    <row r="1653" spans="1:1">
      <c r="A1653" s="7"/>
    </row>
    <row r="1654" spans="1:1">
      <c r="A1654" s="7"/>
    </row>
    <row r="1655" spans="1:1">
      <c r="A1655" s="7"/>
    </row>
    <row r="1656" spans="1:1">
      <c r="A1656" s="7"/>
    </row>
    <row r="1657" spans="1:1">
      <c r="A1657" s="7"/>
    </row>
    <row r="1658" spans="1:1">
      <c r="A1658" s="7"/>
    </row>
    <row r="1659" spans="1:1">
      <c r="A1659" s="7"/>
    </row>
    <row r="1660" spans="1:1">
      <c r="A1660" s="7"/>
    </row>
    <row r="1661" spans="1:1">
      <c r="A1661" s="7"/>
    </row>
    <row r="1662" spans="1:1">
      <c r="A1662" s="7"/>
    </row>
    <row r="1663" spans="1:1">
      <c r="A1663" s="7"/>
    </row>
    <row r="1664" spans="1:1">
      <c r="A1664" s="7"/>
    </row>
    <row r="1665" spans="1:1">
      <c r="A1665" s="7"/>
    </row>
    <row r="1666" spans="1:1">
      <c r="A1666" s="7"/>
    </row>
    <row r="1667" spans="1:1">
      <c r="A1667" s="7"/>
    </row>
    <row r="1668" spans="1:1">
      <c r="A1668" s="7"/>
    </row>
    <row r="1669" spans="1:1">
      <c r="A1669" s="7"/>
    </row>
    <row r="1670" spans="1:1">
      <c r="A1670" s="7"/>
    </row>
    <row r="1671" spans="1:1">
      <c r="A1671" s="7"/>
    </row>
    <row r="1672" spans="1:1">
      <c r="A1672" s="7"/>
    </row>
    <row r="1673" spans="1:1">
      <c r="A1673" s="7"/>
    </row>
    <row r="1674" spans="1:1">
      <c r="A1674" s="7"/>
    </row>
    <row r="1675" spans="1:1">
      <c r="A1675" s="7"/>
    </row>
    <row r="1676" spans="1:1">
      <c r="A1676" s="7"/>
    </row>
    <row r="1677" spans="1:1">
      <c r="A1677" s="7"/>
    </row>
    <row r="1678" spans="1:1">
      <c r="A1678" s="7"/>
    </row>
    <row r="1679" spans="1:1">
      <c r="A1679" s="7"/>
    </row>
    <row r="1680" spans="1:1">
      <c r="A1680" s="7"/>
    </row>
    <row r="1681" spans="1:1">
      <c r="A1681" s="7"/>
    </row>
    <row r="1682" spans="1:1">
      <c r="A1682" s="7"/>
    </row>
    <row r="1683" spans="1:1">
      <c r="A1683" s="7"/>
    </row>
    <row r="1684" spans="1:1">
      <c r="A1684" s="7"/>
    </row>
    <row r="1685" spans="1:1">
      <c r="A1685" s="7"/>
    </row>
    <row r="1686" spans="1:1">
      <c r="A1686" s="7"/>
    </row>
    <row r="1687" spans="1:1">
      <c r="A1687" s="7"/>
    </row>
    <row r="1688" spans="1:1">
      <c r="A1688" s="7"/>
    </row>
    <row r="1689" spans="1:1">
      <c r="A1689" s="7"/>
    </row>
    <row r="1690" spans="1:1">
      <c r="A1690" s="7"/>
    </row>
    <row r="1691" spans="1:1">
      <c r="A1691" s="7"/>
    </row>
    <row r="1692" spans="1:1">
      <c r="A1692" s="7"/>
    </row>
    <row r="1693" spans="1:1">
      <c r="A1693" s="7"/>
    </row>
    <row r="1694" spans="1:1">
      <c r="A1694" s="7"/>
    </row>
    <row r="1695" spans="1:1">
      <c r="A1695" s="7"/>
    </row>
    <row r="1696" spans="1:1">
      <c r="A1696" s="7"/>
    </row>
    <row r="1697" spans="1:1">
      <c r="A1697" s="7"/>
    </row>
    <row r="1698" spans="1:1">
      <c r="A1698" s="7"/>
    </row>
    <row r="1699" spans="1:1">
      <c r="A1699" s="7"/>
    </row>
    <row r="1700" spans="1:1">
      <c r="A1700" s="7"/>
    </row>
    <row r="1701" spans="1:1">
      <c r="A1701" s="7"/>
    </row>
    <row r="1702" spans="1:1">
      <c r="A1702" s="7"/>
    </row>
    <row r="1703" spans="1:1">
      <c r="A1703" s="7"/>
    </row>
    <row r="1704" spans="1:1">
      <c r="A1704" s="7"/>
    </row>
    <row r="1705" spans="1:1">
      <c r="A1705" s="7"/>
    </row>
    <row r="1706" spans="1:1">
      <c r="A1706" s="7"/>
    </row>
    <row r="1707" spans="1:1">
      <c r="A1707" s="7"/>
    </row>
    <row r="1708" spans="1:1">
      <c r="A1708" s="7"/>
    </row>
    <row r="1709" spans="1:1">
      <c r="A1709" s="7"/>
    </row>
    <row r="1710" spans="1:1">
      <c r="A1710" s="7"/>
    </row>
    <row r="1711" spans="1:1">
      <c r="A1711" s="7"/>
    </row>
    <row r="1712" spans="1:1">
      <c r="A1712" s="7"/>
    </row>
    <row r="1713" spans="1:1">
      <c r="A1713" s="7"/>
    </row>
    <row r="1714" spans="1:1">
      <c r="A1714" s="7"/>
    </row>
    <row r="1715" spans="1:1">
      <c r="A1715" s="7"/>
    </row>
    <row r="1716" spans="1:1">
      <c r="A1716" s="7"/>
    </row>
    <row r="1717" spans="1:1">
      <c r="A1717" s="7"/>
    </row>
    <row r="1718" spans="1:1">
      <c r="A1718" s="7"/>
    </row>
    <row r="1719" spans="1:1">
      <c r="A1719" s="7"/>
    </row>
    <row r="1720" spans="1:1">
      <c r="A1720" s="7"/>
    </row>
    <row r="1721" spans="1:1">
      <c r="A1721" s="7"/>
    </row>
    <row r="1722" spans="1:1">
      <c r="A1722" s="7"/>
    </row>
    <row r="1723" spans="1:1">
      <c r="A1723" s="7"/>
    </row>
    <row r="1724" spans="1:1">
      <c r="A1724" s="7"/>
    </row>
    <row r="1725" spans="1:1">
      <c r="A1725" s="7"/>
    </row>
    <row r="1726" spans="1:1">
      <c r="A1726" s="7"/>
    </row>
    <row r="1727" spans="1:1">
      <c r="A1727" s="7"/>
    </row>
    <row r="1728" spans="1:1">
      <c r="A1728" s="7"/>
    </row>
    <row r="1729" spans="1:1">
      <c r="A1729" s="7"/>
    </row>
    <row r="1730" spans="1:1">
      <c r="A1730" s="7"/>
    </row>
    <row r="1731" spans="1:1">
      <c r="A1731" s="7"/>
    </row>
    <row r="1732" spans="1:1">
      <c r="A1732" s="7"/>
    </row>
    <row r="1733" spans="1:1">
      <c r="A1733" s="7"/>
    </row>
    <row r="1734" spans="1:1">
      <c r="A1734" s="7"/>
    </row>
    <row r="1735" spans="1:1">
      <c r="A1735" s="7"/>
    </row>
    <row r="1736" spans="1:1">
      <c r="A1736" s="7"/>
    </row>
    <row r="1737" spans="1:1">
      <c r="A1737" s="7"/>
    </row>
    <row r="1738" spans="1:1">
      <c r="A1738" s="7"/>
    </row>
    <row r="1739" spans="1:1">
      <c r="A1739" s="7"/>
    </row>
    <row r="1740" spans="1:1">
      <c r="A1740" s="7"/>
    </row>
    <row r="1741" spans="1:1">
      <c r="A1741" s="7"/>
    </row>
    <row r="1742" spans="1:1">
      <c r="A1742" s="7"/>
    </row>
    <row r="1743" spans="1:1">
      <c r="A1743" s="7"/>
    </row>
    <row r="1744" spans="1:1">
      <c r="A1744" s="7"/>
    </row>
    <row r="1745" spans="1:1">
      <c r="A1745" s="7"/>
    </row>
    <row r="1746" spans="1:1">
      <c r="A1746" s="7"/>
    </row>
    <row r="1747" spans="1:1">
      <c r="A1747" s="7"/>
    </row>
    <row r="1748" spans="1:1">
      <c r="A1748" s="7"/>
    </row>
    <row r="1749" spans="1:1">
      <c r="A1749" s="7"/>
    </row>
    <row r="1750" spans="1:1">
      <c r="A1750" s="7"/>
    </row>
    <row r="1751" spans="1:1">
      <c r="A1751" s="7"/>
    </row>
    <row r="1752" spans="1:1">
      <c r="A1752" s="7"/>
    </row>
    <row r="1753" spans="1:1">
      <c r="A1753" s="7"/>
    </row>
    <row r="1754" spans="1:1">
      <c r="A1754" s="7"/>
    </row>
    <row r="1755" spans="1:1">
      <c r="A1755" s="7"/>
    </row>
    <row r="1756" spans="1:1">
      <c r="A1756" s="7"/>
    </row>
    <row r="1757" spans="1:1">
      <c r="A1757" s="7"/>
    </row>
    <row r="1758" spans="1:1">
      <c r="A1758" s="7"/>
    </row>
    <row r="1759" spans="1:1">
      <c r="A1759" s="7"/>
    </row>
    <row r="1760" spans="1:1">
      <c r="A1760" s="7"/>
    </row>
    <row r="1761" spans="1:1">
      <c r="A1761" s="7"/>
    </row>
    <row r="1762" spans="1:1">
      <c r="A1762" s="7"/>
    </row>
    <row r="1763" spans="1:1">
      <c r="A1763" s="7"/>
    </row>
    <row r="1764" spans="1:1">
      <c r="A1764" s="7"/>
    </row>
    <row r="1765" spans="1:1">
      <c r="A1765" s="7"/>
    </row>
    <row r="1766" spans="1:1">
      <c r="A1766" s="7"/>
    </row>
    <row r="1767" spans="1:1">
      <c r="A1767" s="7"/>
    </row>
    <row r="1768" spans="1:1">
      <c r="A1768" s="7"/>
    </row>
    <row r="1769" spans="1:1">
      <c r="A1769" s="7"/>
    </row>
    <row r="1770" spans="1:1">
      <c r="A1770" s="7"/>
    </row>
    <row r="1771" spans="1:1">
      <c r="A1771" s="7"/>
    </row>
    <row r="1772" spans="1:1">
      <c r="A1772" s="7"/>
    </row>
    <row r="1773" spans="1:1">
      <c r="A1773" s="7"/>
    </row>
    <row r="1774" spans="1:1">
      <c r="A1774" s="7"/>
    </row>
    <row r="1775" spans="1:1">
      <c r="A1775" s="7"/>
    </row>
    <row r="1776" spans="1:1">
      <c r="A1776" s="7"/>
    </row>
    <row r="1777" spans="1:1">
      <c r="A1777" s="7"/>
    </row>
    <row r="1778" spans="1:1">
      <c r="A1778" s="7"/>
    </row>
    <row r="1779" spans="1:1">
      <c r="A1779" s="7"/>
    </row>
    <row r="1780" spans="1:1">
      <c r="A1780" s="7"/>
    </row>
    <row r="1781" spans="1:1">
      <c r="A1781" s="7"/>
    </row>
    <row r="1782" spans="1:1">
      <c r="A1782" s="7"/>
    </row>
    <row r="1783" spans="1:1">
      <c r="A1783" s="7"/>
    </row>
    <row r="1784" spans="1:1">
      <c r="A1784" s="7"/>
    </row>
    <row r="1785" spans="1:1">
      <c r="A1785" s="7"/>
    </row>
    <row r="1786" spans="1:1">
      <c r="A1786" s="7"/>
    </row>
    <row r="1787" spans="1:1">
      <c r="A1787" s="7"/>
    </row>
    <row r="1788" spans="1:1">
      <c r="A1788" s="7"/>
    </row>
    <row r="1789" spans="1:1">
      <c r="A1789" s="7"/>
    </row>
    <row r="1790" spans="1:1">
      <c r="A1790" s="7"/>
    </row>
    <row r="1791" spans="1:1">
      <c r="A1791" s="7"/>
    </row>
    <row r="1792" spans="1:1">
      <c r="A1792" s="7"/>
    </row>
    <row r="1793" spans="1:1">
      <c r="A1793" s="7"/>
    </row>
    <row r="1794" spans="1:1">
      <c r="A1794" s="7"/>
    </row>
    <row r="1795" spans="1:1">
      <c r="A1795" s="7"/>
    </row>
    <row r="1796" spans="1:1">
      <c r="A1796" s="7"/>
    </row>
    <row r="1797" spans="1:1">
      <c r="A1797" s="7"/>
    </row>
    <row r="1798" spans="1:1">
      <c r="A1798" s="7"/>
    </row>
    <row r="1799" spans="1:1">
      <c r="A1799" s="7"/>
    </row>
    <row r="1800" spans="1:1">
      <c r="A1800" s="7"/>
    </row>
    <row r="1801" spans="1:1">
      <c r="A1801" s="7"/>
    </row>
    <row r="1802" spans="1:1">
      <c r="A1802" s="7"/>
    </row>
    <row r="1803" spans="1:1">
      <c r="A1803" s="7"/>
    </row>
    <row r="1804" spans="1:1">
      <c r="A1804" s="7"/>
    </row>
    <row r="1805" spans="1:1">
      <c r="A1805" s="7"/>
    </row>
    <row r="1806" spans="1:1">
      <c r="A1806" s="7"/>
    </row>
    <row r="1807" spans="1:1">
      <c r="A1807" s="7"/>
    </row>
    <row r="1808" spans="1:1">
      <c r="A1808" s="7"/>
    </row>
    <row r="1809" spans="1:1">
      <c r="A1809" s="7"/>
    </row>
    <row r="1810" spans="1:1">
      <c r="A1810" s="7"/>
    </row>
    <row r="1811" spans="1:1">
      <c r="A1811" s="7"/>
    </row>
    <row r="1812" spans="1:1">
      <c r="A1812" s="7"/>
    </row>
    <row r="1813" spans="1:1">
      <c r="A1813" s="7"/>
    </row>
    <row r="1814" spans="1:1">
      <c r="A1814" s="7"/>
    </row>
    <row r="1815" spans="1:1">
      <c r="A1815" s="7"/>
    </row>
    <row r="1816" spans="1:1">
      <c r="A1816" s="7"/>
    </row>
    <row r="1817" spans="1:1">
      <c r="A1817" s="7"/>
    </row>
    <row r="1818" spans="1:1">
      <c r="A1818" s="7"/>
    </row>
    <row r="1819" spans="1:1">
      <c r="A1819" s="7"/>
    </row>
    <row r="1820" spans="1:1">
      <c r="A1820" s="7"/>
    </row>
    <row r="1821" spans="1:1">
      <c r="A1821" s="7"/>
    </row>
    <row r="1822" spans="1:1">
      <c r="A1822" s="7"/>
    </row>
    <row r="1823" spans="1:1">
      <c r="A1823" s="7"/>
    </row>
    <row r="1824" spans="1:1">
      <c r="A1824" s="7"/>
    </row>
    <row r="1825" spans="1:1">
      <c r="A1825" s="7"/>
    </row>
    <row r="1826" spans="1:1">
      <c r="A1826" s="7"/>
    </row>
    <row r="1827" spans="1:1">
      <c r="A1827" s="7"/>
    </row>
    <row r="1828" spans="1:1">
      <c r="A1828" s="7"/>
    </row>
    <row r="1829" spans="1:1">
      <c r="A1829" s="7"/>
    </row>
    <row r="1830" spans="1:1">
      <c r="A1830" s="7"/>
    </row>
    <row r="1831" spans="1:1">
      <c r="A1831" s="7"/>
    </row>
    <row r="1832" spans="1:1">
      <c r="A1832" s="7"/>
    </row>
    <row r="1833" spans="1:1">
      <c r="A1833" s="7"/>
    </row>
    <row r="1834" spans="1:1">
      <c r="A1834" s="7"/>
    </row>
    <row r="1835" spans="1:1">
      <c r="A1835" s="7"/>
    </row>
    <row r="1836" spans="1:1">
      <c r="A1836" s="7"/>
    </row>
    <row r="1837" spans="1:1">
      <c r="A1837" s="7"/>
    </row>
    <row r="1838" spans="1:1">
      <c r="A1838" s="7"/>
    </row>
    <row r="1839" spans="1:1">
      <c r="A1839" s="7"/>
    </row>
    <row r="1840" spans="1:1">
      <c r="A1840" s="7"/>
    </row>
    <row r="1841" spans="1:1">
      <c r="A1841" s="7"/>
    </row>
    <row r="1842" spans="1:1">
      <c r="A1842" s="7"/>
    </row>
    <row r="1843" spans="1:1">
      <c r="A1843" s="7"/>
    </row>
    <row r="1844" spans="1:1">
      <c r="A1844" s="7"/>
    </row>
    <row r="1845" spans="1:1">
      <c r="A1845" s="7"/>
    </row>
    <row r="1846" spans="1:1">
      <c r="A1846" s="7"/>
    </row>
    <row r="1847" spans="1:1">
      <c r="A1847" s="7"/>
    </row>
    <row r="1848" spans="1:1">
      <c r="A1848" s="7"/>
    </row>
    <row r="1849" spans="1:1">
      <c r="A1849" s="7"/>
    </row>
    <row r="1850" spans="1:1">
      <c r="A1850" s="7"/>
    </row>
    <row r="1851" spans="1:1">
      <c r="A1851" s="7"/>
    </row>
    <row r="1852" spans="1:1">
      <c r="A1852" s="7"/>
    </row>
    <row r="1853" spans="1:1">
      <c r="A1853" s="7"/>
    </row>
    <row r="1854" spans="1:1">
      <c r="A1854" s="7"/>
    </row>
    <row r="1855" spans="1:1">
      <c r="A1855" s="7"/>
    </row>
    <row r="1856" spans="1:1">
      <c r="A1856" s="7"/>
    </row>
    <row r="1857" spans="1:1">
      <c r="A1857" s="7"/>
    </row>
    <row r="1858" spans="1:1">
      <c r="A1858" s="7"/>
    </row>
    <row r="1859" spans="1:1">
      <c r="A1859" s="7"/>
    </row>
    <row r="1860" spans="1:1">
      <c r="A1860" s="7"/>
    </row>
    <row r="1861" spans="1:1">
      <c r="A1861" s="7"/>
    </row>
    <row r="1862" spans="1:1">
      <c r="A1862" s="7"/>
    </row>
    <row r="1863" spans="1:1">
      <c r="A1863" s="7"/>
    </row>
    <row r="1864" spans="1:1">
      <c r="A1864" s="7"/>
    </row>
    <row r="1865" spans="1:1">
      <c r="A1865" s="7"/>
    </row>
    <row r="1866" spans="1:1">
      <c r="A1866" s="7"/>
    </row>
    <row r="1867" spans="1:1">
      <c r="A1867" s="7"/>
    </row>
    <row r="1868" spans="1:1">
      <c r="A1868" s="7"/>
    </row>
    <row r="1869" spans="1:1">
      <c r="A1869" s="7"/>
    </row>
    <row r="1870" spans="1:1">
      <c r="A1870" s="7"/>
    </row>
    <row r="1871" spans="1:1">
      <c r="A1871" s="7"/>
    </row>
    <row r="1872" spans="1:1">
      <c r="A1872" s="7"/>
    </row>
    <row r="1873" spans="1:1">
      <c r="A1873" s="7"/>
    </row>
    <row r="1874" spans="1:1">
      <c r="A1874" s="7"/>
    </row>
    <row r="1875" spans="1:1">
      <c r="A1875" s="7"/>
    </row>
    <row r="1876" spans="1:1">
      <c r="A1876" s="7"/>
    </row>
    <row r="1877" spans="1:1">
      <c r="A1877" s="7"/>
    </row>
    <row r="1878" spans="1:1">
      <c r="A1878" s="7"/>
    </row>
    <row r="1879" spans="1:1">
      <c r="A1879" s="7"/>
    </row>
    <row r="1880" spans="1:1">
      <c r="A1880" s="7"/>
    </row>
    <row r="1881" spans="1:1">
      <c r="A1881" s="7"/>
    </row>
    <row r="1882" spans="1:1">
      <c r="A1882" s="7"/>
    </row>
    <row r="1883" spans="1:1">
      <c r="A1883" s="7"/>
    </row>
    <row r="1884" spans="1:1">
      <c r="A1884" s="7"/>
    </row>
    <row r="1885" spans="1:1">
      <c r="A1885" s="7"/>
    </row>
    <row r="1886" spans="1:1">
      <c r="A1886" s="7"/>
    </row>
    <row r="1887" spans="1:1">
      <c r="A1887" s="7"/>
    </row>
    <row r="1888" spans="1:1">
      <c r="A1888" s="7"/>
    </row>
    <row r="1889" spans="1:1">
      <c r="A1889" s="7"/>
    </row>
    <row r="1890" spans="1:1">
      <c r="A1890" s="7"/>
    </row>
    <row r="1891" spans="1:1">
      <c r="A1891" s="7"/>
    </row>
    <row r="1892" spans="1:1">
      <c r="A1892" s="7"/>
    </row>
    <row r="1893" spans="1:1">
      <c r="A1893" s="7"/>
    </row>
    <row r="1894" spans="1:1">
      <c r="A1894" s="7"/>
    </row>
    <row r="1895" spans="1:1">
      <c r="A1895" s="7"/>
    </row>
    <row r="1896" spans="1:1">
      <c r="A1896" s="7"/>
    </row>
    <row r="1897" spans="1:1">
      <c r="A1897" s="7"/>
    </row>
    <row r="1898" spans="1:1">
      <c r="A1898" s="7"/>
    </row>
    <row r="1899" spans="1:1">
      <c r="A1899" s="7"/>
    </row>
    <row r="1900" spans="1:1">
      <c r="A1900" s="7"/>
    </row>
    <row r="1901" spans="1:1">
      <c r="A1901" s="7"/>
    </row>
    <row r="1902" spans="1:1">
      <c r="A1902" s="7"/>
    </row>
    <row r="1903" spans="1:1">
      <c r="A1903" s="7"/>
    </row>
    <row r="1904" spans="1:1">
      <c r="A1904" s="7"/>
    </row>
    <row r="1905" spans="1:1">
      <c r="A1905" s="7"/>
    </row>
    <row r="1906" spans="1:1">
      <c r="A1906" s="7"/>
    </row>
    <row r="1907" spans="1:1">
      <c r="A1907" s="7"/>
    </row>
    <row r="1908" spans="1:1">
      <c r="A1908" s="7"/>
    </row>
    <row r="1909" spans="1:1">
      <c r="A1909" s="7"/>
    </row>
    <row r="1910" spans="1:1">
      <c r="A1910" s="7"/>
    </row>
    <row r="1911" spans="1:1">
      <c r="A1911" s="7"/>
    </row>
    <row r="1912" spans="1:1">
      <c r="A1912" s="7"/>
    </row>
    <row r="1913" spans="1:1">
      <c r="A1913" s="7"/>
    </row>
    <row r="1914" spans="1:1">
      <c r="A1914" s="7"/>
    </row>
    <row r="1915" spans="1:1">
      <c r="A1915" s="7"/>
    </row>
    <row r="1916" spans="1:1">
      <c r="A1916" s="7"/>
    </row>
    <row r="1917" spans="1:1">
      <c r="A1917" s="7"/>
    </row>
    <row r="1918" spans="1:1">
      <c r="A1918" s="7"/>
    </row>
    <row r="1919" spans="1:1">
      <c r="A1919" s="7"/>
    </row>
    <row r="1920" spans="1:1">
      <c r="A1920" s="7"/>
    </row>
    <row r="1921" spans="1:1">
      <c r="A1921" s="7"/>
    </row>
    <row r="1922" spans="1:1">
      <c r="A1922" s="7"/>
    </row>
    <row r="1923" spans="1:1">
      <c r="A1923" s="7"/>
    </row>
    <row r="1924" spans="1:1">
      <c r="A1924" s="7"/>
    </row>
    <row r="1925" spans="1:1">
      <c r="A1925" s="7"/>
    </row>
    <row r="1926" spans="1:1">
      <c r="A1926" s="7"/>
    </row>
    <row r="1927" spans="1:1">
      <c r="A1927" s="7"/>
    </row>
    <row r="1928" spans="1:1">
      <c r="A1928" s="7"/>
    </row>
    <row r="1929" spans="1:1">
      <c r="A1929" s="7"/>
    </row>
    <row r="1930" spans="1:1">
      <c r="A1930" s="7"/>
    </row>
    <row r="1931" spans="1:1">
      <c r="A1931" s="7"/>
    </row>
    <row r="1932" spans="1:1">
      <c r="A1932" s="7"/>
    </row>
    <row r="1933" spans="1:1">
      <c r="A1933" s="7"/>
    </row>
    <row r="1934" spans="1:1">
      <c r="A1934" s="7"/>
    </row>
    <row r="1935" spans="1:1">
      <c r="A1935" s="7"/>
    </row>
    <row r="1936" spans="1:1">
      <c r="A1936" s="7"/>
    </row>
    <row r="1937" spans="1:1">
      <c r="A1937" s="7"/>
    </row>
    <row r="1938" spans="1:1">
      <c r="A1938" s="7"/>
    </row>
    <row r="1939" spans="1:1">
      <c r="A1939" s="7"/>
    </row>
    <row r="1940" spans="1:1">
      <c r="A1940" s="7"/>
    </row>
    <row r="1941" spans="1:1">
      <c r="A1941" s="7"/>
    </row>
    <row r="1942" spans="1:1">
      <c r="A1942" s="7"/>
    </row>
    <row r="1943" spans="1:1">
      <c r="A1943" s="7"/>
    </row>
    <row r="1944" spans="1:1">
      <c r="A1944" s="7"/>
    </row>
    <row r="1945" spans="1:1">
      <c r="A1945" s="7"/>
    </row>
    <row r="1946" spans="1:1">
      <c r="A1946" s="7"/>
    </row>
    <row r="1947" spans="1:1">
      <c r="A1947" s="7"/>
    </row>
    <row r="1948" spans="1:1">
      <c r="A1948" s="7"/>
    </row>
    <row r="1949" spans="1:1">
      <c r="A1949" s="7"/>
    </row>
    <row r="1950" spans="1:1">
      <c r="A1950" s="7"/>
    </row>
    <row r="1951" spans="1:1">
      <c r="A1951" s="7"/>
    </row>
    <row r="1952" spans="1:1">
      <c r="A1952" s="7"/>
    </row>
    <row r="1953" spans="1:1">
      <c r="A1953" s="7"/>
    </row>
    <row r="1954" spans="1:1">
      <c r="A1954" s="7"/>
    </row>
    <row r="1955" spans="1:1">
      <c r="A1955" s="7"/>
    </row>
    <row r="1956" spans="1:1">
      <c r="A1956" s="7"/>
    </row>
    <row r="1957" spans="1:1">
      <c r="A1957" s="7"/>
    </row>
    <row r="1958" spans="1:1">
      <c r="A1958" s="7"/>
    </row>
    <row r="1959" spans="1:1">
      <c r="A1959" s="7"/>
    </row>
    <row r="1960" spans="1:1">
      <c r="A1960" s="7"/>
    </row>
    <row r="1961" spans="1:1">
      <c r="A1961" s="7"/>
    </row>
    <row r="1962" spans="1:1">
      <c r="A1962" s="7"/>
    </row>
    <row r="1963" spans="1:1">
      <c r="A1963" s="7"/>
    </row>
    <row r="1964" spans="1:1">
      <c r="A1964" s="7"/>
    </row>
    <row r="1965" spans="1:1">
      <c r="A1965" s="7"/>
    </row>
    <row r="1966" spans="1:1">
      <c r="A1966" s="7"/>
    </row>
    <row r="1967" spans="1:1">
      <c r="A1967" s="7"/>
    </row>
    <row r="1968" spans="1:1">
      <c r="A1968" s="7"/>
    </row>
    <row r="1969" spans="1:1">
      <c r="A1969" s="7"/>
    </row>
    <row r="1970" spans="1:1">
      <c r="A1970" s="7"/>
    </row>
    <row r="1971" spans="1:1">
      <c r="A1971" s="7"/>
    </row>
    <row r="1972" spans="1:1">
      <c r="A1972" s="7"/>
    </row>
    <row r="1973" spans="1:1">
      <c r="A1973" s="7"/>
    </row>
    <row r="1974" spans="1:1">
      <c r="A1974" s="7"/>
    </row>
    <row r="1975" spans="1:1">
      <c r="A1975" s="7"/>
    </row>
    <row r="1976" spans="1:1">
      <c r="A1976" s="7"/>
    </row>
    <row r="1977" spans="1:1">
      <c r="A1977" s="7"/>
    </row>
    <row r="1978" spans="1:1">
      <c r="A1978" s="7"/>
    </row>
    <row r="1979" spans="1:1">
      <c r="A1979" s="7"/>
    </row>
    <row r="1980" spans="1:1">
      <c r="A1980" s="7"/>
    </row>
    <row r="1981" spans="1:1">
      <c r="A1981" s="7"/>
    </row>
    <row r="1982" spans="1:1">
      <c r="A1982" s="7"/>
    </row>
    <row r="1983" spans="1:1">
      <c r="A1983" s="7"/>
    </row>
    <row r="1984" spans="1:1">
      <c r="A1984" s="7"/>
    </row>
    <row r="1985" spans="1:1">
      <c r="A1985" s="7"/>
    </row>
    <row r="1986" spans="1:1">
      <c r="A1986" s="7"/>
    </row>
    <row r="1987" spans="1:1">
      <c r="A1987" s="7"/>
    </row>
    <row r="1988" spans="1:1">
      <c r="A1988" s="7"/>
    </row>
    <row r="1989" spans="1:1">
      <c r="A1989" s="7"/>
    </row>
    <row r="1990" spans="1:1">
      <c r="A1990" s="7"/>
    </row>
    <row r="1991" spans="1:1">
      <c r="A1991" s="7"/>
    </row>
    <row r="1992" spans="1:1">
      <c r="A1992" s="7"/>
    </row>
    <row r="1993" spans="1:1">
      <c r="A1993" s="7"/>
    </row>
    <row r="1994" spans="1:1">
      <c r="A1994" s="7"/>
    </row>
    <row r="1995" spans="1:1">
      <c r="A1995" s="7"/>
    </row>
    <row r="1996" spans="1:1">
      <c r="A1996" s="7"/>
    </row>
    <row r="1997" spans="1:1">
      <c r="A1997" s="7"/>
    </row>
    <row r="1998" spans="1:1">
      <c r="A1998" s="7"/>
    </row>
    <row r="1999" spans="1:1">
      <c r="A1999" s="7"/>
    </row>
    <row r="2000" spans="1:1">
      <c r="A2000" s="7"/>
    </row>
    <row r="2001" spans="1:1">
      <c r="A2001" s="7"/>
    </row>
    <row r="2002" spans="1:1">
      <c r="A2002" s="7"/>
    </row>
    <row r="2003" spans="1:1">
      <c r="A2003" s="7"/>
    </row>
    <row r="2004" spans="1:1">
      <c r="A2004" s="7"/>
    </row>
    <row r="2005" spans="1:1">
      <c r="A2005" s="7"/>
    </row>
    <row r="2006" spans="1:1">
      <c r="A2006" s="7"/>
    </row>
    <row r="2007" spans="1:1">
      <c r="A2007" s="7"/>
    </row>
    <row r="2008" spans="1:1">
      <c r="A2008" s="7"/>
    </row>
    <row r="2009" spans="1:1">
      <c r="A2009" s="7"/>
    </row>
    <row r="2010" spans="1:1">
      <c r="A2010" s="7"/>
    </row>
    <row r="2011" spans="1:1">
      <c r="A2011" s="7"/>
    </row>
    <row r="2012" spans="1:1">
      <c r="A2012" s="7"/>
    </row>
    <row r="2013" spans="1:1">
      <c r="A2013" s="7"/>
    </row>
    <row r="2014" spans="1:1">
      <c r="A2014" s="7"/>
    </row>
    <row r="2015" spans="1:1">
      <c r="A2015" s="7"/>
    </row>
    <row r="2016" spans="1:1">
      <c r="A2016" s="7"/>
    </row>
    <row r="2017" spans="1:1">
      <c r="A2017" s="7"/>
    </row>
    <row r="2018" spans="1:1">
      <c r="A2018" s="7"/>
    </row>
    <row r="2019" spans="1:1">
      <c r="A2019" s="7"/>
    </row>
    <row r="2020" spans="1:1">
      <c r="A2020" s="7"/>
    </row>
    <row r="2021" spans="1:1">
      <c r="A2021" s="7"/>
    </row>
    <row r="2022" spans="1:1">
      <c r="A2022" s="7"/>
    </row>
    <row r="2023" spans="1:1">
      <c r="A2023" s="7"/>
    </row>
    <row r="2024" spans="1:1">
      <c r="A2024" s="7"/>
    </row>
    <row r="2025" spans="1:1">
      <c r="A2025" s="7"/>
    </row>
    <row r="2026" spans="1:1">
      <c r="A2026" s="7"/>
    </row>
    <row r="2027" spans="1:1">
      <c r="A2027" s="7"/>
    </row>
    <row r="2028" spans="1:1">
      <c r="A2028" s="7"/>
    </row>
    <row r="2029" spans="1:1">
      <c r="A2029" s="7"/>
    </row>
    <row r="2030" spans="1:1">
      <c r="A2030" s="7"/>
    </row>
    <row r="2031" spans="1:1">
      <c r="A2031" s="7"/>
    </row>
    <row r="2032" spans="1:1">
      <c r="A2032" s="7"/>
    </row>
    <row r="2033" spans="1:1">
      <c r="A2033" s="7"/>
    </row>
    <row r="2034" spans="1:1">
      <c r="A2034" s="7"/>
    </row>
    <row r="2035" spans="1:1">
      <c r="A2035" s="7"/>
    </row>
    <row r="2036" spans="1:1">
      <c r="A2036" s="7"/>
    </row>
    <row r="2037" spans="1:1">
      <c r="A2037" s="7"/>
    </row>
    <row r="2038" spans="1:1">
      <c r="A2038" s="7"/>
    </row>
    <row r="2039" spans="1:1">
      <c r="A2039" s="7"/>
    </row>
    <row r="2040" spans="1:1">
      <c r="A2040" s="7"/>
    </row>
    <row r="2041" spans="1:1">
      <c r="A2041" s="7"/>
    </row>
    <row r="2042" spans="1:1">
      <c r="A2042" s="7"/>
    </row>
    <row r="2043" spans="1:1">
      <c r="A2043" s="7"/>
    </row>
    <row r="2044" spans="1:1">
      <c r="A2044" s="7"/>
    </row>
    <row r="2045" spans="1:1">
      <c r="A2045" s="7"/>
    </row>
    <row r="2046" spans="1:1">
      <c r="A2046" s="7"/>
    </row>
    <row r="2047" spans="1:1">
      <c r="A2047" s="7"/>
    </row>
    <row r="2048" spans="1:1">
      <c r="A2048" s="7"/>
    </row>
    <row r="2049" spans="1:1">
      <c r="A2049" s="7"/>
    </row>
    <row r="2050" spans="1:1">
      <c r="A2050" s="7"/>
    </row>
    <row r="2051" spans="1:1">
      <c r="A2051" s="7"/>
    </row>
    <row r="2052" spans="1:1">
      <c r="A2052" s="7"/>
    </row>
    <row r="2053" spans="1:1">
      <c r="A2053" s="7"/>
    </row>
    <row r="2054" spans="1:1">
      <c r="A2054" s="7"/>
    </row>
    <row r="2055" spans="1:1">
      <c r="A2055" s="7"/>
    </row>
    <row r="2056" spans="1:1">
      <c r="A2056" s="7"/>
    </row>
    <row r="2057" spans="1:1">
      <c r="A2057" s="7"/>
    </row>
    <row r="2058" spans="1:1">
      <c r="A2058" s="7"/>
    </row>
    <row r="2059" spans="1:1">
      <c r="A2059" s="7"/>
    </row>
    <row r="2060" spans="1:1">
      <c r="A2060" s="7"/>
    </row>
    <row r="2061" spans="1:1">
      <c r="A2061" s="7"/>
    </row>
    <row r="2062" spans="1:1">
      <c r="A2062" s="7"/>
    </row>
    <row r="2063" spans="1:1">
      <c r="A2063" s="7"/>
    </row>
    <row r="2064" spans="1:1">
      <c r="A2064" s="7"/>
    </row>
    <row r="2065" spans="1:1">
      <c r="A2065" s="7"/>
    </row>
    <row r="2066" spans="1:1">
      <c r="A2066" s="7"/>
    </row>
    <row r="2067" spans="1:1">
      <c r="A2067" s="7"/>
    </row>
    <row r="2068" spans="1:1">
      <c r="A2068" s="7"/>
    </row>
    <row r="2069" spans="1:1">
      <c r="A2069" s="7"/>
    </row>
    <row r="2070" spans="1:1">
      <c r="A2070" s="7"/>
    </row>
    <row r="2071" spans="1:1">
      <c r="A2071" s="7"/>
    </row>
    <row r="2072" spans="1:1">
      <c r="A2072" s="7"/>
    </row>
    <row r="2073" spans="1:1">
      <c r="A2073" s="7"/>
    </row>
    <row r="2074" spans="1:1">
      <c r="A2074" s="7"/>
    </row>
    <row r="2075" spans="1:1">
      <c r="A2075" s="7"/>
    </row>
    <row r="2076" spans="1:1">
      <c r="A2076" s="7"/>
    </row>
    <row r="2077" spans="1:1">
      <c r="A2077" s="7"/>
    </row>
    <row r="2078" spans="1:1">
      <c r="A2078" s="7"/>
    </row>
    <row r="2079" spans="1:1">
      <c r="A2079" s="7"/>
    </row>
    <row r="2080" spans="1:1">
      <c r="A2080" s="7"/>
    </row>
    <row r="2081" spans="1:1">
      <c r="A2081" s="7"/>
    </row>
    <row r="2082" spans="1:1">
      <c r="A2082" s="7"/>
    </row>
    <row r="2083" spans="1:1">
      <c r="A2083" s="7"/>
    </row>
    <row r="2084" spans="1:1">
      <c r="A2084" s="7"/>
    </row>
    <row r="2085" spans="1:1">
      <c r="A2085" s="7"/>
    </row>
    <row r="2086" spans="1:1">
      <c r="A2086" s="7"/>
    </row>
    <row r="2087" spans="1:1">
      <c r="A2087" s="7"/>
    </row>
    <row r="2088" spans="1:1">
      <c r="A2088" s="7"/>
    </row>
    <row r="2089" spans="1:1">
      <c r="A2089" s="7"/>
    </row>
    <row r="2090" spans="1:1">
      <c r="A2090" s="7"/>
    </row>
    <row r="2091" spans="1:1">
      <c r="A2091" s="7"/>
    </row>
    <row r="2092" spans="1:1">
      <c r="A2092" s="7"/>
    </row>
    <row r="2093" spans="1:1">
      <c r="A2093" s="7"/>
    </row>
    <row r="2094" spans="1:1">
      <c r="A2094" s="7"/>
    </row>
    <row r="2095" spans="1:1">
      <c r="A2095" s="7"/>
    </row>
    <row r="2096" spans="1:1">
      <c r="A2096" s="7"/>
    </row>
    <row r="2097" spans="1:1">
      <c r="A2097" s="7"/>
    </row>
    <row r="2098" spans="1:1">
      <c r="A2098" s="7"/>
    </row>
    <row r="2099" spans="1:1">
      <c r="A2099" s="7"/>
    </row>
    <row r="2100" spans="1:1">
      <c r="A2100" s="7"/>
    </row>
    <row r="2101" spans="1:1">
      <c r="A2101" s="7"/>
    </row>
    <row r="2102" spans="1:1">
      <c r="A2102" s="7"/>
    </row>
    <row r="2103" spans="1:1">
      <c r="A2103" s="7"/>
    </row>
    <row r="2104" spans="1:1">
      <c r="A2104" s="7"/>
    </row>
    <row r="2105" spans="1:1">
      <c r="A2105" s="7"/>
    </row>
    <row r="2106" spans="1:1">
      <c r="A2106" s="7"/>
    </row>
    <row r="2107" spans="1:1">
      <c r="A2107" s="7"/>
    </row>
    <row r="2108" spans="1:1">
      <c r="A2108" s="7"/>
    </row>
    <row r="2109" spans="1:1">
      <c r="A2109" s="7"/>
    </row>
    <row r="2110" spans="1:1">
      <c r="A2110" s="7"/>
    </row>
    <row r="2111" spans="1:1">
      <c r="A2111" s="7"/>
    </row>
    <row r="2112" spans="1:1">
      <c r="A2112" s="7"/>
    </row>
    <row r="2113" spans="1:1">
      <c r="A2113" s="7"/>
    </row>
    <row r="2114" spans="1:1">
      <c r="A2114" s="7"/>
    </row>
    <row r="2115" spans="1:1">
      <c r="A2115" s="7"/>
    </row>
    <row r="2116" spans="1:1">
      <c r="A2116" s="7"/>
    </row>
    <row r="2117" spans="1:1">
      <c r="A2117" s="7"/>
    </row>
    <row r="2118" spans="1:1">
      <c r="A2118" s="7"/>
    </row>
    <row r="2119" spans="1:1">
      <c r="A2119" s="7"/>
    </row>
    <row r="2120" spans="1:1">
      <c r="A2120" s="7"/>
    </row>
    <row r="2121" spans="1:1">
      <c r="A2121" s="7"/>
    </row>
    <row r="2122" spans="1:1">
      <c r="A2122" s="7"/>
    </row>
    <row r="2123" spans="1:1">
      <c r="A2123" s="7"/>
    </row>
    <row r="2124" spans="1:1">
      <c r="A2124" s="7"/>
    </row>
    <row r="2125" spans="1:1">
      <c r="A2125" s="7"/>
    </row>
    <row r="2126" spans="1:1">
      <c r="A2126" s="7"/>
    </row>
    <row r="2127" spans="1:1">
      <c r="A2127" s="7"/>
    </row>
    <row r="2128" spans="1:1">
      <c r="A2128" s="7"/>
    </row>
    <row r="2129" spans="1:1">
      <c r="A2129" s="7"/>
    </row>
    <row r="2130" spans="1:1">
      <c r="A2130" s="7"/>
    </row>
    <row r="2131" spans="1:1">
      <c r="A2131" s="7"/>
    </row>
    <row r="2132" spans="1:1">
      <c r="A2132" s="7"/>
    </row>
    <row r="2133" spans="1:1">
      <c r="A2133" s="7"/>
    </row>
    <row r="2134" spans="1:1">
      <c r="A2134" s="7"/>
    </row>
    <row r="2135" spans="1:1">
      <c r="A2135" s="7"/>
    </row>
    <row r="2136" spans="1:1">
      <c r="A2136" s="7"/>
    </row>
    <row r="2137" spans="1:1">
      <c r="A2137" s="7"/>
    </row>
    <row r="2138" spans="1:1">
      <c r="A2138" s="7"/>
    </row>
    <row r="2139" spans="1:1">
      <c r="A2139" s="7"/>
    </row>
    <row r="2140" spans="1:1">
      <c r="A2140" s="7"/>
    </row>
    <row r="2141" spans="1:1">
      <c r="A2141" s="7"/>
    </row>
    <row r="2142" spans="1:1">
      <c r="A2142" s="7"/>
    </row>
    <row r="2143" spans="1:1">
      <c r="A2143" s="7"/>
    </row>
    <row r="2144" spans="1:1">
      <c r="A2144" s="7"/>
    </row>
    <row r="2145" spans="1:1">
      <c r="A2145" s="7"/>
    </row>
    <row r="2146" spans="1:1">
      <c r="A2146" s="7"/>
    </row>
    <row r="2147" spans="1:1">
      <c r="A2147" s="7"/>
    </row>
    <row r="2148" spans="1:1">
      <c r="A2148" s="7"/>
    </row>
    <row r="2149" spans="1:1">
      <c r="A2149" s="7"/>
    </row>
    <row r="2150" spans="1:1">
      <c r="A2150" s="7"/>
    </row>
    <row r="2151" spans="1:1">
      <c r="A2151" s="7"/>
    </row>
    <row r="2152" spans="1:1">
      <c r="A2152" s="7"/>
    </row>
    <row r="2153" spans="1:1">
      <c r="A2153" s="7"/>
    </row>
    <row r="2154" spans="1:1">
      <c r="A2154" s="7"/>
    </row>
    <row r="2155" spans="1:1">
      <c r="A2155" s="7"/>
    </row>
    <row r="2156" spans="1:1">
      <c r="A2156" s="7"/>
    </row>
    <row r="2157" spans="1:1">
      <c r="A2157" s="7"/>
    </row>
    <row r="2158" spans="1:1">
      <c r="A2158" s="7"/>
    </row>
    <row r="2159" spans="1:1">
      <c r="A2159" s="7"/>
    </row>
    <row r="2160" spans="1:1">
      <c r="A2160" s="7"/>
    </row>
    <row r="2161" spans="1:1">
      <c r="A2161" s="7"/>
    </row>
    <row r="2162" spans="1:1">
      <c r="A2162" s="7"/>
    </row>
    <row r="2163" spans="1:1">
      <c r="A2163" s="7"/>
    </row>
    <row r="2164" spans="1:1">
      <c r="A2164" s="7"/>
    </row>
    <row r="2165" spans="1:1">
      <c r="A2165" s="7"/>
    </row>
    <row r="2166" spans="1:1">
      <c r="A2166" s="7"/>
    </row>
    <row r="2167" spans="1:1">
      <c r="A2167" s="7"/>
    </row>
    <row r="2168" spans="1:1">
      <c r="A2168" s="7"/>
    </row>
    <row r="2169" spans="1:1">
      <c r="A2169" s="7"/>
    </row>
    <row r="2170" spans="1:1">
      <c r="A2170" s="7"/>
    </row>
    <row r="2171" spans="1:1">
      <c r="A2171" s="7"/>
    </row>
    <row r="2172" spans="1:1">
      <c r="A2172" s="7"/>
    </row>
    <row r="2173" spans="1:1">
      <c r="A2173" s="7"/>
    </row>
    <row r="2174" spans="1:1">
      <c r="A2174" s="7"/>
    </row>
    <row r="2175" spans="1:1">
      <c r="A2175" s="7"/>
    </row>
    <row r="2176" spans="1:1">
      <c r="A2176" s="7"/>
    </row>
    <row r="2177" spans="1:1">
      <c r="A2177" s="7"/>
    </row>
    <row r="2178" spans="1:1">
      <c r="A2178" s="7"/>
    </row>
    <row r="2179" spans="1:1">
      <c r="A2179" s="7"/>
    </row>
    <row r="2180" spans="1:1">
      <c r="A2180" s="7"/>
    </row>
    <row r="2181" spans="1:1">
      <c r="A2181" s="7"/>
    </row>
    <row r="2182" spans="1:1">
      <c r="A2182" s="7"/>
    </row>
    <row r="2183" spans="1:1">
      <c r="A2183" s="7"/>
    </row>
    <row r="2184" spans="1:1">
      <c r="A2184" s="7"/>
    </row>
    <row r="2185" spans="1:1">
      <c r="A2185" s="7"/>
    </row>
    <row r="2186" spans="1:1">
      <c r="A2186" s="7"/>
    </row>
    <row r="2187" spans="1:1">
      <c r="A2187" s="7"/>
    </row>
    <row r="2188" spans="1:1">
      <c r="A2188" s="7"/>
    </row>
    <row r="2189" spans="1:1">
      <c r="A2189" s="7"/>
    </row>
    <row r="2190" spans="1:1">
      <c r="A2190" s="7"/>
    </row>
    <row r="2191" spans="1:1">
      <c r="A2191" s="7"/>
    </row>
    <row r="2192" spans="1:1">
      <c r="A2192" s="7"/>
    </row>
    <row r="2193" spans="1:1">
      <c r="A2193" s="7"/>
    </row>
    <row r="2194" spans="1:1">
      <c r="A2194" s="7"/>
    </row>
    <row r="2195" spans="1:1">
      <c r="A2195" s="7"/>
    </row>
    <row r="2196" spans="1:1">
      <c r="A2196" s="7"/>
    </row>
    <row r="2197" spans="1:1">
      <c r="A2197" s="7"/>
    </row>
    <row r="2198" spans="1:1">
      <c r="A2198" s="7"/>
    </row>
    <row r="2199" spans="1:1">
      <c r="A2199" s="7"/>
    </row>
    <row r="2200" spans="1:1">
      <c r="A2200" s="7"/>
    </row>
    <row r="2201" spans="1:1">
      <c r="A2201" s="7"/>
    </row>
    <row r="2202" spans="1:1">
      <c r="A2202" s="7"/>
    </row>
    <row r="2203" spans="1:1">
      <c r="A2203" s="7"/>
    </row>
    <row r="2204" spans="1:1">
      <c r="A2204" s="7"/>
    </row>
    <row r="2205" spans="1:1">
      <c r="A2205" s="7"/>
    </row>
    <row r="2206" spans="1:1">
      <c r="A2206" s="7"/>
    </row>
    <row r="2207" spans="1:1">
      <c r="A2207" s="7"/>
    </row>
    <row r="2208" spans="1:1">
      <c r="A2208" s="7"/>
    </row>
    <row r="2209" spans="1:1">
      <c r="A2209" s="7"/>
    </row>
    <row r="2210" spans="1:1">
      <c r="A2210" s="7"/>
    </row>
    <row r="2211" spans="1:1">
      <c r="A2211" s="7"/>
    </row>
    <row r="2212" spans="1:1">
      <c r="A2212" s="7"/>
    </row>
    <row r="2213" spans="1:1">
      <c r="A2213" s="7"/>
    </row>
    <row r="2214" spans="1:1">
      <c r="A2214" s="7"/>
    </row>
    <row r="2215" spans="1:1">
      <c r="A2215" s="7"/>
    </row>
    <row r="2216" spans="1:1">
      <c r="A2216" s="7"/>
    </row>
    <row r="2217" spans="1:1">
      <c r="A2217" s="7"/>
    </row>
    <row r="2218" spans="1:1">
      <c r="A2218" s="7"/>
    </row>
    <row r="2219" spans="1:1">
      <c r="A2219" s="7"/>
    </row>
    <row r="2220" spans="1:1">
      <c r="A2220" s="7"/>
    </row>
    <row r="2221" spans="1:1">
      <c r="A2221" s="7"/>
    </row>
    <row r="2222" spans="1:1">
      <c r="A2222" s="7"/>
    </row>
    <row r="2223" spans="1:1">
      <c r="A2223" s="7"/>
    </row>
    <row r="2224" spans="1:1">
      <c r="A2224" s="7"/>
    </row>
    <row r="2225" spans="1:1">
      <c r="A2225" s="7"/>
    </row>
    <row r="2226" spans="1:1">
      <c r="A2226" s="7"/>
    </row>
    <row r="2227" spans="1:1">
      <c r="A2227" s="7"/>
    </row>
    <row r="2228" spans="1:1">
      <c r="A2228" s="7"/>
    </row>
    <row r="2229" spans="1:1">
      <c r="A2229" s="7"/>
    </row>
    <row r="2230" spans="1:1">
      <c r="A2230" s="7"/>
    </row>
    <row r="2231" spans="1:1">
      <c r="A2231" s="7"/>
    </row>
    <row r="2232" spans="1:1">
      <c r="A2232" s="7"/>
    </row>
    <row r="2233" spans="1:1">
      <c r="A2233" s="7"/>
    </row>
    <row r="2234" spans="1:1">
      <c r="A2234" s="7"/>
    </row>
    <row r="2235" spans="1:1">
      <c r="A2235" s="7"/>
    </row>
    <row r="2236" spans="1:1">
      <c r="A2236" s="7"/>
    </row>
    <row r="2237" spans="1:1">
      <c r="A2237" s="7"/>
    </row>
    <row r="2238" spans="1:1">
      <c r="A2238" s="7"/>
    </row>
    <row r="2239" spans="1:1">
      <c r="A2239" s="7"/>
    </row>
    <row r="2240" spans="1:1">
      <c r="A2240" s="7"/>
    </row>
    <row r="2241" spans="1:1">
      <c r="A2241" s="7"/>
    </row>
    <row r="2242" spans="1:1">
      <c r="A2242" s="7"/>
    </row>
    <row r="2243" spans="1:1">
      <c r="A2243" s="7"/>
    </row>
    <row r="2244" spans="1:1">
      <c r="A2244" s="7"/>
    </row>
    <row r="2245" spans="1:1">
      <c r="A2245" s="7"/>
    </row>
    <row r="2246" spans="1:1">
      <c r="A2246" s="7"/>
    </row>
    <row r="2247" spans="1:1">
      <c r="A2247" s="7"/>
    </row>
    <row r="2248" spans="1:1">
      <c r="A2248" s="7"/>
    </row>
    <row r="2249" spans="1:1">
      <c r="A2249" s="7"/>
    </row>
    <row r="2250" spans="1:1">
      <c r="A2250" s="7"/>
    </row>
    <row r="2251" spans="1:1">
      <c r="A2251" s="7"/>
    </row>
    <row r="2252" spans="1:1">
      <c r="A2252" s="7"/>
    </row>
    <row r="2253" spans="1:1">
      <c r="A2253" s="7"/>
    </row>
    <row r="2254" spans="1:1">
      <c r="A2254" s="7"/>
    </row>
    <row r="2255" spans="1:1">
      <c r="A2255" s="7"/>
    </row>
    <row r="2256" spans="1:1">
      <c r="A2256" s="7"/>
    </row>
    <row r="2257" spans="1:1">
      <c r="A2257" s="7"/>
    </row>
    <row r="2258" spans="1:1">
      <c r="A2258" s="7"/>
    </row>
    <row r="2259" spans="1:1">
      <c r="A2259" s="7"/>
    </row>
    <row r="2260" spans="1:1">
      <c r="A2260" s="7"/>
    </row>
    <row r="2261" spans="1:1">
      <c r="A2261" s="7"/>
    </row>
    <row r="2262" spans="1:1">
      <c r="A2262" s="7"/>
    </row>
    <row r="2263" spans="1:1">
      <c r="A2263" s="7"/>
    </row>
    <row r="2264" spans="1:1">
      <c r="A2264" s="7"/>
    </row>
    <row r="2265" spans="1:1">
      <c r="A2265" s="7"/>
    </row>
    <row r="2266" spans="1:1">
      <c r="A2266" s="7"/>
    </row>
    <row r="2267" spans="1:1">
      <c r="A2267" s="7"/>
    </row>
    <row r="2268" spans="1:1">
      <c r="A2268" s="7"/>
    </row>
    <row r="2269" spans="1:1">
      <c r="A2269" s="7"/>
    </row>
    <row r="2270" spans="1:1">
      <c r="A2270" s="7"/>
    </row>
    <row r="2271" spans="1:1">
      <c r="A2271" s="7"/>
    </row>
    <row r="2272" spans="1:1">
      <c r="A2272" s="7"/>
    </row>
    <row r="2273" spans="1:1">
      <c r="A2273" s="7"/>
    </row>
    <row r="2274" spans="1:1">
      <c r="A2274" s="7"/>
    </row>
    <row r="2275" spans="1:1">
      <c r="A2275" s="7"/>
    </row>
    <row r="2276" spans="1:1">
      <c r="A2276" s="7"/>
    </row>
    <row r="2277" spans="1:1">
      <c r="A2277" s="7"/>
    </row>
    <row r="2278" spans="1:1">
      <c r="A2278" s="7"/>
    </row>
    <row r="2279" spans="1:1">
      <c r="A2279" s="7"/>
    </row>
    <row r="2280" spans="1:1">
      <c r="A2280" s="7"/>
    </row>
    <row r="2281" spans="1:1">
      <c r="A2281" s="7"/>
    </row>
    <row r="2282" spans="1:1">
      <c r="A2282" s="7"/>
    </row>
    <row r="2283" spans="1:1">
      <c r="A2283" s="7"/>
    </row>
    <row r="2284" spans="1:1">
      <c r="A2284" s="7"/>
    </row>
    <row r="2285" spans="1:1">
      <c r="A2285" s="7"/>
    </row>
    <row r="2286" spans="1:1">
      <c r="A2286" s="7"/>
    </row>
    <row r="2287" spans="1:1">
      <c r="A2287" s="7"/>
    </row>
    <row r="2288" spans="1:1">
      <c r="A2288" s="7"/>
    </row>
    <row r="2289" spans="1:1">
      <c r="A2289" s="7"/>
    </row>
    <row r="2290" spans="1:1">
      <c r="A2290" s="7"/>
    </row>
    <row r="2291" spans="1:1">
      <c r="A2291" s="7"/>
    </row>
    <row r="2292" spans="1:1">
      <c r="A2292" s="7"/>
    </row>
    <row r="2293" spans="1:1">
      <c r="A2293" s="7"/>
    </row>
    <row r="2294" spans="1:1">
      <c r="A2294" s="7"/>
    </row>
    <row r="2295" spans="1:1">
      <c r="A2295" s="7"/>
    </row>
    <row r="2296" spans="1:1">
      <c r="A2296" s="7"/>
    </row>
    <row r="2297" spans="1:1">
      <c r="A2297" s="7"/>
    </row>
    <row r="2298" spans="1:1">
      <c r="A2298" s="7"/>
    </row>
    <row r="2299" spans="1:1">
      <c r="A2299" s="7"/>
    </row>
    <row r="2300" spans="1:1">
      <c r="A2300" s="7"/>
    </row>
    <row r="2301" spans="1:1">
      <c r="A2301" s="7"/>
    </row>
    <row r="2302" spans="1:1">
      <c r="A2302" s="7"/>
    </row>
    <row r="2303" spans="1:1">
      <c r="A2303" s="7"/>
    </row>
    <row r="2304" spans="1:1">
      <c r="A2304" s="7"/>
    </row>
    <row r="2305" spans="1:1">
      <c r="A2305" s="7"/>
    </row>
    <row r="2306" spans="1:1">
      <c r="A2306" s="7"/>
    </row>
    <row r="2307" spans="1:1">
      <c r="A2307" s="7"/>
    </row>
    <row r="2308" spans="1:1">
      <c r="A2308" s="7"/>
    </row>
    <row r="2309" spans="1:1">
      <c r="A2309" s="7"/>
    </row>
    <row r="2310" spans="1:1">
      <c r="A2310" s="7"/>
    </row>
    <row r="2311" spans="1:1">
      <c r="A2311" s="7"/>
    </row>
    <row r="2312" spans="1:1">
      <c r="A2312" s="7"/>
    </row>
    <row r="2313" spans="1:1">
      <c r="A2313" s="7"/>
    </row>
    <row r="2314" spans="1:1">
      <c r="A2314" s="7"/>
    </row>
    <row r="2315" spans="1:1">
      <c r="A2315" s="7"/>
    </row>
    <row r="2316" spans="1:1">
      <c r="A2316" s="7"/>
    </row>
    <row r="2317" spans="1:1">
      <c r="A2317" s="7"/>
    </row>
    <row r="2318" spans="1:1">
      <c r="A2318" s="7"/>
    </row>
    <row r="2319" spans="1:1">
      <c r="A2319" s="7"/>
    </row>
    <row r="2320" spans="1:1">
      <c r="A2320" s="7"/>
    </row>
    <row r="2321" spans="1:1">
      <c r="A2321" s="7"/>
    </row>
    <row r="2322" spans="1:1">
      <c r="A2322" s="7"/>
    </row>
    <row r="2323" spans="1:1">
      <c r="A2323" s="7"/>
    </row>
    <row r="2324" spans="1:1">
      <c r="A2324" s="7"/>
    </row>
    <row r="2325" spans="1:1">
      <c r="A2325" s="7"/>
    </row>
    <row r="2326" spans="1:1">
      <c r="A2326" s="7"/>
    </row>
    <row r="2327" spans="1:1">
      <c r="A2327" s="7"/>
    </row>
    <row r="2328" spans="1:1">
      <c r="A2328" s="7"/>
    </row>
    <row r="2329" spans="1:1">
      <c r="A2329" s="7"/>
    </row>
    <row r="2330" spans="1:1">
      <c r="A2330" s="7"/>
    </row>
    <row r="2331" spans="1:1">
      <c r="A2331" s="7"/>
    </row>
    <row r="2332" spans="1:1">
      <c r="A2332" s="7"/>
    </row>
    <row r="2333" spans="1:1">
      <c r="A2333" s="7"/>
    </row>
    <row r="2334" spans="1:1">
      <c r="A2334" s="7"/>
    </row>
    <row r="2335" spans="1:1">
      <c r="A2335" s="7"/>
    </row>
    <row r="2336" spans="1:1">
      <c r="A2336" s="7"/>
    </row>
    <row r="2337" spans="1:1">
      <c r="A2337" s="7"/>
    </row>
    <row r="2338" spans="1:1">
      <c r="A2338" s="7"/>
    </row>
    <row r="2339" spans="1:1">
      <c r="A2339" s="7"/>
    </row>
    <row r="2340" spans="1:1">
      <c r="A2340" s="7"/>
    </row>
    <row r="2341" spans="1:1">
      <c r="A2341" s="7"/>
    </row>
    <row r="2342" spans="1:1">
      <c r="A2342" s="7"/>
    </row>
    <row r="2343" spans="1:1">
      <c r="A2343" s="7"/>
    </row>
    <row r="2344" spans="1:1">
      <c r="A2344" s="7"/>
    </row>
    <row r="2345" spans="1:1">
      <c r="A2345" s="7"/>
    </row>
    <row r="2346" spans="1:1">
      <c r="A2346" s="7"/>
    </row>
    <row r="2347" spans="1:1">
      <c r="A2347" s="7"/>
    </row>
    <row r="2348" spans="1:1">
      <c r="A2348" s="7"/>
    </row>
    <row r="2349" spans="1:1">
      <c r="A2349" s="7"/>
    </row>
    <row r="2350" spans="1:1">
      <c r="A2350" s="7"/>
    </row>
    <row r="2351" spans="1:1">
      <c r="A2351" s="7"/>
    </row>
    <row r="2352" spans="1:1">
      <c r="A2352" s="7"/>
    </row>
    <row r="2353" spans="1:1">
      <c r="A2353" s="7"/>
    </row>
    <row r="2354" spans="1:1">
      <c r="A2354" s="7"/>
    </row>
    <row r="2355" spans="1:1">
      <c r="A2355" s="7"/>
    </row>
    <row r="2356" spans="1:1">
      <c r="A2356" s="7"/>
    </row>
    <row r="2357" spans="1:1">
      <c r="A2357" s="7"/>
    </row>
    <row r="2358" spans="1:1">
      <c r="A2358" s="7"/>
    </row>
    <row r="2359" spans="1:1">
      <c r="A2359" s="7"/>
    </row>
    <row r="2360" spans="1:1">
      <c r="A2360" s="7"/>
    </row>
    <row r="2361" spans="1:1">
      <c r="A2361" s="7"/>
    </row>
    <row r="2362" spans="1:1">
      <c r="A2362" s="7"/>
    </row>
    <row r="2363" spans="1:1">
      <c r="A2363" s="7"/>
    </row>
    <row r="2364" spans="1:1">
      <c r="A2364" s="7"/>
    </row>
    <row r="2365" spans="1:1">
      <c r="A2365" s="7"/>
    </row>
    <row r="2366" spans="1:1">
      <c r="A2366" s="7"/>
    </row>
    <row r="2367" spans="1:1">
      <c r="A2367" s="7"/>
    </row>
    <row r="2368" spans="1:1">
      <c r="A2368" s="7"/>
    </row>
    <row r="2369" spans="1:1">
      <c r="A2369" s="7"/>
    </row>
    <row r="2370" spans="1:1">
      <c r="A2370" s="7"/>
    </row>
    <row r="2371" spans="1:1">
      <c r="A2371" s="7"/>
    </row>
    <row r="2372" spans="1:1">
      <c r="A2372" s="7"/>
    </row>
    <row r="2373" spans="1:1">
      <c r="A2373" s="7"/>
    </row>
    <row r="2374" spans="1:1">
      <c r="A2374" s="7"/>
    </row>
    <row r="2375" spans="1:1">
      <c r="A2375" s="7"/>
    </row>
    <row r="2376" spans="1:1">
      <c r="A2376" s="7"/>
    </row>
    <row r="2377" spans="1:1">
      <c r="A2377" s="7"/>
    </row>
    <row r="2378" spans="1:1">
      <c r="A2378" s="7"/>
    </row>
    <row r="2379" spans="1:1">
      <c r="A2379" s="7"/>
    </row>
    <row r="2380" spans="1:1">
      <c r="A2380" s="7"/>
    </row>
    <row r="2381" spans="1:1">
      <c r="A2381" s="7"/>
    </row>
    <row r="2382" spans="1:1">
      <c r="A2382" s="7"/>
    </row>
    <row r="2383" spans="1:1">
      <c r="A2383" s="7"/>
    </row>
    <row r="2384" spans="1:1">
      <c r="A2384" s="7"/>
    </row>
    <row r="2385" spans="1:1">
      <c r="A2385" s="7"/>
    </row>
    <row r="2386" spans="1:1">
      <c r="A2386" s="7"/>
    </row>
    <row r="2387" spans="1:1">
      <c r="A2387" s="7"/>
    </row>
    <row r="2388" spans="1:1">
      <c r="A2388" s="7"/>
    </row>
    <row r="2389" spans="1:1">
      <c r="A2389" s="7"/>
    </row>
    <row r="2390" spans="1:1">
      <c r="A2390" s="7"/>
    </row>
    <row r="2391" spans="1:1">
      <c r="A2391" s="7"/>
    </row>
    <row r="2392" spans="1:1">
      <c r="A2392" s="7"/>
    </row>
    <row r="2393" spans="1:1">
      <c r="A2393" s="7"/>
    </row>
    <row r="2394" spans="1:1">
      <c r="A2394" s="7"/>
    </row>
    <row r="2395" spans="1:1">
      <c r="A2395" s="7"/>
    </row>
    <row r="2396" spans="1:1">
      <c r="A2396" s="7"/>
    </row>
    <row r="2397" spans="1:1">
      <c r="A2397" s="7"/>
    </row>
    <row r="2398" spans="1:1">
      <c r="A2398" s="7"/>
    </row>
    <row r="2399" spans="1:1">
      <c r="A2399" s="7"/>
    </row>
    <row r="2400" spans="1:1">
      <c r="A2400" s="7"/>
    </row>
    <row r="2401" spans="1:1">
      <c r="A2401" s="7"/>
    </row>
    <row r="2402" spans="1:1">
      <c r="A2402" s="7"/>
    </row>
    <row r="2403" spans="1:1">
      <c r="A2403" s="7"/>
    </row>
    <row r="2404" spans="1:1">
      <c r="A2404" s="7"/>
    </row>
    <row r="2405" spans="1:1">
      <c r="A2405" s="7"/>
    </row>
    <row r="2406" spans="1:1">
      <c r="A2406" s="7"/>
    </row>
    <row r="2407" spans="1:1">
      <c r="A2407" s="7"/>
    </row>
    <row r="2408" spans="1:1">
      <c r="A2408" s="7"/>
    </row>
    <row r="2409" spans="1:1">
      <c r="A2409" s="7"/>
    </row>
    <row r="2410" spans="1:1">
      <c r="A2410" s="7"/>
    </row>
    <row r="2411" spans="1:1">
      <c r="A2411" s="7"/>
    </row>
    <row r="2412" spans="1:1">
      <c r="A2412" s="7"/>
    </row>
    <row r="2413" spans="1:1">
      <c r="A2413" s="7"/>
    </row>
    <row r="2414" spans="1:1">
      <c r="A2414" s="7"/>
    </row>
    <row r="2415" spans="1:1">
      <c r="A2415" s="7"/>
    </row>
    <row r="2416" spans="1:1">
      <c r="A2416" s="7"/>
    </row>
    <row r="2417" spans="1:1">
      <c r="A2417" s="7"/>
    </row>
    <row r="2418" spans="1:1">
      <c r="A2418" s="7"/>
    </row>
    <row r="2419" spans="1:1">
      <c r="A2419" s="7"/>
    </row>
    <row r="2420" spans="1:1">
      <c r="A2420" s="7"/>
    </row>
    <row r="2421" spans="1:1">
      <c r="A2421" s="7"/>
    </row>
    <row r="2422" spans="1:1">
      <c r="A2422" s="7"/>
    </row>
    <row r="2423" spans="1:1">
      <c r="A2423" s="7"/>
    </row>
    <row r="2424" spans="1:1">
      <c r="A2424" s="7"/>
    </row>
    <row r="2425" spans="1:1">
      <c r="A2425" s="7"/>
    </row>
    <row r="2426" spans="1:1">
      <c r="A2426" s="7"/>
    </row>
    <row r="2427" spans="1:1">
      <c r="A2427" s="7"/>
    </row>
    <row r="2428" spans="1:1">
      <c r="A2428" s="7"/>
    </row>
    <row r="2429" spans="1:1">
      <c r="A2429" s="7"/>
    </row>
    <row r="2430" spans="1:1">
      <c r="A2430" s="7"/>
    </row>
    <row r="2431" spans="1:1">
      <c r="A2431" s="7"/>
    </row>
    <row r="2432" spans="1:1">
      <c r="A2432" s="7"/>
    </row>
    <row r="2433" spans="1:1">
      <c r="A2433" s="7"/>
    </row>
    <row r="2434" spans="1:1">
      <c r="A2434" s="7"/>
    </row>
    <row r="2435" spans="1:1">
      <c r="A2435" s="7"/>
    </row>
    <row r="2436" spans="1:1">
      <c r="A2436" s="7"/>
    </row>
    <row r="2437" spans="1:1">
      <c r="A2437" s="7"/>
    </row>
    <row r="2438" spans="1:1">
      <c r="A2438" s="7"/>
    </row>
    <row r="2439" spans="1:1">
      <c r="A2439" s="7"/>
    </row>
    <row r="2440" spans="1:1">
      <c r="A2440" s="7"/>
    </row>
    <row r="2441" spans="1:1">
      <c r="A2441" s="7"/>
    </row>
    <row r="2442" spans="1:1">
      <c r="A2442" s="7"/>
    </row>
    <row r="2443" spans="1:1">
      <c r="A2443" s="7"/>
    </row>
    <row r="2444" spans="1:1">
      <c r="A2444" s="7"/>
    </row>
    <row r="2445" spans="1:1">
      <c r="A2445" s="7"/>
    </row>
    <row r="2446" spans="1:1">
      <c r="A2446" s="7"/>
    </row>
    <row r="2447" spans="1:1">
      <c r="A2447" s="7"/>
    </row>
    <row r="2448" spans="1:1">
      <c r="A2448" s="7"/>
    </row>
    <row r="2449" spans="1:1">
      <c r="A2449" s="7"/>
    </row>
    <row r="2450" spans="1:1">
      <c r="A2450" s="7"/>
    </row>
    <row r="2451" spans="1:1">
      <c r="A2451" s="7"/>
    </row>
    <row r="2452" spans="1:1">
      <c r="A2452" s="7"/>
    </row>
    <row r="2453" spans="1:1">
      <c r="A2453" s="7"/>
    </row>
    <row r="2454" spans="1:1">
      <c r="A2454" s="7"/>
    </row>
    <row r="2455" spans="1:1">
      <c r="A2455" s="7"/>
    </row>
    <row r="2456" spans="1:1">
      <c r="A2456" s="7"/>
    </row>
    <row r="2457" spans="1:1">
      <c r="A2457" s="7"/>
    </row>
    <row r="2458" spans="1:1">
      <c r="A2458" s="7"/>
    </row>
    <row r="2459" spans="1:1">
      <c r="A2459" s="7"/>
    </row>
    <row r="2460" spans="1:1">
      <c r="A2460" s="7"/>
    </row>
    <row r="2461" spans="1:1">
      <c r="A2461" s="7"/>
    </row>
    <row r="2462" spans="1:1">
      <c r="A2462" s="7"/>
    </row>
    <row r="2463" spans="1:1">
      <c r="A2463" s="7"/>
    </row>
    <row r="2464" spans="1:1">
      <c r="A2464" s="7"/>
    </row>
    <row r="2465" spans="1:1">
      <c r="A2465" s="7"/>
    </row>
    <row r="2466" spans="1:1">
      <c r="A2466" s="7"/>
    </row>
    <row r="2467" spans="1:1">
      <c r="A2467" s="7"/>
    </row>
    <row r="2468" spans="1:1">
      <c r="A2468" s="7"/>
    </row>
    <row r="2469" spans="1:1">
      <c r="A2469" s="7"/>
    </row>
    <row r="2470" spans="1:1">
      <c r="A2470" s="7"/>
    </row>
    <row r="2471" spans="1:1">
      <c r="A2471" s="7"/>
    </row>
    <row r="2472" spans="1:1">
      <c r="A2472" s="7"/>
    </row>
    <row r="2473" spans="1:1">
      <c r="A2473" s="7"/>
    </row>
    <row r="2474" spans="1:1">
      <c r="A2474" s="7"/>
    </row>
    <row r="2475" spans="1:1">
      <c r="A2475" s="7"/>
    </row>
    <row r="2476" spans="1:1">
      <c r="A2476" s="7"/>
    </row>
    <row r="2477" spans="1:1">
      <c r="A2477" s="7"/>
    </row>
    <row r="2478" spans="1:1">
      <c r="A2478" s="7"/>
    </row>
    <row r="2479" spans="1:1">
      <c r="A2479" s="7"/>
    </row>
    <row r="2480" spans="1:1">
      <c r="A2480" s="7"/>
    </row>
    <row r="2481" spans="1:1">
      <c r="A2481" s="7"/>
    </row>
    <row r="2482" spans="1:1">
      <c r="A2482" s="7"/>
    </row>
    <row r="2483" spans="1:1">
      <c r="A2483" s="7"/>
    </row>
    <row r="2484" spans="1:1">
      <c r="A2484" s="7"/>
    </row>
    <row r="2485" spans="1:1">
      <c r="A2485" s="7"/>
    </row>
    <row r="2486" spans="1:1">
      <c r="A2486" s="7"/>
    </row>
    <row r="2487" spans="1:1">
      <c r="A2487" s="7"/>
    </row>
    <row r="2488" spans="1:1">
      <c r="A2488" s="7"/>
    </row>
    <row r="2489" spans="1:1">
      <c r="A2489" s="7"/>
    </row>
    <row r="2490" spans="1:1">
      <c r="A2490" s="7"/>
    </row>
    <row r="2491" spans="1:1">
      <c r="A2491" s="7"/>
    </row>
    <row r="2492" spans="1:1">
      <c r="A2492" s="7"/>
    </row>
    <row r="2493" spans="1:1">
      <c r="A2493" s="7"/>
    </row>
    <row r="2494" spans="1:1">
      <c r="A2494" s="7"/>
    </row>
    <row r="2495" spans="1:1">
      <c r="A2495" s="7"/>
    </row>
    <row r="2496" spans="1:1">
      <c r="A2496" s="7"/>
    </row>
    <row r="2497" spans="1:1">
      <c r="A2497" s="7"/>
    </row>
    <row r="2498" spans="1:1">
      <c r="A2498" s="7"/>
    </row>
    <row r="2499" spans="1:1">
      <c r="A2499" s="7"/>
    </row>
    <row r="2500" spans="1:1">
      <c r="A2500" s="7"/>
    </row>
    <row r="2501" spans="1:1">
      <c r="A2501" s="7"/>
    </row>
    <row r="2502" spans="1:1">
      <c r="A2502" s="7"/>
    </row>
    <row r="2503" spans="1:1">
      <c r="A2503" s="7"/>
    </row>
    <row r="2504" spans="1:1">
      <c r="A2504" s="7"/>
    </row>
    <row r="2505" spans="1:1">
      <c r="A2505" s="7"/>
    </row>
    <row r="2506" spans="1:1">
      <c r="A2506" s="7"/>
    </row>
    <row r="2507" spans="1:1">
      <c r="A2507" s="7"/>
    </row>
    <row r="2508" spans="1:1">
      <c r="A2508" s="7"/>
    </row>
    <row r="2509" spans="1:1">
      <c r="A2509" s="7"/>
    </row>
    <row r="2510" spans="1:1">
      <c r="A2510" s="7"/>
    </row>
    <row r="2511" spans="1:1">
      <c r="A2511" s="7"/>
    </row>
    <row r="2512" spans="1:1">
      <c r="A2512" s="7"/>
    </row>
    <row r="2513" spans="1:1">
      <c r="A2513" s="7"/>
    </row>
    <row r="2514" spans="1:1">
      <c r="A2514" s="7"/>
    </row>
    <row r="2515" spans="1:1">
      <c r="A2515" s="7"/>
    </row>
    <row r="2516" spans="1:1">
      <c r="A2516" s="7"/>
    </row>
    <row r="2517" spans="1:1">
      <c r="A2517" s="7"/>
    </row>
    <row r="2518" spans="1:1">
      <c r="A2518" s="7"/>
    </row>
    <row r="2519" spans="1:1">
      <c r="A2519" s="7"/>
    </row>
    <row r="2520" spans="1:1">
      <c r="A2520" s="7"/>
    </row>
    <row r="2521" spans="1:1">
      <c r="A2521" s="7"/>
    </row>
    <row r="2522" spans="1:1">
      <c r="A2522" s="7"/>
    </row>
    <row r="2523" spans="1:1">
      <c r="A2523" s="7"/>
    </row>
    <row r="2524" spans="1:1">
      <c r="A2524" s="7"/>
    </row>
    <row r="2525" spans="1:1">
      <c r="A2525" s="7"/>
    </row>
    <row r="2526" spans="1:1">
      <c r="A2526" s="7"/>
    </row>
    <row r="2527" spans="1:1">
      <c r="A2527" s="7"/>
    </row>
    <row r="2528" spans="1:1">
      <c r="A2528" s="7"/>
    </row>
    <row r="2529" spans="1:1">
      <c r="A2529" s="7"/>
    </row>
    <row r="2530" spans="1:1">
      <c r="A2530" s="7"/>
    </row>
    <row r="2531" spans="1:1">
      <c r="A2531" s="7"/>
    </row>
    <row r="2532" spans="1:1">
      <c r="A2532" s="7"/>
    </row>
    <row r="2533" spans="1:1">
      <c r="A2533" s="7"/>
    </row>
    <row r="2534" spans="1:1">
      <c r="A2534" s="7"/>
    </row>
    <row r="2535" spans="1:1">
      <c r="A2535" s="7"/>
    </row>
    <row r="2536" spans="1:1">
      <c r="A2536" s="7"/>
    </row>
    <row r="2537" spans="1:1">
      <c r="A2537" s="7"/>
    </row>
    <row r="2538" spans="1:1">
      <c r="A2538" s="7"/>
    </row>
    <row r="2539" spans="1:1">
      <c r="A2539" s="7"/>
    </row>
    <row r="2540" spans="1:1">
      <c r="A2540" s="7"/>
    </row>
    <row r="2541" spans="1:1">
      <c r="A2541" s="7"/>
    </row>
    <row r="2542" spans="1:1">
      <c r="A2542" s="7"/>
    </row>
    <row r="2543" spans="1:1">
      <c r="A2543" s="7"/>
    </row>
    <row r="2544" spans="1:1">
      <c r="A2544" s="7"/>
    </row>
    <row r="2545" spans="1:1">
      <c r="A2545" s="7"/>
    </row>
    <row r="2546" spans="1:1">
      <c r="A2546" s="7"/>
    </row>
    <row r="2547" spans="1:1">
      <c r="A2547" s="7"/>
    </row>
    <row r="2548" spans="1:1">
      <c r="A2548" s="7"/>
    </row>
    <row r="2549" spans="1:1">
      <c r="A2549" s="7"/>
    </row>
    <row r="2550" spans="1:1">
      <c r="A2550" s="7"/>
    </row>
    <row r="2551" spans="1:1">
      <c r="A2551" s="7"/>
    </row>
    <row r="2552" spans="1:1">
      <c r="A2552" s="7"/>
    </row>
    <row r="2553" spans="1:1">
      <c r="A2553" s="7"/>
    </row>
    <row r="2554" spans="1:1">
      <c r="A2554" s="7"/>
    </row>
    <row r="2555" spans="1:1">
      <c r="A2555" s="7"/>
    </row>
    <row r="2556" spans="1:1">
      <c r="A2556" s="7"/>
    </row>
    <row r="2557" spans="1:1">
      <c r="A2557" s="7"/>
    </row>
    <row r="2558" spans="1:1">
      <c r="A2558" s="7"/>
    </row>
    <row r="2559" spans="1:1">
      <c r="A2559" s="7"/>
    </row>
    <row r="2560" spans="1:1">
      <c r="A2560" s="7"/>
    </row>
    <row r="2561" spans="1:1">
      <c r="A2561" s="7"/>
    </row>
    <row r="2562" spans="1:1">
      <c r="A2562" s="7"/>
    </row>
    <row r="2563" spans="1:1">
      <c r="A2563" s="7"/>
    </row>
    <row r="2564" spans="1:1">
      <c r="A2564" s="7"/>
    </row>
    <row r="2565" spans="1:1">
      <c r="A2565" s="7"/>
    </row>
    <row r="2566" spans="1:1">
      <c r="A2566" s="7"/>
    </row>
    <row r="2567" spans="1:1">
      <c r="A2567" s="7"/>
    </row>
    <row r="2568" spans="1:1">
      <c r="A2568" s="7"/>
    </row>
    <row r="2569" spans="1:1">
      <c r="A2569" s="7"/>
    </row>
    <row r="2570" spans="1:1">
      <c r="A2570" s="7"/>
    </row>
    <row r="2571" spans="1:1">
      <c r="A2571" s="7"/>
    </row>
    <row r="2572" spans="1:1">
      <c r="A2572" s="7"/>
    </row>
    <row r="2573" spans="1:1">
      <c r="A2573" s="7"/>
    </row>
    <row r="2574" spans="1:1">
      <c r="A2574" s="7"/>
    </row>
    <row r="2575" spans="1:1">
      <c r="A2575" s="7"/>
    </row>
    <row r="2576" spans="1:1">
      <c r="A2576" s="7"/>
    </row>
    <row r="2577" spans="1:1">
      <c r="A2577" s="7"/>
    </row>
    <row r="2578" spans="1:1">
      <c r="A2578" s="7"/>
    </row>
    <row r="2579" spans="1:1">
      <c r="A2579" s="7"/>
    </row>
    <row r="2580" spans="1:1">
      <c r="A2580" s="7"/>
    </row>
    <row r="2581" spans="1:1">
      <c r="A2581" s="7"/>
    </row>
    <row r="2582" spans="1:1">
      <c r="A2582" s="7"/>
    </row>
    <row r="2583" spans="1:1">
      <c r="A2583" s="7"/>
    </row>
    <row r="2584" spans="1:1">
      <c r="A2584" s="7"/>
    </row>
    <row r="2585" spans="1:1">
      <c r="A2585" s="7"/>
    </row>
    <row r="2586" spans="1:1">
      <c r="A2586" s="7"/>
    </row>
    <row r="2587" spans="1:1">
      <c r="A2587" s="7"/>
    </row>
    <row r="2588" spans="1:1">
      <c r="A2588" s="7"/>
    </row>
    <row r="2589" spans="1:1">
      <c r="A2589" s="7"/>
    </row>
    <row r="2590" spans="1:1">
      <c r="A2590" s="7"/>
    </row>
    <row r="2591" spans="1:1">
      <c r="A2591" s="7"/>
    </row>
    <row r="2592" spans="1:1">
      <c r="A2592" s="7"/>
    </row>
    <row r="2593" spans="1:1">
      <c r="A2593" s="7"/>
    </row>
    <row r="2594" spans="1:1">
      <c r="A2594" s="7"/>
    </row>
    <row r="2595" spans="1:1">
      <c r="A2595" s="7"/>
    </row>
    <row r="2596" spans="1:1">
      <c r="A2596" s="7"/>
    </row>
    <row r="2597" spans="1:1">
      <c r="A2597" s="7"/>
    </row>
    <row r="2598" spans="1:1">
      <c r="A2598" s="7"/>
    </row>
    <row r="2599" spans="1:1">
      <c r="A2599" s="7"/>
    </row>
    <row r="2600" spans="1:1">
      <c r="A2600" s="7"/>
    </row>
    <row r="2601" spans="1:1">
      <c r="A2601" s="7"/>
    </row>
    <row r="2602" spans="1:1">
      <c r="A2602" s="7"/>
    </row>
    <row r="2603" spans="1:1">
      <c r="A2603" s="7"/>
    </row>
    <row r="2604" spans="1:1">
      <c r="A2604" s="7"/>
    </row>
    <row r="2605" spans="1:1">
      <c r="A2605" s="7"/>
    </row>
    <row r="2606" spans="1:1">
      <c r="A2606" s="7"/>
    </row>
    <row r="2607" spans="1:1">
      <c r="A2607" s="7"/>
    </row>
    <row r="2608" spans="1:1">
      <c r="A2608" s="7"/>
    </row>
    <row r="2609" spans="1:1">
      <c r="A2609" s="7"/>
    </row>
    <row r="2610" spans="1:1">
      <c r="A2610" s="7"/>
    </row>
    <row r="2611" spans="1:1">
      <c r="A2611" s="7"/>
    </row>
    <row r="2612" spans="1:1">
      <c r="A2612" s="7"/>
    </row>
    <row r="2613" spans="1:1">
      <c r="A2613" s="7"/>
    </row>
    <row r="2614" spans="1:1">
      <c r="A2614" s="7"/>
    </row>
    <row r="2615" spans="1:1">
      <c r="A2615" s="7"/>
    </row>
    <row r="2616" spans="1:1">
      <c r="A2616" s="7"/>
    </row>
    <row r="2617" spans="1:1">
      <c r="A2617" s="7"/>
    </row>
    <row r="2618" spans="1:1">
      <c r="A2618" s="7"/>
    </row>
    <row r="2619" spans="1:1">
      <c r="A2619" s="7"/>
    </row>
    <row r="2620" spans="1:1">
      <c r="A2620" s="7"/>
    </row>
    <row r="2621" spans="1:1">
      <c r="A2621" s="7"/>
    </row>
    <row r="2622" spans="1:1">
      <c r="A2622" s="7"/>
    </row>
    <row r="2623" spans="1:1">
      <c r="A2623" s="7"/>
    </row>
    <row r="2624" spans="1:1">
      <c r="A2624" s="7"/>
    </row>
    <row r="2625" spans="1:1">
      <c r="A2625" s="7"/>
    </row>
    <row r="2626" spans="1:1">
      <c r="A2626" s="7"/>
    </row>
    <row r="2627" spans="1:1">
      <c r="A2627" s="7"/>
    </row>
    <row r="2628" spans="1:1">
      <c r="A2628" s="7"/>
    </row>
    <row r="2629" spans="1:1">
      <c r="A2629" s="7"/>
    </row>
    <row r="2630" spans="1:1">
      <c r="A2630" s="7"/>
    </row>
    <row r="2631" spans="1:1">
      <c r="A2631" s="7"/>
    </row>
    <row r="2632" spans="1:1">
      <c r="A2632" s="7"/>
    </row>
    <row r="2633" spans="1:1">
      <c r="A2633" s="7"/>
    </row>
    <row r="2634" spans="1:1">
      <c r="A2634" s="7"/>
    </row>
    <row r="2635" spans="1:1">
      <c r="A2635" s="7"/>
    </row>
    <row r="2636" spans="1:1">
      <c r="A2636" s="7"/>
    </row>
    <row r="2637" spans="1:1">
      <c r="A2637" s="7"/>
    </row>
    <row r="2638" spans="1:1">
      <c r="A2638" s="7"/>
    </row>
    <row r="2639" spans="1:1">
      <c r="A2639" s="7"/>
    </row>
    <row r="2640" spans="1:1">
      <c r="A2640" s="7"/>
    </row>
    <row r="2641" spans="1:1">
      <c r="A2641" s="7"/>
    </row>
    <row r="2642" spans="1:1">
      <c r="A2642" s="7"/>
    </row>
    <row r="2643" spans="1:1">
      <c r="A2643" s="7"/>
    </row>
    <row r="2644" spans="1:1">
      <c r="A2644" s="7"/>
    </row>
    <row r="2645" spans="1:1">
      <c r="A2645" s="7"/>
    </row>
    <row r="2646" spans="1:1">
      <c r="A2646" s="7"/>
    </row>
    <row r="2647" spans="1:1">
      <c r="A2647" s="7"/>
    </row>
    <row r="2648" spans="1:1">
      <c r="A2648" s="7"/>
    </row>
    <row r="2649" spans="1:1">
      <c r="A2649" s="7"/>
    </row>
    <row r="2650" spans="1:1">
      <c r="A2650" s="7"/>
    </row>
    <row r="2651" spans="1:1">
      <c r="A2651" s="7"/>
    </row>
    <row r="2652" spans="1:1">
      <c r="A2652" s="7"/>
    </row>
    <row r="2653" spans="1:1">
      <c r="A2653" s="7"/>
    </row>
    <row r="2654" spans="1:1">
      <c r="A2654" s="7"/>
    </row>
    <row r="2655" spans="1:1">
      <c r="A2655" s="7"/>
    </row>
    <row r="2656" spans="1:1">
      <c r="A2656" s="7"/>
    </row>
    <row r="2657" spans="1:1">
      <c r="A2657" s="7"/>
    </row>
    <row r="2658" spans="1:1">
      <c r="A2658" s="7"/>
    </row>
    <row r="2659" spans="1:1">
      <c r="A2659" s="7"/>
    </row>
    <row r="2660" spans="1:1">
      <c r="A2660" s="7"/>
    </row>
    <row r="2661" spans="1:1">
      <c r="A2661" s="7"/>
    </row>
    <row r="2662" spans="1:1">
      <c r="A2662" s="7"/>
    </row>
    <row r="2663" spans="1:1">
      <c r="A2663" s="7"/>
    </row>
    <row r="2664" spans="1:1">
      <c r="A2664" s="7"/>
    </row>
    <row r="2665" spans="1:1">
      <c r="A2665" s="7"/>
    </row>
    <row r="2666" spans="1:1">
      <c r="A2666" s="7"/>
    </row>
    <row r="2667" spans="1:1">
      <c r="A2667" s="7"/>
    </row>
    <row r="2668" spans="1:1">
      <c r="A2668" s="7"/>
    </row>
    <row r="2669" spans="1:1">
      <c r="A2669" s="7"/>
    </row>
    <row r="2670" spans="1:1">
      <c r="A2670" s="7"/>
    </row>
    <row r="2671" spans="1:1">
      <c r="A2671" s="7"/>
    </row>
    <row r="2672" spans="1:1">
      <c r="A2672" s="7"/>
    </row>
    <row r="2673" spans="1:1">
      <c r="A2673" s="7"/>
    </row>
    <row r="2674" spans="1:1">
      <c r="A2674" s="7"/>
    </row>
    <row r="2675" spans="1:1">
      <c r="A2675" s="7"/>
    </row>
    <row r="2676" spans="1:1">
      <c r="A2676" s="7"/>
    </row>
    <row r="2677" spans="1:1">
      <c r="A2677" s="7"/>
    </row>
    <row r="2678" spans="1:1">
      <c r="A2678" s="7"/>
    </row>
    <row r="2679" spans="1:1">
      <c r="A2679" s="7"/>
    </row>
    <row r="2680" spans="1:1">
      <c r="A2680" s="7"/>
    </row>
    <row r="2681" spans="1:1">
      <c r="A2681" s="7"/>
    </row>
    <row r="2682" spans="1:1">
      <c r="A2682" s="7"/>
    </row>
    <row r="2683" spans="1:1">
      <c r="A2683" s="7"/>
    </row>
    <row r="2684" spans="1:1">
      <c r="A2684" s="7"/>
    </row>
    <row r="2685" spans="1:1">
      <c r="A2685" s="7"/>
    </row>
    <row r="2686" spans="1:1">
      <c r="A2686" s="7"/>
    </row>
    <row r="2687" spans="1:1">
      <c r="A2687" s="7"/>
    </row>
    <row r="2688" spans="1:1">
      <c r="A2688" s="7"/>
    </row>
    <row r="2689" spans="1:1">
      <c r="A2689" s="7"/>
    </row>
    <row r="2690" spans="1:1">
      <c r="A2690" s="7"/>
    </row>
    <row r="2691" spans="1:1">
      <c r="A2691" s="7"/>
    </row>
    <row r="2692" spans="1:1">
      <c r="A2692" s="7"/>
    </row>
    <row r="2693" spans="1:1">
      <c r="A2693" s="7"/>
    </row>
    <row r="2694" spans="1:1">
      <c r="A2694" s="7"/>
    </row>
    <row r="2695" spans="1:1">
      <c r="A2695" s="7"/>
    </row>
    <row r="2696" spans="1:1">
      <c r="A2696" s="7"/>
    </row>
    <row r="2697" spans="1:1">
      <c r="A2697" s="7"/>
    </row>
    <row r="2698" spans="1:1">
      <c r="A2698" s="7"/>
    </row>
    <row r="2699" spans="1:1">
      <c r="A2699" s="7"/>
    </row>
    <row r="2700" spans="1:1">
      <c r="A2700" s="7"/>
    </row>
    <row r="2701" spans="1:1">
      <c r="A2701" s="7"/>
    </row>
    <row r="2702" spans="1:1">
      <c r="A2702" s="7"/>
    </row>
    <row r="2703" spans="1:1">
      <c r="A2703" s="7"/>
    </row>
    <row r="2704" spans="1:1">
      <c r="A2704" s="7"/>
    </row>
    <row r="2705" spans="1:1">
      <c r="A2705" s="7"/>
    </row>
    <row r="2706" spans="1:1">
      <c r="A2706" s="7"/>
    </row>
    <row r="2707" spans="1:1">
      <c r="A2707" s="7"/>
    </row>
    <row r="2708" spans="1:1">
      <c r="A2708" s="7"/>
    </row>
    <row r="2709" spans="1:1">
      <c r="A2709" s="7"/>
    </row>
    <row r="2710" spans="1:1">
      <c r="A2710" s="7"/>
    </row>
    <row r="2711" spans="1:1">
      <c r="A2711" s="7"/>
    </row>
    <row r="2712" spans="1:1">
      <c r="A2712" s="7"/>
    </row>
    <row r="2713" spans="1:1">
      <c r="A2713" s="7"/>
    </row>
    <row r="2714" spans="1:1">
      <c r="A2714" s="7"/>
    </row>
    <row r="2715" spans="1:1">
      <c r="A2715" s="7"/>
    </row>
    <row r="2716" spans="1:1">
      <c r="A2716" s="7"/>
    </row>
    <row r="2717" spans="1:1">
      <c r="A2717" s="7"/>
    </row>
    <row r="2718" spans="1:1">
      <c r="A2718" s="7"/>
    </row>
    <row r="2719" spans="1:1">
      <c r="A2719" s="7"/>
    </row>
    <row r="2720" spans="1:1">
      <c r="A2720" s="7"/>
    </row>
    <row r="2721" spans="1:1">
      <c r="A2721" s="7"/>
    </row>
    <row r="2722" spans="1:1">
      <c r="A2722" s="7"/>
    </row>
    <row r="2723" spans="1:1">
      <c r="A2723" s="7"/>
    </row>
    <row r="2724" spans="1:1">
      <c r="A2724" s="7"/>
    </row>
    <row r="2725" spans="1:1">
      <c r="A2725" s="7"/>
    </row>
    <row r="2726" spans="1:1">
      <c r="A2726" s="7"/>
    </row>
    <row r="2727" spans="1:1">
      <c r="A2727" s="7"/>
    </row>
    <row r="2728" spans="1:1">
      <c r="A2728" s="7"/>
    </row>
    <row r="2729" spans="1:1">
      <c r="A2729" s="7"/>
    </row>
    <row r="2730" spans="1:1">
      <c r="A2730" s="7"/>
    </row>
    <row r="2731" spans="1:1">
      <c r="A2731" s="7"/>
    </row>
    <row r="2732" spans="1:1">
      <c r="A2732" s="7"/>
    </row>
    <row r="2733" spans="1:1">
      <c r="A2733" s="7"/>
    </row>
    <row r="2734" spans="1:1">
      <c r="A2734" s="7"/>
    </row>
    <row r="2735" spans="1:1">
      <c r="A2735" s="7"/>
    </row>
    <row r="2736" spans="1:1">
      <c r="A2736" s="7"/>
    </row>
    <row r="2737" spans="1:1">
      <c r="A2737" s="7"/>
    </row>
    <row r="2738" spans="1:1">
      <c r="A2738" s="7"/>
    </row>
    <row r="2739" spans="1:1">
      <c r="A2739" s="7"/>
    </row>
    <row r="2740" spans="1:1">
      <c r="A2740" s="7"/>
    </row>
    <row r="2741" spans="1:1">
      <c r="A2741" s="7"/>
    </row>
    <row r="2742" spans="1:1">
      <c r="A2742" s="7"/>
    </row>
    <row r="2743" spans="1:1">
      <c r="A2743" s="7"/>
    </row>
    <row r="2744" spans="1:1">
      <c r="A2744" s="7"/>
    </row>
    <row r="2745" spans="1:1">
      <c r="A2745" s="7"/>
    </row>
    <row r="2746" spans="1:1">
      <c r="A2746" s="7"/>
    </row>
    <row r="2747" spans="1:1">
      <c r="A2747" s="7"/>
    </row>
    <row r="2748" spans="1:1">
      <c r="A2748" s="7"/>
    </row>
    <row r="2749" spans="1:1">
      <c r="A2749" s="7"/>
    </row>
    <row r="2750" spans="1:1">
      <c r="A2750" s="7"/>
    </row>
    <row r="2751" spans="1:1">
      <c r="A2751" s="7"/>
    </row>
    <row r="2752" spans="1:1">
      <c r="A2752" s="7"/>
    </row>
    <row r="2753" spans="1:1">
      <c r="A2753" s="7"/>
    </row>
    <row r="2754" spans="1:1">
      <c r="A2754" s="7"/>
    </row>
    <row r="2755" spans="1:1">
      <c r="A2755" s="7"/>
    </row>
    <row r="2756" spans="1:1">
      <c r="A2756" s="7"/>
    </row>
    <row r="2757" spans="1:1">
      <c r="A2757" s="7"/>
    </row>
    <row r="2758" spans="1:1">
      <c r="A2758" s="7"/>
    </row>
    <row r="2759" spans="1:1">
      <c r="A2759" s="7"/>
    </row>
    <row r="2760" spans="1:1">
      <c r="A2760" s="7"/>
    </row>
    <row r="2761" spans="1:1">
      <c r="A2761" s="7"/>
    </row>
    <row r="2762" spans="1:1">
      <c r="A2762" s="7"/>
    </row>
    <row r="2763" spans="1:1">
      <c r="A2763" s="7"/>
    </row>
    <row r="2764" spans="1:1">
      <c r="A2764" s="7"/>
    </row>
    <row r="2765" spans="1:1">
      <c r="A2765" s="7"/>
    </row>
    <row r="2766" spans="1:1">
      <c r="A2766" s="7"/>
    </row>
    <row r="2767" spans="1:1">
      <c r="A2767" s="7"/>
    </row>
    <row r="2768" spans="1:1">
      <c r="A2768" s="7"/>
    </row>
    <row r="2769" spans="1:1">
      <c r="A2769" s="7"/>
    </row>
    <row r="2770" spans="1:1">
      <c r="A2770" s="7"/>
    </row>
    <row r="2771" spans="1:1">
      <c r="A2771" s="7"/>
    </row>
    <row r="2772" spans="1:1">
      <c r="A2772" s="7"/>
    </row>
    <row r="2773" spans="1:1">
      <c r="A2773" s="7"/>
    </row>
    <row r="2774" spans="1:1">
      <c r="A2774" s="7"/>
    </row>
    <row r="2775" spans="1:1">
      <c r="A2775" s="7"/>
    </row>
    <row r="2776" spans="1:1">
      <c r="A2776" s="7"/>
    </row>
    <row r="2777" spans="1:1">
      <c r="A2777" s="7"/>
    </row>
    <row r="2778" spans="1:1">
      <c r="A2778" s="7"/>
    </row>
    <row r="2779" spans="1:1">
      <c r="A2779" s="7"/>
    </row>
    <row r="2780" spans="1:1">
      <c r="A2780" s="7"/>
    </row>
    <row r="2781" spans="1:1">
      <c r="A2781" s="7"/>
    </row>
    <row r="2782" spans="1:1">
      <c r="A2782" s="7"/>
    </row>
    <row r="2783" spans="1:1">
      <c r="A2783" s="7"/>
    </row>
    <row r="2784" spans="1:1">
      <c r="A2784" s="7"/>
    </row>
    <row r="2785" spans="1:1">
      <c r="A2785" s="7"/>
    </row>
    <row r="2786" spans="1:1">
      <c r="A2786" s="7"/>
    </row>
    <row r="2787" spans="1:1">
      <c r="A2787" s="7"/>
    </row>
    <row r="2788" spans="1:1">
      <c r="A2788" s="7"/>
    </row>
    <row r="2789" spans="1:1">
      <c r="A2789" s="7"/>
    </row>
    <row r="2790" spans="1:1">
      <c r="A2790" s="7"/>
    </row>
    <row r="2791" spans="1:1">
      <c r="A2791" s="7"/>
    </row>
    <row r="2792" spans="1:1">
      <c r="A2792" s="7"/>
    </row>
    <row r="2793" spans="1:1">
      <c r="A2793" s="7"/>
    </row>
    <row r="2794" spans="1:1">
      <c r="A2794" s="7"/>
    </row>
    <row r="2795" spans="1:1">
      <c r="A2795" s="7"/>
    </row>
    <row r="2796" spans="1:1">
      <c r="A2796" s="7"/>
    </row>
    <row r="2797" spans="1:1">
      <c r="A2797" s="7"/>
    </row>
    <row r="2798" spans="1:1">
      <c r="A2798" s="7"/>
    </row>
    <row r="2799" spans="1:1">
      <c r="A2799" s="7"/>
    </row>
    <row r="2800" spans="1:1">
      <c r="A2800" s="7"/>
    </row>
    <row r="2801" spans="1:1">
      <c r="A2801" s="7"/>
    </row>
    <row r="2802" spans="1:1">
      <c r="A2802" s="7"/>
    </row>
    <row r="2803" spans="1:1">
      <c r="A2803" s="7"/>
    </row>
    <row r="2804" spans="1:1">
      <c r="A2804" s="7"/>
    </row>
    <row r="2805" spans="1:1">
      <c r="A2805" s="7"/>
    </row>
    <row r="2806" spans="1:1">
      <c r="A2806" s="7"/>
    </row>
    <row r="2807" spans="1:1">
      <c r="A2807" s="7"/>
    </row>
    <row r="2808" spans="1:1">
      <c r="A2808" s="7"/>
    </row>
    <row r="2809" spans="1:1">
      <c r="A2809" s="7"/>
    </row>
    <row r="2810" spans="1:1">
      <c r="A2810" s="7"/>
    </row>
    <row r="2811" spans="1:1">
      <c r="A2811" s="7"/>
    </row>
    <row r="2812" spans="1:1">
      <c r="A2812" s="7"/>
    </row>
    <row r="2813" spans="1:1">
      <c r="A2813" s="7"/>
    </row>
    <row r="2814" spans="1:1">
      <c r="A2814" s="7"/>
    </row>
    <row r="2815" spans="1:1">
      <c r="A2815" s="7"/>
    </row>
    <row r="2816" spans="1:1">
      <c r="A2816" s="7"/>
    </row>
    <row r="2817" spans="1:1">
      <c r="A2817" s="7"/>
    </row>
    <row r="2818" spans="1:1">
      <c r="A2818" s="7"/>
    </row>
    <row r="2819" spans="1:1">
      <c r="A2819" s="7"/>
    </row>
    <row r="2820" spans="1:1">
      <c r="A2820" s="7"/>
    </row>
    <row r="2821" spans="1:1">
      <c r="A2821" s="7"/>
    </row>
    <row r="2822" spans="1:1">
      <c r="A2822" s="7"/>
    </row>
    <row r="2823" spans="1:1">
      <c r="A2823" s="7"/>
    </row>
    <row r="2824" spans="1:1">
      <c r="A2824" s="7"/>
    </row>
    <row r="2825" spans="1:1">
      <c r="A2825" s="7"/>
    </row>
    <row r="2826" spans="1:1">
      <c r="A2826" s="7"/>
    </row>
    <row r="2827" spans="1:1">
      <c r="A2827" s="7"/>
    </row>
    <row r="2828" spans="1:1">
      <c r="A2828" s="7"/>
    </row>
    <row r="2829" spans="1:1">
      <c r="A2829" s="7"/>
    </row>
    <row r="2830" spans="1:1">
      <c r="A2830" s="7"/>
    </row>
    <row r="2831" spans="1:1">
      <c r="A2831" s="7"/>
    </row>
    <row r="2832" spans="1:1">
      <c r="A2832" s="7"/>
    </row>
    <row r="2833" spans="1:1">
      <c r="A2833" s="7"/>
    </row>
    <row r="2834" spans="1:1">
      <c r="A2834" s="7"/>
    </row>
    <row r="2835" spans="1:1">
      <c r="A2835" s="7"/>
    </row>
    <row r="2836" spans="1:1">
      <c r="A2836" s="7"/>
    </row>
    <row r="2837" spans="1:1">
      <c r="A2837" s="7"/>
    </row>
    <row r="2838" spans="1:1">
      <c r="A2838" s="7"/>
    </row>
    <row r="2839" spans="1:1">
      <c r="A2839" s="7"/>
    </row>
    <row r="2840" spans="1:1">
      <c r="A2840" s="7"/>
    </row>
    <row r="2841" spans="1:1">
      <c r="A2841" s="7"/>
    </row>
    <row r="2842" spans="1:1">
      <c r="A2842" s="7"/>
    </row>
    <row r="2843" spans="1:1">
      <c r="A2843" s="7"/>
    </row>
    <row r="2844" spans="1:1">
      <c r="A2844" s="7"/>
    </row>
    <row r="2845" spans="1:1">
      <c r="A2845" s="7"/>
    </row>
    <row r="2846" spans="1:1">
      <c r="A2846" s="7"/>
    </row>
    <row r="2847" spans="1:1">
      <c r="A2847" s="7"/>
    </row>
    <row r="2848" spans="1:1">
      <c r="A2848" s="7"/>
    </row>
    <row r="2849" spans="1:1">
      <c r="A2849" s="7"/>
    </row>
    <row r="2850" spans="1:1">
      <c r="A2850" s="7"/>
    </row>
    <row r="2851" spans="1:1">
      <c r="A2851" s="7"/>
    </row>
    <row r="2852" spans="1:1">
      <c r="A2852" s="7"/>
    </row>
    <row r="2853" spans="1:1">
      <c r="A2853" s="7"/>
    </row>
    <row r="2854" spans="1:1">
      <c r="A2854" s="7"/>
    </row>
    <row r="2855" spans="1:1">
      <c r="A2855" s="7"/>
    </row>
    <row r="2856" spans="1:1">
      <c r="A2856" s="7"/>
    </row>
    <row r="2857" spans="1:1">
      <c r="A2857" s="7"/>
    </row>
    <row r="2858" spans="1:1">
      <c r="A2858" s="7"/>
    </row>
    <row r="2859" spans="1:1">
      <c r="A2859" s="7"/>
    </row>
    <row r="2860" spans="1:1">
      <c r="A2860" s="7"/>
    </row>
    <row r="2861" spans="1:1">
      <c r="A2861" s="7"/>
    </row>
    <row r="2862" spans="1:1">
      <c r="A2862" s="7"/>
    </row>
    <row r="2863" spans="1:1">
      <c r="A2863" s="7"/>
    </row>
    <row r="2864" spans="1:1">
      <c r="A2864" s="7"/>
    </row>
    <row r="2865" spans="1:1">
      <c r="A2865" s="7"/>
    </row>
    <row r="2866" spans="1:1">
      <c r="A2866" s="7"/>
    </row>
    <row r="2867" spans="1:1">
      <c r="A2867" s="7"/>
    </row>
    <row r="2868" spans="1:1">
      <c r="A2868" s="7"/>
    </row>
    <row r="2869" spans="1:1">
      <c r="A2869" s="7"/>
    </row>
    <row r="2870" spans="1:1">
      <c r="A2870" s="7"/>
    </row>
    <row r="2871" spans="1:1">
      <c r="A2871" s="7"/>
    </row>
    <row r="2872" spans="1:1">
      <c r="A2872" s="7"/>
    </row>
    <row r="2873" spans="1:1">
      <c r="A2873" s="7"/>
    </row>
    <row r="2874" spans="1:1">
      <c r="A2874" s="7"/>
    </row>
    <row r="2875" spans="1:1">
      <c r="A2875" s="7"/>
    </row>
    <row r="2876" spans="1:1">
      <c r="A2876" s="7"/>
    </row>
    <row r="2877" spans="1:1">
      <c r="A2877" s="7"/>
    </row>
    <row r="2878" spans="1:1">
      <c r="A2878" s="7"/>
    </row>
    <row r="2879" spans="1:1">
      <c r="A2879" s="7"/>
    </row>
    <row r="2880" spans="1:1">
      <c r="A2880" s="7"/>
    </row>
    <row r="2881" spans="1:1">
      <c r="A2881" s="7"/>
    </row>
    <row r="2882" spans="1:1">
      <c r="A2882" s="7"/>
    </row>
    <row r="2883" spans="1:1">
      <c r="A2883" s="7"/>
    </row>
    <row r="2884" spans="1:1">
      <c r="A2884" s="7"/>
    </row>
    <row r="2885" spans="1:1">
      <c r="A2885" s="7"/>
    </row>
    <row r="2886" spans="1:1">
      <c r="A2886" s="7"/>
    </row>
    <row r="2887" spans="1:1">
      <c r="A2887" s="7"/>
    </row>
    <row r="2888" spans="1:1">
      <c r="A2888" s="7"/>
    </row>
    <row r="2889" spans="1:1">
      <c r="A2889" s="7"/>
    </row>
    <row r="2890" spans="1:1">
      <c r="A2890" s="7"/>
    </row>
    <row r="2891" spans="1:1">
      <c r="A2891" s="7"/>
    </row>
    <row r="2892" spans="1:1">
      <c r="A2892" s="7"/>
    </row>
    <row r="2893" spans="1:1">
      <c r="A2893" s="7"/>
    </row>
    <row r="2894" spans="1:1">
      <c r="A2894" s="7"/>
    </row>
    <row r="2895" spans="1:1">
      <c r="A2895" s="7"/>
    </row>
    <row r="2896" spans="1:1">
      <c r="A2896" s="7"/>
    </row>
    <row r="2897" spans="1:1">
      <c r="A2897" s="7"/>
    </row>
    <row r="2898" spans="1:1">
      <c r="A2898" s="7"/>
    </row>
    <row r="2899" spans="1:1">
      <c r="A2899" s="7"/>
    </row>
    <row r="2900" spans="1:1">
      <c r="A2900" s="7"/>
    </row>
    <row r="2901" spans="1:1">
      <c r="A2901" s="7"/>
    </row>
    <row r="2902" spans="1:1">
      <c r="A2902" s="7"/>
    </row>
    <row r="2903" spans="1:1">
      <c r="A2903" s="7"/>
    </row>
    <row r="2904" spans="1:1">
      <c r="A2904" s="7"/>
    </row>
    <row r="2905" spans="1:1">
      <c r="A2905" s="7"/>
    </row>
    <row r="2906" spans="1:1">
      <c r="A2906" s="7"/>
    </row>
    <row r="2907" spans="1:1">
      <c r="A2907" s="7"/>
    </row>
    <row r="2908" spans="1:1">
      <c r="A2908" s="7"/>
    </row>
    <row r="2909" spans="1:1">
      <c r="A2909" s="7"/>
    </row>
    <row r="2910" spans="1:1">
      <c r="A2910" s="7"/>
    </row>
    <row r="2911" spans="1:1">
      <c r="A2911" s="7"/>
    </row>
    <row r="2912" spans="1:1">
      <c r="A2912" s="7"/>
    </row>
    <row r="2913" spans="1:1">
      <c r="A2913" s="7"/>
    </row>
    <row r="2914" spans="1:1">
      <c r="A2914" s="7"/>
    </row>
    <row r="2915" spans="1:1">
      <c r="A2915" s="7"/>
    </row>
    <row r="2916" spans="1:1">
      <c r="A2916" s="7"/>
    </row>
    <row r="2917" spans="1:1">
      <c r="A2917" s="7"/>
    </row>
    <row r="2918" spans="1:1">
      <c r="A2918" s="7"/>
    </row>
    <row r="2919" spans="1:1">
      <c r="A2919" s="7"/>
    </row>
    <row r="2920" spans="1:1">
      <c r="A2920" s="7"/>
    </row>
    <row r="2921" spans="1:1">
      <c r="A2921" s="7"/>
    </row>
    <row r="2922" spans="1:1">
      <c r="A2922" s="7"/>
    </row>
    <row r="2923" spans="1:1">
      <c r="A2923" s="7"/>
    </row>
    <row r="2924" spans="1:1">
      <c r="A2924" s="7"/>
    </row>
    <row r="2925" spans="1:1">
      <c r="A2925" s="7"/>
    </row>
    <row r="2926" spans="1:1">
      <c r="A2926" s="7"/>
    </row>
    <row r="2927" spans="1:1">
      <c r="A2927" s="7"/>
    </row>
    <row r="2928" spans="1:1">
      <c r="A2928" s="7"/>
    </row>
    <row r="2929" spans="1:1">
      <c r="A2929" s="7"/>
    </row>
    <row r="2930" spans="1:1">
      <c r="A2930" s="7"/>
    </row>
    <row r="2931" spans="1:1">
      <c r="A2931" s="7"/>
    </row>
    <row r="2932" spans="1:1">
      <c r="A2932" s="7"/>
    </row>
    <row r="2933" spans="1:1">
      <c r="A2933" s="7"/>
    </row>
    <row r="2934" spans="1:1">
      <c r="A2934" s="7"/>
    </row>
    <row r="2935" spans="1:1">
      <c r="A2935" s="7"/>
    </row>
    <row r="2936" spans="1:1">
      <c r="A2936" s="7"/>
    </row>
    <row r="2937" spans="1:1">
      <c r="A2937" s="7"/>
    </row>
    <row r="2938" spans="1:1">
      <c r="A2938" s="7"/>
    </row>
    <row r="2939" spans="1:1">
      <c r="A2939" s="7"/>
    </row>
    <row r="2940" spans="1:1">
      <c r="A2940" s="7"/>
    </row>
    <row r="2941" spans="1:1">
      <c r="A2941" s="7"/>
    </row>
    <row r="2942" spans="1:1">
      <c r="A2942" s="7"/>
    </row>
    <row r="2943" spans="1:1">
      <c r="A2943" s="7"/>
    </row>
    <row r="2944" spans="1:1">
      <c r="A2944" s="7"/>
    </row>
    <row r="2945" spans="1:1">
      <c r="A2945" s="7"/>
    </row>
    <row r="2946" spans="1:1">
      <c r="A2946" s="7"/>
    </row>
    <row r="2947" spans="1:1">
      <c r="A2947" s="7"/>
    </row>
    <row r="2948" spans="1:1">
      <c r="A2948" s="7"/>
    </row>
    <row r="2949" spans="1:1">
      <c r="A2949" s="7"/>
    </row>
    <row r="2950" spans="1:1">
      <c r="A2950" s="7"/>
    </row>
    <row r="2951" spans="1:1">
      <c r="A2951" s="7"/>
    </row>
    <row r="2952" spans="1:1">
      <c r="A2952" s="7"/>
    </row>
    <row r="2953" spans="1:1">
      <c r="A2953" s="7"/>
    </row>
    <row r="2954" spans="1:1">
      <c r="A2954" s="7"/>
    </row>
    <row r="2955" spans="1:1">
      <c r="A2955" s="7"/>
    </row>
    <row r="2956" spans="1:1">
      <c r="A2956" s="7"/>
    </row>
    <row r="2957" spans="1:1">
      <c r="A2957" s="7"/>
    </row>
    <row r="2958" spans="1:1">
      <c r="A2958" s="7"/>
    </row>
    <row r="2959" spans="1:1">
      <c r="A2959" s="7"/>
    </row>
    <row r="2960" spans="1:1">
      <c r="A2960" s="7"/>
    </row>
    <row r="2961" spans="1:1">
      <c r="A2961" s="7"/>
    </row>
    <row r="2962" spans="1:1">
      <c r="A2962" s="7"/>
    </row>
    <row r="2963" spans="1:1">
      <c r="A2963" s="7"/>
    </row>
    <row r="2964" spans="1:1">
      <c r="A2964" s="7"/>
    </row>
    <row r="2965" spans="1:1">
      <c r="A2965" s="7"/>
    </row>
    <row r="2966" spans="1:1">
      <c r="A2966" s="7"/>
    </row>
    <row r="2967" spans="1:1">
      <c r="A2967" s="7"/>
    </row>
    <row r="2968" spans="1:1">
      <c r="A2968" s="7"/>
    </row>
    <row r="2969" spans="1:1">
      <c r="A2969" s="7"/>
    </row>
    <row r="2970" spans="1:1">
      <c r="A2970" s="7"/>
    </row>
    <row r="2971" spans="1:1">
      <c r="A2971" s="7"/>
    </row>
    <row r="2972" spans="1:1">
      <c r="A2972" s="7"/>
    </row>
    <row r="2973" spans="1:1">
      <c r="A2973" s="7"/>
    </row>
    <row r="2974" spans="1:1">
      <c r="A2974" s="7"/>
    </row>
    <row r="2975" spans="1:1">
      <c r="A2975" s="7"/>
    </row>
    <row r="2976" spans="1:1">
      <c r="A2976" s="7"/>
    </row>
    <row r="2977" spans="1:1">
      <c r="A2977" s="7"/>
    </row>
    <row r="2978" spans="1:1">
      <c r="A2978" s="7"/>
    </row>
    <row r="2979" spans="1:1">
      <c r="A2979" s="7"/>
    </row>
    <row r="2980" spans="1:1">
      <c r="A2980" s="7"/>
    </row>
    <row r="2981" spans="1:1">
      <c r="A2981" s="7"/>
    </row>
    <row r="2982" spans="1:1">
      <c r="A2982" s="7"/>
    </row>
    <row r="2983" spans="1:1">
      <c r="A2983" s="7"/>
    </row>
    <row r="2984" spans="1:1">
      <c r="A2984" s="7"/>
    </row>
    <row r="2985" spans="1:1">
      <c r="A2985" s="7"/>
    </row>
    <row r="2986" spans="1:1">
      <c r="A2986" s="7"/>
    </row>
    <row r="2987" spans="1:1">
      <c r="A2987" s="7"/>
    </row>
    <row r="2988" spans="1:1">
      <c r="A2988" s="7"/>
    </row>
    <row r="2989" spans="1:1">
      <c r="A2989" s="7"/>
    </row>
    <row r="2990" spans="1:1">
      <c r="A2990" s="7"/>
    </row>
    <row r="2991" spans="1:1">
      <c r="A2991" s="7"/>
    </row>
    <row r="2992" spans="1:1">
      <c r="A2992" s="7"/>
    </row>
    <row r="2993" spans="1:1">
      <c r="A2993" s="7"/>
    </row>
    <row r="2994" spans="1:1">
      <c r="A2994" s="7"/>
    </row>
    <row r="2995" spans="1:1">
      <c r="A2995" s="7"/>
    </row>
    <row r="2996" spans="1:1">
      <c r="A2996" s="7"/>
    </row>
    <row r="2997" spans="1:1">
      <c r="A2997" s="7"/>
    </row>
    <row r="2998" spans="1:1">
      <c r="A2998" s="7"/>
    </row>
    <row r="2999" spans="1:1">
      <c r="A2999" s="7"/>
    </row>
    <row r="3000" spans="1:1">
      <c r="A3000" s="7"/>
    </row>
    <row r="3001" spans="1:1">
      <c r="A3001" s="7"/>
    </row>
    <row r="3002" spans="1:1">
      <c r="A3002" s="7"/>
    </row>
    <row r="3003" spans="1:1">
      <c r="A3003" s="7"/>
    </row>
    <row r="3004" spans="1:1">
      <c r="A3004" s="7"/>
    </row>
    <row r="3005" spans="1:1">
      <c r="A3005" s="7"/>
    </row>
    <row r="3006" spans="1:1">
      <c r="A3006" s="7"/>
    </row>
    <row r="3007" spans="1:1">
      <c r="A3007" s="7"/>
    </row>
    <row r="3008" spans="1:1">
      <c r="A3008" s="7"/>
    </row>
    <row r="3009" spans="1:1">
      <c r="A3009" s="7"/>
    </row>
    <row r="3010" spans="1:1">
      <c r="A3010" s="7"/>
    </row>
    <row r="3011" spans="1:1">
      <c r="A3011" s="7"/>
    </row>
    <row r="3012" spans="1:1">
      <c r="A3012" s="7"/>
    </row>
    <row r="3013" spans="1:1">
      <c r="A3013" s="7"/>
    </row>
    <row r="3014" spans="1:1">
      <c r="A3014" s="7"/>
    </row>
    <row r="3015" spans="1:1">
      <c r="A3015" s="7"/>
    </row>
    <row r="3016" spans="1:1">
      <c r="A3016" s="7"/>
    </row>
    <row r="3017" spans="1:1">
      <c r="A3017" s="7"/>
    </row>
    <row r="3018" spans="1:1">
      <c r="A3018" s="7"/>
    </row>
    <row r="3019" spans="1:1">
      <c r="A3019" s="7"/>
    </row>
    <row r="3020" spans="1:1">
      <c r="A3020" s="7"/>
    </row>
    <row r="3021" spans="1:1">
      <c r="A3021" s="7"/>
    </row>
    <row r="3022" spans="1:1">
      <c r="A3022" s="7"/>
    </row>
    <row r="3023" spans="1:1">
      <c r="A3023" s="7"/>
    </row>
    <row r="3024" spans="1:1">
      <c r="A3024" s="7"/>
    </row>
    <row r="3025" spans="1:1">
      <c r="A3025" s="7"/>
    </row>
    <row r="3026" spans="1:1">
      <c r="A3026" s="7"/>
    </row>
    <row r="3027" spans="1:1">
      <c r="A3027" s="7"/>
    </row>
    <row r="3028" spans="1:1">
      <c r="A3028" s="7"/>
    </row>
    <row r="3029" spans="1:1">
      <c r="A3029" s="7"/>
    </row>
    <row r="3030" spans="1:1">
      <c r="A3030" s="7"/>
    </row>
    <row r="3031" spans="1:1">
      <c r="A3031" s="7"/>
    </row>
    <row r="3032" spans="1:1">
      <c r="A3032" s="7"/>
    </row>
    <row r="3033" spans="1:1">
      <c r="A3033" s="7"/>
    </row>
    <row r="3034" spans="1:1">
      <c r="A3034" s="7"/>
    </row>
    <row r="3035" spans="1:1">
      <c r="A3035" s="7"/>
    </row>
    <row r="3036" spans="1:1">
      <c r="A3036" s="7"/>
    </row>
    <row r="3037" spans="1:1">
      <c r="A3037" s="7"/>
    </row>
    <row r="3038" spans="1:1">
      <c r="A3038" s="7"/>
    </row>
    <row r="3039" spans="1:1">
      <c r="A3039" s="7"/>
    </row>
    <row r="3040" spans="1:1">
      <c r="A3040" s="7"/>
    </row>
    <row r="3041" spans="1:1">
      <c r="A3041" s="7"/>
    </row>
    <row r="3042" spans="1:1">
      <c r="A3042" s="7"/>
    </row>
    <row r="3043" spans="1:1">
      <c r="A3043" s="7"/>
    </row>
    <row r="3044" spans="1:1">
      <c r="A3044" s="7"/>
    </row>
    <row r="3045" spans="1:1">
      <c r="A3045" s="7"/>
    </row>
    <row r="3046" spans="1:1">
      <c r="A3046" s="7"/>
    </row>
    <row r="3047" spans="1:1">
      <c r="A3047" s="7"/>
    </row>
    <row r="3048" spans="1:1">
      <c r="A3048" s="7"/>
    </row>
    <row r="3049" spans="1:1">
      <c r="A3049" s="7"/>
    </row>
    <row r="3050" spans="1:1">
      <c r="A3050" s="7"/>
    </row>
    <row r="3051" spans="1:1">
      <c r="A3051" s="7"/>
    </row>
    <row r="3052" spans="1:1">
      <c r="A3052" s="7"/>
    </row>
    <row r="3053" spans="1:1">
      <c r="A3053" s="7"/>
    </row>
    <row r="3054" spans="1:1">
      <c r="A3054" s="7"/>
    </row>
    <row r="3055" spans="1:1">
      <c r="A3055" s="7"/>
    </row>
    <row r="3056" spans="1:1">
      <c r="A3056" s="7"/>
    </row>
    <row r="3057" spans="1:1">
      <c r="A3057" s="7"/>
    </row>
    <row r="3058" spans="1:1">
      <c r="A3058" s="7"/>
    </row>
    <row r="3059" spans="1:1">
      <c r="A3059" s="7"/>
    </row>
    <row r="3060" spans="1:1">
      <c r="A3060" s="7"/>
    </row>
    <row r="3061" spans="1:1">
      <c r="A3061" s="7"/>
    </row>
    <row r="3062" spans="1:1">
      <c r="A3062" s="7"/>
    </row>
    <row r="3063" spans="1:1">
      <c r="A3063" s="7"/>
    </row>
    <row r="3064" spans="1:1">
      <c r="A3064" s="7"/>
    </row>
    <row r="3065" spans="1:1">
      <c r="A3065" s="7"/>
    </row>
    <row r="3066" spans="1:1">
      <c r="A3066" s="7"/>
    </row>
    <row r="3067" spans="1:1">
      <c r="A3067" s="7"/>
    </row>
    <row r="3068" spans="1:1">
      <c r="A3068" s="7"/>
    </row>
    <row r="3069" spans="1:1">
      <c r="A3069" s="7"/>
    </row>
    <row r="3070" spans="1:1">
      <c r="A3070" s="7"/>
    </row>
    <row r="3071" spans="1:1">
      <c r="A3071" s="7"/>
    </row>
    <row r="3072" spans="1:1">
      <c r="A3072" s="7"/>
    </row>
    <row r="3073" spans="1:1">
      <c r="A3073" s="7"/>
    </row>
    <row r="3074" spans="1:1">
      <c r="A3074" s="7"/>
    </row>
    <row r="3075" spans="1:1">
      <c r="A3075" s="7"/>
    </row>
    <row r="3076" spans="1:1">
      <c r="A3076" s="7"/>
    </row>
    <row r="3077" spans="1:1">
      <c r="A3077" s="7"/>
    </row>
    <row r="3078" spans="1:1">
      <c r="A3078" s="7"/>
    </row>
    <row r="3079" spans="1:1">
      <c r="A3079" s="7"/>
    </row>
    <row r="3080" spans="1:1">
      <c r="A3080" s="7"/>
    </row>
    <row r="3081" spans="1:1">
      <c r="A3081" s="7"/>
    </row>
    <row r="3082" spans="1:1">
      <c r="A3082" s="7"/>
    </row>
    <row r="3083" spans="1:1">
      <c r="A3083" s="7"/>
    </row>
    <row r="3084" spans="1:1">
      <c r="A3084" s="7"/>
    </row>
    <row r="3085" spans="1:1">
      <c r="A3085" s="7"/>
    </row>
    <row r="3086" spans="1:1">
      <c r="A3086" s="7"/>
    </row>
    <row r="3087" spans="1:1">
      <c r="A3087" s="7"/>
    </row>
    <row r="3088" spans="1:1">
      <c r="A3088" s="7"/>
    </row>
    <row r="3089" spans="1:1">
      <c r="A3089" s="7"/>
    </row>
    <row r="3090" spans="1:1">
      <c r="A3090" s="7"/>
    </row>
    <row r="3091" spans="1:1">
      <c r="A3091" s="7"/>
    </row>
    <row r="3092" spans="1:1">
      <c r="A3092" s="7"/>
    </row>
    <row r="3093" spans="1:1">
      <c r="A3093" s="7"/>
    </row>
    <row r="3094" spans="1:1">
      <c r="A3094" s="7"/>
    </row>
    <row r="3095" spans="1:1">
      <c r="A3095" s="7"/>
    </row>
    <row r="3096" spans="1:1">
      <c r="A3096" s="7"/>
    </row>
    <row r="3097" spans="1:1">
      <c r="A3097" s="7"/>
    </row>
    <row r="3098" spans="1:1">
      <c r="A3098" s="7"/>
    </row>
    <row r="3099" spans="1:1">
      <c r="A3099" s="7"/>
    </row>
    <row r="3100" spans="1:1">
      <c r="A3100" s="7"/>
    </row>
    <row r="3101" spans="1:1">
      <c r="A3101" s="7"/>
    </row>
    <row r="3102" spans="1:1">
      <c r="A3102" s="7"/>
    </row>
    <row r="3103" spans="1:1">
      <c r="A3103" s="7"/>
    </row>
    <row r="3104" spans="1:1">
      <c r="A3104" s="7"/>
    </row>
    <row r="3105" spans="1:1">
      <c r="A3105" s="7"/>
    </row>
    <row r="3106" spans="1:1">
      <c r="A3106" s="7"/>
    </row>
    <row r="3107" spans="1:1">
      <c r="A3107" s="7"/>
    </row>
    <row r="3108" spans="1:1">
      <c r="A3108" s="7"/>
    </row>
    <row r="3109" spans="1:1">
      <c r="A3109" s="7"/>
    </row>
    <row r="3110" spans="1:1">
      <c r="A3110" s="7"/>
    </row>
    <row r="3111" spans="1:1">
      <c r="A3111" s="7"/>
    </row>
    <row r="3112" spans="1:1">
      <c r="A3112" s="7"/>
    </row>
    <row r="3113" spans="1:1">
      <c r="A3113" s="7"/>
    </row>
    <row r="3114" spans="1:1">
      <c r="A3114" s="7"/>
    </row>
    <row r="3115" spans="1:1">
      <c r="A3115" s="7"/>
    </row>
    <row r="3116" spans="1:1">
      <c r="A3116" s="7"/>
    </row>
    <row r="3117" spans="1:1">
      <c r="A3117" s="7"/>
    </row>
    <row r="3118" spans="1:1">
      <c r="A3118" s="7"/>
    </row>
    <row r="3119" spans="1:1">
      <c r="A3119" s="7"/>
    </row>
    <row r="3120" spans="1:1">
      <c r="A3120" s="7"/>
    </row>
    <row r="3121" spans="1:1">
      <c r="A3121" s="7"/>
    </row>
    <row r="3122" spans="1:1">
      <c r="A3122" s="7"/>
    </row>
    <row r="3123" spans="1:1">
      <c r="A3123" s="7"/>
    </row>
    <row r="3124" spans="1:1">
      <c r="A3124" s="7"/>
    </row>
    <row r="3125" spans="1:1">
      <c r="A3125" s="7"/>
    </row>
    <row r="3126" spans="1:1">
      <c r="A3126" s="7"/>
    </row>
    <row r="3127" spans="1:1">
      <c r="A3127" s="7"/>
    </row>
    <row r="3128" spans="1:1">
      <c r="A3128" s="7"/>
    </row>
    <row r="3129" spans="1:1">
      <c r="A3129" s="7"/>
    </row>
    <row r="3130" spans="1:1">
      <c r="A3130" s="7"/>
    </row>
    <row r="3131" spans="1:1">
      <c r="A3131" s="7"/>
    </row>
    <row r="3132" spans="1:1">
      <c r="A3132" s="7"/>
    </row>
    <row r="3133" spans="1:1">
      <c r="A3133" s="7"/>
    </row>
    <row r="3134" spans="1:1">
      <c r="A3134" s="7"/>
    </row>
    <row r="3135" spans="1:1">
      <c r="A3135" s="7"/>
    </row>
    <row r="3136" spans="1:1">
      <c r="A3136" s="7"/>
    </row>
    <row r="3137" spans="1:1">
      <c r="A3137" s="7"/>
    </row>
    <row r="3138" spans="1:1">
      <c r="A3138" s="7"/>
    </row>
    <row r="3139" spans="1:1">
      <c r="A3139" s="7"/>
    </row>
    <row r="3140" spans="1:1">
      <c r="A3140" s="7"/>
    </row>
    <row r="3141" spans="1:1">
      <c r="A3141" s="7"/>
    </row>
    <row r="3142" spans="1:1">
      <c r="A3142" s="7"/>
    </row>
    <row r="3143" spans="1:1">
      <c r="A3143" s="7"/>
    </row>
    <row r="3144" spans="1:1">
      <c r="A3144" s="7"/>
    </row>
    <row r="3145" spans="1:1">
      <c r="A3145" s="7"/>
    </row>
    <row r="3146" spans="1:1">
      <c r="A3146" s="7"/>
    </row>
    <row r="3147" spans="1:1">
      <c r="A3147" s="7"/>
    </row>
    <row r="3148" spans="1:1">
      <c r="A3148" s="7"/>
    </row>
    <row r="3149" spans="1:1">
      <c r="A3149" s="7"/>
    </row>
    <row r="3150" spans="1:1">
      <c r="A3150" s="7"/>
    </row>
    <row r="3151" spans="1:1">
      <c r="A3151" s="7"/>
    </row>
    <row r="3152" spans="1:1">
      <c r="A3152" s="7"/>
    </row>
    <row r="3153" spans="1:1">
      <c r="A3153" s="7"/>
    </row>
    <row r="3154" spans="1:1">
      <c r="A3154" s="7"/>
    </row>
    <row r="3155" spans="1:1">
      <c r="A3155" s="7"/>
    </row>
    <row r="3156" spans="1:1">
      <c r="A3156" s="7"/>
    </row>
    <row r="3157" spans="1:1">
      <c r="A3157" s="7"/>
    </row>
    <row r="3158" spans="1:1">
      <c r="A3158" s="7"/>
    </row>
    <row r="3159" spans="1:1">
      <c r="A3159" s="7"/>
    </row>
    <row r="3160" spans="1:1">
      <c r="A3160" s="7"/>
    </row>
    <row r="3161" spans="1:1">
      <c r="A3161" s="7"/>
    </row>
    <row r="3162" spans="1:1">
      <c r="A3162" s="7"/>
    </row>
    <row r="3163" spans="1:1">
      <c r="A3163" s="7"/>
    </row>
    <row r="3164" spans="1:1">
      <c r="A3164" s="7"/>
    </row>
    <row r="3165" spans="1:1">
      <c r="A3165" s="7"/>
    </row>
    <row r="3166" spans="1:1">
      <c r="A3166" s="7"/>
    </row>
    <row r="3167" spans="1:1">
      <c r="A3167" s="7"/>
    </row>
    <row r="3168" spans="1:1">
      <c r="A3168" s="7"/>
    </row>
    <row r="3169" spans="1:1">
      <c r="A3169" s="7"/>
    </row>
    <row r="3170" spans="1:1">
      <c r="A3170" s="7"/>
    </row>
    <row r="3171" spans="1:1">
      <c r="A3171" s="7"/>
    </row>
    <row r="3172" spans="1:1">
      <c r="A3172" s="7"/>
    </row>
    <row r="3173" spans="1:1">
      <c r="A3173" s="7"/>
    </row>
    <row r="3174" spans="1:1">
      <c r="A3174" s="7"/>
    </row>
    <row r="3175" spans="1:1">
      <c r="A3175" s="7"/>
    </row>
    <row r="3176" spans="1:1">
      <c r="A3176" s="7"/>
    </row>
    <row r="3177" spans="1:1">
      <c r="A3177" s="7"/>
    </row>
    <row r="3178" spans="1:1">
      <c r="A3178" s="7"/>
    </row>
    <row r="3179" spans="1:1">
      <c r="A3179" s="7"/>
    </row>
    <row r="3180" spans="1:1">
      <c r="A3180" s="7"/>
    </row>
    <row r="3181" spans="1:1">
      <c r="A3181" s="7"/>
    </row>
    <row r="3182" spans="1:1">
      <c r="A3182" s="7"/>
    </row>
    <row r="3183" spans="1:1">
      <c r="A3183" s="7"/>
    </row>
    <row r="3184" spans="1:1">
      <c r="A3184" s="7"/>
    </row>
    <row r="3185" spans="1:1">
      <c r="A3185" s="7"/>
    </row>
    <row r="3186" spans="1:1">
      <c r="A3186" s="7"/>
    </row>
    <row r="3187" spans="1:1">
      <c r="A3187" s="7"/>
    </row>
    <row r="3188" spans="1:1">
      <c r="A3188" s="7"/>
    </row>
    <row r="3189" spans="1:1">
      <c r="A3189" s="7"/>
    </row>
    <row r="3190" spans="1:1">
      <c r="A3190" s="7"/>
    </row>
    <row r="3191" spans="1:1">
      <c r="A3191" s="7"/>
    </row>
    <row r="3192" spans="1:1">
      <c r="A3192" s="7"/>
    </row>
    <row r="3193" spans="1:1">
      <c r="A3193" s="7"/>
    </row>
    <row r="3194" spans="1:1">
      <c r="A3194" s="7"/>
    </row>
    <row r="3195" spans="1:1">
      <c r="A3195" s="7"/>
    </row>
    <row r="3196" spans="1:1">
      <c r="A3196" s="7"/>
    </row>
    <row r="3197" spans="1:1">
      <c r="A3197" s="7"/>
    </row>
    <row r="3198" spans="1:1">
      <c r="A3198" s="7"/>
    </row>
    <row r="3199" spans="1:1">
      <c r="A3199" s="7"/>
    </row>
    <row r="3200" spans="1:1">
      <c r="A3200" s="7"/>
    </row>
    <row r="3201" spans="1:1">
      <c r="A3201" s="7"/>
    </row>
    <row r="3202" spans="1:1">
      <c r="A3202" s="7"/>
    </row>
    <row r="3203" spans="1:1">
      <c r="A3203" s="7"/>
    </row>
    <row r="3204" spans="1:1">
      <c r="A3204" s="7"/>
    </row>
    <row r="3205" spans="1:1">
      <c r="A3205" s="7"/>
    </row>
    <row r="3206" spans="1:1">
      <c r="A3206" s="7"/>
    </row>
    <row r="3207" spans="1:1">
      <c r="A3207" s="7"/>
    </row>
    <row r="3208" spans="1:1">
      <c r="A3208" s="7"/>
    </row>
    <row r="3209" spans="1:1">
      <c r="A3209" s="7"/>
    </row>
    <row r="3210" spans="1:1">
      <c r="A3210" s="7"/>
    </row>
    <row r="3211" spans="1:1">
      <c r="A3211" s="7"/>
    </row>
    <row r="3212" spans="1:1">
      <c r="A3212" s="7"/>
    </row>
    <row r="3213" spans="1:1">
      <c r="A3213" s="7"/>
    </row>
    <row r="3214" spans="1:1">
      <c r="A3214" s="7"/>
    </row>
    <row r="3215" spans="1:1">
      <c r="A3215" s="7"/>
    </row>
    <row r="3216" spans="1:1">
      <c r="A3216" s="7"/>
    </row>
    <row r="3217" spans="1:1">
      <c r="A3217" s="7"/>
    </row>
    <row r="3218" spans="1:1">
      <c r="A3218" s="7"/>
    </row>
    <row r="3219" spans="1:1">
      <c r="A3219" s="7"/>
    </row>
    <row r="3220" spans="1:1">
      <c r="A3220" s="7"/>
    </row>
    <row r="3221" spans="1:1">
      <c r="A3221" s="7"/>
    </row>
    <row r="3222" spans="1:1">
      <c r="A3222" s="7"/>
    </row>
    <row r="3223" spans="1:1">
      <c r="A3223" s="7"/>
    </row>
    <row r="3224" spans="1:1">
      <c r="A3224" s="7"/>
    </row>
    <row r="3225" spans="1:1">
      <c r="A3225" s="7"/>
    </row>
    <row r="3226" spans="1:1">
      <c r="A3226" s="7"/>
    </row>
    <row r="3227" spans="1:1">
      <c r="A3227" s="7"/>
    </row>
    <row r="3228" spans="1:1">
      <c r="A3228" s="7"/>
    </row>
    <row r="3229" spans="1:1">
      <c r="A3229" s="7"/>
    </row>
    <row r="3230" spans="1:1">
      <c r="A3230" s="7"/>
    </row>
    <row r="3231" spans="1:1">
      <c r="A3231" s="7"/>
    </row>
    <row r="3232" spans="1:1">
      <c r="A3232" s="7"/>
    </row>
    <row r="3233" spans="1:1">
      <c r="A3233" s="7"/>
    </row>
    <row r="3234" spans="1:1">
      <c r="A3234" s="7"/>
    </row>
    <row r="3235" spans="1:1">
      <c r="A3235" s="7"/>
    </row>
    <row r="3236" spans="1:1">
      <c r="A3236" s="7"/>
    </row>
    <row r="3237" spans="1:1">
      <c r="A3237" s="7"/>
    </row>
    <row r="3238" spans="1:1">
      <c r="A3238" s="7"/>
    </row>
    <row r="3239" spans="1:1">
      <c r="A3239" s="7"/>
    </row>
    <row r="3240" spans="1:1">
      <c r="A3240" s="7"/>
    </row>
    <row r="3241" spans="1:1">
      <c r="A3241" s="7"/>
    </row>
    <row r="3242" spans="1:1">
      <c r="A3242" s="7"/>
    </row>
    <row r="3243" spans="1:1">
      <c r="A3243" s="7"/>
    </row>
    <row r="3244" spans="1:1">
      <c r="A3244" s="7"/>
    </row>
    <row r="3245" spans="1:1">
      <c r="A3245" s="7"/>
    </row>
    <row r="3246" spans="1:1">
      <c r="A3246" s="7"/>
    </row>
    <row r="3247" spans="1:1">
      <c r="A3247" s="7"/>
    </row>
    <row r="3248" spans="1:1">
      <c r="A3248" s="7"/>
    </row>
    <row r="3249" spans="1:1">
      <c r="A3249" s="7"/>
    </row>
    <row r="3250" spans="1:1">
      <c r="A3250" s="7"/>
    </row>
    <row r="3251" spans="1:1">
      <c r="A3251" s="7"/>
    </row>
    <row r="3252" spans="1:1">
      <c r="A3252" s="7"/>
    </row>
    <row r="3253" spans="1:1">
      <c r="A3253" s="7"/>
    </row>
    <row r="3254" spans="1:1">
      <c r="A3254" s="7"/>
    </row>
    <row r="3255" spans="1:1">
      <c r="A3255" s="7"/>
    </row>
    <row r="3256" spans="1:1">
      <c r="A3256" s="7"/>
    </row>
    <row r="3257" spans="1:1">
      <c r="A3257" s="7"/>
    </row>
    <row r="3258" spans="1:1">
      <c r="A3258" s="7"/>
    </row>
    <row r="3259" spans="1:1">
      <c r="A3259" s="7"/>
    </row>
    <row r="3260" spans="1:1">
      <c r="A3260" s="7"/>
    </row>
    <row r="3261" spans="1:1">
      <c r="A3261" s="7"/>
    </row>
    <row r="3262" spans="1:1">
      <c r="A3262" s="7"/>
    </row>
    <row r="3263" spans="1:1">
      <c r="A3263" s="7"/>
    </row>
    <row r="3264" spans="1:1">
      <c r="A3264" s="7"/>
    </row>
    <row r="3265" spans="1:1">
      <c r="A3265" s="7"/>
    </row>
    <row r="3266" spans="1:1">
      <c r="A3266" s="7"/>
    </row>
    <row r="3267" spans="1:1">
      <c r="A3267" s="7"/>
    </row>
    <row r="3268" spans="1:1">
      <c r="A3268" s="7"/>
    </row>
    <row r="3269" spans="1:1">
      <c r="A3269" s="7"/>
    </row>
    <row r="3270" spans="1:1">
      <c r="A3270" s="7"/>
    </row>
    <row r="3271" spans="1:1">
      <c r="A3271" s="7"/>
    </row>
    <row r="3272" spans="1:1">
      <c r="A3272" s="7"/>
    </row>
    <row r="3273" spans="1:1">
      <c r="A3273" s="7"/>
    </row>
    <row r="3274" spans="1:1">
      <c r="A3274" s="7"/>
    </row>
    <row r="3275" spans="1:1">
      <c r="A3275" s="7"/>
    </row>
    <row r="3276" spans="1:1">
      <c r="A3276" s="7"/>
    </row>
    <row r="3277" spans="1:1">
      <c r="A3277" s="7"/>
    </row>
    <row r="3278" spans="1:1">
      <c r="A3278" s="7"/>
    </row>
    <row r="3279" spans="1:1">
      <c r="A3279" s="7"/>
    </row>
    <row r="3280" spans="1:1">
      <c r="A3280" s="7"/>
    </row>
    <row r="3281" spans="1:1">
      <c r="A3281" s="7"/>
    </row>
    <row r="3282" spans="1:1">
      <c r="A3282" s="7"/>
    </row>
    <row r="3283" spans="1:1">
      <c r="A3283" s="7"/>
    </row>
    <row r="3284" spans="1:1">
      <c r="A3284" s="7"/>
    </row>
    <row r="3285" spans="1:1">
      <c r="A3285" s="7"/>
    </row>
    <row r="3286" spans="1:1">
      <c r="A3286" s="7"/>
    </row>
    <row r="3287" spans="1:1">
      <c r="A3287" s="7"/>
    </row>
    <row r="3288" spans="1:1">
      <c r="A3288" s="7"/>
    </row>
    <row r="3289" spans="1:1">
      <c r="A3289" s="7"/>
    </row>
    <row r="3290" spans="1:1">
      <c r="A3290" s="7"/>
    </row>
    <row r="3291" spans="1:1">
      <c r="A3291" s="7"/>
    </row>
    <row r="3292" spans="1:1">
      <c r="A3292" s="7"/>
    </row>
    <row r="3293" spans="1:1">
      <c r="A3293" s="7"/>
    </row>
    <row r="3294" spans="1:1">
      <c r="A3294" s="7"/>
    </row>
    <row r="3295" spans="1:1">
      <c r="A3295" s="7"/>
    </row>
    <row r="3296" spans="1:1">
      <c r="A3296" s="7"/>
    </row>
    <row r="3297" spans="1:1">
      <c r="A3297" s="7"/>
    </row>
    <row r="3298" spans="1:1">
      <c r="A3298" s="7"/>
    </row>
    <row r="3299" spans="1:1">
      <c r="A3299" s="7"/>
    </row>
    <row r="3300" spans="1:1">
      <c r="A3300" s="7"/>
    </row>
    <row r="3301" spans="1:1">
      <c r="A3301" s="7"/>
    </row>
    <row r="3302" spans="1:1">
      <c r="A3302" s="7"/>
    </row>
    <row r="3303" spans="1:1">
      <c r="A3303" s="7"/>
    </row>
    <row r="3304" spans="1:1">
      <c r="A3304" s="7"/>
    </row>
    <row r="3305" spans="1:1">
      <c r="A3305" s="7"/>
    </row>
    <row r="3306" spans="1:1">
      <c r="A3306" s="7"/>
    </row>
    <row r="3307" spans="1:1">
      <c r="A3307" s="7"/>
    </row>
    <row r="3308" spans="1:1">
      <c r="A3308" s="7"/>
    </row>
    <row r="3309" spans="1:1">
      <c r="A3309" s="7"/>
    </row>
    <row r="3310" spans="1:1">
      <c r="A3310" s="7"/>
    </row>
    <row r="3311" spans="1:1">
      <c r="A3311" s="7"/>
    </row>
    <row r="3312" spans="1:1">
      <c r="A3312" s="7"/>
    </row>
    <row r="3313" spans="1:1">
      <c r="A3313" s="7"/>
    </row>
    <row r="3314" spans="1:1">
      <c r="A3314" s="7"/>
    </row>
    <row r="3315" spans="1:1">
      <c r="A3315" s="7"/>
    </row>
    <row r="3316" spans="1:1">
      <c r="A3316" s="7"/>
    </row>
    <row r="3317" spans="1:1">
      <c r="A3317" s="7"/>
    </row>
    <row r="3318" spans="1:1">
      <c r="A3318" s="7"/>
    </row>
    <row r="3319" spans="1:1">
      <c r="A3319" s="7"/>
    </row>
    <row r="3320" spans="1:1">
      <c r="A3320" s="7"/>
    </row>
    <row r="3321" spans="1:1">
      <c r="A3321" s="7"/>
    </row>
    <row r="3322" spans="1:1">
      <c r="A3322" s="7"/>
    </row>
    <row r="3323" spans="1:1">
      <c r="A3323" s="7"/>
    </row>
    <row r="3324" spans="1:1">
      <c r="A3324" s="7"/>
    </row>
    <row r="3325" spans="1:1">
      <c r="A3325" s="7"/>
    </row>
    <row r="3326" spans="1:1">
      <c r="A3326" s="7"/>
    </row>
    <row r="3327" spans="1:1">
      <c r="A3327" s="7"/>
    </row>
    <row r="3328" spans="1:1">
      <c r="A3328" s="7"/>
    </row>
    <row r="3329" spans="1:1">
      <c r="A3329" s="7"/>
    </row>
    <row r="3330" spans="1:1">
      <c r="A3330" s="7"/>
    </row>
    <row r="3331" spans="1:1">
      <c r="A3331" s="7"/>
    </row>
    <row r="3332" spans="1:1">
      <c r="A3332" s="7"/>
    </row>
    <row r="3333" spans="1:1">
      <c r="A3333" s="7"/>
    </row>
    <row r="3334" spans="1:1">
      <c r="A3334" s="7"/>
    </row>
    <row r="3335" spans="1:1">
      <c r="A3335" s="7"/>
    </row>
    <row r="3336" spans="1:1">
      <c r="A3336" s="7"/>
    </row>
    <row r="3337" spans="1:1">
      <c r="A3337" s="7"/>
    </row>
    <row r="3338" spans="1:1">
      <c r="A3338" s="7"/>
    </row>
    <row r="3339" spans="1:1">
      <c r="A3339" s="7"/>
    </row>
    <row r="3340" spans="1:1">
      <c r="A3340" s="7"/>
    </row>
    <row r="3341" spans="1:1">
      <c r="A3341" s="7"/>
    </row>
    <row r="3342" spans="1:1">
      <c r="A3342" s="7"/>
    </row>
    <row r="3343" spans="1:1">
      <c r="A3343" s="7"/>
    </row>
    <row r="3344" spans="1:1">
      <c r="A3344" s="7"/>
    </row>
    <row r="3345" spans="1:1">
      <c r="A3345" s="7"/>
    </row>
    <row r="3346" spans="1:1">
      <c r="A3346" s="7"/>
    </row>
    <row r="3347" spans="1:1">
      <c r="A3347" s="7"/>
    </row>
    <row r="3348" spans="1:1">
      <c r="A3348" s="7"/>
    </row>
    <row r="3349" spans="1:1">
      <c r="A3349" s="7"/>
    </row>
    <row r="3350" spans="1:1">
      <c r="A3350" s="7"/>
    </row>
    <row r="3351" spans="1:1">
      <c r="A3351" s="7"/>
    </row>
    <row r="3352" spans="1:1">
      <c r="A3352" s="7"/>
    </row>
    <row r="3353" spans="1:1">
      <c r="A3353" s="7"/>
    </row>
    <row r="3354" spans="1:1">
      <c r="A3354" s="7"/>
    </row>
    <row r="3355" spans="1:1">
      <c r="A3355" s="7"/>
    </row>
    <row r="3356" spans="1:1">
      <c r="A3356" s="7"/>
    </row>
    <row r="3357" spans="1:1">
      <c r="A3357" s="7"/>
    </row>
    <row r="3358" spans="1:1">
      <c r="A3358" s="7"/>
    </row>
    <row r="3359" spans="1:1">
      <c r="A3359" s="7"/>
    </row>
    <row r="3360" spans="1:1">
      <c r="A3360" s="7"/>
    </row>
    <row r="3361" spans="1:1">
      <c r="A3361" s="7"/>
    </row>
    <row r="3362" spans="1:1">
      <c r="A3362" s="7"/>
    </row>
    <row r="3363" spans="1:1">
      <c r="A3363" s="7"/>
    </row>
    <row r="3364" spans="1:1">
      <c r="A3364" s="7"/>
    </row>
    <row r="3365" spans="1:1">
      <c r="A3365" s="7"/>
    </row>
    <row r="3366" spans="1:1">
      <c r="A3366" s="7"/>
    </row>
    <row r="3367" spans="1:1">
      <c r="A3367" s="7"/>
    </row>
    <row r="3368" spans="1:1">
      <c r="A3368" s="7"/>
    </row>
    <row r="3369" spans="1:1">
      <c r="A3369" s="7"/>
    </row>
    <row r="3370" spans="1:1">
      <c r="A3370" s="7"/>
    </row>
    <row r="3371" spans="1:1">
      <c r="A3371" s="7"/>
    </row>
    <row r="3372" spans="1:1">
      <c r="A3372" s="7"/>
    </row>
    <row r="3373" spans="1:1">
      <c r="A3373" s="7"/>
    </row>
    <row r="3374" spans="1:1">
      <c r="A3374" s="7"/>
    </row>
    <row r="3375" spans="1:1">
      <c r="A3375" s="7"/>
    </row>
    <row r="3376" spans="1:1">
      <c r="A3376" s="7"/>
    </row>
    <row r="3377" spans="1:1">
      <c r="A3377" s="7"/>
    </row>
    <row r="3378" spans="1:1">
      <c r="A3378" s="7"/>
    </row>
    <row r="3379" spans="1:1">
      <c r="A3379" s="7"/>
    </row>
    <row r="3380" spans="1:1">
      <c r="A3380" s="7"/>
    </row>
    <row r="3381" spans="1:1">
      <c r="A3381" s="7"/>
    </row>
    <row r="3382" spans="1:1">
      <c r="A3382" s="7"/>
    </row>
    <row r="3383" spans="1:1">
      <c r="A3383" s="7"/>
    </row>
    <row r="3384" spans="1:1">
      <c r="A3384" s="7"/>
    </row>
    <row r="3385" spans="1:1">
      <c r="A3385" s="7"/>
    </row>
    <row r="3386" spans="1:1">
      <c r="A3386" s="7"/>
    </row>
    <row r="3387" spans="1:1">
      <c r="A3387" s="7"/>
    </row>
    <row r="3388" spans="1:1">
      <c r="A3388" s="7"/>
    </row>
    <row r="3389" spans="1:1">
      <c r="A3389" s="7"/>
    </row>
    <row r="3390" spans="1:1">
      <c r="A3390" s="7"/>
    </row>
    <row r="3391" spans="1:1">
      <c r="A3391" s="7"/>
    </row>
    <row r="3392" spans="1:1">
      <c r="A3392" s="7"/>
    </row>
    <row r="3393" spans="1:1">
      <c r="A3393" s="7"/>
    </row>
    <row r="3394" spans="1:1">
      <c r="A3394" s="7"/>
    </row>
    <row r="3395" spans="1:1">
      <c r="A3395" s="7"/>
    </row>
    <row r="3396" spans="1:1">
      <c r="A3396" s="7"/>
    </row>
    <row r="3397" spans="1:1">
      <c r="A3397" s="7"/>
    </row>
    <row r="3398" spans="1:1">
      <c r="A3398" s="7"/>
    </row>
    <row r="3399" spans="1:1">
      <c r="A3399" s="7"/>
    </row>
    <row r="3400" spans="1:1">
      <c r="A3400" s="7"/>
    </row>
    <row r="3401" spans="1:1">
      <c r="A3401" s="7"/>
    </row>
    <row r="3402" spans="1:1">
      <c r="A3402" s="7"/>
    </row>
    <row r="3403" spans="1:1">
      <c r="A3403" s="7"/>
    </row>
    <row r="3404" spans="1:1">
      <c r="A3404" s="7"/>
    </row>
    <row r="3405" spans="1:1">
      <c r="A3405" s="7"/>
    </row>
    <row r="3406" spans="1:1">
      <c r="A3406" s="7"/>
    </row>
    <row r="3407" spans="1:1">
      <c r="A3407" s="7"/>
    </row>
    <row r="3408" spans="1:1">
      <c r="A3408" s="7"/>
    </row>
    <row r="3409" spans="1:1">
      <c r="A3409" s="7"/>
    </row>
    <row r="3410" spans="1:1">
      <c r="A3410" s="7"/>
    </row>
    <row r="3411" spans="1:1">
      <c r="A3411" s="7"/>
    </row>
    <row r="3412" spans="1:1">
      <c r="A3412" s="7"/>
    </row>
    <row r="3413" spans="1:1">
      <c r="A3413" s="7"/>
    </row>
    <row r="3414" spans="1:1">
      <c r="A3414" s="7"/>
    </row>
    <row r="3415" spans="1:1">
      <c r="A3415" s="7"/>
    </row>
    <row r="3416" spans="1:1">
      <c r="A3416" s="7"/>
    </row>
    <row r="3417" spans="1:1">
      <c r="A3417" s="7"/>
    </row>
    <row r="3418" spans="1:1">
      <c r="A3418" s="7"/>
    </row>
    <row r="3419" spans="1:1">
      <c r="A3419" s="7"/>
    </row>
    <row r="3420" spans="1:1">
      <c r="A3420" s="7"/>
    </row>
    <row r="3421" spans="1:1">
      <c r="A3421" s="7"/>
    </row>
    <row r="3422" spans="1:1">
      <c r="A3422" s="7"/>
    </row>
    <row r="3423" spans="1:1">
      <c r="A3423" s="7"/>
    </row>
    <row r="3424" spans="1:1">
      <c r="A3424" s="7"/>
    </row>
    <row r="3425" spans="1:1">
      <c r="A3425" s="7"/>
    </row>
    <row r="3426" spans="1:1">
      <c r="A3426" s="7"/>
    </row>
    <row r="3427" spans="1:1">
      <c r="A3427" s="7"/>
    </row>
    <row r="3428" spans="1:1">
      <c r="A3428" s="7"/>
    </row>
    <row r="3429" spans="1:1">
      <c r="A3429" s="7"/>
    </row>
    <row r="3430" spans="1:1">
      <c r="A3430" s="7"/>
    </row>
    <row r="3431" spans="1:1">
      <c r="A3431" s="7"/>
    </row>
    <row r="3432" spans="1:1">
      <c r="A3432" s="7"/>
    </row>
    <row r="3433" spans="1:1">
      <c r="A3433" s="7"/>
    </row>
    <row r="3434" spans="1:1">
      <c r="A3434" s="7"/>
    </row>
    <row r="3435" spans="1:1">
      <c r="A3435" s="7"/>
    </row>
    <row r="3436" spans="1:1">
      <c r="A3436" s="7"/>
    </row>
    <row r="3437" spans="1:1">
      <c r="A3437" s="7"/>
    </row>
    <row r="3438" spans="1:1">
      <c r="A3438" s="7"/>
    </row>
    <row r="3439" spans="1:1">
      <c r="A3439" s="7"/>
    </row>
    <row r="3440" spans="1:1">
      <c r="A3440" s="7"/>
    </row>
    <row r="3441" spans="1:1">
      <c r="A3441" s="7"/>
    </row>
    <row r="3442" spans="1:1">
      <c r="A3442" s="7"/>
    </row>
    <row r="3443" spans="1:1">
      <c r="A3443" s="7"/>
    </row>
    <row r="3444" spans="1:1">
      <c r="A3444" s="7"/>
    </row>
    <row r="3445" spans="1:1">
      <c r="A3445" s="7"/>
    </row>
    <row r="3446" spans="1:1">
      <c r="A3446" s="7"/>
    </row>
    <row r="3447" spans="1:1">
      <c r="A3447" s="7"/>
    </row>
    <row r="3448" spans="1:1">
      <c r="A3448" s="7"/>
    </row>
    <row r="3449" spans="1:1">
      <c r="A3449" s="7"/>
    </row>
    <row r="3450" spans="1:1">
      <c r="A3450" s="7"/>
    </row>
    <row r="3451" spans="1:1">
      <c r="A3451" s="7"/>
    </row>
    <row r="3452" spans="1:1">
      <c r="A3452" s="7"/>
    </row>
    <row r="3453" spans="1:1">
      <c r="A3453" s="7"/>
    </row>
    <row r="3454" spans="1:1">
      <c r="A3454" s="7"/>
    </row>
    <row r="3455" spans="1:1">
      <c r="A3455" s="7"/>
    </row>
    <row r="3456" spans="1:1">
      <c r="A3456" s="7"/>
    </row>
    <row r="3457" spans="1:1">
      <c r="A3457" s="7"/>
    </row>
    <row r="3458" spans="1:1">
      <c r="A3458" s="7"/>
    </row>
    <row r="3459" spans="1:1">
      <c r="A3459" s="7"/>
    </row>
    <row r="3460" spans="1:1">
      <c r="A3460" s="7"/>
    </row>
    <row r="3461" spans="1:1">
      <c r="A3461" s="7"/>
    </row>
    <row r="3462" spans="1:1">
      <c r="A3462" s="7"/>
    </row>
    <row r="3463" spans="1:1">
      <c r="A3463" s="7"/>
    </row>
    <row r="3464" spans="1:1">
      <c r="A3464" s="7"/>
    </row>
    <row r="3465" spans="1:1">
      <c r="A3465" s="7"/>
    </row>
    <row r="3466" spans="1:1">
      <c r="A3466" s="7"/>
    </row>
    <row r="3467" spans="1:1">
      <c r="A3467" s="7"/>
    </row>
    <row r="3468" spans="1:1">
      <c r="A3468" s="7"/>
    </row>
    <row r="3469" spans="1:1">
      <c r="A3469" s="7"/>
    </row>
    <row r="3470" spans="1:1">
      <c r="A3470" s="7"/>
    </row>
    <row r="3471" spans="1:1">
      <c r="A3471" s="7"/>
    </row>
    <row r="3472" spans="1:1">
      <c r="A3472" s="7"/>
    </row>
    <row r="3473" spans="1:1">
      <c r="A3473" s="7"/>
    </row>
    <row r="3474" spans="1:1">
      <c r="A3474" s="7"/>
    </row>
    <row r="3475" spans="1:1">
      <c r="A3475" s="7"/>
    </row>
    <row r="3476" spans="1:1">
      <c r="A3476" s="7"/>
    </row>
    <row r="3477" spans="1:1">
      <c r="A3477" s="7"/>
    </row>
    <row r="3478" spans="1:1">
      <c r="A3478" s="7"/>
    </row>
    <row r="3479" spans="1:1">
      <c r="A3479" s="7"/>
    </row>
    <row r="3480" spans="1:1">
      <c r="A3480" s="7"/>
    </row>
    <row r="3481" spans="1:1">
      <c r="A3481" s="7"/>
    </row>
    <row r="3482" spans="1:1">
      <c r="A3482" s="7"/>
    </row>
    <row r="3483" spans="1:1">
      <c r="A3483" s="7"/>
    </row>
    <row r="3484" spans="1:1">
      <c r="A3484" s="7"/>
    </row>
    <row r="3485" spans="1:1">
      <c r="A3485" s="7"/>
    </row>
    <row r="3486" spans="1:1">
      <c r="A3486" s="7"/>
    </row>
    <row r="3487" spans="1:1">
      <c r="A3487" s="7"/>
    </row>
    <row r="3488" spans="1:1">
      <c r="A3488" s="7"/>
    </row>
    <row r="3489" spans="1:1">
      <c r="A3489" s="7"/>
    </row>
    <row r="3490" spans="1:1">
      <c r="A3490" s="7"/>
    </row>
    <row r="3491" spans="1:1">
      <c r="A3491" s="7"/>
    </row>
    <row r="3492" spans="1:1">
      <c r="A3492" s="7"/>
    </row>
    <row r="3493" spans="1:1">
      <c r="A3493" s="7"/>
    </row>
    <row r="3494" spans="1:1">
      <c r="A3494" s="7"/>
    </row>
    <row r="3495" spans="1:1">
      <c r="A3495" s="7"/>
    </row>
    <row r="3496" spans="1:1">
      <c r="A3496" s="7"/>
    </row>
    <row r="3497" spans="1:1">
      <c r="A3497" s="7"/>
    </row>
    <row r="3498" spans="1:1">
      <c r="A3498" s="7"/>
    </row>
    <row r="3499" spans="1:1">
      <c r="A3499" s="7"/>
    </row>
    <row r="3500" spans="1:1">
      <c r="A3500" s="7"/>
    </row>
    <row r="3501" spans="1:1">
      <c r="A3501" s="7"/>
    </row>
    <row r="3502" spans="1:1">
      <c r="A3502" s="7"/>
    </row>
    <row r="3503" spans="1:1">
      <c r="A3503" s="7"/>
    </row>
    <row r="3504" spans="1:1">
      <c r="A3504" s="7"/>
    </row>
    <row r="3505" spans="1:1">
      <c r="A3505" s="7"/>
    </row>
    <row r="3506" spans="1:1">
      <c r="A3506" s="7"/>
    </row>
    <row r="3507" spans="1:1">
      <c r="A3507" s="7"/>
    </row>
    <row r="3508" spans="1:1">
      <c r="A3508" s="7"/>
    </row>
    <row r="3509" spans="1:1">
      <c r="A3509" s="7"/>
    </row>
    <row r="3510" spans="1:1">
      <c r="A3510" s="7"/>
    </row>
    <row r="3511" spans="1:1">
      <c r="A3511" s="7"/>
    </row>
    <row r="3512" spans="1:1">
      <c r="A3512" s="7"/>
    </row>
    <row r="3513" spans="1:1">
      <c r="A3513" s="7"/>
    </row>
    <row r="3514" spans="1:1">
      <c r="A3514" s="7"/>
    </row>
    <row r="3515" spans="1:1">
      <c r="A3515" s="7"/>
    </row>
    <row r="3516" spans="1:1">
      <c r="A3516" s="7"/>
    </row>
    <row r="3517" spans="1:1">
      <c r="A3517" s="7"/>
    </row>
    <row r="3518" spans="1:1">
      <c r="A3518" s="7"/>
    </row>
    <row r="3519" spans="1:1">
      <c r="A3519" s="7"/>
    </row>
    <row r="3520" spans="1:1">
      <c r="A3520" s="7"/>
    </row>
    <row r="3521" spans="1:1">
      <c r="A3521" s="7"/>
    </row>
    <row r="3522" spans="1:1">
      <c r="A3522" s="7"/>
    </row>
    <row r="3523" spans="1:1">
      <c r="A3523" s="7"/>
    </row>
    <row r="3524" spans="1:1">
      <c r="A3524" s="7"/>
    </row>
    <row r="3525" spans="1:1">
      <c r="A3525" s="7"/>
    </row>
    <row r="3526" spans="1:1">
      <c r="A3526" s="7"/>
    </row>
    <row r="3527" spans="1:1">
      <c r="A3527" s="7"/>
    </row>
    <row r="3528" spans="1:1">
      <c r="A3528" s="7"/>
    </row>
    <row r="3529" spans="1:1">
      <c r="A3529" s="7"/>
    </row>
    <row r="3530" spans="1:1">
      <c r="A3530" s="7"/>
    </row>
    <row r="3531" spans="1:1">
      <c r="A3531" s="7"/>
    </row>
    <row r="3532" spans="1:1">
      <c r="A3532" s="7"/>
    </row>
    <row r="3533" spans="1:1">
      <c r="A3533" s="7"/>
    </row>
    <row r="3534" spans="1:1">
      <c r="A3534" s="7"/>
    </row>
    <row r="3535" spans="1:1">
      <c r="A3535" s="7"/>
    </row>
    <row r="3536" spans="1:1">
      <c r="A3536" s="7"/>
    </row>
    <row r="3537" spans="1:1">
      <c r="A3537" s="7"/>
    </row>
    <row r="3538" spans="1:1">
      <c r="A3538" s="7"/>
    </row>
    <row r="3539" spans="1:1">
      <c r="A3539" s="7"/>
    </row>
    <row r="3540" spans="1:1">
      <c r="A3540" s="7"/>
    </row>
    <row r="3541" spans="1:1">
      <c r="A3541" s="7"/>
    </row>
    <row r="3542" spans="1:1">
      <c r="A3542" s="7"/>
    </row>
    <row r="3543" spans="1:1">
      <c r="A3543" s="7"/>
    </row>
    <row r="3544" spans="1:1">
      <c r="A3544" s="7"/>
    </row>
    <row r="3545" spans="1:1">
      <c r="A3545" s="7"/>
    </row>
    <row r="3546" spans="1:1">
      <c r="A3546" s="7"/>
    </row>
    <row r="3547" spans="1:1">
      <c r="A3547" s="7"/>
    </row>
    <row r="3548" spans="1:1">
      <c r="A3548" s="7"/>
    </row>
    <row r="3549" spans="1:1">
      <c r="A3549" s="7"/>
    </row>
    <row r="3550" spans="1:1">
      <c r="A3550" s="7"/>
    </row>
    <row r="3551" spans="1:1">
      <c r="A3551" s="7"/>
    </row>
    <row r="3552" spans="1:1">
      <c r="A3552" s="7"/>
    </row>
    <row r="3553" spans="1:1">
      <c r="A3553" s="7"/>
    </row>
    <row r="3554" spans="1:1">
      <c r="A3554" s="7"/>
    </row>
    <row r="3555" spans="1:1">
      <c r="A3555" s="7"/>
    </row>
    <row r="3556" spans="1:1">
      <c r="A3556" s="7"/>
    </row>
    <row r="3557" spans="1:1">
      <c r="A3557" s="7"/>
    </row>
    <row r="3558" spans="1:1">
      <c r="A3558" s="7"/>
    </row>
    <row r="3559" spans="1:1">
      <c r="A3559" s="7"/>
    </row>
    <row r="3560" spans="1:1">
      <c r="A3560" s="7"/>
    </row>
    <row r="3561" spans="1:1">
      <c r="A3561" s="7"/>
    </row>
    <row r="3562" spans="1:1">
      <c r="A3562" s="7"/>
    </row>
    <row r="3563" spans="1:1">
      <c r="A3563" s="7"/>
    </row>
    <row r="3564" spans="1:1">
      <c r="A3564" s="7"/>
    </row>
    <row r="3565" spans="1:1">
      <c r="A3565" s="7"/>
    </row>
    <row r="3566" spans="1:1">
      <c r="A3566" s="7"/>
    </row>
    <row r="3567" spans="1:1">
      <c r="A3567" s="7"/>
    </row>
    <row r="3568" spans="1:1">
      <c r="A3568" s="7"/>
    </row>
    <row r="3569" spans="1:1">
      <c r="A3569" s="7"/>
    </row>
    <row r="3570" spans="1:1">
      <c r="A3570" s="7"/>
    </row>
    <row r="3571" spans="1:1">
      <c r="A3571" s="7"/>
    </row>
    <row r="3572" spans="1:1">
      <c r="A3572" s="7"/>
    </row>
    <row r="3573" spans="1:1">
      <c r="A3573" s="7"/>
    </row>
    <row r="3574" spans="1:1">
      <c r="A3574" s="7"/>
    </row>
    <row r="3575" spans="1:1">
      <c r="A3575" s="7"/>
    </row>
    <row r="3576" spans="1:1">
      <c r="A3576" s="7"/>
    </row>
    <row r="3577" spans="1:1">
      <c r="A3577" s="7"/>
    </row>
    <row r="3578" spans="1:1">
      <c r="A3578" s="7"/>
    </row>
    <row r="3579" spans="1:1">
      <c r="A3579" s="7"/>
    </row>
    <row r="3580" spans="1:1">
      <c r="A3580" s="7"/>
    </row>
    <row r="3581" spans="1:1">
      <c r="A3581" s="7"/>
    </row>
    <row r="3582" spans="1:1">
      <c r="A3582" s="7"/>
    </row>
    <row r="3583" spans="1:1">
      <c r="A3583" s="7"/>
    </row>
    <row r="3584" spans="1:1">
      <c r="A3584" s="7"/>
    </row>
    <row r="3585" spans="1:1">
      <c r="A3585" s="7"/>
    </row>
    <row r="3586" spans="1:1">
      <c r="A3586" s="7"/>
    </row>
    <row r="3587" spans="1:1">
      <c r="A3587" s="7"/>
    </row>
    <row r="3588" spans="1:1">
      <c r="A3588" s="7"/>
    </row>
    <row r="3589" spans="1:1">
      <c r="A3589" s="7"/>
    </row>
    <row r="3590" spans="1:1">
      <c r="A3590" s="7"/>
    </row>
    <row r="3591" spans="1:1">
      <c r="A3591" s="7"/>
    </row>
    <row r="3592" spans="1:1">
      <c r="A3592" s="7"/>
    </row>
    <row r="3593" spans="1:1">
      <c r="A3593" s="7"/>
    </row>
    <row r="3594" spans="1:1">
      <c r="A3594" s="7"/>
    </row>
    <row r="3595" spans="1:1">
      <c r="A3595" s="7"/>
    </row>
    <row r="3596" spans="1:1">
      <c r="A3596" s="7"/>
    </row>
    <row r="3597" spans="1:1">
      <c r="A3597" s="7"/>
    </row>
    <row r="3598" spans="1:1">
      <c r="A3598" s="7"/>
    </row>
    <row r="3599" spans="1:1">
      <c r="A3599" s="7"/>
    </row>
    <row r="3600" spans="1:1">
      <c r="A3600" s="7"/>
    </row>
    <row r="3601" spans="1:1">
      <c r="A3601" s="7"/>
    </row>
    <row r="3602" spans="1:1">
      <c r="A3602" s="7"/>
    </row>
    <row r="3603" spans="1:1">
      <c r="A3603" s="7"/>
    </row>
    <row r="3604" spans="1:1">
      <c r="A3604" s="7"/>
    </row>
    <row r="3605" spans="1:1">
      <c r="A3605" s="7"/>
    </row>
    <row r="3606" spans="1:1">
      <c r="A3606" s="7"/>
    </row>
    <row r="3607" spans="1:1">
      <c r="A3607" s="7"/>
    </row>
    <row r="3608" spans="1:1">
      <c r="A3608" s="7"/>
    </row>
    <row r="3609" spans="1:1">
      <c r="A3609" s="7"/>
    </row>
    <row r="3610" spans="1:1">
      <c r="A3610" s="7"/>
    </row>
    <row r="3611" spans="1:1">
      <c r="A3611" s="7"/>
    </row>
    <row r="3612" spans="1:1">
      <c r="A3612" s="7"/>
    </row>
    <row r="3613" spans="1:1">
      <c r="A3613" s="7"/>
    </row>
    <row r="3614" spans="1:1">
      <c r="A3614" s="7"/>
    </row>
    <row r="3615" spans="1:1">
      <c r="A3615" s="7"/>
    </row>
    <row r="3616" spans="1:1">
      <c r="A3616" s="7"/>
    </row>
    <row r="3617" spans="1:1">
      <c r="A3617" s="7"/>
    </row>
    <row r="3618" spans="1:1">
      <c r="A3618" s="7"/>
    </row>
    <row r="3619" spans="1:1">
      <c r="A3619" s="7"/>
    </row>
    <row r="3620" spans="1:1">
      <c r="A3620" s="7"/>
    </row>
    <row r="3621" spans="1:1">
      <c r="A3621" s="7"/>
    </row>
    <row r="3622" spans="1:1">
      <c r="A3622" s="7"/>
    </row>
    <row r="3623" spans="1:1">
      <c r="A3623" s="7"/>
    </row>
    <row r="3624" spans="1:1">
      <c r="A3624" s="7"/>
    </row>
    <row r="3625" spans="1:1">
      <c r="A3625" s="7"/>
    </row>
    <row r="3626" spans="1:1">
      <c r="A3626" s="7"/>
    </row>
    <row r="3627" spans="1:1">
      <c r="A3627" s="7"/>
    </row>
    <row r="3628" spans="1:1">
      <c r="A3628" s="7"/>
    </row>
    <row r="3629" spans="1:1">
      <c r="A3629" s="7"/>
    </row>
    <row r="3630" spans="1:1">
      <c r="A3630" s="7"/>
    </row>
    <row r="3631" spans="1:1">
      <c r="A3631" s="7"/>
    </row>
    <row r="3632" spans="1:1">
      <c r="A3632" s="7"/>
    </row>
    <row r="3633" spans="1:1">
      <c r="A3633" s="7"/>
    </row>
    <row r="3634" spans="1:1">
      <c r="A3634" s="7"/>
    </row>
    <row r="3635" spans="1:1">
      <c r="A3635" s="7"/>
    </row>
    <row r="3636" spans="1:1">
      <c r="A3636" s="7"/>
    </row>
    <row r="3637" spans="1:1">
      <c r="A3637" s="7"/>
    </row>
    <row r="3638" spans="1:1">
      <c r="A3638" s="7"/>
    </row>
    <row r="3639" spans="1:1">
      <c r="A3639" s="7"/>
    </row>
    <row r="3640" spans="1:1">
      <c r="A3640" s="7"/>
    </row>
    <row r="3641" spans="1:1">
      <c r="A3641" s="7"/>
    </row>
    <row r="3642" spans="1:1">
      <c r="A3642" s="7"/>
    </row>
    <row r="3643" spans="1:1">
      <c r="A3643" s="7"/>
    </row>
    <row r="3644" spans="1:1">
      <c r="A3644" s="7"/>
    </row>
    <row r="3645" spans="1:1">
      <c r="A3645" s="7"/>
    </row>
    <row r="3646" spans="1:1">
      <c r="A3646" s="7"/>
    </row>
    <row r="3647" spans="1:1">
      <c r="A3647" s="7"/>
    </row>
    <row r="3648" spans="1:1">
      <c r="A3648" s="7"/>
    </row>
    <row r="3649" spans="1:1">
      <c r="A3649" s="7"/>
    </row>
    <row r="3650" spans="1:1">
      <c r="A3650" s="7"/>
    </row>
    <row r="3651" spans="1:1">
      <c r="A3651" s="7"/>
    </row>
    <row r="3652" spans="1:1">
      <c r="A3652" s="7"/>
    </row>
    <row r="3653" spans="1:1">
      <c r="A3653" s="7"/>
    </row>
    <row r="3654" spans="1:1">
      <c r="A3654" s="7"/>
    </row>
    <row r="3655" spans="1:1">
      <c r="A3655" s="7"/>
    </row>
    <row r="3656" spans="1:1">
      <c r="A3656" s="7"/>
    </row>
    <row r="3657" spans="1:1">
      <c r="A3657" s="7"/>
    </row>
    <row r="3658" spans="1:1">
      <c r="A3658" s="7"/>
    </row>
    <row r="3659" spans="1:1">
      <c r="A3659" s="7"/>
    </row>
    <row r="3660" spans="1:1">
      <c r="A3660" s="7"/>
    </row>
    <row r="3661" spans="1:1">
      <c r="A3661" s="7"/>
    </row>
    <row r="3662" spans="1:1">
      <c r="A3662" s="7"/>
    </row>
    <row r="3663" spans="1:1">
      <c r="A3663" s="7"/>
    </row>
    <row r="3664" spans="1:1">
      <c r="A3664" s="7"/>
    </row>
    <row r="3665" spans="1:1">
      <c r="A3665" s="7"/>
    </row>
    <row r="3666" spans="1:1">
      <c r="A3666" s="7"/>
    </row>
    <row r="3667" spans="1:1">
      <c r="A3667" s="7"/>
    </row>
    <row r="3668" spans="1:1">
      <c r="A3668" s="7"/>
    </row>
    <row r="3669" spans="1:1">
      <c r="A3669" s="7"/>
    </row>
    <row r="3670" spans="1:1">
      <c r="A3670" s="7"/>
    </row>
    <row r="3671" spans="1:1">
      <c r="A3671" s="7"/>
    </row>
    <row r="3672" spans="1:1">
      <c r="A3672" s="7"/>
    </row>
    <row r="3673" spans="1:1">
      <c r="A3673" s="7"/>
    </row>
    <row r="3674" spans="1:1">
      <c r="A3674" s="7"/>
    </row>
    <row r="3675" spans="1:1">
      <c r="A3675" s="7"/>
    </row>
    <row r="3676" spans="1:1">
      <c r="A3676" s="7"/>
    </row>
    <row r="3677" spans="1:1">
      <c r="A3677" s="7"/>
    </row>
    <row r="3678" spans="1:1">
      <c r="A3678" s="7"/>
    </row>
    <row r="3679" spans="1:1">
      <c r="A3679" s="7"/>
    </row>
    <row r="3680" spans="1:1">
      <c r="A3680" s="7"/>
    </row>
    <row r="3681" spans="1:1">
      <c r="A3681" s="7"/>
    </row>
    <row r="3682" spans="1:1">
      <c r="A3682" s="7"/>
    </row>
    <row r="3683" spans="1:1">
      <c r="A3683" s="7"/>
    </row>
    <row r="3684" spans="1:1">
      <c r="A3684" s="7"/>
    </row>
    <row r="3685" spans="1:1">
      <c r="A3685" s="7"/>
    </row>
    <row r="3686" spans="1:1">
      <c r="A3686" s="7"/>
    </row>
    <row r="3687" spans="1:1">
      <c r="A3687" s="7"/>
    </row>
    <row r="3688" spans="1:1">
      <c r="A3688" s="7"/>
    </row>
    <row r="3689" spans="1:1">
      <c r="A3689" s="7"/>
    </row>
    <row r="3690" spans="1:1">
      <c r="A3690" s="7"/>
    </row>
    <row r="3691" spans="1:1">
      <c r="A3691" s="7"/>
    </row>
    <row r="3692" spans="1:1">
      <c r="A3692" s="7"/>
    </row>
    <row r="3693" spans="1:1">
      <c r="A3693" s="7"/>
    </row>
    <row r="3694" spans="1:1">
      <c r="A3694" s="7"/>
    </row>
    <row r="3695" spans="1:1">
      <c r="A3695" s="7"/>
    </row>
    <row r="3696" spans="1:1">
      <c r="A3696" s="7"/>
    </row>
    <row r="3697" spans="1:1">
      <c r="A3697" s="7"/>
    </row>
    <row r="3698" spans="1:1">
      <c r="A3698" s="7"/>
    </row>
    <row r="3699" spans="1:1">
      <c r="A3699" s="7"/>
    </row>
    <row r="3700" spans="1:1">
      <c r="A3700" s="7"/>
    </row>
    <row r="3701" spans="1:1">
      <c r="A3701" s="7"/>
    </row>
    <row r="3702" spans="1:1">
      <c r="A3702" s="7"/>
    </row>
    <row r="3703" spans="1:1">
      <c r="A3703" s="7"/>
    </row>
    <row r="3704" spans="1:1">
      <c r="A3704" s="7"/>
    </row>
    <row r="3705" spans="1:1">
      <c r="A3705" s="7"/>
    </row>
    <row r="3706" spans="1:1">
      <c r="A3706" s="7"/>
    </row>
    <row r="3707" spans="1:1">
      <c r="A3707" s="7"/>
    </row>
    <row r="3708" spans="1:1">
      <c r="A3708" s="7"/>
    </row>
    <row r="3709" spans="1:1">
      <c r="A3709" s="7"/>
    </row>
    <row r="3710" spans="1:1">
      <c r="A3710" s="7"/>
    </row>
    <row r="3711" spans="1:1">
      <c r="A3711" s="7"/>
    </row>
    <row r="3712" spans="1:1">
      <c r="A3712" s="7"/>
    </row>
    <row r="3713" spans="1:1">
      <c r="A3713" s="7"/>
    </row>
    <row r="3714" spans="1:1">
      <c r="A3714" s="7"/>
    </row>
    <row r="3715" spans="1:1">
      <c r="A3715" s="7"/>
    </row>
    <row r="3716" spans="1:1">
      <c r="A3716" s="7"/>
    </row>
    <row r="3717" spans="1:1">
      <c r="A3717" s="7"/>
    </row>
    <row r="3718" spans="1:1">
      <c r="A3718" s="7"/>
    </row>
    <row r="3719" spans="1:1">
      <c r="A3719" s="7"/>
    </row>
    <row r="3720" spans="1:1">
      <c r="A3720" s="7"/>
    </row>
    <row r="3721" spans="1:1">
      <c r="A3721" s="7"/>
    </row>
    <row r="3722" spans="1:1">
      <c r="A3722" s="7"/>
    </row>
    <row r="3723" spans="1:1">
      <c r="A3723" s="7"/>
    </row>
    <row r="3724" spans="1:1">
      <c r="A3724" s="7"/>
    </row>
    <row r="3725" spans="1:1">
      <c r="A3725" s="7"/>
    </row>
    <row r="3726" spans="1:1">
      <c r="A3726" s="7"/>
    </row>
    <row r="3727" spans="1:1">
      <c r="A3727" s="7"/>
    </row>
    <row r="3728" spans="1:1">
      <c r="A3728" s="7"/>
    </row>
    <row r="3729" spans="1:1">
      <c r="A3729" s="7"/>
    </row>
    <row r="3730" spans="1:1">
      <c r="A3730" s="7"/>
    </row>
    <row r="3731" spans="1:1">
      <c r="A3731" s="7"/>
    </row>
    <row r="3732" spans="1:1">
      <c r="A3732" s="7"/>
    </row>
    <row r="3733" spans="1:1">
      <c r="A3733" s="7"/>
    </row>
    <row r="3734" spans="1:1">
      <c r="A3734" s="7"/>
    </row>
    <row r="3735" spans="1:1">
      <c r="A3735" s="7"/>
    </row>
    <row r="3736" spans="1:1">
      <c r="A3736" s="7"/>
    </row>
    <row r="3737" spans="1:1">
      <c r="A3737" s="7"/>
    </row>
    <row r="3738" spans="1:1">
      <c r="A3738" s="7"/>
    </row>
    <row r="3739" spans="1:1">
      <c r="A3739" s="7"/>
    </row>
    <row r="3740" spans="1:1">
      <c r="A3740" s="7"/>
    </row>
    <row r="3741" spans="1:1">
      <c r="A3741" s="7"/>
    </row>
    <row r="3742" spans="1:1">
      <c r="A3742" s="7"/>
    </row>
    <row r="3743" spans="1:1">
      <c r="A3743" s="7"/>
    </row>
    <row r="3744" spans="1:1">
      <c r="A3744" s="7"/>
    </row>
    <row r="3745" spans="1:1">
      <c r="A3745" s="7"/>
    </row>
    <row r="3746" spans="1:1">
      <c r="A3746" s="7"/>
    </row>
    <row r="3747" spans="1:1">
      <c r="A3747" s="7"/>
    </row>
    <row r="3748" spans="1:1">
      <c r="A3748" s="7"/>
    </row>
    <row r="3749" spans="1:1">
      <c r="A3749" s="7"/>
    </row>
    <row r="3750" spans="1:1">
      <c r="A3750" s="7"/>
    </row>
    <row r="3751" spans="1:1">
      <c r="A3751" s="7"/>
    </row>
    <row r="3752" spans="1:1">
      <c r="A3752" s="7"/>
    </row>
    <row r="3753" spans="1:1">
      <c r="A3753" s="7"/>
    </row>
    <row r="3754" spans="1:1">
      <c r="A3754" s="7"/>
    </row>
    <row r="3755" spans="1:1">
      <c r="A3755" s="7"/>
    </row>
    <row r="3756" spans="1:1">
      <c r="A3756" s="7"/>
    </row>
    <row r="3757" spans="1:1">
      <c r="A3757" s="7"/>
    </row>
    <row r="3758" spans="1:1">
      <c r="A3758" s="7"/>
    </row>
    <row r="3759" spans="1:1">
      <c r="A3759" s="7"/>
    </row>
    <row r="3760" spans="1:1">
      <c r="A3760" s="7"/>
    </row>
    <row r="3761" spans="1:1">
      <c r="A3761" s="7"/>
    </row>
    <row r="3762" spans="1:1">
      <c r="A3762" s="7"/>
    </row>
    <row r="3763" spans="1:1">
      <c r="A3763" s="7"/>
    </row>
    <row r="3764" spans="1:1">
      <c r="A3764" s="7"/>
    </row>
    <row r="3765" spans="1:1">
      <c r="A3765" s="7"/>
    </row>
    <row r="3766" spans="1:1">
      <c r="A3766" s="7"/>
    </row>
    <row r="3767" spans="1:1">
      <c r="A3767" s="7"/>
    </row>
    <row r="3768" spans="1:1">
      <c r="A3768" s="7"/>
    </row>
    <row r="3769" spans="1:1">
      <c r="A3769" s="7"/>
    </row>
    <row r="3770" spans="1:1">
      <c r="A3770" s="7"/>
    </row>
    <row r="3771" spans="1:1">
      <c r="A3771" s="7"/>
    </row>
    <row r="3772" spans="1:1">
      <c r="A3772" s="7"/>
    </row>
    <row r="3773" spans="1:1">
      <c r="A3773" s="7"/>
    </row>
    <row r="3774" spans="1:1">
      <c r="A3774" s="7"/>
    </row>
    <row r="3775" spans="1:1">
      <c r="A3775" s="7"/>
    </row>
    <row r="3776" spans="1:1">
      <c r="A3776" s="7"/>
    </row>
    <row r="3777" spans="1:1">
      <c r="A3777" s="7"/>
    </row>
    <row r="3778" spans="1:1">
      <c r="A3778" s="7"/>
    </row>
    <row r="3779" spans="1:1">
      <c r="A3779" s="7"/>
    </row>
    <row r="3780" spans="1:1">
      <c r="A3780" s="7"/>
    </row>
    <row r="3781" spans="1:1">
      <c r="A3781" s="7"/>
    </row>
    <row r="3782" spans="1:1">
      <c r="A3782" s="7"/>
    </row>
    <row r="3783" spans="1:1">
      <c r="A3783" s="7"/>
    </row>
    <row r="3784" spans="1:1">
      <c r="A3784" s="7"/>
    </row>
    <row r="3785" spans="1:1">
      <c r="A3785" s="7"/>
    </row>
    <row r="3786" spans="1:1">
      <c r="A3786" s="7"/>
    </row>
    <row r="3787" spans="1:1">
      <c r="A3787" s="7"/>
    </row>
    <row r="3788" spans="1:1">
      <c r="A3788" s="7"/>
    </row>
    <row r="3789" spans="1:1">
      <c r="A3789" s="7"/>
    </row>
    <row r="3790" spans="1:1">
      <c r="A3790" s="7"/>
    </row>
    <row r="3791" spans="1:1">
      <c r="A3791" s="7"/>
    </row>
    <row r="3792" spans="1:1">
      <c r="A3792" s="7"/>
    </row>
    <row r="3793" spans="1:1">
      <c r="A3793" s="7"/>
    </row>
    <row r="3794" spans="1:1">
      <c r="A3794" s="7"/>
    </row>
    <row r="3795" spans="1:1">
      <c r="A3795" s="7"/>
    </row>
    <row r="3796" spans="1:1">
      <c r="A3796" s="7"/>
    </row>
    <row r="3797" spans="1:1">
      <c r="A3797" s="7"/>
    </row>
    <row r="3798" spans="1:1">
      <c r="A3798" s="7"/>
    </row>
    <row r="3799" spans="1:1">
      <c r="A3799" s="7"/>
    </row>
    <row r="3800" spans="1:1">
      <c r="A3800" s="7"/>
    </row>
    <row r="3801" spans="1:1">
      <c r="A3801" s="7"/>
    </row>
    <row r="3802" spans="1:1">
      <c r="A3802" s="7"/>
    </row>
    <row r="3803" spans="1:1">
      <c r="A3803" s="7"/>
    </row>
    <row r="3804" spans="1:1">
      <c r="A3804" s="7"/>
    </row>
    <row r="3805" spans="1:1">
      <c r="A3805" s="7"/>
    </row>
    <row r="3806" spans="1:1">
      <c r="A3806" s="7"/>
    </row>
    <row r="3807" spans="1:1">
      <c r="A3807" s="7"/>
    </row>
    <row r="3808" spans="1:1">
      <c r="A3808" s="7"/>
    </row>
    <row r="3809" spans="1:1">
      <c r="A3809" s="7"/>
    </row>
    <row r="3810" spans="1:1">
      <c r="A3810" s="7"/>
    </row>
    <row r="3811" spans="1:1">
      <c r="A3811" s="7"/>
    </row>
    <row r="3812" spans="1:1">
      <c r="A3812" s="7"/>
    </row>
    <row r="3813" spans="1:1">
      <c r="A3813" s="7"/>
    </row>
    <row r="3814" spans="1:1">
      <c r="A3814" s="7"/>
    </row>
    <row r="3815" spans="1:1">
      <c r="A3815" s="7"/>
    </row>
    <row r="3816" spans="1:1">
      <c r="A3816" s="7"/>
    </row>
    <row r="3817" spans="1:1">
      <c r="A3817" s="7"/>
    </row>
    <row r="3818" spans="1:1">
      <c r="A3818" s="7"/>
    </row>
    <row r="3819" spans="1:1">
      <c r="A3819" s="7"/>
    </row>
    <row r="3820" spans="1:1">
      <c r="A3820" s="7"/>
    </row>
    <row r="3821" spans="1:1">
      <c r="A3821" s="7"/>
    </row>
    <row r="3822" spans="1:1">
      <c r="A3822" s="7"/>
    </row>
    <row r="3823" spans="1:1">
      <c r="A3823" s="7"/>
    </row>
    <row r="3824" spans="1:1">
      <c r="A3824" s="7"/>
    </row>
    <row r="3825" spans="1:1">
      <c r="A3825" s="7"/>
    </row>
    <row r="3826" spans="1:1">
      <c r="A3826" s="7"/>
    </row>
    <row r="3827" spans="1:1">
      <c r="A3827" s="7"/>
    </row>
    <row r="3828" spans="1:1">
      <c r="A3828" s="7"/>
    </row>
    <row r="3829" spans="1:1">
      <c r="A3829" s="7"/>
    </row>
    <row r="3830" spans="1:1">
      <c r="A3830" s="7"/>
    </row>
    <row r="3831" spans="1:1">
      <c r="A3831" s="7"/>
    </row>
    <row r="3832" spans="1:1">
      <c r="A3832" s="7"/>
    </row>
    <row r="3833" spans="1:1">
      <c r="A3833" s="7"/>
    </row>
    <row r="3834" spans="1:1">
      <c r="A3834" s="7"/>
    </row>
    <row r="3835" spans="1:1">
      <c r="A3835" s="7"/>
    </row>
    <row r="3836" spans="1:1">
      <c r="A3836" s="7"/>
    </row>
    <row r="3837" spans="1:1">
      <c r="A3837" s="7"/>
    </row>
    <row r="3838" spans="1:1">
      <c r="A3838" s="7"/>
    </row>
    <row r="3839" spans="1:1">
      <c r="A3839" s="7"/>
    </row>
    <row r="3840" spans="1:1">
      <c r="A3840" s="7"/>
    </row>
    <row r="3841" spans="1:1">
      <c r="A3841" s="7"/>
    </row>
    <row r="3842" spans="1:1">
      <c r="A3842" s="7"/>
    </row>
    <row r="3843" spans="1:1">
      <c r="A3843" s="7"/>
    </row>
    <row r="3844" spans="1:1">
      <c r="A3844" s="7"/>
    </row>
    <row r="3845" spans="1:1">
      <c r="A3845" s="7"/>
    </row>
    <row r="3846" spans="1:1">
      <c r="A3846" s="7"/>
    </row>
    <row r="3847" spans="1:1">
      <c r="A3847" s="7"/>
    </row>
    <row r="3848" spans="1:1">
      <c r="A3848" s="7"/>
    </row>
    <row r="3849" spans="1:1">
      <c r="A3849" s="7"/>
    </row>
    <row r="3850" spans="1:1">
      <c r="A3850" s="7"/>
    </row>
    <row r="3851" spans="1:1">
      <c r="A3851" s="7"/>
    </row>
    <row r="3852" spans="1:1">
      <c r="A3852" s="7"/>
    </row>
    <row r="3853" spans="1:1">
      <c r="A3853" s="7"/>
    </row>
    <row r="3854" spans="1:1">
      <c r="A3854" s="7"/>
    </row>
    <row r="3855" spans="1:1">
      <c r="A3855" s="7"/>
    </row>
    <row r="3856" spans="1:1">
      <c r="A3856" s="7"/>
    </row>
    <row r="3857" spans="1:1">
      <c r="A3857" s="7"/>
    </row>
    <row r="3858" spans="1:1">
      <c r="A3858" s="7"/>
    </row>
    <row r="3859" spans="1:1">
      <c r="A3859" s="7"/>
    </row>
    <row r="3860" spans="1:1">
      <c r="A3860" s="7"/>
    </row>
    <row r="3861" spans="1:1">
      <c r="A3861" s="7"/>
    </row>
    <row r="3862" spans="1:1">
      <c r="A3862" s="7"/>
    </row>
    <row r="3863" spans="1:1">
      <c r="A3863" s="7"/>
    </row>
    <row r="3864" spans="1:1">
      <c r="A3864" s="7"/>
    </row>
    <row r="3865" spans="1:1">
      <c r="A3865" s="7"/>
    </row>
    <row r="3866" spans="1:1">
      <c r="A3866" s="7"/>
    </row>
    <row r="3867" spans="1:1">
      <c r="A3867" s="7"/>
    </row>
    <row r="3868" spans="1:1">
      <c r="A3868" s="7"/>
    </row>
    <row r="3869" spans="1:1">
      <c r="A3869" s="7"/>
    </row>
    <row r="3870" spans="1:1">
      <c r="A3870" s="7"/>
    </row>
    <row r="3871" spans="1:1">
      <c r="A3871" s="7"/>
    </row>
    <row r="3872" spans="1:1">
      <c r="A3872" s="7"/>
    </row>
    <row r="3873" spans="1:1">
      <c r="A3873" s="7"/>
    </row>
    <row r="3874" spans="1:1">
      <c r="A3874" s="7"/>
    </row>
    <row r="3875" spans="1:1">
      <c r="A3875" s="7"/>
    </row>
    <row r="3876" spans="1:1">
      <c r="A3876" s="7"/>
    </row>
    <row r="3877" spans="1:1">
      <c r="A3877" s="7"/>
    </row>
    <row r="3878" spans="1:1">
      <c r="A3878" s="7"/>
    </row>
    <row r="3879" spans="1:1">
      <c r="A3879" s="7"/>
    </row>
    <row r="3880" spans="1:1">
      <c r="A3880" s="7"/>
    </row>
    <row r="3881" spans="1:1">
      <c r="A3881" s="7"/>
    </row>
    <row r="3882" spans="1:1">
      <c r="A3882" s="7"/>
    </row>
    <row r="3883" spans="1:1">
      <c r="A3883" s="7"/>
    </row>
    <row r="3884" spans="1:1">
      <c r="A3884" s="7"/>
    </row>
    <row r="3885" spans="1:1">
      <c r="A3885" s="7"/>
    </row>
    <row r="3886" spans="1:1">
      <c r="A3886" s="7"/>
    </row>
    <row r="3887" spans="1:1">
      <c r="A3887" s="7"/>
    </row>
    <row r="3888" spans="1:1">
      <c r="A3888" s="7"/>
    </row>
    <row r="3889" spans="1:1">
      <c r="A3889" s="7"/>
    </row>
    <row r="3890" spans="1:1">
      <c r="A3890" s="7"/>
    </row>
    <row r="3891" spans="1:1">
      <c r="A3891" s="7"/>
    </row>
    <row r="3892" spans="1:1">
      <c r="A3892" s="7"/>
    </row>
    <row r="3893" spans="1:1">
      <c r="A3893" s="7"/>
    </row>
    <row r="3894" spans="1:1">
      <c r="A3894" s="7"/>
    </row>
    <row r="3895" spans="1:1">
      <c r="A3895" s="7"/>
    </row>
    <row r="3896" spans="1:1">
      <c r="A3896" s="7"/>
    </row>
    <row r="3897" spans="1:1">
      <c r="A3897" s="7"/>
    </row>
    <row r="3898" spans="1:1">
      <c r="A3898" s="7"/>
    </row>
    <row r="3899" spans="1:1">
      <c r="A3899" s="7"/>
    </row>
    <row r="3900" spans="1:1">
      <c r="A3900" s="7"/>
    </row>
    <row r="3901" spans="1:1">
      <c r="A3901" s="7"/>
    </row>
    <row r="3902" spans="1:1">
      <c r="A3902" s="7"/>
    </row>
    <row r="3903" spans="1:1">
      <c r="A3903" s="7"/>
    </row>
    <row r="3904" spans="1:1">
      <c r="A3904" s="7"/>
    </row>
    <row r="3905" spans="1:1">
      <c r="A3905" s="7"/>
    </row>
    <row r="3906" spans="1:1">
      <c r="A3906" s="7"/>
    </row>
    <row r="3907" spans="1:1">
      <c r="A3907" s="7"/>
    </row>
    <row r="3908" spans="1:1">
      <c r="A3908" s="7"/>
    </row>
    <row r="3909" spans="1:1">
      <c r="A3909" s="7"/>
    </row>
    <row r="3910" spans="1:1">
      <c r="A3910" s="7"/>
    </row>
    <row r="3911" spans="1:1">
      <c r="A3911" s="7"/>
    </row>
    <row r="3912" spans="1:1">
      <c r="A3912" s="7"/>
    </row>
    <row r="3913" spans="1:1">
      <c r="A3913" s="7"/>
    </row>
    <row r="3914" spans="1:1">
      <c r="A3914" s="7"/>
    </row>
    <row r="3915" spans="1:1">
      <c r="A3915" s="7"/>
    </row>
    <row r="3916" spans="1:1">
      <c r="A3916" s="7"/>
    </row>
    <row r="3917" spans="1:1">
      <c r="A3917" s="7"/>
    </row>
    <row r="3918" spans="1:1">
      <c r="A3918" s="7"/>
    </row>
    <row r="3919" spans="1:1">
      <c r="A3919" s="7"/>
    </row>
    <row r="3920" spans="1:1">
      <c r="A3920" s="7"/>
    </row>
    <row r="3921" spans="1:1">
      <c r="A3921" s="7"/>
    </row>
    <row r="3922" spans="1:1">
      <c r="A3922" s="7"/>
    </row>
    <row r="3923" spans="1:1">
      <c r="A3923" s="7"/>
    </row>
    <row r="3924" spans="1:1">
      <c r="A3924" s="7"/>
    </row>
    <row r="3925" spans="1:1">
      <c r="A3925" s="7"/>
    </row>
    <row r="3926" spans="1:1">
      <c r="A3926" s="7"/>
    </row>
    <row r="3927" spans="1:1">
      <c r="A3927" s="7"/>
    </row>
    <row r="3928" spans="1:1">
      <c r="A3928" s="7"/>
    </row>
    <row r="3929" spans="1:1">
      <c r="A3929" s="7"/>
    </row>
    <row r="3930" spans="1:1">
      <c r="A3930" s="7"/>
    </row>
    <row r="3931" spans="1:1">
      <c r="A3931" s="7"/>
    </row>
    <row r="3932" spans="1:1">
      <c r="A3932" s="7"/>
    </row>
    <row r="3933" spans="1:1">
      <c r="A3933" s="7"/>
    </row>
    <row r="3934" spans="1:1">
      <c r="A3934" s="7"/>
    </row>
    <row r="3935" spans="1:1">
      <c r="A3935" s="7"/>
    </row>
    <row r="3936" spans="1:1">
      <c r="A3936" s="7"/>
    </row>
    <row r="3937" spans="1:1">
      <c r="A3937" s="7"/>
    </row>
    <row r="3938" spans="1:1">
      <c r="A3938" s="7"/>
    </row>
    <row r="3939" spans="1:1">
      <c r="A3939" s="7"/>
    </row>
    <row r="3940" spans="1:1">
      <c r="A3940" s="7"/>
    </row>
    <row r="3941" spans="1:1">
      <c r="A3941" s="7"/>
    </row>
    <row r="3942" spans="1:1">
      <c r="A3942" s="7"/>
    </row>
    <row r="3943" spans="1:1">
      <c r="A3943" s="7"/>
    </row>
    <row r="3944" spans="1:1">
      <c r="A3944" s="7"/>
    </row>
    <row r="3945" spans="1:1">
      <c r="A3945" s="7"/>
    </row>
    <row r="3946" spans="1:1">
      <c r="A3946" s="7"/>
    </row>
    <row r="3947" spans="1:1">
      <c r="A3947" s="7"/>
    </row>
    <row r="3948" spans="1:1">
      <c r="A3948" s="7"/>
    </row>
    <row r="3949" spans="1:1">
      <c r="A3949" s="7"/>
    </row>
    <row r="3950" spans="1:1">
      <c r="A3950" s="7"/>
    </row>
    <row r="3951" spans="1:1">
      <c r="A3951" s="7"/>
    </row>
    <row r="3952" spans="1:1">
      <c r="A3952" s="7"/>
    </row>
    <row r="3953" spans="1:1">
      <c r="A3953" s="7"/>
    </row>
    <row r="3954" spans="1:1">
      <c r="A3954" s="7"/>
    </row>
    <row r="3955" spans="1:1">
      <c r="A3955" s="7"/>
    </row>
    <row r="3956" spans="1:1">
      <c r="A3956" s="7"/>
    </row>
    <row r="3957" spans="1:1">
      <c r="A3957" s="7"/>
    </row>
    <row r="3958" spans="1:1">
      <c r="A3958" s="7"/>
    </row>
    <row r="3959" spans="1:1">
      <c r="A3959" s="7"/>
    </row>
    <row r="3960" spans="1:1">
      <c r="A3960" s="7"/>
    </row>
    <row r="3961" spans="1:1">
      <c r="A3961" s="7"/>
    </row>
    <row r="3962" spans="1:1">
      <c r="A3962" s="7"/>
    </row>
    <row r="3963" spans="1:1">
      <c r="A3963" s="7"/>
    </row>
    <row r="3964" spans="1:1">
      <c r="A3964" s="7"/>
    </row>
    <row r="3965" spans="1:1">
      <c r="A3965" s="7"/>
    </row>
    <row r="3966" spans="1:1">
      <c r="A3966" s="7"/>
    </row>
    <row r="3967" spans="1:1">
      <c r="A3967" s="7"/>
    </row>
    <row r="3968" spans="1:1">
      <c r="A3968" s="7"/>
    </row>
    <row r="3969" spans="1:1">
      <c r="A3969" s="7"/>
    </row>
    <row r="3970" spans="1:1">
      <c r="A3970" s="7"/>
    </row>
    <row r="3971" spans="1:1">
      <c r="A3971" s="7"/>
    </row>
    <row r="3972" spans="1:1">
      <c r="A3972" s="7"/>
    </row>
    <row r="3973" spans="1:1">
      <c r="A3973" s="7"/>
    </row>
    <row r="3974" spans="1:1">
      <c r="A3974" s="7"/>
    </row>
    <row r="3975" spans="1:1">
      <c r="A3975" s="7"/>
    </row>
    <row r="3976" spans="1:1">
      <c r="A3976" s="7"/>
    </row>
    <row r="3977" spans="1:1">
      <c r="A3977" s="7"/>
    </row>
    <row r="3978" spans="1:1">
      <c r="A3978" s="7"/>
    </row>
    <row r="3979" spans="1:1">
      <c r="A3979" s="7"/>
    </row>
    <row r="3980" spans="1:1">
      <c r="A3980" s="7"/>
    </row>
    <row r="3981" spans="1:1">
      <c r="A3981" s="7"/>
    </row>
    <row r="3982" spans="1:1">
      <c r="A3982" s="7"/>
    </row>
    <row r="3983" spans="1:1">
      <c r="A3983" s="7"/>
    </row>
    <row r="3984" spans="1:1">
      <c r="A3984" s="7"/>
    </row>
    <row r="3985" spans="1:1">
      <c r="A3985" s="7"/>
    </row>
    <row r="3986" spans="1:1">
      <c r="A3986" s="7"/>
    </row>
    <row r="3987" spans="1:1">
      <c r="A3987" s="7"/>
    </row>
    <row r="3988" spans="1:1">
      <c r="A3988" s="7"/>
    </row>
    <row r="3989" spans="1:1">
      <c r="A3989" s="7"/>
    </row>
    <row r="3990" spans="1:1">
      <c r="A3990" s="7"/>
    </row>
    <row r="3991" spans="1:1">
      <c r="A3991" s="7"/>
    </row>
    <row r="3992" spans="1:1">
      <c r="A3992" s="7"/>
    </row>
    <row r="3993" spans="1:1">
      <c r="A3993" s="7"/>
    </row>
    <row r="3994" spans="1:1">
      <c r="A3994" s="7"/>
    </row>
    <row r="3995" spans="1:1">
      <c r="A3995" s="7"/>
    </row>
    <row r="3996" spans="1:1">
      <c r="A3996" s="7"/>
    </row>
    <row r="3997" spans="1:1">
      <c r="A3997" s="7"/>
    </row>
    <row r="3998" spans="1:1">
      <c r="A3998" s="7"/>
    </row>
    <row r="3999" spans="1:1">
      <c r="A3999" s="7"/>
    </row>
    <row r="4000" spans="1:1">
      <c r="A4000" s="7"/>
    </row>
    <row r="4001" spans="1:1">
      <c r="A4001" s="7"/>
    </row>
    <row r="4002" spans="1:1">
      <c r="A4002" s="7"/>
    </row>
    <row r="4003" spans="1:1">
      <c r="A4003" s="7"/>
    </row>
    <row r="4004" spans="1:1">
      <c r="A4004" s="7"/>
    </row>
    <row r="4005" spans="1:1">
      <c r="A4005" s="7"/>
    </row>
    <row r="4006" spans="1:1">
      <c r="A4006" s="7"/>
    </row>
    <row r="4007" spans="1:1">
      <c r="A4007" s="7"/>
    </row>
    <row r="4008" spans="1:1">
      <c r="A4008" s="7"/>
    </row>
    <row r="4009" spans="1:1">
      <c r="A4009" s="7"/>
    </row>
    <row r="4010" spans="1:1">
      <c r="A4010" s="7"/>
    </row>
    <row r="4011" spans="1:1">
      <c r="A4011" s="7"/>
    </row>
    <row r="4012" spans="1:1">
      <c r="A4012" s="7"/>
    </row>
    <row r="4013" spans="1:1">
      <c r="A4013" s="7"/>
    </row>
    <row r="4014" spans="1:1">
      <c r="A4014" s="7"/>
    </row>
    <row r="4015" spans="1:1">
      <c r="A4015" s="7"/>
    </row>
    <row r="4016" spans="1:1">
      <c r="A4016" s="7"/>
    </row>
    <row r="4017" spans="1:1">
      <c r="A4017" s="7"/>
    </row>
    <row r="4018" spans="1:1">
      <c r="A4018" s="7"/>
    </row>
    <row r="4019" spans="1:1">
      <c r="A4019" s="7"/>
    </row>
    <row r="4020" spans="1:1">
      <c r="A4020" s="7"/>
    </row>
    <row r="4021" spans="1:1">
      <c r="A4021" s="7"/>
    </row>
    <row r="4022" spans="1:1">
      <c r="A4022" s="7"/>
    </row>
    <row r="4023" spans="1:1">
      <c r="A4023" s="7"/>
    </row>
    <row r="4024" spans="1:1">
      <c r="A4024" s="7"/>
    </row>
    <row r="4025" spans="1:1">
      <c r="A4025" s="7"/>
    </row>
    <row r="4026" spans="1:1">
      <c r="A4026" s="7"/>
    </row>
    <row r="4027" spans="1:1">
      <c r="A4027" s="7"/>
    </row>
    <row r="4028" spans="1:1">
      <c r="A4028" s="7"/>
    </row>
    <row r="4029" spans="1:1">
      <c r="A4029" s="7"/>
    </row>
    <row r="4030" spans="1:1">
      <c r="A4030" s="7"/>
    </row>
    <row r="4031" spans="1:1">
      <c r="A4031" s="7"/>
    </row>
    <row r="4032" spans="1:1">
      <c r="A4032" s="7"/>
    </row>
    <row r="4033" spans="1:1">
      <c r="A4033" s="7"/>
    </row>
    <row r="4034" spans="1:1">
      <c r="A4034" s="7"/>
    </row>
    <row r="4035" spans="1:1">
      <c r="A4035" s="7"/>
    </row>
    <row r="4036" spans="1:1">
      <c r="A4036" s="7"/>
    </row>
    <row r="4037" spans="1:1">
      <c r="A4037" s="7"/>
    </row>
    <row r="4038" spans="1:1">
      <c r="A4038" s="7"/>
    </row>
    <row r="4039" spans="1:1">
      <c r="A4039" s="7"/>
    </row>
    <row r="4040" spans="1:1">
      <c r="A4040" s="7"/>
    </row>
    <row r="4041" spans="1:1">
      <c r="A4041" s="7"/>
    </row>
    <row r="4042" spans="1:1">
      <c r="A4042" s="7"/>
    </row>
    <row r="4043" spans="1:1">
      <c r="A4043" s="7"/>
    </row>
    <row r="4044" spans="1:1">
      <c r="A4044" s="7"/>
    </row>
    <row r="4045" spans="1:1">
      <c r="A4045" s="7"/>
    </row>
    <row r="4046" spans="1:1">
      <c r="A4046" s="7"/>
    </row>
    <row r="4047" spans="1:1">
      <c r="A4047" s="7"/>
    </row>
    <row r="4048" spans="1:1">
      <c r="A4048" s="7"/>
    </row>
    <row r="4049" spans="1:1">
      <c r="A4049" s="7"/>
    </row>
    <row r="4050" spans="1:1">
      <c r="A4050" s="7"/>
    </row>
    <row r="4051" spans="1:1">
      <c r="A4051" s="7"/>
    </row>
    <row r="4052" spans="1:1">
      <c r="A4052" s="7"/>
    </row>
    <row r="4053" spans="1:1">
      <c r="A4053" s="7"/>
    </row>
    <row r="4054" spans="1:1">
      <c r="A4054" s="7"/>
    </row>
    <row r="4055" spans="1:1">
      <c r="A4055" s="7"/>
    </row>
    <row r="4056" spans="1:1">
      <c r="A4056" s="7"/>
    </row>
    <row r="4057" spans="1:1">
      <c r="A4057" s="7"/>
    </row>
    <row r="4058" spans="1:1">
      <c r="A4058" s="7"/>
    </row>
    <row r="4059" spans="1:1">
      <c r="A4059" s="7"/>
    </row>
    <row r="4060" spans="1:1">
      <c r="A4060" s="7"/>
    </row>
    <row r="4061" spans="1:1">
      <c r="A4061" s="7"/>
    </row>
    <row r="4062" spans="1:1">
      <c r="A4062" s="7"/>
    </row>
    <row r="4063" spans="1:1">
      <c r="A4063" s="7"/>
    </row>
    <row r="4064" spans="1:1">
      <c r="A4064" s="7"/>
    </row>
    <row r="4065" spans="1:1">
      <c r="A4065" s="7"/>
    </row>
    <row r="4066" spans="1:1">
      <c r="A4066" s="7"/>
    </row>
    <row r="4067" spans="1:1">
      <c r="A4067" s="7"/>
    </row>
    <row r="4068" spans="1:1">
      <c r="A4068" s="7"/>
    </row>
    <row r="4069" spans="1:1">
      <c r="A4069" s="7"/>
    </row>
    <row r="4070" spans="1:1">
      <c r="A4070" s="7"/>
    </row>
    <row r="4071" spans="1:1">
      <c r="A4071" s="7"/>
    </row>
    <row r="4072" spans="1:1">
      <c r="A4072" s="7"/>
    </row>
    <row r="4073" spans="1:1">
      <c r="A4073" s="7"/>
    </row>
    <row r="4074" spans="1:1">
      <c r="A4074" s="7"/>
    </row>
    <row r="4075" spans="1:1">
      <c r="A4075" s="7"/>
    </row>
    <row r="4076" spans="1:1">
      <c r="A4076" s="7"/>
    </row>
    <row r="4077" spans="1:1">
      <c r="A4077" s="7"/>
    </row>
    <row r="4078" spans="1:1">
      <c r="A4078" s="7"/>
    </row>
    <row r="4079" spans="1:1">
      <c r="A4079" s="7"/>
    </row>
    <row r="4080" spans="1:1">
      <c r="A4080" s="7"/>
    </row>
    <row r="4081" spans="1:1">
      <c r="A4081" s="7"/>
    </row>
    <row r="4082" spans="1:1">
      <c r="A4082" s="7"/>
    </row>
    <row r="4083" spans="1:1">
      <c r="A4083" s="7"/>
    </row>
    <row r="4084" spans="1:1">
      <c r="A4084" s="7"/>
    </row>
    <row r="4085" spans="1:1">
      <c r="A4085" s="7"/>
    </row>
    <row r="4086" spans="1:1">
      <c r="A4086" s="7"/>
    </row>
    <row r="4087" spans="1:1">
      <c r="A4087" s="7"/>
    </row>
    <row r="4088" spans="1:1">
      <c r="A4088" s="7"/>
    </row>
    <row r="4089" spans="1:1">
      <c r="A4089" s="7"/>
    </row>
    <row r="4090" spans="1:1">
      <c r="A4090" s="7"/>
    </row>
    <row r="4091" spans="1:1">
      <c r="A4091" s="7"/>
    </row>
    <row r="4092" spans="1:1">
      <c r="A4092" s="7"/>
    </row>
    <row r="4093" spans="1:1">
      <c r="A4093" s="7"/>
    </row>
    <row r="4094" spans="1:1">
      <c r="A4094" s="7"/>
    </row>
    <row r="4095" spans="1:1">
      <c r="A4095" s="7"/>
    </row>
    <row r="4096" spans="1:1">
      <c r="A4096" s="7"/>
    </row>
    <row r="4097" spans="1:1">
      <c r="A4097" s="7"/>
    </row>
    <row r="4098" spans="1:1">
      <c r="A4098" s="7"/>
    </row>
    <row r="4099" spans="1:1">
      <c r="A4099" s="7"/>
    </row>
    <row r="4100" spans="1:1">
      <c r="A4100" s="7"/>
    </row>
    <row r="4101" spans="1:1">
      <c r="A4101" s="7"/>
    </row>
    <row r="4102" spans="1:1">
      <c r="A4102" s="7"/>
    </row>
    <row r="4103" spans="1:1">
      <c r="A4103" s="7"/>
    </row>
    <row r="4104" spans="1:1">
      <c r="A4104" s="7"/>
    </row>
    <row r="4105" spans="1:1">
      <c r="A4105" s="7"/>
    </row>
    <row r="4106" spans="1:1">
      <c r="A4106" s="7"/>
    </row>
    <row r="4107" spans="1:1">
      <c r="A4107" s="7"/>
    </row>
    <row r="4108" spans="1:1">
      <c r="A4108" s="7"/>
    </row>
    <row r="4109" spans="1:1">
      <c r="A4109" s="7"/>
    </row>
    <row r="4110" spans="1:1">
      <c r="A4110" s="7"/>
    </row>
    <row r="4111" spans="1:1">
      <c r="A4111" s="7"/>
    </row>
    <row r="4112" spans="1:1">
      <c r="A4112" s="7"/>
    </row>
    <row r="4113" spans="1:1">
      <c r="A4113" s="7"/>
    </row>
    <row r="4114" spans="1:1">
      <c r="A4114" s="7"/>
    </row>
    <row r="4115" spans="1:1">
      <c r="A4115" s="7"/>
    </row>
    <row r="4116" spans="1:1">
      <c r="A4116" s="7"/>
    </row>
    <row r="4117" spans="1:1">
      <c r="A4117" s="7"/>
    </row>
    <row r="4118" spans="1:1">
      <c r="A4118" s="7"/>
    </row>
    <row r="4119" spans="1:1">
      <c r="A4119" s="7"/>
    </row>
    <row r="4120" spans="1:1">
      <c r="A4120" s="7"/>
    </row>
    <row r="4121" spans="1:1">
      <c r="A4121" s="7"/>
    </row>
    <row r="4122" spans="1:1">
      <c r="A4122" s="7"/>
    </row>
    <row r="4123" spans="1:1">
      <c r="A4123" s="7"/>
    </row>
    <row r="4124" spans="1:1">
      <c r="A4124" s="7"/>
    </row>
    <row r="4125" spans="1:1">
      <c r="A4125" s="7"/>
    </row>
    <row r="4126" spans="1:1">
      <c r="A4126" s="7"/>
    </row>
    <row r="4127" spans="1:1">
      <c r="A4127" s="7"/>
    </row>
    <row r="4128" spans="1:1">
      <c r="A4128" s="7"/>
    </row>
    <row r="4129" spans="1:1">
      <c r="A4129" s="7"/>
    </row>
    <row r="4130" spans="1:1">
      <c r="A4130" s="7"/>
    </row>
    <row r="4131" spans="1:1">
      <c r="A4131" s="7"/>
    </row>
    <row r="4132" spans="1:1">
      <c r="A4132" s="7"/>
    </row>
    <row r="4133" spans="1:1">
      <c r="A4133" s="7"/>
    </row>
    <row r="4134" spans="1:1">
      <c r="A4134" s="7"/>
    </row>
    <row r="4135" spans="1:1">
      <c r="A4135" s="7"/>
    </row>
    <row r="4136" spans="1:1">
      <c r="A4136" s="7"/>
    </row>
    <row r="4137" spans="1:1">
      <c r="A4137" s="7"/>
    </row>
    <row r="4138" spans="1:1">
      <c r="A4138" s="7"/>
    </row>
    <row r="4139" spans="1:1">
      <c r="A4139" s="7"/>
    </row>
    <row r="4140" spans="1:1">
      <c r="A4140" s="7"/>
    </row>
    <row r="4141" spans="1:1">
      <c r="A4141" s="7"/>
    </row>
    <row r="4142" spans="1:1">
      <c r="A4142" s="7"/>
    </row>
    <row r="4143" spans="1:1">
      <c r="A4143" s="7"/>
    </row>
    <row r="4144" spans="1:1">
      <c r="A4144" s="7"/>
    </row>
    <row r="4145" spans="1:1">
      <c r="A4145" s="7"/>
    </row>
    <row r="4146" spans="1:1">
      <c r="A4146" s="7"/>
    </row>
    <row r="4147" spans="1:1">
      <c r="A4147" s="7"/>
    </row>
    <row r="4148" spans="1:1">
      <c r="A4148" s="7"/>
    </row>
    <row r="4149" spans="1:1">
      <c r="A4149" s="7"/>
    </row>
    <row r="4150" spans="1:1">
      <c r="A4150" s="7"/>
    </row>
    <row r="4151" spans="1:1">
      <c r="A4151" s="7"/>
    </row>
    <row r="4152" spans="1:1">
      <c r="A4152" s="7"/>
    </row>
    <row r="4153" spans="1:1">
      <c r="A4153" s="7"/>
    </row>
    <row r="4154" spans="1:1">
      <c r="A4154" s="7"/>
    </row>
    <row r="4155" spans="1:1">
      <c r="A4155" s="7"/>
    </row>
    <row r="4156" spans="1:1">
      <c r="A4156" s="7"/>
    </row>
    <row r="4157" spans="1:1">
      <c r="A4157" s="7"/>
    </row>
    <row r="4158" spans="1:1">
      <c r="A4158" s="7"/>
    </row>
    <row r="4159" spans="1:1">
      <c r="A4159" s="7"/>
    </row>
    <row r="4160" spans="1:1">
      <c r="A4160" s="7"/>
    </row>
    <row r="4161" spans="1:1">
      <c r="A4161" s="7"/>
    </row>
    <row r="4162" spans="1:1">
      <c r="A4162" s="7"/>
    </row>
    <row r="4163" spans="1:1">
      <c r="A4163" s="7"/>
    </row>
    <row r="4164" spans="1:1">
      <c r="A4164" s="7"/>
    </row>
    <row r="4165" spans="1:1">
      <c r="A4165" s="7"/>
    </row>
    <row r="4166" spans="1:1">
      <c r="A4166" s="7"/>
    </row>
    <row r="4167" spans="1:1">
      <c r="A4167" s="7"/>
    </row>
    <row r="4168" spans="1:1">
      <c r="A4168" s="7"/>
    </row>
    <row r="4169" spans="1:1">
      <c r="A4169" s="7"/>
    </row>
    <row r="4170" spans="1:1">
      <c r="A4170" s="7"/>
    </row>
    <row r="4171" spans="1:1">
      <c r="A4171" s="7"/>
    </row>
    <row r="4172" spans="1:1">
      <c r="A4172" s="7"/>
    </row>
    <row r="4173" spans="1:1">
      <c r="A4173" s="7"/>
    </row>
    <row r="4174" spans="1:1">
      <c r="A4174" s="7"/>
    </row>
    <row r="4175" spans="1:1">
      <c r="A4175" s="7"/>
    </row>
    <row r="4176" spans="1:1">
      <c r="A4176" s="7"/>
    </row>
    <row r="4177" spans="1:1">
      <c r="A4177" s="7"/>
    </row>
    <row r="4178" spans="1:1">
      <c r="A4178" s="7"/>
    </row>
    <row r="4179" spans="1:1">
      <c r="A4179" s="7"/>
    </row>
    <row r="4180" spans="1:1">
      <c r="A4180" s="7"/>
    </row>
    <row r="4181" spans="1:1">
      <c r="A4181" s="7"/>
    </row>
    <row r="4182" spans="1:1">
      <c r="A4182" s="7"/>
    </row>
    <row r="4183" spans="1:1">
      <c r="A4183" s="7"/>
    </row>
    <row r="4184" spans="1:1">
      <c r="A4184" s="7"/>
    </row>
    <row r="4185" spans="1:1">
      <c r="A4185" s="7"/>
    </row>
    <row r="4186" spans="1:1">
      <c r="A4186" s="7"/>
    </row>
    <row r="4187" spans="1:1">
      <c r="A4187" s="7"/>
    </row>
    <row r="4188" spans="1:1">
      <c r="A4188" s="7"/>
    </row>
    <row r="4189" spans="1:1">
      <c r="A4189" s="7"/>
    </row>
    <row r="4190" spans="1:1">
      <c r="A4190" s="7"/>
    </row>
    <row r="4191" spans="1:1">
      <c r="A4191" s="7"/>
    </row>
    <row r="4192" spans="1:1">
      <c r="A4192" s="7"/>
    </row>
    <row r="4193" spans="1:1">
      <c r="A4193" s="7"/>
    </row>
    <row r="4194" spans="1:1">
      <c r="A4194" s="7"/>
    </row>
    <row r="4195" spans="1:1">
      <c r="A4195" s="7"/>
    </row>
    <row r="4196" spans="1:1">
      <c r="A4196" s="7"/>
    </row>
    <row r="4197" spans="1:1">
      <c r="A4197" s="7"/>
    </row>
    <row r="4198" spans="1:1">
      <c r="A4198" s="7"/>
    </row>
    <row r="4199" spans="1:1">
      <c r="A4199" s="7"/>
    </row>
    <row r="4200" spans="1:1">
      <c r="A4200" s="7"/>
    </row>
    <row r="4201" spans="1:1">
      <c r="A4201" s="7"/>
    </row>
    <row r="4202" spans="1:1">
      <c r="A4202" s="7"/>
    </row>
    <row r="4203" spans="1:1">
      <c r="A4203" s="7"/>
    </row>
    <row r="4204" spans="1:1">
      <c r="A4204" s="7"/>
    </row>
    <row r="4205" spans="1:1">
      <c r="A4205" s="7"/>
    </row>
    <row r="4206" spans="1:1">
      <c r="A4206" s="7"/>
    </row>
    <row r="4207" spans="1:1">
      <c r="A4207" s="7"/>
    </row>
    <row r="4208" spans="1:1">
      <c r="A4208" s="7"/>
    </row>
    <row r="4209" spans="1:1">
      <c r="A4209" s="7"/>
    </row>
    <row r="4210" spans="1:1">
      <c r="A4210" s="7"/>
    </row>
    <row r="4211" spans="1:1">
      <c r="A4211" s="7"/>
    </row>
    <row r="4212" spans="1:1">
      <c r="A4212" s="7"/>
    </row>
    <row r="4213" spans="1:1">
      <c r="A4213" s="7"/>
    </row>
    <row r="4214" spans="1:1">
      <c r="A4214" s="7"/>
    </row>
    <row r="4215" spans="1:1">
      <c r="A4215" s="7"/>
    </row>
    <row r="4216" spans="1:1">
      <c r="A4216" s="7"/>
    </row>
    <row r="4217" spans="1:1">
      <c r="A4217" s="7"/>
    </row>
    <row r="4218" spans="1:1">
      <c r="A4218" s="7"/>
    </row>
    <row r="4219" spans="1:1">
      <c r="A4219" s="7"/>
    </row>
    <row r="4220" spans="1:1">
      <c r="A4220" s="7"/>
    </row>
    <row r="4221" spans="1:1">
      <c r="A4221" s="7"/>
    </row>
    <row r="4222" spans="1:1">
      <c r="A4222" s="7"/>
    </row>
    <row r="4223" spans="1:1">
      <c r="A4223" s="7"/>
    </row>
    <row r="4224" spans="1:1">
      <c r="A4224" s="7"/>
    </row>
    <row r="4225" spans="1:1">
      <c r="A4225" s="7"/>
    </row>
    <row r="4226" spans="1:1">
      <c r="A4226" s="7"/>
    </row>
    <row r="4227" spans="1:1">
      <c r="A4227" s="7"/>
    </row>
    <row r="4228" spans="1:1">
      <c r="A4228" s="7"/>
    </row>
    <row r="4229" spans="1:1">
      <c r="A4229" s="7"/>
    </row>
    <row r="4230" spans="1:1">
      <c r="A4230" s="7"/>
    </row>
    <row r="4231" spans="1:1">
      <c r="A4231" s="7"/>
    </row>
    <row r="4232" spans="1:1">
      <c r="A4232" s="7"/>
    </row>
    <row r="4233" spans="1:1">
      <c r="A4233" s="7"/>
    </row>
    <row r="4234" spans="1:1">
      <c r="A4234" s="7"/>
    </row>
    <row r="4235" spans="1:1">
      <c r="A4235" s="7"/>
    </row>
    <row r="4236" spans="1:1">
      <c r="A4236" s="7"/>
    </row>
    <row r="4237" spans="1:1">
      <c r="A4237" s="7"/>
    </row>
    <row r="4238" spans="1:1">
      <c r="A4238" s="7"/>
    </row>
    <row r="4239" spans="1:1">
      <c r="A4239" s="7"/>
    </row>
    <row r="4240" spans="1:1">
      <c r="A4240" s="7"/>
    </row>
    <row r="4241" spans="1:1">
      <c r="A4241" s="7"/>
    </row>
    <row r="4242" spans="1:1">
      <c r="A4242" s="7"/>
    </row>
    <row r="4243" spans="1:1">
      <c r="A4243" s="7"/>
    </row>
    <row r="4244" spans="1:1">
      <c r="A4244" s="7"/>
    </row>
    <row r="4245" spans="1:1">
      <c r="A4245" s="7"/>
    </row>
    <row r="4246" spans="1:1">
      <c r="A4246" s="7"/>
    </row>
    <row r="4247" spans="1:1">
      <c r="A4247" s="7"/>
    </row>
    <row r="4248" spans="1:1">
      <c r="A4248" s="7"/>
    </row>
    <row r="4249" spans="1:1">
      <c r="A4249" s="7"/>
    </row>
    <row r="4250" spans="1:1">
      <c r="A4250" s="7"/>
    </row>
    <row r="4251" spans="1:1">
      <c r="A4251" s="7"/>
    </row>
    <row r="4252" spans="1:1">
      <c r="A4252" s="7"/>
    </row>
    <row r="4253" spans="1:1">
      <c r="A4253" s="7"/>
    </row>
    <row r="4254" spans="1:1">
      <c r="A4254" s="7"/>
    </row>
    <row r="4255" spans="1:1">
      <c r="A4255" s="7"/>
    </row>
    <row r="4256" spans="1:1">
      <c r="A4256" s="7"/>
    </row>
    <row r="4257" spans="1:1">
      <c r="A4257" s="7"/>
    </row>
    <row r="4258" spans="1:1">
      <c r="A4258" s="7"/>
    </row>
    <row r="4259" spans="1:1">
      <c r="A4259" s="7"/>
    </row>
    <row r="4260" spans="1:1">
      <c r="A4260" s="7"/>
    </row>
    <row r="4261" spans="1:1">
      <c r="A4261" s="7"/>
    </row>
    <row r="4262" spans="1:1">
      <c r="A4262" s="7"/>
    </row>
    <row r="4263" spans="1:1">
      <c r="A4263" s="7"/>
    </row>
    <row r="4264" spans="1:1">
      <c r="A4264" s="7"/>
    </row>
    <row r="4265" spans="1:1">
      <c r="A4265" s="7"/>
    </row>
    <row r="4266" spans="1:1">
      <c r="A4266" s="7"/>
    </row>
    <row r="4267" spans="1:1">
      <c r="A4267" s="7"/>
    </row>
    <row r="4268" spans="1:1">
      <c r="A4268" s="7"/>
    </row>
    <row r="4269" spans="1:1">
      <c r="A4269" s="7"/>
    </row>
    <row r="4270" spans="1:1">
      <c r="A4270" s="7"/>
    </row>
    <row r="4271" spans="1:1">
      <c r="A4271" s="7"/>
    </row>
    <row r="4272" spans="1:1">
      <c r="A4272" s="7"/>
    </row>
    <row r="4273" spans="1:1">
      <c r="A4273" s="7"/>
    </row>
    <row r="4274" spans="1:1">
      <c r="A4274" s="7"/>
    </row>
    <row r="4275" spans="1:1">
      <c r="A4275" s="7"/>
    </row>
    <row r="4276" spans="1:1">
      <c r="A4276" s="7"/>
    </row>
    <row r="4277" spans="1:1">
      <c r="A4277" s="7"/>
    </row>
    <row r="4278" spans="1:1">
      <c r="A4278" s="7"/>
    </row>
    <row r="4279" spans="1:1">
      <c r="A4279" s="7"/>
    </row>
    <row r="4280" spans="1:1">
      <c r="A4280" s="7"/>
    </row>
    <row r="4281" spans="1:1">
      <c r="A4281" s="7"/>
    </row>
    <row r="4282" spans="1:1">
      <c r="A4282" s="7"/>
    </row>
    <row r="4283" spans="1:1">
      <c r="A4283" s="7"/>
    </row>
    <row r="4284" spans="1:1">
      <c r="A4284" s="7"/>
    </row>
    <row r="4285" spans="1:1">
      <c r="A4285" s="7"/>
    </row>
    <row r="4286" spans="1:1">
      <c r="A4286" s="7"/>
    </row>
    <row r="4287" spans="1:1">
      <c r="A4287" s="7"/>
    </row>
    <row r="4288" spans="1:1">
      <c r="A4288" s="7"/>
    </row>
    <row r="4289" spans="1:1">
      <c r="A4289" s="7"/>
    </row>
    <row r="4290" spans="1:1">
      <c r="A4290" s="7"/>
    </row>
    <row r="4291" spans="1:1">
      <c r="A4291" s="7"/>
    </row>
    <row r="4292" spans="1:1">
      <c r="A4292" s="7"/>
    </row>
    <row r="4293" spans="1:1">
      <c r="A4293" s="7"/>
    </row>
    <row r="4294" spans="1:1">
      <c r="A4294" s="7"/>
    </row>
    <row r="4295" spans="1:1">
      <c r="A4295" s="7"/>
    </row>
    <row r="4296" spans="1:1">
      <c r="A4296" s="7"/>
    </row>
    <row r="4297" spans="1:1">
      <c r="A4297" s="7"/>
    </row>
    <row r="4298" spans="1:1">
      <c r="A4298" s="7"/>
    </row>
    <row r="4299" spans="1:1">
      <c r="A4299" s="7"/>
    </row>
    <row r="4300" spans="1:1">
      <c r="A4300" s="7"/>
    </row>
    <row r="4301" spans="1:1">
      <c r="A4301" s="7"/>
    </row>
    <row r="4302" spans="1:1">
      <c r="A4302" s="7"/>
    </row>
    <row r="4303" spans="1:1">
      <c r="A4303" s="7"/>
    </row>
    <row r="4304" spans="1:1">
      <c r="A4304" s="7"/>
    </row>
    <row r="4305" spans="1:1">
      <c r="A4305" s="7"/>
    </row>
    <row r="4306" spans="1:1">
      <c r="A4306" s="7"/>
    </row>
    <row r="4307" spans="1:1">
      <c r="A4307" s="7"/>
    </row>
    <row r="4308" spans="1:1">
      <c r="A4308" s="7"/>
    </row>
    <row r="4309" spans="1:1">
      <c r="A4309" s="7"/>
    </row>
    <row r="4310" spans="1:1">
      <c r="A4310" s="7"/>
    </row>
    <row r="4311" spans="1:1">
      <c r="A4311" s="7"/>
    </row>
    <row r="4312" spans="1:1">
      <c r="A4312" s="7"/>
    </row>
    <row r="4313" spans="1:1">
      <c r="A4313" s="7"/>
    </row>
    <row r="4314" spans="1:1">
      <c r="A4314" s="7"/>
    </row>
    <row r="4315" spans="1:1">
      <c r="A4315" s="7"/>
    </row>
    <row r="4316" spans="1:1">
      <c r="A4316" s="7"/>
    </row>
    <row r="4317" spans="1:1">
      <c r="A4317" s="7"/>
    </row>
    <row r="4318" spans="1:1">
      <c r="A4318" s="7"/>
    </row>
    <row r="4319" spans="1:1">
      <c r="A4319" s="7"/>
    </row>
    <row r="4320" spans="1:1">
      <c r="A4320" s="7"/>
    </row>
    <row r="4321" spans="1:1">
      <c r="A4321" s="7"/>
    </row>
    <row r="4322" spans="1:1">
      <c r="A4322" s="7"/>
    </row>
    <row r="4323" spans="1:1">
      <c r="A4323" s="7"/>
    </row>
    <row r="4324" spans="1:1">
      <c r="A4324" s="7"/>
    </row>
    <row r="4325" spans="1:1">
      <c r="A4325" s="7"/>
    </row>
    <row r="4326" spans="1:1">
      <c r="A4326" s="7"/>
    </row>
    <row r="4327" spans="1:1">
      <c r="A4327" s="7"/>
    </row>
    <row r="4328" spans="1:1">
      <c r="A4328" s="7"/>
    </row>
    <row r="4329" spans="1:1">
      <c r="A4329" s="7"/>
    </row>
    <row r="4330" spans="1:1">
      <c r="A4330" s="7"/>
    </row>
    <row r="4331" spans="1:1">
      <c r="A4331" s="7"/>
    </row>
    <row r="4332" spans="1:1">
      <c r="A4332" s="7"/>
    </row>
    <row r="4333" spans="1:1">
      <c r="A4333" s="7"/>
    </row>
    <row r="4334" spans="1:1">
      <c r="A4334" s="7"/>
    </row>
    <row r="4335" spans="1:1">
      <c r="A4335" s="7"/>
    </row>
    <row r="4336" spans="1:1">
      <c r="A4336" s="7"/>
    </row>
    <row r="4337" spans="1:1">
      <c r="A4337" s="7"/>
    </row>
    <row r="4338" spans="1:1">
      <c r="A4338" s="7"/>
    </row>
    <row r="4339" spans="1:1">
      <c r="A4339" s="7"/>
    </row>
    <row r="4340" spans="1:1">
      <c r="A4340" s="7"/>
    </row>
    <row r="4341" spans="1:1">
      <c r="A4341" s="7"/>
    </row>
    <row r="4342" spans="1:1">
      <c r="A4342" s="7"/>
    </row>
    <row r="4343" spans="1:1">
      <c r="A4343" s="7"/>
    </row>
    <row r="4344" spans="1:1">
      <c r="A4344" s="7"/>
    </row>
    <row r="4345" spans="1:1">
      <c r="A4345" s="7"/>
    </row>
    <row r="4346" spans="1:1">
      <c r="A4346" s="7"/>
    </row>
    <row r="4347" spans="1:1">
      <c r="A4347" s="7"/>
    </row>
    <row r="4348" spans="1:1">
      <c r="A4348" s="7"/>
    </row>
    <row r="4349" spans="1:1">
      <c r="A4349" s="7"/>
    </row>
    <row r="4350" spans="1:1">
      <c r="A4350" s="7"/>
    </row>
    <row r="4351" spans="1:1">
      <c r="A4351" s="7"/>
    </row>
    <row r="4352" spans="1:1">
      <c r="A4352" s="7"/>
    </row>
    <row r="4353" spans="1:1">
      <c r="A4353" s="7"/>
    </row>
    <row r="4354" spans="1:1">
      <c r="A4354" s="7"/>
    </row>
    <row r="4355" spans="1:1">
      <c r="A4355" s="7"/>
    </row>
    <row r="4356" spans="1:1">
      <c r="A4356" s="7"/>
    </row>
    <row r="4357" spans="1:1">
      <c r="A4357" s="7"/>
    </row>
    <row r="4358" spans="1:1">
      <c r="A4358" s="7"/>
    </row>
    <row r="4359" spans="1:1">
      <c r="A4359" s="7"/>
    </row>
    <row r="4360" spans="1:1">
      <c r="A4360" s="7"/>
    </row>
    <row r="4361" spans="1:1">
      <c r="A4361" s="7"/>
    </row>
    <row r="4362" spans="1:1">
      <c r="A4362" s="7"/>
    </row>
    <row r="4363" spans="1:1">
      <c r="A4363" s="7"/>
    </row>
    <row r="4364" spans="1:1">
      <c r="A4364" s="7"/>
    </row>
    <row r="4365" spans="1:1">
      <c r="A4365" s="7"/>
    </row>
    <row r="4366" spans="1:1">
      <c r="A4366" s="7"/>
    </row>
    <row r="4367" spans="1:1">
      <c r="A4367" s="7"/>
    </row>
    <row r="4368" spans="1:1">
      <c r="A4368" s="7"/>
    </row>
    <row r="4369" spans="1:1">
      <c r="A4369" s="7"/>
    </row>
    <row r="4370" spans="1:1">
      <c r="A4370" s="7"/>
    </row>
    <row r="4371" spans="1:1">
      <c r="A4371" s="7"/>
    </row>
    <row r="4372" spans="1:1">
      <c r="A4372" s="7"/>
    </row>
    <row r="4373" spans="1:1">
      <c r="A4373" s="7"/>
    </row>
    <row r="4374" spans="1:1">
      <c r="A4374" s="7"/>
    </row>
    <row r="4375" spans="1:1">
      <c r="A4375" s="7"/>
    </row>
    <row r="4376" spans="1:1">
      <c r="A4376" s="7"/>
    </row>
    <row r="4377" spans="1:1">
      <c r="A4377" s="7"/>
    </row>
    <row r="4378" spans="1:1">
      <c r="A4378" s="7"/>
    </row>
    <row r="4379" spans="1:1">
      <c r="A4379" s="7"/>
    </row>
    <row r="4380" spans="1:1">
      <c r="A4380" s="7"/>
    </row>
    <row r="4381" spans="1:1">
      <c r="A4381" s="7"/>
    </row>
    <row r="4382" spans="1:1">
      <c r="A4382" s="7"/>
    </row>
    <row r="4383" spans="1:1">
      <c r="A4383" s="7"/>
    </row>
    <row r="4384" spans="1:1">
      <c r="A4384" s="7"/>
    </row>
    <row r="4385" spans="1:1">
      <c r="A4385" s="7"/>
    </row>
    <row r="4386" spans="1:1">
      <c r="A4386" s="7"/>
    </row>
    <row r="4387" spans="1:1">
      <c r="A4387" s="7"/>
    </row>
    <row r="4388" spans="1:1">
      <c r="A4388" s="7"/>
    </row>
    <row r="4389" spans="1:1">
      <c r="A4389" s="7"/>
    </row>
    <row r="4390" spans="1:1">
      <c r="A4390" s="7"/>
    </row>
    <row r="4391" spans="1:1">
      <c r="A4391" s="7"/>
    </row>
    <row r="4392" spans="1:1">
      <c r="A4392" s="7"/>
    </row>
    <row r="4393" spans="1:1">
      <c r="A4393" s="7"/>
    </row>
    <row r="4394" spans="1:1">
      <c r="A4394" s="7"/>
    </row>
    <row r="4395" spans="1:1">
      <c r="A4395" s="7"/>
    </row>
    <row r="4396" spans="1:1">
      <c r="A4396" s="7"/>
    </row>
    <row r="4397" spans="1:1">
      <c r="A4397" s="7"/>
    </row>
    <row r="4398" spans="1:1">
      <c r="A4398" s="7"/>
    </row>
    <row r="4399" spans="1:1">
      <c r="A4399" s="7"/>
    </row>
    <row r="4400" spans="1:1">
      <c r="A4400" s="7"/>
    </row>
    <row r="4401" spans="1:1">
      <c r="A4401" s="7"/>
    </row>
    <row r="4402" spans="1:1">
      <c r="A4402" s="7"/>
    </row>
    <row r="4403" spans="1:1">
      <c r="A4403" s="7"/>
    </row>
    <row r="4404" spans="1:1">
      <c r="A4404" s="7"/>
    </row>
    <row r="4405" spans="1:1">
      <c r="A4405" s="7"/>
    </row>
    <row r="4406" spans="1:1">
      <c r="A4406" s="7"/>
    </row>
    <row r="4407" spans="1:1">
      <c r="A4407" s="7"/>
    </row>
    <row r="4408" spans="1:1">
      <c r="A4408" s="7"/>
    </row>
    <row r="4409" spans="1:1">
      <c r="A4409" s="7"/>
    </row>
    <row r="4410" spans="1:1">
      <c r="A4410" s="7"/>
    </row>
    <row r="4411" spans="1:1">
      <c r="A4411" s="7"/>
    </row>
    <row r="4412" spans="1:1">
      <c r="A4412" s="7"/>
    </row>
    <row r="4413" spans="1:1">
      <c r="A4413" s="7"/>
    </row>
    <row r="4414" spans="1:1">
      <c r="A4414" s="7"/>
    </row>
    <row r="4415" spans="1:1">
      <c r="A4415" s="7"/>
    </row>
    <row r="4416" spans="1:1">
      <c r="A4416" s="7"/>
    </row>
    <row r="4417" spans="1:1">
      <c r="A4417" s="7"/>
    </row>
    <row r="4418" spans="1:1">
      <c r="A4418" s="7"/>
    </row>
    <row r="4419" spans="1:1">
      <c r="A4419" s="7"/>
    </row>
    <row r="4420" spans="1:1">
      <c r="A4420" s="7"/>
    </row>
    <row r="4421" spans="1:1">
      <c r="A4421" s="7"/>
    </row>
    <row r="4422" spans="1:1">
      <c r="A4422" s="7"/>
    </row>
    <row r="4423" spans="1:1">
      <c r="A4423" s="7"/>
    </row>
    <row r="4424" spans="1:1">
      <c r="A4424" s="7"/>
    </row>
    <row r="4425" spans="1:1">
      <c r="A4425" s="7"/>
    </row>
    <row r="4426" spans="1:1">
      <c r="A4426" s="7"/>
    </row>
    <row r="4427" spans="1:1">
      <c r="A4427" s="7"/>
    </row>
    <row r="4428" spans="1:1">
      <c r="A4428" s="7"/>
    </row>
    <row r="4429" spans="1:1">
      <c r="A4429" s="7"/>
    </row>
    <row r="4430" spans="1:1">
      <c r="A4430" s="7"/>
    </row>
    <row r="4431" spans="1:1">
      <c r="A4431" s="7"/>
    </row>
    <row r="4432" spans="1:1">
      <c r="A4432" s="7"/>
    </row>
    <row r="4433" spans="1:1">
      <c r="A4433" s="7"/>
    </row>
    <row r="4434" spans="1:1">
      <c r="A4434" s="7"/>
    </row>
    <row r="4435" spans="1:1">
      <c r="A4435" s="7"/>
    </row>
    <row r="4436" spans="1:1">
      <c r="A4436" s="7"/>
    </row>
    <row r="4437" spans="1:1">
      <c r="A4437" s="7"/>
    </row>
    <row r="4438" spans="1:1">
      <c r="A4438" s="7"/>
    </row>
    <row r="4439" spans="1:1">
      <c r="A4439" s="7"/>
    </row>
    <row r="4440" spans="1:1">
      <c r="A4440" s="7"/>
    </row>
    <row r="4441" spans="1:1">
      <c r="A4441" s="7"/>
    </row>
    <row r="4442" spans="1:1">
      <c r="A4442" s="7"/>
    </row>
    <row r="4443" spans="1:1">
      <c r="A4443" s="7"/>
    </row>
    <row r="4444" spans="1:1">
      <c r="A4444" s="7"/>
    </row>
    <row r="4445" spans="1:1">
      <c r="A4445" s="7"/>
    </row>
    <row r="4446" spans="1:1">
      <c r="A4446" s="7"/>
    </row>
    <row r="4447" spans="1:1">
      <c r="A4447" s="7"/>
    </row>
    <row r="4448" spans="1:1">
      <c r="A4448" s="7"/>
    </row>
    <row r="4449" spans="1:1">
      <c r="A4449" s="7"/>
    </row>
    <row r="4450" spans="1:1">
      <c r="A4450" s="7"/>
    </row>
    <row r="4451" spans="1:1">
      <c r="A4451" s="7"/>
    </row>
    <row r="4452" spans="1:1">
      <c r="A4452" s="7"/>
    </row>
    <row r="4453" spans="1:1">
      <c r="A4453" s="7"/>
    </row>
    <row r="4454" spans="1:1">
      <c r="A4454" s="7"/>
    </row>
    <row r="4455" spans="1:1">
      <c r="A4455" s="7"/>
    </row>
    <row r="4456" spans="1:1">
      <c r="A4456" s="7"/>
    </row>
    <row r="4457" spans="1:1">
      <c r="A4457" s="7"/>
    </row>
    <row r="4458" spans="1:1">
      <c r="A4458" s="7"/>
    </row>
    <row r="4459" spans="1:1">
      <c r="A4459" s="7"/>
    </row>
    <row r="4460" spans="1:1">
      <c r="A4460" s="7"/>
    </row>
    <row r="4461" spans="1:1">
      <c r="A4461" s="7"/>
    </row>
    <row r="4462" spans="1:1">
      <c r="A4462" s="7"/>
    </row>
    <row r="4463" spans="1:1">
      <c r="A4463" s="7"/>
    </row>
    <row r="4464" spans="1:1">
      <c r="A4464" s="7"/>
    </row>
    <row r="4465" spans="1:1">
      <c r="A4465" s="7"/>
    </row>
    <row r="4466" spans="1:1">
      <c r="A4466" s="7"/>
    </row>
    <row r="4467" spans="1:1">
      <c r="A4467" s="7"/>
    </row>
    <row r="4468" spans="1:1">
      <c r="A4468" s="7"/>
    </row>
    <row r="4469" spans="1:1">
      <c r="A4469" s="7"/>
    </row>
    <row r="4470" spans="1:1">
      <c r="A4470" s="7"/>
    </row>
    <row r="4471" spans="1:1">
      <c r="A4471" s="7"/>
    </row>
    <row r="4472" spans="1:1">
      <c r="A4472" s="7"/>
    </row>
    <row r="4473" spans="1:1">
      <c r="A4473" s="7"/>
    </row>
    <row r="4474" spans="1:1">
      <c r="A4474" s="7"/>
    </row>
    <row r="4475" spans="1:1">
      <c r="A4475" s="7"/>
    </row>
    <row r="4476" spans="1:1">
      <c r="A4476" s="7"/>
    </row>
    <row r="4477" spans="1:1">
      <c r="A4477" s="7"/>
    </row>
    <row r="4478" spans="1:1">
      <c r="A4478" s="7"/>
    </row>
    <row r="4479" spans="1:1">
      <c r="A4479" s="7"/>
    </row>
    <row r="4480" spans="1:1">
      <c r="A4480" s="7"/>
    </row>
    <row r="4481" spans="1:1">
      <c r="A4481" s="7"/>
    </row>
    <row r="4482" spans="1:1">
      <c r="A4482" s="7"/>
    </row>
    <row r="4483" spans="1:1">
      <c r="A4483" s="7"/>
    </row>
    <row r="4484" spans="1:1">
      <c r="A4484" s="7"/>
    </row>
    <row r="4485" spans="1:1">
      <c r="A4485" s="7"/>
    </row>
    <row r="4486" spans="1:1">
      <c r="A4486" s="7"/>
    </row>
    <row r="4487" spans="1:1">
      <c r="A4487" s="7"/>
    </row>
    <row r="4488" spans="1:1">
      <c r="A4488" s="7"/>
    </row>
    <row r="4489" spans="1:1">
      <c r="A4489" s="7"/>
    </row>
    <row r="4490" spans="1:1">
      <c r="A4490" s="7"/>
    </row>
    <row r="4491" spans="1:1">
      <c r="A4491" s="7"/>
    </row>
    <row r="4492" spans="1:1">
      <c r="A4492" s="7"/>
    </row>
    <row r="4493" spans="1:1">
      <c r="A4493" s="7"/>
    </row>
    <row r="4494" spans="1:1">
      <c r="A4494" s="7"/>
    </row>
    <row r="4495" spans="1:1">
      <c r="A4495" s="7"/>
    </row>
    <row r="4496" spans="1:1">
      <c r="A4496" s="7"/>
    </row>
    <row r="4497" spans="1:1">
      <c r="A4497" s="7"/>
    </row>
    <row r="4498" spans="1:1">
      <c r="A4498" s="7"/>
    </row>
    <row r="4499" spans="1:1">
      <c r="A4499" s="7"/>
    </row>
    <row r="4500" spans="1:1">
      <c r="A4500" s="7"/>
    </row>
    <row r="4501" spans="1:1">
      <c r="A4501" s="7"/>
    </row>
    <row r="4502" spans="1:1">
      <c r="A4502" s="7"/>
    </row>
    <row r="4503" spans="1:1">
      <c r="A4503" s="7"/>
    </row>
    <row r="4504" spans="1:1">
      <c r="A4504" s="7"/>
    </row>
    <row r="4505" spans="1:1">
      <c r="A4505" s="7"/>
    </row>
    <row r="4506" spans="1:1">
      <c r="A4506" s="7"/>
    </row>
    <row r="4507" spans="1:1">
      <c r="A4507" s="7"/>
    </row>
    <row r="4508" spans="1:1">
      <c r="A4508" s="7"/>
    </row>
    <row r="4509" spans="1:1">
      <c r="A4509" s="7"/>
    </row>
    <row r="4510" spans="1:1">
      <c r="A4510" s="7"/>
    </row>
    <row r="4511" spans="1:1">
      <c r="A4511" s="7"/>
    </row>
    <row r="4512" spans="1:1">
      <c r="A4512" s="7"/>
    </row>
    <row r="4513" spans="1:1">
      <c r="A4513" s="7"/>
    </row>
    <row r="4514" spans="1:1">
      <c r="A4514" s="7"/>
    </row>
    <row r="4515" spans="1:1">
      <c r="A4515" s="7"/>
    </row>
    <row r="4516" spans="1:1">
      <c r="A4516" s="7"/>
    </row>
    <row r="4517" spans="1:1">
      <c r="A4517" s="7"/>
    </row>
    <row r="4518" spans="1:1">
      <c r="A4518" s="7"/>
    </row>
    <row r="4519" spans="1:1">
      <c r="A4519" s="7"/>
    </row>
    <row r="4520" spans="1:1">
      <c r="A4520" s="7"/>
    </row>
    <row r="4521" spans="1:1">
      <c r="A4521" s="7"/>
    </row>
    <row r="4522" spans="1:1">
      <c r="A4522" s="7"/>
    </row>
    <row r="4523" spans="1:1">
      <c r="A4523" s="7"/>
    </row>
    <row r="4524" spans="1:1">
      <c r="A4524" s="7"/>
    </row>
    <row r="4525" spans="1:1">
      <c r="A4525" s="7"/>
    </row>
    <row r="4526" spans="1:1">
      <c r="A4526" s="7"/>
    </row>
    <row r="4527" spans="1:1">
      <c r="A4527" s="7"/>
    </row>
    <row r="4528" spans="1:1">
      <c r="A4528" s="7"/>
    </row>
    <row r="4529" spans="1:1">
      <c r="A4529" s="7"/>
    </row>
    <row r="4530" spans="1:1">
      <c r="A4530" s="7"/>
    </row>
    <row r="4531" spans="1:1">
      <c r="A4531" s="7"/>
    </row>
    <row r="4532" spans="1:1">
      <c r="A4532" s="7"/>
    </row>
    <row r="4533" spans="1:1">
      <c r="A4533" s="7"/>
    </row>
    <row r="4534" spans="1:1">
      <c r="A4534" s="7"/>
    </row>
    <row r="4535" spans="1:1">
      <c r="A4535" s="7"/>
    </row>
    <row r="4536" spans="1:1">
      <c r="A4536" s="7"/>
    </row>
    <row r="4537" spans="1:1">
      <c r="A4537" s="7"/>
    </row>
    <row r="4538" spans="1:1">
      <c r="A4538" s="7"/>
    </row>
    <row r="4539" spans="1:1">
      <c r="A4539" s="7"/>
    </row>
    <row r="4540" spans="1:1">
      <c r="A4540" s="7"/>
    </row>
    <row r="4541" spans="1:1">
      <c r="A4541" s="7"/>
    </row>
    <row r="4542" spans="1:1">
      <c r="A4542" s="7"/>
    </row>
    <row r="4543" spans="1:1">
      <c r="A4543" s="7"/>
    </row>
    <row r="4544" spans="1:1">
      <c r="A4544" s="7"/>
    </row>
    <row r="4545" spans="1:1">
      <c r="A4545" s="7"/>
    </row>
    <row r="4546" spans="1:1">
      <c r="A4546" s="7"/>
    </row>
    <row r="4547" spans="1:1">
      <c r="A4547" s="7"/>
    </row>
    <row r="4548" spans="1:1">
      <c r="A4548" s="7"/>
    </row>
    <row r="4549" spans="1:1">
      <c r="A4549" s="7"/>
    </row>
    <row r="4550" spans="1:1">
      <c r="A4550" s="7"/>
    </row>
    <row r="4551" spans="1:1">
      <c r="A4551" s="7"/>
    </row>
    <row r="4552" spans="1:1">
      <c r="A4552" s="7"/>
    </row>
    <row r="4553" spans="1:1">
      <c r="A4553" s="7"/>
    </row>
    <row r="4554" spans="1:1">
      <c r="A4554" s="7"/>
    </row>
    <row r="4555" spans="1:1">
      <c r="A4555" s="7"/>
    </row>
    <row r="4556" spans="1:1">
      <c r="A4556" s="7"/>
    </row>
    <row r="4557" spans="1:1">
      <c r="A4557" s="7"/>
    </row>
    <row r="4558" spans="1:1">
      <c r="A4558" s="7"/>
    </row>
    <row r="4559" spans="1:1">
      <c r="A4559" s="7"/>
    </row>
    <row r="4560" spans="1:1">
      <c r="A4560" s="7"/>
    </row>
    <row r="4561" spans="1:1">
      <c r="A4561" s="7"/>
    </row>
    <row r="4562" spans="1:1">
      <c r="A4562" s="7"/>
    </row>
    <row r="4563" spans="1:1">
      <c r="A4563" s="7"/>
    </row>
    <row r="4564" spans="1:1">
      <c r="A4564" s="7"/>
    </row>
    <row r="4565" spans="1:1">
      <c r="A4565" s="7"/>
    </row>
    <row r="4566" spans="1:1">
      <c r="A4566" s="7"/>
    </row>
    <row r="4567" spans="1:1">
      <c r="A4567" s="7"/>
    </row>
    <row r="4568" spans="1:1">
      <c r="A4568" s="7"/>
    </row>
    <row r="4569" spans="1:1">
      <c r="A4569" s="7"/>
    </row>
    <row r="4570" spans="1:1">
      <c r="A4570" s="7"/>
    </row>
    <row r="4571" spans="1:1">
      <c r="A4571" s="7"/>
    </row>
    <row r="4572" spans="1:1">
      <c r="A4572" s="7"/>
    </row>
    <row r="4573" spans="1:1">
      <c r="A4573" s="7"/>
    </row>
    <row r="4574" spans="1:1">
      <c r="A4574" s="7"/>
    </row>
    <row r="4575" spans="1:1">
      <c r="A4575" s="7"/>
    </row>
    <row r="4576" spans="1:1">
      <c r="A4576" s="7"/>
    </row>
    <row r="4577" spans="1:1">
      <c r="A4577" s="7"/>
    </row>
    <row r="4578" spans="1:1">
      <c r="A4578" s="7"/>
    </row>
    <row r="4579" spans="1:1">
      <c r="A4579" s="7"/>
    </row>
    <row r="4580" spans="1:1">
      <c r="A4580" s="7"/>
    </row>
    <row r="4581" spans="1:1">
      <c r="A4581" s="7"/>
    </row>
    <row r="4582" spans="1:1">
      <c r="A4582" s="7"/>
    </row>
    <row r="4583" spans="1:1">
      <c r="A4583" s="7"/>
    </row>
    <row r="4584" spans="1:1">
      <c r="A4584" s="7"/>
    </row>
    <row r="4585" spans="1:1">
      <c r="A4585" s="7"/>
    </row>
    <row r="4586" spans="1:1">
      <c r="A4586" s="7"/>
    </row>
    <row r="4587" spans="1:1">
      <c r="A4587" s="7"/>
    </row>
    <row r="4588" spans="1:1">
      <c r="A4588" s="7"/>
    </row>
    <row r="4589" spans="1:1">
      <c r="A4589" s="7"/>
    </row>
    <row r="4590" spans="1:1">
      <c r="A4590" s="7"/>
    </row>
    <row r="4591" spans="1:1">
      <c r="A4591" s="7"/>
    </row>
    <row r="4592" spans="1:1">
      <c r="A4592" s="7"/>
    </row>
    <row r="4593" spans="1:1">
      <c r="A4593" s="7"/>
    </row>
    <row r="4594" spans="1:1">
      <c r="A4594" s="7"/>
    </row>
    <row r="4595" spans="1:1">
      <c r="A4595" s="7"/>
    </row>
    <row r="4596" spans="1:1">
      <c r="A4596" s="7"/>
    </row>
    <row r="4597" spans="1:1">
      <c r="A4597" s="7"/>
    </row>
    <row r="4598" spans="1:1">
      <c r="A4598" s="7"/>
    </row>
    <row r="4599" spans="1:1">
      <c r="A4599" s="7"/>
    </row>
    <row r="4600" spans="1:1">
      <c r="A4600" s="7"/>
    </row>
    <row r="4601" spans="1:1">
      <c r="A4601" s="7"/>
    </row>
    <row r="4602" spans="1:1">
      <c r="A4602" s="7"/>
    </row>
    <row r="4603" spans="1:1">
      <c r="A4603" s="7"/>
    </row>
    <row r="4604" spans="1:1">
      <c r="A4604" s="7"/>
    </row>
    <row r="4605" spans="1:1">
      <c r="A4605" s="7"/>
    </row>
    <row r="4606" spans="1:1">
      <c r="A4606" s="7"/>
    </row>
    <row r="4607" spans="1:1">
      <c r="A4607" s="7"/>
    </row>
    <row r="4608" spans="1:1">
      <c r="A4608" s="7"/>
    </row>
    <row r="4609" spans="1:1">
      <c r="A4609" s="7"/>
    </row>
    <row r="4610" spans="1:1">
      <c r="A4610" s="7"/>
    </row>
    <row r="4611" spans="1:1">
      <c r="A4611" s="7"/>
    </row>
    <row r="4612" spans="1:1">
      <c r="A4612" s="7"/>
    </row>
    <row r="4613" spans="1:1">
      <c r="A4613" s="7"/>
    </row>
    <row r="4614" spans="1:1">
      <c r="A4614" s="7"/>
    </row>
    <row r="4615" spans="1:1">
      <c r="A4615" s="7"/>
    </row>
    <row r="4616" spans="1:1">
      <c r="A4616" s="7"/>
    </row>
    <row r="4617" spans="1:1">
      <c r="A4617" s="7"/>
    </row>
    <row r="4618" spans="1:1">
      <c r="A4618" s="7"/>
    </row>
    <row r="4619" spans="1:1">
      <c r="A4619" s="7"/>
    </row>
    <row r="4620" spans="1:1">
      <c r="A4620" s="7"/>
    </row>
    <row r="4621" spans="1:1">
      <c r="A4621" s="7"/>
    </row>
    <row r="4622" spans="1:1">
      <c r="A4622" s="7"/>
    </row>
    <row r="4623" spans="1:1">
      <c r="A4623" s="7"/>
    </row>
    <row r="4624" spans="1:1">
      <c r="A4624" s="7"/>
    </row>
    <row r="4625" spans="1:1">
      <c r="A4625" s="7"/>
    </row>
    <row r="4626" spans="1:1">
      <c r="A4626" s="7"/>
    </row>
    <row r="4627" spans="1:1">
      <c r="A4627" s="7"/>
    </row>
    <row r="4628" spans="1:1">
      <c r="A4628" s="7"/>
    </row>
    <row r="4629" spans="1:1">
      <c r="A4629" s="7"/>
    </row>
    <row r="4630" spans="1:1">
      <c r="A4630" s="7"/>
    </row>
    <row r="4631" spans="1:1">
      <c r="A4631" s="7"/>
    </row>
    <row r="4632" spans="1:1">
      <c r="A4632" s="7"/>
    </row>
    <row r="4633" spans="1:1">
      <c r="A4633" s="7"/>
    </row>
    <row r="4634" spans="1:1">
      <c r="A4634" s="7"/>
    </row>
    <row r="4635" spans="1:1">
      <c r="A4635" s="7"/>
    </row>
    <row r="4636" spans="1:1">
      <c r="A4636" s="7"/>
    </row>
    <row r="4637" spans="1:1">
      <c r="A4637" s="7"/>
    </row>
    <row r="4638" spans="1:1">
      <c r="A4638" s="7"/>
    </row>
    <row r="4639" spans="1:1">
      <c r="A4639" s="7"/>
    </row>
    <row r="4640" spans="1:1">
      <c r="A4640" s="7"/>
    </row>
    <row r="4641" spans="1:1">
      <c r="A4641" s="7"/>
    </row>
    <row r="4642" spans="1:1">
      <c r="A4642" s="7"/>
    </row>
    <row r="4643" spans="1:1">
      <c r="A4643" s="7"/>
    </row>
    <row r="4644" spans="1:1">
      <c r="A4644" s="7"/>
    </row>
    <row r="4645" spans="1:1">
      <c r="A4645" s="7"/>
    </row>
    <row r="4646" spans="1:1">
      <c r="A4646" s="7"/>
    </row>
    <row r="4647" spans="1:1">
      <c r="A4647" s="7"/>
    </row>
    <row r="4648" spans="1:1">
      <c r="A4648" s="7"/>
    </row>
    <row r="4649" spans="1:1">
      <c r="A4649" s="7"/>
    </row>
    <row r="4650" spans="1:1">
      <c r="A4650" s="7"/>
    </row>
    <row r="4651" spans="1:1">
      <c r="A4651" s="7"/>
    </row>
    <row r="4652" spans="1:1">
      <c r="A4652" s="7"/>
    </row>
    <row r="4653" spans="1:1">
      <c r="A4653" s="7"/>
    </row>
    <row r="4654" spans="1:1">
      <c r="A4654" s="7"/>
    </row>
    <row r="4655" spans="1:1">
      <c r="A4655" s="7"/>
    </row>
    <row r="4656" spans="1:1">
      <c r="A4656" s="7"/>
    </row>
    <row r="4657" spans="1:1">
      <c r="A4657" s="7"/>
    </row>
    <row r="4658" spans="1:1">
      <c r="A4658" s="7"/>
    </row>
    <row r="4659" spans="1:1">
      <c r="A4659" s="7"/>
    </row>
    <row r="4660" spans="1:1">
      <c r="A4660" s="7"/>
    </row>
    <row r="4661" spans="1:1">
      <c r="A4661" s="7"/>
    </row>
    <row r="4662" spans="1:1">
      <c r="A4662" s="7"/>
    </row>
    <row r="4663" spans="1:1">
      <c r="A4663" s="7"/>
    </row>
    <row r="4664" spans="1:1">
      <c r="A4664" s="7"/>
    </row>
    <row r="4665" spans="1:1">
      <c r="A4665" s="7"/>
    </row>
    <row r="4666" spans="1:1">
      <c r="A4666" s="7"/>
    </row>
    <row r="4667" spans="1:1">
      <c r="A4667" s="7"/>
    </row>
    <row r="4668" spans="1:1">
      <c r="A4668" s="7"/>
    </row>
    <row r="4669" spans="1:1">
      <c r="A4669" s="7"/>
    </row>
    <row r="4670" spans="1:1">
      <c r="A4670" s="7"/>
    </row>
    <row r="4671" spans="1:1">
      <c r="A4671" s="7"/>
    </row>
    <row r="4672" spans="1:1">
      <c r="A4672" s="7"/>
    </row>
    <row r="4673" spans="1:1">
      <c r="A4673" s="7"/>
    </row>
    <row r="4674" spans="1:1">
      <c r="A4674" s="7"/>
    </row>
    <row r="4675" spans="1:1">
      <c r="A4675" s="7"/>
    </row>
    <row r="4676" spans="1:1">
      <c r="A4676" s="7"/>
    </row>
    <row r="4677" spans="1:1">
      <c r="A4677" s="7"/>
    </row>
    <row r="4678" spans="1:1">
      <c r="A4678" s="7"/>
    </row>
    <row r="4679" spans="1:1">
      <c r="A4679" s="7"/>
    </row>
    <row r="4680" spans="1:1">
      <c r="A4680" s="7"/>
    </row>
    <row r="4681" spans="1:1">
      <c r="A4681" s="7"/>
    </row>
    <row r="4682" spans="1:1">
      <c r="A4682" s="7"/>
    </row>
    <row r="4683" spans="1:1">
      <c r="A4683" s="7"/>
    </row>
    <row r="4684" spans="1:1">
      <c r="A4684" s="7"/>
    </row>
    <row r="4685" spans="1:1">
      <c r="A4685" s="7"/>
    </row>
    <row r="4686" spans="1:1">
      <c r="A4686" s="7"/>
    </row>
    <row r="4687" spans="1:1">
      <c r="A4687" s="7"/>
    </row>
    <row r="4688" spans="1:1">
      <c r="A4688" s="7"/>
    </row>
    <row r="4689" spans="1:1">
      <c r="A4689" s="7"/>
    </row>
    <row r="4690" spans="1:1">
      <c r="A4690" s="7"/>
    </row>
    <row r="4691" spans="1:1">
      <c r="A4691" s="7"/>
    </row>
    <row r="4692" spans="1:1">
      <c r="A4692" s="7"/>
    </row>
    <row r="4693" spans="1:1">
      <c r="A4693" s="7"/>
    </row>
    <row r="4694" spans="1:1">
      <c r="A4694" s="7"/>
    </row>
    <row r="4695" spans="1:1">
      <c r="A4695" s="7"/>
    </row>
    <row r="4696" spans="1:1">
      <c r="A4696" s="7"/>
    </row>
    <row r="4697" spans="1:1">
      <c r="A4697" s="7"/>
    </row>
    <row r="4698" spans="1:1">
      <c r="A4698" s="7"/>
    </row>
    <row r="4699" spans="1:1">
      <c r="A4699" s="7"/>
    </row>
    <row r="4700" spans="1:1">
      <c r="A4700" s="7"/>
    </row>
    <row r="4701" spans="1:1">
      <c r="A4701" s="7"/>
    </row>
    <row r="4702" spans="1:1">
      <c r="A4702" s="7"/>
    </row>
    <row r="4703" spans="1:1">
      <c r="A4703" s="7"/>
    </row>
    <row r="4704" spans="1:1">
      <c r="A4704" s="7"/>
    </row>
    <row r="4705" spans="1:1">
      <c r="A4705" s="7"/>
    </row>
    <row r="4706" spans="1:1">
      <c r="A4706" s="7"/>
    </row>
    <row r="4707" spans="1:1">
      <c r="A4707" s="7"/>
    </row>
    <row r="4708" spans="1:1">
      <c r="A4708" s="7"/>
    </row>
    <row r="4709" spans="1:1">
      <c r="A4709" s="7"/>
    </row>
    <row r="4710" spans="1:1">
      <c r="A4710" s="7"/>
    </row>
    <row r="4711" spans="1:1">
      <c r="A4711" s="7"/>
    </row>
    <row r="4712" spans="1:1">
      <c r="A4712" s="7"/>
    </row>
    <row r="4713" spans="1:1">
      <c r="A4713" s="7"/>
    </row>
    <row r="4714" spans="1:1">
      <c r="A4714" s="7"/>
    </row>
    <row r="4715" spans="1:1">
      <c r="A4715" s="7"/>
    </row>
    <row r="4716" spans="1:1">
      <c r="A4716" s="7"/>
    </row>
    <row r="4717" spans="1:1">
      <c r="A4717" s="7"/>
    </row>
    <row r="4718" spans="1:1">
      <c r="A4718" s="7"/>
    </row>
    <row r="4719" spans="1:1">
      <c r="A4719" s="7"/>
    </row>
    <row r="4720" spans="1:1">
      <c r="A4720" s="7"/>
    </row>
    <row r="4721" spans="1:1">
      <c r="A4721" s="7"/>
    </row>
    <row r="4722" spans="1:1">
      <c r="A4722" s="7"/>
    </row>
    <row r="4723" spans="1:1">
      <c r="A4723" s="7"/>
    </row>
    <row r="4724" spans="1:1">
      <c r="A4724" s="7"/>
    </row>
    <row r="4725" spans="1:1">
      <c r="A4725" s="7"/>
    </row>
    <row r="4726" spans="1:1">
      <c r="A4726" s="7"/>
    </row>
    <row r="4727" spans="1:1">
      <c r="A4727" s="7"/>
    </row>
    <row r="4728" spans="1:1">
      <c r="A4728" s="7"/>
    </row>
    <row r="4729" spans="1:1">
      <c r="A4729" s="7"/>
    </row>
    <row r="4730" spans="1:1">
      <c r="A4730" s="7"/>
    </row>
    <row r="4731" spans="1:1">
      <c r="A4731" s="7"/>
    </row>
    <row r="4732" spans="1:1">
      <c r="A4732" s="7"/>
    </row>
    <row r="4733" spans="1:1">
      <c r="A4733" s="7"/>
    </row>
    <row r="4734" spans="1:1">
      <c r="A4734" s="7"/>
    </row>
    <row r="4735" spans="1:1">
      <c r="A4735" s="7"/>
    </row>
    <row r="4736" spans="1:1">
      <c r="A4736" s="7"/>
    </row>
    <row r="4737" spans="1:1">
      <c r="A4737" s="7"/>
    </row>
    <row r="4738" spans="1:1">
      <c r="A4738" s="7"/>
    </row>
    <row r="4739" spans="1:1">
      <c r="A4739" s="7"/>
    </row>
    <row r="4740" spans="1:1">
      <c r="A4740" s="7"/>
    </row>
    <row r="4741" spans="1:1">
      <c r="A4741" s="7"/>
    </row>
    <row r="4742" spans="1:1">
      <c r="A4742" s="7"/>
    </row>
    <row r="4743" spans="1:1">
      <c r="A4743" s="7"/>
    </row>
    <row r="4744" spans="1:1">
      <c r="A4744" s="7"/>
    </row>
    <row r="4745" spans="1:1">
      <c r="A4745" s="7"/>
    </row>
    <row r="4746" spans="1:1">
      <c r="A4746" s="7"/>
    </row>
    <row r="4747" spans="1:1">
      <c r="A4747" s="7"/>
    </row>
    <row r="4748" spans="1:1">
      <c r="A4748" s="7"/>
    </row>
    <row r="4749" spans="1:1">
      <c r="A4749" s="7"/>
    </row>
    <row r="4750" spans="1:1">
      <c r="A4750" s="7"/>
    </row>
    <row r="4751" spans="1:1">
      <c r="A4751" s="7"/>
    </row>
    <row r="4752" spans="1:1">
      <c r="A4752" s="7"/>
    </row>
    <row r="4753" spans="1:1">
      <c r="A4753" s="7"/>
    </row>
    <row r="4754" spans="1:1">
      <c r="A4754" s="7"/>
    </row>
    <row r="4755" spans="1:1">
      <c r="A4755" s="7"/>
    </row>
    <row r="4756" spans="1:1">
      <c r="A4756" s="7"/>
    </row>
    <row r="4757" spans="1:1">
      <c r="A4757" s="7"/>
    </row>
    <row r="4758" spans="1:1">
      <c r="A4758" s="7"/>
    </row>
    <row r="4759" spans="1:1">
      <c r="A4759" s="7"/>
    </row>
    <row r="4760" spans="1:1">
      <c r="A4760" s="7"/>
    </row>
    <row r="4761" spans="1:1">
      <c r="A4761" s="7"/>
    </row>
    <row r="4762" spans="1:1">
      <c r="A4762" s="7"/>
    </row>
    <row r="4763" spans="1:1">
      <c r="A4763" s="7"/>
    </row>
    <row r="4764" spans="1:1">
      <c r="A4764" s="7"/>
    </row>
    <row r="4765" spans="1:1">
      <c r="A4765" s="7"/>
    </row>
    <row r="4766" spans="1:1">
      <c r="A4766" s="7"/>
    </row>
    <row r="4767" spans="1:1">
      <c r="A4767" s="7"/>
    </row>
    <row r="4768" spans="1:1">
      <c r="A4768" s="7"/>
    </row>
    <row r="4769" spans="1:1">
      <c r="A4769" s="7"/>
    </row>
    <row r="4770" spans="1:1">
      <c r="A4770" s="7"/>
    </row>
    <row r="4771" spans="1:1">
      <c r="A4771" s="7"/>
    </row>
    <row r="4772" spans="1:1">
      <c r="A4772" s="7"/>
    </row>
    <row r="4773" spans="1:1">
      <c r="A4773" s="7"/>
    </row>
    <row r="4774" spans="1:1">
      <c r="A4774" s="7"/>
    </row>
    <row r="4775" spans="1:1">
      <c r="A4775" s="7"/>
    </row>
    <row r="4776" spans="1:1">
      <c r="A4776" s="7"/>
    </row>
    <row r="4777" spans="1:1">
      <c r="A4777" s="7"/>
    </row>
    <row r="4778" spans="1:1">
      <c r="A4778" s="7"/>
    </row>
    <row r="4779" spans="1:1">
      <c r="A4779" s="7"/>
    </row>
    <row r="4780" spans="1:1">
      <c r="A4780" s="7"/>
    </row>
    <row r="4781" spans="1:1">
      <c r="A4781" s="7"/>
    </row>
    <row r="4782" spans="1:1">
      <c r="A4782" s="7"/>
    </row>
    <row r="4783" spans="1:1">
      <c r="A4783" s="7"/>
    </row>
    <row r="4784" spans="1:1">
      <c r="A4784" s="7"/>
    </row>
    <row r="4785" spans="1:1">
      <c r="A4785" s="7"/>
    </row>
    <row r="4786" spans="1:1">
      <c r="A4786" s="7"/>
    </row>
    <row r="4787" spans="1:1">
      <c r="A4787" s="7"/>
    </row>
    <row r="4788" spans="1:1">
      <c r="A4788" s="7"/>
    </row>
    <row r="4789" spans="1:1">
      <c r="A4789" s="7"/>
    </row>
    <row r="4790" spans="1:1">
      <c r="A4790" s="7"/>
    </row>
    <row r="4791" spans="1:1">
      <c r="A4791" s="7"/>
    </row>
    <row r="4792" spans="1:1">
      <c r="A4792" s="7"/>
    </row>
    <row r="4793" spans="1:1">
      <c r="A4793" s="7"/>
    </row>
    <row r="4794" spans="1:1">
      <c r="A4794" s="7"/>
    </row>
    <row r="4795" spans="1:1">
      <c r="A4795" s="7"/>
    </row>
    <row r="4796" spans="1:1">
      <c r="A4796" s="7"/>
    </row>
    <row r="4797" spans="1:1">
      <c r="A4797" s="7"/>
    </row>
    <row r="4798" spans="1:1">
      <c r="A4798" s="7"/>
    </row>
    <row r="4799" spans="1:1">
      <c r="A4799" s="7"/>
    </row>
    <row r="4800" spans="1:1">
      <c r="A4800" s="7"/>
    </row>
    <row r="4801" spans="1:1">
      <c r="A4801" s="7"/>
    </row>
    <row r="4802" spans="1:1">
      <c r="A4802" s="7"/>
    </row>
    <row r="4803" spans="1:1">
      <c r="A4803" s="7"/>
    </row>
    <row r="4804" spans="1:1">
      <c r="A4804" s="7"/>
    </row>
    <row r="4805" spans="1:1">
      <c r="A4805" s="7"/>
    </row>
    <row r="4806" spans="1:1">
      <c r="A4806" s="7"/>
    </row>
    <row r="4807" spans="1:1">
      <c r="A4807" s="7"/>
    </row>
    <row r="4808" spans="1:1">
      <c r="A4808" s="7"/>
    </row>
    <row r="4809" spans="1:1">
      <c r="A4809" s="7"/>
    </row>
    <row r="4810" spans="1:1">
      <c r="A4810" s="7"/>
    </row>
    <row r="4811" spans="1:1">
      <c r="A4811" s="7"/>
    </row>
    <row r="4812" spans="1:1">
      <c r="A4812" s="7"/>
    </row>
    <row r="4813" spans="1:1">
      <c r="A4813" s="7"/>
    </row>
    <row r="4814" spans="1:1">
      <c r="A4814" s="7"/>
    </row>
    <row r="4815" spans="1:1">
      <c r="A4815" s="7"/>
    </row>
    <row r="4816" spans="1:1">
      <c r="A4816" s="7"/>
    </row>
    <row r="4817" spans="1:1">
      <c r="A4817" s="7"/>
    </row>
    <row r="4818" spans="1:1">
      <c r="A4818" s="7"/>
    </row>
    <row r="4819" spans="1:1">
      <c r="A4819" s="7"/>
    </row>
    <row r="4820" spans="1:1">
      <c r="A4820" s="7"/>
    </row>
    <row r="4821" spans="1:1">
      <c r="A4821" s="7"/>
    </row>
    <row r="4822" spans="1:1">
      <c r="A4822" s="7"/>
    </row>
    <row r="4823" spans="1:1">
      <c r="A4823" s="7"/>
    </row>
    <row r="4824" spans="1:1">
      <c r="A4824" s="7"/>
    </row>
    <row r="4825" spans="1:1">
      <c r="A4825" s="7"/>
    </row>
    <row r="4826" spans="1:1">
      <c r="A4826" s="7"/>
    </row>
    <row r="4827" spans="1:1">
      <c r="A4827" s="7"/>
    </row>
    <row r="4828" spans="1:1">
      <c r="A4828" s="7"/>
    </row>
    <row r="4829" spans="1:1">
      <c r="A4829" s="7"/>
    </row>
    <row r="4830" spans="1:1">
      <c r="A4830" s="7"/>
    </row>
    <row r="4831" spans="1:1">
      <c r="A4831" s="7"/>
    </row>
    <row r="4832" spans="1:1">
      <c r="A4832" s="7"/>
    </row>
    <row r="4833" spans="1:1">
      <c r="A4833" s="7"/>
    </row>
    <row r="4834" spans="1:1">
      <c r="A4834" s="7"/>
    </row>
    <row r="4835" spans="1:1">
      <c r="A4835" s="7"/>
    </row>
    <row r="4836" spans="1:1">
      <c r="A4836" s="7"/>
    </row>
    <row r="4837" spans="1:1">
      <c r="A4837" s="7"/>
    </row>
    <row r="4838" spans="1:1">
      <c r="A4838" s="7"/>
    </row>
    <row r="4839" spans="1:1">
      <c r="A4839" s="7"/>
    </row>
    <row r="4840" spans="1:1">
      <c r="A4840" s="7"/>
    </row>
    <row r="4841" spans="1:1">
      <c r="A4841" s="7"/>
    </row>
    <row r="4842" spans="1:1">
      <c r="A4842" s="7"/>
    </row>
    <row r="4843" spans="1:1">
      <c r="A4843" s="7"/>
    </row>
    <row r="4844" spans="1:1">
      <c r="A4844" s="7"/>
    </row>
    <row r="4845" spans="1:1">
      <c r="A4845" s="7"/>
    </row>
    <row r="4846" spans="1:1">
      <c r="A4846" s="7"/>
    </row>
    <row r="4847" spans="1:1">
      <c r="A4847" s="7"/>
    </row>
    <row r="4848" spans="1:1">
      <c r="A4848" s="7"/>
    </row>
    <row r="4849" spans="1:1">
      <c r="A4849" s="7"/>
    </row>
    <row r="4850" spans="1:1">
      <c r="A4850" s="7"/>
    </row>
    <row r="4851" spans="1:1">
      <c r="A4851" s="7"/>
    </row>
    <row r="4852" spans="1:1">
      <c r="A4852" s="7"/>
    </row>
    <row r="4853" spans="1:1">
      <c r="A4853" s="7"/>
    </row>
    <row r="4854" spans="1:1">
      <c r="A4854" s="7"/>
    </row>
    <row r="4855" spans="1:1">
      <c r="A4855" s="7"/>
    </row>
    <row r="4856" spans="1:1">
      <c r="A4856" s="7"/>
    </row>
    <row r="4857" spans="1:1">
      <c r="A4857" s="7"/>
    </row>
    <row r="4858" spans="1:1">
      <c r="A4858" s="7"/>
    </row>
    <row r="4859" spans="1:1">
      <c r="A4859" s="7"/>
    </row>
    <row r="4860" spans="1:1">
      <c r="A4860" s="7"/>
    </row>
    <row r="4861" spans="1:1">
      <c r="A4861" s="7"/>
    </row>
    <row r="4862" spans="1:1">
      <c r="A4862" s="7"/>
    </row>
    <row r="4863" spans="1:1">
      <c r="A4863" s="7"/>
    </row>
    <row r="4864" spans="1:1">
      <c r="A4864" s="7"/>
    </row>
    <row r="4865" spans="1:1">
      <c r="A4865" s="7"/>
    </row>
    <row r="4866" spans="1:1">
      <c r="A4866" s="7"/>
    </row>
    <row r="4867" spans="1:1">
      <c r="A4867" s="7"/>
    </row>
    <row r="4868" spans="1:1">
      <c r="A4868" s="7"/>
    </row>
    <row r="4869" spans="1:1">
      <c r="A4869" s="7"/>
    </row>
    <row r="4870" spans="1:1">
      <c r="A4870" s="7"/>
    </row>
    <row r="4871" spans="1:1">
      <c r="A4871" s="7"/>
    </row>
    <row r="4872" spans="1:1">
      <c r="A4872" s="7"/>
    </row>
    <row r="4873" spans="1:1">
      <c r="A4873" s="7"/>
    </row>
    <row r="4874" spans="1:1">
      <c r="A4874" s="7"/>
    </row>
    <row r="4875" spans="1:1">
      <c r="A4875" s="7"/>
    </row>
    <row r="4876" spans="1:1">
      <c r="A4876" s="7"/>
    </row>
    <row r="4877" spans="1:1">
      <c r="A4877" s="7"/>
    </row>
    <row r="4878" spans="1:1">
      <c r="A4878" s="7"/>
    </row>
    <row r="4879" spans="1:1">
      <c r="A4879" s="7"/>
    </row>
    <row r="4880" spans="1:1">
      <c r="A4880" s="7"/>
    </row>
    <row r="4881" spans="1:1">
      <c r="A4881" s="7"/>
    </row>
    <row r="4882" spans="1:1">
      <c r="A4882" s="7"/>
    </row>
    <row r="4883" spans="1:1">
      <c r="A4883" s="7"/>
    </row>
    <row r="4884" spans="1:1">
      <c r="A4884" s="7"/>
    </row>
    <row r="4885" spans="1:1">
      <c r="A4885" s="7"/>
    </row>
    <row r="4886" spans="1:1">
      <c r="A4886" s="7"/>
    </row>
    <row r="4887" spans="1:1">
      <c r="A4887" s="7"/>
    </row>
    <row r="4888" spans="1:1">
      <c r="A4888" s="7"/>
    </row>
    <row r="4889" spans="1:1">
      <c r="A4889" s="7"/>
    </row>
    <row r="4890" spans="1:1">
      <c r="A4890" s="7"/>
    </row>
    <row r="4891" spans="1:1">
      <c r="A4891" s="7"/>
    </row>
    <row r="4892" spans="1:1">
      <c r="A4892" s="7"/>
    </row>
    <row r="4893" spans="1:1">
      <c r="A4893" s="7"/>
    </row>
    <row r="4894" spans="1:1">
      <c r="A4894" s="7"/>
    </row>
    <row r="4895" spans="1:1">
      <c r="A4895" s="7"/>
    </row>
    <row r="4896" spans="1:1">
      <c r="A4896" s="7"/>
    </row>
    <row r="4897" spans="1:1">
      <c r="A4897" s="7"/>
    </row>
    <row r="4898" spans="1:1">
      <c r="A4898" s="7"/>
    </row>
    <row r="4899" spans="1:1">
      <c r="A4899" s="7"/>
    </row>
    <row r="4900" spans="1:1">
      <c r="A4900" s="7"/>
    </row>
    <row r="4901" spans="1:1">
      <c r="A4901" s="7"/>
    </row>
    <row r="4902" spans="1:1">
      <c r="A4902" s="7"/>
    </row>
    <row r="4903" spans="1:1">
      <c r="A4903" s="7"/>
    </row>
    <row r="4904" spans="1:1">
      <c r="A4904" s="7"/>
    </row>
    <row r="4905" spans="1:1">
      <c r="A4905" s="7"/>
    </row>
    <row r="4906" spans="1:1">
      <c r="A4906" s="7"/>
    </row>
    <row r="4907" spans="1:1">
      <c r="A4907" s="7"/>
    </row>
    <row r="4908" spans="1:1">
      <c r="A4908" s="7"/>
    </row>
    <row r="4909" spans="1:1">
      <c r="A4909" s="7"/>
    </row>
    <row r="4910" spans="1:1">
      <c r="A4910" s="7"/>
    </row>
    <row r="4911" spans="1:1">
      <c r="A4911" s="7"/>
    </row>
    <row r="4912" spans="1:1">
      <c r="A4912" s="7"/>
    </row>
    <row r="4913" spans="1:1">
      <c r="A4913" s="7"/>
    </row>
    <row r="4914" spans="1:1">
      <c r="A4914" s="7"/>
    </row>
    <row r="4915" spans="1:1">
      <c r="A4915" s="7"/>
    </row>
    <row r="4916" spans="1:1">
      <c r="A4916" s="7"/>
    </row>
    <row r="4917" spans="1:1">
      <c r="A4917" s="7"/>
    </row>
    <row r="4918" spans="1:1">
      <c r="A4918" s="7"/>
    </row>
    <row r="4919" spans="1:1">
      <c r="A4919" s="7"/>
    </row>
    <row r="4920" spans="1:1">
      <c r="A4920" s="7"/>
    </row>
    <row r="4921" spans="1:1">
      <c r="A4921" s="7"/>
    </row>
    <row r="4922" spans="1:1">
      <c r="A4922" s="7"/>
    </row>
    <row r="4923" spans="1:1">
      <c r="A4923" s="7"/>
    </row>
    <row r="4924" spans="1:1">
      <c r="A4924" s="7"/>
    </row>
    <row r="4925" spans="1:1">
      <c r="A4925" s="7"/>
    </row>
    <row r="4926" spans="1:1">
      <c r="A4926" s="7"/>
    </row>
    <row r="4927" spans="1:1">
      <c r="A4927" s="7"/>
    </row>
    <row r="4928" spans="1:1">
      <c r="A4928" s="7"/>
    </row>
    <row r="4929" spans="1:1">
      <c r="A4929" s="7"/>
    </row>
    <row r="4930" spans="1:1">
      <c r="A4930" s="7"/>
    </row>
    <row r="4931" spans="1:1">
      <c r="A4931" s="7"/>
    </row>
    <row r="4932" spans="1:1">
      <c r="A4932" s="7"/>
    </row>
    <row r="4933" spans="1:1">
      <c r="A4933" s="7"/>
    </row>
    <row r="4934" spans="1:1">
      <c r="A4934" s="7"/>
    </row>
    <row r="4935" spans="1:1">
      <c r="A4935" s="7"/>
    </row>
    <row r="4936" spans="1:1">
      <c r="A4936" s="7"/>
    </row>
    <row r="4937" spans="1:1">
      <c r="A4937" s="7"/>
    </row>
    <row r="4938" spans="1:1">
      <c r="A4938" s="7"/>
    </row>
    <row r="4939" spans="1:1">
      <c r="A4939" s="7"/>
    </row>
    <row r="4940" spans="1:1">
      <c r="A4940" s="7"/>
    </row>
    <row r="4941" spans="1:1">
      <c r="A4941" s="7"/>
    </row>
    <row r="4942" spans="1:1">
      <c r="A4942" s="7"/>
    </row>
    <row r="4943" spans="1:1">
      <c r="A4943" s="7"/>
    </row>
    <row r="4944" spans="1:1">
      <c r="A4944" s="7"/>
    </row>
    <row r="4945" spans="1:1">
      <c r="A4945" s="7"/>
    </row>
    <row r="4946" spans="1:1">
      <c r="A4946" s="7"/>
    </row>
    <row r="4947" spans="1:1">
      <c r="A4947" s="7"/>
    </row>
    <row r="4948" spans="1:1">
      <c r="A4948" s="7"/>
    </row>
    <row r="4949" spans="1:1">
      <c r="A4949" s="7"/>
    </row>
    <row r="4950" spans="1:1">
      <c r="A4950" s="7"/>
    </row>
    <row r="4951" spans="1:1">
      <c r="A4951" s="7"/>
    </row>
    <row r="4952" spans="1:1">
      <c r="A4952" s="7"/>
    </row>
    <row r="4953" spans="1:1">
      <c r="A4953" s="7"/>
    </row>
    <row r="4954" spans="1:1">
      <c r="A4954" s="7"/>
    </row>
    <row r="4955" spans="1:1">
      <c r="A4955" s="7"/>
    </row>
    <row r="4956" spans="1:1">
      <c r="A4956" s="7"/>
    </row>
    <row r="4957" spans="1:1">
      <c r="A4957" s="7"/>
    </row>
    <row r="4958" spans="1:1">
      <c r="A4958" s="7"/>
    </row>
    <row r="4959" spans="1:1">
      <c r="A4959" s="7"/>
    </row>
    <row r="4960" spans="1:1">
      <c r="A4960" s="7"/>
    </row>
    <row r="4961" spans="1:1">
      <c r="A4961" s="7"/>
    </row>
    <row r="4962" spans="1:1">
      <c r="A4962" s="7"/>
    </row>
    <row r="4963" spans="1:1">
      <c r="A4963" s="7"/>
    </row>
    <row r="4964" spans="1:1">
      <c r="A4964" s="7"/>
    </row>
    <row r="4965" spans="1:1">
      <c r="A4965" s="7"/>
    </row>
    <row r="4966" spans="1:1">
      <c r="A4966" s="7"/>
    </row>
    <row r="4967" spans="1:1">
      <c r="A4967" s="7"/>
    </row>
    <row r="4968" spans="1:1">
      <c r="A4968" s="7"/>
    </row>
    <row r="4969" spans="1:1">
      <c r="A4969" s="7"/>
    </row>
    <row r="4970" spans="1:1">
      <c r="A4970" s="7"/>
    </row>
    <row r="4971" spans="1:1">
      <c r="A4971" s="7"/>
    </row>
    <row r="4972" spans="1:1">
      <c r="A4972" s="7"/>
    </row>
    <row r="4973" spans="1:1">
      <c r="A4973" s="7"/>
    </row>
    <row r="4974" spans="1:1">
      <c r="A4974" s="7"/>
    </row>
    <row r="4975" spans="1:1">
      <c r="A4975" s="7"/>
    </row>
    <row r="4976" spans="1:1">
      <c r="A4976" s="7"/>
    </row>
    <row r="4977" spans="1:1">
      <c r="A4977" s="7"/>
    </row>
    <row r="4978" spans="1:1">
      <c r="A4978" s="7"/>
    </row>
    <row r="4979" spans="1:1">
      <c r="A4979" s="7"/>
    </row>
    <row r="4980" spans="1:1">
      <c r="A4980" s="7"/>
    </row>
    <row r="4981" spans="1:1">
      <c r="A4981" s="7"/>
    </row>
    <row r="4982" spans="1:1">
      <c r="A4982" s="7"/>
    </row>
    <row r="4983" spans="1:1">
      <c r="A4983" s="7"/>
    </row>
    <row r="4984" spans="1:1">
      <c r="A4984" s="7"/>
    </row>
    <row r="4985" spans="1:1">
      <c r="A4985" s="7"/>
    </row>
    <row r="4986" spans="1:1">
      <c r="A4986" s="7"/>
    </row>
    <row r="4987" spans="1:1">
      <c r="A4987" s="7"/>
    </row>
    <row r="4988" spans="1:1">
      <c r="A4988" s="7"/>
    </row>
    <row r="4989" spans="1:1">
      <c r="A4989" s="7"/>
    </row>
    <row r="4990" spans="1:1">
      <c r="A4990" s="7"/>
    </row>
    <row r="4991" spans="1:1">
      <c r="A4991" s="7"/>
    </row>
    <row r="4992" spans="1:1">
      <c r="A4992" s="7"/>
    </row>
    <row r="4993" spans="1:1">
      <c r="A4993" s="7"/>
    </row>
    <row r="4994" spans="1:1">
      <c r="A4994" s="7"/>
    </row>
    <row r="4995" spans="1:1">
      <c r="A4995" s="7"/>
    </row>
    <row r="4996" spans="1:1">
      <c r="A4996" s="7"/>
    </row>
    <row r="4997" spans="1:1">
      <c r="A4997" s="7"/>
    </row>
    <row r="4998" spans="1:1">
      <c r="A4998" s="7"/>
    </row>
    <row r="4999" spans="1:1">
      <c r="A4999" s="7"/>
    </row>
    <row r="5000" spans="1:1">
      <c r="A5000" s="7"/>
    </row>
    <row r="5001" spans="1:1">
      <c r="A5001" s="7"/>
    </row>
    <row r="5002" spans="1:1">
      <c r="A5002" s="7"/>
    </row>
    <row r="5003" spans="1:1">
      <c r="A5003" s="7"/>
    </row>
    <row r="5004" spans="1:1">
      <c r="A5004" s="7"/>
    </row>
    <row r="5005" spans="1:1">
      <c r="A5005" s="7"/>
    </row>
    <row r="5006" spans="1:1">
      <c r="A5006" s="7"/>
    </row>
    <row r="5007" spans="1:1">
      <c r="A5007" s="7"/>
    </row>
    <row r="5008" spans="1:1">
      <c r="A5008" s="7"/>
    </row>
    <row r="5009" spans="1:1">
      <c r="A5009" s="7"/>
    </row>
    <row r="5010" spans="1:1">
      <c r="A5010" s="7"/>
    </row>
    <row r="5011" spans="1:1">
      <c r="A5011" s="7"/>
    </row>
    <row r="5012" spans="1:1">
      <c r="A5012" s="7"/>
    </row>
    <row r="5013" spans="1:1">
      <c r="A5013" s="7"/>
    </row>
    <row r="5014" spans="1:1">
      <c r="A5014" s="7"/>
    </row>
    <row r="5015" spans="1:1">
      <c r="A5015" s="7"/>
    </row>
    <row r="5016" spans="1:1">
      <c r="A5016" s="7"/>
    </row>
    <row r="5017" spans="1:1">
      <c r="A5017" s="7"/>
    </row>
    <row r="5018" spans="1:1">
      <c r="A5018" s="7"/>
    </row>
    <row r="5019" spans="1:1">
      <c r="A5019" s="7"/>
    </row>
    <row r="5020" spans="1:1">
      <c r="A5020" s="7"/>
    </row>
    <row r="5021" spans="1:1">
      <c r="A5021" s="7"/>
    </row>
    <row r="5022" spans="1:1">
      <c r="A5022" s="7"/>
    </row>
    <row r="5023" spans="1:1">
      <c r="A5023" s="7"/>
    </row>
    <row r="5024" spans="1:1">
      <c r="A5024" s="7"/>
    </row>
    <row r="5025" spans="1:1">
      <c r="A5025" s="7"/>
    </row>
    <row r="5026" spans="1:1">
      <c r="A5026" s="7"/>
    </row>
    <row r="5027" spans="1:1">
      <c r="A5027" s="7"/>
    </row>
    <row r="5028" spans="1:1">
      <c r="A5028" s="7"/>
    </row>
    <row r="5029" spans="1:1">
      <c r="A5029" s="7"/>
    </row>
    <row r="5030" spans="1:1">
      <c r="A5030" s="7"/>
    </row>
    <row r="5031" spans="1:1">
      <c r="A5031" s="7"/>
    </row>
    <row r="5032" spans="1:1">
      <c r="A5032" s="7"/>
    </row>
    <row r="5033" spans="1:1">
      <c r="A5033" s="7"/>
    </row>
    <row r="5034" spans="1:1">
      <c r="A5034" s="7"/>
    </row>
    <row r="5035" spans="1:1">
      <c r="A5035" s="7"/>
    </row>
    <row r="5036" spans="1:1">
      <c r="A5036" s="7"/>
    </row>
    <row r="5037" spans="1:1">
      <c r="A5037" s="7"/>
    </row>
    <row r="5038" spans="1:1">
      <c r="A5038" s="7"/>
    </row>
    <row r="5039" spans="1:1">
      <c r="A5039" s="7"/>
    </row>
    <row r="5040" spans="1:1">
      <c r="A5040" s="7"/>
    </row>
    <row r="5041" spans="1:1">
      <c r="A5041" s="7"/>
    </row>
    <row r="5042" spans="1:1">
      <c r="A5042" s="7"/>
    </row>
    <row r="5043" spans="1:1">
      <c r="A5043" s="7"/>
    </row>
    <row r="5044" spans="1:1">
      <c r="A5044" s="7"/>
    </row>
    <row r="5045" spans="1:1">
      <c r="A5045" s="7"/>
    </row>
    <row r="5046" spans="1:1">
      <c r="A5046" s="7"/>
    </row>
    <row r="5047" spans="1:1">
      <c r="A5047" s="7"/>
    </row>
    <row r="5048" spans="1:1">
      <c r="A5048" s="7"/>
    </row>
    <row r="5049" spans="1:1">
      <c r="A5049" s="7"/>
    </row>
    <row r="5050" spans="1:1">
      <c r="A5050" s="7"/>
    </row>
    <row r="5051" spans="1:1">
      <c r="A5051" s="7"/>
    </row>
    <row r="5052" spans="1:1">
      <c r="A5052" s="7"/>
    </row>
    <row r="5053" spans="1:1">
      <c r="A5053" s="7"/>
    </row>
    <row r="5054" spans="1:1">
      <c r="A5054" s="7"/>
    </row>
    <row r="5055" spans="1:1">
      <c r="A5055" s="7"/>
    </row>
    <row r="5056" spans="1:1">
      <c r="A5056" s="7"/>
    </row>
    <row r="5057" spans="1:1">
      <c r="A5057" s="7"/>
    </row>
    <row r="5058" spans="1:1">
      <c r="A5058" s="7"/>
    </row>
    <row r="5059" spans="1:1">
      <c r="A5059" s="7"/>
    </row>
    <row r="5060" spans="1:1">
      <c r="A5060" s="7"/>
    </row>
    <row r="5061" spans="1:1">
      <c r="A5061" s="7"/>
    </row>
    <row r="5062" spans="1:1">
      <c r="A5062" s="7"/>
    </row>
    <row r="5063" spans="1:1">
      <c r="A5063" s="7"/>
    </row>
    <row r="5064" spans="1:1">
      <c r="A5064" s="7"/>
    </row>
    <row r="5065" spans="1:1">
      <c r="A5065" s="7"/>
    </row>
    <row r="5066" spans="1:1">
      <c r="A5066" s="7"/>
    </row>
    <row r="5067" spans="1:1">
      <c r="A5067" s="7"/>
    </row>
    <row r="5068" spans="1:1">
      <c r="A5068" s="7"/>
    </row>
    <row r="5069" spans="1:1">
      <c r="A5069" s="7"/>
    </row>
    <row r="5070" spans="1:1">
      <c r="A5070" s="7"/>
    </row>
    <row r="5071" spans="1:1">
      <c r="A5071" s="7"/>
    </row>
    <row r="5072" spans="1:1">
      <c r="A5072" s="7"/>
    </row>
    <row r="5073" spans="1:1">
      <c r="A5073" s="7"/>
    </row>
    <row r="5074" spans="1:1">
      <c r="A5074" s="7"/>
    </row>
    <row r="5075" spans="1:1">
      <c r="A5075" s="7"/>
    </row>
    <row r="5076" spans="1:1">
      <c r="A5076" s="7"/>
    </row>
    <row r="5077" spans="1:1">
      <c r="A5077" s="7"/>
    </row>
    <row r="5078" spans="1:1">
      <c r="A5078" s="7"/>
    </row>
    <row r="5079" spans="1:1">
      <c r="A5079" s="7"/>
    </row>
    <row r="5080" spans="1:1">
      <c r="A5080" s="7"/>
    </row>
    <row r="5081" spans="1:1">
      <c r="A5081" s="7"/>
    </row>
    <row r="5082" spans="1:1">
      <c r="A5082" s="7"/>
    </row>
    <row r="5083" spans="1:1">
      <c r="A5083" s="7"/>
    </row>
    <row r="5084" spans="1:1">
      <c r="A5084" s="7"/>
    </row>
    <row r="5085" spans="1:1">
      <c r="A5085" s="7"/>
    </row>
    <row r="5086" spans="1:1">
      <c r="A5086" s="7"/>
    </row>
    <row r="5087" spans="1:1">
      <c r="A5087" s="7"/>
    </row>
    <row r="5088" spans="1:1">
      <c r="A5088" s="7"/>
    </row>
    <row r="5089" spans="1:1">
      <c r="A5089" s="7"/>
    </row>
    <row r="5090" spans="1:1">
      <c r="A5090" s="7"/>
    </row>
    <row r="5091" spans="1:1">
      <c r="A5091" s="7"/>
    </row>
    <row r="5092" spans="1:1">
      <c r="A5092" s="7"/>
    </row>
    <row r="5093" spans="1:1">
      <c r="A5093" s="7"/>
    </row>
    <row r="5094" spans="1:1">
      <c r="A5094" s="7"/>
    </row>
    <row r="5095" spans="1:1">
      <c r="A5095" s="7"/>
    </row>
    <row r="5096" spans="1:1">
      <c r="A5096" s="7"/>
    </row>
    <row r="5097" spans="1:1">
      <c r="A5097" s="7"/>
    </row>
    <row r="5098" spans="1:1">
      <c r="A5098" s="7"/>
    </row>
    <row r="5099" spans="1:1">
      <c r="A5099" s="7"/>
    </row>
    <row r="5100" spans="1:1">
      <c r="A5100" s="7"/>
    </row>
    <row r="5101" spans="1:1">
      <c r="A5101" s="7"/>
    </row>
    <row r="5102" spans="1:1">
      <c r="A5102" s="7"/>
    </row>
    <row r="5103" spans="1:1">
      <c r="A5103" s="7"/>
    </row>
    <row r="5104" spans="1:1">
      <c r="A5104" s="7"/>
    </row>
    <row r="5105" spans="1:1">
      <c r="A5105" s="7"/>
    </row>
    <row r="5106" spans="1:1">
      <c r="A5106" s="7"/>
    </row>
    <row r="5107" spans="1:1">
      <c r="A5107" s="7"/>
    </row>
    <row r="5108" spans="1:1">
      <c r="A5108" s="7"/>
    </row>
    <row r="5109" spans="1:1">
      <c r="A5109" s="7"/>
    </row>
    <row r="5110" spans="1:1">
      <c r="A5110" s="7"/>
    </row>
    <row r="5111" spans="1:1">
      <c r="A5111" s="7"/>
    </row>
    <row r="5112" spans="1:1">
      <c r="A5112" s="7"/>
    </row>
    <row r="5113" spans="1:1">
      <c r="A5113" s="7"/>
    </row>
    <row r="5114" spans="1:1">
      <c r="A5114" s="7"/>
    </row>
    <row r="5115" spans="1:1">
      <c r="A5115" s="7"/>
    </row>
    <row r="5116" spans="1:1">
      <c r="A5116" s="7"/>
    </row>
    <row r="5117" spans="1:1">
      <c r="A5117" s="7"/>
    </row>
    <row r="5118" spans="1:1">
      <c r="A5118" s="7"/>
    </row>
    <row r="5119" spans="1:1">
      <c r="A5119" s="7"/>
    </row>
    <row r="5120" spans="1:1">
      <c r="A5120" s="7"/>
    </row>
    <row r="5121" spans="1:1">
      <c r="A5121" s="7"/>
    </row>
    <row r="5122" spans="1:1">
      <c r="A5122" s="7"/>
    </row>
    <row r="5123" spans="1:1">
      <c r="A5123" s="7"/>
    </row>
    <row r="5124" spans="1:1">
      <c r="A5124" s="7"/>
    </row>
    <row r="5125" spans="1:1">
      <c r="A5125" s="7"/>
    </row>
    <row r="5126" spans="1:1">
      <c r="A5126" s="7"/>
    </row>
    <row r="5127" spans="1:1">
      <c r="A5127" s="7"/>
    </row>
    <row r="5128" spans="1:1">
      <c r="A5128" s="7"/>
    </row>
    <row r="5129" spans="1:1">
      <c r="A5129" s="7"/>
    </row>
    <row r="5130" spans="1:1">
      <c r="A5130" s="7"/>
    </row>
    <row r="5131" spans="1:1">
      <c r="A5131" s="7"/>
    </row>
    <row r="5132" spans="1:1">
      <c r="A5132" s="7"/>
    </row>
    <row r="5133" spans="1:1">
      <c r="A5133" s="7"/>
    </row>
    <row r="5134" spans="1:1">
      <c r="A5134" s="7"/>
    </row>
    <row r="5135" spans="1:1">
      <c r="A5135" s="7"/>
    </row>
    <row r="5136" spans="1:1">
      <c r="A5136" s="7"/>
    </row>
    <row r="5137" spans="1:1">
      <c r="A5137" s="7"/>
    </row>
    <row r="5138" spans="1:1">
      <c r="A5138" s="7"/>
    </row>
    <row r="5139" spans="1:1">
      <c r="A5139" s="7"/>
    </row>
    <row r="5140" spans="1:1">
      <c r="A5140" s="7"/>
    </row>
    <row r="5141" spans="1:1">
      <c r="A5141" s="7"/>
    </row>
    <row r="5142" spans="1:1">
      <c r="A5142" s="7"/>
    </row>
    <row r="5143" spans="1:1">
      <c r="A5143" s="7"/>
    </row>
    <row r="5144" spans="1:1">
      <c r="A5144" s="7"/>
    </row>
    <row r="5145" spans="1:1">
      <c r="A5145" s="7"/>
    </row>
    <row r="5146" spans="1:1">
      <c r="A5146" s="7"/>
    </row>
    <row r="5147" spans="1:1">
      <c r="A5147" s="7"/>
    </row>
    <row r="5148" spans="1:1">
      <c r="A5148" s="7"/>
    </row>
    <row r="5149" spans="1:1">
      <c r="A5149" s="7"/>
    </row>
    <row r="5150" spans="1:1">
      <c r="A5150" s="7"/>
    </row>
    <row r="5151" spans="1:1">
      <c r="A5151" s="7"/>
    </row>
    <row r="5152" spans="1:1">
      <c r="A5152" s="7"/>
    </row>
    <row r="5153" spans="1:1">
      <c r="A5153" s="7"/>
    </row>
    <row r="5154" spans="1:1">
      <c r="A5154" s="7"/>
    </row>
    <row r="5155" spans="1:1">
      <c r="A5155" s="7"/>
    </row>
    <row r="5156" spans="1:1">
      <c r="A5156" s="7"/>
    </row>
    <row r="5157" spans="1:1">
      <c r="A5157" s="7"/>
    </row>
    <row r="5158" spans="1:1">
      <c r="A5158" s="7"/>
    </row>
    <row r="5159" spans="1:1">
      <c r="A5159" s="7"/>
    </row>
    <row r="5160" spans="1:1">
      <c r="A5160" s="7"/>
    </row>
    <row r="5161" spans="1:1">
      <c r="A5161" s="7"/>
    </row>
    <row r="5162" spans="1:1">
      <c r="A5162" s="7"/>
    </row>
    <row r="5163" spans="1:1">
      <c r="A5163" s="7"/>
    </row>
    <row r="5164" spans="1:1">
      <c r="A5164" s="7"/>
    </row>
    <row r="5165" spans="1:1">
      <c r="A5165" s="7"/>
    </row>
    <row r="5166" spans="1:1">
      <c r="A5166" s="7"/>
    </row>
    <row r="5167" spans="1:1">
      <c r="A5167" s="7"/>
    </row>
    <row r="5168" spans="1:1">
      <c r="A5168" s="7"/>
    </row>
    <row r="5169" spans="1:1">
      <c r="A5169" s="7"/>
    </row>
    <row r="5170" spans="1:1">
      <c r="A5170" s="7"/>
    </row>
    <row r="5171" spans="1:1">
      <c r="A5171" s="7"/>
    </row>
    <row r="5172" spans="1:1">
      <c r="A5172" s="7"/>
    </row>
    <row r="5173" spans="1:1">
      <c r="A5173" s="7"/>
    </row>
    <row r="5174" spans="1:1">
      <c r="A5174" s="7"/>
    </row>
    <row r="5175" spans="1:1">
      <c r="A5175" s="7"/>
    </row>
    <row r="5176" spans="1:1">
      <c r="A5176" s="7"/>
    </row>
    <row r="5177" spans="1:1">
      <c r="A5177" s="7"/>
    </row>
    <row r="5178" spans="1:1">
      <c r="A5178" s="7"/>
    </row>
    <row r="5179" spans="1:1">
      <c r="A5179" s="7"/>
    </row>
    <row r="5180" spans="1:1">
      <c r="A5180" s="7"/>
    </row>
    <row r="5181" spans="1:1">
      <c r="A5181" s="7"/>
    </row>
    <row r="5182" spans="1:1">
      <c r="A5182" s="7"/>
    </row>
    <row r="5183" spans="1:1">
      <c r="A5183" s="7"/>
    </row>
    <row r="5184" spans="1:1">
      <c r="A5184" s="7"/>
    </row>
    <row r="5185" spans="1:1">
      <c r="A5185" s="7"/>
    </row>
    <row r="5186" spans="1:1">
      <c r="A5186" s="7"/>
    </row>
    <row r="5187" spans="1:1">
      <c r="A5187" s="7"/>
    </row>
    <row r="5188" spans="1:1">
      <c r="A5188" s="7"/>
    </row>
    <row r="5189" spans="1:1">
      <c r="A5189" s="7"/>
    </row>
    <row r="5190" spans="1:1">
      <c r="A5190" s="7"/>
    </row>
    <row r="5191" spans="1:1">
      <c r="A5191" s="7"/>
    </row>
    <row r="5192" spans="1:1">
      <c r="A5192" s="7"/>
    </row>
    <row r="5193" spans="1:1">
      <c r="A5193" s="7"/>
    </row>
    <row r="5194" spans="1:1">
      <c r="A5194" s="7"/>
    </row>
    <row r="5195" spans="1:1">
      <c r="A5195" s="7"/>
    </row>
    <row r="5196" spans="1:1">
      <c r="A5196" s="7"/>
    </row>
    <row r="5197" spans="1:1">
      <c r="A5197" s="7"/>
    </row>
    <row r="5198" spans="1:1">
      <c r="A5198" s="7"/>
    </row>
    <row r="5199" spans="1:1">
      <c r="A5199" s="7"/>
    </row>
    <row r="5200" spans="1:1">
      <c r="A5200" s="7"/>
    </row>
    <row r="5201" spans="1:1">
      <c r="A5201" s="7"/>
    </row>
    <row r="5202" spans="1:1">
      <c r="A5202" s="7"/>
    </row>
    <row r="5203" spans="1:1">
      <c r="A5203" s="7"/>
    </row>
    <row r="5204" spans="1:1">
      <c r="A5204" s="7"/>
    </row>
    <row r="5205" spans="1:1">
      <c r="A5205" s="7"/>
    </row>
    <row r="5206" spans="1:1">
      <c r="A5206" s="7"/>
    </row>
    <row r="5207" spans="1:1">
      <c r="A5207" s="7"/>
    </row>
    <row r="5208" spans="1:1">
      <c r="A5208" s="7"/>
    </row>
    <row r="5209" spans="1:1">
      <c r="A5209" s="7"/>
    </row>
    <row r="5210" spans="1:1">
      <c r="A5210" s="7"/>
    </row>
    <row r="5211" spans="1:1">
      <c r="A5211" s="7"/>
    </row>
    <row r="5212" spans="1:1">
      <c r="A5212" s="7"/>
    </row>
    <row r="5213" spans="1:1">
      <c r="A5213" s="7"/>
    </row>
    <row r="5214" spans="1:1">
      <c r="A5214" s="7"/>
    </row>
    <row r="5215" spans="1:1">
      <c r="A5215" s="7"/>
    </row>
    <row r="5216" spans="1:1">
      <c r="A5216" s="7"/>
    </row>
    <row r="5217" spans="1:1">
      <c r="A5217" s="7"/>
    </row>
    <row r="5218" spans="1:1">
      <c r="A5218" s="7"/>
    </row>
    <row r="5219" spans="1:1">
      <c r="A5219" s="7"/>
    </row>
    <row r="5220" spans="1:1">
      <c r="A5220" s="7"/>
    </row>
    <row r="5221" spans="1:1">
      <c r="A5221" s="7"/>
    </row>
    <row r="5222" spans="1:1">
      <c r="A5222" s="7"/>
    </row>
    <row r="5223" spans="1:1">
      <c r="A5223" s="7"/>
    </row>
    <row r="5224" spans="1:1">
      <c r="A5224" s="7"/>
    </row>
    <row r="5225" spans="1:1">
      <c r="A5225" s="7"/>
    </row>
    <row r="5226" spans="1:1">
      <c r="A5226" s="7"/>
    </row>
    <row r="5227" spans="1:1">
      <c r="A5227" s="7"/>
    </row>
    <row r="5228" spans="1:1">
      <c r="A5228" s="7"/>
    </row>
    <row r="5229" spans="1:1">
      <c r="A5229" s="7"/>
    </row>
    <row r="5230" spans="1:1">
      <c r="A5230" s="7"/>
    </row>
    <row r="5231" spans="1:1">
      <c r="A5231" s="7"/>
    </row>
    <row r="5232" spans="1:1">
      <c r="A5232" s="7"/>
    </row>
    <row r="5233" spans="1:1">
      <c r="A5233" s="7"/>
    </row>
    <row r="5234" spans="1:1">
      <c r="A5234" s="7"/>
    </row>
    <row r="5235" spans="1:1">
      <c r="A5235" s="7"/>
    </row>
    <row r="5236" spans="1:1">
      <c r="A5236" s="7"/>
    </row>
    <row r="5237" spans="1:1">
      <c r="A5237" s="7"/>
    </row>
    <row r="5238" spans="1:1">
      <c r="A5238" s="7"/>
    </row>
    <row r="5239" spans="1:1">
      <c r="A5239" s="7"/>
    </row>
    <row r="5240" spans="1:1">
      <c r="A5240" s="7"/>
    </row>
    <row r="5241" spans="1:1">
      <c r="A5241" s="7"/>
    </row>
    <row r="5242" spans="1:1">
      <c r="A5242" s="7"/>
    </row>
    <row r="5243" spans="1:1">
      <c r="A5243" s="7"/>
    </row>
    <row r="5244" spans="1:1">
      <c r="A5244" s="7"/>
    </row>
    <row r="5245" spans="1:1">
      <c r="A5245" s="7"/>
    </row>
    <row r="5246" spans="1:1">
      <c r="A5246" s="7"/>
    </row>
    <row r="5247" spans="1:1">
      <c r="A5247" s="7"/>
    </row>
    <row r="5248" spans="1:1">
      <c r="A5248" s="7"/>
    </row>
    <row r="5249" spans="1:1">
      <c r="A5249" s="7"/>
    </row>
    <row r="5250" spans="1:1">
      <c r="A5250" s="7"/>
    </row>
    <row r="5251" spans="1:1">
      <c r="A5251" s="7"/>
    </row>
    <row r="5252" spans="1:1">
      <c r="A5252" s="7"/>
    </row>
    <row r="5253" spans="1:1">
      <c r="A5253" s="7"/>
    </row>
    <row r="5254" spans="1:1">
      <c r="A5254" s="7"/>
    </row>
    <row r="5255" spans="1:1">
      <c r="A5255" s="7"/>
    </row>
    <row r="5256" spans="1:1">
      <c r="A5256" s="7"/>
    </row>
    <row r="5257" spans="1:1">
      <c r="A5257" s="7"/>
    </row>
    <row r="5258" spans="1:1">
      <c r="A5258" s="7"/>
    </row>
    <row r="5259" spans="1:1">
      <c r="A5259" s="7"/>
    </row>
    <row r="5260" spans="1:1">
      <c r="A5260" s="7"/>
    </row>
    <row r="5261" spans="1:1">
      <c r="A5261" s="7"/>
    </row>
    <row r="5262" spans="1:1">
      <c r="A5262" s="7"/>
    </row>
    <row r="5263" spans="1:1">
      <c r="A5263" s="7"/>
    </row>
    <row r="5264" spans="1:1">
      <c r="A5264" s="7"/>
    </row>
    <row r="5265" spans="1:1">
      <c r="A5265" s="7"/>
    </row>
    <row r="5266" spans="1:1">
      <c r="A5266" s="7"/>
    </row>
    <row r="5267" spans="1:1">
      <c r="A5267" s="7"/>
    </row>
    <row r="5268" spans="1:1">
      <c r="A5268" s="7"/>
    </row>
    <row r="5269" spans="1:1">
      <c r="A5269" s="7"/>
    </row>
    <row r="5270" spans="1:1">
      <c r="A5270" s="7"/>
    </row>
    <row r="5271" spans="1:1">
      <c r="A5271" s="7"/>
    </row>
    <row r="5272" spans="1:1">
      <c r="A5272" s="7"/>
    </row>
    <row r="5273" spans="1:1">
      <c r="A5273" s="7"/>
    </row>
    <row r="5274" spans="1:1">
      <c r="A5274" s="7"/>
    </row>
    <row r="5275" spans="1:1">
      <c r="A5275" s="7"/>
    </row>
    <row r="5276" spans="1:1">
      <c r="A5276" s="7"/>
    </row>
    <row r="5277" spans="1:1">
      <c r="A5277" s="7"/>
    </row>
    <row r="5278" spans="1:1">
      <c r="A5278" s="7"/>
    </row>
    <row r="5279" spans="1:1">
      <c r="A5279" s="7"/>
    </row>
    <row r="5280" spans="1:1">
      <c r="A5280" s="7"/>
    </row>
    <row r="5281" spans="1:1">
      <c r="A5281" s="7"/>
    </row>
    <row r="5282" spans="1:1">
      <c r="A5282" s="7"/>
    </row>
    <row r="5283" spans="1:1">
      <c r="A5283" s="7"/>
    </row>
    <row r="5284" spans="1:1">
      <c r="A5284" s="7"/>
    </row>
    <row r="5285" spans="1:1">
      <c r="A5285" s="7"/>
    </row>
    <row r="5286" spans="1:1">
      <c r="A5286" s="7"/>
    </row>
    <row r="5287" spans="1:1">
      <c r="A5287" s="7"/>
    </row>
    <row r="5288" spans="1:1">
      <c r="A5288" s="7"/>
    </row>
    <row r="5289" spans="1:1">
      <c r="A5289" s="7"/>
    </row>
    <row r="5290" spans="1:1">
      <c r="A5290" s="7"/>
    </row>
    <row r="5291" spans="1:1">
      <c r="A5291" s="7"/>
    </row>
    <row r="5292" spans="1:1">
      <c r="A5292" s="7"/>
    </row>
    <row r="5293" spans="1:1">
      <c r="A5293" s="7"/>
    </row>
    <row r="5294" spans="1:1">
      <c r="A5294" s="7"/>
    </row>
    <row r="5295" spans="1:1">
      <c r="A5295" s="7"/>
    </row>
    <row r="5296" spans="1:1">
      <c r="A5296" s="7"/>
    </row>
    <row r="5297" spans="1:1">
      <c r="A5297" s="7"/>
    </row>
    <row r="5298" spans="1:1">
      <c r="A5298" s="7"/>
    </row>
    <row r="5299" spans="1:1">
      <c r="A5299" s="7"/>
    </row>
    <row r="5300" spans="1:1">
      <c r="A5300" s="7"/>
    </row>
    <row r="5301" spans="1:1">
      <c r="A5301" s="7"/>
    </row>
    <row r="5302" spans="1:1">
      <c r="A5302" s="7"/>
    </row>
    <row r="5303" spans="1:1">
      <c r="A5303" s="7"/>
    </row>
    <row r="5304" spans="1:1">
      <c r="A5304" s="7"/>
    </row>
    <row r="5305" spans="1:1">
      <c r="A5305" s="7"/>
    </row>
    <row r="5306" spans="1:1">
      <c r="A5306" s="7"/>
    </row>
    <row r="5307" spans="1:1">
      <c r="A5307" s="7"/>
    </row>
    <row r="5308" spans="1:1">
      <c r="A5308" s="7"/>
    </row>
    <row r="5309" spans="1:1">
      <c r="A5309" s="7"/>
    </row>
    <row r="5310" spans="1:1">
      <c r="A5310" s="7"/>
    </row>
    <row r="5311" spans="1:1">
      <c r="A5311" s="7"/>
    </row>
    <row r="5312" spans="1:1">
      <c r="A5312" s="7"/>
    </row>
    <row r="5313" spans="1:1">
      <c r="A5313" s="7"/>
    </row>
    <row r="5314" spans="1:1">
      <c r="A5314" s="7"/>
    </row>
    <row r="5315" spans="1:1">
      <c r="A5315" s="7"/>
    </row>
    <row r="5316" spans="1:1">
      <c r="A5316" s="7"/>
    </row>
    <row r="5317" spans="1:1">
      <c r="A5317" s="7"/>
    </row>
    <row r="5318" spans="1:1">
      <c r="A5318" s="7"/>
    </row>
    <row r="5319" spans="1:1">
      <c r="A5319" s="7"/>
    </row>
    <row r="5320" spans="1:1">
      <c r="A5320" s="7"/>
    </row>
    <row r="5321" spans="1:1">
      <c r="A5321" s="7"/>
    </row>
    <row r="5322" spans="1:1">
      <c r="A5322" s="7"/>
    </row>
    <row r="5323" spans="1:1">
      <c r="A5323" s="7"/>
    </row>
    <row r="5324" spans="1:1">
      <c r="A5324" s="7"/>
    </row>
    <row r="5325" spans="1:1">
      <c r="A5325" s="7"/>
    </row>
    <row r="5326" spans="1:1">
      <c r="A5326" s="7"/>
    </row>
    <row r="5327" spans="1:1">
      <c r="A5327" s="7"/>
    </row>
    <row r="5328" spans="1:1">
      <c r="A5328" s="7"/>
    </row>
    <row r="5329" spans="1:1">
      <c r="A5329" s="7"/>
    </row>
    <row r="5330" spans="1:1">
      <c r="A5330" s="7"/>
    </row>
    <row r="5331" spans="1:1">
      <c r="A5331" s="7"/>
    </row>
    <row r="5332" spans="1:1">
      <c r="A5332" s="7"/>
    </row>
    <row r="5333" spans="1:1">
      <c r="A5333" s="7"/>
    </row>
    <row r="5334" spans="1:1">
      <c r="A5334" s="7"/>
    </row>
    <row r="5335" spans="1:1">
      <c r="A5335" s="7"/>
    </row>
    <row r="5336" spans="1:1">
      <c r="A5336" s="7"/>
    </row>
    <row r="5337" spans="1:1">
      <c r="A5337" s="7"/>
    </row>
    <row r="5338" spans="1:1">
      <c r="A5338" s="7"/>
    </row>
    <row r="5339" spans="1:1">
      <c r="A5339" s="7"/>
    </row>
    <row r="5340" spans="1:1">
      <c r="A5340" s="7"/>
    </row>
    <row r="5341" spans="1:1">
      <c r="A5341" s="7"/>
    </row>
    <row r="5342" spans="1:1">
      <c r="A5342" s="7"/>
    </row>
    <row r="5343" spans="1:1">
      <c r="A5343" s="7"/>
    </row>
    <row r="5344" spans="1:1">
      <c r="A5344" s="7"/>
    </row>
    <row r="5345" spans="1:1">
      <c r="A5345" s="7"/>
    </row>
    <row r="5346" spans="1:1">
      <c r="A5346" s="7"/>
    </row>
    <row r="5347" spans="1:1">
      <c r="A5347" s="7"/>
    </row>
    <row r="5348" spans="1:1">
      <c r="A5348" s="7"/>
    </row>
    <row r="5349" spans="1:1">
      <c r="A5349" s="7"/>
    </row>
    <row r="5350" spans="1:1">
      <c r="A5350" s="7"/>
    </row>
    <row r="5351" spans="1:1">
      <c r="A5351" s="7"/>
    </row>
    <row r="5352" spans="1:1">
      <c r="A5352" s="7"/>
    </row>
    <row r="5353" spans="1:1">
      <c r="A5353" s="7"/>
    </row>
    <row r="5354" spans="1:1">
      <c r="A5354" s="7"/>
    </row>
    <row r="5355" spans="1:1">
      <c r="A5355" s="7"/>
    </row>
    <row r="5356" spans="1:1">
      <c r="A5356" s="7"/>
    </row>
    <row r="5357" spans="1:1">
      <c r="A5357" s="7"/>
    </row>
    <row r="5358" spans="1:1">
      <c r="A5358" s="7"/>
    </row>
    <row r="5359" spans="1:1">
      <c r="A5359" s="7"/>
    </row>
    <row r="5360" spans="1:1">
      <c r="A5360" s="7"/>
    </row>
    <row r="5361" spans="1:1">
      <c r="A5361" s="7"/>
    </row>
    <row r="5362" spans="1:1">
      <c r="A5362" s="7"/>
    </row>
    <row r="5363" spans="1:1">
      <c r="A5363" s="7"/>
    </row>
    <row r="5364" spans="1:1">
      <c r="A5364" s="7"/>
    </row>
    <row r="5365" spans="1:1">
      <c r="A5365" s="7"/>
    </row>
    <row r="5366" spans="1:1">
      <c r="A5366" s="7"/>
    </row>
    <row r="5367" spans="1:1">
      <c r="A5367" s="7"/>
    </row>
    <row r="5368" spans="1:1">
      <c r="A5368" s="7"/>
    </row>
    <row r="5369" spans="1:1">
      <c r="A5369" s="7"/>
    </row>
    <row r="5370" spans="1:1">
      <c r="A5370" s="7"/>
    </row>
    <row r="5371" spans="1:1">
      <c r="A5371" s="7"/>
    </row>
    <row r="5372" spans="1:1">
      <c r="A5372" s="7"/>
    </row>
    <row r="5373" spans="1:1">
      <c r="A5373" s="7"/>
    </row>
    <row r="5374" spans="1:1">
      <c r="A5374" s="7"/>
    </row>
    <row r="5375" spans="1:1">
      <c r="A5375" s="7"/>
    </row>
    <row r="5376" spans="1:1">
      <c r="A5376" s="7"/>
    </row>
    <row r="5377" spans="1:1">
      <c r="A5377" s="7"/>
    </row>
    <row r="5378" spans="1:1">
      <c r="A5378" s="7"/>
    </row>
    <row r="5379" spans="1:1">
      <c r="A5379" s="7"/>
    </row>
    <row r="5380" spans="1:1">
      <c r="A5380" s="7"/>
    </row>
    <row r="5381" spans="1:1">
      <c r="A5381" s="7"/>
    </row>
    <row r="5382" spans="1:1">
      <c r="A5382" s="7"/>
    </row>
    <row r="5383" spans="1:1">
      <c r="A5383" s="7"/>
    </row>
    <row r="5384" spans="1:1">
      <c r="A5384" s="7"/>
    </row>
    <row r="5385" spans="1:1">
      <c r="A5385" s="7"/>
    </row>
    <row r="5386" spans="1:1">
      <c r="A5386" s="7"/>
    </row>
    <row r="5387" spans="1:1">
      <c r="A5387" s="7"/>
    </row>
    <row r="5388" spans="1:1">
      <c r="A5388" s="7"/>
    </row>
    <row r="5389" spans="1:1">
      <c r="A5389" s="7"/>
    </row>
    <row r="5390" spans="1:1">
      <c r="A5390" s="7"/>
    </row>
    <row r="5391" spans="1:1">
      <c r="A5391" s="7"/>
    </row>
    <row r="5392" spans="1:1">
      <c r="A5392" s="7"/>
    </row>
    <row r="5393" spans="1:1">
      <c r="A5393" s="7"/>
    </row>
    <row r="5394" spans="1:1">
      <c r="A5394" s="7"/>
    </row>
    <row r="5395" spans="1:1">
      <c r="A5395" s="7"/>
    </row>
    <row r="5396" spans="1:1">
      <c r="A5396" s="7"/>
    </row>
    <row r="5397" spans="1:1">
      <c r="A5397" s="7"/>
    </row>
    <row r="5398" spans="1:1">
      <c r="A5398" s="7"/>
    </row>
    <row r="5399" spans="1:1">
      <c r="A5399" s="7"/>
    </row>
    <row r="5400" spans="1:1">
      <c r="A5400" s="7"/>
    </row>
    <row r="5401" spans="1:1">
      <c r="A5401" s="7"/>
    </row>
    <row r="5402" spans="1:1">
      <c r="A5402" s="7"/>
    </row>
    <row r="5403" spans="1:1">
      <c r="A5403" s="7"/>
    </row>
    <row r="5404" spans="1:1">
      <c r="A5404" s="7"/>
    </row>
    <row r="5405" spans="1:1">
      <c r="A5405" s="7"/>
    </row>
    <row r="5406" spans="1:1">
      <c r="A5406" s="7"/>
    </row>
    <row r="5407" spans="1:1">
      <c r="A5407" s="7"/>
    </row>
    <row r="5408" spans="1:1">
      <c r="A5408" s="7"/>
    </row>
    <row r="5409" spans="1:1">
      <c r="A5409" s="7"/>
    </row>
    <row r="5410" spans="1:1">
      <c r="A5410" s="7"/>
    </row>
    <row r="5411" spans="1:1">
      <c r="A5411" s="7"/>
    </row>
    <row r="5412" spans="1:1">
      <c r="A5412" s="7"/>
    </row>
    <row r="5413" spans="1:1">
      <c r="A5413" s="7"/>
    </row>
    <row r="5414" spans="1:1">
      <c r="A5414" s="7"/>
    </row>
    <row r="5415" spans="1:1">
      <c r="A5415" s="7"/>
    </row>
    <row r="5416" spans="1:1">
      <c r="A5416" s="7"/>
    </row>
    <row r="5417" spans="1:1">
      <c r="A5417" s="7"/>
    </row>
    <row r="5418" spans="1:1">
      <c r="A5418" s="7"/>
    </row>
    <row r="5419" spans="1:1">
      <c r="A5419" s="7"/>
    </row>
    <row r="5420" spans="1:1">
      <c r="A5420" s="7"/>
    </row>
    <row r="5421" spans="1:1">
      <c r="A5421" s="7"/>
    </row>
    <row r="5422" spans="1:1">
      <c r="A5422" s="7"/>
    </row>
    <row r="5423" spans="1:1">
      <c r="A5423" s="7"/>
    </row>
    <row r="5424" spans="1:1">
      <c r="A5424" s="7"/>
    </row>
    <row r="5425" spans="1:1">
      <c r="A5425" s="7"/>
    </row>
    <row r="5426" spans="1:1">
      <c r="A5426" s="7"/>
    </row>
    <row r="5427" spans="1:1">
      <c r="A5427" s="7"/>
    </row>
    <row r="5428" spans="1:1">
      <c r="A5428" s="7"/>
    </row>
    <row r="5429" spans="1:1">
      <c r="A5429" s="7"/>
    </row>
    <row r="5430" spans="1:1">
      <c r="A5430" s="7"/>
    </row>
    <row r="5431" spans="1:1">
      <c r="A5431" s="7"/>
    </row>
    <row r="5432" spans="1:1">
      <c r="A5432" s="7"/>
    </row>
    <row r="5433" spans="1:1">
      <c r="A5433" s="7"/>
    </row>
    <row r="5434" spans="1:1">
      <c r="A5434" s="7"/>
    </row>
    <row r="5435" spans="1:1">
      <c r="A5435" s="7"/>
    </row>
    <row r="5436" spans="1:1">
      <c r="A5436" s="7"/>
    </row>
    <row r="5437" spans="1:1">
      <c r="A5437" s="7"/>
    </row>
    <row r="5438" spans="1:1">
      <c r="A5438" s="7"/>
    </row>
    <row r="5439" spans="1:1">
      <c r="A5439" s="7"/>
    </row>
    <row r="5440" spans="1:1">
      <c r="A5440" s="7"/>
    </row>
    <row r="5441" spans="1:1">
      <c r="A5441" s="7"/>
    </row>
    <row r="5442" spans="1:1">
      <c r="A5442" s="7"/>
    </row>
    <row r="5443" spans="1:1">
      <c r="A5443" s="7"/>
    </row>
    <row r="5444" spans="1:1">
      <c r="A5444" s="7"/>
    </row>
    <row r="5445" spans="1:1">
      <c r="A5445" s="7"/>
    </row>
    <row r="5446" spans="1:1">
      <c r="A5446" s="7"/>
    </row>
    <row r="5447" spans="1:1">
      <c r="A5447" s="7"/>
    </row>
    <row r="5448" spans="1:1">
      <c r="A5448" s="7"/>
    </row>
    <row r="5449" spans="1:1">
      <c r="A5449" s="7"/>
    </row>
    <row r="5450" spans="1:1">
      <c r="A5450" s="7"/>
    </row>
    <row r="5451" spans="1:1">
      <c r="A5451" s="7"/>
    </row>
    <row r="5452" spans="1:1">
      <c r="A5452" s="7"/>
    </row>
    <row r="5453" spans="1:1">
      <c r="A5453" s="7"/>
    </row>
    <row r="5454" spans="1:1">
      <c r="A5454" s="7"/>
    </row>
    <row r="5455" spans="1:1">
      <c r="A5455" s="7"/>
    </row>
    <row r="5456" spans="1:1">
      <c r="A5456" s="7"/>
    </row>
    <row r="5457" spans="1:1">
      <c r="A5457" s="7"/>
    </row>
    <row r="5458" spans="1:1">
      <c r="A5458" s="7"/>
    </row>
    <row r="5459" spans="1:1">
      <c r="A5459" s="7"/>
    </row>
    <row r="5460" spans="1:1">
      <c r="A5460" s="7"/>
    </row>
    <row r="5461" spans="1:1">
      <c r="A5461" s="7"/>
    </row>
    <row r="5462" spans="1:1">
      <c r="A5462" s="7"/>
    </row>
    <row r="5463" spans="1:1">
      <c r="A5463" s="7"/>
    </row>
    <row r="5464" spans="1:1">
      <c r="A5464" s="7"/>
    </row>
    <row r="5465" spans="1:1">
      <c r="A5465" s="7"/>
    </row>
    <row r="5466" spans="1:1">
      <c r="A5466" s="7"/>
    </row>
    <row r="5467" spans="1:1">
      <c r="A5467" s="7"/>
    </row>
    <row r="5468" spans="1:1">
      <c r="A5468" s="7"/>
    </row>
    <row r="5469" spans="1:1">
      <c r="A5469" s="7"/>
    </row>
    <row r="5470" spans="1:1">
      <c r="A5470" s="7"/>
    </row>
    <row r="5471" spans="1:1">
      <c r="A5471" s="7"/>
    </row>
    <row r="5472" spans="1:1">
      <c r="A5472" s="7"/>
    </row>
    <row r="5473" spans="1:1">
      <c r="A5473" s="7"/>
    </row>
    <row r="5474" spans="1:1">
      <c r="A5474" s="7"/>
    </row>
    <row r="5475" spans="1:1">
      <c r="A5475" s="7"/>
    </row>
    <row r="5476" spans="1:1">
      <c r="A5476" s="7"/>
    </row>
    <row r="5477" spans="1:1">
      <c r="A5477" s="7"/>
    </row>
    <row r="5478" spans="1:1">
      <c r="A5478" s="7"/>
    </row>
    <row r="5479" spans="1:1">
      <c r="A5479" s="7"/>
    </row>
    <row r="5480" spans="1:1">
      <c r="A5480" s="7"/>
    </row>
    <row r="5481" spans="1:1">
      <c r="A5481" s="7"/>
    </row>
    <row r="5482" spans="1:1">
      <c r="A5482" s="7"/>
    </row>
    <row r="5483" spans="1:1">
      <c r="A5483" s="7"/>
    </row>
    <row r="5484" spans="1:1">
      <c r="A5484" s="7"/>
    </row>
    <row r="5485" spans="1:1">
      <c r="A5485" s="7"/>
    </row>
    <row r="5486" spans="1:1">
      <c r="A5486" s="7"/>
    </row>
    <row r="5487" spans="1:1">
      <c r="A5487" s="7"/>
    </row>
    <row r="5488" spans="1:1">
      <c r="A5488" s="7"/>
    </row>
    <row r="5489" spans="1:1">
      <c r="A5489" s="7"/>
    </row>
    <row r="5490" spans="1:1">
      <c r="A5490" s="7"/>
    </row>
    <row r="5491" spans="1:1">
      <c r="A5491" s="7"/>
    </row>
    <row r="5492" spans="1:1">
      <c r="A5492" s="7"/>
    </row>
    <row r="5493" spans="1:1">
      <c r="A5493" s="7"/>
    </row>
    <row r="5494" spans="1:1">
      <c r="A5494" s="7"/>
    </row>
    <row r="5495" spans="1:1">
      <c r="A5495" s="7"/>
    </row>
    <row r="5496" spans="1:1">
      <c r="A5496" s="7"/>
    </row>
    <row r="5497" spans="1:1">
      <c r="A5497" s="7"/>
    </row>
    <row r="5498" spans="1:1">
      <c r="A5498" s="7"/>
    </row>
    <row r="5499" spans="1:1">
      <c r="A5499" s="7"/>
    </row>
    <row r="5500" spans="1:1">
      <c r="A5500" s="7"/>
    </row>
    <row r="5501" spans="1:1">
      <c r="A5501" s="7"/>
    </row>
    <row r="5502" spans="1:1">
      <c r="A5502" s="7"/>
    </row>
    <row r="5503" spans="1:1">
      <c r="A5503" s="7"/>
    </row>
    <row r="5504" spans="1:1">
      <c r="A5504" s="7"/>
    </row>
    <row r="5505" spans="1:1">
      <c r="A5505" s="7"/>
    </row>
    <row r="5506" spans="1:1">
      <c r="A5506" s="7"/>
    </row>
    <row r="5507" spans="1:1">
      <c r="A5507" s="7"/>
    </row>
    <row r="5508" spans="1:1">
      <c r="A5508" s="7"/>
    </row>
    <row r="5509" spans="1:1">
      <c r="A5509" s="7"/>
    </row>
    <row r="5510" spans="1:1">
      <c r="A5510" s="7"/>
    </row>
    <row r="5511" spans="1:1">
      <c r="A5511" s="7"/>
    </row>
    <row r="5512" spans="1:1">
      <c r="A5512" s="7"/>
    </row>
    <row r="5513" spans="1:1">
      <c r="A5513" s="7"/>
    </row>
    <row r="5514" spans="1:1">
      <c r="A5514" s="7"/>
    </row>
    <row r="5515" spans="1:1">
      <c r="A5515" s="7"/>
    </row>
    <row r="5516" spans="1:1">
      <c r="A5516" s="7"/>
    </row>
    <row r="5517" spans="1:1">
      <c r="A5517" s="7"/>
    </row>
    <row r="5518" spans="1:1">
      <c r="A5518" s="7"/>
    </row>
    <row r="5519" spans="1:1">
      <c r="A5519" s="7"/>
    </row>
    <row r="5520" spans="1:1">
      <c r="A5520" s="7"/>
    </row>
    <row r="5521" spans="1:1">
      <c r="A5521" s="7"/>
    </row>
    <row r="5522" spans="1:1">
      <c r="A5522" s="7"/>
    </row>
    <row r="5523" spans="1:1">
      <c r="A5523" s="7"/>
    </row>
    <row r="5524" spans="1:1">
      <c r="A5524" s="7"/>
    </row>
    <row r="5525" spans="1:1">
      <c r="A5525" s="7"/>
    </row>
    <row r="5526" spans="1:1">
      <c r="A5526" s="7"/>
    </row>
    <row r="5527" spans="1:1">
      <c r="A5527" s="7"/>
    </row>
    <row r="5528" spans="1:1">
      <c r="A5528" s="7"/>
    </row>
    <row r="5529" spans="1:1">
      <c r="A5529" s="7"/>
    </row>
    <row r="5530" spans="1:1">
      <c r="A5530" s="7"/>
    </row>
    <row r="5531" spans="1:1">
      <c r="A5531" s="7"/>
    </row>
    <row r="5532" spans="1:1">
      <c r="A5532" s="7"/>
    </row>
    <row r="5533" spans="1:1">
      <c r="A5533" s="7"/>
    </row>
    <row r="5534" spans="1:1">
      <c r="A5534" s="7"/>
    </row>
    <row r="5535" spans="1:1">
      <c r="A5535" s="7"/>
    </row>
    <row r="5536" spans="1:1">
      <c r="A5536" s="7"/>
    </row>
    <row r="5537" spans="1:1">
      <c r="A5537" s="7"/>
    </row>
    <row r="5538" spans="1:1">
      <c r="A5538" s="7"/>
    </row>
    <row r="5539" spans="1:1">
      <c r="A5539" s="7"/>
    </row>
    <row r="5540" spans="1:1">
      <c r="A5540" s="7"/>
    </row>
    <row r="5541" spans="1:1">
      <c r="A5541" s="7"/>
    </row>
    <row r="5542" spans="1:1">
      <c r="A5542" s="7"/>
    </row>
    <row r="5543" spans="1:1">
      <c r="A5543" s="7"/>
    </row>
    <row r="5544" spans="1:1">
      <c r="A5544" s="7"/>
    </row>
    <row r="5545" spans="1:1">
      <c r="A5545" s="7"/>
    </row>
    <row r="5546" spans="1:1">
      <c r="A5546" s="7"/>
    </row>
    <row r="5547" spans="1:1">
      <c r="A5547" s="7"/>
    </row>
    <row r="5548" spans="1:1">
      <c r="A5548" s="7"/>
    </row>
    <row r="5549" spans="1:1">
      <c r="A5549" s="7"/>
    </row>
    <row r="5550" spans="1:1">
      <c r="A5550" s="7"/>
    </row>
    <row r="5551" spans="1:1">
      <c r="A5551" s="7"/>
    </row>
    <row r="5552" spans="1:1">
      <c r="A5552" s="7"/>
    </row>
    <row r="5553" spans="1:1">
      <c r="A5553" s="7"/>
    </row>
    <row r="5554" spans="1:1">
      <c r="A5554" s="7"/>
    </row>
    <row r="5555" spans="1:1">
      <c r="A5555" s="7"/>
    </row>
    <row r="5556" spans="1:1">
      <c r="A5556" s="7"/>
    </row>
    <row r="5557" spans="1:1">
      <c r="A5557" s="7"/>
    </row>
    <row r="5558" spans="1:1">
      <c r="A5558" s="7"/>
    </row>
    <row r="5559" spans="1:1">
      <c r="A5559" s="7"/>
    </row>
    <row r="5560" spans="1:1">
      <c r="A5560" s="7"/>
    </row>
    <row r="5561" spans="1:1">
      <c r="A5561" s="7"/>
    </row>
    <row r="5562" spans="1:1">
      <c r="A5562" s="7"/>
    </row>
    <row r="5563" spans="1:1">
      <c r="A5563" s="7"/>
    </row>
    <row r="5564" spans="1:1">
      <c r="A5564" s="7"/>
    </row>
    <row r="5565" spans="1:1">
      <c r="A5565" s="7"/>
    </row>
    <row r="5566" spans="1:1">
      <c r="A5566" s="7"/>
    </row>
    <row r="5567" spans="1:1">
      <c r="A5567" s="7"/>
    </row>
    <row r="5568" spans="1:1">
      <c r="A5568" s="7"/>
    </row>
    <row r="5569" spans="1:1">
      <c r="A5569" s="7"/>
    </row>
    <row r="5570" spans="1:1">
      <c r="A5570" s="7"/>
    </row>
    <row r="5571" spans="1:1">
      <c r="A5571" s="7"/>
    </row>
    <row r="5572" spans="1:1">
      <c r="A5572" s="7"/>
    </row>
    <row r="5573" spans="1:1">
      <c r="A5573" s="7"/>
    </row>
    <row r="5574" spans="1:1">
      <c r="A5574" s="7"/>
    </row>
    <row r="5575" spans="1:1">
      <c r="A5575" s="7"/>
    </row>
    <row r="5576" spans="1:1">
      <c r="A5576" s="7"/>
    </row>
    <row r="5577" spans="1:1">
      <c r="A5577" s="7"/>
    </row>
    <row r="5578" spans="1:1">
      <c r="A5578" s="7"/>
    </row>
    <row r="5579" spans="1:1">
      <c r="A5579" s="7"/>
    </row>
    <row r="5580" spans="1:1">
      <c r="A5580" s="7"/>
    </row>
    <row r="5581" spans="1:1">
      <c r="A5581" s="7"/>
    </row>
    <row r="5582" spans="1:1">
      <c r="A5582" s="7"/>
    </row>
    <row r="5583" spans="1:1">
      <c r="A5583" s="7"/>
    </row>
    <row r="5584" spans="1:1">
      <c r="A5584" s="7"/>
    </row>
    <row r="5585" spans="1:1">
      <c r="A5585" s="7"/>
    </row>
    <row r="5586" spans="1:1">
      <c r="A5586" s="7"/>
    </row>
    <row r="5587" spans="1:1">
      <c r="A5587" s="7"/>
    </row>
    <row r="5588" spans="1:1">
      <c r="A5588" s="7"/>
    </row>
    <row r="5589" spans="1:1">
      <c r="A5589" s="7"/>
    </row>
    <row r="5590" spans="1:1">
      <c r="A5590" s="7"/>
    </row>
    <row r="5591" spans="1:1">
      <c r="A5591" s="7"/>
    </row>
    <row r="5592" spans="1:1">
      <c r="A5592" s="7"/>
    </row>
    <row r="5593" spans="1:1">
      <c r="A5593" s="7"/>
    </row>
    <row r="5594" spans="1:1">
      <c r="A5594" s="7"/>
    </row>
    <row r="5595" spans="1:1">
      <c r="A5595" s="7"/>
    </row>
    <row r="5596" spans="1:1">
      <c r="A5596" s="7"/>
    </row>
    <row r="5597" spans="1:1">
      <c r="A5597" s="7"/>
    </row>
    <row r="5598" spans="1:1">
      <c r="A5598" s="7"/>
    </row>
    <row r="5599" spans="1:1">
      <c r="A5599" s="7"/>
    </row>
    <row r="5600" spans="1:1">
      <c r="A5600" s="7"/>
    </row>
    <row r="5601" spans="1:1">
      <c r="A5601" s="7"/>
    </row>
    <row r="5602" spans="1:1">
      <c r="A5602" s="7"/>
    </row>
    <row r="5603" spans="1:1">
      <c r="A5603" s="7"/>
    </row>
    <row r="5604" spans="1:1">
      <c r="A5604" s="7"/>
    </row>
    <row r="5605" spans="1:1">
      <c r="A5605" s="7"/>
    </row>
    <row r="5606" spans="1:1">
      <c r="A5606" s="7"/>
    </row>
    <row r="5607" spans="1:1">
      <c r="A5607" s="7"/>
    </row>
    <row r="5608" spans="1:1">
      <c r="A5608" s="7"/>
    </row>
    <row r="5609" spans="1:1">
      <c r="A5609" s="7"/>
    </row>
    <row r="5610" spans="1:1">
      <c r="A5610" s="7"/>
    </row>
    <row r="5611" spans="1:1">
      <c r="A5611" s="7"/>
    </row>
    <row r="5612" spans="1:1">
      <c r="A5612" s="7"/>
    </row>
    <row r="5613" spans="1:1">
      <c r="A5613" s="7"/>
    </row>
    <row r="5614" spans="1:1">
      <c r="A5614" s="7"/>
    </row>
    <row r="5615" spans="1:1">
      <c r="A5615" s="7"/>
    </row>
    <row r="5616" spans="1:1">
      <c r="A5616" s="7"/>
    </row>
    <row r="5617" spans="1:1">
      <c r="A5617" s="7"/>
    </row>
    <row r="5618" spans="1:1">
      <c r="A5618" s="7"/>
    </row>
    <row r="5619" spans="1:1">
      <c r="A5619" s="7"/>
    </row>
    <row r="5620" spans="1:1">
      <c r="A5620" s="7"/>
    </row>
    <row r="5621" spans="1:1">
      <c r="A5621" s="7"/>
    </row>
    <row r="5622" spans="1:1">
      <c r="A5622" s="7"/>
    </row>
    <row r="5623" spans="1:1">
      <c r="A5623" s="7"/>
    </row>
    <row r="5624" spans="1:1">
      <c r="A5624" s="7"/>
    </row>
    <row r="5625" spans="1:1">
      <c r="A5625" s="7"/>
    </row>
    <row r="5626" spans="1:1">
      <c r="A5626" s="7"/>
    </row>
    <row r="5627" spans="1:1">
      <c r="A5627" s="7"/>
    </row>
    <row r="5628" spans="1:1">
      <c r="A5628" s="7"/>
    </row>
    <row r="5629" spans="1:1">
      <c r="A5629" s="7"/>
    </row>
    <row r="5630" spans="1:1">
      <c r="A5630" s="7"/>
    </row>
    <row r="5631" spans="1:1">
      <c r="A5631" s="7"/>
    </row>
    <row r="5632" spans="1:1">
      <c r="A5632" s="7"/>
    </row>
    <row r="5633" spans="1:1">
      <c r="A5633" s="7"/>
    </row>
    <row r="5634" spans="1:1">
      <c r="A5634" s="7"/>
    </row>
    <row r="5635" spans="1:1">
      <c r="A5635" s="7"/>
    </row>
    <row r="5636" spans="1:1">
      <c r="A5636" s="7"/>
    </row>
    <row r="5637" spans="1:1">
      <c r="A5637" s="7"/>
    </row>
    <row r="5638" spans="1:1">
      <c r="A5638" s="7"/>
    </row>
    <row r="5639" spans="1:1">
      <c r="A5639" s="7"/>
    </row>
    <row r="5640" spans="1:1">
      <c r="A5640" s="7"/>
    </row>
    <row r="5641" spans="1:1">
      <c r="A5641" s="7"/>
    </row>
    <row r="5642" spans="1:1">
      <c r="A5642" s="7"/>
    </row>
    <row r="5643" spans="1:1">
      <c r="A5643" s="7"/>
    </row>
    <row r="5644" spans="1:1">
      <c r="A5644" s="7"/>
    </row>
    <row r="5645" spans="1:1">
      <c r="A5645" s="7"/>
    </row>
    <row r="5646" spans="1:1">
      <c r="A5646" s="7"/>
    </row>
    <row r="5647" spans="1:1">
      <c r="A5647" s="7"/>
    </row>
    <row r="5648" spans="1:1">
      <c r="A5648" s="7"/>
    </row>
    <row r="5649" spans="1:1">
      <c r="A5649" s="7"/>
    </row>
    <row r="5650" spans="1:1">
      <c r="A5650" s="7"/>
    </row>
    <row r="5651" spans="1:1">
      <c r="A5651" s="7"/>
    </row>
    <row r="5652" spans="1:1">
      <c r="A5652" s="7"/>
    </row>
    <row r="5653" spans="1:1">
      <c r="A5653" s="7"/>
    </row>
    <row r="5654" spans="1:1">
      <c r="A5654" s="7"/>
    </row>
    <row r="5655" spans="1:1">
      <c r="A5655" s="7"/>
    </row>
    <row r="5656" spans="1:1">
      <c r="A5656" s="7"/>
    </row>
    <row r="5657" spans="1:1">
      <c r="A5657" s="7"/>
    </row>
    <row r="5658" spans="1:1">
      <c r="A5658" s="7"/>
    </row>
    <row r="5659" spans="1:1">
      <c r="A5659" s="7"/>
    </row>
    <row r="5660" spans="1:1">
      <c r="A5660" s="7"/>
    </row>
    <row r="5661" spans="1:1">
      <c r="A5661" s="7"/>
    </row>
    <row r="5662" spans="1:1">
      <c r="A5662" s="7"/>
    </row>
    <row r="5663" spans="1:1">
      <c r="A5663" s="7"/>
    </row>
    <row r="5664" spans="1:1">
      <c r="A5664" s="7"/>
    </row>
    <row r="5665" spans="1:1">
      <c r="A5665" s="7"/>
    </row>
    <row r="5666" spans="1:1">
      <c r="A5666" s="7"/>
    </row>
    <row r="5667" spans="1:1">
      <c r="A5667" s="7"/>
    </row>
    <row r="5668" spans="1:1">
      <c r="A5668" s="7"/>
    </row>
    <row r="5669" spans="1:1">
      <c r="A5669" s="7"/>
    </row>
    <row r="5670" spans="1:1">
      <c r="A5670" s="7"/>
    </row>
    <row r="5671" spans="1:1">
      <c r="A5671" s="7"/>
    </row>
    <row r="5672" spans="1:1">
      <c r="A5672" s="7"/>
    </row>
    <row r="5673" spans="1:1">
      <c r="A5673" s="7"/>
    </row>
    <row r="5674" spans="1:1">
      <c r="A5674" s="7"/>
    </row>
    <row r="5675" spans="1:1">
      <c r="A5675" s="7"/>
    </row>
    <row r="5676" spans="1:1">
      <c r="A5676" s="7"/>
    </row>
    <row r="5677" spans="1:1">
      <c r="A5677" s="7"/>
    </row>
    <row r="5678" spans="1:1">
      <c r="A5678" s="7"/>
    </row>
    <row r="5679" spans="1:1">
      <c r="A5679" s="7"/>
    </row>
    <row r="5680" spans="1:1">
      <c r="A5680" s="7"/>
    </row>
    <row r="5681" spans="1:1">
      <c r="A5681" s="7"/>
    </row>
    <row r="5682" spans="1:1">
      <c r="A5682" s="7"/>
    </row>
    <row r="5683" spans="1:1">
      <c r="A5683" s="7"/>
    </row>
    <row r="5684" spans="1:1">
      <c r="A5684" s="7"/>
    </row>
    <row r="5685" spans="1:1">
      <c r="A5685" s="7"/>
    </row>
    <row r="5686" spans="1:1">
      <c r="A5686" s="7"/>
    </row>
    <row r="5687" spans="1:1">
      <c r="A5687" s="7"/>
    </row>
    <row r="5688" spans="1:1">
      <c r="A5688" s="7"/>
    </row>
    <row r="5689" spans="1:1">
      <c r="A5689" s="7"/>
    </row>
    <row r="5690" spans="1:1">
      <c r="A5690" s="7"/>
    </row>
    <row r="5691" spans="1:1">
      <c r="A5691" s="7"/>
    </row>
    <row r="5692" spans="1:1">
      <c r="A5692" s="7"/>
    </row>
    <row r="5693" spans="1:1">
      <c r="A5693" s="7"/>
    </row>
    <row r="5694" spans="1:1">
      <c r="A5694" s="7"/>
    </row>
    <row r="5695" spans="1:1">
      <c r="A5695" s="7"/>
    </row>
    <row r="5696" spans="1:1">
      <c r="A5696" s="7"/>
    </row>
    <row r="5697" spans="1:1">
      <c r="A5697" s="7"/>
    </row>
    <row r="5698" spans="1:1">
      <c r="A5698" s="7"/>
    </row>
    <row r="5699" spans="1:1">
      <c r="A5699" s="7"/>
    </row>
    <row r="5700" spans="1:1">
      <c r="A5700" s="7"/>
    </row>
    <row r="5701" spans="1:1">
      <c r="A5701" s="7"/>
    </row>
    <row r="5702" spans="1:1">
      <c r="A5702" s="7"/>
    </row>
    <row r="5703" spans="1:1">
      <c r="A5703" s="7"/>
    </row>
    <row r="5704" spans="1:1">
      <c r="A5704" s="7"/>
    </row>
    <row r="5705" spans="1:1">
      <c r="A5705" s="7"/>
    </row>
    <row r="5706" spans="1:1">
      <c r="A5706" s="7"/>
    </row>
    <row r="5707" spans="1:1">
      <c r="A5707" s="7"/>
    </row>
    <row r="5708" spans="1:1">
      <c r="A5708" s="7"/>
    </row>
    <row r="5709" spans="1:1">
      <c r="A5709" s="7"/>
    </row>
    <row r="5710" spans="1:1">
      <c r="A5710" s="7"/>
    </row>
    <row r="5711" spans="1:1">
      <c r="A5711" s="7"/>
    </row>
    <row r="5712" spans="1:1">
      <c r="A5712" s="7"/>
    </row>
    <row r="5713" spans="1:1">
      <c r="A5713" s="7"/>
    </row>
    <row r="5714" spans="1:1">
      <c r="A5714" s="7"/>
    </row>
    <row r="5715" spans="1:1">
      <c r="A5715" s="7"/>
    </row>
    <row r="5716" spans="1:1">
      <c r="A5716" s="7"/>
    </row>
    <row r="5717" spans="1:1">
      <c r="A5717" s="7"/>
    </row>
    <row r="5718" spans="1:1">
      <c r="A5718" s="7"/>
    </row>
    <row r="5719" spans="1:1">
      <c r="A5719" s="7"/>
    </row>
    <row r="5720" spans="1:1">
      <c r="A5720" s="7"/>
    </row>
    <row r="5721" spans="1:1">
      <c r="A5721" s="7"/>
    </row>
    <row r="5722" spans="1:1">
      <c r="A5722" s="7"/>
    </row>
    <row r="5723" spans="1:1">
      <c r="A5723" s="7"/>
    </row>
    <row r="5724" spans="1:1">
      <c r="A5724" s="7"/>
    </row>
    <row r="5725" spans="1:1">
      <c r="A5725" s="7"/>
    </row>
    <row r="5726" spans="1:1">
      <c r="A5726" s="7"/>
    </row>
    <row r="5727" spans="1:1">
      <c r="A5727" s="7"/>
    </row>
    <row r="5728" spans="1:1">
      <c r="A5728" s="7"/>
    </row>
    <row r="5729" spans="1:1">
      <c r="A5729" s="7"/>
    </row>
    <row r="5730" spans="1:1">
      <c r="A5730" s="7"/>
    </row>
    <row r="5731" spans="1:1">
      <c r="A5731" s="7"/>
    </row>
    <row r="5732" spans="1:1">
      <c r="A5732" s="7"/>
    </row>
    <row r="5733" spans="1:1">
      <c r="A5733" s="7"/>
    </row>
    <row r="5734" spans="1:1">
      <c r="A5734" s="7"/>
    </row>
    <row r="5735" spans="1:1">
      <c r="A5735" s="7"/>
    </row>
    <row r="5736" spans="1:1">
      <c r="A5736" s="7"/>
    </row>
    <row r="5737" spans="1:1">
      <c r="A5737" s="7"/>
    </row>
    <row r="5738" spans="1:1">
      <c r="A5738" s="7"/>
    </row>
    <row r="5739" spans="1:1">
      <c r="A5739" s="7"/>
    </row>
    <row r="5740" spans="1:1">
      <c r="A5740" s="7"/>
    </row>
    <row r="5741" spans="1:1">
      <c r="A5741" s="7"/>
    </row>
    <row r="5742" spans="1:1">
      <c r="A5742" s="7"/>
    </row>
    <row r="5743" spans="1:1">
      <c r="A5743" s="7"/>
    </row>
    <row r="5744" spans="1:1">
      <c r="A5744" s="7"/>
    </row>
    <row r="5745" spans="1:1">
      <c r="A5745" s="7"/>
    </row>
    <row r="5746" spans="1:1">
      <c r="A5746" s="7"/>
    </row>
    <row r="5747" spans="1:1">
      <c r="A5747" s="7"/>
    </row>
    <row r="5748" spans="1:1">
      <c r="A5748" s="7"/>
    </row>
    <row r="5749" spans="1:1">
      <c r="A5749" s="7"/>
    </row>
    <row r="5750" spans="1:1">
      <c r="A5750" s="7"/>
    </row>
    <row r="5751" spans="1:1">
      <c r="A5751" s="7"/>
    </row>
    <row r="5752" spans="1:1">
      <c r="A5752" s="7"/>
    </row>
    <row r="5753" spans="1:1">
      <c r="A5753" s="7"/>
    </row>
    <row r="5754" spans="1:1">
      <c r="A5754" s="7"/>
    </row>
    <row r="5755" spans="1:1">
      <c r="A5755" s="7"/>
    </row>
    <row r="5756" spans="1:1">
      <c r="A5756" s="7"/>
    </row>
    <row r="5757" spans="1:1">
      <c r="A5757" s="7"/>
    </row>
    <row r="5758" spans="1:1">
      <c r="A5758" s="7"/>
    </row>
    <row r="5759" spans="1:1">
      <c r="A5759" s="7"/>
    </row>
    <row r="5760" spans="1:1">
      <c r="A5760" s="7"/>
    </row>
    <row r="5761" spans="1:1">
      <c r="A5761" s="7"/>
    </row>
    <row r="5762" spans="1:1">
      <c r="A5762" s="7"/>
    </row>
    <row r="5763" spans="1:1">
      <c r="A5763" s="7"/>
    </row>
    <row r="5764" spans="1:1">
      <c r="A5764" s="7"/>
    </row>
    <row r="5765" spans="1:1">
      <c r="A5765" s="7"/>
    </row>
    <row r="5766" spans="1:1">
      <c r="A5766" s="7"/>
    </row>
    <row r="5767" spans="1:1">
      <c r="A5767" s="7"/>
    </row>
    <row r="5768" spans="1:1">
      <c r="A5768" s="7"/>
    </row>
    <row r="5769" spans="1:1">
      <c r="A5769" s="7"/>
    </row>
    <row r="5770" spans="1:1">
      <c r="A5770" s="7"/>
    </row>
    <row r="5771" spans="1:1">
      <c r="A5771" s="7"/>
    </row>
    <row r="5772" spans="1:1">
      <c r="A5772" s="7"/>
    </row>
    <row r="5773" spans="1:1">
      <c r="A5773" s="7"/>
    </row>
    <row r="5774" spans="1:1">
      <c r="A5774" s="7"/>
    </row>
    <row r="5775" spans="1:1">
      <c r="A5775" s="7"/>
    </row>
    <row r="5776" spans="1:1">
      <c r="A5776" s="7"/>
    </row>
    <row r="5777" spans="1:1">
      <c r="A5777" s="7"/>
    </row>
    <row r="5778" spans="1:1">
      <c r="A5778" s="7"/>
    </row>
    <row r="5779" spans="1:1">
      <c r="A5779" s="7"/>
    </row>
    <row r="5780" spans="1:1">
      <c r="A5780" s="7"/>
    </row>
    <row r="5781" spans="1:1">
      <c r="A5781" s="7"/>
    </row>
    <row r="5782" spans="1:1">
      <c r="A5782" s="7"/>
    </row>
    <row r="5783" spans="1:1">
      <c r="A5783" s="7"/>
    </row>
    <row r="5784" spans="1:1">
      <c r="A5784" s="7"/>
    </row>
    <row r="5785" spans="1:1">
      <c r="A5785" s="7"/>
    </row>
    <row r="5786" spans="1:1">
      <c r="A5786" s="7"/>
    </row>
    <row r="5787" spans="1:1">
      <c r="A5787" s="7"/>
    </row>
    <row r="5788" spans="1:1">
      <c r="A5788" s="7"/>
    </row>
    <row r="5789" spans="1:1">
      <c r="A5789" s="7"/>
    </row>
    <row r="5790" spans="1:1">
      <c r="A5790" s="7"/>
    </row>
    <row r="5791" spans="1:1">
      <c r="A5791" s="7"/>
    </row>
    <row r="5792" spans="1:1">
      <c r="A5792" s="7"/>
    </row>
    <row r="5793" spans="1:1">
      <c r="A5793" s="7"/>
    </row>
    <row r="5794" spans="1:1">
      <c r="A5794" s="7"/>
    </row>
    <row r="5795" spans="1:1">
      <c r="A5795" s="7"/>
    </row>
    <row r="5796" spans="1:1">
      <c r="A5796" s="7"/>
    </row>
    <row r="5797" spans="1:1">
      <c r="A5797" s="7"/>
    </row>
    <row r="5798" spans="1:1">
      <c r="A5798" s="7"/>
    </row>
    <row r="5799" spans="1:1">
      <c r="A5799" s="7"/>
    </row>
    <row r="5800" spans="1:1">
      <c r="A5800" s="7"/>
    </row>
    <row r="5801" spans="1:1">
      <c r="A5801" s="7"/>
    </row>
    <row r="5802" spans="1:1">
      <c r="A5802" s="7"/>
    </row>
    <row r="5803" spans="1:1">
      <c r="A5803" s="7"/>
    </row>
    <row r="5804" spans="1:1">
      <c r="A5804" s="7"/>
    </row>
    <row r="5805" spans="1:1">
      <c r="A5805" s="7"/>
    </row>
    <row r="5806" spans="1:1">
      <c r="A5806" s="7"/>
    </row>
    <row r="5807" spans="1:1">
      <c r="A5807" s="7"/>
    </row>
    <row r="5808" spans="1:1">
      <c r="A5808" s="7"/>
    </row>
    <row r="5809" spans="1:1">
      <c r="A5809" s="7"/>
    </row>
    <row r="5810" spans="1:1">
      <c r="A5810" s="7"/>
    </row>
    <row r="5811" spans="1:1">
      <c r="A5811" s="7"/>
    </row>
    <row r="5812" spans="1:1">
      <c r="A5812" s="7"/>
    </row>
    <row r="5813" spans="1:1">
      <c r="A5813" s="7"/>
    </row>
    <row r="5814" spans="1:1">
      <c r="A5814" s="7"/>
    </row>
    <row r="5815" spans="1:1">
      <c r="A5815" s="7"/>
    </row>
    <row r="5816" spans="1:1">
      <c r="A5816" s="7"/>
    </row>
    <row r="5817" spans="1:1">
      <c r="A5817" s="7"/>
    </row>
    <row r="5818" spans="1:1">
      <c r="A5818" s="7"/>
    </row>
    <row r="5819" spans="1:1">
      <c r="A5819" s="7"/>
    </row>
    <row r="5820" spans="1:1">
      <c r="A5820" s="7"/>
    </row>
    <row r="5821" spans="1:1">
      <c r="A5821" s="7"/>
    </row>
    <row r="5822" spans="1:1">
      <c r="A5822" s="7"/>
    </row>
    <row r="5823" spans="1:1">
      <c r="A5823" s="7"/>
    </row>
    <row r="5824" spans="1:1">
      <c r="A5824" s="7"/>
    </row>
    <row r="5825" spans="1:1">
      <c r="A5825" s="7"/>
    </row>
    <row r="5826" spans="1:1">
      <c r="A5826" s="7"/>
    </row>
    <row r="5827" spans="1:1">
      <c r="A5827" s="7"/>
    </row>
    <row r="5828" spans="1:1">
      <c r="A5828" s="7"/>
    </row>
    <row r="5829" spans="1:1">
      <c r="A5829" s="7"/>
    </row>
    <row r="5830" spans="1:1">
      <c r="A5830" s="7"/>
    </row>
    <row r="5831" spans="1:1">
      <c r="A5831" s="7"/>
    </row>
    <row r="5832" spans="1:1">
      <c r="A5832" s="7"/>
    </row>
    <row r="5833" spans="1:1">
      <c r="A5833" s="7"/>
    </row>
    <row r="5834" spans="1:1">
      <c r="A5834" s="7"/>
    </row>
    <row r="5835" spans="1:1">
      <c r="A5835" s="7"/>
    </row>
    <row r="5836" spans="1:1">
      <c r="A5836" s="7"/>
    </row>
    <row r="5837" spans="1:1">
      <c r="A5837" s="7"/>
    </row>
    <row r="5838" spans="1:1">
      <c r="A5838" s="7"/>
    </row>
    <row r="5839" spans="1:1">
      <c r="A5839" s="7"/>
    </row>
    <row r="5840" spans="1:1">
      <c r="A5840" s="7"/>
    </row>
    <row r="5841" spans="1:1">
      <c r="A5841" s="7"/>
    </row>
    <row r="5842" spans="1:1">
      <c r="A5842" s="7"/>
    </row>
    <row r="5843" spans="1:1">
      <c r="A5843" s="7"/>
    </row>
    <row r="5844" spans="1:1">
      <c r="A5844" s="7"/>
    </row>
    <row r="5845" spans="1:1">
      <c r="A5845" s="7"/>
    </row>
    <row r="5846" spans="1:1">
      <c r="A5846" s="7"/>
    </row>
    <row r="5847" spans="1:1">
      <c r="A5847" s="7"/>
    </row>
    <row r="5848" spans="1:1">
      <c r="A5848" s="7"/>
    </row>
    <row r="5849" spans="1:1">
      <c r="A5849" s="7"/>
    </row>
    <row r="5850" spans="1:1">
      <c r="A5850" s="7"/>
    </row>
    <row r="5851" spans="1:1">
      <c r="A5851" s="7"/>
    </row>
    <row r="5852" spans="1:1">
      <c r="A5852" s="7"/>
    </row>
    <row r="5853" spans="1:1">
      <c r="A5853" s="7"/>
    </row>
    <row r="5854" spans="1:1">
      <c r="A5854" s="7"/>
    </row>
    <row r="5855" spans="1:1">
      <c r="A5855" s="7"/>
    </row>
    <row r="5856" spans="1:1">
      <c r="A5856" s="7"/>
    </row>
    <row r="5857" spans="1:1">
      <c r="A5857" s="7"/>
    </row>
    <row r="5858" spans="1:1">
      <c r="A5858" s="7"/>
    </row>
    <row r="5859" spans="1:1">
      <c r="A5859" s="7"/>
    </row>
    <row r="5860" spans="1:1">
      <c r="A5860" s="7"/>
    </row>
    <row r="5861" spans="1:1">
      <c r="A5861" s="7"/>
    </row>
    <row r="5862" spans="1:1">
      <c r="A5862" s="7"/>
    </row>
    <row r="5863" spans="1:1">
      <c r="A5863" s="7"/>
    </row>
    <row r="5864" spans="1:1">
      <c r="A5864" s="7"/>
    </row>
    <row r="5865" spans="1:1">
      <c r="A5865" s="7"/>
    </row>
    <row r="5866" spans="1:1">
      <c r="A5866" s="7"/>
    </row>
    <row r="5867" spans="1:1">
      <c r="A5867" s="7"/>
    </row>
    <row r="5868" spans="1:1">
      <c r="A5868" s="7"/>
    </row>
    <row r="5869" spans="1:1">
      <c r="A5869" s="7"/>
    </row>
    <row r="5870" spans="1:1">
      <c r="A5870" s="7"/>
    </row>
    <row r="5871" spans="1:1">
      <c r="A5871" s="7"/>
    </row>
    <row r="5872" spans="1:1">
      <c r="A5872" s="7"/>
    </row>
    <row r="5873" spans="1:1">
      <c r="A5873" s="7"/>
    </row>
    <row r="5874" spans="1:1">
      <c r="A5874" s="7"/>
    </row>
    <row r="5875" spans="1:1">
      <c r="A5875" s="7"/>
    </row>
    <row r="5876" spans="1:1">
      <c r="A5876" s="7"/>
    </row>
    <row r="5877" spans="1:1">
      <c r="A5877" s="7"/>
    </row>
    <row r="5878" spans="1:1">
      <c r="A5878" s="7"/>
    </row>
    <row r="5879" spans="1:1">
      <c r="A5879" s="7"/>
    </row>
    <row r="5880" spans="1:1">
      <c r="A5880" s="7"/>
    </row>
    <row r="5881" spans="1:1">
      <c r="A5881" s="7"/>
    </row>
    <row r="5882" spans="1:1">
      <c r="A5882" s="7"/>
    </row>
    <row r="5883" spans="1:1">
      <c r="A5883" s="7"/>
    </row>
    <row r="5884" spans="1:1">
      <c r="A5884" s="7"/>
    </row>
    <row r="5885" spans="1:1">
      <c r="A5885" s="7"/>
    </row>
    <row r="5886" spans="1:1">
      <c r="A5886" s="7"/>
    </row>
    <row r="5887" spans="1:1">
      <c r="A5887" s="7"/>
    </row>
    <row r="5888" spans="1:1">
      <c r="A5888" s="7"/>
    </row>
    <row r="5889" spans="1:1">
      <c r="A5889" s="7"/>
    </row>
    <row r="5890" spans="1:1">
      <c r="A5890" s="7"/>
    </row>
    <row r="5891" spans="1:1">
      <c r="A5891" s="7"/>
    </row>
    <row r="5892" spans="1:1">
      <c r="A5892" s="7"/>
    </row>
    <row r="5893" spans="1:1">
      <c r="A5893" s="7"/>
    </row>
    <row r="5894" spans="1:1">
      <c r="A5894" s="7"/>
    </row>
    <row r="5895" spans="1:1">
      <c r="A5895" s="7"/>
    </row>
    <row r="5896" spans="1:1">
      <c r="A5896" s="7"/>
    </row>
    <row r="5897" spans="1:1">
      <c r="A5897" s="7"/>
    </row>
    <row r="5898" spans="1:1">
      <c r="A5898" s="7"/>
    </row>
    <row r="5899" spans="1:1">
      <c r="A5899" s="7"/>
    </row>
    <row r="5900" spans="1:1">
      <c r="A5900" s="7"/>
    </row>
    <row r="5901" spans="1:1">
      <c r="A5901" s="7"/>
    </row>
    <row r="5902" spans="1:1">
      <c r="A5902" s="7"/>
    </row>
    <row r="5903" spans="1:1">
      <c r="A5903" s="7"/>
    </row>
    <row r="5904" spans="1:1">
      <c r="A5904" s="7"/>
    </row>
    <row r="5905" spans="1:1">
      <c r="A5905" s="7"/>
    </row>
    <row r="5906" spans="1:1">
      <c r="A5906" s="7"/>
    </row>
    <row r="5907" spans="1:1">
      <c r="A5907" s="7"/>
    </row>
    <row r="5908" spans="1:1">
      <c r="A5908" s="7"/>
    </row>
    <row r="5909" spans="1:1">
      <c r="A5909" s="7"/>
    </row>
    <row r="5910" spans="1:1">
      <c r="A5910" s="7"/>
    </row>
    <row r="5911" spans="1:1">
      <c r="A5911" s="7"/>
    </row>
    <row r="5912" spans="1:1">
      <c r="A5912" s="7"/>
    </row>
    <row r="5913" spans="1:1">
      <c r="A5913" s="7"/>
    </row>
    <row r="5914" spans="1:1">
      <c r="A5914" s="7"/>
    </row>
    <row r="5915" spans="1:1">
      <c r="A5915" s="7"/>
    </row>
    <row r="5916" spans="1:1">
      <c r="A5916" s="7"/>
    </row>
    <row r="5917" spans="1:1">
      <c r="A5917" s="7"/>
    </row>
    <row r="5918" spans="1:1">
      <c r="A5918" s="7"/>
    </row>
    <row r="5919" spans="1:1">
      <c r="A5919" s="7"/>
    </row>
    <row r="5920" spans="1:1">
      <c r="A5920" s="7"/>
    </row>
    <row r="5921" spans="1:1">
      <c r="A5921" s="7"/>
    </row>
    <row r="5922" spans="1:1">
      <c r="A5922" s="7"/>
    </row>
    <row r="5923" spans="1:1">
      <c r="A5923" s="7"/>
    </row>
    <row r="5924" spans="1:1">
      <c r="A5924" s="7"/>
    </row>
    <row r="5925" spans="1:1">
      <c r="A5925" s="7"/>
    </row>
    <row r="5926" spans="1:1">
      <c r="A5926" s="7"/>
    </row>
    <row r="5927" spans="1:1">
      <c r="A5927" s="7"/>
    </row>
    <row r="5928" spans="1:1">
      <c r="A5928" s="7"/>
    </row>
    <row r="5929" spans="1:1">
      <c r="A5929" s="7"/>
    </row>
    <row r="5930" spans="1:1">
      <c r="A5930" s="7"/>
    </row>
    <row r="5931" spans="1:1">
      <c r="A5931" s="7"/>
    </row>
    <row r="5932" spans="1:1">
      <c r="A5932" s="7"/>
    </row>
    <row r="5933" spans="1:1">
      <c r="A5933" s="7"/>
    </row>
    <row r="5934" spans="1:1">
      <c r="A5934" s="7"/>
    </row>
    <row r="5935" spans="1:1">
      <c r="A5935" s="7"/>
    </row>
    <row r="5936" spans="1:1">
      <c r="A5936" s="7"/>
    </row>
    <row r="5937" spans="1:1">
      <c r="A5937" s="7"/>
    </row>
    <row r="5938" spans="1:1">
      <c r="A5938" s="7"/>
    </row>
    <row r="5939" spans="1:1">
      <c r="A5939" s="7"/>
    </row>
    <row r="5940" spans="1:1">
      <c r="A5940" s="7"/>
    </row>
    <row r="5941" spans="1:1">
      <c r="A5941" s="7"/>
    </row>
    <row r="5942" spans="1:1">
      <c r="A5942" s="7"/>
    </row>
    <row r="5943" spans="1:1">
      <c r="A5943" s="7"/>
    </row>
    <row r="5944" spans="1:1">
      <c r="A5944" s="7"/>
    </row>
    <row r="5945" spans="1:1">
      <c r="A5945" s="7"/>
    </row>
    <row r="5946" spans="1:1">
      <c r="A5946" s="7"/>
    </row>
    <row r="5947" spans="1:1">
      <c r="A5947" s="7"/>
    </row>
    <row r="5948" spans="1:1">
      <c r="A5948" s="7"/>
    </row>
    <row r="5949" spans="1:1">
      <c r="A5949" s="7"/>
    </row>
    <row r="5950" spans="1:1">
      <c r="A5950" s="7"/>
    </row>
    <row r="5951" spans="1:1">
      <c r="A5951" s="7"/>
    </row>
    <row r="5952" spans="1:1">
      <c r="A5952" s="7"/>
    </row>
    <row r="5953" spans="1:1">
      <c r="A5953" s="7"/>
    </row>
    <row r="5954" spans="1:1">
      <c r="A5954" s="7"/>
    </row>
    <row r="5955" spans="1:1">
      <c r="A5955" s="7"/>
    </row>
    <row r="5956" spans="1:1">
      <c r="A5956" s="7"/>
    </row>
    <row r="5957" spans="1:1">
      <c r="A5957" s="7"/>
    </row>
    <row r="5958" spans="1:1">
      <c r="A5958" s="7"/>
    </row>
    <row r="5959" spans="1:1">
      <c r="A5959" s="7"/>
    </row>
    <row r="5960" spans="1:1">
      <c r="A5960" s="7"/>
    </row>
    <row r="5961" spans="1:1">
      <c r="A5961" s="7"/>
    </row>
    <row r="5962" spans="1:1">
      <c r="A5962" s="7"/>
    </row>
    <row r="5963" spans="1:1">
      <c r="A5963" s="7"/>
    </row>
    <row r="5964" spans="1:1">
      <c r="A5964" s="7"/>
    </row>
    <row r="5965" spans="1:1">
      <c r="A5965" s="7"/>
    </row>
    <row r="5966" spans="1:1">
      <c r="A5966" s="7"/>
    </row>
    <row r="5967" spans="1:1">
      <c r="A5967" s="7"/>
    </row>
    <row r="5968" spans="1:1">
      <c r="A5968" s="7"/>
    </row>
    <row r="5969" spans="1:1">
      <c r="A5969" s="7"/>
    </row>
    <row r="5970" spans="1:1">
      <c r="A5970" s="7"/>
    </row>
    <row r="5971" spans="1:1">
      <c r="A5971" s="7"/>
    </row>
    <row r="5972" spans="1:1">
      <c r="A5972" s="7"/>
    </row>
    <row r="5973" spans="1:1">
      <c r="A5973" s="7"/>
    </row>
    <row r="5974" spans="1:1">
      <c r="A5974" s="7"/>
    </row>
    <row r="5975" spans="1:1">
      <c r="A5975" s="7"/>
    </row>
    <row r="5976" spans="1:1">
      <c r="A5976" s="7"/>
    </row>
    <row r="5977" spans="1:1">
      <c r="A5977" s="7"/>
    </row>
    <row r="5978" spans="1:1">
      <c r="A5978" s="7"/>
    </row>
    <row r="5979" spans="1:1">
      <c r="A5979" s="7"/>
    </row>
    <row r="5980" spans="1:1">
      <c r="A5980" s="7"/>
    </row>
    <row r="5981" spans="1:1">
      <c r="A5981" s="7"/>
    </row>
    <row r="5982" spans="1:1">
      <c r="A5982" s="7"/>
    </row>
    <row r="5983" spans="1:1">
      <c r="A5983" s="7"/>
    </row>
    <row r="5984" spans="1:1">
      <c r="A5984" s="7"/>
    </row>
    <row r="5985" spans="1:1">
      <c r="A5985" s="7"/>
    </row>
    <row r="5986" spans="1:1">
      <c r="A5986" s="7"/>
    </row>
    <row r="5987" spans="1:1">
      <c r="A5987" s="7"/>
    </row>
    <row r="5988" spans="1:1">
      <c r="A5988" s="7"/>
    </row>
    <row r="5989" spans="1:1">
      <c r="A5989" s="7"/>
    </row>
    <row r="5990" spans="1:1">
      <c r="A5990" s="7"/>
    </row>
    <row r="5991" spans="1:1">
      <c r="A5991" s="7"/>
    </row>
    <row r="5992" spans="1:1">
      <c r="A5992" s="7"/>
    </row>
    <row r="5993" spans="1:1">
      <c r="A5993" s="7"/>
    </row>
    <row r="5994" spans="1:1">
      <c r="A5994" s="7"/>
    </row>
    <row r="5995" spans="1:1">
      <c r="A5995" s="7"/>
    </row>
    <row r="5996" spans="1:1">
      <c r="A5996" s="7"/>
    </row>
    <row r="5997" spans="1:1">
      <c r="A5997" s="7"/>
    </row>
    <row r="5998" spans="1:1">
      <c r="A5998" s="7"/>
    </row>
    <row r="5999" spans="1:1">
      <c r="A5999" s="7"/>
    </row>
    <row r="6000" spans="1:1">
      <c r="A6000" s="7"/>
    </row>
    <row r="6001" spans="1:1">
      <c r="A6001" s="7"/>
    </row>
    <row r="6002" spans="1:1">
      <c r="A6002" s="7"/>
    </row>
    <row r="6003" spans="1:1">
      <c r="A6003" s="7"/>
    </row>
    <row r="6004" spans="1:1">
      <c r="A6004" s="7"/>
    </row>
    <row r="6005" spans="1:1">
      <c r="A6005" s="7"/>
    </row>
    <row r="6006" spans="1:1">
      <c r="A6006" s="7"/>
    </row>
    <row r="6007" spans="1:1">
      <c r="A6007" s="7"/>
    </row>
    <row r="6008" spans="1:1">
      <c r="A6008" s="7"/>
    </row>
    <row r="6009" spans="1:1">
      <c r="A6009" s="7"/>
    </row>
    <row r="6010" spans="1:1">
      <c r="A6010" s="7"/>
    </row>
    <row r="6011" spans="1:1">
      <c r="A6011" s="7"/>
    </row>
    <row r="6012" spans="1:1">
      <c r="A6012" s="7"/>
    </row>
    <row r="6013" spans="1:1">
      <c r="A6013" s="7"/>
    </row>
    <row r="6014" spans="1:1">
      <c r="A6014" s="7"/>
    </row>
    <row r="6015" spans="1:1">
      <c r="A6015" s="7"/>
    </row>
    <row r="6016" spans="1:1">
      <c r="A6016" s="7"/>
    </row>
    <row r="6017" spans="1:1">
      <c r="A6017" s="7"/>
    </row>
    <row r="6018" spans="1:1">
      <c r="A6018" s="7"/>
    </row>
    <row r="6019" spans="1:1">
      <c r="A6019" s="7"/>
    </row>
    <row r="6020" spans="1:1">
      <c r="A6020" s="7"/>
    </row>
    <row r="6021" spans="1:1">
      <c r="A6021" s="7"/>
    </row>
    <row r="6022" spans="1:1">
      <c r="A6022" s="7"/>
    </row>
    <row r="6023" spans="1:1">
      <c r="A6023" s="7"/>
    </row>
    <row r="6024" spans="1:1">
      <c r="A6024" s="7"/>
    </row>
    <row r="6025" spans="1:1">
      <c r="A6025" s="7"/>
    </row>
    <row r="6026" spans="1:1">
      <c r="A6026" s="7"/>
    </row>
    <row r="6027" spans="1:1">
      <c r="A6027" s="7"/>
    </row>
    <row r="6028" spans="1:1">
      <c r="A6028" s="7"/>
    </row>
    <row r="6029" spans="1:1">
      <c r="A6029" s="7"/>
    </row>
    <row r="6030" spans="1:1">
      <c r="A6030" s="7"/>
    </row>
    <row r="6031" spans="1:1">
      <c r="A6031" s="7"/>
    </row>
    <row r="6032" spans="1:1">
      <c r="A6032" s="7"/>
    </row>
    <row r="6033" spans="1:1">
      <c r="A6033" s="7"/>
    </row>
    <row r="6034" spans="1:1">
      <c r="A6034" s="7"/>
    </row>
    <row r="6035" spans="1:1">
      <c r="A6035" s="7"/>
    </row>
    <row r="6036" spans="1:1">
      <c r="A6036" s="7"/>
    </row>
    <row r="6037" spans="1:1">
      <c r="A6037" s="7"/>
    </row>
    <row r="6038" spans="1:1">
      <c r="A6038" s="7"/>
    </row>
    <row r="6039" spans="1:1">
      <c r="A6039" s="7"/>
    </row>
    <row r="6040" spans="1:1">
      <c r="A6040" s="7"/>
    </row>
    <row r="6041" spans="1:1">
      <c r="A6041" s="7"/>
    </row>
    <row r="6042" spans="1:1">
      <c r="A6042" s="7"/>
    </row>
    <row r="6043" spans="1:1">
      <c r="A6043" s="7"/>
    </row>
    <row r="6044" spans="1:1">
      <c r="A6044" s="7"/>
    </row>
    <row r="6045" spans="1:1">
      <c r="A6045" s="7"/>
    </row>
    <row r="6046" spans="1:1">
      <c r="A6046" s="7"/>
    </row>
    <row r="6047" spans="1:1">
      <c r="A6047" s="7"/>
    </row>
    <row r="6048" spans="1:1">
      <c r="A6048" s="7"/>
    </row>
    <row r="6049" spans="1:1">
      <c r="A6049" s="7"/>
    </row>
    <row r="6050" spans="1:1">
      <c r="A6050" s="7"/>
    </row>
    <row r="6051" spans="1:1">
      <c r="A6051" s="7"/>
    </row>
    <row r="6052" spans="1:1">
      <c r="A6052" s="7"/>
    </row>
    <row r="6053" spans="1:1">
      <c r="A6053" s="7"/>
    </row>
    <row r="6054" spans="1:1">
      <c r="A6054" s="7"/>
    </row>
    <row r="6055" spans="1:1">
      <c r="A6055" s="7"/>
    </row>
    <row r="6056" spans="1:1">
      <c r="A6056" s="7"/>
    </row>
    <row r="6057" spans="1:1">
      <c r="A6057" s="7"/>
    </row>
    <row r="6058" spans="1:1">
      <c r="A6058" s="7"/>
    </row>
    <row r="6059" spans="1:1">
      <c r="A6059" s="7"/>
    </row>
    <row r="6060" spans="1:1">
      <c r="A6060" s="7"/>
    </row>
    <row r="6061" spans="1:1">
      <c r="A6061" s="7"/>
    </row>
    <row r="6062" spans="1:1">
      <c r="A6062" s="7"/>
    </row>
    <row r="6063" spans="1:1">
      <c r="A6063" s="7"/>
    </row>
    <row r="6064" spans="1:1">
      <c r="A6064" s="7"/>
    </row>
    <row r="6065" spans="1:1">
      <c r="A6065" s="7"/>
    </row>
    <row r="6066" spans="1:1">
      <c r="A6066" s="7"/>
    </row>
    <row r="6067" spans="1:1">
      <c r="A6067" s="7"/>
    </row>
    <row r="6068" spans="1:1">
      <c r="A6068" s="7"/>
    </row>
    <row r="6069" spans="1:1">
      <c r="A6069" s="7"/>
    </row>
    <row r="6070" spans="1:1">
      <c r="A6070" s="7"/>
    </row>
    <row r="6071" spans="1:1">
      <c r="A6071" s="7"/>
    </row>
    <row r="6072" spans="1:1">
      <c r="A6072" s="7"/>
    </row>
    <row r="6073" spans="1:1">
      <c r="A6073" s="7"/>
    </row>
    <row r="6074" spans="1:1">
      <c r="A6074" s="7"/>
    </row>
    <row r="6075" spans="1:1">
      <c r="A6075" s="7"/>
    </row>
    <row r="6076" spans="1:1">
      <c r="A6076" s="7"/>
    </row>
    <row r="6077" spans="1:1">
      <c r="A6077" s="7"/>
    </row>
    <row r="6078" spans="1:1">
      <c r="A6078" s="7"/>
    </row>
    <row r="6079" spans="1:1">
      <c r="A6079" s="7"/>
    </row>
    <row r="6080" spans="1:1">
      <c r="A6080" s="7"/>
    </row>
    <row r="6081" spans="1:1">
      <c r="A6081" s="7"/>
    </row>
    <row r="6082" spans="1:1">
      <c r="A6082" s="7"/>
    </row>
    <row r="6083" spans="1:1">
      <c r="A6083" s="7"/>
    </row>
    <row r="6084" spans="1:1">
      <c r="A6084" s="7"/>
    </row>
    <row r="6085" spans="1:1">
      <c r="A6085" s="7"/>
    </row>
    <row r="6086" spans="1:1">
      <c r="A6086" s="7"/>
    </row>
    <row r="6087" spans="1:1">
      <c r="A6087" s="7"/>
    </row>
    <row r="6088" spans="1:1">
      <c r="A6088" s="7"/>
    </row>
    <row r="6089" spans="1:1">
      <c r="A6089" s="7"/>
    </row>
    <row r="6090" spans="1:1">
      <c r="A6090" s="7"/>
    </row>
    <row r="6091" spans="1:1">
      <c r="A6091" s="7"/>
    </row>
    <row r="6092" spans="1:1">
      <c r="A6092" s="7"/>
    </row>
    <row r="6093" spans="1:1">
      <c r="A6093" s="7"/>
    </row>
    <row r="6094" spans="1:1">
      <c r="A6094" s="7"/>
    </row>
    <row r="6095" spans="1:1">
      <c r="A6095" s="7"/>
    </row>
    <row r="6096" spans="1:1">
      <c r="A6096" s="7"/>
    </row>
    <row r="6097" spans="1:1">
      <c r="A6097" s="7"/>
    </row>
    <row r="6098" spans="1:1">
      <c r="A6098" s="7"/>
    </row>
    <row r="6099" spans="1:1">
      <c r="A6099" s="7"/>
    </row>
    <row r="6100" spans="1:1">
      <c r="A6100" s="7"/>
    </row>
    <row r="6101" spans="1:1">
      <c r="A6101" s="7"/>
    </row>
    <row r="6102" spans="1:1">
      <c r="A6102" s="7"/>
    </row>
    <row r="6103" spans="1:1">
      <c r="A6103" s="7"/>
    </row>
    <row r="6104" spans="1:1">
      <c r="A6104" s="7"/>
    </row>
    <row r="6105" spans="1:1">
      <c r="A6105" s="7"/>
    </row>
    <row r="6106" spans="1:1">
      <c r="A6106" s="7"/>
    </row>
    <row r="6107" spans="1:1">
      <c r="A6107" s="7"/>
    </row>
    <row r="6108" spans="1:1">
      <c r="A6108" s="7"/>
    </row>
    <row r="6109" spans="1:1">
      <c r="A6109" s="7"/>
    </row>
    <row r="6110" spans="1:1">
      <c r="A6110" s="7"/>
    </row>
    <row r="6111" spans="1:1">
      <c r="A6111" s="7"/>
    </row>
    <row r="6112" spans="1:1">
      <c r="A6112" s="7"/>
    </row>
    <row r="6113" spans="1:1">
      <c r="A6113" s="7"/>
    </row>
    <row r="6114" spans="1:1">
      <c r="A6114" s="7"/>
    </row>
    <row r="6115" spans="1:1">
      <c r="A6115" s="7"/>
    </row>
    <row r="6116" spans="1:1">
      <c r="A6116" s="7"/>
    </row>
    <row r="6117" spans="1:1">
      <c r="A6117" s="7"/>
    </row>
    <row r="6118" spans="1:1">
      <c r="A6118" s="7"/>
    </row>
    <row r="6119" spans="1:1">
      <c r="A6119" s="7"/>
    </row>
    <row r="6120" spans="1:1">
      <c r="A6120" s="7"/>
    </row>
    <row r="6121" spans="1:1">
      <c r="A6121" s="7"/>
    </row>
    <row r="6122" spans="1:1">
      <c r="A6122" s="7"/>
    </row>
    <row r="6123" spans="1:1">
      <c r="A6123" s="7"/>
    </row>
    <row r="6124" spans="1:1">
      <c r="A6124" s="7"/>
    </row>
    <row r="6125" spans="1:1">
      <c r="A6125" s="7"/>
    </row>
    <row r="6126" spans="1:1">
      <c r="A6126" s="7"/>
    </row>
    <row r="6127" spans="1:1">
      <c r="A6127" s="7"/>
    </row>
    <row r="6128" spans="1:1">
      <c r="A6128" s="7"/>
    </row>
    <row r="6129" spans="1:1">
      <c r="A6129" s="7"/>
    </row>
    <row r="6130" spans="1:1">
      <c r="A6130" s="7"/>
    </row>
    <row r="6131" spans="1:1">
      <c r="A6131" s="7"/>
    </row>
    <row r="6132" spans="1:1">
      <c r="A6132" s="7"/>
    </row>
    <row r="6133" spans="1:1">
      <c r="A6133" s="7"/>
    </row>
    <row r="6134" spans="1:1">
      <c r="A6134" s="7"/>
    </row>
    <row r="6135" spans="1:1">
      <c r="A6135" s="7"/>
    </row>
    <row r="6136" spans="1:1">
      <c r="A6136" s="7"/>
    </row>
    <row r="6137" spans="1:1">
      <c r="A6137" s="7"/>
    </row>
    <row r="6138" spans="1:1">
      <c r="A6138" s="7"/>
    </row>
    <row r="6139" spans="1:1">
      <c r="A6139" s="7"/>
    </row>
    <row r="6140" spans="1:1">
      <c r="A6140" s="7"/>
    </row>
    <row r="6141" spans="1:1">
      <c r="A6141" s="7"/>
    </row>
    <row r="6142" spans="1:1">
      <c r="A6142" s="7"/>
    </row>
    <row r="6143" spans="1:1">
      <c r="A6143" s="7"/>
    </row>
    <row r="6144" spans="1:1">
      <c r="A6144" s="7"/>
    </row>
    <row r="6145" spans="1:1">
      <c r="A6145" s="7"/>
    </row>
    <row r="6146" spans="1:1">
      <c r="A6146" s="7"/>
    </row>
    <row r="6147" spans="1:1">
      <c r="A6147" s="7"/>
    </row>
    <row r="6148" spans="1:1">
      <c r="A6148" s="7"/>
    </row>
    <row r="6149" spans="1:1">
      <c r="A6149" s="7"/>
    </row>
    <row r="6150" spans="1:1">
      <c r="A6150" s="7"/>
    </row>
    <row r="6151" spans="1:1">
      <c r="A6151" s="7"/>
    </row>
    <row r="6152" spans="1:1">
      <c r="A6152" s="7"/>
    </row>
    <row r="6153" spans="1:1">
      <c r="A6153" s="7"/>
    </row>
    <row r="6154" spans="1:1">
      <c r="A6154" s="7"/>
    </row>
    <row r="6155" spans="1:1">
      <c r="A6155" s="7"/>
    </row>
    <row r="6156" spans="1:1">
      <c r="A6156" s="7"/>
    </row>
    <row r="6157" spans="1:1">
      <c r="A6157" s="7"/>
    </row>
    <row r="6158" spans="1:1">
      <c r="A6158" s="7"/>
    </row>
    <row r="6159" spans="1:1">
      <c r="A6159" s="7"/>
    </row>
    <row r="6160" spans="1:1">
      <c r="A6160" s="7"/>
    </row>
    <row r="6161" spans="1:1">
      <c r="A6161" s="7"/>
    </row>
    <row r="6162" spans="1:1">
      <c r="A6162" s="7"/>
    </row>
    <row r="6163" spans="1:1">
      <c r="A6163" s="7"/>
    </row>
    <row r="6164" spans="1:1">
      <c r="A6164" s="7"/>
    </row>
    <row r="6165" spans="1:1">
      <c r="A6165" s="7"/>
    </row>
    <row r="6166" spans="1:1">
      <c r="A6166" s="7"/>
    </row>
    <row r="6167" spans="1:1">
      <c r="A6167" s="7"/>
    </row>
    <row r="6168" spans="1:1">
      <c r="A6168" s="7"/>
    </row>
    <row r="6169" spans="1:1">
      <c r="A6169" s="7"/>
    </row>
    <row r="6170" spans="1:1">
      <c r="A6170" s="7"/>
    </row>
    <row r="6171" spans="1:1">
      <c r="A6171" s="7"/>
    </row>
    <row r="6172" spans="1:1">
      <c r="A6172" s="7"/>
    </row>
    <row r="6173" spans="1:1">
      <c r="A6173" s="7"/>
    </row>
    <row r="6174" spans="1:1">
      <c r="A6174" s="7"/>
    </row>
    <row r="6175" spans="1:1">
      <c r="A6175" s="7"/>
    </row>
    <row r="6176" spans="1:1">
      <c r="A6176" s="7"/>
    </row>
    <row r="6177" spans="1:1">
      <c r="A6177" s="7"/>
    </row>
    <row r="6178" spans="1:1">
      <c r="A6178" s="7"/>
    </row>
    <row r="6179" spans="1:1">
      <c r="A6179" s="7"/>
    </row>
    <row r="6180" spans="1:1">
      <c r="A6180" s="7"/>
    </row>
    <row r="6181" spans="1:1">
      <c r="A6181" s="7"/>
    </row>
    <row r="6182" spans="1:1">
      <c r="A6182" s="7"/>
    </row>
    <row r="6183" spans="1:1">
      <c r="A6183" s="7"/>
    </row>
    <row r="6184" spans="1:1">
      <c r="A6184" s="7"/>
    </row>
    <row r="6185" spans="1:1">
      <c r="A6185" s="7"/>
    </row>
    <row r="6186" spans="1:1">
      <c r="A6186" s="7"/>
    </row>
    <row r="6187" spans="1:1">
      <c r="A6187" s="7"/>
    </row>
    <row r="6188" spans="1:1">
      <c r="A6188" s="7"/>
    </row>
    <row r="6189" spans="1:1">
      <c r="A6189" s="7"/>
    </row>
    <row r="6190" spans="1:1">
      <c r="A6190" s="7"/>
    </row>
    <row r="6191" spans="1:1">
      <c r="A6191" s="7"/>
    </row>
    <row r="6192" spans="1:1">
      <c r="A6192" s="7"/>
    </row>
    <row r="6193" spans="1:1">
      <c r="A6193" s="7"/>
    </row>
    <row r="6194" spans="1:1">
      <c r="A6194" s="7"/>
    </row>
    <row r="6195" spans="1:1">
      <c r="A6195" s="7"/>
    </row>
    <row r="6196" spans="1:1">
      <c r="A6196" s="7"/>
    </row>
    <row r="6197" spans="1:1">
      <c r="A6197" s="7"/>
    </row>
    <row r="6198" spans="1:1">
      <c r="A6198" s="7"/>
    </row>
    <row r="6199" spans="1:1">
      <c r="A6199" s="7"/>
    </row>
    <row r="6200" spans="1:1">
      <c r="A6200" s="7"/>
    </row>
    <row r="6201" spans="1:1">
      <c r="A6201" s="7"/>
    </row>
    <row r="6202" spans="1:1">
      <c r="A6202" s="7"/>
    </row>
    <row r="6203" spans="1:1">
      <c r="A6203" s="7"/>
    </row>
    <row r="6204" spans="1:1">
      <c r="A6204" s="7"/>
    </row>
    <row r="6205" spans="1:1">
      <c r="A6205" s="7"/>
    </row>
    <row r="6206" spans="1:1">
      <c r="A6206" s="7"/>
    </row>
    <row r="6207" spans="1:1">
      <c r="A6207" s="7"/>
    </row>
    <row r="6208" spans="1:1">
      <c r="A6208" s="7"/>
    </row>
    <row r="6209" spans="1:1">
      <c r="A6209" s="7"/>
    </row>
    <row r="6210" spans="1:1">
      <c r="A6210" s="7"/>
    </row>
    <row r="6211" spans="1:1">
      <c r="A6211" s="7"/>
    </row>
    <row r="6212" spans="1:1">
      <c r="A6212" s="7"/>
    </row>
    <row r="6213" spans="1:1">
      <c r="A6213" s="7"/>
    </row>
    <row r="6214" spans="1:1">
      <c r="A6214" s="7"/>
    </row>
    <row r="6215" spans="1:1">
      <c r="A6215" s="7"/>
    </row>
    <row r="6216" spans="1:1">
      <c r="A6216" s="7"/>
    </row>
    <row r="6217" spans="1:1">
      <c r="A6217" s="7"/>
    </row>
    <row r="6218" spans="1:1">
      <c r="A6218" s="7"/>
    </row>
    <row r="6219" spans="1:1">
      <c r="A6219" s="7"/>
    </row>
    <row r="6220" spans="1:1">
      <c r="A6220" s="7"/>
    </row>
    <row r="6221" spans="1:1">
      <c r="A6221" s="7"/>
    </row>
    <row r="6222" spans="1:1">
      <c r="A6222" s="7"/>
    </row>
    <row r="6223" spans="1:1">
      <c r="A6223" s="7"/>
    </row>
    <row r="6224" spans="1:1">
      <c r="A6224" s="7"/>
    </row>
    <row r="6225" spans="1:1">
      <c r="A6225" s="7"/>
    </row>
    <row r="6226" spans="1:1">
      <c r="A6226" s="7"/>
    </row>
    <row r="6227" spans="1:1">
      <c r="A6227" s="7"/>
    </row>
    <row r="6228" spans="1:1">
      <c r="A6228" s="7"/>
    </row>
    <row r="6229" spans="1:1">
      <c r="A6229" s="7"/>
    </row>
    <row r="6230" spans="1:1">
      <c r="A6230" s="7"/>
    </row>
    <row r="6231" spans="1:1">
      <c r="A6231" s="7"/>
    </row>
    <row r="6232" spans="1:1">
      <c r="A6232" s="7"/>
    </row>
    <row r="6233" spans="1:1">
      <c r="A6233" s="7"/>
    </row>
    <row r="6234" spans="1:1">
      <c r="A6234" s="7"/>
    </row>
    <row r="6235" spans="1:1">
      <c r="A6235" s="7"/>
    </row>
    <row r="6236" spans="1:1">
      <c r="A6236" s="7"/>
    </row>
    <row r="6237" spans="1:1">
      <c r="A6237" s="7"/>
    </row>
    <row r="6238" spans="1:1">
      <c r="A6238" s="7"/>
    </row>
    <row r="6239" spans="1:1">
      <c r="A6239" s="7"/>
    </row>
    <row r="6240" spans="1:1">
      <c r="A6240" s="7"/>
    </row>
    <row r="6241" spans="1:1">
      <c r="A6241" s="7"/>
    </row>
    <row r="6242" spans="1:1">
      <c r="A6242" s="7"/>
    </row>
    <row r="6243" spans="1:1">
      <c r="A6243" s="7"/>
    </row>
    <row r="6244" spans="1:1">
      <c r="A6244" s="7"/>
    </row>
    <row r="6245" spans="1:1">
      <c r="A6245" s="7"/>
    </row>
    <row r="6246" spans="1:1">
      <c r="A6246" s="7"/>
    </row>
    <row r="6247" spans="1:1">
      <c r="A6247" s="7"/>
    </row>
    <row r="6248" spans="1:1">
      <c r="A6248" s="7"/>
    </row>
    <row r="6249" spans="1:1">
      <c r="A6249" s="7"/>
    </row>
    <row r="6250" spans="1:1">
      <c r="A6250" s="7"/>
    </row>
    <row r="6251" spans="1:1">
      <c r="A6251" s="7"/>
    </row>
    <row r="6252" spans="1:1">
      <c r="A6252" s="7"/>
    </row>
    <row r="6253" spans="1:1">
      <c r="A6253" s="7"/>
    </row>
    <row r="6254" spans="1:1">
      <c r="A6254" s="7"/>
    </row>
    <row r="6255" spans="1:1">
      <c r="A6255" s="7"/>
    </row>
    <row r="6256" spans="1:1">
      <c r="A6256" s="7"/>
    </row>
    <row r="6257" spans="1:1">
      <c r="A6257" s="7"/>
    </row>
    <row r="6258" spans="1:1">
      <c r="A6258" s="7"/>
    </row>
    <row r="6259" spans="1:1">
      <c r="A6259" s="7"/>
    </row>
    <row r="6260" spans="1:1">
      <c r="A6260" s="7"/>
    </row>
    <row r="6261" spans="1:1">
      <c r="A6261" s="7"/>
    </row>
    <row r="6262" spans="1:1">
      <c r="A6262" s="7"/>
    </row>
    <row r="6263" spans="1:1">
      <c r="A6263" s="7"/>
    </row>
    <row r="6264" spans="1:1">
      <c r="A6264" s="7"/>
    </row>
    <row r="6265" spans="1:1">
      <c r="A6265" s="7"/>
    </row>
    <row r="6266" spans="1:1">
      <c r="A6266" s="7"/>
    </row>
    <row r="6267" spans="1:1">
      <c r="A6267" s="7"/>
    </row>
    <row r="6268" spans="1:1">
      <c r="A6268" s="7"/>
    </row>
    <row r="6269" spans="1:1">
      <c r="A6269" s="7"/>
    </row>
    <row r="6270" spans="1:1">
      <c r="A6270" s="7"/>
    </row>
    <row r="6271" spans="1:1">
      <c r="A6271" s="7"/>
    </row>
    <row r="6272" spans="1:1">
      <c r="A6272" s="7"/>
    </row>
    <row r="6273" spans="1:1">
      <c r="A6273" s="7"/>
    </row>
    <row r="6274" spans="1:1">
      <c r="A6274" s="7"/>
    </row>
    <row r="6275" spans="1:1">
      <c r="A6275" s="7"/>
    </row>
    <row r="6276" spans="1:1">
      <c r="A6276" s="7"/>
    </row>
    <row r="6277" spans="1:1">
      <c r="A6277" s="7"/>
    </row>
    <row r="6278" spans="1:1">
      <c r="A6278" s="7"/>
    </row>
    <row r="6279" spans="1:1">
      <c r="A6279" s="7"/>
    </row>
    <row r="6280" spans="1:1">
      <c r="A6280" s="7"/>
    </row>
    <row r="6281" spans="1:1">
      <c r="A6281" s="7"/>
    </row>
    <row r="6282" spans="1:1">
      <c r="A6282" s="7"/>
    </row>
    <row r="6283" spans="1:1">
      <c r="A6283" s="7"/>
    </row>
    <row r="6284" spans="1:1">
      <c r="A6284" s="7"/>
    </row>
    <row r="6285" spans="1:1">
      <c r="A6285" s="7"/>
    </row>
    <row r="6286" spans="1:1">
      <c r="A6286" s="7"/>
    </row>
    <row r="6287" spans="1:1">
      <c r="A6287" s="7"/>
    </row>
    <row r="6288" spans="1:1">
      <c r="A6288" s="7"/>
    </row>
    <row r="6289" spans="1:1">
      <c r="A6289" s="7"/>
    </row>
    <row r="6290" spans="1:1">
      <c r="A6290" s="7"/>
    </row>
    <row r="6291" spans="1:1">
      <c r="A6291" s="7"/>
    </row>
    <row r="6292" spans="1:1">
      <c r="A6292" s="7"/>
    </row>
    <row r="6293" spans="1:1">
      <c r="A6293" s="7"/>
    </row>
    <row r="6294" spans="1:1">
      <c r="A6294" s="7"/>
    </row>
    <row r="6295" spans="1:1">
      <c r="A6295" s="7"/>
    </row>
    <row r="6296" spans="1:1">
      <c r="A6296" s="7"/>
    </row>
    <row r="6297" spans="1:1">
      <c r="A6297" s="7"/>
    </row>
    <row r="6298" spans="1:1">
      <c r="A6298" s="7"/>
    </row>
    <row r="6299" spans="1:1">
      <c r="A6299" s="7"/>
    </row>
    <row r="6300" spans="1:1">
      <c r="A6300" s="7"/>
    </row>
    <row r="6301" spans="1:1">
      <c r="A6301" s="7"/>
    </row>
    <row r="6302" spans="1:1">
      <c r="A6302" s="7"/>
    </row>
    <row r="6303" spans="1:1">
      <c r="A6303" s="7"/>
    </row>
    <row r="6304" spans="1:1">
      <c r="A6304" s="7"/>
    </row>
    <row r="6305" spans="1:1">
      <c r="A6305" s="7"/>
    </row>
    <row r="6306" spans="1:1">
      <c r="A6306" s="7"/>
    </row>
    <row r="6307" spans="1:1">
      <c r="A6307" s="7"/>
    </row>
    <row r="6308" spans="1:1">
      <c r="A6308" s="7"/>
    </row>
    <row r="6309" spans="1:1">
      <c r="A6309" s="7"/>
    </row>
    <row r="6310" spans="1:1">
      <c r="A6310" s="7"/>
    </row>
    <row r="6311" spans="1:1">
      <c r="A6311" s="7"/>
    </row>
    <row r="6312" spans="1:1">
      <c r="A6312" s="7"/>
    </row>
    <row r="6313" spans="1:1">
      <c r="A6313" s="7"/>
    </row>
    <row r="6314" spans="1:1">
      <c r="A6314" s="7"/>
    </row>
    <row r="6315" spans="1:1">
      <c r="A6315" s="7"/>
    </row>
    <row r="6316" spans="1:1">
      <c r="A6316" s="7"/>
    </row>
    <row r="6317" spans="1:1">
      <c r="A6317" s="7"/>
    </row>
    <row r="6318" spans="1:1">
      <c r="A6318" s="7"/>
    </row>
    <row r="6319" spans="1:1">
      <c r="A6319" s="7"/>
    </row>
    <row r="6320" spans="1:1">
      <c r="A6320" s="7"/>
    </row>
    <row r="6321" spans="1:1">
      <c r="A6321" s="7"/>
    </row>
    <row r="6322" spans="1:1">
      <c r="A6322" s="7"/>
    </row>
    <row r="6323" spans="1:1">
      <c r="A6323" s="7"/>
    </row>
    <row r="6324" spans="1:1">
      <c r="A6324" s="7"/>
    </row>
    <row r="6325" spans="1:1">
      <c r="A6325" s="7"/>
    </row>
    <row r="6326" spans="1:1">
      <c r="A6326" s="7"/>
    </row>
    <row r="6327" spans="1:1">
      <c r="A6327" s="7"/>
    </row>
    <row r="6328" spans="1:1">
      <c r="A6328" s="7"/>
    </row>
    <row r="6329" spans="1:1">
      <c r="A6329" s="7"/>
    </row>
    <row r="6330" spans="1:1">
      <c r="A6330" s="7"/>
    </row>
    <row r="6331" spans="1:1">
      <c r="A6331" s="7"/>
    </row>
    <row r="6332" spans="1:1">
      <c r="A6332" s="7"/>
    </row>
    <row r="6333" spans="1:1">
      <c r="A6333" s="7"/>
    </row>
    <row r="6334" spans="1:1">
      <c r="A6334" s="7"/>
    </row>
    <row r="6335" spans="1:1">
      <c r="A6335" s="7"/>
    </row>
    <row r="6336" spans="1:1">
      <c r="A6336" s="7"/>
    </row>
    <row r="6337" spans="1:1">
      <c r="A6337" s="7"/>
    </row>
    <row r="6338" spans="1:1">
      <c r="A6338" s="7"/>
    </row>
    <row r="6339" spans="1:1">
      <c r="A6339" s="7"/>
    </row>
    <row r="6340" spans="1:1">
      <c r="A6340" s="7"/>
    </row>
    <row r="6341" spans="1:1">
      <c r="A6341" s="7"/>
    </row>
    <row r="6342" spans="1:1">
      <c r="A6342" s="7"/>
    </row>
    <row r="6343" spans="1:1">
      <c r="A6343" s="7"/>
    </row>
    <row r="6344" spans="1:1">
      <c r="A6344" s="7"/>
    </row>
    <row r="6345" spans="1:1">
      <c r="A6345" s="7"/>
    </row>
    <row r="6346" spans="1:1">
      <c r="A6346" s="7"/>
    </row>
    <row r="6347" spans="1:1">
      <c r="A6347" s="7"/>
    </row>
    <row r="6348" spans="1:1">
      <c r="A6348" s="7"/>
    </row>
    <row r="6349" spans="1:1">
      <c r="A6349" s="7"/>
    </row>
    <row r="6350" spans="1:1">
      <c r="A6350" s="7"/>
    </row>
    <row r="6351" spans="1:1">
      <c r="A6351" s="7"/>
    </row>
    <row r="6352" spans="1:1">
      <c r="A6352" s="7"/>
    </row>
    <row r="6353" spans="1:1">
      <c r="A6353" s="7"/>
    </row>
    <row r="6354" spans="1:1">
      <c r="A6354" s="7"/>
    </row>
    <row r="6355" spans="1:1">
      <c r="A6355" s="7"/>
    </row>
    <row r="6356" spans="1:1">
      <c r="A6356" s="7"/>
    </row>
    <row r="6357" spans="1:1">
      <c r="A6357" s="7"/>
    </row>
    <row r="6358" spans="1:1">
      <c r="A6358" s="7"/>
    </row>
    <row r="6359" spans="1:1">
      <c r="A6359" s="7"/>
    </row>
    <row r="6360" spans="1:1">
      <c r="A6360" s="7"/>
    </row>
    <row r="6361" spans="1:1">
      <c r="A6361" s="7"/>
    </row>
    <row r="6362" spans="1:1">
      <c r="A6362" s="7"/>
    </row>
    <row r="6363" spans="1:1">
      <c r="A6363" s="7"/>
    </row>
    <row r="6364" spans="1:1">
      <c r="A6364" s="7"/>
    </row>
    <row r="6365" spans="1:1">
      <c r="A6365" s="7"/>
    </row>
    <row r="6366" spans="1:1">
      <c r="A6366" s="7"/>
    </row>
    <row r="6367" spans="1:1">
      <c r="A6367" s="7"/>
    </row>
    <row r="6368" spans="1:1">
      <c r="A6368" s="7"/>
    </row>
    <row r="6369" spans="1:1">
      <c r="A6369" s="7"/>
    </row>
    <row r="6370" spans="1:1">
      <c r="A6370" s="7"/>
    </row>
    <row r="6371" spans="1:1">
      <c r="A6371" s="7"/>
    </row>
    <row r="6372" spans="1:1">
      <c r="A6372" s="7"/>
    </row>
    <row r="6373" spans="1:1">
      <c r="A6373" s="7"/>
    </row>
    <row r="6374" spans="1:1">
      <c r="A6374" s="7"/>
    </row>
    <row r="6375" spans="1:1">
      <c r="A6375" s="7"/>
    </row>
    <row r="6376" spans="1:1">
      <c r="A6376" s="7"/>
    </row>
    <row r="6377" spans="1:1">
      <c r="A6377" s="7"/>
    </row>
    <row r="6378" spans="1:1">
      <c r="A6378" s="7"/>
    </row>
    <row r="6379" spans="1:1">
      <c r="A6379" s="7"/>
    </row>
    <row r="6380" spans="1:1">
      <c r="A6380" s="7"/>
    </row>
    <row r="6381" spans="1:1">
      <c r="A6381" s="7"/>
    </row>
    <row r="6382" spans="1:1">
      <c r="A6382" s="7"/>
    </row>
    <row r="6383" spans="1:1">
      <c r="A6383" s="7"/>
    </row>
    <row r="6384" spans="1:1">
      <c r="A6384" s="7"/>
    </row>
    <row r="6385" spans="1:1">
      <c r="A6385" s="7"/>
    </row>
    <row r="6386" spans="1:1">
      <c r="A6386" s="7"/>
    </row>
    <row r="6387" spans="1:1">
      <c r="A6387" s="7"/>
    </row>
    <row r="6388" spans="1:1">
      <c r="A6388" s="7"/>
    </row>
    <row r="6389" spans="1:1">
      <c r="A6389" s="7"/>
    </row>
    <row r="6390" spans="1:1">
      <c r="A6390" s="7"/>
    </row>
    <row r="6391" spans="1:1">
      <c r="A6391" s="7"/>
    </row>
    <row r="6392" spans="1:1">
      <c r="A6392" s="7"/>
    </row>
    <row r="6393" spans="1:1">
      <c r="A6393" s="7"/>
    </row>
    <row r="6394" spans="1:1">
      <c r="A6394" s="7"/>
    </row>
    <row r="6395" spans="1:1">
      <c r="A6395" s="7"/>
    </row>
    <row r="6396" spans="1:1">
      <c r="A6396" s="7"/>
    </row>
    <row r="6397" spans="1:1">
      <c r="A6397" s="7"/>
    </row>
    <row r="6398" spans="1:1">
      <c r="A6398" s="7"/>
    </row>
    <row r="6399" spans="1:1">
      <c r="A6399" s="7"/>
    </row>
    <row r="6400" spans="1:1">
      <c r="A6400" s="7"/>
    </row>
    <row r="6401" spans="1:1">
      <c r="A6401" s="7"/>
    </row>
    <row r="6402" spans="1:1">
      <c r="A6402" s="7"/>
    </row>
    <row r="6403" spans="1:1">
      <c r="A6403" s="7"/>
    </row>
    <row r="6404" spans="1:1">
      <c r="A6404" s="7"/>
    </row>
    <row r="6405" spans="1:1">
      <c r="A6405" s="7"/>
    </row>
    <row r="6406" spans="1:1">
      <c r="A6406" s="7"/>
    </row>
    <row r="6407" spans="1:1">
      <c r="A6407" s="7"/>
    </row>
    <row r="6408" spans="1:1">
      <c r="A6408" s="7"/>
    </row>
    <row r="6409" spans="1:1">
      <c r="A6409" s="7"/>
    </row>
    <row r="6410" spans="1:1">
      <c r="A6410" s="7"/>
    </row>
    <row r="6411" spans="1:1">
      <c r="A6411" s="7"/>
    </row>
    <row r="6412" spans="1:1">
      <c r="A6412" s="7"/>
    </row>
    <row r="6413" spans="1:1">
      <c r="A6413" s="7"/>
    </row>
    <row r="6414" spans="1:1">
      <c r="A6414" s="7"/>
    </row>
    <row r="6415" spans="1:1">
      <c r="A6415" s="7"/>
    </row>
    <row r="6416" spans="1:1">
      <c r="A6416" s="7"/>
    </row>
    <row r="6417" spans="1:1">
      <c r="A6417" s="7"/>
    </row>
    <row r="6418" spans="1:1">
      <c r="A6418" s="7"/>
    </row>
    <row r="6419" spans="1:1">
      <c r="A6419" s="7"/>
    </row>
    <row r="6420" spans="1:1">
      <c r="A6420" s="7"/>
    </row>
    <row r="6421" spans="1:1">
      <c r="A6421" s="7"/>
    </row>
    <row r="6422" spans="1:1">
      <c r="A6422" s="7"/>
    </row>
    <row r="6423" spans="1:1">
      <c r="A6423" s="7"/>
    </row>
    <row r="6424" spans="1:1">
      <c r="A6424" s="7"/>
    </row>
    <row r="6425" spans="1:1">
      <c r="A6425" s="7"/>
    </row>
    <row r="6426" spans="1:1">
      <c r="A6426" s="7"/>
    </row>
    <row r="6427" spans="1:1">
      <c r="A6427" s="7"/>
    </row>
    <row r="6428" spans="1:1">
      <c r="A6428" s="7"/>
    </row>
    <row r="6429" spans="1:1">
      <c r="A6429" s="7"/>
    </row>
    <row r="6430" spans="1:1">
      <c r="A6430" s="7"/>
    </row>
    <row r="6431" spans="1:1">
      <c r="A6431" s="7"/>
    </row>
    <row r="6432" spans="1:1">
      <c r="A6432" s="7"/>
    </row>
    <row r="6433" spans="1:1">
      <c r="A6433" s="7"/>
    </row>
    <row r="6434" spans="1:1">
      <c r="A6434" s="7"/>
    </row>
    <row r="6435" spans="1:1">
      <c r="A6435" s="7"/>
    </row>
    <row r="6436" spans="1:1">
      <c r="A6436" s="7"/>
    </row>
    <row r="6437" spans="1:1">
      <c r="A6437" s="7"/>
    </row>
    <row r="6438" spans="1:1">
      <c r="A6438" s="7"/>
    </row>
    <row r="6439" spans="1:1">
      <c r="A6439" s="7"/>
    </row>
    <row r="6440" spans="1:1">
      <c r="A6440" s="7"/>
    </row>
    <row r="6441" spans="1:1">
      <c r="A6441" s="7"/>
    </row>
    <row r="6442" spans="1:1">
      <c r="A6442" s="7"/>
    </row>
    <row r="6443" spans="1:1">
      <c r="A6443" s="7"/>
    </row>
    <row r="6444" spans="1:1">
      <c r="A6444" s="7"/>
    </row>
    <row r="6445" spans="1:1">
      <c r="A6445" s="7"/>
    </row>
    <row r="6446" spans="1:1">
      <c r="A6446" s="7"/>
    </row>
    <row r="6447" spans="1:1">
      <c r="A6447" s="7"/>
    </row>
    <row r="6448" spans="1:1">
      <c r="A6448" s="7"/>
    </row>
    <row r="6449" spans="1:1">
      <c r="A6449" s="7"/>
    </row>
    <row r="6450" spans="1:1">
      <c r="A6450" s="7"/>
    </row>
    <row r="6451" spans="1:1">
      <c r="A6451" s="7"/>
    </row>
    <row r="6452" spans="1:1">
      <c r="A6452" s="7"/>
    </row>
    <row r="6453" spans="1:1">
      <c r="A6453" s="7"/>
    </row>
    <row r="6454" spans="1:1">
      <c r="A6454" s="7"/>
    </row>
    <row r="6455" spans="1:1">
      <c r="A6455" s="7"/>
    </row>
    <row r="6456" spans="1:1">
      <c r="A6456" s="7"/>
    </row>
    <row r="6457" spans="1:1">
      <c r="A6457" s="7"/>
    </row>
    <row r="6458" spans="1:1">
      <c r="A6458" s="7"/>
    </row>
    <row r="6459" spans="1:1">
      <c r="A6459" s="7"/>
    </row>
    <row r="6460" spans="1:1">
      <c r="A6460" s="7"/>
    </row>
    <row r="6461" spans="1:1">
      <c r="A6461" s="7"/>
    </row>
    <row r="6462" spans="1:1">
      <c r="A6462" s="7"/>
    </row>
    <row r="6463" spans="1:1">
      <c r="A6463" s="7"/>
    </row>
    <row r="6464" spans="1:1">
      <c r="A6464" s="7"/>
    </row>
    <row r="6465" spans="1:1">
      <c r="A6465" s="7"/>
    </row>
    <row r="6466" spans="1:1">
      <c r="A6466" s="7"/>
    </row>
    <row r="6467" spans="1:1">
      <c r="A6467" s="7"/>
    </row>
    <row r="6468" spans="1:1">
      <c r="A6468" s="7"/>
    </row>
    <row r="6469" spans="1:1">
      <c r="A6469" s="7"/>
    </row>
    <row r="6470" spans="1:1">
      <c r="A6470" s="7"/>
    </row>
    <row r="6471" spans="1:1">
      <c r="A6471" s="7"/>
    </row>
    <row r="6472" spans="1:1">
      <c r="A6472" s="7"/>
    </row>
    <row r="6473" spans="1:1">
      <c r="A6473" s="7"/>
    </row>
    <row r="6474" spans="1:1">
      <c r="A6474" s="7"/>
    </row>
    <row r="6475" spans="1:1">
      <c r="A6475" s="7"/>
    </row>
    <row r="6476" spans="1:1">
      <c r="A6476" s="7"/>
    </row>
    <row r="6477" spans="1:1">
      <c r="A6477" s="7"/>
    </row>
    <row r="6478" spans="1:1">
      <c r="A6478" s="7"/>
    </row>
    <row r="6479" spans="1:1">
      <c r="A6479" s="7"/>
    </row>
    <row r="6480" spans="1:1">
      <c r="A6480" s="7"/>
    </row>
    <row r="6481" spans="1:1">
      <c r="A6481" s="7"/>
    </row>
    <row r="6482" spans="1:1">
      <c r="A6482" s="7"/>
    </row>
    <row r="6483" spans="1:1">
      <c r="A6483" s="7"/>
    </row>
    <row r="6484" spans="1:1">
      <c r="A6484" s="7"/>
    </row>
    <row r="6485" spans="1:1">
      <c r="A6485" s="7"/>
    </row>
    <row r="6486" spans="1:1">
      <c r="A6486" s="7"/>
    </row>
    <row r="6487" spans="1:1">
      <c r="A6487" s="7"/>
    </row>
    <row r="6488" spans="1:1">
      <c r="A6488" s="7"/>
    </row>
    <row r="6489" spans="1:1">
      <c r="A6489" s="7"/>
    </row>
    <row r="6490" spans="1:1">
      <c r="A6490" s="7"/>
    </row>
    <row r="6491" spans="1:1">
      <c r="A6491" s="7"/>
    </row>
    <row r="6492" spans="1:1">
      <c r="A6492" s="7"/>
    </row>
    <row r="6493" spans="1:1">
      <c r="A6493" s="7"/>
    </row>
    <row r="6494" spans="1:1">
      <c r="A6494" s="7"/>
    </row>
    <row r="6495" spans="1:1">
      <c r="A6495" s="7"/>
    </row>
    <row r="6496" spans="1:1">
      <c r="A6496" s="7"/>
    </row>
    <row r="6497" spans="1:1">
      <c r="A6497" s="7"/>
    </row>
    <row r="6498" spans="1:1">
      <c r="A6498" s="7"/>
    </row>
    <row r="6499" spans="1:1">
      <c r="A6499" s="7"/>
    </row>
    <row r="6500" spans="1:1">
      <c r="A6500" s="7"/>
    </row>
    <row r="6501" spans="1:1">
      <c r="A6501" s="7"/>
    </row>
    <row r="6502" spans="1:1">
      <c r="A6502" s="7"/>
    </row>
    <row r="6503" spans="1:1">
      <c r="A6503" s="7"/>
    </row>
    <row r="6504" spans="1:1">
      <c r="A6504" s="7"/>
    </row>
    <row r="6505" spans="1:1">
      <c r="A6505" s="7"/>
    </row>
    <row r="6506" spans="1:1">
      <c r="A6506" s="7"/>
    </row>
    <row r="6507" spans="1:1">
      <c r="A6507" s="7"/>
    </row>
    <row r="6508" spans="1:1">
      <c r="A6508" s="7"/>
    </row>
    <row r="6509" spans="1:1">
      <c r="A6509" s="7"/>
    </row>
    <row r="6510" spans="1:1">
      <c r="A6510" s="7"/>
    </row>
    <row r="6511" spans="1:1">
      <c r="A6511" s="7"/>
    </row>
    <row r="6512" spans="1:1">
      <c r="A6512" s="7"/>
    </row>
    <row r="6513" spans="1:1">
      <c r="A6513" s="7"/>
    </row>
    <row r="6514" spans="1:1">
      <c r="A6514" s="7"/>
    </row>
    <row r="6515" spans="1:1">
      <c r="A6515" s="7"/>
    </row>
    <row r="6516" spans="1:1">
      <c r="A6516" s="7"/>
    </row>
    <row r="6517" spans="1:1">
      <c r="A6517" s="7"/>
    </row>
    <row r="6518" spans="1:1">
      <c r="A6518" s="7"/>
    </row>
    <row r="6519" spans="1:1">
      <c r="A6519" s="7"/>
    </row>
    <row r="6520" spans="1:1">
      <c r="A6520" s="7"/>
    </row>
    <row r="6521" spans="1:1">
      <c r="A6521" s="7"/>
    </row>
    <row r="6522" spans="1:1">
      <c r="A6522" s="7"/>
    </row>
    <row r="6523" spans="1:1">
      <c r="A6523" s="7"/>
    </row>
    <row r="6524" spans="1:1">
      <c r="A6524" s="7"/>
    </row>
    <row r="6525" spans="1:1">
      <c r="A6525" s="7"/>
    </row>
    <row r="6526" spans="1:1">
      <c r="A6526" s="7"/>
    </row>
    <row r="6527" spans="1:1">
      <c r="A6527" s="7"/>
    </row>
    <row r="6528" spans="1:1">
      <c r="A6528" s="7"/>
    </row>
    <row r="6529" spans="1:1">
      <c r="A6529" s="7"/>
    </row>
    <row r="6530" spans="1:1">
      <c r="A6530" s="7"/>
    </row>
    <row r="6531" spans="1:1">
      <c r="A6531" s="7"/>
    </row>
    <row r="6532" spans="1:1">
      <c r="A6532" s="7"/>
    </row>
    <row r="6533" spans="1:1">
      <c r="A6533" s="7"/>
    </row>
    <row r="6534" spans="1:1">
      <c r="A6534" s="7"/>
    </row>
    <row r="6535" spans="1:1">
      <c r="A6535" s="7"/>
    </row>
    <row r="6536" spans="1:1">
      <c r="A6536" s="7"/>
    </row>
    <row r="6537" spans="1:1">
      <c r="A6537" s="7"/>
    </row>
    <row r="6538" spans="1:1">
      <c r="A6538" s="7"/>
    </row>
    <row r="6539" spans="1:1">
      <c r="A6539" s="7"/>
    </row>
    <row r="6540" spans="1:1">
      <c r="A6540" s="7"/>
    </row>
    <row r="6541" spans="1:1">
      <c r="A6541" s="7"/>
    </row>
    <row r="6542" spans="1:1">
      <c r="A6542" s="7"/>
    </row>
    <row r="6543" spans="1:1">
      <c r="A6543" s="7"/>
    </row>
    <row r="6544" spans="1:1">
      <c r="A6544" s="7"/>
    </row>
    <row r="6545" spans="1:1">
      <c r="A6545" s="7"/>
    </row>
    <row r="6546" spans="1:1">
      <c r="A6546" s="7"/>
    </row>
    <row r="6547" spans="1:1">
      <c r="A6547" s="7"/>
    </row>
    <row r="6548" spans="1:1">
      <c r="A6548" s="7"/>
    </row>
    <row r="6549" spans="1:1">
      <c r="A6549" s="7"/>
    </row>
    <row r="6550" spans="1:1">
      <c r="A6550" s="7"/>
    </row>
    <row r="6551" spans="1:1">
      <c r="A6551" s="7"/>
    </row>
    <row r="6552" spans="1:1">
      <c r="A6552" s="7"/>
    </row>
    <row r="6553" spans="1:1">
      <c r="A6553" s="7"/>
    </row>
    <row r="6554" spans="1:1">
      <c r="A6554" s="7"/>
    </row>
    <row r="6555" spans="1:1">
      <c r="A6555" s="7"/>
    </row>
    <row r="6556" spans="1:1">
      <c r="A6556" s="7"/>
    </row>
    <row r="6557" spans="1:1">
      <c r="A6557" s="7"/>
    </row>
    <row r="6558" spans="1:1">
      <c r="A6558" s="7"/>
    </row>
    <row r="6559" spans="1:1">
      <c r="A6559" s="7"/>
    </row>
    <row r="6560" spans="1:1">
      <c r="A6560" s="7"/>
    </row>
    <row r="6561" spans="1:1">
      <c r="A6561" s="7"/>
    </row>
    <row r="6562" spans="1:1">
      <c r="A6562" s="7"/>
    </row>
    <row r="6563" spans="1:1">
      <c r="A6563" s="7"/>
    </row>
    <row r="6564" spans="1:1">
      <c r="A6564" s="7"/>
    </row>
    <row r="6565" spans="1:1">
      <c r="A6565" s="7"/>
    </row>
    <row r="6566" spans="1:1">
      <c r="A6566" s="7"/>
    </row>
    <row r="6567" spans="1:1">
      <c r="A6567" s="7"/>
    </row>
    <row r="6568" spans="1:1">
      <c r="A6568" s="7"/>
    </row>
    <row r="6569" spans="1:1">
      <c r="A6569" s="7"/>
    </row>
    <row r="6570" spans="1:1">
      <c r="A6570" s="7"/>
    </row>
    <row r="6571" spans="1:1">
      <c r="A6571" s="7"/>
    </row>
    <row r="6572" spans="1:1">
      <c r="A6572" s="7"/>
    </row>
    <row r="6573" spans="1:1">
      <c r="A6573" s="7"/>
    </row>
    <row r="6574" spans="1:1">
      <c r="A6574" s="7"/>
    </row>
    <row r="6575" spans="1:1">
      <c r="A6575" s="7"/>
    </row>
    <row r="6576" spans="1:1">
      <c r="A6576" s="7"/>
    </row>
    <row r="6577" spans="1:1">
      <c r="A6577" s="7"/>
    </row>
    <row r="6578" spans="1:1">
      <c r="A6578" s="7"/>
    </row>
    <row r="6579" spans="1:1">
      <c r="A6579" s="7"/>
    </row>
    <row r="6580" spans="1:1">
      <c r="A6580" s="7"/>
    </row>
    <row r="6581" spans="1:1">
      <c r="A6581" s="7"/>
    </row>
    <row r="6582" spans="1:1">
      <c r="A6582" s="7"/>
    </row>
    <row r="6583" spans="1:1">
      <c r="A6583" s="7"/>
    </row>
    <row r="6584" spans="1:1">
      <c r="A6584" s="7"/>
    </row>
    <row r="6585" spans="1:1">
      <c r="A6585" s="7"/>
    </row>
    <row r="6586" spans="1:1">
      <c r="A6586" s="7"/>
    </row>
    <row r="6587" spans="1:1">
      <c r="A6587" s="7"/>
    </row>
    <row r="6588" spans="1:1">
      <c r="A6588" s="7"/>
    </row>
    <row r="6589" spans="1:1">
      <c r="A6589" s="7"/>
    </row>
    <row r="6590" spans="1:1">
      <c r="A6590" s="7"/>
    </row>
    <row r="6591" spans="1:1">
      <c r="A6591" s="7"/>
    </row>
    <row r="6592" spans="1:1">
      <c r="A6592" s="7"/>
    </row>
    <row r="6593" spans="1:1">
      <c r="A6593" s="7"/>
    </row>
    <row r="6594" spans="1:1">
      <c r="A6594" s="7"/>
    </row>
    <row r="6595" spans="1:1">
      <c r="A6595" s="7"/>
    </row>
    <row r="6596" spans="1:1">
      <c r="A6596" s="7"/>
    </row>
    <row r="6597" spans="1:1">
      <c r="A6597" s="7"/>
    </row>
    <row r="6598" spans="1:1">
      <c r="A6598" s="7"/>
    </row>
    <row r="6599" spans="1:1">
      <c r="A6599" s="7"/>
    </row>
    <row r="6600" spans="1:1">
      <c r="A6600" s="7"/>
    </row>
    <row r="6601" spans="1:1">
      <c r="A6601" s="7"/>
    </row>
    <row r="6602" spans="1:1">
      <c r="A6602" s="7"/>
    </row>
    <row r="6603" spans="1:1">
      <c r="A6603" s="7"/>
    </row>
    <row r="6604" spans="1:1">
      <c r="A6604" s="7"/>
    </row>
    <row r="6605" spans="1:1">
      <c r="A6605" s="7"/>
    </row>
    <row r="6606" spans="1:1">
      <c r="A6606" s="7"/>
    </row>
    <row r="6607" spans="1:1">
      <c r="A6607" s="7"/>
    </row>
    <row r="6608" spans="1:1">
      <c r="A6608" s="7"/>
    </row>
    <row r="6609" spans="1:1">
      <c r="A6609" s="7"/>
    </row>
    <row r="6610" spans="1:1">
      <c r="A6610" s="7"/>
    </row>
    <row r="6611" spans="1:1">
      <c r="A6611" s="7"/>
    </row>
    <row r="6612" spans="1:1">
      <c r="A6612" s="7"/>
    </row>
    <row r="6613" spans="1:1">
      <c r="A6613" s="7"/>
    </row>
    <row r="6614" spans="1:1">
      <c r="A6614" s="7"/>
    </row>
    <row r="6615" spans="1:1">
      <c r="A6615" s="7"/>
    </row>
    <row r="6616" spans="1:1">
      <c r="A6616" s="7"/>
    </row>
    <row r="6617" spans="1:1">
      <c r="A6617" s="7"/>
    </row>
    <row r="6618" spans="1:1">
      <c r="A6618" s="7"/>
    </row>
    <row r="6619" spans="1:1">
      <c r="A6619" s="7"/>
    </row>
    <row r="6620" spans="1:1">
      <c r="A6620" s="7"/>
    </row>
    <row r="6621" spans="1:1">
      <c r="A6621" s="7"/>
    </row>
    <row r="6622" spans="1:1">
      <c r="A6622" s="7"/>
    </row>
    <row r="6623" spans="1:1">
      <c r="A6623" s="7"/>
    </row>
    <row r="6624" spans="1:1">
      <c r="A6624" s="7"/>
    </row>
    <row r="6625" spans="1:1">
      <c r="A6625" s="7"/>
    </row>
    <row r="6626" spans="1:1">
      <c r="A6626" s="7"/>
    </row>
    <row r="6627" spans="1:1">
      <c r="A6627" s="7"/>
    </row>
    <row r="6628" spans="1:1">
      <c r="A6628" s="7"/>
    </row>
    <row r="6629" spans="1:1">
      <c r="A6629" s="7"/>
    </row>
    <row r="6630" spans="1:1">
      <c r="A6630" s="7"/>
    </row>
    <row r="6631" spans="1:1">
      <c r="A6631" s="7"/>
    </row>
    <row r="6632" spans="1:1">
      <c r="A6632" s="7"/>
    </row>
    <row r="6633" spans="1:1">
      <c r="A6633" s="7"/>
    </row>
    <row r="6634" spans="1:1">
      <c r="A6634" s="7"/>
    </row>
    <row r="6635" spans="1:1">
      <c r="A6635" s="7"/>
    </row>
    <row r="6636" spans="1:1">
      <c r="A6636" s="7"/>
    </row>
    <row r="6637" spans="1:1">
      <c r="A6637" s="7"/>
    </row>
    <row r="6638" spans="1:1">
      <c r="A6638" s="7"/>
    </row>
    <row r="6639" spans="1:1">
      <c r="A6639" s="7"/>
    </row>
    <row r="6640" spans="1:1">
      <c r="A6640" s="7"/>
    </row>
    <row r="6641" spans="1:1">
      <c r="A6641" s="7"/>
    </row>
    <row r="6642" spans="1:1">
      <c r="A6642" s="7"/>
    </row>
    <row r="6643" spans="1:1">
      <c r="A6643" s="7"/>
    </row>
    <row r="6644" spans="1:1">
      <c r="A6644" s="7"/>
    </row>
    <row r="6645" spans="1:1">
      <c r="A6645" s="7"/>
    </row>
    <row r="6646" spans="1:1">
      <c r="A6646" s="7"/>
    </row>
    <row r="6647" spans="1:1">
      <c r="A6647" s="7"/>
    </row>
    <row r="6648" spans="1:1">
      <c r="A6648" s="7"/>
    </row>
    <row r="6649" spans="1:1">
      <c r="A6649" s="7"/>
    </row>
    <row r="6650" spans="1:1">
      <c r="A6650" s="7"/>
    </row>
    <row r="6651" spans="1:1">
      <c r="A6651" s="7"/>
    </row>
    <row r="6652" spans="1:1">
      <c r="A6652" s="7"/>
    </row>
    <row r="6653" spans="1:1">
      <c r="A6653" s="7"/>
    </row>
    <row r="6654" spans="1:1">
      <c r="A6654" s="7"/>
    </row>
    <row r="6655" spans="1:1">
      <c r="A6655" s="7"/>
    </row>
    <row r="6656" spans="1:1">
      <c r="A6656" s="7"/>
    </row>
    <row r="6657" spans="1:1">
      <c r="A6657" s="7"/>
    </row>
    <row r="6658" spans="1:1">
      <c r="A6658" s="7"/>
    </row>
    <row r="6659" spans="1:1">
      <c r="A6659" s="7"/>
    </row>
    <row r="6660" spans="1:1">
      <c r="A6660" s="7"/>
    </row>
    <row r="6661" spans="1:1">
      <c r="A6661" s="7"/>
    </row>
    <row r="6662" spans="1:1">
      <c r="A6662" s="7"/>
    </row>
    <row r="6663" spans="1:1">
      <c r="A6663" s="7"/>
    </row>
    <row r="6664" spans="1:1">
      <c r="A6664" s="7"/>
    </row>
    <row r="6665" spans="1:1">
      <c r="A6665" s="7"/>
    </row>
    <row r="6666" spans="1:1">
      <c r="A6666" s="7"/>
    </row>
    <row r="6667" spans="1:1">
      <c r="A6667" s="7"/>
    </row>
    <row r="6668" spans="1:1">
      <c r="A6668" s="7"/>
    </row>
    <row r="6669" spans="1:1">
      <c r="A6669" s="7"/>
    </row>
    <row r="6670" spans="1:1">
      <c r="A6670" s="7"/>
    </row>
    <row r="6671" spans="1:1">
      <c r="A6671" s="7"/>
    </row>
    <row r="6672" spans="1:1">
      <c r="A6672" s="7"/>
    </row>
    <row r="6673" spans="1:1">
      <c r="A6673" s="7"/>
    </row>
    <row r="6674" spans="1:1">
      <c r="A6674" s="7"/>
    </row>
    <row r="6675" spans="1:1">
      <c r="A6675" s="7"/>
    </row>
    <row r="6676" spans="1:1">
      <c r="A6676" s="7"/>
    </row>
    <row r="6677" spans="1:1">
      <c r="A6677" s="7"/>
    </row>
    <row r="6678" spans="1:1">
      <c r="A6678" s="7"/>
    </row>
    <row r="6679" spans="1:1">
      <c r="A6679" s="7"/>
    </row>
    <row r="6680" spans="1:1">
      <c r="A6680" s="7"/>
    </row>
    <row r="6681" spans="1:1">
      <c r="A6681" s="7"/>
    </row>
    <row r="6682" spans="1:1">
      <c r="A6682" s="7"/>
    </row>
    <row r="6683" spans="1:1">
      <c r="A6683" s="7"/>
    </row>
    <row r="6684" spans="1:1">
      <c r="A6684" s="7"/>
    </row>
    <row r="6685" spans="1:1">
      <c r="A6685" s="7"/>
    </row>
    <row r="6686" spans="1:1">
      <c r="A6686" s="7"/>
    </row>
    <row r="6687" spans="1:1">
      <c r="A6687" s="7"/>
    </row>
    <row r="6688" spans="1:1">
      <c r="A6688" s="7"/>
    </row>
    <row r="6689" spans="1:1">
      <c r="A6689" s="7"/>
    </row>
    <row r="6690" spans="1:1">
      <c r="A6690" s="7"/>
    </row>
    <row r="6691" spans="1:1">
      <c r="A6691" s="7"/>
    </row>
    <row r="6692" spans="1:1">
      <c r="A6692" s="7"/>
    </row>
    <row r="6693" spans="1:1">
      <c r="A6693" s="7"/>
    </row>
    <row r="6694" spans="1:1">
      <c r="A6694" s="7"/>
    </row>
    <row r="6695" spans="1:1">
      <c r="A6695" s="7"/>
    </row>
    <row r="6696" spans="1:1">
      <c r="A6696" s="7"/>
    </row>
    <row r="6697" spans="1:1">
      <c r="A6697" s="7"/>
    </row>
    <row r="6698" spans="1:1">
      <c r="A6698" s="7"/>
    </row>
    <row r="6699" spans="1:1">
      <c r="A6699" s="7"/>
    </row>
    <row r="6700" spans="1:1">
      <c r="A6700" s="7"/>
    </row>
    <row r="6701" spans="1:1">
      <c r="A6701" s="7"/>
    </row>
    <row r="6702" spans="1:1">
      <c r="A6702" s="7"/>
    </row>
    <row r="6703" spans="1:1">
      <c r="A6703" s="7"/>
    </row>
    <row r="6704" spans="1:1">
      <c r="A6704" s="7"/>
    </row>
    <row r="6705" spans="1:1">
      <c r="A6705" s="7"/>
    </row>
    <row r="6706" spans="1:1">
      <c r="A6706" s="7"/>
    </row>
    <row r="6707" spans="1:1">
      <c r="A6707" s="7"/>
    </row>
    <row r="6708" spans="1:1">
      <c r="A6708" s="7"/>
    </row>
    <row r="6709" spans="1:1">
      <c r="A6709" s="7"/>
    </row>
    <row r="6710" spans="1:1">
      <c r="A6710" s="7"/>
    </row>
    <row r="6711" spans="1:1">
      <c r="A6711" s="7"/>
    </row>
    <row r="6712" spans="1:1">
      <c r="A6712" s="7"/>
    </row>
    <row r="6713" spans="1:1">
      <c r="A6713" s="7"/>
    </row>
    <row r="6714" spans="1:1">
      <c r="A6714" s="7"/>
    </row>
    <row r="6715" spans="1:1">
      <c r="A6715" s="7"/>
    </row>
    <row r="6716" spans="1:1">
      <c r="A6716" s="7"/>
    </row>
    <row r="6717" spans="1:1">
      <c r="A6717" s="7"/>
    </row>
    <row r="6718" spans="1:1">
      <c r="A6718" s="7"/>
    </row>
    <row r="6719" spans="1:1">
      <c r="A6719" s="7"/>
    </row>
    <row r="6720" spans="1:1">
      <c r="A6720" s="7"/>
    </row>
    <row r="6721" spans="1:1">
      <c r="A6721" s="7"/>
    </row>
    <row r="6722" spans="1:1">
      <c r="A6722" s="7"/>
    </row>
    <row r="6723" spans="1:1">
      <c r="A6723" s="7"/>
    </row>
    <row r="6724" spans="1:1">
      <c r="A6724" s="7"/>
    </row>
    <row r="6725" spans="1:1">
      <c r="A6725" s="7"/>
    </row>
    <row r="6726" spans="1:1">
      <c r="A6726" s="7"/>
    </row>
    <row r="6727" spans="1:1">
      <c r="A6727" s="7"/>
    </row>
    <row r="6728" spans="1:1">
      <c r="A6728" s="7"/>
    </row>
    <row r="6729" spans="1:1">
      <c r="A6729" s="7"/>
    </row>
    <row r="6730" spans="1:1">
      <c r="A6730" s="7"/>
    </row>
    <row r="6731" spans="1:1">
      <c r="A6731" s="7"/>
    </row>
    <row r="6732" spans="1:1">
      <c r="A6732" s="7"/>
    </row>
    <row r="6733" spans="1:1">
      <c r="A6733" s="7"/>
    </row>
    <row r="6734" spans="1:1">
      <c r="A6734" s="7"/>
    </row>
    <row r="6735" spans="1:1">
      <c r="A6735" s="7"/>
    </row>
    <row r="6736" spans="1:1">
      <c r="A6736" s="7"/>
    </row>
    <row r="6737" spans="1:1">
      <c r="A6737" s="7"/>
    </row>
    <row r="6738" spans="1:1">
      <c r="A6738" s="7"/>
    </row>
    <row r="6739" spans="1:1">
      <c r="A6739" s="7"/>
    </row>
    <row r="6740" spans="1:1">
      <c r="A6740" s="7"/>
    </row>
    <row r="6741" spans="1:1">
      <c r="A6741" s="7"/>
    </row>
    <row r="6742" spans="1:1">
      <c r="A6742" s="7"/>
    </row>
    <row r="6743" spans="1:1">
      <c r="A6743" s="7"/>
    </row>
    <row r="6744" spans="1:1">
      <c r="A6744" s="7"/>
    </row>
    <row r="6745" spans="1:1">
      <c r="A6745" s="7"/>
    </row>
    <row r="6746" spans="1:1">
      <c r="A6746" s="7"/>
    </row>
    <row r="6747" spans="1:1">
      <c r="A6747" s="7"/>
    </row>
    <row r="6748" spans="1:1">
      <c r="A6748" s="7"/>
    </row>
    <row r="6749" spans="1:1">
      <c r="A6749" s="7"/>
    </row>
    <row r="6750" spans="1:1">
      <c r="A6750" s="7"/>
    </row>
    <row r="6751" spans="1:1">
      <c r="A6751" s="7"/>
    </row>
    <row r="6752" spans="1:1">
      <c r="A6752" s="7"/>
    </row>
    <row r="6753" spans="1:1">
      <c r="A6753" s="7"/>
    </row>
    <row r="6754" spans="1:1">
      <c r="A6754" s="7"/>
    </row>
    <row r="6755" spans="1:1">
      <c r="A6755" s="7"/>
    </row>
    <row r="6756" spans="1:1">
      <c r="A6756" s="7"/>
    </row>
    <row r="6757" spans="1:1">
      <c r="A6757" s="7"/>
    </row>
    <row r="6758" spans="1:1">
      <c r="A6758" s="7"/>
    </row>
    <row r="6759" spans="1:1">
      <c r="A6759" s="7"/>
    </row>
    <row r="6760" spans="1:1">
      <c r="A6760" s="7"/>
    </row>
    <row r="6761" spans="1:1">
      <c r="A6761" s="7"/>
    </row>
    <row r="6762" spans="1:1">
      <c r="A6762" s="7"/>
    </row>
    <row r="6763" spans="1:1">
      <c r="A6763" s="7"/>
    </row>
    <row r="6764" spans="1:1">
      <c r="A6764" s="7"/>
    </row>
    <row r="6765" spans="1:1">
      <c r="A6765" s="7"/>
    </row>
    <row r="6766" spans="1:1">
      <c r="A6766" s="7"/>
    </row>
    <row r="6767" spans="1:1">
      <c r="A6767" s="7"/>
    </row>
    <row r="6768" spans="1:1">
      <c r="A6768" s="7"/>
    </row>
    <row r="6769" spans="1:1">
      <c r="A6769" s="7"/>
    </row>
    <row r="6770" spans="1:1">
      <c r="A6770" s="7"/>
    </row>
    <row r="6771" spans="1:1">
      <c r="A6771" s="7"/>
    </row>
    <row r="6772" spans="1:1">
      <c r="A6772" s="7"/>
    </row>
    <row r="6773" spans="1:1">
      <c r="A6773" s="7"/>
    </row>
    <row r="6774" spans="1:1">
      <c r="A6774" s="7"/>
    </row>
    <row r="6775" spans="1:1">
      <c r="A6775" s="7"/>
    </row>
    <row r="6776" spans="1:1">
      <c r="A6776" s="7"/>
    </row>
    <row r="6777" spans="1:1">
      <c r="A6777" s="7"/>
    </row>
    <row r="6778" spans="1:1">
      <c r="A6778" s="7"/>
    </row>
    <row r="6779" spans="1:1">
      <c r="A6779" s="7"/>
    </row>
    <row r="6780" spans="1:1">
      <c r="A6780" s="7"/>
    </row>
    <row r="6781" spans="1:1">
      <c r="A6781" s="7"/>
    </row>
    <row r="6782" spans="1:1">
      <c r="A6782" s="7"/>
    </row>
    <row r="6783" spans="1:1">
      <c r="A6783" s="7"/>
    </row>
    <row r="6784" spans="1:1">
      <c r="A6784" s="7"/>
    </row>
    <row r="6785" spans="1:1">
      <c r="A6785" s="7"/>
    </row>
    <row r="6786" spans="1:1">
      <c r="A6786" s="7"/>
    </row>
    <row r="6787" spans="1:1">
      <c r="A6787" s="7"/>
    </row>
    <row r="6788" spans="1:1">
      <c r="A6788" s="7"/>
    </row>
    <row r="6789" spans="1:1">
      <c r="A6789" s="7"/>
    </row>
    <row r="6790" spans="1:1">
      <c r="A6790" s="7"/>
    </row>
    <row r="6791" spans="1:1">
      <c r="A6791" s="7"/>
    </row>
    <row r="6792" spans="1:1">
      <c r="A6792" s="7"/>
    </row>
    <row r="6793" spans="1:1">
      <c r="A6793" s="7"/>
    </row>
    <row r="6794" spans="1:1">
      <c r="A6794" s="7"/>
    </row>
    <row r="6795" spans="1:1">
      <c r="A6795" s="7"/>
    </row>
    <row r="6796" spans="1:1">
      <c r="A6796" s="7"/>
    </row>
    <row r="6797" spans="1:1">
      <c r="A6797" s="7"/>
    </row>
    <row r="6798" spans="1:1">
      <c r="A6798" s="7"/>
    </row>
    <row r="6799" spans="1:1">
      <c r="A6799" s="7"/>
    </row>
    <row r="6800" spans="1:1">
      <c r="A6800" s="7"/>
    </row>
    <row r="6801" spans="1:1">
      <c r="A6801" s="7"/>
    </row>
    <row r="6802" spans="1:1">
      <c r="A6802" s="7"/>
    </row>
    <row r="6803" spans="1:1">
      <c r="A6803" s="7"/>
    </row>
    <row r="6804" spans="1:1">
      <c r="A6804" s="7"/>
    </row>
    <row r="6805" spans="1:1">
      <c r="A6805" s="7"/>
    </row>
    <row r="6806" spans="1:1">
      <c r="A6806" s="7"/>
    </row>
    <row r="6807" spans="1:1">
      <c r="A6807" s="7"/>
    </row>
    <row r="6808" spans="1:1">
      <c r="A6808" s="7"/>
    </row>
    <row r="6809" spans="1:1">
      <c r="A6809" s="7"/>
    </row>
    <row r="6810" spans="1:1">
      <c r="A6810" s="7"/>
    </row>
    <row r="6811" spans="1:1">
      <c r="A6811" s="7"/>
    </row>
    <row r="6812" spans="1:1">
      <c r="A6812" s="7"/>
    </row>
    <row r="6813" spans="1:1">
      <c r="A6813" s="7"/>
    </row>
    <row r="6814" spans="1:1">
      <c r="A6814" s="7"/>
    </row>
    <row r="6815" spans="1:1">
      <c r="A6815" s="7"/>
    </row>
    <row r="6816" spans="1:1">
      <c r="A6816" s="7"/>
    </row>
    <row r="6817" spans="1:1">
      <c r="A6817" s="7"/>
    </row>
    <row r="6818" spans="1:1">
      <c r="A6818" s="7"/>
    </row>
    <row r="6819" spans="1:1">
      <c r="A6819" s="7"/>
    </row>
    <row r="6820" spans="1:1">
      <c r="A6820" s="7"/>
    </row>
    <row r="6821" spans="1:1">
      <c r="A6821" s="7"/>
    </row>
    <row r="6822" spans="1:1">
      <c r="A6822" s="7"/>
    </row>
    <row r="6823" spans="1:1">
      <c r="A6823" s="7"/>
    </row>
    <row r="6824" spans="1:1">
      <c r="A6824" s="7"/>
    </row>
    <row r="6825" spans="1:1">
      <c r="A6825" s="7"/>
    </row>
    <row r="6826" spans="1:1">
      <c r="A6826" s="7"/>
    </row>
    <row r="6827" spans="1:1">
      <c r="A6827" s="7"/>
    </row>
    <row r="6828" spans="1:1">
      <c r="A6828" s="7"/>
    </row>
    <row r="6829" spans="1:1">
      <c r="A6829" s="7"/>
    </row>
    <row r="6830" spans="1:1">
      <c r="A6830" s="7"/>
    </row>
    <row r="6831" spans="1:1">
      <c r="A6831" s="7"/>
    </row>
    <row r="6832" spans="1:1">
      <c r="A6832" s="7"/>
    </row>
    <row r="6833" spans="1:1">
      <c r="A6833" s="7"/>
    </row>
    <row r="6834" spans="1:1">
      <c r="A6834" s="7"/>
    </row>
    <row r="6835" spans="1:1">
      <c r="A6835" s="7"/>
    </row>
    <row r="6836" spans="1:1">
      <c r="A6836" s="7"/>
    </row>
    <row r="6837" spans="1:1">
      <c r="A6837" s="7"/>
    </row>
    <row r="6838" spans="1:1">
      <c r="A6838" s="7"/>
    </row>
    <row r="6839" spans="1:1">
      <c r="A6839" s="7"/>
    </row>
    <row r="6840" spans="1:1">
      <c r="A6840" s="7"/>
    </row>
    <row r="6841" spans="1:1">
      <c r="A6841" s="7"/>
    </row>
    <row r="6842" spans="1:1">
      <c r="A6842" s="7"/>
    </row>
    <row r="6843" spans="1:1">
      <c r="A6843" s="7"/>
    </row>
    <row r="6844" spans="1:1">
      <c r="A6844" s="7"/>
    </row>
    <row r="6845" spans="1:1">
      <c r="A6845" s="7"/>
    </row>
    <row r="6846" spans="1:1">
      <c r="A6846" s="7"/>
    </row>
    <row r="6847" spans="1:1">
      <c r="A6847" s="7"/>
    </row>
    <row r="6848" spans="1:1">
      <c r="A6848" s="7"/>
    </row>
    <row r="6849" spans="1:1">
      <c r="A6849" s="7"/>
    </row>
    <row r="6850" spans="1:1">
      <c r="A6850" s="7"/>
    </row>
    <row r="6851" spans="1:1">
      <c r="A6851" s="7"/>
    </row>
    <row r="6852" spans="1:1">
      <c r="A6852" s="7"/>
    </row>
    <row r="6853" spans="1:1">
      <c r="A6853" s="7"/>
    </row>
    <row r="6854" spans="1:1">
      <c r="A6854" s="7"/>
    </row>
    <row r="6855" spans="1:1">
      <c r="A6855" s="7"/>
    </row>
    <row r="6856" spans="1:1">
      <c r="A6856" s="7"/>
    </row>
    <row r="6857" spans="1:1">
      <c r="A6857" s="7"/>
    </row>
    <row r="6858" spans="1:1">
      <c r="A6858" s="7"/>
    </row>
    <row r="6859" spans="1:1">
      <c r="A6859" s="7"/>
    </row>
    <row r="6860" spans="1:1">
      <c r="A6860" s="7"/>
    </row>
    <row r="6861" spans="1:1">
      <c r="A6861" s="7"/>
    </row>
    <row r="6862" spans="1:1">
      <c r="A6862" s="7"/>
    </row>
    <row r="6863" spans="1:1">
      <c r="A6863" s="7"/>
    </row>
    <row r="6864" spans="1:1">
      <c r="A6864" s="7"/>
    </row>
    <row r="6865" spans="1:1">
      <c r="A6865" s="7"/>
    </row>
    <row r="6866" spans="1:1">
      <c r="A6866" s="7"/>
    </row>
    <row r="6867" spans="1:1">
      <c r="A6867" s="7"/>
    </row>
    <row r="6868" spans="1:1">
      <c r="A6868" s="7"/>
    </row>
    <row r="6869" spans="1:1">
      <c r="A6869" s="7"/>
    </row>
    <row r="6870" spans="1:1">
      <c r="A6870" s="7"/>
    </row>
    <row r="6871" spans="1:1">
      <c r="A6871" s="7"/>
    </row>
    <row r="6872" spans="1:1">
      <c r="A6872" s="7"/>
    </row>
    <row r="6873" spans="1:1">
      <c r="A6873" s="7"/>
    </row>
    <row r="6874" spans="1:1">
      <c r="A6874" s="7"/>
    </row>
    <row r="6875" spans="1:1">
      <c r="A6875" s="7"/>
    </row>
    <row r="6876" spans="1:1">
      <c r="A6876" s="7"/>
    </row>
    <row r="6877" spans="1:1">
      <c r="A6877" s="7"/>
    </row>
    <row r="6878" spans="1:1">
      <c r="A6878" s="7"/>
    </row>
    <row r="6879" spans="1:1">
      <c r="A6879" s="7"/>
    </row>
    <row r="6880" spans="1:1">
      <c r="A6880" s="7"/>
    </row>
    <row r="6881" spans="1:1">
      <c r="A6881" s="7"/>
    </row>
    <row r="6882" spans="1:1">
      <c r="A6882" s="7"/>
    </row>
    <row r="6883" spans="1:1">
      <c r="A6883" s="7"/>
    </row>
    <row r="6884" spans="1:1">
      <c r="A6884" s="7"/>
    </row>
    <row r="6885" spans="1:1">
      <c r="A6885" s="7"/>
    </row>
    <row r="6886" spans="1:1">
      <c r="A6886" s="7"/>
    </row>
    <row r="6887" spans="1:1">
      <c r="A6887" s="7"/>
    </row>
    <row r="6888" spans="1:1">
      <c r="A6888" s="7"/>
    </row>
    <row r="6889" spans="1:1">
      <c r="A6889" s="7"/>
    </row>
    <row r="6890" spans="1:1">
      <c r="A6890" s="7"/>
    </row>
    <row r="6891" spans="1:1">
      <c r="A6891" s="7"/>
    </row>
    <row r="6892" spans="1:1">
      <c r="A6892" s="7"/>
    </row>
    <row r="6893" spans="1:1">
      <c r="A6893" s="7"/>
    </row>
    <row r="6894" spans="1:1">
      <c r="A6894" s="7"/>
    </row>
    <row r="6895" spans="1:1">
      <c r="A6895" s="7"/>
    </row>
    <row r="6896" spans="1:1">
      <c r="A6896" s="7"/>
    </row>
    <row r="6897" spans="1:1">
      <c r="A6897" s="7"/>
    </row>
    <row r="6898" spans="1:1">
      <c r="A6898" s="7"/>
    </row>
    <row r="6899" spans="1:1">
      <c r="A6899" s="7"/>
    </row>
    <row r="6900" spans="1:1">
      <c r="A6900" s="7"/>
    </row>
    <row r="6901" spans="1:1">
      <c r="A6901" s="7"/>
    </row>
    <row r="6902" spans="1:1">
      <c r="A6902" s="7"/>
    </row>
    <row r="6903" spans="1:1">
      <c r="A6903" s="7"/>
    </row>
    <row r="6904" spans="1:1">
      <c r="A6904" s="7"/>
    </row>
    <row r="6905" spans="1:1">
      <c r="A6905" s="7"/>
    </row>
    <row r="6906" spans="1:1">
      <c r="A6906" s="7"/>
    </row>
    <row r="6907" spans="1:1">
      <c r="A6907" s="7"/>
    </row>
    <row r="6908" spans="1:1">
      <c r="A6908" s="7"/>
    </row>
    <row r="6909" spans="1:1">
      <c r="A6909" s="7"/>
    </row>
    <row r="6910" spans="1:1">
      <c r="A6910" s="7"/>
    </row>
    <row r="6911" spans="1:1">
      <c r="A6911" s="7"/>
    </row>
    <row r="6912" spans="1:1">
      <c r="A6912" s="7"/>
    </row>
    <row r="6913" spans="1:1">
      <c r="A6913" s="7"/>
    </row>
    <row r="6914" spans="1:1">
      <c r="A6914" s="7"/>
    </row>
    <row r="6915" spans="1:1">
      <c r="A6915" s="7"/>
    </row>
    <row r="6916" spans="1:1">
      <c r="A6916" s="7"/>
    </row>
    <row r="6917" spans="1:1">
      <c r="A6917" s="7"/>
    </row>
    <row r="6918" spans="1:1">
      <c r="A6918" s="7"/>
    </row>
    <row r="6919" spans="1:1">
      <c r="A6919" s="7"/>
    </row>
    <row r="6920" spans="1:1">
      <c r="A6920" s="7"/>
    </row>
    <row r="6921" spans="1:1">
      <c r="A6921" s="7"/>
    </row>
    <row r="6922" spans="1:1">
      <c r="A6922" s="7"/>
    </row>
    <row r="6923" spans="1:1">
      <c r="A6923" s="7"/>
    </row>
    <row r="6924" spans="1:1">
      <c r="A6924" s="7"/>
    </row>
    <row r="6925" spans="1:1">
      <c r="A6925" s="7"/>
    </row>
    <row r="6926" spans="1:1">
      <c r="A6926" s="7"/>
    </row>
    <row r="6927" spans="1:1">
      <c r="A6927" s="7"/>
    </row>
    <row r="6928" spans="1:1">
      <c r="A6928" s="7"/>
    </row>
    <row r="6929" spans="1:1">
      <c r="A6929" s="7"/>
    </row>
    <row r="6930" spans="1:1">
      <c r="A6930" s="7"/>
    </row>
    <row r="6931" spans="1:1">
      <c r="A6931" s="7"/>
    </row>
    <row r="6932" spans="1:1">
      <c r="A6932" s="7"/>
    </row>
    <row r="6933" spans="1:1">
      <c r="A6933" s="7"/>
    </row>
    <row r="6934" spans="1:1">
      <c r="A6934" s="7"/>
    </row>
    <row r="6935" spans="1:1">
      <c r="A6935" s="7"/>
    </row>
    <row r="6936" spans="1:1">
      <c r="A6936" s="7"/>
    </row>
    <row r="6937" spans="1:1">
      <c r="A6937" s="7"/>
    </row>
    <row r="6938" spans="1:1">
      <c r="A6938" s="7"/>
    </row>
    <row r="6939" spans="1:1">
      <c r="A6939" s="7"/>
    </row>
    <row r="6940" spans="1:1">
      <c r="A6940" s="7"/>
    </row>
    <row r="6941" spans="1:1">
      <c r="A6941" s="7"/>
    </row>
    <row r="6942" spans="1:1">
      <c r="A6942" s="7"/>
    </row>
    <row r="6943" spans="1:1">
      <c r="A6943" s="7"/>
    </row>
    <row r="6944" spans="1:1">
      <c r="A6944" s="7"/>
    </row>
    <row r="6945" spans="1:1">
      <c r="A6945" s="7"/>
    </row>
    <row r="6946" spans="1:1">
      <c r="A6946" s="7"/>
    </row>
    <row r="6947" spans="1:1">
      <c r="A6947" s="7"/>
    </row>
    <row r="6948" spans="1:1">
      <c r="A6948" s="7"/>
    </row>
    <row r="6949" spans="1:1">
      <c r="A6949" s="7"/>
    </row>
    <row r="6950" spans="1:1">
      <c r="A6950" s="7"/>
    </row>
    <row r="6951" spans="1:1">
      <c r="A6951" s="7"/>
    </row>
    <row r="6952" spans="1:1">
      <c r="A6952" s="7"/>
    </row>
    <row r="6953" spans="1:1">
      <c r="A6953" s="7"/>
    </row>
    <row r="6954" spans="1:1">
      <c r="A6954" s="7"/>
    </row>
    <row r="6955" spans="1:1">
      <c r="A6955" s="7"/>
    </row>
    <row r="6956" spans="1:1">
      <c r="A6956" s="7"/>
    </row>
    <row r="6957" spans="1:1">
      <c r="A6957" s="7"/>
    </row>
    <row r="6958" spans="1:1">
      <c r="A6958" s="7"/>
    </row>
    <row r="6959" spans="1:1">
      <c r="A6959" s="7"/>
    </row>
    <row r="6960" spans="1:1">
      <c r="A6960" s="7"/>
    </row>
    <row r="6961" spans="1:1">
      <c r="A6961" s="7"/>
    </row>
    <row r="6962" spans="1:1">
      <c r="A6962" s="7"/>
    </row>
    <row r="6963" spans="1:1">
      <c r="A6963" s="7"/>
    </row>
    <row r="6964" spans="1:1">
      <c r="A6964" s="7"/>
    </row>
    <row r="6965" spans="1:1">
      <c r="A6965" s="7"/>
    </row>
    <row r="6966" spans="1:1">
      <c r="A6966" s="7"/>
    </row>
    <row r="6967" spans="1:1">
      <c r="A6967" s="7"/>
    </row>
    <row r="6968" spans="1:1">
      <c r="A6968" s="7"/>
    </row>
    <row r="6969" spans="1:1">
      <c r="A6969" s="7"/>
    </row>
    <row r="6970" spans="1:1">
      <c r="A6970" s="7"/>
    </row>
    <row r="6971" spans="1:1">
      <c r="A6971" s="7"/>
    </row>
    <row r="6972" spans="1:1">
      <c r="A6972" s="7"/>
    </row>
    <row r="6973" spans="1:1">
      <c r="A6973" s="7"/>
    </row>
    <row r="6974" spans="1:1">
      <c r="A6974" s="7"/>
    </row>
    <row r="6975" spans="1:1">
      <c r="A6975" s="7"/>
    </row>
    <row r="6976" spans="1:1">
      <c r="A6976" s="7"/>
    </row>
    <row r="6977" spans="1:1">
      <c r="A6977" s="7"/>
    </row>
    <row r="6978" spans="1:1">
      <c r="A6978" s="7"/>
    </row>
    <row r="6979" spans="1:1">
      <c r="A6979" s="7"/>
    </row>
    <row r="6980" spans="1:1">
      <c r="A6980" s="7"/>
    </row>
    <row r="6981" spans="1:1">
      <c r="A6981" s="7"/>
    </row>
    <row r="6982" spans="1:1">
      <c r="A6982" s="7"/>
    </row>
    <row r="6983" spans="1:1">
      <c r="A6983" s="7"/>
    </row>
    <row r="6984" spans="1:1">
      <c r="A6984" s="7"/>
    </row>
    <row r="6985" spans="1:1">
      <c r="A6985" s="7"/>
    </row>
    <row r="6986" spans="1:1">
      <c r="A6986" s="7"/>
    </row>
    <row r="6987" spans="1:1">
      <c r="A6987" s="7"/>
    </row>
    <row r="6988" spans="1:1">
      <c r="A6988" s="7"/>
    </row>
    <row r="6989" spans="1:1">
      <c r="A6989" s="7"/>
    </row>
    <row r="6990" spans="1:1">
      <c r="A6990" s="7"/>
    </row>
    <row r="6991" spans="1:1">
      <c r="A6991" s="7"/>
    </row>
    <row r="6992" spans="1:1">
      <c r="A6992" s="7"/>
    </row>
    <row r="6993" spans="1:1">
      <c r="A6993" s="7"/>
    </row>
    <row r="6994" spans="1:1">
      <c r="A6994" s="7"/>
    </row>
    <row r="6995" spans="1:1">
      <c r="A6995" s="7"/>
    </row>
    <row r="6996" spans="1:1">
      <c r="A6996" s="7"/>
    </row>
    <row r="6997" spans="1:1">
      <c r="A6997" s="7"/>
    </row>
    <row r="6998" spans="1:1">
      <c r="A6998" s="7"/>
    </row>
    <row r="6999" spans="1:1">
      <c r="A6999" s="7"/>
    </row>
    <row r="7000" spans="1:1">
      <c r="A7000" s="7"/>
    </row>
    <row r="7001" spans="1:1">
      <c r="A7001" s="7"/>
    </row>
    <row r="7002" spans="1:1">
      <c r="A7002" s="7"/>
    </row>
    <row r="7003" spans="1:1">
      <c r="A7003" s="7"/>
    </row>
    <row r="7004" spans="1:1">
      <c r="A7004" s="7"/>
    </row>
    <row r="7005" spans="1:1">
      <c r="A7005" s="7"/>
    </row>
    <row r="7006" spans="1:1">
      <c r="A7006" s="7"/>
    </row>
    <row r="7007" spans="1:1">
      <c r="A7007" s="7"/>
    </row>
    <row r="7008" spans="1:1">
      <c r="A7008" s="7"/>
    </row>
    <row r="7009" spans="1:1">
      <c r="A7009" s="7"/>
    </row>
    <row r="7010" spans="1:1">
      <c r="A7010" s="7"/>
    </row>
    <row r="7011" spans="1:1">
      <c r="A7011" s="7"/>
    </row>
    <row r="7012" spans="1:1">
      <c r="A7012" s="7"/>
    </row>
    <row r="7013" spans="1:1">
      <c r="A7013" s="7"/>
    </row>
    <row r="7014" spans="1:1">
      <c r="A7014" s="7"/>
    </row>
    <row r="7015" spans="1:1">
      <c r="A7015" s="7"/>
    </row>
    <row r="7016" spans="1:1">
      <c r="A7016" s="7"/>
    </row>
    <row r="7017" spans="1:1">
      <c r="A7017" s="7"/>
    </row>
    <row r="7018" spans="1:1">
      <c r="A7018" s="7"/>
    </row>
    <row r="7019" spans="1:1">
      <c r="A7019" s="7"/>
    </row>
    <row r="7020" spans="1:1">
      <c r="A7020" s="7"/>
    </row>
    <row r="7021" spans="1:1">
      <c r="A7021" s="7"/>
    </row>
    <row r="7022" spans="1:1">
      <c r="A7022" s="7"/>
    </row>
    <row r="7023" spans="1:1">
      <c r="A7023" s="7"/>
    </row>
    <row r="7024" spans="1:1">
      <c r="A7024" s="7"/>
    </row>
    <row r="7025" spans="1:1">
      <c r="A7025" s="7"/>
    </row>
    <row r="7026" spans="1:1">
      <c r="A7026" s="7"/>
    </row>
    <row r="7027" spans="1:1">
      <c r="A7027" s="7"/>
    </row>
    <row r="7028" spans="1:1">
      <c r="A7028" s="7"/>
    </row>
    <row r="7029" spans="1:1">
      <c r="A7029" s="7"/>
    </row>
    <row r="7030" spans="1:1">
      <c r="A7030" s="7"/>
    </row>
    <row r="7031" spans="1:1">
      <c r="A7031" s="7"/>
    </row>
    <row r="7032" spans="1:1">
      <c r="A7032" s="7"/>
    </row>
    <row r="7033" spans="1:1">
      <c r="A7033" s="7"/>
    </row>
    <row r="7034" spans="1:1">
      <c r="A7034" s="7"/>
    </row>
    <row r="7035" spans="1:1">
      <c r="A7035" s="7"/>
    </row>
    <row r="7036" spans="1:1">
      <c r="A7036" s="7"/>
    </row>
    <row r="7037" spans="1:1">
      <c r="A7037" s="7"/>
    </row>
    <row r="7038" spans="1:1">
      <c r="A7038" s="7"/>
    </row>
    <row r="7039" spans="1:1">
      <c r="A7039" s="7"/>
    </row>
    <row r="7040" spans="1:1">
      <c r="A7040" s="7"/>
    </row>
    <row r="7041" spans="1:1">
      <c r="A7041" s="7"/>
    </row>
    <row r="7042" spans="1:1">
      <c r="A7042" s="7"/>
    </row>
    <row r="7043" spans="1:1">
      <c r="A7043" s="7"/>
    </row>
    <row r="7044" spans="1:1">
      <c r="A7044" s="7"/>
    </row>
    <row r="7045" spans="1:1">
      <c r="A7045" s="7"/>
    </row>
    <row r="7046" spans="1:1">
      <c r="A7046" s="7"/>
    </row>
    <row r="7047" spans="1:1">
      <c r="A7047" s="7"/>
    </row>
    <row r="7048" spans="1:1">
      <c r="A7048" s="7"/>
    </row>
    <row r="7049" spans="1:1">
      <c r="A7049" s="7"/>
    </row>
    <row r="7050" spans="1:1">
      <c r="A7050" s="7"/>
    </row>
    <row r="7051" spans="1:1">
      <c r="A7051" s="7"/>
    </row>
    <row r="7052" spans="1:1">
      <c r="A7052" s="7"/>
    </row>
    <row r="7053" spans="1:1">
      <c r="A7053" s="7"/>
    </row>
    <row r="7054" spans="1:1">
      <c r="A7054" s="7"/>
    </row>
    <row r="7055" spans="1:1">
      <c r="A7055" s="7"/>
    </row>
    <row r="7056" spans="1:1">
      <c r="A7056" s="7"/>
    </row>
    <row r="7057" spans="1:1">
      <c r="A7057" s="7"/>
    </row>
    <row r="7058" spans="1:1">
      <c r="A7058" s="7"/>
    </row>
    <row r="7059" spans="1:1">
      <c r="A7059" s="7"/>
    </row>
    <row r="7060" spans="1:1">
      <c r="A7060" s="7"/>
    </row>
    <row r="7061" spans="1:1">
      <c r="A7061" s="7"/>
    </row>
    <row r="7062" spans="1:1">
      <c r="A7062" s="7"/>
    </row>
    <row r="7063" spans="1:1">
      <c r="A7063" s="7"/>
    </row>
    <row r="7064" spans="1:1">
      <c r="A7064" s="7"/>
    </row>
    <row r="7065" spans="1:1">
      <c r="A7065" s="7"/>
    </row>
    <row r="7066" spans="1:1">
      <c r="A7066" s="7"/>
    </row>
    <row r="7067" spans="1:1">
      <c r="A7067" s="7"/>
    </row>
    <row r="7068" spans="1:1">
      <c r="A7068" s="7"/>
    </row>
    <row r="7069" spans="1:1">
      <c r="A7069" s="7"/>
    </row>
    <row r="7070" spans="1:1">
      <c r="A7070" s="7"/>
    </row>
    <row r="7071" spans="1:1">
      <c r="A7071" s="7"/>
    </row>
    <row r="7072" spans="1:1">
      <c r="A7072" s="7"/>
    </row>
    <row r="7073" spans="1:1">
      <c r="A7073" s="7"/>
    </row>
    <row r="7074" spans="1:1">
      <c r="A7074" s="7"/>
    </row>
    <row r="7075" spans="1:1">
      <c r="A7075" s="7"/>
    </row>
    <row r="7076" spans="1:1">
      <c r="A7076" s="7"/>
    </row>
    <row r="7077" spans="1:1">
      <c r="A7077" s="7"/>
    </row>
    <row r="7078" spans="1:1">
      <c r="A7078" s="7"/>
    </row>
    <row r="7079" spans="1:1">
      <c r="A7079" s="7"/>
    </row>
    <row r="7080" spans="1:1">
      <c r="A7080" s="7"/>
    </row>
    <row r="7081" spans="1:1">
      <c r="A7081" s="7"/>
    </row>
    <row r="7082" spans="1:1">
      <c r="A7082" s="7"/>
    </row>
    <row r="7083" spans="1:1">
      <c r="A7083" s="7"/>
    </row>
    <row r="7084" spans="1:1">
      <c r="A7084" s="7"/>
    </row>
    <row r="7085" spans="1:1">
      <c r="A7085" s="7"/>
    </row>
    <row r="7086" spans="1:1">
      <c r="A7086" s="7"/>
    </row>
    <row r="7087" spans="1:1">
      <c r="A7087" s="7"/>
    </row>
    <row r="7088" spans="1:1">
      <c r="A7088" s="7"/>
    </row>
    <row r="7089" spans="1:1">
      <c r="A7089" s="7"/>
    </row>
    <row r="7090" spans="1:1">
      <c r="A7090" s="7"/>
    </row>
    <row r="7091" spans="1:1">
      <c r="A7091" s="7"/>
    </row>
    <row r="7092" spans="1:1">
      <c r="A7092" s="7"/>
    </row>
    <row r="7093" spans="1:1">
      <c r="A7093" s="7"/>
    </row>
    <row r="7094" spans="1:1">
      <c r="A7094" s="7"/>
    </row>
    <row r="7095" spans="1:1">
      <c r="A7095" s="7"/>
    </row>
    <row r="7096" spans="1:1">
      <c r="A7096" s="7"/>
    </row>
    <row r="7097" spans="1:1">
      <c r="A7097" s="7"/>
    </row>
    <row r="7098" spans="1:1">
      <c r="A7098" s="7"/>
    </row>
    <row r="7099" spans="1:1">
      <c r="A7099" s="7"/>
    </row>
    <row r="7100" spans="1:1">
      <c r="A7100" s="7"/>
    </row>
    <row r="7101" spans="1:1">
      <c r="A7101" s="7"/>
    </row>
    <row r="7102" spans="1:1">
      <c r="A7102" s="7"/>
    </row>
    <row r="7103" spans="1:1">
      <c r="A7103" s="7"/>
    </row>
    <row r="7104" spans="1:1">
      <c r="A7104" s="7"/>
    </row>
    <row r="7105" spans="1:1">
      <c r="A7105" s="7"/>
    </row>
    <row r="7106" spans="1:1">
      <c r="A7106" s="7"/>
    </row>
    <row r="7107" spans="1:1">
      <c r="A7107" s="7"/>
    </row>
    <row r="7108" spans="1:1">
      <c r="A7108" s="7"/>
    </row>
    <row r="7109" spans="1:1">
      <c r="A7109" s="7"/>
    </row>
    <row r="7110" spans="1:1">
      <c r="A7110" s="7"/>
    </row>
    <row r="7111" spans="1:1">
      <c r="A7111" s="7"/>
    </row>
    <row r="7112" spans="1:1">
      <c r="A7112" s="7"/>
    </row>
    <row r="7113" spans="1:1">
      <c r="A7113" s="7"/>
    </row>
    <row r="7114" spans="1:1">
      <c r="A7114" s="7"/>
    </row>
    <row r="7115" spans="1:1">
      <c r="A7115" s="7"/>
    </row>
    <row r="7116" spans="1:1">
      <c r="A7116" s="7"/>
    </row>
    <row r="7117" spans="1:1">
      <c r="A7117" s="7"/>
    </row>
    <row r="7118" spans="1:1">
      <c r="A7118" s="7"/>
    </row>
    <row r="7119" spans="1:1">
      <c r="A7119" s="7"/>
    </row>
    <row r="7120" spans="1:1">
      <c r="A7120" s="7"/>
    </row>
    <row r="7121" spans="1:1">
      <c r="A7121" s="7"/>
    </row>
    <row r="7122" spans="1:1">
      <c r="A7122" s="7"/>
    </row>
    <row r="7123" spans="1:1">
      <c r="A7123" s="7"/>
    </row>
    <row r="7124" spans="1:1">
      <c r="A7124" s="7"/>
    </row>
    <row r="7125" spans="1:1">
      <c r="A7125" s="7"/>
    </row>
    <row r="7126" spans="1:1">
      <c r="A7126" s="7"/>
    </row>
    <row r="7127" spans="1:1">
      <c r="A7127" s="7"/>
    </row>
    <row r="7128" spans="1:1">
      <c r="A7128" s="7"/>
    </row>
    <row r="7129" spans="1:1">
      <c r="A7129" s="7"/>
    </row>
    <row r="7130" spans="1:1">
      <c r="A7130" s="7"/>
    </row>
    <row r="7131" spans="1:1">
      <c r="A7131" s="7"/>
    </row>
    <row r="7132" spans="1:1">
      <c r="A7132" s="7"/>
    </row>
    <row r="7133" spans="1:1">
      <c r="A7133" s="7"/>
    </row>
    <row r="7134" spans="1:1">
      <c r="A7134" s="7"/>
    </row>
    <row r="7135" spans="1:1">
      <c r="A7135" s="7"/>
    </row>
    <row r="7136" spans="1:1">
      <c r="A7136" s="7"/>
    </row>
    <row r="7137" spans="1:1">
      <c r="A7137" s="7"/>
    </row>
    <row r="7138" spans="1:1">
      <c r="A7138" s="7"/>
    </row>
    <row r="7139" spans="1:1">
      <c r="A7139" s="7"/>
    </row>
    <row r="7140" spans="1:1">
      <c r="A7140" s="7"/>
    </row>
    <row r="7141" spans="1:1">
      <c r="A7141" s="7"/>
    </row>
    <row r="7142" spans="1:1">
      <c r="A7142" s="7"/>
    </row>
    <row r="7143" spans="1:1">
      <c r="A7143" s="7"/>
    </row>
    <row r="7144" spans="1:1">
      <c r="A7144" s="7"/>
    </row>
    <row r="7145" spans="1:1">
      <c r="A7145" s="7"/>
    </row>
    <row r="7146" spans="1:1">
      <c r="A7146" s="7"/>
    </row>
    <row r="7147" spans="1:1">
      <c r="A7147" s="7"/>
    </row>
    <row r="7148" spans="1:1">
      <c r="A7148" s="7"/>
    </row>
    <row r="7149" spans="1:1">
      <c r="A7149" s="7"/>
    </row>
    <row r="7150" spans="1:1">
      <c r="A7150" s="7"/>
    </row>
    <row r="7151" spans="1:1">
      <c r="A7151" s="7"/>
    </row>
    <row r="7152" spans="1:1">
      <c r="A7152" s="7"/>
    </row>
    <row r="7153" spans="1:1">
      <c r="A7153" s="7"/>
    </row>
    <row r="7154" spans="1:1">
      <c r="A7154" s="7"/>
    </row>
    <row r="7155" spans="1:1">
      <c r="A7155" s="7"/>
    </row>
    <row r="7156" spans="1:1">
      <c r="A7156" s="7"/>
    </row>
    <row r="7157" spans="1:1">
      <c r="A7157" s="7"/>
    </row>
    <row r="7158" spans="1:1">
      <c r="A7158" s="7"/>
    </row>
    <row r="7159" spans="1:1">
      <c r="A7159" s="7"/>
    </row>
    <row r="7160" spans="1:1">
      <c r="A7160" s="7"/>
    </row>
    <row r="7161" spans="1:1">
      <c r="A7161" s="7"/>
    </row>
    <row r="7162" spans="1:1">
      <c r="A7162" s="7"/>
    </row>
    <row r="7163" spans="1:1">
      <c r="A7163" s="7"/>
    </row>
    <row r="7164" spans="1:1">
      <c r="A7164" s="7"/>
    </row>
    <row r="7165" spans="1:1">
      <c r="A7165" s="7"/>
    </row>
    <row r="7166" spans="1:1">
      <c r="A7166" s="7"/>
    </row>
    <row r="7167" spans="1:1">
      <c r="A7167" s="7"/>
    </row>
    <row r="7168" spans="1:1">
      <c r="A7168" s="7"/>
    </row>
    <row r="7169" spans="1:1">
      <c r="A7169" s="7"/>
    </row>
    <row r="7170" spans="1:1">
      <c r="A7170" s="7"/>
    </row>
    <row r="7171" spans="1:1">
      <c r="A7171" s="7"/>
    </row>
    <row r="7172" spans="1:1">
      <c r="A7172" s="7"/>
    </row>
    <row r="7173" spans="1:1">
      <c r="A7173" s="7"/>
    </row>
    <row r="7174" spans="1:1">
      <c r="A7174" s="7"/>
    </row>
    <row r="7175" spans="1:1">
      <c r="A7175" s="7"/>
    </row>
    <row r="7176" spans="1:1">
      <c r="A7176" s="7"/>
    </row>
    <row r="7177" spans="1:1">
      <c r="A7177" s="7"/>
    </row>
    <row r="7178" spans="1:1">
      <c r="A7178" s="7"/>
    </row>
    <row r="7179" spans="1:1">
      <c r="A7179" s="7"/>
    </row>
    <row r="7180" spans="1:1">
      <c r="A7180" s="7"/>
    </row>
    <row r="7181" spans="1:1">
      <c r="A7181" s="7"/>
    </row>
    <row r="7182" spans="1:1">
      <c r="A7182" s="7"/>
    </row>
    <row r="7183" spans="1:1">
      <c r="A7183" s="7"/>
    </row>
    <row r="7184" spans="1:1">
      <c r="A7184" s="7"/>
    </row>
    <row r="7185" spans="1:1">
      <c r="A7185" s="7"/>
    </row>
    <row r="7186" spans="1:1">
      <c r="A7186" s="7"/>
    </row>
    <row r="7187" spans="1:1">
      <c r="A7187" s="7"/>
    </row>
    <row r="7188" spans="1:1">
      <c r="A7188" s="7"/>
    </row>
    <row r="7189" spans="1:1">
      <c r="A7189" s="7"/>
    </row>
    <row r="7190" spans="1:1">
      <c r="A7190" s="7"/>
    </row>
    <row r="7191" spans="1:1">
      <c r="A7191" s="7"/>
    </row>
    <row r="7192" spans="1:1">
      <c r="A7192" s="7"/>
    </row>
    <row r="7193" spans="1:1">
      <c r="A7193" s="7"/>
    </row>
    <row r="7194" spans="1:1">
      <c r="A7194" s="7"/>
    </row>
    <row r="7195" spans="1:1">
      <c r="A7195" s="7"/>
    </row>
    <row r="7196" spans="1:1">
      <c r="A7196" s="7"/>
    </row>
    <row r="7197" spans="1:1">
      <c r="A7197" s="7"/>
    </row>
    <row r="7198" spans="1:1">
      <c r="A7198" s="7"/>
    </row>
    <row r="7199" spans="1:1">
      <c r="A7199" s="7"/>
    </row>
    <row r="7200" spans="1:1">
      <c r="A7200" s="7"/>
    </row>
    <row r="7201" spans="1:1">
      <c r="A7201" s="7"/>
    </row>
    <row r="7202" spans="1:1">
      <c r="A7202" s="7"/>
    </row>
    <row r="7203" spans="1:1">
      <c r="A7203" s="7"/>
    </row>
    <row r="7204" spans="1:1">
      <c r="A7204" s="7"/>
    </row>
    <row r="7205" spans="1:1">
      <c r="A7205" s="7"/>
    </row>
    <row r="7206" spans="1:1">
      <c r="A7206" s="7"/>
    </row>
    <row r="7207" spans="1:1">
      <c r="A7207" s="7"/>
    </row>
    <row r="7208" spans="1:1">
      <c r="A7208" s="7"/>
    </row>
    <row r="7209" spans="1:1">
      <c r="A7209" s="7"/>
    </row>
    <row r="7210" spans="1:1">
      <c r="A7210" s="7"/>
    </row>
    <row r="7211" spans="1:1">
      <c r="A7211" s="7"/>
    </row>
    <row r="7212" spans="1:1">
      <c r="A7212" s="7"/>
    </row>
    <row r="7213" spans="1:1">
      <c r="A7213" s="7"/>
    </row>
    <row r="7214" spans="1:1">
      <c r="A7214" s="7"/>
    </row>
    <row r="7215" spans="1:1">
      <c r="A7215" s="7"/>
    </row>
    <row r="7216" spans="1:1">
      <c r="A7216" s="7"/>
    </row>
    <row r="7217" spans="1:1">
      <c r="A7217" s="7"/>
    </row>
    <row r="7218" spans="1:1">
      <c r="A7218" s="7"/>
    </row>
    <row r="7219" spans="1:1">
      <c r="A7219" s="7"/>
    </row>
    <row r="7220" spans="1:1">
      <c r="A7220" s="7"/>
    </row>
    <row r="7221" spans="1:1">
      <c r="A7221" s="7"/>
    </row>
    <row r="7222" spans="1:1">
      <c r="A7222" s="7"/>
    </row>
    <row r="7223" spans="1:1">
      <c r="A7223" s="7"/>
    </row>
    <row r="7224" spans="1:1">
      <c r="A7224" s="7"/>
    </row>
    <row r="7225" spans="1:1">
      <c r="A7225" s="7"/>
    </row>
    <row r="7226" spans="1:1">
      <c r="A7226" s="7"/>
    </row>
    <row r="7227" spans="1:1">
      <c r="A7227" s="7"/>
    </row>
    <row r="7228" spans="1:1">
      <c r="A7228" s="7"/>
    </row>
    <row r="7229" spans="1:1">
      <c r="A7229" s="7"/>
    </row>
    <row r="7230" spans="1:1">
      <c r="A7230" s="7"/>
    </row>
    <row r="7231" spans="1:1">
      <c r="A7231" s="7"/>
    </row>
    <row r="7232" spans="1:1">
      <c r="A7232" s="7"/>
    </row>
    <row r="7233" spans="1:1">
      <c r="A7233" s="7"/>
    </row>
    <row r="7234" spans="1:1">
      <c r="A7234" s="7"/>
    </row>
    <row r="7235" spans="1:1">
      <c r="A7235" s="7"/>
    </row>
    <row r="7236" spans="1:1">
      <c r="A7236" s="7"/>
    </row>
    <row r="7237" spans="1:1">
      <c r="A7237" s="7"/>
    </row>
    <row r="7238" spans="1:1">
      <c r="A7238" s="7"/>
    </row>
    <row r="7239" spans="1:1">
      <c r="A7239" s="7"/>
    </row>
    <row r="7240" spans="1:1">
      <c r="A7240" s="7"/>
    </row>
    <row r="7241" spans="1:1">
      <c r="A7241" s="7"/>
    </row>
    <row r="7242" spans="1:1">
      <c r="A7242" s="7"/>
    </row>
    <row r="7243" spans="1:1">
      <c r="A7243" s="7"/>
    </row>
    <row r="7244" spans="1:1">
      <c r="A7244" s="7"/>
    </row>
    <row r="7245" spans="1:1">
      <c r="A7245" s="7"/>
    </row>
    <row r="7246" spans="1:1">
      <c r="A7246" s="7"/>
    </row>
    <row r="7247" spans="1:1">
      <c r="A7247" s="7"/>
    </row>
    <row r="7248" spans="1:1">
      <c r="A7248" s="7"/>
    </row>
    <row r="7249" spans="1:1">
      <c r="A7249" s="7"/>
    </row>
    <row r="7250" spans="1:1">
      <c r="A7250" s="7"/>
    </row>
    <row r="7251" spans="1:1">
      <c r="A7251" s="7"/>
    </row>
    <row r="7252" spans="1:1">
      <c r="A7252" s="7"/>
    </row>
    <row r="7253" spans="1:1">
      <c r="A7253" s="7"/>
    </row>
    <row r="7254" spans="1:1">
      <c r="A7254" s="7"/>
    </row>
    <row r="7255" spans="1:1">
      <c r="A7255" s="7"/>
    </row>
    <row r="7256" spans="1:1">
      <c r="A7256" s="7"/>
    </row>
    <row r="7257" spans="1:1">
      <c r="A7257" s="7"/>
    </row>
    <row r="7258" spans="1:1">
      <c r="A7258" s="7"/>
    </row>
    <row r="7259" spans="1:1">
      <c r="A7259" s="7"/>
    </row>
    <row r="7260" spans="1:1">
      <c r="A7260" s="7"/>
    </row>
    <row r="7261" spans="1:1">
      <c r="A7261" s="7"/>
    </row>
    <row r="7262" spans="1:1">
      <c r="A7262" s="7"/>
    </row>
    <row r="7263" spans="1:1">
      <c r="A7263" s="7"/>
    </row>
    <row r="7264" spans="1:1">
      <c r="A7264" s="7"/>
    </row>
    <row r="7265" spans="1:1">
      <c r="A7265" s="7"/>
    </row>
    <row r="7266" spans="1:1">
      <c r="A7266" s="7"/>
    </row>
    <row r="7267" spans="1:1">
      <c r="A7267" s="7"/>
    </row>
    <row r="7268" spans="1:1">
      <c r="A7268" s="7"/>
    </row>
    <row r="7269" spans="1:1">
      <c r="A7269" s="7"/>
    </row>
    <row r="7270" spans="1:1">
      <c r="A7270" s="7"/>
    </row>
    <row r="7271" spans="1:1">
      <c r="A7271" s="7"/>
    </row>
    <row r="7272" spans="1:1">
      <c r="A7272" s="7"/>
    </row>
    <row r="7273" spans="1:1">
      <c r="A7273" s="7"/>
    </row>
    <row r="7274" spans="1:1">
      <c r="A7274" s="7"/>
    </row>
    <row r="7275" spans="1:1">
      <c r="A7275" s="7"/>
    </row>
    <row r="7276" spans="1:1">
      <c r="A7276" s="7"/>
    </row>
    <row r="7277" spans="1:1">
      <c r="A7277" s="7"/>
    </row>
    <row r="7278" spans="1:1">
      <c r="A7278" s="7"/>
    </row>
    <row r="7279" spans="1:1">
      <c r="A7279" s="7"/>
    </row>
    <row r="7280" spans="1:1">
      <c r="A7280" s="7"/>
    </row>
    <row r="7281" spans="1:1">
      <c r="A7281" s="7"/>
    </row>
    <row r="7282" spans="1:1">
      <c r="A7282" s="7"/>
    </row>
    <row r="7283" spans="1:1">
      <c r="A7283" s="7"/>
    </row>
    <row r="7284" spans="1:1">
      <c r="A7284" s="7"/>
    </row>
    <row r="7285" spans="1:1">
      <c r="A7285" s="7"/>
    </row>
    <row r="7286" spans="1:1">
      <c r="A7286" s="7"/>
    </row>
    <row r="7287" spans="1:1">
      <c r="A7287" s="7"/>
    </row>
    <row r="7288" spans="1:1">
      <c r="A7288" s="7"/>
    </row>
    <row r="7289" spans="1:1">
      <c r="A7289" s="7"/>
    </row>
    <row r="7290" spans="1:1">
      <c r="A7290" s="7"/>
    </row>
    <row r="7291" spans="1:1">
      <c r="A7291" s="7"/>
    </row>
    <row r="7292" spans="1:1">
      <c r="A7292" s="7"/>
    </row>
    <row r="7293" spans="1:1">
      <c r="A7293" s="7"/>
    </row>
    <row r="7294" spans="1:1">
      <c r="A7294" s="7"/>
    </row>
    <row r="7295" spans="1:1">
      <c r="A7295" s="7"/>
    </row>
    <row r="7296" spans="1:1">
      <c r="A7296" s="7"/>
    </row>
    <row r="7297" spans="1:1">
      <c r="A7297" s="7"/>
    </row>
    <row r="7298" spans="1:1">
      <c r="A7298" s="7"/>
    </row>
    <row r="7299" spans="1:1">
      <c r="A7299" s="7"/>
    </row>
    <row r="7300" spans="1:1">
      <c r="A7300" s="7"/>
    </row>
    <row r="7301" spans="1:1">
      <c r="A7301" s="7"/>
    </row>
    <row r="7302" spans="1:1">
      <c r="A7302" s="7"/>
    </row>
    <row r="7303" spans="1:1">
      <c r="A7303" s="7"/>
    </row>
    <row r="7304" spans="1:1">
      <c r="A7304" s="7"/>
    </row>
    <row r="7305" spans="1:1">
      <c r="A7305" s="7"/>
    </row>
    <row r="7306" spans="1:1">
      <c r="A7306" s="7"/>
    </row>
    <row r="7307" spans="1:1">
      <c r="A7307" s="7"/>
    </row>
    <row r="7308" spans="1:1">
      <c r="A7308" s="7"/>
    </row>
    <row r="7309" spans="1:1">
      <c r="A7309" s="7"/>
    </row>
    <row r="7310" spans="1:1">
      <c r="A7310" s="7"/>
    </row>
    <row r="7311" spans="1:1">
      <c r="A7311" s="7"/>
    </row>
    <row r="7312" spans="1:1">
      <c r="A7312" s="7"/>
    </row>
    <row r="7313" spans="1:1">
      <c r="A7313" s="7"/>
    </row>
    <row r="7314" spans="1:1">
      <c r="A7314" s="7"/>
    </row>
    <row r="7315" spans="1:1">
      <c r="A7315" s="7"/>
    </row>
    <row r="7316" spans="1:1">
      <c r="A7316" s="7"/>
    </row>
    <row r="7317" spans="1:1">
      <c r="A7317" s="7"/>
    </row>
    <row r="7318" spans="1:1">
      <c r="A7318" s="7"/>
    </row>
    <row r="7319" spans="1:1">
      <c r="A7319" s="7"/>
    </row>
    <row r="7320" spans="1:1">
      <c r="A7320" s="7"/>
    </row>
    <row r="7321" spans="1:1">
      <c r="A7321" s="7"/>
    </row>
    <row r="7322" spans="1:1">
      <c r="A7322" s="7"/>
    </row>
    <row r="7323" spans="1:1">
      <c r="A7323" s="7"/>
    </row>
    <row r="7324" spans="1:1">
      <c r="A7324" s="7"/>
    </row>
    <row r="7325" spans="1:1">
      <c r="A7325" s="7"/>
    </row>
    <row r="7326" spans="1:1">
      <c r="A7326" s="7"/>
    </row>
    <row r="7327" spans="1:1">
      <c r="A7327" s="7"/>
    </row>
    <row r="7328" spans="1:1">
      <c r="A7328" s="7"/>
    </row>
    <row r="7329" spans="1:1">
      <c r="A7329" s="7"/>
    </row>
    <row r="7330" spans="1:1">
      <c r="A7330" s="7"/>
    </row>
    <row r="7331" spans="1:1">
      <c r="A7331" s="7"/>
    </row>
    <row r="7332" spans="1:1">
      <c r="A7332" s="7"/>
    </row>
    <row r="7333" spans="1:1">
      <c r="A7333" s="7"/>
    </row>
    <row r="7334" spans="1:1">
      <c r="A7334" s="7"/>
    </row>
    <row r="7335" spans="1:1">
      <c r="A7335" s="7"/>
    </row>
    <row r="7336" spans="1:1">
      <c r="A7336" s="7"/>
    </row>
    <row r="7337" spans="1:1">
      <c r="A7337" s="7"/>
    </row>
    <row r="7338" spans="1:1">
      <c r="A7338" s="7"/>
    </row>
    <row r="7339" spans="1:1">
      <c r="A7339" s="7"/>
    </row>
    <row r="7340" spans="1:1">
      <c r="A7340" s="7"/>
    </row>
    <row r="7341" spans="1:1">
      <c r="A7341" s="7"/>
    </row>
    <row r="7342" spans="1:1">
      <c r="A7342" s="7"/>
    </row>
    <row r="7343" spans="1:1">
      <c r="A7343" s="7"/>
    </row>
    <row r="7344" spans="1:1">
      <c r="A7344" s="7"/>
    </row>
    <row r="7345" spans="1:1">
      <c r="A7345" s="7"/>
    </row>
    <row r="7346" spans="1:1">
      <c r="A7346" s="7"/>
    </row>
    <row r="7347" spans="1:1">
      <c r="A7347" s="7"/>
    </row>
    <row r="7348" spans="1:1">
      <c r="A7348" s="7"/>
    </row>
    <row r="7349" spans="1:1">
      <c r="A7349" s="7"/>
    </row>
    <row r="7350" spans="1:1">
      <c r="A7350" s="7"/>
    </row>
    <row r="7351" spans="1:1">
      <c r="A7351" s="7"/>
    </row>
    <row r="7352" spans="1:1">
      <c r="A7352" s="7"/>
    </row>
    <row r="7353" spans="1:1">
      <c r="A7353" s="7"/>
    </row>
    <row r="7354" spans="1:1">
      <c r="A7354" s="7"/>
    </row>
    <row r="7355" spans="1:1">
      <c r="A7355" s="7"/>
    </row>
    <row r="7356" spans="1:1">
      <c r="A7356" s="7"/>
    </row>
    <row r="7357" spans="1:1">
      <c r="A7357" s="7"/>
    </row>
    <row r="7358" spans="1:1">
      <c r="A7358" s="7"/>
    </row>
    <row r="7359" spans="1:1">
      <c r="A7359" s="7"/>
    </row>
    <row r="7360" spans="1:1">
      <c r="A7360" s="7"/>
    </row>
    <row r="7361" spans="1:1">
      <c r="A7361" s="7"/>
    </row>
    <row r="7362" spans="1:1">
      <c r="A7362" s="7"/>
    </row>
    <row r="7363" spans="1:1">
      <c r="A7363" s="7"/>
    </row>
    <row r="7364" spans="1:1">
      <c r="A7364" s="7"/>
    </row>
    <row r="7365" spans="1:1">
      <c r="A7365" s="7"/>
    </row>
    <row r="7366" spans="1:1">
      <c r="A7366" s="7"/>
    </row>
    <row r="7367" spans="1:1">
      <c r="A7367" s="7"/>
    </row>
    <row r="7368" spans="1:1">
      <c r="A7368" s="7"/>
    </row>
    <row r="7369" spans="1:1">
      <c r="A7369" s="7"/>
    </row>
    <row r="7370" spans="1:1">
      <c r="A7370" s="7"/>
    </row>
    <row r="7371" spans="1:1">
      <c r="A7371" s="7"/>
    </row>
    <row r="7372" spans="1:1">
      <c r="A7372" s="7"/>
    </row>
    <row r="7373" spans="1:1">
      <c r="A7373" s="7"/>
    </row>
    <row r="7374" spans="1:1">
      <c r="A7374" s="7"/>
    </row>
    <row r="7375" spans="1:1">
      <c r="A7375" s="7"/>
    </row>
    <row r="7376" spans="1:1">
      <c r="A7376" s="7"/>
    </row>
    <row r="7377" spans="1:1">
      <c r="A7377" s="7"/>
    </row>
    <row r="7378" spans="1:1">
      <c r="A7378" s="7"/>
    </row>
    <row r="7379" spans="1:1">
      <c r="A7379" s="7"/>
    </row>
    <row r="7380" spans="1:1">
      <c r="A7380" s="7"/>
    </row>
    <row r="7381" spans="1:1">
      <c r="A7381" s="7"/>
    </row>
    <row r="7382" spans="1:1">
      <c r="A7382" s="7"/>
    </row>
    <row r="7383" spans="1:1">
      <c r="A7383" s="7"/>
    </row>
    <row r="7384" spans="1:1">
      <c r="A7384" s="7"/>
    </row>
    <row r="7385" spans="1:1">
      <c r="A7385" s="7"/>
    </row>
    <row r="7386" spans="1:1">
      <c r="A7386" s="7"/>
    </row>
    <row r="7387" spans="1:1">
      <c r="A7387" s="7"/>
    </row>
    <row r="7388" spans="1:1">
      <c r="A7388" s="7"/>
    </row>
    <row r="7389" spans="1:1">
      <c r="A7389" s="7"/>
    </row>
    <row r="7390" spans="1:1">
      <c r="A7390" s="7"/>
    </row>
    <row r="7391" spans="1:1">
      <c r="A7391" s="7"/>
    </row>
    <row r="7392" spans="1:1">
      <c r="A7392" s="7"/>
    </row>
    <row r="7393" spans="1:1">
      <c r="A7393" s="7"/>
    </row>
    <row r="7394" spans="1:1">
      <c r="A7394" s="7"/>
    </row>
    <row r="7395" spans="1:1">
      <c r="A7395" s="7"/>
    </row>
    <row r="7396" spans="1:1">
      <c r="A7396" s="7"/>
    </row>
    <row r="7397" spans="1:1">
      <c r="A7397" s="7"/>
    </row>
    <row r="7398" spans="1:1">
      <c r="A7398" s="7"/>
    </row>
    <row r="7399" spans="1:1">
      <c r="A7399" s="7"/>
    </row>
    <row r="7400" spans="1:1">
      <c r="A7400" s="7"/>
    </row>
    <row r="7401" spans="1:1">
      <c r="A7401" s="7"/>
    </row>
    <row r="7402" spans="1:1">
      <c r="A7402" s="7"/>
    </row>
    <row r="7403" spans="1:1">
      <c r="A7403" s="7"/>
    </row>
    <row r="7404" spans="1:1">
      <c r="A7404" s="7"/>
    </row>
    <row r="7405" spans="1:1">
      <c r="A7405" s="7"/>
    </row>
    <row r="7406" spans="1:1">
      <c r="A7406" s="7"/>
    </row>
    <row r="7407" spans="1:1">
      <c r="A7407" s="7"/>
    </row>
    <row r="7408" spans="1:1">
      <c r="A7408" s="7"/>
    </row>
    <row r="7409" spans="1:1">
      <c r="A7409" s="7"/>
    </row>
    <row r="7410" spans="1:1">
      <c r="A7410" s="7"/>
    </row>
    <row r="7411" spans="1:1">
      <c r="A7411" s="7"/>
    </row>
    <row r="7412" spans="1:1">
      <c r="A7412" s="7"/>
    </row>
    <row r="7413" spans="1:1">
      <c r="A7413" s="7"/>
    </row>
    <row r="7414" spans="1:1">
      <c r="A7414" s="7"/>
    </row>
    <row r="7415" spans="1:1">
      <c r="A7415" s="7"/>
    </row>
    <row r="7416" spans="1:1">
      <c r="A7416" s="7"/>
    </row>
    <row r="7417" spans="1:1">
      <c r="A7417" s="7"/>
    </row>
    <row r="7418" spans="1:1">
      <c r="A7418" s="7"/>
    </row>
    <row r="7419" spans="1:1">
      <c r="A7419" s="7"/>
    </row>
    <row r="7420" spans="1:1">
      <c r="A7420" s="7"/>
    </row>
    <row r="7421" spans="1:1">
      <c r="A7421" s="7"/>
    </row>
    <row r="7422" spans="1:1">
      <c r="A7422" s="7"/>
    </row>
    <row r="7423" spans="1:1">
      <c r="A7423" s="7"/>
    </row>
    <row r="7424" spans="1:1">
      <c r="A7424" s="7"/>
    </row>
    <row r="7425" spans="1:1">
      <c r="A7425" s="7"/>
    </row>
    <row r="7426" spans="1:1">
      <c r="A7426" s="7"/>
    </row>
    <row r="7427" spans="1:1">
      <c r="A7427" s="7"/>
    </row>
    <row r="7428" spans="1:1">
      <c r="A7428" s="7"/>
    </row>
    <row r="7429" spans="1:1">
      <c r="A7429" s="7"/>
    </row>
    <row r="7430" spans="1:1">
      <c r="A7430" s="7"/>
    </row>
    <row r="7431" spans="1:1">
      <c r="A7431" s="7"/>
    </row>
    <row r="7432" spans="1:1">
      <c r="A7432" s="7"/>
    </row>
    <row r="7433" spans="1:1">
      <c r="A7433" s="7"/>
    </row>
    <row r="7434" spans="1:1">
      <c r="A7434" s="7"/>
    </row>
    <row r="7435" spans="1:1">
      <c r="A7435" s="7"/>
    </row>
    <row r="7436" spans="1:1">
      <c r="A7436" s="7"/>
    </row>
    <row r="7437" spans="1:1">
      <c r="A7437" s="7"/>
    </row>
    <row r="7438" spans="1:1">
      <c r="A7438" s="7"/>
    </row>
    <row r="7439" spans="1:1">
      <c r="A7439" s="7"/>
    </row>
    <row r="7440" spans="1:1">
      <c r="A7440" s="7"/>
    </row>
    <row r="7441" spans="1:1">
      <c r="A7441" s="7"/>
    </row>
    <row r="7442" spans="1:1">
      <c r="A7442" s="7"/>
    </row>
    <row r="7443" spans="1:1">
      <c r="A7443" s="7"/>
    </row>
    <row r="7444" spans="1:1">
      <c r="A7444" s="7"/>
    </row>
    <row r="7445" spans="1:1">
      <c r="A7445" s="7"/>
    </row>
    <row r="7446" spans="1:1">
      <c r="A7446" s="7"/>
    </row>
    <row r="7447" spans="1:1">
      <c r="A7447" s="7"/>
    </row>
    <row r="7448" spans="1:1">
      <c r="A7448" s="7"/>
    </row>
    <row r="7449" spans="1:1">
      <c r="A7449" s="7"/>
    </row>
    <row r="7450" spans="1:1">
      <c r="A7450" s="7"/>
    </row>
    <row r="7451" spans="1:1">
      <c r="A7451" s="7"/>
    </row>
    <row r="7452" spans="1:1">
      <c r="A7452" s="7"/>
    </row>
    <row r="7453" spans="1:1">
      <c r="A7453" s="7"/>
    </row>
    <row r="7454" spans="1:1">
      <c r="A7454" s="7"/>
    </row>
    <row r="7455" spans="1:1">
      <c r="A7455" s="7"/>
    </row>
    <row r="7456" spans="1:1">
      <c r="A7456" s="7"/>
    </row>
    <row r="7457" spans="1:1">
      <c r="A7457" s="7"/>
    </row>
    <row r="7458" spans="1:1">
      <c r="A7458" s="7"/>
    </row>
    <row r="7459" spans="1:1">
      <c r="A7459" s="7"/>
    </row>
    <row r="7460" spans="1:1">
      <c r="A7460" s="7"/>
    </row>
    <row r="7461" spans="1:1">
      <c r="A7461" s="7"/>
    </row>
    <row r="7462" spans="1:1">
      <c r="A7462" s="7"/>
    </row>
    <row r="7463" spans="1:1">
      <c r="A7463" s="7"/>
    </row>
    <row r="7464" spans="1:1">
      <c r="A7464" s="7"/>
    </row>
    <row r="7465" spans="1:1">
      <c r="A7465" s="7"/>
    </row>
    <row r="7466" spans="1:1">
      <c r="A7466" s="7"/>
    </row>
    <row r="7467" spans="1:1">
      <c r="A7467" s="7"/>
    </row>
    <row r="7468" spans="1:1">
      <c r="A7468" s="7"/>
    </row>
    <row r="7469" spans="1:1">
      <c r="A7469" s="7"/>
    </row>
    <row r="7470" spans="1:1">
      <c r="A7470" s="7"/>
    </row>
    <row r="7471" spans="1:1">
      <c r="A7471" s="7"/>
    </row>
    <row r="7472" spans="1:1">
      <c r="A7472" s="7"/>
    </row>
    <row r="7473" spans="1:1">
      <c r="A7473" s="7"/>
    </row>
    <row r="7474" spans="1:1">
      <c r="A7474" s="7"/>
    </row>
    <row r="7475" spans="1:1">
      <c r="A7475" s="7"/>
    </row>
    <row r="7476" spans="1:1">
      <c r="A7476" s="7"/>
    </row>
    <row r="7477" spans="1:1">
      <c r="A7477" s="7"/>
    </row>
    <row r="7478" spans="1:1">
      <c r="A7478" s="7"/>
    </row>
    <row r="7479" spans="1:1">
      <c r="A7479" s="7"/>
    </row>
    <row r="7480" spans="1:1">
      <c r="A7480" s="7"/>
    </row>
    <row r="7481" spans="1:1">
      <c r="A7481" s="7"/>
    </row>
    <row r="7482" spans="1:1">
      <c r="A7482" s="7"/>
    </row>
    <row r="7483" spans="1:1">
      <c r="A7483" s="7"/>
    </row>
    <row r="7484" spans="1:1">
      <c r="A7484" s="7"/>
    </row>
    <row r="7485" spans="1:1">
      <c r="A7485" s="7"/>
    </row>
    <row r="7486" spans="1:1">
      <c r="A7486" s="7"/>
    </row>
    <row r="7487" spans="1:1">
      <c r="A7487" s="7"/>
    </row>
    <row r="7488" spans="1:1">
      <c r="A7488" s="7"/>
    </row>
    <row r="7489" spans="1:1">
      <c r="A7489" s="7"/>
    </row>
    <row r="7490" spans="1:1">
      <c r="A7490" s="7"/>
    </row>
    <row r="7491" spans="1:1">
      <c r="A7491" s="7"/>
    </row>
    <row r="7492" spans="1:1">
      <c r="A7492" s="7"/>
    </row>
    <row r="7493" spans="1:1">
      <c r="A7493" s="7"/>
    </row>
    <row r="7494" spans="1:1">
      <c r="A7494" s="7"/>
    </row>
    <row r="7495" spans="1:1">
      <c r="A7495" s="7"/>
    </row>
    <row r="7496" spans="1:1">
      <c r="A7496" s="7"/>
    </row>
    <row r="7497" spans="1:1">
      <c r="A7497" s="7"/>
    </row>
    <row r="7498" spans="1:1">
      <c r="A7498" s="7"/>
    </row>
    <row r="7499" spans="1:1">
      <c r="A7499" s="7"/>
    </row>
    <row r="7500" spans="1:1">
      <c r="A7500" s="7"/>
    </row>
    <row r="7501" spans="1:1">
      <c r="A7501" s="7"/>
    </row>
    <row r="7502" spans="1:1">
      <c r="A7502" s="7"/>
    </row>
    <row r="7503" spans="1:1">
      <c r="A7503" s="7"/>
    </row>
    <row r="7504" spans="1:1">
      <c r="A7504" s="7"/>
    </row>
    <row r="7505" spans="1:1">
      <c r="A7505" s="7"/>
    </row>
    <row r="7506" spans="1:1">
      <c r="A7506" s="7"/>
    </row>
    <row r="7507" spans="1:1">
      <c r="A7507" s="7"/>
    </row>
    <row r="7508" spans="1:1">
      <c r="A7508" s="7"/>
    </row>
    <row r="7509" spans="1:1">
      <c r="A7509" s="7"/>
    </row>
    <row r="7510" spans="1:1">
      <c r="A7510" s="7"/>
    </row>
    <row r="7511" spans="1:1">
      <c r="A7511" s="7"/>
    </row>
    <row r="7512" spans="1:1">
      <c r="A7512" s="7"/>
    </row>
    <row r="7513" spans="1:1">
      <c r="A7513" s="7"/>
    </row>
    <row r="7514" spans="1:1">
      <c r="A7514" s="7"/>
    </row>
    <row r="7515" spans="1:1">
      <c r="A7515" s="7"/>
    </row>
    <row r="7516" spans="1:1">
      <c r="A7516" s="7"/>
    </row>
    <row r="7517" spans="1:1">
      <c r="A7517" s="7"/>
    </row>
    <row r="7518" spans="1:1">
      <c r="A7518" s="7"/>
    </row>
    <row r="7519" spans="1:1">
      <c r="A7519" s="7"/>
    </row>
    <row r="7520" spans="1:1">
      <c r="A7520" s="7"/>
    </row>
    <row r="7521" spans="1:1">
      <c r="A7521" s="7"/>
    </row>
    <row r="7522" spans="1:1">
      <c r="A7522" s="7"/>
    </row>
    <row r="7523" spans="1:1">
      <c r="A7523" s="7"/>
    </row>
    <row r="7524" spans="1:1">
      <c r="A7524" s="7"/>
    </row>
    <row r="7525" spans="1:1">
      <c r="A7525" s="7"/>
    </row>
    <row r="7526" spans="1:1">
      <c r="A7526" s="7"/>
    </row>
    <row r="7527" spans="1:1">
      <c r="A7527" s="7"/>
    </row>
    <row r="7528" spans="1:1">
      <c r="A7528" s="7"/>
    </row>
    <row r="7529" spans="1:1">
      <c r="A7529" s="7"/>
    </row>
    <row r="7530" spans="1:1">
      <c r="A7530" s="7"/>
    </row>
    <row r="7531" spans="1:1">
      <c r="A7531" s="7"/>
    </row>
    <row r="7532" spans="1:1">
      <c r="A7532" s="7"/>
    </row>
    <row r="7533" spans="1:1">
      <c r="A7533" s="7"/>
    </row>
    <row r="7534" spans="1:1">
      <c r="A7534" s="7"/>
    </row>
    <row r="7535" spans="1:1">
      <c r="A7535" s="7"/>
    </row>
    <row r="7536" spans="1:1">
      <c r="A7536" s="7"/>
    </row>
    <row r="7537" spans="1:1">
      <c r="A7537" s="7"/>
    </row>
    <row r="7538" spans="1:1">
      <c r="A7538" s="7"/>
    </row>
    <row r="7539" spans="1:1">
      <c r="A7539" s="7"/>
    </row>
    <row r="7540" spans="1:1">
      <c r="A7540" s="7"/>
    </row>
    <row r="7541" spans="1:1">
      <c r="A7541" s="7"/>
    </row>
    <row r="7542" spans="1:1">
      <c r="A7542" s="7"/>
    </row>
    <row r="7543" spans="1:1">
      <c r="A7543" s="7"/>
    </row>
    <row r="7544" spans="1:1">
      <c r="A7544" s="7"/>
    </row>
    <row r="7545" spans="1:1">
      <c r="A7545" s="7"/>
    </row>
    <row r="7546" spans="1:1">
      <c r="A7546" s="7"/>
    </row>
    <row r="7547" spans="1:1">
      <c r="A7547" s="7"/>
    </row>
    <row r="7548" spans="1:1">
      <c r="A7548" s="7"/>
    </row>
    <row r="7549" spans="1:1">
      <c r="A7549" s="7"/>
    </row>
    <row r="7550" spans="1:1">
      <c r="A7550" s="7"/>
    </row>
    <row r="7551" spans="1:1">
      <c r="A7551" s="7"/>
    </row>
    <row r="7552" spans="1:1">
      <c r="A7552" s="7"/>
    </row>
    <row r="7553" spans="1:1">
      <c r="A7553" s="7"/>
    </row>
    <row r="7554" spans="1:1">
      <c r="A7554" s="7"/>
    </row>
    <row r="7555" spans="1:1">
      <c r="A7555" s="7"/>
    </row>
    <row r="7556" spans="1:1">
      <c r="A7556" s="7"/>
    </row>
    <row r="7557" spans="1:1">
      <c r="A7557" s="7"/>
    </row>
    <row r="7558" spans="1:1">
      <c r="A7558" s="7"/>
    </row>
    <row r="7559" spans="1:1">
      <c r="A7559" s="7"/>
    </row>
    <row r="7560" spans="1:1">
      <c r="A7560" s="7"/>
    </row>
    <row r="7561" spans="1:1">
      <c r="A7561" s="7"/>
    </row>
    <row r="7562" spans="1:1">
      <c r="A7562" s="7"/>
    </row>
    <row r="7563" spans="1:1">
      <c r="A7563" s="7"/>
    </row>
    <row r="7564" spans="1:1">
      <c r="A7564" s="7"/>
    </row>
    <row r="7565" spans="1:1">
      <c r="A7565" s="7"/>
    </row>
    <row r="7566" spans="1:1">
      <c r="A7566" s="7"/>
    </row>
    <row r="7567" spans="1:1">
      <c r="A7567" s="7"/>
    </row>
    <row r="7568" spans="1:1">
      <c r="A7568" s="7"/>
    </row>
    <row r="7569" spans="1:1">
      <c r="A7569" s="7"/>
    </row>
    <row r="7570" spans="1:1">
      <c r="A7570" s="7"/>
    </row>
    <row r="7571" spans="1:1">
      <c r="A7571" s="7"/>
    </row>
    <row r="7572" spans="1:1">
      <c r="A7572" s="7"/>
    </row>
    <row r="7573" spans="1:1">
      <c r="A7573" s="7"/>
    </row>
    <row r="7574" spans="1:1">
      <c r="A7574" s="7"/>
    </row>
    <row r="7575" spans="1:1">
      <c r="A7575" s="7"/>
    </row>
    <row r="7576" spans="1:1">
      <c r="A7576" s="7"/>
    </row>
    <row r="7577" spans="1:1">
      <c r="A7577" s="7"/>
    </row>
    <row r="7578" spans="1:1">
      <c r="A7578" s="7"/>
    </row>
    <row r="7579" spans="1:1">
      <c r="A7579" s="7"/>
    </row>
    <row r="7580" spans="1:1">
      <c r="A7580" s="7"/>
    </row>
    <row r="7581" spans="1:1">
      <c r="A7581" s="7"/>
    </row>
    <row r="7582" spans="1:1">
      <c r="A7582" s="7"/>
    </row>
    <row r="7583" spans="1:1">
      <c r="A7583" s="7"/>
    </row>
    <row r="7584" spans="1:1">
      <c r="A7584" s="7"/>
    </row>
    <row r="7585" spans="1:1">
      <c r="A7585" s="7"/>
    </row>
    <row r="7586" spans="1:1">
      <c r="A7586" s="7"/>
    </row>
    <row r="7587" spans="1:1">
      <c r="A7587" s="7"/>
    </row>
    <row r="7588" spans="1:1">
      <c r="A7588" s="7"/>
    </row>
    <row r="7589" spans="1:1">
      <c r="A7589" s="7"/>
    </row>
    <row r="7590" spans="1:1">
      <c r="A7590" s="7"/>
    </row>
    <row r="7591" spans="1:1">
      <c r="A7591" s="7"/>
    </row>
    <row r="7592" spans="1:1">
      <c r="A7592" s="7"/>
    </row>
    <row r="7593" spans="1:1">
      <c r="A7593" s="7"/>
    </row>
    <row r="7594" spans="1:1">
      <c r="A7594" s="7"/>
    </row>
    <row r="7595" spans="1:1">
      <c r="A7595" s="7"/>
    </row>
    <row r="7596" spans="1:1">
      <c r="A7596" s="7"/>
    </row>
    <row r="7597" spans="1:1">
      <c r="A7597" s="7"/>
    </row>
    <row r="7598" spans="1:1">
      <c r="A7598" s="7"/>
    </row>
    <row r="7599" spans="1:1">
      <c r="A7599" s="7"/>
    </row>
    <row r="7600" spans="1:1">
      <c r="A7600" s="7"/>
    </row>
    <row r="7601" spans="1:1">
      <c r="A7601" s="7"/>
    </row>
    <row r="7602" spans="1:1">
      <c r="A7602" s="7"/>
    </row>
    <row r="7603" spans="1:1">
      <c r="A7603" s="7"/>
    </row>
    <row r="7604" spans="1:1">
      <c r="A7604" s="7"/>
    </row>
    <row r="7605" spans="1:1">
      <c r="A7605" s="7"/>
    </row>
    <row r="7606" spans="1:1">
      <c r="A7606" s="7"/>
    </row>
    <row r="7607" spans="1:1">
      <c r="A7607" s="7"/>
    </row>
    <row r="7608" spans="1:1">
      <c r="A7608" s="7"/>
    </row>
    <row r="7609" spans="1:1">
      <c r="A7609" s="7"/>
    </row>
    <row r="7610" spans="1:1">
      <c r="A7610" s="7"/>
    </row>
    <row r="7611" spans="1:1">
      <c r="A7611" s="7"/>
    </row>
    <row r="7612" spans="1:1">
      <c r="A7612" s="7"/>
    </row>
    <row r="7613" spans="1:1">
      <c r="A7613" s="7"/>
    </row>
    <row r="7614" spans="1:1">
      <c r="A7614" s="7"/>
    </row>
    <row r="7615" spans="1:1">
      <c r="A7615" s="7"/>
    </row>
    <row r="7616" spans="1:1">
      <c r="A7616" s="7"/>
    </row>
    <row r="7617" spans="1:1">
      <c r="A7617" s="7"/>
    </row>
    <row r="7618" spans="1:1">
      <c r="A7618" s="7"/>
    </row>
    <row r="7619" spans="1:1">
      <c r="A7619" s="7"/>
    </row>
    <row r="7620" spans="1:1">
      <c r="A7620" s="7"/>
    </row>
    <row r="7621" spans="1:1">
      <c r="A7621" s="7"/>
    </row>
    <row r="7622" spans="1:1">
      <c r="A7622" s="7"/>
    </row>
    <row r="7623" spans="1:1">
      <c r="A7623" s="7"/>
    </row>
    <row r="7624" spans="1:1">
      <c r="A7624" s="7"/>
    </row>
    <row r="7625" spans="1:1">
      <c r="A7625" s="7"/>
    </row>
    <row r="7626" spans="1:1">
      <c r="A7626" s="7"/>
    </row>
    <row r="7627" spans="1:1">
      <c r="A7627" s="7"/>
    </row>
    <row r="7628" spans="1:1">
      <c r="A7628" s="7"/>
    </row>
    <row r="7629" spans="1:1">
      <c r="A7629" s="7"/>
    </row>
    <row r="7630" spans="1:1">
      <c r="A7630" s="7"/>
    </row>
    <row r="7631" spans="1:1">
      <c r="A7631" s="7"/>
    </row>
    <row r="7632" spans="1:1">
      <c r="A7632" s="7"/>
    </row>
    <row r="7633" spans="1:1">
      <c r="A7633" s="7"/>
    </row>
    <row r="7634" spans="1:1">
      <c r="A7634" s="7"/>
    </row>
    <row r="7635" spans="1:1">
      <c r="A7635" s="7"/>
    </row>
    <row r="7636" spans="1:1">
      <c r="A7636" s="7"/>
    </row>
    <row r="7637" spans="1:1">
      <c r="A7637" s="7"/>
    </row>
    <row r="7638" spans="1:1">
      <c r="A7638" s="7"/>
    </row>
    <row r="7639" spans="1:1">
      <c r="A7639" s="7"/>
    </row>
    <row r="7640" spans="1:1">
      <c r="A7640" s="7"/>
    </row>
    <row r="7641" spans="1:1">
      <c r="A7641" s="7"/>
    </row>
    <row r="7642" spans="1:1">
      <c r="A7642" s="7"/>
    </row>
    <row r="7643" spans="1:1">
      <c r="A7643" s="7"/>
    </row>
    <row r="7644" spans="1:1">
      <c r="A7644" s="7"/>
    </row>
    <row r="7645" spans="1:1">
      <c r="A7645" s="7"/>
    </row>
    <row r="7646" spans="1:1">
      <c r="A7646" s="7"/>
    </row>
    <row r="7647" spans="1:1">
      <c r="A7647" s="7"/>
    </row>
    <row r="7648" spans="1:1">
      <c r="A7648" s="7"/>
    </row>
    <row r="7649" spans="1:1">
      <c r="A7649" s="7"/>
    </row>
    <row r="7650" spans="1:1">
      <c r="A7650" s="7"/>
    </row>
    <row r="7651" spans="1:1">
      <c r="A7651" s="7"/>
    </row>
    <row r="7652" spans="1:1">
      <c r="A7652" s="7"/>
    </row>
    <row r="7653" spans="1:1">
      <c r="A7653" s="7"/>
    </row>
    <row r="7654" spans="1:1">
      <c r="A7654" s="7"/>
    </row>
    <row r="7655" spans="1:1">
      <c r="A7655" s="7"/>
    </row>
    <row r="7656" spans="1:1">
      <c r="A7656" s="7"/>
    </row>
    <row r="7657" spans="1:1">
      <c r="A7657" s="7"/>
    </row>
    <row r="7658" spans="1:1">
      <c r="A7658" s="7"/>
    </row>
    <row r="7659" spans="1:1">
      <c r="A7659" s="7"/>
    </row>
    <row r="7660" spans="1:1">
      <c r="A7660" s="7"/>
    </row>
    <row r="7661" spans="1:1">
      <c r="A7661" s="7"/>
    </row>
    <row r="7662" spans="1:1">
      <c r="A7662" s="7"/>
    </row>
    <row r="7663" spans="1:1">
      <c r="A7663" s="7"/>
    </row>
    <row r="7664" spans="1:1">
      <c r="A7664" s="7"/>
    </row>
    <row r="7665" spans="1:1">
      <c r="A7665" s="7"/>
    </row>
    <row r="7666" spans="1:1">
      <c r="A7666" s="7"/>
    </row>
    <row r="7667" spans="1:1">
      <c r="A7667" s="7"/>
    </row>
    <row r="7668" spans="1:1">
      <c r="A7668" s="7"/>
    </row>
    <row r="7669" spans="1:1">
      <c r="A7669" s="7"/>
    </row>
    <row r="7670" spans="1:1">
      <c r="A7670" s="7"/>
    </row>
    <row r="7671" spans="1:1">
      <c r="A7671" s="7"/>
    </row>
    <row r="7672" spans="1:1">
      <c r="A7672" s="7"/>
    </row>
    <row r="7673" spans="1:1">
      <c r="A7673" s="7"/>
    </row>
    <row r="7674" spans="1:1">
      <c r="A7674" s="7"/>
    </row>
    <row r="7675" spans="1:1">
      <c r="A7675" s="7"/>
    </row>
    <row r="7676" spans="1:1">
      <c r="A7676" s="7"/>
    </row>
    <row r="7677" spans="1:1">
      <c r="A7677" s="7"/>
    </row>
    <row r="7678" spans="1:1">
      <c r="A7678" s="7"/>
    </row>
    <row r="7679" spans="1:1">
      <c r="A7679" s="7"/>
    </row>
    <row r="7680" spans="1:1">
      <c r="A7680" s="7"/>
    </row>
    <row r="7681" spans="1:1">
      <c r="A7681" s="7"/>
    </row>
    <row r="7682" spans="1:1">
      <c r="A7682" s="7"/>
    </row>
    <row r="7683" spans="1:1">
      <c r="A7683" s="7"/>
    </row>
    <row r="7684" spans="1:1">
      <c r="A7684" s="7"/>
    </row>
    <row r="7685" spans="1:1">
      <c r="A7685" s="7"/>
    </row>
    <row r="7686" spans="1:1">
      <c r="A7686" s="7"/>
    </row>
    <row r="7687" spans="1:1">
      <c r="A7687" s="7"/>
    </row>
    <row r="7688" spans="1:1">
      <c r="A7688" s="7"/>
    </row>
    <row r="7689" spans="1:1">
      <c r="A7689" s="7"/>
    </row>
    <row r="7690" spans="1:1">
      <c r="A7690" s="7"/>
    </row>
    <row r="7691" spans="1:1">
      <c r="A7691" s="7"/>
    </row>
    <row r="7692" spans="1:1">
      <c r="A7692" s="7"/>
    </row>
    <row r="7693" spans="1:1">
      <c r="A7693" s="7"/>
    </row>
    <row r="7694" spans="1:1">
      <c r="A7694" s="7"/>
    </row>
    <row r="7695" spans="1:1">
      <c r="A7695" s="7"/>
    </row>
    <row r="7696" spans="1:1">
      <c r="A7696" s="7"/>
    </row>
    <row r="7697" spans="1:1">
      <c r="A7697" s="7"/>
    </row>
    <row r="7698" spans="1:1">
      <c r="A7698" s="7"/>
    </row>
    <row r="7699" spans="1:1">
      <c r="A7699" s="7"/>
    </row>
    <row r="7700" spans="1:1">
      <c r="A7700" s="7"/>
    </row>
    <row r="7701" spans="1:1">
      <c r="A7701" s="7"/>
    </row>
    <row r="7702" spans="1:1">
      <c r="A7702" s="7"/>
    </row>
    <row r="7703" spans="1:1">
      <c r="A7703" s="7"/>
    </row>
    <row r="7704" spans="1:1">
      <c r="A7704" s="7"/>
    </row>
    <row r="7705" spans="1:1">
      <c r="A7705" s="7"/>
    </row>
    <row r="7706" spans="1:1">
      <c r="A7706" s="7"/>
    </row>
    <row r="7707" spans="1:1">
      <c r="A7707" s="7"/>
    </row>
    <row r="7708" spans="1:1">
      <c r="A7708" s="7"/>
    </row>
    <row r="7709" spans="1:1">
      <c r="A7709" s="7"/>
    </row>
    <row r="7710" spans="1:1">
      <c r="A7710" s="7"/>
    </row>
    <row r="7711" spans="1:1">
      <c r="A7711" s="7"/>
    </row>
    <row r="7712" spans="1:1">
      <c r="A7712" s="7"/>
    </row>
    <row r="7713" spans="1:1">
      <c r="A7713" s="7"/>
    </row>
    <row r="7714" spans="1:1">
      <c r="A7714" s="7"/>
    </row>
    <row r="7715" spans="1:1">
      <c r="A7715" s="7"/>
    </row>
    <row r="7716" spans="1:1">
      <c r="A7716" s="7"/>
    </row>
    <row r="7717" spans="1:1">
      <c r="A7717" s="7"/>
    </row>
    <row r="7718" spans="1:1">
      <c r="A7718" s="7"/>
    </row>
    <row r="7719" spans="1:1">
      <c r="A7719" s="7"/>
    </row>
    <row r="7720" spans="1:1">
      <c r="A7720" s="7"/>
    </row>
    <row r="7721" spans="1:1">
      <c r="A7721" s="7"/>
    </row>
    <row r="7722" spans="1:1">
      <c r="A7722" s="7"/>
    </row>
    <row r="7723" spans="1:1">
      <c r="A7723" s="7"/>
    </row>
    <row r="7724" spans="1:1">
      <c r="A7724" s="7"/>
    </row>
    <row r="7725" spans="1:1">
      <c r="A7725" s="7"/>
    </row>
    <row r="7726" spans="1:1">
      <c r="A7726" s="7"/>
    </row>
    <row r="7727" spans="1:1">
      <c r="A7727" s="7"/>
    </row>
    <row r="7728" spans="1:1">
      <c r="A7728" s="7"/>
    </row>
    <row r="7729" spans="1:1">
      <c r="A7729" s="7"/>
    </row>
    <row r="7730" spans="1:1">
      <c r="A7730" s="7"/>
    </row>
    <row r="7731" spans="1:1">
      <c r="A7731" s="7"/>
    </row>
    <row r="7732" spans="1:1">
      <c r="A7732" s="7"/>
    </row>
    <row r="7733" spans="1:1">
      <c r="A7733" s="7"/>
    </row>
    <row r="7734" spans="1:1">
      <c r="A7734" s="7"/>
    </row>
    <row r="7735" spans="1:1">
      <c r="A7735" s="7"/>
    </row>
    <row r="7736" spans="1:1">
      <c r="A7736" s="7"/>
    </row>
    <row r="7737" spans="1:1">
      <c r="A7737" s="7"/>
    </row>
    <row r="7738" spans="1:1">
      <c r="A7738" s="7"/>
    </row>
    <row r="7739" spans="1:1">
      <c r="A7739" s="7"/>
    </row>
    <row r="7740" spans="1:1">
      <c r="A7740" s="7"/>
    </row>
    <row r="7741" spans="1:1">
      <c r="A7741" s="7"/>
    </row>
    <row r="7742" spans="1:1">
      <c r="A7742" s="7"/>
    </row>
    <row r="7743" spans="1:1">
      <c r="A7743" s="7"/>
    </row>
    <row r="7744" spans="1:1">
      <c r="A7744" s="7"/>
    </row>
    <row r="7745" spans="1:1">
      <c r="A7745" s="7"/>
    </row>
    <row r="7746" spans="1:1">
      <c r="A7746" s="7"/>
    </row>
    <row r="7747" spans="1:1">
      <c r="A7747" s="7"/>
    </row>
    <row r="7748" spans="1:1">
      <c r="A7748" s="7"/>
    </row>
    <row r="7749" spans="1:1">
      <c r="A7749" s="7"/>
    </row>
    <row r="7750" spans="1:1">
      <c r="A7750" s="7"/>
    </row>
    <row r="7751" spans="1:1">
      <c r="A7751" s="7"/>
    </row>
    <row r="7752" spans="1:1">
      <c r="A7752" s="7"/>
    </row>
    <row r="7753" spans="1:1">
      <c r="A7753" s="7"/>
    </row>
    <row r="7754" spans="1:1">
      <c r="A7754" s="7"/>
    </row>
    <row r="7755" spans="1:1">
      <c r="A7755" s="7"/>
    </row>
    <row r="7756" spans="1:1">
      <c r="A7756" s="7"/>
    </row>
    <row r="7757" spans="1:1">
      <c r="A7757" s="7"/>
    </row>
    <row r="7758" spans="1:1">
      <c r="A7758" s="7"/>
    </row>
    <row r="7759" spans="1:1">
      <c r="A7759" s="7"/>
    </row>
    <row r="7760" spans="1:1">
      <c r="A7760" s="7"/>
    </row>
    <row r="7761" spans="1:1">
      <c r="A7761" s="7"/>
    </row>
    <row r="7762" spans="1:1">
      <c r="A7762" s="7"/>
    </row>
    <row r="7763" spans="1:1">
      <c r="A7763" s="7"/>
    </row>
    <row r="7764" spans="1:1">
      <c r="A7764" s="7"/>
    </row>
    <row r="7765" spans="1:1">
      <c r="A7765" s="7"/>
    </row>
    <row r="7766" spans="1:1">
      <c r="A7766" s="7"/>
    </row>
    <row r="7767" spans="1:1">
      <c r="A7767" s="7"/>
    </row>
    <row r="7768" spans="1:1">
      <c r="A7768" s="7"/>
    </row>
    <row r="7769" spans="1:1">
      <c r="A7769" s="7"/>
    </row>
    <row r="7770" spans="1:1">
      <c r="A7770" s="7"/>
    </row>
    <row r="7771" spans="1:1">
      <c r="A7771" s="7"/>
    </row>
    <row r="7772" spans="1:1">
      <c r="A7772" s="7"/>
    </row>
    <row r="7773" spans="1:1">
      <c r="A7773" s="7"/>
    </row>
    <row r="7774" spans="1:1">
      <c r="A7774" s="7"/>
    </row>
    <row r="7775" spans="1:1">
      <c r="A7775" s="7"/>
    </row>
    <row r="7776" spans="1:1">
      <c r="A7776" s="7"/>
    </row>
    <row r="7777" spans="1:1">
      <c r="A7777" s="7"/>
    </row>
    <row r="7778" spans="1:1">
      <c r="A7778" s="7"/>
    </row>
    <row r="7779" spans="1:1">
      <c r="A7779" s="7"/>
    </row>
    <row r="7780" spans="1:1">
      <c r="A7780" s="7"/>
    </row>
    <row r="7781" spans="1:1">
      <c r="A7781" s="7"/>
    </row>
    <row r="7782" spans="1:1">
      <c r="A7782" s="7"/>
    </row>
    <row r="7783" spans="1:1">
      <c r="A7783" s="7"/>
    </row>
    <row r="7784" spans="1:1">
      <c r="A7784" s="7"/>
    </row>
    <row r="7785" spans="1:1">
      <c r="A7785" s="7"/>
    </row>
    <row r="7786" spans="1:1">
      <c r="A7786" s="7"/>
    </row>
    <row r="7787" spans="1:1">
      <c r="A7787" s="7"/>
    </row>
    <row r="7788" spans="1:1">
      <c r="A7788" s="7"/>
    </row>
    <row r="7789" spans="1:1">
      <c r="A7789" s="7"/>
    </row>
    <row r="7790" spans="1:1">
      <c r="A7790" s="7"/>
    </row>
    <row r="7791" spans="1:1">
      <c r="A7791" s="7"/>
    </row>
    <row r="7792" spans="1:1">
      <c r="A7792" s="7"/>
    </row>
    <row r="7793" spans="1:1">
      <c r="A7793" s="7"/>
    </row>
    <row r="7794" spans="1:1">
      <c r="A7794" s="7"/>
    </row>
    <row r="7795" spans="1:1">
      <c r="A7795" s="7"/>
    </row>
    <row r="7796" spans="1:1">
      <c r="A7796" s="7"/>
    </row>
    <row r="7797" spans="1:1">
      <c r="A7797" s="7"/>
    </row>
    <row r="7798" spans="1:1">
      <c r="A7798" s="7"/>
    </row>
    <row r="7799" spans="1:1">
      <c r="A7799" s="7"/>
    </row>
    <row r="7800" spans="1:1">
      <c r="A7800" s="7"/>
    </row>
    <row r="7801" spans="1:1">
      <c r="A7801" s="7"/>
    </row>
    <row r="7802" spans="1:1">
      <c r="A7802" s="7"/>
    </row>
    <row r="7803" spans="1:1">
      <c r="A7803" s="7"/>
    </row>
    <row r="7804" spans="1:1">
      <c r="A7804" s="7"/>
    </row>
    <row r="7805" spans="1:1">
      <c r="A7805" s="7"/>
    </row>
    <row r="7806" spans="1:1">
      <c r="A7806" s="7"/>
    </row>
    <row r="7807" spans="1:1">
      <c r="A7807" s="7"/>
    </row>
    <row r="7808" spans="1:1">
      <c r="A7808" s="7"/>
    </row>
    <row r="7809" spans="1:1">
      <c r="A7809" s="7"/>
    </row>
    <row r="7810" spans="1:1">
      <c r="A7810" s="7"/>
    </row>
    <row r="7811" spans="1:1">
      <c r="A7811" s="7"/>
    </row>
    <row r="7812" spans="1:1">
      <c r="A7812" s="7"/>
    </row>
    <row r="7813" spans="1:1">
      <c r="A7813" s="7"/>
    </row>
    <row r="7814" spans="1:1">
      <c r="A7814" s="7"/>
    </row>
    <row r="7815" spans="1:1">
      <c r="A7815" s="7"/>
    </row>
    <row r="7816" spans="1:1">
      <c r="A7816" s="7"/>
    </row>
    <row r="7817" spans="1:1">
      <c r="A7817" s="7"/>
    </row>
    <row r="7818" spans="1:1">
      <c r="A7818" s="7"/>
    </row>
    <row r="7819" spans="1:1">
      <c r="A7819" s="7"/>
    </row>
    <row r="7820" spans="1:1">
      <c r="A7820" s="7"/>
    </row>
    <row r="7821" spans="1:1">
      <c r="A7821" s="7"/>
    </row>
    <row r="7822" spans="1:1">
      <c r="A7822" s="7"/>
    </row>
    <row r="7823" spans="1:1">
      <c r="A7823" s="7"/>
    </row>
    <row r="7824" spans="1:1">
      <c r="A7824" s="7"/>
    </row>
    <row r="7825" spans="1:1">
      <c r="A7825" s="7"/>
    </row>
    <row r="7826" spans="1:1">
      <c r="A7826" s="7"/>
    </row>
    <row r="7827" spans="1:1">
      <c r="A7827" s="7"/>
    </row>
    <row r="7828" spans="1:1">
      <c r="A7828" s="7"/>
    </row>
    <row r="7829" spans="1:1">
      <c r="A7829" s="7"/>
    </row>
    <row r="7830" spans="1:1">
      <c r="A7830" s="7"/>
    </row>
    <row r="7831" spans="1:1">
      <c r="A7831" s="7"/>
    </row>
    <row r="7832" spans="1:1">
      <c r="A7832" s="7"/>
    </row>
    <row r="7833" spans="1:1">
      <c r="A7833" s="7"/>
    </row>
    <row r="7834" spans="1:1">
      <c r="A7834" s="7"/>
    </row>
    <row r="7835" spans="1:1">
      <c r="A7835" s="7"/>
    </row>
    <row r="7836" spans="1:1">
      <c r="A7836" s="7"/>
    </row>
    <row r="7837" spans="1:1">
      <c r="A7837" s="7"/>
    </row>
    <row r="7838" spans="1:1">
      <c r="A7838" s="7"/>
    </row>
    <row r="7839" spans="1:1">
      <c r="A7839" s="7"/>
    </row>
    <row r="7840" spans="1:1">
      <c r="A7840" s="7"/>
    </row>
    <row r="7841" spans="1:1">
      <c r="A7841" s="7"/>
    </row>
    <row r="7842" spans="1:1">
      <c r="A7842" s="7"/>
    </row>
    <row r="7843" spans="1:1">
      <c r="A7843" s="7"/>
    </row>
    <row r="7844" spans="1:1">
      <c r="A7844" s="7"/>
    </row>
    <row r="7845" spans="1:1">
      <c r="A7845" s="7"/>
    </row>
    <row r="7846" spans="1:1">
      <c r="A7846" s="7"/>
    </row>
    <row r="7847" spans="1:1">
      <c r="A7847" s="7"/>
    </row>
    <row r="7848" spans="1:1">
      <c r="A7848" s="7"/>
    </row>
    <row r="7849" spans="1:1">
      <c r="A7849" s="7"/>
    </row>
    <row r="7850" spans="1:1">
      <c r="A7850" s="7"/>
    </row>
    <row r="7851" spans="1:1">
      <c r="A7851" s="7"/>
    </row>
    <row r="7852" spans="1:1">
      <c r="A7852" s="7"/>
    </row>
    <row r="7853" spans="1:1">
      <c r="A7853" s="7"/>
    </row>
    <row r="7854" spans="1:1">
      <c r="A7854" s="7"/>
    </row>
    <row r="7855" spans="1:1">
      <c r="A7855" s="7"/>
    </row>
    <row r="7856" spans="1:1">
      <c r="A7856" s="7"/>
    </row>
    <row r="7857" spans="1:1">
      <c r="A7857" s="7"/>
    </row>
    <row r="7858" spans="1:1">
      <c r="A7858" s="7"/>
    </row>
    <row r="7859" spans="1:1">
      <c r="A7859" s="7"/>
    </row>
    <row r="7860" spans="1:1">
      <c r="A7860" s="7"/>
    </row>
    <row r="7861" spans="1:1">
      <c r="A7861" s="7"/>
    </row>
    <row r="7862" spans="1:1">
      <c r="A7862" s="7"/>
    </row>
    <row r="7863" spans="1:1">
      <c r="A7863" s="7"/>
    </row>
    <row r="7864" spans="1:1">
      <c r="A7864" s="7"/>
    </row>
    <row r="7865" spans="1:1">
      <c r="A7865" s="7"/>
    </row>
    <row r="7866" spans="1:1">
      <c r="A7866" s="7"/>
    </row>
    <row r="7867" spans="1:1">
      <c r="A7867" s="7"/>
    </row>
    <row r="7868" spans="1:1">
      <c r="A7868" s="7"/>
    </row>
    <row r="7869" spans="1:1">
      <c r="A7869" s="7"/>
    </row>
    <row r="7870" spans="1:1">
      <c r="A7870" s="7"/>
    </row>
    <row r="7871" spans="1:1">
      <c r="A7871" s="7"/>
    </row>
    <row r="7872" spans="1:1">
      <c r="A7872" s="7"/>
    </row>
    <row r="7873" spans="1:1">
      <c r="A7873" s="7"/>
    </row>
    <row r="7874" spans="1:1">
      <c r="A7874" s="7"/>
    </row>
    <row r="7875" spans="1:1">
      <c r="A7875" s="7"/>
    </row>
    <row r="7876" spans="1:1">
      <c r="A7876" s="7"/>
    </row>
    <row r="7877" spans="1:1">
      <c r="A7877" s="7"/>
    </row>
    <row r="7878" spans="1:1">
      <c r="A7878" s="7"/>
    </row>
    <row r="7879" spans="1:1">
      <c r="A7879" s="7"/>
    </row>
    <row r="7880" spans="1:1">
      <c r="A7880" s="7"/>
    </row>
    <row r="7881" spans="1:1">
      <c r="A7881" s="7"/>
    </row>
    <row r="7882" spans="1:1">
      <c r="A7882" s="7"/>
    </row>
    <row r="7883" spans="1:1">
      <c r="A7883" s="7"/>
    </row>
    <row r="7884" spans="1:1">
      <c r="A7884" s="7"/>
    </row>
    <row r="7885" spans="1:1">
      <c r="A7885" s="7"/>
    </row>
    <row r="7886" spans="1:1">
      <c r="A7886" s="7"/>
    </row>
    <row r="7887" spans="1:1">
      <c r="A7887" s="7"/>
    </row>
    <row r="7888" spans="1:1">
      <c r="A7888" s="7"/>
    </row>
    <row r="7889" spans="1:1">
      <c r="A7889" s="7"/>
    </row>
    <row r="7890" spans="1:1">
      <c r="A7890" s="7"/>
    </row>
    <row r="7891" spans="1:1">
      <c r="A7891" s="7"/>
    </row>
    <row r="7892" spans="1:1">
      <c r="A7892" s="7"/>
    </row>
    <row r="7893" spans="1:1">
      <c r="A7893" s="7"/>
    </row>
    <row r="7894" spans="1:1">
      <c r="A7894" s="7"/>
    </row>
    <row r="7895" spans="1:1">
      <c r="A7895" s="7"/>
    </row>
    <row r="7896" spans="1:1">
      <c r="A7896" s="7"/>
    </row>
    <row r="7897" spans="1:1">
      <c r="A7897" s="7"/>
    </row>
    <row r="7898" spans="1:1">
      <c r="A7898" s="7"/>
    </row>
    <row r="7899" spans="1:1">
      <c r="A7899" s="7"/>
    </row>
    <row r="7900" spans="1:1">
      <c r="A7900" s="7"/>
    </row>
    <row r="7901" spans="1:1">
      <c r="A7901" s="7"/>
    </row>
    <row r="7902" spans="1:1">
      <c r="A7902" s="7"/>
    </row>
    <row r="7903" spans="1:1">
      <c r="A7903" s="7"/>
    </row>
    <row r="7904" spans="1:1">
      <c r="A7904" s="7"/>
    </row>
    <row r="7905" spans="1:1">
      <c r="A7905" s="7"/>
    </row>
    <row r="7906" spans="1:1">
      <c r="A7906" s="7"/>
    </row>
    <row r="7907" spans="1:1">
      <c r="A7907" s="7"/>
    </row>
    <row r="7908" spans="1:1">
      <c r="A7908" s="7"/>
    </row>
    <row r="7909" spans="1:1">
      <c r="A7909" s="7"/>
    </row>
    <row r="7910" spans="1:1">
      <c r="A7910" s="7"/>
    </row>
    <row r="7911" spans="1:1">
      <c r="A7911" s="7"/>
    </row>
    <row r="7912" spans="1:1">
      <c r="A7912" s="7"/>
    </row>
    <row r="7913" spans="1:1">
      <c r="A7913" s="7"/>
    </row>
    <row r="7914" spans="1:1">
      <c r="A7914" s="7"/>
    </row>
    <row r="7915" spans="1:1">
      <c r="A7915" s="7"/>
    </row>
    <row r="7916" spans="1:1">
      <c r="A7916" s="7"/>
    </row>
    <row r="7917" spans="1:1">
      <c r="A7917" s="7"/>
    </row>
    <row r="7918" spans="1:1">
      <c r="A7918" s="7"/>
    </row>
    <row r="7919" spans="1:1">
      <c r="A7919" s="7"/>
    </row>
    <row r="7920" spans="1:1">
      <c r="A7920" s="7"/>
    </row>
    <row r="7921" spans="1:1">
      <c r="A7921" s="7"/>
    </row>
    <row r="7922" spans="1:1">
      <c r="A7922" s="7"/>
    </row>
    <row r="7923" spans="1:1">
      <c r="A7923" s="7"/>
    </row>
    <row r="7924" spans="1:1">
      <c r="A7924" s="7"/>
    </row>
    <row r="7925" spans="1:1">
      <c r="A7925" s="7"/>
    </row>
    <row r="7926" spans="1:1">
      <c r="A7926" s="7"/>
    </row>
    <row r="7927" spans="1:1">
      <c r="A7927" s="7"/>
    </row>
    <row r="7928" spans="1:1">
      <c r="A7928" s="7"/>
    </row>
    <row r="7929" spans="1:1">
      <c r="A7929" s="7"/>
    </row>
    <row r="7930" spans="1:1">
      <c r="A7930" s="7"/>
    </row>
    <row r="7931" spans="1:1">
      <c r="A7931" s="7"/>
    </row>
    <row r="7932" spans="1:1">
      <c r="A7932" s="7"/>
    </row>
    <row r="7933" spans="1:1">
      <c r="A7933" s="7"/>
    </row>
    <row r="7934" spans="1:1">
      <c r="A7934" s="7"/>
    </row>
    <row r="7935" spans="1:1">
      <c r="A7935" s="7"/>
    </row>
    <row r="7936" spans="1:1">
      <c r="A7936" s="7"/>
    </row>
    <row r="7937" spans="1:1">
      <c r="A7937" s="7"/>
    </row>
    <row r="7938" spans="1:1">
      <c r="A7938" s="7"/>
    </row>
    <row r="7939" spans="1:1">
      <c r="A7939" s="7"/>
    </row>
    <row r="7940" spans="1:1">
      <c r="A7940" s="7"/>
    </row>
    <row r="7941" spans="1:1">
      <c r="A7941" s="7"/>
    </row>
    <row r="7942" spans="1:1">
      <c r="A7942" s="7"/>
    </row>
    <row r="7943" spans="1:1">
      <c r="A7943" s="7"/>
    </row>
    <row r="7944" spans="1:1">
      <c r="A7944" s="7"/>
    </row>
    <row r="7945" spans="1:1">
      <c r="A7945" s="7"/>
    </row>
    <row r="7946" spans="1:1">
      <c r="A7946" s="7"/>
    </row>
    <row r="7947" spans="1:1">
      <c r="A7947" s="7"/>
    </row>
    <row r="7948" spans="1:1">
      <c r="A7948" s="7"/>
    </row>
    <row r="7949" spans="1:1">
      <c r="A7949" s="7"/>
    </row>
    <row r="7950" spans="1:1">
      <c r="A7950" s="7"/>
    </row>
    <row r="7951" spans="1:1">
      <c r="A7951" s="7"/>
    </row>
    <row r="7952" spans="1:1">
      <c r="A7952" s="7"/>
    </row>
    <row r="7953" spans="1:1">
      <c r="A7953" s="7"/>
    </row>
    <row r="7954" spans="1:1">
      <c r="A7954" s="7"/>
    </row>
    <row r="7955" spans="1:1">
      <c r="A7955" s="7"/>
    </row>
    <row r="7956" spans="1:1">
      <c r="A7956" s="7"/>
    </row>
    <row r="7957" spans="1:1">
      <c r="A7957" s="7"/>
    </row>
    <row r="7958" spans="1:1">
      <c r="A7958" s="7"/>
    </row>
    <row r="7959" spans="1:1">
      <c r="A7959" s="7"/>
    </row>
    <row r="7960" spans="1:1">
      <c r="A7960" s="7"/>
    </row>
    <row r="7961" spans="1:1">
      <c r="A7961" s="7"/>
    </row>
    <row r="7962" spans="1:1">
      <c r="A7962" s="7"/>
    </row>
    <row r="7963" spans="1:1">
      <c r="A7963" s="7"/>
    </row>
    <row r="7964" spans="1:1">
      <c r="A7964" s="7"/>
    </row>
    <row r="7965" spans="1:1">
      <c r="A7965" s="7"/>
    </row>
    <row r="7966" spans="1:1">
      <c r="A7966" s="7"/>
    </row>
    <row r="7967" spans="1:1">
      <c r="A7967" s="7"/>
    </row>
    <row r="7968" spans="1:1">
      <c r="A7968" s="7"/>
    </row>
    <row r="7969" spans="1:1">
      <c r="A7969" s="7"/>
    </row>
    <row r="7970" spans="1:1">
      <c r="A7970" s="7"/>
    </row>
    <row r="7971" spans="1:1">
      <c r="A7971" s="7"/>
    </row>
    <row r="7972" spans="1:1">
      <c r="A7972" s="7"/>
    </row>
    <row r="7973" spans="1:1">
      <c r="A7973" s="7"/>
    </row>
    <row r="7974" spans="1:1">
      <c r="A7974" s="7"/>
    </row>
    <row r="7975" spans="1:1">
      <c r="A7975" s="7"/>
    </row>
    <row r="7976" spans="1:1">
      <c r="A7976" s="7"/>
    </row>
    <row r="7977" spans="1:1">
      <c r="A7977" s="7"/>
    </row>
    <row r="7978" spans="1:1">
      <c r="A7978" s="7"/>
    </row>
    <row r="7979" spans="1:1">
      <c r="A7979" s="7"/>
    </row>
    <row r="7980" spans="1:1">
      <c r="A7980" s="7"/>
    </row>
    <row r="7981" spans="1:1">
      <c r="A7981" s="7"/>
    </row>
    <row r="7982" spans="1:1">
      <c r="A7982" s="7"/>
    </row>
    <row r="7983" spans="1:1">
      <c r="A7983" s="7"/>
    </row>
    <row r="7984" spans="1:1">
      <c r="A7984" s="7"/>
    </row>
    <row r="7985" spans="1:1">
      <c r="A7985" s="7"/>
    </row>
    <row r="7986" spans="1:1">
      <c r="A7986" s="7"/>
    </row>
    <row r="7987" spans="1:1">
      <c r="A7987" s="7"/>
    </row>
    <row r="7988" spans="1:1">
      <c r="A7988" s="7"/>
    </row>
    <row r="7989" spans="1:1">
      <c r="A7989" s="7"/>
    </row>
    <row r="7990" spans="1:1">
      <c r="A7990" s="7"/>
    </row>
    <row r="7991" spans="1:1">
      <c r="A7991" s="7"/>
    </row>
    <row r="7992" spans="1:1">
      <c r="A7992" s="7"/>
    </row>
    <row r="7993" spans="1:1">
      <c r="A7993" s="7"/>
    </row>
    <row r="7994" spans="1:1">
      <c r="A7994" s="7"/>
    </row>
    <row r="7995" spans="1:1">
      <c r="A7995" s="7"/>
    </row>
    <row r="7996" spans="1:1">
      <c r="A7996" s="7"/>
    </row>
    <row r="7997" spans="1:1">
      <c r="A7997" s="7"/>
    </row>
    <row r="7998" spans="1:1">
      <c r="A7998" s="7"/>
    </row>
    <row r="7999" spans="1:1">
      <c r="A7999" s="7"/>
    </row>
    <row r="8000" spans="1:1">
      <c r="A8000" s="7"/>
    </row>
    <row r="8001" spans="1:1">
      <c r="A8001" s="7"/>
    </row>
    <row r="8002" spans="1:1">
      <c r="A8002" s="7"/>
    </row>
    <row r="8003" spans="1:1">
      <c r="A8003" s="7"/>
    </row>
    <row r="8004" spans="1:1">
      <c r="A8004" s="7"/>
    </row>
    <row r="8005" spans="1:1">
      <c r="A8005" s="7"/>
    </row>
    <row r="8006" spans="1:1">
      <c r="A8006" s="7"/>
    </row>
    <row r="8007" spans="1:1">
      <c r="A8007" s="7"/>
    </row>
    <row r="8008" spans="1:1">
      <c r="A8008" s="7"/>
    </row>
    <row r="8009" spans="1:1">
      <c r="A8009" s="7"/>
    </row>
    <row r="8010" spans="1:1">
      <c r="A8010" s="7"/>
    </row>
    <row r="8011" spans="1:1">
      <c r="A8011" s="7"/>
    </row>
    <row r="8012" spans="1:1">
      <c r="A8012" s="7"/>
    </row>
    <row r="8013" spans="1:1">
      <c r="A8013" s="7"/>
    </row>
    <row r="8014" spans="1:1">
      <c r="A8014" s="7"/>
    </row>
    <row r="8015" spans="1:1">
      <c r="A8015" s="7"/>
    </row>
    <row r="8016" spans="1:1">
      <c r="A8016" s="7"/>
    </row>
    <row r="8017" spans="1:1">
      <c r="A8017" s="7"/>
    </row>
    <row r="8018" spans="1:1">
      <c r="A8018" s="7"/>
    </row>
    <row r="8019" spans="1:1">
      <c r="A8019" s="7"/>
    </row>
    <row r="8020" spans="1:1">
      <c r="A8020" s="7"/>
    </row>
    <row r="8021" spans="1:1">
      <c r="A8021" s="7"/>
    </row>
    <row r="8022" spans="1:1">
      <c r="A8022" s="7"/>
    </row>
    <row r="8023" spans="1:1">
      <c r="A8023" s="7"/>
    </row>
    <row r="8024" spans="1:1">
      <c r="A8024" s="7"/>
    </row>
    <row r="8025" spans="1:1">
      <c r="A8025" s="7"/>
    </row>
    <row r="8026" spans="1:1">
      <c r="A8026" s="7"/>
    </row>
    <row r="8027" spans="1:1">
      <c r="A8027" s="7"/>
    </row>
    <row r="8028" spans="1:1">
      <c r="A8028" s="7"/>
    </row>
    <row r="8029" spans="1:1">
      <c r="A8029" s="7"/>
    </row>
    <row r="8030" spans="1:1">
      <c r="A8030" s="7"/>
    </row>
    <row r="8031" spans="1:1">
      <c r="A8031" s="7"/>
    </row>
    <row r="8032" spans="1:1">
      <c r="A8032" s="7"/>
    </row>
    <row r="8033" spans="1:1">
      <c r="A8033" s="7"/>
    </row>
    <row r="8034" spans="1:1">
      <c r="A8034" s="7"/>
    </row>
    <row r="8035" spans="1:1">
      <c r="A8035" s="7"/>
    </row>
    <row r="8036" spans="1:1">
      <c r="A8036" s="7"/>
    </row>
    <row r="8037" spans="1:1">
      <c r="A8037" s="7"/>
    </row>
    <row r="8038" spans="1:1">
      <c r="A8038" s="7"/>
    </row>
    <row r="8039" spans="1:1">
      <c r="A8039" s="7"/>
    </row>
    <row r="8040" spans="1:1">
      <c r="A8040" s="7"/>
    </row>
    <row r="8041" spans="1:1">
      <c r="A8041" s="7"/>
    </row>
    <row r="8042" spans="1:1">
      <c r="A8042" s="7"/>
    </row>
    <row r="8043" spans="1:1">
      <c r="A8043" s="7"/>
    </row>
    <row r="8044" spans="1:1">
      <c r="A8044" s="7"/>
    </row>
    <row r="8045" spans="1:1">
      <c r="A8045" s="7"/>
    </row>
    <row r="8046" spans="1:1">
      <c r="A8046" s="7"/>
    </row>
    <row r="8047" spans="1:1">
      <c r="A8047" s="7"/>
    </row>
    <row r="8048" spans="1:1">
      <c r="A8048" s="7"/>
    </row>
    <row r="8049" spans="1:1">
      <c r="A8049" s="7"/>
    </row>
    <row r="8050" spans="1:1">
      <c r="A8050" s="7"/>
    </row>
    <row r="8051" spans="1:1">
      <c r="A8051" s="7"/>
    </row>
    <row r="8052" spans="1:1">
      <c r="A8052" s="7"/>
    </row>
    <row r="8053" spans="1:1">
      <c r="A8053" s="7"/>
    </row>
    <row r="8054" spans="1:1">
      <c r="A8054" s="7"/>
    </row>
    <row r="8055" spans="1:1">
      <c r="A8055" s="7"/>
    </row>
    <row r="8056" spans="1:1">
      <c r="A8056" s="7"/>
    </row>
    <row r="8057" spans="1:1">
      <c r="A8057" s="7"/>
    </row>
    <row r="8058" spans="1:1">
      <c r="A8058" s="7"/>
    </row>
    <row r="8059" spans="1:1">
      <c r="A8059" s="7"/>
    </row>
    <row r="8060" spans="1:1">
      <c r="A8060" s="7"/>
    </row>
    <row r="8061" spans="1:1">
      <c r="A8061" s="7"/>
    </row>
    <row r="8062" spans="1:1">
      <c r="A8062" s="7"/>
    </row>
    <row r="8063" spans="1:1">
      <c r="A8063" s="7"/>
    </row>
    <row r="8064" spans="1:1">
      <c r="A8064" s="7"/>
    </row>
    <row r="8065" spans="1:1">
      <c r="A8065" s="7"/>
    </row>
    <row r="8066" spans="1:1">
      <c r="A8066" s="7"/>
    </row>
    <row r="8067" spans="1:1">
      <c r="A8067" s="7"/>
    </row>
    <row r="8068" spans="1:1">
      <c r="A8068" s="7"/>
    </row>
    <row r="8069" spans="1:1">
      <c r="A8069" s="7"/>
    </row>
    <row r="8070" spans="1:1">
      <c r="A8070" s="7"/>
    </row>
    <row r="8071" spans="1:1">
      <c r="A8071" s="7"/>
    </row>
    <row r="8072" spans="1:1">
      <c r="A8072" s="7"/>
    </row>
    <row r="8073" spans="1:1">
      <c r="A8073" s="7"/>
    </row>
    <row r="8074" spans="1:1">
      <c r="A8074" s="7"/>
    </row>
    <row r="8075" spans="1:1">
      <c r="A8075" s="7"/>
    </row>
    <row r="8076" spans="1:1">
      <c r="A8076" s="7"/>
    </row>
    <row r="8077" spans="1:1">
      <c r="A8077" s="7"/>
    </row>
    <row r="8078" spans="1:1">
      <c r="A8078" s="7"/>
    </row>
    <row r="8079" spans="1:1">
      <c r="A8079" s="7"/>
    </row>
    <row r="8080" spans="1:1">
      <c r="A8080" s="7"/>
    </row>
    <row r="8081" spans="1:1">
      <c r="A8081" s="7"/>
    </row>
    <row r="8082" spans="1:1">
      <c r="A8082" s="7"/>
    </row>
    <row r="8083" spans="1:1">
      <c r="A8083" s="7"/>
    </row>
    <row r="8084" spans="1:1">
      <c r="A8084" s="7"/>
    </row>
    <row r="8085" spans="1:1">
      <c r="A8085" s="7"/>
    </row>
    <row r="8086" spans="1:1">
      <c r="A8086" s="7"/>
    </row>
    <row r="8087" spans="1:1">
      <c r="A8087" s="7"/>
    </row>
    <row r="8088" spans="1:1">
      <c r="A8088" s="7"/>
    </row>
    <row r="8089" spans="1:1">
      <c r="A8089" s="7"/>
    </row>
    <row r="8090" spans="1:1">
      <c r="A8090" s="7"/>
    </row>
    <row r="8091" spans="1:1">
      <c r="A8091" s="7"/>
    </row>
    <row r="8092" spans="1:1">
      <c r="A8092" s="7"/>
    </row>
    <row r="8093" spans="1:1">
      <c r="A8093" s="7"/>
    </row>
    <row r="8094" spans="1:1">
      <c r="A8094" s="7"/>
    </row>
    <row r="8095" spans="1:1">
      <c r="A8095" s="7"/>
    </row>
    <row r="8096" spans="1:1">
      <c r="A8096" s="7"/>
    </row>
    <row r="8097" spans="1:1">
      <c r="A8097" s="7"/>
    </row>
    <row r="8098" spans="1:1">
      <c r="A8098" s="7"/>
    </row>
    <row r="8099" spans="1:1">
      <c r="A8099" s="7"/>
    </row>
    <row r="8100" spans="1:1">
      <c r="A8100" s="7"/>
    </row>
    <row r="8101" spans="1:1">
      <c r="A8101" s="7"/>
    </row>
    <row r="8102" spans="1:1">
      <c r="A8102" s="7"/>
    </row>
    <row r="8103" spans="1:1">
      <c r="A8103" s="7"/>
    </row>
    <row r="8104" spans="1:1">
      <c r="A8104" s="7"/>
    </row>
    <row r="8105" spans="1:1">
      <c r="A8105" s="7"/>
    </row>
    <row r="8106" spans="1:1">
      <c r="A8106" s="7"/>
    </row>
    <row r="8107" spans="1:1">
      <c r="A8107" s="7"/>
    </row>
    <row r="8108" spans="1:1">
      <c r="A8108" s="7"/>
    </row>
    <row r="8109" spans="1:1">
      <c r="A8109" s="7"/>
    </row>
    <row r="8110" spans="1:1">
      <c r="A8110" s="7"/>
    </row>
    <row r="8111" spans="1:1">
      <c r="A8111" s="7"/>
    </row>
    <row r="8112" spans="1:1">
      <c r="A8112" s="7"/>
    </row>
    <row r="8113" spans="1:1">
      <c r="A8113" s="7"/>
    </row>
    <row r="8114" spans="1:1">
      <c r="A8114" s="7"/>
    </row>
    <row r="8115" spans="1:1">
      <c r="A8115" s="7"/>
    </row>
    <row r="8116" spans="1:1">
      <c r="A8116" s="7"/>
    </row>
    <row r="8117" spans="1:1">
      <c r="A8117" s="7"/>
    </row>
    <row r="8118" spans="1:1">
      <c r="A8118" s="7"/>
    </row>
    <row r="8119" spans="1:1">
      <c r="A8119" s="7"/>
    </row>
    <row r="8120" spans="1:1">
      <c r="A8120" s="7"/>
    </row>
    <row r="8121" spans="1:1">
      <c r="A8121" s="7"/>
    </row>
    <row r="8122" spans="1:1">
      <c r="A8122" s="7"/>
    </row>
    <row r="8123" spans="1:1">
      <c r="A8123" s="7"/>
    </row>
    <row r="8124" spans="1:1">
      <c r="A8124" s="7"/>
    </row>
    <row r="8125" spans="1:1">
      <c r="A8125" s="7"/>
    </row>
    <row r="8126" spans="1:1">
      <c r="A8126" s="7"/>
    </row>
    <row r="8127" spans="1:1">
      <c r="A8127" s="7"/>
    </row>
    <row r="8128" spans="1:1">
      <c r="A8128" s="7"/>
    </row>
    <row r="8129" spans="1:1">
      <c r="A8129" s="7"/>
    </row>
    <row r="8130" spans="1:1">
      <c r="A8130" s="7"/>
    </row>
    <row r="8131" spans="1:1">
      <c r="A8131" s="7"/>
    </row>
    <row r="8132" spans="1:1">
      <c r="A8132" s="7"/>
    </row>
    <row r="8133" spans="1:1">
      <c r="A8133" s="7"/>
    </row>
    <row r="8134" spans="1:1">
      <c r="A8134" s="7"/>
    </row>
    <row r="8135" spans="1:1">
      <c r="A8135" s="7"/>
    </row>
    <row r="8136" spans="1:1">
      <c r="A8136" s="7"/>
    </row>
    <row r="8137" spans="1:1">
      <c r="A8137" s="7"/>
    </row>
    <row r="8138" spans="1:1">
      <c r="A8138" s="7"/>
    </row>
    <row r="8139" spans="1:1">
      <c r="A8139" s="7"/>
    </row>
    <row r="8140" spans="1:1">
      <c r="A8140" s="7"/>
    </row>
    <row r="8141" spans="1:1">
      <c r="A8141" s="7"/>
    </row>
    <row r="8142" spans="1:1">
      <c r="A8142" s="7"/>
    </row>
    <row r="8143" spans="1:1">
      <c r="A8143" s="7"/>
    </row>
    <row r="8144" spans="1:1">
      <c r="A8144" s="7"/>
    </row>
    <row r="8145" spans="1:1">
      <c r="A8145" s="7"/>
    </row>
    <row r="8146" spans="1:1">
      <c r="A8146" s="7"/>
    </row>
    <row r="8147" spans="1:1">
      <c r="A8147" s="7"/>
    </row>
    <row r="8148" spans="1:1">
      <c r="A8148" s="7"/>
    </row>
    <row r="8149" spans="1:1">
      <c r="A8149" s="7"/>
    </row>
    <row r="8150" spans="1:1">
      <c r="A8150" s="7"/>
    </row>
    <row r="8151" spans="1:1">
      <c r="A8151" s="7"/>
    </row>
    <row r="8152" spans="1:1">
      <c r="A8152" s="7"/>
    </row>
    <row r="8153" spans="1:1">
      <c r="A8153" s="7"/>
    </row>
    <row r="8154" spans="1:1">
      <c r="A8154" s="7"/>
    </row>
    <row r="8155" spans="1:1">
      <c r="A8155" s="7"/>
    </row>
    <row r="8156" spans="1:1">
      <c r="A8156" s="7"/>
    </row>
    <row r="8157" spans="1:1">
      <c r="A8157" s="7"/>
    </row>
    <row r="8158" spans="1:1">
      <c r="A8158" s="7"/>
    </row>
    <row r="8159" spans="1:1">
      <c r="A8159" s="7"/>
    </row>
    <row r="8160" spans="1:1">
      <c r="A8160" s="7"/>
    </row>
    <row r="8161" spans="1:1">
      <c r="A8161" s="7"/>
    </row>
    <row r="8162" spans="1:1">
      <c r="A8162" s="7"/>
    </row>
    <row r="8163" spans="1:1">
      <c r="A8163" s="7"/>
    </row>
    <row r="8164" spans="1:1">
      <c r="A8164" s="7"/>
    </row>
    <row r="8165" spans="1:1">
      <c r="A8165" s="7"/>
    </row>
    <row r="8166" spans="1:1">
      <c r="A8166" s="7"/>
    </row>
    <row r="8167" spans="1:1">
      <c r="A8167" s="7"/>
    </row>
    <row r="8168" spans="1:1">
      <c r="A8168" s="7"/>
    </row>
    <row r="8169" spans="1:1">
      <c r="A8169" s="7"/>
    </row>
    <row r="8170" spans="1:1">
      <c r="A8170" s="7"/>
    </row>
    <row r="8171" spans="1:1">
      <c r="A8171" s="7"/>
    </row>
    <row r="8172" spans="1:1">
      <c r="A8172" s="7"/>
    </row>
    <row r="8173" spans="1:1">
      <c r="A8173" s="7"/>
    </row>
    <row r="8174" spans="1:1">
      <c r="A8174" s="7"/>
    </row>
    <row r="8175" spans="1:1">
      <c r="A8175" s="7"/>
    </row>
    <row r="8176" spans="1:1">
      <c r="A8176" s="7"/>
    </row>
    <row r="8177" spans="1:1">
      <c r="A8177" s="7"/>
    </row>
    <row r="8178" spans="1:1">
      <c r="A8178" s="7"/>
    </row>
    <row r="8179" spans="1:1">
      <c r="A8179" s="7"/>
    </row>
    <row r="8180" spans="1:1">
      <c r="A8180" s="7"/>
    </row>
    <row r="8181" spans="1:1">
      <c r="A8181" s="7"/>
    </row>
    <row r="8182" spans="1:1">
      <c r="A8182" s="7"/>
    </row>
    <row r="8183" spans="1:1">
      <c r="A8183" s="7"/>
    </row>
    <row r="8184" spans="1:1">
      <c r="A8184" s="7"/>
    </row>
    <row r="8185" spans="1:1">
      <c r="A8185" s="7"/>
    </row>
    <row r="8186" spans="1:1">
      <c r="A8186" s="7"/>
    </row>
    <row r="8187" spans="1:1">
      <c r="A8187" s="7"/>
    </row>
    <row r="8188" spans="1:1">
      <c r="A8188" s="7"/>
    </row>
    <row r="8189" spans="1:1">
      <c r="A8189" s="7"/>
    </row>
    <row r="8190" spans="1:1">
      <c r="A8190" s="7"/>
    </row>
    <row r="8191" spans="1:1">
      <c r="A8191" s="7"/>
    </row>
    <row r="8192" spans="1:1">
      <c r="A8192" s="7"/>
    </row>
    <row r="8193" spans="1:1">
      <c r="A8193" s="7"/>
    </row>
    <row r="8194" spans="1:1">
      <c r="A8194" s="7"/>
    </row>
    <row r="8195" spans="1:1">
      <c r="A8195" s="7"/>
    </row>
    <row r="8196" spans="1:1">
      <c r="A8196" s="7"/>
    </row>
    <row r="8197" spans="1:1">
      <c r="A8197" s="7"/>
    </row>
    <row r="8198" spans="1:1">
      <c r="A8198" s="7"/>
    </row>
    <row r="8199" spans="1:1">
      <c r="A8199" s="7"/>
    </row>
    <row r="8200" spans="1:1">
      <c r="A8200" s="7"/>
    </row>
    <row r="8201" spans="1:1">
      <c r="A8201" s="7"/>
    </row>
    <row r="8202" spans="1:1">
      <c r="A8202" s="7"/>
    </row>
    <row r="8203" spans="1:1">
      <c r="A8203" s="7"/>
    </row>
    <row r="8204" spans="1:1">
      <c r="A8204" s="7"/>
    </row>
    <row r="8205" spans="1:1">
      <c r="A8205" s="7"/>
    </row>
    <row r="8206" spans="1:1">
      <c r="A8206" s="7"/>
    </row>
    <row r="8207" spans="1:1">
      <c r="A8207" s="7"/>
    </row>
    <row r="8208" spans="1:1">
      <c r="A8208" s="7"/>
    </row>
    <row r="8209" spans="1:1">
      <c r="A8209" s="7"/>
    </row>
    <row r="8210" spans="1:1">
      <c r="A8210" s="7"/>
    </row>
    <row r="8211" spans="1:1">
      <c r="A8211" s="7"/>
    </row>
    <row r="8212" spans="1:1">
      <c r="A8212" s="7"/>
    </row>
    <row r="8213" spans="1:1">
      <c r="A8213" s="7"/>
    </row>
    <row r="8214" spans="1:1">
      <c r="A8214" s="7"/>
    </row>
    <row r="8215" spans="1:1">
      <c r="A8215" s="7"/>
    </row>
    <row r="8216" spans="1:1">
      <c r="A8216" s="7"/>
    </row>
    <row r="8217" spans="1:1">
      <c r="A8217" s="7"/>
    </row>
    <row r="8218" spans="1:1">
      <c r="A8218" s="7"/>
    </row>
    <row r="8219" spans="1:1">
      <c r="A8219" s="7"/>
    </row>
    <row r="8220" spans="1:1">
      <c r="A8220" s="7"/>
    </row>
    <row r="8221" spans="1:1">
      <c r="A8221" s="7"/>
    </row>
    <row r="8222" spans="1:1">
      <c r="A8222" s="7"/>
    </row>
    <row r="8223" spans="1:1">
      <c r="A8223" s="7"/>
    </row>
    <row r="8224" spans="1:1">
      <c r="A8224" s="7"/>
    </row>
    <row r="8225" spans="1:1">
      <c r="A8225" s="7"/>
    </row>
    <row r="8226" spans="1:1">
      <c r="A8226" s="7"/>
    </row>
    <row r="8227" spans="1:1">
      <c r="A8227" s="7"/>
    </row>
    <row r="8228" spans="1:1">
      <c r="A8228" s="7"/>
    </row>
    <row r="8229" spans="1:1">
      <c r="A8229" s="7"/>
    </row>
    <row r="8230" spans="1:1">
      <c r="A8230" s="7"/>
    </row>
    <row r="8231" spans="1:1">
      <c r="A8231" s="7"/>
    </row>
    <row r="8232" spans="1:1">
      <c r="A8232" s="7"/>
    </row>
    <row r="8233" spans="1:1">
      <c r="A8233" s="7"/>
    </row>
    <row r="8234" spans="1:1">
      <c r="A8234" s="7"/>
    </row>
    <row r="8235" spans="1:1">
      <c r="A8235" s="7"/>
    </row>
    <row r="8236" spans="1:1">
      <c r="A8236" s="7"/>
    </row>
    <row r="8237" spans="1:1">
      <c r="A8237" s="7"/>
    </row>
    <row r="8238" spans="1:1">
      <c r="A8238" s="7"/>
    </row>
    <row r="8239" spans="1:1">
      <c r="A8239" s="7"/>
    </row>
    <row r="8240" spans="1:1">
      <c r="A8240" s="7"/>
    </row>
    <row r="8241" spans="1:1">
      <c r="A8241" s="7"/>
    </row>
    <row r="8242" spans="1:1">
      <c r="A8242" s="7"/>
    </row>
    <row r="8243" spans="1:1">
      <c r="A8243" s="7"/>
    </row>
    <row r="8244" spans="1:1">
      <c r="A8244" s="7"/>
    </row>
    <row r="8245" spans="1:1">
      <c r="A8245" s="7"/>
    </row>
    <row r="8246" spans="1:1">
      <c r="A8246" s="7"/>
    </row>
    <row r="8247" spans="1:1">
      <c r="A8247" s="7"/>
    </row>
    <row r="8248" spans="1:1">
      <c r="A8248" s="7"/>
    </row>
    <row r="8249" spans="1:1">
      <c r="A8249" s="7"/>
    </row>
    <row r="8250" spans="1:1">
      <c r="A8250" s="7"/>
    </row>
    <row r="8251" spans="1:1">
      <c r="A8251" s="7"/>
    </row>
    <row r="8252" spans="1:1">
      <c r="A8252" s="7"/>
    </row>
    <row r="8253" spans="1:1">
      <c r="A8253" s="7"/>
    </row>
    <row r="8254" spans="1:1">
      <c r="A8254" s="7"/>
    </row>
    <row r="8255" spans="1:1">
      <c r="A8255" s="7"/>
    </row>
    <row r="8256" spans="1:1">
      <c r="A8256" s="7"/>
    </row>
    <row r="8257" spans="1:1">
      <c r="A8257" s="7"/>
    </row>
    <row r="8258" spans="1:1">
      <c r="A8258" s="7"/>
    </row>
    <row r="8259" spans="1:1">
      <c r="A8259" s="7"/>
    </row>
    <row r="8260" spans="1:1">
      <c r="A8260" s="7"/>
    </row>
    <row r="8261" spans="1:1">
      <c r="A8261" s="7"/>
    </row>
    <row r="8262" spans="1:1">
      <c r="A8262" s="7"/>
    </row>
    <row r="8263" spans="1:1">
      <c r="A8263" s="7"/>
    </row>
    <row r="8264" spans="1:1">
      <c r="A8264" s="7"/>
    </row>
    <row r="8265" spans="1:1">
      <c r="A8265" s="7"/>
    </row>
    <row r="8266" spans="1:1">
      <c r="A8266" s="7"/>
    </row>
    <row r="8267" spans="1:1">
      <c r="A8267" s="7"/>
    </row>
    <row r="8268" spans="1:1">
      <c r="A8268" s="7"/>
    </row>
    <row r="8269" spans="1:1">
      <c r="A8269" s="7"/>
    </row>
    <row r="8270" spans="1:1">
      <c r="A8270" s="7"/>
    </row>
    <row r="8271" spans="1:1">
      <c r="A8271" s="7"/>
    </row>
    <row r="8272" spans="1:1">
      <c r="A8272" s="7"/>
    </row>
    <row r="8273" spans="1:1">
      <c r="A8273" s="7"/>
    </row>
    <row r="8274" spans="1:1">
      <c r="A8274" s="7"/>
    </row>
    <row r="8275" spans="1:1">
      <c r="A8275" s="7"/>
    </row>
    <row r="8276" spans="1:1">
      <c r="A8276" s="7"/>
    </row>
    <row r="8277" spans="1:1">
      <c r="A8277" s="7"/>
    </row>
    <row r="8278" spans="1:1">
      <c r="A8278" s="7"/>
    </row>
    <row r="8279" spans="1:1">
      <c r="A8279" s="7"/>
    </row>
    <row r="8280" spans="1:1">
      <c r="A8280" s="7"/>
    </row>
    <row r="8281" spans="1:1">
      <c r="A8281" s="7"/>
    </row>
    <row r="8282" spans="1:1">
      <c r="A8282" s="7"/>
    </row>
    <row r="8283" spans="1:1">
      <c r="A8283" s="7"/>
    </row>
    <row r="8284" spans="1:1">
      <c r="A8284" s="7"/>
    </row>
    <row r="8285" spans="1:1">
      <c r="A8285" s="7"/>
    </row>
    <row r="8286" spans="1:1">
      <c r="A8286" s="7"/>
    </row>
    <row r="8287" spans="1:1">
      <c r="A8287" s="7"/>
    </row>
    <row r="8288" spans="1:1">
      <c r="A8288" s="7"/>
    </row>
    <row r="8289" spans="1:1">
      <c r="A8289" s="7"/>
    </row>
    <row r="8290" spans="1:1">
      <c r="A8290" s="7"/>
    </row>
    <row r="8291" spans="1:1">
      <c r="A8291" s="7"/>
    </row>
    <row r="8292" spans="1:1">
      <c r="A8292" s="7"/>
    </row>
    <row r="8293" spans="1:1">
      <c r="A8293" s="7"/>
    </row>
    <row r="8294" spans="1:1">
      <c r="A8294" s="7"/>
    </row>
    <row r="8295" spans="1:1">
      <c r="A8295" s="7"/>
    </row>
    <row r="8296" spans="1:1">
      <c r="A8296" s="7"/>
    </row>
    <row r="8297" spans="1:1">
      <c r="A8297" s="7"/>
    </row>
    <row r="8298" spans="1:1">
      <c r="A8298" s="7"/>
    </row>
    <row r="8299" spans="1:1">
      <c r="A8299" s="7"/>
    </row>
    <row r="8300" spans="1:1">
      <c r="A8300" s="7"/>
    </row>
    <row r="8301" spans="1:1">
      <c r="A8301" s="7"/>
    </row>
    <row r="8302" spans="1:1">
      <c r="A8302" s="7"/>
    </row>
    <row r="8303" spans="1:1">
      <c r="A8303" s="7"/>
    </row>
    <row r="8304" spans="1:1">
      <c r="A8304" s="7"/>
    </row>
    <row r="8305" spans="1:1">
      <c r="A8305" s="7"/>
    </row>
    <row r="8306" spans="1:1">
      <c r="A8306" s="7"/>
    </row>
    <row r="8307" spans="1:1">
      <c r="A8307" s="7"/>
    </row>
    <row r="8308" spans="1:1">
      <c r="A8308" s="7"/>
    </row>
    <row r="8309" spans="1:1">
      <c r="A8309" s="7"/>
    </row>
    <row r="8310" spans="1:1">
      <c r="A8310" s="7"/>
    </row>
    <row r="8311" spans="1:1">
      <c r="A8311" s="7"/>
    </row>
    <row r="8312" spans="1:1">
      <c r="A8312" s="7"/>
    </row>
    <row r="8313" spans="1:1">
      <c r="A8313" s="7"/>
    </row>
    <row r="8314" spans="1:1">
      <c r="A8314" s="7"/>
    </row>
    <row r="8315" spans="1:1">
      <c r="A8315" s="7"/>
    </row>
    <row r="8316" spans="1:1">
      <c r="A8316" s="7"/>
    </row>
    <row r="8317" spans="1:1">
      <c r="A8317" s="7"/>
    </row>
    <row r="8318" spans="1:1">
      <c r="A8318" s="7"/>
    </row>
    <row r="8319" spans="1:1">
      <c r="A8319" s="7"/>
    </row>
    <row r="8320" spans="1:1">
      <c r="A8320" s="7"/>
    </row>
    <row r="8321" spans="1:1">
      <c r="A8321" s="7"/>
    </row>
    <row r="8322" spans="1:1">
      <c r="A8322" s="7"/>
    </row>
    <row r="8323" spans="1:1">
      <c r="A8323" s="7"/>
    </row>
    <row r="8324" spans="1:1">
      <c r="A8324" s="7"/>
    </row>
    <row r="8325" spans="1:1">
      <c r="A8325" s="7"/>
    </row>
    <row r="8326" spans="1:1">
      <c r="A8326" s="7"/>
    </row>
    <row r="8327" spans="1:1">
      <c r="A8327" s="7"/>
    </row>
    <row r="8328" spans="1:1">
      <c r="A8328" s="7"/>
    </row>
    <row r="8329" spans="1:1">
      <c r="A8329" s="7"/>
    </row>
    <row r="8330" spans="1:1">
      <c r="A8330" s="7"/>
    </row>
    <row r="8331" spans="1:1">
      <c r="A8331" s="7"/>
    </row>
    <row r="8332" spans="1:1">
      <c r="A8332" s="7"/>
    </row>
    <row r="8333" spans="1:1">
      <c r="A8333" s="7"/>
    </row>
    <row r="8334" spans="1:1">
      <c r="A8334" s="7"/>
    </row>
    <row r="8335" spans="1:1">
      <c r="A8335" s="7"/>
    </row>
    <row r="8336" spans="1:1">
      <c r="A8336" s="7"/>
    </row>
    <row r="8337" spans="1:1">
      <c r="A8337" s="7"/>
    </row>
    <row r="8338" spans="1:1">
      <c r="A8338" s="7"/>
    </row>
    <row r="8339" spans="1:1">
      <c r="A8339" s="7"/>
    </row>
    <row r="8340" spans="1:1">
      <c r="A8340" s="7"/>
    </row>
    <row r="8341" spans="1:1">
      <c r="A8341" s="7"/>
    </row>
    <row r="8342" spans="1:1">
      <c r="A8342" s="7"/>
    </row>
    <row r="8343" spans="1:1">
      <c r="A8343" s="7"/>
    </row>
    <row r="8344" spans="1:1">
      <c r="A8344" s="7"/>
    </row>
    <row r="8345" spans="1:1">
      <c r="A8345" s="7"/>
    </row>
    <row r="8346" spans="1:1">
      <c r="A8346" s="7"/>
    </row>
    <row r="8347" spans="1:1">
      <c r="A8347" s="7"/>
    </row>
    <row r="8348" spans="1:1">
      <c r="A8348" s="7"/>
    </row>
    <row r="8349" spans="1:1">
      <c r="A8349" s="7"/>
    </row>
    <row r="8350" spans="1:1">
      <c r="A8350" s="7"/>
    </row>
    <row r="8351" spans="1:1">
      <c r="A8351" s="7"/>
    </row>
    <row r="8352" spans="1:1">
      <c r="A8352" s="7"/>
    </row>
    <row r="8353" spans="1:1">
      <c r="A8353" s="7"/>
    </row>
    <row r="8354" spans="1:1">
      <c r="A8354" s="7"/>
    </row>
    <row r="8355" spans="1:1">
      <c r="A8355" s="7"/>
    </row>
    <row r="8356" spans="1:1">
      <c r="A8356" s="7"/>
    </row>
    <row r="8357" spans="1:1">
      <c r="A8357" s="7"/>
    </row>
    <row r="8358" spans="1:1">
      <c r="A8358" s="7"/>
    </row>
    <row r="8359" spans="1:1">
      <c r="A8359" s="7"/>
    </row>
    <row r="8360" spans="1:1">
      <c r="A8360" s="7"/>
    </row>
    <row r="8361" spans="1:1">
      <c r="A8361" s="7"/>
    </row>
    <row r="8362" spans="1:1">
      <c r="A8362" s="7"/>
    </row>
    <row r="8363" spans="1:1">
      <c r="A8363" s="7"/>
    </row>
    <row r="8364" spans="1:1">
      <c r="A8364" s="7"/>
    </row>
    <row r="8365" spans="1:1">
      <c r="A8365" s="7"/>
    </row>
    <row r="8366" spans="1:1">
      <c r="A8366" s="7"/>
    </row>
    <row r="8367" spans="1:1">
      <c r="A8367" s="7"/>
    </row>
    <row r="8368" spans="1:1">
      <c r="A8368" s="7"/>
    </row>
    <row r="8369" spans="1:1">
      <c r="A8369" s="7"/>
    </row>
    <row r="8370" spans="1:1">
      <c r="A8370" s="7"/>
    </row>
    <row r="8371" spans="1:1">
      <c r="A8371" s="7"/>
    </row>
    <row r="8372" spans="1:1">
      <c r="A8372" s="7"/>
    </row>
    <row r="8373" spans="1:1">
      <c r="A8373" s="7"/>
    </row>
    <row r="8374" spans="1:1">
      <c r="A8374" s="7"/>
    </row>
    <row r="8375" spans="1:1">
      <c r="A8375" s="7"/>
    </row>
    <row r="8376" spans="1:1">
      <c r="A8376" s="7"/>
    </row>
    <row r="8377" spans="1:1">
      <c r="A8377" s="7"/>
    </row>
    <row r="8378" spans="1:1">
      <c r="A8378" s="7"/>
    </row>
    <row r="8379" spans="1:1">
      <c r="A8379" s="7"/>
    </row>
    <row r="8380" spans="1:1">
      <c r="A8380" s="7"/>
    </row>
    <row r="8381" spans="1:1">
      <c r="A8381" s="7"/>
    </row>
    <row r="8382" spans="1:1">
      <c r="A8382" s="7"/>
    </row>
    <row r="8383" spans="1:1">
      <c r="A8383" s="7"/>
    </row>
    <row r="8384" spans="1:1">
      <c r="A8384" s="7"/>
    </row>
    <row r="8385" spans="1:1">
      <c r="A8385" s="7"/>
    </row>
    <row r="8386" spans="1:1">
      <c r="A8386" s="7"/>
    </row>
    <row r="8387" spans="1:1">
      <c r="A8387" s="7"/>
    </row>
    <row r="8388" spans="1:1">
      <c r="A8388" s="7"/>
    </row>
    <row r="8389" spans="1:1">
      <c r="A8389" s="7"/>
    </row>
    <row r="8390" spans="1:1">
      <c r="A8390" s="7"/>
    </row>
    <row r="8391" spans="1:1">
      <c r="A8391" s="7"/>
    </row>
    <row r="8392" spans="1:1">
      <c r="A8392" s="7"/>
    </row>
    <row r="8393" spans="1:1">
      <c r="A8393" s="7"/>
    </row>
    <row r="8394" spans="1:1">
      <c r="A8394" s="7"/>
    </row>
    <row r="8395" spans="1:1">
      <c r="A8395" s="7"/>
    </row>
    <row r="8396" spans="1:1">
      <c r="A8396" s="7"/>
    </row>
    <row r="8397" spans="1:1">
      <c r="A8397" s="7"/>
    </row>
    <row r="8398" spans="1:1">
      <c r="A8398" s="7"/>
    </row>
    <row r="8399" spans="1:1">
      <c r="A8399" s="7"/>
    </row>
    <row r="8400" spans="1:1">
      <c r="A8400" s="7"/>
    </row>
    <row r="8401" spans="1:1">
      <c r="A8401" s="7"/>
    </row>
    <row r="8402" spans="1:1">
      <c r="A8402" s="7"/>
    </row>
    <row r="8403" spans="1:1">
      <c r="A8403" s="7"/>
    </row>
    <row r="8404" spans="1:1">
      <c r="A8404" s="7"/>
    </row>
    <row r="8405" spans="1:1">
      <c r="A8405" s="7"/>
    </row>
    <row r="8406" spans="1:1">
      <c r="A8406" s="7"/>
    </row>
    <row r="8407" spans="1:1">
      <c r="A8407" s="7"/>
    </row>
    <row r="8408" spans="1:1">
      <c r="A8408" s="7"/>
    </row>
    <row r="8409" spans="1:1">
      <c r="A8409" s="7"/>
    </row>
    <row r="8410" spans="1:1">
      <c r="A8410" s="7"/>
    </row>
    <row r="8411" spans="1:1">
      <c r="A8411" s="7"/>
    </row>
    <row r="8412" spans="1:1">
      <c r="A8412" s="7"/>
    </row>
    <row r="8413" spans="1:1">
      <c r="A8413" s="7"/>
    </row>
    <row r="8414" spans="1:1">
      <c r="A8414" s="7"/>
    </row>
    <row r="8415" spans="1:1">
      <c r="A8415" s="7"/>
    </row>
    <row r="8416" spans="1:1">
      <c r="A8416" s="7"/>
    </row>
    <row r="8417" spans="1:1">
      <c r="A8417" s="7"/>
    </row>
    <row r="8418" spans="1:1">
      <c r="A8418" s="7"/>
    </row>
    <row r="8419" spans="1:1">
      <c r="A8419" s="7"/>
    </row>
    <row r="8420" spans="1:1">
      <c r="A8420" s="7"/>
    </row>
    <row r="8421" spans="1:1">
      <c r="A8421" s="7"/>
    </row>
    <row r="8422" spans="1:1">
      <c r="A8422" s="7"/>
    </row>
    <row r="8423" spans="1:1">
      <c r="A8423" s="7"/>
    </row>
    <row r="8424" spans="1:1">
      <c r="A8424" s="7"/>
    </row>
    <row r="8425" spans="1:1">
      <c r="A8425" s="7"/>
    </row>
    <row r="8426" spans="1:1">
      <c r="A8426" s="7"/>
    </row>
    <row r="8427" spans="1:1">
      <c r="A8427" s="7"/>
    </row>
    <row r="8428" spans="1:1">
      <c r="A8428" s="7"/>
    </row>
    <row r="8429" spans="1:1">
      <c r="A8429" s="7"/>
    </row>
    <row r="8430" spans="1:1">
      <c r="A8430" s="7"/>
    </row>
    <row r="8431" spans="1:1">
      <c r="A8431" s="7"/>
    </row>
    <row r="8432" spans="1:1">
      <c r="A8432" s="7"/>
    </row>
    <row r="8433" spans="1:1">
      <c r="A8433" s="7"/>
    </row>
    <row r="8434" spans="1:1">
      <c r="A8434" s="7"/>
    </row>
    <row r="8435" spans="1:1">
      <c r="A8435" s="7"/>
    </row>
    <row r="8436" spans="1:1">
      <c r="A8436" s="7"/>
    </row>
    <row r="8437" spans="1:1">
      <c r="A8437" s="7"/>
    </row>
    <row r="8438" spans="1:1">
      <c r="A8438" s="7"/>
    </row>
    <row r="8439" spans="1:1">
      <c r="A8439" s="7"/>
    </row>
    <row r="8440" spans="1:1">
      <c r="A8440" s="7"/>
    </row>
    <row r="8441" spans="1:1">
      <c r="A8441" s="7"/>
    </row>
    <row r="8442" spans="1:1">
      <c r="A8442" s="7"/>
    </row>
    <row r="8443" spans="1:1">
      <c r="A8443" s="7"/>
    </row>
    <row r="8444" spans="1:1">
      <c r="A8444" s="7"/>
    </row>
    <row r="8445" spans="1:1">
      <c r="A8445" s="7"/>
    </row>
    <row r="8446" spans="1:1">
      <c r="A8446" s="7"/>
    </row>
    <row r="8447" spans="1:1">
      <c r="A8447" s="7"/>
    </row>
    <row r="8448" spans="1:1">
      <c r="A8448" s="7"/>
    </row>
    <row r="8449" spans="1:1">
      <c r="A8449" s="7"/>
    </row>
    <row r="8450" spans="1:1">
      <c r="A8450" s="7"/>
    </row>
    <row r="8451" spans="1:1">
      <c r="A8451" s="7"/>
    </row>
    <row r="8452" spans="1:1">
      <c r="A8452" s="7"/>
    </row>
    <row r="8453" spans="1:1">
      <c r="A8453" s="7"/>
    </row>
    <row r="8454" spans="1:1">
      <c r="A8454" s="7"/>
    </row>
    <row r="8455" spans="1:1">
      <c r="A8455" s="7"/>
    </row>
    <row r="8456" spans="1:1">
      <c r="A8456" s="7"/>
    </row>
    <row r="8457" spans="1:1">
      <c r="A8457" s="7"/>
    </row>
    <row r="8458" spans="1:1">
      <c r="A8458" s="7"/>
    </row>
    <row r="8459" spans="1:1">
      <c r="A8459" s="7"/>
    </row>
    <row r="8460" spans="1:1">
      <c r="A8460" s="7"/>
    </row>
    <row r="8461" spans="1:1">
      <c r="A8461" s="7"/>
    </row>
    <row r="8462" spans="1:1">
      <c r="A8462" s="7"/>
    </row>
    <row r="8463" spans="1:1">
      <c r="A8463" s="7"/>
    </row>
    <row r="8464" spans="1:1">
      <c r="A8464" s="7"/>
    </row>
    <row r="8465" spans="1:1">
      <c r="A8465" s="7"/>
    </row>
    <row r="8466" spans="1:1">
      <c r="A8466" s="7"/>
    </row>
    <row r="8467" spans="1:1">
      <c r="A8467" s="7"/>
    </row>
    <row r="8468" spans="1:1">
      <c r="A8468" s="7"/>
    </row>
    <row r="8469" spans="1:1">
      <c r="A8469" s="7"/>
    </row>
    <row r="8470" spans="1:1">
      <c r="A8470" s="7"/>
    </row>
    <row r="8471" spans="1:1">
      <c r="A8471" s="7"/>
    </row>
    <row r="8472" spans="1:1">
      <c r="A8472" s="7"/>
    </row>
    <row r="8473" spans="1:1">
      <c r="A8473" s="7"/>
    </row>
    <row r="8474" spans="1:1">
      <c r="A8474" s="7"/>
    </row>
    <row r="8475" spans="1:1">
      <c r="A8475" s="7"/>
    </row>
    <row r="8476" spans="1:1">
      <c r="A8476" s="7"/>
    </row>
    <row r="8477" spans="1:1">
      <c r="A8477" s="7"/>
    </row>
    <row r="8478" spans="1:1">
      <c r="A8478" s="7"/>
    </row>
    <row r="8479" spans="1:1">
      <c r="A8479" s="7"/>
    </row>
    <row r="8480" spans="1:1">
      <c r="A8480" s="7"/>
    </row>
    <row r="8481" spans="1:1">
      <c r="A8481" s="7"/>
    </row>
    <row r="8482" spans="1:1">
      <c r="A8482" s="7"/>
    </row>
    <row r="8483" spans="1:1">
      <c r="A8483" s="7"/>
    </row>
    <row r="8484" spans="1:1">
      <c r="A8484" s="7"/>
    </row>
    <row r="8485" spans="1:1">
      <c r="A8485" s="7"/>
    </row>
    <row r="8486" spans="1:1">
      <c r="A8486" s="7"/>
    </row>
    <row r="8487" spans="1:1">
      <c r="A8487" s="7"/>
    </row>
    <row r="8488" spans="1:1">
      <c r="A8488" s="7"/>
    </row>
    <row r="8489" spans="1:1">
      <c r="A8489" s="7"/>
    </row>
    <row r="8490" spans="1:1">
      <c r="A8490" s="7"/>
    </row>
    <row r="8491" spans="1:1">
      <c r="A8491" s="7"/>
    </row>
    <row r="8492" spans="1:1">
      <c r="A8492" s="7"/>
    </row>
    <row r="8493" spans="1:1">
      <c r="A8493" s="7"/>
    </row>
    <row r="8494" spans="1:1">
      <c r="A8494" s="7"/>
    </row>
    <row r="8495" spans="1:1">
      <c r="A8495" s="7"/>
    </row>
    <row r="8496" spans="1:1">
      <c r="A8496" s="7"/>
    </row>
    <row r="8497" spans="1:1">
      <c r="A8497" s="7"/>
    </row>
    <row r="8498" spans="1:1">
      <c r="A8498" s="7"/>
    </row>
    <row r="8499" spans="1:1">
      <c r="A8499" s="7"/>
    </row>
    <row r="8500" spans="1:1">
      <c r="A8500" s="7"/>
    </row>
    <row r="8501" spans="1:1">
      <c r="A8501" s="7"/>
    </row>
    <row r="8502" spans="1:1">
      <c r="A8502" s="7"/>
    </row>
    <row r="8503" spans="1:1">
      <c r="A8503" s="7"/>
    </row>
    <row r="8504" spans="1:1">
      <c r="A8504" s="7"/>
    </row>
    <row r="8505" spans="1:1">
      <c r="A8505" s="7"/>
    </row>
    <row r="8506" spans="1:1">
      <c r="A8506" s="7"/>
    </row>
    <row r="8507" spans="1:1">
      <c r="A8507" s="7"/>
    </row>
    <row r="8508" spans="1:1">
      <c r="A8508" s="7"/>
    </row>
    <row r="8509" spans="1:1">
      <c r="A8509" s="7"/>
    </row>
    <row r="8510" spans="1:1">
      <c r="A8510" s="7"/>
    </row>
    <row r="8511" spans="1:1">
      <c r="A8511" s="7"/>
    </row>
    <row r="8512" spans="1:1">
      <c r="A8512" s="7"/>
    </row>
    <row r="8513" spans="1:1">
      <c r="A8513" s="7"/>
    </row>
    <row r="8514" spans="1:1">
      <c r="A8514" s="7"/>
    </row>
    <row r="8515" spans="1:1">
      <c r="A8515" s="7"/>
    </row>
    <row r="8516" spans="1:1">
      <c r="A8516" s="7"/>
    </row>
    <row r="8517" spans="1:1">
      <c r="A8517" s="7"/>
    </row>
    <row r="8518" spans="1:1">
      <c r="A8518" s="7"/>
    </row>
    <row r="8519" spans="1:1">
      <c r="A8519" s="7"/>
    </row>
    <row r="8520" spans="1:1">
      <c r="A8520" s="7"/>
    </row>
    <row r="8521" spans="1:1">
      <c r="A8521" s="7"/>
    </row>
    <row r="8522" spans="1:1">
      <c r="A8522" s="7"/>
    </row>
    <row r="8523" spans="1:1">
      <c r="A8523" s="7"/>
    </row>
    <row r="8524" spans="1:1">
      <c r="A8524" s="7"/>
    </row>
    <row r="8525" spans="1:1">
      <c r="A8525" s="7"/>
    </row>
    <row r="8526" spans="1:1">
      <c r="A8526" s="7"/>
    </row>
    <row r="8527" spans="1:1">
      <c r="A8527" s="7"/>
    </row>
    <row r="8528" spans="1:1">
      <c r="A8528" s="7"/>
    </row>
    <row r="8529" spans="1:1">
      <c r="A8529" s="7"/>
    </row>
    <row r="8530" spans="1:1">
      <c r="A8530" s="7"/>
    </row>
    <row r="8531" spans="1:1">
      <c r="A8531" s="7"/>
    </row>
    <row r="8532" spans="1:1">
      <c r="A8532" s="7"/>
    </row>
    <row r="8533" spans="1:1">
      <c r="A8533" s="7"/>
    </row>
    <row r="8534" spans="1:1">
      <c r="A8534" s="7"/>
    </row>
    <row r="8535" spans="1:1">
      <c r="A8535" s="7"/>
    </row>
    <row r="8536" spans="1:1">
      <c r="A8536" s="7"/>
    </row>
    <row r="8537" spans="1:1">
      <c r="A8537" s="7"/>
    </row>
    <row r="8538" spans="1:1">
      <c r="A8538" s="7"/>
    </row>
    <row r="8539" spans="1:1">
      <c r="A8539" s="7"/>
    </row>
    <row r="8540" spans="1:1">
      <c r="A8540" s="7"/>
    </row>
    <row r="8541" spans="1:1">
      <c r="A8541" s="7"/>
    </row>
    <row r="8542" spans="1:1">
      <c r="A8542" s="7"/>
    </row>
    <row r="8543" spans="1:1">
      <c r="A8543" s="7"/>
    </row>
    <row r="8544" spans="1:1">
      <c r="A8544" s="7"/>
    </row>
    <row r="8545" spans="1:1">
      <c r="A8545" s="7"/>
    </row>
    <row r="8546" spans="1:1">
      <c r="A8546" s="7"/>
    </row>
    <row r="8547" spans="1:1">
      <c r="A8547" s="7"/>
    </row>
    <row r="8548" spans="1:1">
      <c r="A8548" s="7"/>
    </row>
    <row r="8549" spans="1:1">
      <c r="A8549" s="7"/>
    </row>
    <row r="8550" spans="1:1">
      <c r="A8550" s="7"/>
    </row>
    <row r="8551" spans="1:1">
      <c r="A8551" s="7"/>
    </row>
    <row r="8552" spans="1:1">
      <c r="A8552" s="7"/>
    </row>
    <row r="8553" spans="1:1">
      <c r="A8553" s="7"/>
    </row>
    <row r="8554" spans="1:1">
      <c r="A8554" s="7"/>
    </row>
    <row r="8555" spans="1:1">
      <c r="A8555" s="7"/>
    </row>
    <row r="8556" spans="1:1">
      <c r="A8556" s="7"/>
    </row>
    <row r="8557" spans="1:1">
      <c r="A8557" s="7"/>
    </row>
    <row r="8558" spans="1:1">
      <c r="A8558" s="7"/>
    </row>
    <row r="8559" spans="1:1">
      <c r="A8559" s="7"/>
    </row>
    <row r="8560" spans="1:1">
      <c r="A8560" s="7"/>
    </row>
    <row r="8561" spans="1:1">
      <c r="A8561" s="7"/>
    </row>
    <row r="8562" spans="1:1">
      <c r="A8562" s="7"/>
    </row>
    <row r="8563" spans="1:1">
      <c r="A8563" s="7"/>
    </row>
    <row r="8564" spans="1:1">
      <c r="A8564" s="7"/>
    </row>
    <row r="8565" spans="1:1">
      <c r="A8565" s="7"/>
    </row>
    <row r="8566" spans="1:1">
      <c r="A8566" s="7"/>
    </row>
    <row r="8567" spans="1:1">
      <c r="A8567" s="7"/>
    </row>
    <row r="8568" spans="1:1">
      <c r="A8568" s="7"/>
    </row>
    <row r="8569" spans="1:1">
      <c r="A8569" s="7"/>
    </row>
    <row r="8570" spans="1:1">
      <c r="A8570" s="7"/>
    </row>
    <row r="8571" spans="1:1">
      <c r="A8571" s="7"/>
    </row>
    <row r="8572" spans="1:1">
      <c r="A8572" s="7"/>
    </row>
    <row r="8573" spans="1:1">
      <c r="A8573" s="7"/>
    </row>
    <row r="8574" spans="1:1">
      <c r="A8574" s="7"/>
    </row>
    <row r="8575" spans="1:1">
      <c r="A8575" s="7"/>
    </row>
    <row r="8576" spans="1:1">
      <c r="A8576" s="7"/>
    </row>
    <row r="8577" spans="1:1">
      <c r="A8577" s="7"/>
    </row>
    <row r="8578" spans="1:1">
      <c r="A8578" s="7"/>
    </row>
    <row r="8579" spans="1:1">
      <c r="A8579" s="7"/>
    </row>
    <row r="8580" spans="1:1">
      <c r="A8580" s="7"/>
    </row>
    <row r="8581" spans="1:1">
      <c r="A8581" s="7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588"/>
  <sheetViews>
    <sheetView zoomScale="115" zoomScaleNormal="115" topLeftCell="A563" workbookViewId="0">
      <selection activeCell="R580" sqref="R580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124</v>
      </c>
      <c r="F1" s="3" t="s">
        <v>142</v>
      </c>
      <c r="G1" s="3" t="s">
        <v>985</v>
      </c>
      <c r="H1" s="3" t="s">
        <v>986</v>
      </c>
      <c r="I1" s="3" t="s">
        <v>987</v>
      </c>
      <c r="J1" s="3" t="s">
        <v>988</v>
      </c>
      <c r="K1" s="3" t="s">
        <v>989</v>
      </c>
      <c r="L1" s="3" t="s">
        <v>990</v>
      </c>
      <c r="M1" s="3" t="s">
        <v>991</v>
      </c>
      <c r="N1" s="3" t="s">
        <v>992</v>
      </c>
      <c r="O1" s="3" t="s">
        <v>993</v>
      </c>
      <c r="P1" s="3" t="s">
        <v>994</v>
      </c>
      <c r="Q1" s="3" t="s">
        <v>995</v>
      </c>
      <c r="R1" s="3" t="s">
        <v>996</v>
      </c>
    </row>
    <row r="2" spans="1:18">
      <c r="A2" s="3" t="s">
        <v>977</v>
      </c>
      <c r="B2" s="3" t="s">
        <v>978</v>
      </c>
      <c r="C2" s="3" t="s">
        <v>978</v>
      </c>
      <c r="D2" s="3" t="s">
        <v>979</v>
      </c>
      <c r="E2" s="3" t="s">
        <v>159</v>
      </c>
      <c r="F2" s="3">
        <v>9.99</v>
      </c>
      <c r="G2" s="3" t="s">
        <v>997</v>
      </c>
      <c r="H2" s="3"/>
      <c r="I2" s="3" t="s">
        <v>998</v>
      </c>
      <c r="J2" s="3">
        <v>1</v>
      </c>
      <c r="K2" s="3">
        <v>1</v>
      </c>
      <c r="L2" s="3">
        <v>0</v>
      </c>
      <c r="M2" s="3">
        <v>0</v>
      </c>
      <c r="N2" s="3">
        <v>1</v>
      </c>
      <c r="O2" s="3">
        <v>0.02</v>
      </c>
      <c r="P2" s="3">
        <v>0</v>
      </c>
      <c r="Q2" s="3">
        <v>0</v>
      </c>
      <c r="R2" s="3">
        <v>0</v>
      </c>
    </row>
    <row r="3" spans="1:18">
      <c r="A3" s="3" t="s">
        <v>303</v>
      </c>
      <c r="B3" s="3" t="s">
        <v>304</v>
      </c>
      <c r="C3" s="3" t="s">
        <v>304</v>
      </c>
      <c r="D3" s="3" t="s">
        <v>305</v>
      </c>
      <c r="E3" s="3" t="s">
        <v>159</v>
      </c>
      <c r="F3" s="3">
        <v>9.99</v>
      </c>
      <c r="G3" s="3" t="s">
        <v>997</v>
      </c>
      <c r="H3" s="3"/>
      <c r="I3" s="3" t="s">
        <v>998</v>
      </c>
      <c r="J3" s="3">
        <v>4</v>
      </c>
      <c r="K3" s="3">
        <v>4</v>
      </c>
      <c r="L3" s="3">
        <v>0</v>
      </c>
      <c r="M3" s="3">
        <v>0</v>
      </c>
      <c r="N3" s="3">
        <v>4</v>
      </c>
      <c r="O3" s="3">
        <v>0.02</v>
      </c>
      <c r="P3" s="3">
        <v>0</v>
      </c>
      <c r="Q3" s="3">
        <v>0</v>
      </c>
      <c r="R3" s="3">
        <v>0</v>
      </c>
    </row>
    <row r="4" spans="1:18">
      <c r="A4" s="3" t="s">
        <v>508</v>
      </c>
      <c r="B4" s="3" t="s">
        <v>509</v>
      </c>
      <c r="C4" s="3" t="s">
        <v>509</v>
      </c>
      <c r="D4" s="3" t="s">
        <v>510</v>
      </c>
      <c r="E4" s="3" t="s">
        <v>159</v>
      </c>
      <c r="F4" s="3">
        <v>9.99</v>
      </c>
      <c r="G4" s="3" t="s">
        <v>997</v>
      </c>
      <c r="H4" s="3"/>
      <c r="I4" s="3" t="s">
        <v>998</v>
      </c>
      <c r="J4" s="3">
        <v>2</v>
      </c>
      <c r="K4" s="3">
        <v>2</v>
      </c>
      <c r="L4" s="3">
        <v>0</v>
      </c>
      <c r="M4" s="3">
        <v>0</v>
      </c>
      <c r="N4" s="3">
        <v>2</v>
      </c>
      <c r="O4" s="3">
        <v>0.02</v>
      </c>
      <c r="P4" s="3">
        <v>0</v>
      </c>
      <c r="Q4" s="3">
        <v>0</v>
      </c>
      <c r="R4" s="3">
        <v>0</v>
      </c>
    </row>
    <row r="5" spans="1:18">
      <c r="A5" s="3" t="s">
        <v>433</v>
      </c>
      <c r="B5" s="3" t="s">
        <v>434</v>
      </c>
      <c r="C5" s="3" t="s">
        <v>434</v>
      </c>
      <c r="D5" s="3" t="s">
        <v>435</v>
      </c>
      <c r="E5" s="3" t="s">
        <v>159</v>
      </c>
      <c r="F5" s="3">
        <v>9.99</v>
      </c>
      <c r="G5" s="3" t="s">
        <v>997</v>
      </c>
      <c r="H5" s="3"/>
      <c r="I5" s="3" t="s">
        <v>998</v>
      </c>
      <c r="J5" s="3">
        <v>4</v>
      </c>
      <c r="K5" s="3">
        <v>4</v>
      </c>
      <c r="L5" s="3">
        <v>0</v>
      </c>
      <c r="M5" s="3">
        <v>0</v>
      </c>
      <c r="N5" s="3">
        <v>4</v>
      </c>
      <c r="O5" s="3">
        <v>0.02</v>
      </c>
      <c r="P5" s="3">
        <v>0</v>
      </c>
      <c r="Q5" s="3">
        <v>0</v>
      </c>
      <c r="R5" s="3">
        <v>0</v>
      </c>
    </row>
    <row r="6" spans="1:18">
      <c r="A6" s="3" t="s">
        <v>193</v>
      </c>
      <c r="B6" s="3" t="s">
        <v>194</v>
      </c>
      <c r="C6" s="3" t="s">
        <v>194</v>
      </c>
      <c r="D6" s="3" t="s">
        <v>195</v>
      </c>
      <c r="E6" s="3" t="s">
        <v>159</v>
      </c>
      <c r="F6" s="3">
        <v>9.99</v>
      </c>
      <c r="G6" s="3" t="s">
        <v>997</v>
      </c>
      <c r="H6" s="3"/>
      <c r="I6" s="3" t="s">
        <v>998</v>
      </c>
      <c r="J6" s="3">
        <v>2</v>
      </c>
      <c r="K6" s="3">
        <v>2</v>
      </c>
      <c r="L6" s="3">
        <v>0</v>
      </c>
      <c r="M6" s="3">
        <v>0</v>
      </c>
      <c r="N6" s="3">
        <v>2</v>
      </c>
      <c r="O6" s="3">
        <v>0.02</v>
      </c>
      <c r="P6" s="3">
        <v>0</v>
      </c>
      <c r="Q6" s="3">
        <v>0</v>
      </c>
      <c r="R6" s="3">
        <v>0</v>
      </c>
    </row>
    <row r="7" spans="1:18">
      <c r="A7" s="3" t="s">
        <v>575</v>
      </c>
      <c r="B7" s="3" t="s">
        <v>576</v>
      </c>
      <c r="C7" s="3" t="s">
        <v>576</v>
      </c>
      <c r="D7" s="3" t="s">
        <v>577</v>
      </c>
      <c r="E7" s="3" t="s">
        <v>159</v>
      </c>
      <c r="F7" s="3">
        <v>9.99</v>
      </c>
      <c r="G7" s="3" t="s">
        <v>997</v>
      </c>
      <c r="H7" s="3"/>
      <c r="I7" s="3" t="s">
        <v>998</v>
      </c>
      <c r="J7" s="3">
        <v>4</v>
      </c>
      <c r="K7" s="3">
        <v>4</v>
      </c>
      <c r="L7" s="3">
        <v>0</v>
      </c>
      <c r="M7" s="3">
        <v>0</v>
      </c>
      <c r="N7" s="3">
        <v>4</v>
      </c>
      <c r="O7" s="3">
        <v>0.02</v>
      </c>
      <c r="P7" s="3">
        <v>0</v>
      </c>
      <c r="Q7" s="3">
        <v>0</v>
      </c>
      <c r="R7" s="3">
        <v>0</v>
      </c>
    </row>
    <row r="8" spans="1:18">
      <c r="A8" s="3" t="s">
        <v>520</v>
      </c>
      <c r="B8" s="3" t="s">
        <v>521</v>
      </c>
      <c r="C8" s="3" t="s">
        <v>521</v>
      </c>
      <c r="D8" s="3" t="s">
        <v>522</v>
      </c>
      <c r="E8" s="3" t="s">
        <v>159</v>
      </c>
      <c r="F8" s="3">
        <v>9.99</v>
      </c>
      <c r="G8" s="3" t="s">
        <v>997</v>
      </c>
      <c r="H8" s="3"/>
      <c r="I8" s="3" t="s">
        <v>998</v>
      </c>
      <c r="J8" s="3">
        <v>3</v>
      </c>
      <c r="K8" s="3">
        <v>3</v>
      </c>
      <c r="L8" s="3">
        <v>0</v>
      </c>
      <c r="M8" s="3">
        <v>0</v>
      </c>
      <c r="N8" s="3">
        <v>3</v>
      </c>
      <c r="O8" s="3">
        <v>0.02</v>
      </c>
      <c r="P8" s="3">
        <v>0</v>
      </c>
      <c r="Q8" s="3">
        <v>0</v>
      </c>
      <c r="R8" s="3">
        <v>0</v>
      </c>
    </row>
    <row r="9" spans="1:18">
      <c r="A9" s="3" t="s">
        <v>999</v>
      </c>
      <c r="B9" s="3" t="s">
        <v>1000</v>
      </c>
      <c r="C9" s="3" t="s">
        <v>1000</v>
      </c>
      <c r="D9" s="3" t="s">
        <v>1001</v>
      </c>
      <c r="E9" s="3" t="s">
        <v>159</v>
      </c>
      <c r="F9" s="3">
        <v>9.99</v>
      </c>
      <c r="G9" s="3" t="s">
        <v>997</v>
      </c>
      <c r="H9" s="3"/>
      <c r="I9" s="3" t="s">
        <v>998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0.02</v>
      </c>
      <c r="P9" s="3">
        <v>0</v>
      </c>
      <c r="Q9" s="3">
        <v>0</v>
      </c>
      <c r="R9" s="3">
        <v>0</v>
      </c>
    </row>
    <row r="10" spans="1:18">
      <c r="A10" s="3" t="s">
        <v>623</v>
      </c>
      <c r="B10" s="3" t="s">
        <v>624</v>
      </c>
      <c r="C10" s="3" t="s">
        <v>624</v>
      </c>
      <c r="D10" s="3" t="s">
        <v>625</v>
      </c>
      <c r="E10" s="3" t="s">
        <v>159</v>
      </c>
      <c r="F10" s="3">
        <v>9.99</v>
      </c>
      <c r="G10" s="3" t="s">
        <v>997</v>
      </c>
      <c r="H10" s="3"/>
      <c r="I10" s="3" t="s">
        <v>998</v>
      </c>
      <c r="J10" s="3">
        <v>4</v>
      </c>
      <c r="K10" s="3">
        <v>4</v>
      </c>
      <c r="L10" s="3">
        <v>0</v>
      </c>
      <c r="M10" s="3">
        <v>0</v>
      </c>
      <c r="N10" s="3">
        <v>4</v>
      </c>
      <c r="O10" s="3">
        <v>0.02</v>
      </c>
      <c r="P10" s="3">
        <v>0</v>
      </c>
      <c r="Q10" s="3">
        <v>0</v>
      </c>
      <c r="R10" s="3">
        <v>0</v>
      </c>
    </row>
    <row r="11" spans="1:18">
      <c r="A11" s="3" t="s">
        <v>355</v>
      </c>
      <c r="B11" s="3" t="s">
        <v>356</v>
      </c>
      <c r="C11" s="3" t="s">
        <v>356</v>
      </c>
      <c r="D11" s="3" t="s">
        <v>342</v>
      </c>
      <c r="E11" s="3" t="s">
        <v>159</v>
      </c>
      <c r="F11" s="3">
        <v>9.99</v>
      </c>
      <c r="G11" s="3" t="s">
        <v>997</v>
      </c>
      <c r="H11" s="3"/>
      <c r="I11" s="3" t="s">
        <v>998</v>
      </c>
      <c r="J11" s="3">
        <v>2</v>
      </c>
      <c r="K11" s="3">
        <v>2</v>
      </c>
      <c r="L11" s="3">
        <v>0</v>
      </c>
      <c r="M11" s="3">
        <v>0</v>
      </c>
      <c r="N11" s="3">
        <v>2</v>
      </c>
      <c r="O11" s="3">
        <v>0.02</v>
      </c>
      <c r="P11" s="3">
        <v>0</v>
      </c>
      <c r="Q11" s="3">
        <v>0</v>
      </c>
      <c r="R11" s="3">
        <v>0</v>
      </c>
    </row>
    <row r="12" spans="1:18">
      <c r="A12" s="3" t="s">
        <v>750</v>
      </c>
      <c r="B12" s="3" t="s">
        <v>751</v>
      </c>
      <c r="C12" s="3" t="s">
        <v>751</v>
      </c>
      <c r="D12" s="3" t="s">
        <v>752</v>
      </c>
      <c r="E12" s="3" t="s">
        <v>159</v>
      </c>
      <c r="F12" s="3">
        <v>9.99</v>
      </c>
      <c r="G12" s="3" t="s">
        <v>997</v>
      </c>
      <c r="H12" s="3"/>
      <c r="I12" s="3" t="s">
        <v>998</v>
      </c>
      <c r="J12" s="3">
        <v>3</v>
      </c>
      <c r="K12" s="3">
        <v>3</v>
      </c>
      <c r="L12" s="3">
        <v>0</v>
      </c>
      <c r="M12" s="3">
        <v>0</v>
      </c>
      <c r="N12" s="3">
        <v>3</v>
      </c>
      <c r="O12" s="3">
        <v>0.02</v>
      </c>
      <c r="P12" s="3">
        <v>0</v>
      </c>
      <c r="Q12" s="3">
        <v>0</v>
      </c>
      <c r="R12" s="3">
        <v>0</v>
      </c>
    </row>
    <row r="13" spans="1:18">
      <c r="A13" s="3" t="s">
        <v>257</v>
      </c>
      <c r="B13" s="3" t="s">
        <v>258</v>
      </c>
      <c r="C13" s="3" t="s">
        <v>258</v>
      </c>
      <c r="D13" s="3" t="s">
        <v>259</v>
      </c>
      <c r="E13" s="3" t="s">
        <v>159</v>
      </c>
      <c r="F13" s="3">
        <v>9.99</v>
      </c>
      <c r="G13" s="3" t="s">
        <v>997</v>
      </c>
      <c r="H13" s="3"/>
      <c r="I13" s="3" t="s">
        <v>998</v>
      </c>
      <c r="J13" s="3">
        <v>3</v>
      </c>
      <c r="K13" s="3">
        <v>3</v>
      </c>
      <c r="L13" s="3">
        <v>0</v>
      </c>
      <c r="M13" s="3">
        <v>0</v>
      </c>
      <c r="N13" s="3">
        <v>3</v>
      </c>
      <c r="O13" s="3">
        <v>0.02</v>
      </c>
      <c r="P13" s="3">
        <v>0</v>
      </c>
      <c r="Q13" s="3">
        <v>0</v>
      </c>
      <c r="R13" s="3">
        <v>0</v>
      </c>
    </row>
    <row r="14" spans="1:18">
      <c r="A14" s="3" t="s">
        <v>893</v>
      </c>
      <c r="B14" s="3" t="s">
        <v>894</v>
      </c>
      <c r="C14" s="3" t="s">
        <v>894</v>
      </c>
      <c r="D14" s="3" t="s">
        <v>577</v>
      </c>
      <c r="E14" s="3" t="s">
        <v>159</v>
      </c>
      <c r="F14" s="3">
        <v>9.99</v>
      </c>
      <c r="G14" s="3" t="s">
        <v>997</v>
      </c>
      <c r="H14" s="3"/>
      <c r="I14" s="3" t="s">
        <v>998</v>
      </c>
      <c r="J14" s="3">
        <v>1</v>
      </c>
      <c r="K14" s="3">
        <v>1</v>
      </c>
      <c r="L14" s="3">
        <v>0</v>
      </c>
      <c r="M14" s="3">
        <v>0</v>
      </c>
      <c r="N14" s="3">
        <v>1</v>
      </c>
      <c r="O14" s="3">
        <v>0.02</v>
      </c>
      <c r="P14" s="3">
        <v>0</v>
      </c>
      <c r="Q14" s="3">
        <v>0</v>
      </c>
      <c r="R14" s="3">
        <v>0</v>
      </c>
    </row>
    <row r="15" spans="1:18">
      <c r="A15" s="3" t="s">
        <v>561</v>
      </c>
      <c r="B15" s="3" t="s">
        <v>562</v>
      </c>
      <c r="C15" s="3" t="s">
        <v>562</v>
      </c>
      <c r="D15" s="3" t="s">
        <v>563</v>
      </c>
      <c r="E15" s="3" t="s">
        <v>159</v>
      </c>
      <c r="F15" s="3">
        <v>9.99</v>
      </c>
      <c r="G15" s="3" t="s">
        <v>997</v>
      </c>
      <c r="H15" s="3"/>
      <c r="I15" s="3" t="s">
        <v>998</v>
      </c>
      <c r="J15" s="3">
        <v>3</v>
      </c>
      <c r="K15" s="3">
        <v>3</v>
      </c>
      <c r="L15" s="3">
        <v>0</v>
      </c>
      <c r="M15" s="3">
        <v>0</v>
      </c>
      <c r="N15" s="3">
        <v>3</v>
      </c>
      <c r="O15" s="3">
        <v>0.02</v>
      </c>
      <c r="P15" s="3">
        <v>0</v>
      </c>
      <c r="Q15" s="3">
        <v>0</v>
      </c>
      <c r="R15" s="3">
        <v>0</v>
      </c>
    </row>
    <row r="16" spans="1:18">
      <c r="A16" s="3" t="s">
        <v>340</v>
      </c>
      <c r="B16" s="3" t="s">
        <v>341</v>
      </c>
      <c r="C16" s="3" t="s">
        <v>341</v>
      </c>
      <c r="D16" s="3" t="s">
        <v>342</v>
      </c>
      <c r="E16" s="3" t="s">
        <v>159</v>
      </c>
      <c r="F16" s="3">
        <v>9.99</v>
      </c>
      <c r="G16" s="3" t="s">
        <v>997</v>
      </c>
      <c r="H16" s="3"/>
      <c r="I16" s="3" t="s">
        <v>998</v>
      </c>
      <c r="J16" s="3">
        <v>4</v>
      </c>
      <c r="K16" s="3">
        <v>4</v>
      </c>
      <c r="L16" s="3">
        <v>0</v>
      </c>
      <c r="M16" s="3">
        <v>0</v>
      </c>
      <c r="N16" s="3">
        <v>4</v>
      </c>
      <c r="O16" s="3">
        <v>0.02</v>
      </c>
      <c r="P16" s="3">
        <v>0</v>
      </c>
      <c r="Q16" s="3">
        <v>0</v>
      </c>
      <c r="R16" s="3">
        <v>0</v>
      </c>
    </row>
    <row r="17" spans="1:18">
      <c r="A17" s="3" t="s">
        <v>8</v>
      </c>
      <c r="B17" s="3" t="s">
        <v>9</v>
      </c>
      <c r="C17" s="3" t="s">
        <v>10</v>
      </c>
      <c r="D17" s="3" t="s">
        <v>11</v>
      </c>
      <c r="E17" s="3" t="s">
        <v>159</v>
      </c>
      <c r="F17" s="3">
        <v>35.99</v>
      </c>
      <c r="G17" s="3" t="s">
        <v>997</v>
      </c>
      <c r="H17" s="3"/>
      <c r="I17" s="3" t="s">
        <v>998</v>
      </c>
      <c r="J17" s="3">
        <v>5</v>
      </c>
      <c r="K17" s="3">
        <v>3</v>
      </c>
      <c r="L17" s="3">
        <v>1</v>
      </c>
      <c r="M17" s="3">
        <v>1</v>
      </c>
      <c r="N17" s="3">
        <v>5</v>
      </c>
      <c r="O17" s="3">
        <v>0.21</v>
      </c>
      <c r="P17" s="3">
        <v>0</v>
      </c>
      <c r="Q17" s="3">
        <v>0</v>
      </c>
      <c r="R17" s="3">
        <v>0</v>
      </c>
    </row>
    <row r="18" spans="1:18">
      <c r="A18" s="3" t="s">
        <v>832</v>
      </c>
      <c r="B18" s="3" t="s">
        <v>833</v>
      </c>
      <c r="C18" s="3" t="s">
        <v>834</v>
      </c>
      <c r="D18" s="3" t="s">
        <v>835</v>
      </c>
      <c r="E18" s="3" t="s">
        <v>159</v>
      </c>
      <c r="F18" s="3">
        <v>35.99</v>
      </c>
      <c r="G18" s="3" t="s">
        <v>997</v>
      </c>
      <c r="H18" s="3"/>
      <c r="I18" s="3" t="s">
        <v>998</v>
      </c>
      <c r="J18" s="3">
        <v>2</v>
      </c>
      <c r="K18" s="3">
        <v>2</v>
      </c>
      <c r="L18" s="3">
        <v>0</v>
      </c>
      <c r="M18" s="3">
        <v>0</v>
      </c>
      <c r="N18" s="3">
        <v>2</v>
      </c>
      <c r="O18" s="3">
        <v>0</v>
      </c>
      <c r="P18" s="3">
        <v>0</v>
      </c>
      <c r="Q18" s="3">
        <v>0</v>
      </c>
      <c r="R18" s="3">
        <v>0</v>
      </c>
    </row>
    <row r="19" spans="1:18">
      <c r="A19" s="3" t="s">
        <v>1002</v>
      </c>
      <c r="B19" s="3" t="s">
        <v>1003</v>
      </c>
      <c r="C19" s="3" t="s">
        <v>1003</v>
      </c>
      <c r="D19" s="3" t="s">
        <v>1004</v>
      </c>
      <c r="E19" s="3" t="s">
        <v>159</v>
      </c>
      <c r="F19" s="3">
        <v>35.99</v>
      </c>
      <c r="G19" s="3" t="s">
        <v>997</v>
      </c>
      <c r="H19" s="3"/>
      <c r="I19" s="3" t="s">
        <v>998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0.02</v>
      </c>
      <c r="P19" s="3">
        <v>0</v>
      </c>
      <c r="Q19" s="3">
        <v>0</v>
      </c>
      <c r="R19" s="3">
        <v>0</v>
      </c>
    </row>
    <row r="20" spans="1:18">
      <c r="A20" s="3" t="s">
        <v>1005</v>
      </c>
      <c r="B20" s="3" t="s">
        <v>1006</v>
      </c>
      <c r="C20" s="3" t="s">
        <v>1006</v>
      </c>
      <c r="D20" s="3" t="s">
        <v>1007</v>
      </c>
      <c r="E20" s="3" t="s">
        <v>159</v>
      </c>
      <c r="F20" s="3">
        <v>35.99</v>
      </c>
      <c r="G20" s="3" t="s">
        <v>997</v>
      </c>
      <c r="H20" s="3"/>
      <c r="I20" s="3" t="s">
        <v>998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0.02</v>
      </c>
      <c r="P20" s="3">
        <v>0</v>
      </c>
      <c r="Q20" s="3">
        <v>0</v>
      </c>
      <c r="R20" s="3">
        <v>0</v>
      </c>
    </row>
    <row r="21" spans="1:18">
      <c r="A21" s="3" t="s">
        <v>1008</v>
      </c>
      <c r="B21" s="3" t="s">
        <v>1009</v>
      </c>
      <c r="C21" s="3" t="s">
        <v>1009</v>
      </c>
      <c r="D21" s="3" t="s">
        <v>1010</v>
      </c>
      <c r="E21" s="3" t="s">
        <v>159</v>
      </c>
      <c r="F21" s="3">
        <v>35.99</v>
      </c>
      <c r="G21" s="3" t="s">
        <v>997</v>
      </c>
      <c r="H21" s="3"/>
      <c r="I21" s="3" t="s">
        <v>998</v>
      </c>
      <c r="J21" s="3">
        <v>1</v>
      </c>
      <c r="K21" s="3">
        <v>0</v>
      </c>
      <c r="L21" s="3">
        <v>1</v>
      </c>
      <c r="M21" s="3">
        <v>0</v>
      </c>
      <c r="N21" s="3">
        <v>1</v>
      </c>
      <c r="O21" s="3">
        <v>0.02</v>
      </c>
      <c r="P21" s="3">
        <v>0</v>
      </c>
      <c r="Q21" s="3">
        <v>0</v>
      </c>
      <c r="R21" s="3">
        <v>0</v>
      </c>
    </row>
    <row r="22" spans="1:18">
      <c r="A22" s="3" t="s">
        <v>1011</v>
      </c>
      <c r="B22" s="3" t="s">
        <v>834</v>
      </c>
      <c r="C22" s="3" t="s">
        <v>834</v>
      </c>
      <c r="D22" s="3" t="s">
        <v>835</v>
      </c>
      <c r="E22" s="3" t="s">
        <v>159</v>
      </c>
      <c r="F22" s="3">
        <v>35.99</v>
      </c>
      <c r="G22" s="3" t="s">
        <v>997</v>
      </c>
      <c r="H22" s="3"/>
      <c r="I22" s="3" t="s">
        <v>998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</row>
    <row r="23" spans="1:18">
      <c r="A23" s="3" t="s">
        <v>1012</v>
      </c>
      <c r="B23" s="3" t="s">
        <v>1013</v>
      </c>
      <c r="C23" s="3" t="s">
        <v>1013</v>
      </c>
      <c r="D23" s="3" t="s">
        <v>1014</v>
      </c>
      <c r="E23" s="3" t="s">
        <v>159</v>
      </c>
      <c r="F23" s="3">
        <v>35.99</v>
      </c>
      <c r="G23" s="3" t="s">
        <v>997</v>
      </c>
      <c r="H23" s="3"/>
      <c r="I23" s="3" t="s">
        <v>998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0.02</v>
      </c>
      <c r="P23" s="3">
        <v>0</v>
      </c>
      <c r="Q23" s="3">
        <v>0</v>
      </c>
      <c r="R23" s="3">
        <v>0</v>
      </c>
    </row>
    <row r="24" spans="1:18">
      <c r="A24" s="3" t="s">
        <v>942</v>
      </c>
      <c r="B24" s="3" t="s">
        <v>943</v>
      </c>
      <c r="C24" s="3" t="s">
        <v>943</v>
      </c>
      <c r="D24" s="3" t="s">
        <v>944</v>
      </c>
      <c r="E24" s="3" t="s">
        <v>159</v>
      </c>
      <c r="F24" s="3">
        <v>35.99</v>
      </c>
      <c r="G24" s="3" t="s">
        <v>997</v>
      </c>
      <c r="H24" s="3"/>
      <c r="I24" s="3" t="s">
        <v>998</v>
      </c>
      <c r="J24" s="3">
        <v>1</v>
      </c>
      <c r="K24" s="3">
        <v>0</v>
      </c>
      <c r="L24" s="3">
        <v>1</v>
      </c>
      <c r="M24" s="3">
        <v>0</v>
      </c>
      <c r="N24" s="3">
        <v>1</v>
      </c>
      <c r="O24" s="3">
        <v>0.02</v>
      </c>
      <c r="P24" s="3">
        <v>0</v>
      </c>
      <c r="Q24" s="3">
        <v>0</v>
      </c>
      <c r="R24" s="3">
        <v>0</v>
      </c>
    </row>
    <row r="25" spans="1:18">
      <c r="A25" s="3" t="s">
        <v>1015</v>
      </c>
      <c r="B25" s="3" t="s">
        <v>1016</v>
      </c>
      <c r="C25" s="3" t="s">
        <v>1016</v>
      </c>
      <c r="D25" s="3" t="s">
        <v>1017</v>
      </c>
      <c r="E25" s="3" t="s">
        <v>159</v>
      </c>
      <c r="F25" s="3">
        <v>35.99</v>
      </c>
      <c r="G25" s="3" t="s">
        <v>997</v>
      </c>
      <c r="H25" s="3"/>
      <c r="I25" s="3" t="s">
        <v>998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0.02</v>
      </c>
      <c r="P25" s="3">
        <v>0</v>
      </c>
      <c r="Q25" s="3">
        <v>0</v>
      </c>
      <c r="R25" s="3">
        <v>0</v>
      </c>
    </row>
    <row r="26" spans="1:18">
      <c r="A26" s="3" t="s">
        <v>645</v>
      </c>
      <c r="B26" s="3" t="s">
        <v>646</v>
      </c>
      <c r="C26" s="3" t="s">
        <v>647</v>
      </c>
      <c r="D26" s="3" t="s">
        <v>648</v>
      </c>
      <c r="E26" s="3" t="s">
        <v>159</v>
      </c>
      <c r="F26" s="3">
        <v>60.99</v>
      </c>
      <c r="G26" s="3" t="s">
        <v>997</v>
      </c>
      <c r="H26" s="3"/>
      <c r="I26" s="3" t="s">
        <v>998</v>
      </c>
      <c r="J26" s="3">
        <v>20</v>
      </c>
      <c r="K26" s="3">
        <v>20</v>
      </c>
      <c r="L26" s="3">
        <v>0</v>
      </c>
      <c r="M26" s="3">
        <v>0</v>
      </c>
      <c r="N26" s="3">
        <v>20</v>
      </c>
      <c r="O26" s="3">
        <v>0.45</v>
      </c>
      <c r="P26" s="3">
        <v>0</v>
      </c>
      <c r="Q26" s="3">
        <v>0</v>
      </c>
      <c r="R26" s="3">
        <v>0</v>
      </c>
    </row>
    <row r="27" spans="1:18">
      <c r="A27" s="3" t="s">
        <v>1018</v>
      </c>
      <c r="B27" s="3" t="s">
        <v>1019</v>
      </c>
      <c r="C27" s="3" t="s">
        <v>1020</v>
      </c>
      <c r="D27" s="3" t="s">
        <v>1021</v>
      </c>
      <c r="E27" s="3" t="s">
        <v>159</v>
      </c>
      <c r="F27" s="3">
        <v>20.99</v>
      </c>
      <c r="G27" s="3" t="s">
        <v>997</v>
      </c>
      <c r="H27" s="3"/>
      <c r="I27" s="3" t="s">
        <v>998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</row>
    <row r="28" spans="1:18">
      <c r="A28" s="3" t="s">
        <v>1022</v>
      </c>
      <c r="B28" s="3" t="s">
        <v>1023</v>
      </c>
      <c r="C28" s="3" t="s">
        <v>1024</v>
      </c>
      <c r="D28" s="3" t="s">
        <v>1021</v>
      </c>
      <c r="E28" s="3" t="s">
        <v>159</v>
      </c>
      <c r="F28" s="3">
        <v>20.99</v>
      </c>
      <c r="G28" s="3" t="s">
        <v>997</v>
      </c>
      <c r="H28" s="3"/>
      <c r="I28" s="3" t="s">
        <v>998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</row>
    <row r="29" spans="1:18">
      <c r="A29" s="3" t="s">
        <v>1025</v>
      </c>
      <c r="B29" s="3" t="s">
        <v>1026</v>
      </c>
      <c r="C29" s="3" t="s">
        <v>1027</v>
      </c>
      <c r="D29" s="3" t="s">
        <v>1021</v>
      </c>
      <c r="E29" s="3" t="s">
        <v>159</v>
      </c>
      <c r="F29" s="3">
        <v>20.99</v>
      </c>
      <c r="G29" s="3" t="s">
        <v>997</v>
      </c>
      <c r="H29" s="3"/>
      <c r="I29" s="3" t="s">
        <v>998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</row>
    <row r="30" spans="1:18">
      <c r="A30" s="3" t="s">
        <v>1028</v>
      </c>
      <c r="B30" s="3" t="s">
        <v>1029</v>
      </c>
      <c r="C30" s="3" t="s">
        <v>1030</v>
      </c>
      <c r="D30" s="3" t="s">
        <v>1021</v>
      </c>
      <c r="E30" s="3" t="s">
        <v>159</v>
      </c>
      <c r="F30" s="3">
        <v>20.99</v>
      </c>
      <c r="G30" s="3" t="s">
        <v>997</v>
      </c>
      <c r="H30" s="3"/>
      <c r="I30" s="3" t="s">
        <v>998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</row>
    <row r="31" spans="1:18">
      <c r="A31" s="3" t="s">
        <v>1031</v>
      </c>
      <c r="B31" s="3" t="s">
        <v>1032</v>
      </c>
      <c r="C31" s="3" t="s">
        <v>1033</v>
      </c>
      <c r="D31" s="3" t="s">
        <v>1021</v>
      </c>
      <c r="E31" s="3" t="s">
        <v>159</v>
      </c>
      <c r="F31" s="3">
        <v>20.99</v>
      </c>
      <c r="G31" s="3" t="s">
        <v>997</v>
      </c>
      <c r="H31" s="3"/>
      <c r="I31" s="3" t="s">
        <v>998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</row>
    <row r="32" spans="1:18">
      <c r="A32" s="3" t="s">
        <v>1034</v>
      </c>
      <c r="B32" s="3" t="s">
        <v>1035</v>
      </c>
      <c r="C32" s="3" t="s">
        <v>1036</v>
      </c>
      <c r="D32" s="3" t="s">
        <v>1021</v>
      </c>
      <c r="E32" s="3" t="s">
        <v>159</v>
      </c>
      <c r="F32" s="3">
        <v>20.99</v>
      </c>
      <c r="G32" s="3" t="s">
        <v>997</v>
      </c>
      <c r="H32" s="3"/>
      <c r="I32" s="3" t="s">
        <v>998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</row>
    <row r="33" spans="1:18">
      <c r="A33" s="3" t="s">
        <v>1037</v>
      </c>
      <c r="B33" s="3" t="s">
        <v>1038</v>
      </c>
      <c r="C33" s="3" t="s">
        <v>1039</v>
      </c>
      <c r="D33" s="3" t="s">
        <v>1021</v>
      </c>
      <c r="E33" s="3" t="s">
        <v>159</v>
      </c>
      <c r="F33" s="3">
        <v>20.99</v>
      </c>
      <c r="G33" s="3" t="s">
        <v>997</v>
      </c>
      <c r="H33" s="3"/>
      <c r="I33" s="3" t="s">
        <v>998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</row>
    <row r="34" spans="1:18">
      <c r="A34" s="3" t="s">
        <v>1040</v>
      </c>
      <c r="B34" s="3" t="s">
        <v>1041</v>
      </c>
      <c r="C34" s="3" t="s">
        <v>1042</v>
      </c>
      <c r="D34" s="3" t="s">
        <v>1021</v>
      </c>
      <c r="E34" s="3" t="s">
        <v>159</v>
      </c>
      <c r="F34" s="3">
        <v>20.99</v>
      </c>
      <c r="G34" s="3" t="s">
        <v>997</v>
      </c>
      <c r="H34" s="3"/>
      <c r="I34" s="3" t="s">
        <v>998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</row>
    <row r="35" spans="1:18">
      <c r="A35" s="3" t="s">
        <v>1043</v>
      </c>
      <c r="B35" s="3" t="s">
        <v>1044</v>
      </c>
      <c r="C35" s="3" t="s">
        <v>1045</v>
      </c>
      <c r="D35" s="3" t="s">
        <v>1021</v>
      </c>
      <c r="E35" s="3" t="s">
        <v>159</v>
      </c>
      <c r="F35" s="3">
        <v>20.99</v>
      </c>
      <c r="G35" s="3" t="s">
        <v>997</v>
      </c>
      <c r="H35" s="3"/>
      <c r="I35" s="3" t="s">
        <v>998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</row>
    <row r="36" spans="1:18">
      <c r="A36" s="3" t="s">
        <v>1046</v>
      </c>
      <c r="B36" s="3" t="s">
        <v>1047</v>
      </c>
      <c r="C36" s="3" t="s">
        <v>1048</v>
      </c>
      <c r="D36" s="3" t="s">
        <v>1021</v>
      </c>
      <c r="E36" s="3" t="s">
        <v>159</v>
      </c>
      <c r="F36" s="3">
        <v>20.99</v>
      </c>
      <c r="G36" s="3" t="s">
        <v>997</v>
      </c>
      <c r="H36" s="3"/>
      <c r="I36" s="3" t="s">
        <v>998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</row>
    <row r="37" spans="1:18">
      <c r="A37" s="3" t="s">
        <v>1049</v>
      </c>
      <c r="B37" s="3" t="s">
        <v>1050</v>
      </c>
      <c r="C37" s="3" t="s">
        <v>1051</v>
      </c>
      <c r="D37" s="3" t="s">
        <v>1021</v>
      </c>
      <c r="E37" s="3" t="s">
        <v>159</v>
      </c>
      <c r="F37" s="3">
        <v>20.99</v>
      </c>
      <c r="G37" s="3" t="s">
        <v>997</v>
      </c>
      <c r="H37" s="3"/>
      <c r="I37" s="3" t="s">
        <v>998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</row>
    <row r="38" spans="1:18">
      <c r="A38" s="3" t="s">
        <v>1052</v>
      </c>
      <c r="B38" s="3" t="s">
        <v>1053</v>
      </c>
      <c r="C38" s="3" t="s">
        <v>1054</v>
      </c>
      <c r="D38" s="3" t="s">
        <v>1021</v>
      </c>
      <c r="E38" s="3" t="s">
        <v>159</v>
      </c>
      <c r="F38" s="3">
        <v>20.99</v>
      </c>
      <c r="G38" s="3" t="s">
        <v>997</v>
      </c>
      <c r="H38" s="3"/>
      <c r="I38" s="3" t="s">
        <v>998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</row>
    <row r="39" spans="1:18">
      <c r="A39" s="3" t="s">
        <v>1055</v>
      </c>
      <c r="B39" s="3" t="s">
        <v>1056</v>
      </c>
      <c r="C39" s="3" t="s">
        <v>1057</v>
      </c>
      <c r="D39" s="3" t="s">
        <v>1021</v>
      </c>
      <c r="E39" s="3" t="s">
        <v>159</v>
      </c>
      <c r="F39" s="3">
        <v>20.99</v>
      </c>
      <c r="G39" s="3" t="s">
        <v>997</v>
      </c>
      <c r="H39" s="3"/>
      <c r="I39" s="3" t="s">
        <v>998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</row>
    <row r="40" spans="1:18">
      <c r="A40" s="3" t="s">
        <v>1058</v>
      </c>
      <c r="B40" s="3" t="s">
        <v>1059</v>
      </c>
      <c r="C40" s="3" t="s">
        <v>1060</v>
      </c>
      <c r="D40" s="3" t="s">
        <v>1021</v>
      </c>
      <c r="E40" s="3" t="s">
        <v>159</v>
      </c>
      <c r="F40" s="3">
        <v>20.99</v>
      </c>
      <c r="G40" s="3" t="s">
        <v>997</v>
      </c>
      <c r="H40" s="3"/>
      <c r="I40" s="3" t="s">
        <v>998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</row>
    <row r="41" spans="1:18">
      <c r="A41" s="3" t="s">
        <v>1061</v>
      </c>
      <c r="B41" s="3" t="s">
        <v>1062</v>
      </c>
      <c r="C41" s="3" t="s">
        <v>1063</v>
      </c>
      <c r="D41" s="3" t="s">
        <v>1021</v>
      </c>
      <c r="E41" s="3" t="s">
        <v>159</v>
      </c>
      <c r="F41" s="3">
        <v>20.99</v>
      </c>
      <c r="G41" s="3" t="s">
        <v>997</v>
      </c>
      <c r="H41" s="3"/>
      <c r="I41" s="3" t="s">
        <v>998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</row>
    <row r="42" spans="1:18">
      <c r="A42" s="3" t="s">
        <v>1064</v>
      </c>
      <c r="B42" s="3" t="s">
        <v>1065</v>
      </c>
      <c r="C42" s="3" t="s">
        <v>1066</v>
      </c>
      <c r="D42" s="3" t="s">
        <v>1021</v>
      </c>
      <c r="E42" s="3" t="s">
        <v>159</v>
      </c>
      <c r="F42" s="3">
        <v>20.99</v>
      </c>
      <c r="G42" s="3" t="s">
        <v>997</v>
      </c>
      <c r="H42" s="3"/>
      <c r="I42" s="3" t="s">
        <v>998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</row>
    <row r="43" spans="1:18">
      <c r="A43" s="3" t="s">
        <v>1067</v>
      </c>
      <c r="B43" s="3" t="s">
        <v>1068</v>
      </c>
      <c r="C43" s="3" t="s">
        <v>1069</v>
      </c>
      <c r="D43" s="3" t="s">
        <v>1070</v>
      </c>
      <c r="E43" s="3" t="s">
        <v>159</v>
      </c>
      <c r="F43" s="3">
        <v>12</v>
      </c>
      <c r="G43" s="3" t="s">
        <v>997</v>
      </c>
      <c r="H43" s="3"/>
      <c r="I43" s="3" t="s">
        <v>998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0.02</v>
      </c>
      <c r="P43" s="3">
        <v>0</v>
      </c>
      <c r="Q43" s="3">
        <v>0</v>
      </c>
      <c r="R43" s="3">
        <v>0</v>
      </c>
    </row>
    <row r="44" spans="1:18">
      <c r="A44" s="3" t="s">
        <v>1071</v>
      </c>
      <c r="B44" s="3" t="s">
        <v>1072</v>
      </c>
      <c r="C44" s="3" t="s">
        <v>1073</v>
      </c>
      <c r="D44" s="3" t="s">
        <v>1074</v>
      </c>
      <c r="E44" s="3" t="s">
        <v>159</v>
      </c>
      <c r="F44" s="3">
        <v>12</v>
      </c>
      <c r="G44" s="3" t="s">
        <v>997</v>
      </c>
      <c r="H44" s="3"/>
      <c r="I44" s="3" t="s">
        <v>998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0.02</v>
      </c>
      <c r="P44" s="3">
        <v>0</v>
      </c>
      <c r="Q44" s="3">
        <v>0</v>
      </c>
      <c r="R44" s="3">
        <v>0</v>
      </c>
    </row>
    <row r="45" spans="1:18">
      <c r="A45" s="3" t="s">
        <v>1075</v>
      </c>
      <c r="B45" s="3" t="s">
        <v>1076</v>
      </c>
      <c r="C45" s="3" t="s">
        <v>1077</v>
      </c>
      <c r="D45" s="3" t="s">
        <v>1078</v>
      </c>
      <c r="E45" s="3" t="s">
        <v>159</v>
      </c>
      <c r="F45" s="3">
        <v>12</v>
      </c>
      <c r="G45" s="3" t="s">
        <v>997</v>
      </c>
      <c r="H45" s="3"/>
      <c r="I45" s="3" t="s">
        <v>998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0.02</v>
      </c>
      <c r="P45" s="3">
        <v>0</v>
      </c>
      <c r="Q45" s="3">
        <v>0</v>
      </c>
      <c r="R45" s="3">
        <v>0</v>
      </c>
    </row>
    <row r="46" spans="1:18">
      <c r="A46" s="3" t="s">
        <v>1079</v>
      </c>
      <c r="B46" s="3" t="s">
        <v>1080</v>
      </c>
      <c r="C46" s="3" t="s">
        <v>1081</v>
      </c>
      <c r="D46" s="3" t="s">
        <v>1082</v>
      </c>
      <c r="E46" s="3" t="s">
        <v>159</v>
      </c>
      <c r="F46" s="3">
        <v>12</v>
      </c>
      <c r="G46" s="3" t="s">
        <v>997</v>
      </c>
      <c r="H46" s="3"/>
      <c r="I46" s="3" t="s">
        <v>998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0.02</v>
      </c>
      <c r="P46" s="3">
        <v>0</v>
      </c>
      <c r="Q46" s="3">
        <v>0</v>
      </c>
      <c r="R46" s="3">
        <v>0</v>
      </c>
    </row>
    <row r="47" spans="1:18">
      <c r="A47" s="3" t="s">
        <v>1083</v>
      </c>
      <c r="B47" s="3" t="s">
        <v>1084</v>
      </c>
      <c r="C47" s="3" t="s">
        <v>1085</v>
      </c>
      <c r="D47" s="3" t="s">
        <v>1086</v>
      </c>
      <c r="E47" s="3" t="s">
        <v>159</v>
      </c>
      <c r="F47" s="3">
        <v>12</v>
      </c>
      <c r="G47" s="3" t="s">
        <v>997</v>
      </c>
      <c r="H47" s="3"/>
      <c r="I47" s="3" t="s">
        <v>998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0.02</v>
      </c>
      <c r="P47" s="3">
        <v>0</v>
      </c>
      <c r="Q47" s="3">
        <v>0</v>
      </c>
      <c r="R47" s="3">
        <v>0</v>
      </c>
    </row>
    <row r="48" spans="1:18">
      <c r="A48" s="3" t="s">
        <v>1087</v>
      </c>
      <c r="B48" s="3" t="s">
        <v>1088</v>
      </c>
      <c r="C48" s="3" t="s">
        <v>1089</v>
      </c>
      <c r="D48" s="3" t="s">
        <v>1090</v>
      </c>
      <c r="E48" s="3" t="s">
        <v>159</v>
      </c>
      <c r="F48" s="3">
        <v>12</v>
      </c>
      <c r="G48" s="3" t="s">
        <v>997</v>
      </c>
      <c r="H48" s="3"/>
      <c r="I48" s="3" t="s">
        <v>998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0.02</v>
      </c>
      <c r="P48" s="3">
        <v>0</v>
      </c>
      <c r="Q48" s="3">
        <v>0</v>
      </c>
      <c r="R48" s="3">
        <v>0</v>
      </c>
    </row>
    <row r="49" spans="1:18">
      <c r="A49" s="3" t="s">
        <v>1091</v>
      </c>
      <c r="B49" s="3" t="s">
        <v>1092</v>
      </c>
      <c r="C49" s="3" t="s">
        <v>1093</v>
      </c>
      <c r="D49" s="3" t="s">
        <v>1094</v>
      </c>
      <c r="E49" s="3" t="s">
        <v>159</v>
      </c>
      <c r="F49" s="3">
        <v>12</v>
      </c>
      <c r="G49" s="3" t="s">
        <v>997</v>
      </c>
      <c r="H49" s="3"/>
      <c r="I49" s="3" t="s">
        <v>998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0.02</v>
      </c>
      <c r="P49" s="3">
        <v>0</v>
      </c>
      <c r="Q49" s="3">
        <v>0</v>
      </c>
      <c r="R49" s="3">
        <v>0</v>
      </c>
    </row>
    <row r="50" spans="1:18">
      <c r="A50" s="3" t="s">
        <v>1095</v>
      </c>
      <c r="B50" s="3" t="s">
        <v>1096</v>
      </c>
      <c r="C50" s="3" t="s">
        <v>1097</v>
      </c>
      <c r="D50" s="3" t="s">
        <v>1098</v>
      </c>
      <c r="E50" s="3" t="s">
        <v>159</v>
      </c>
      <c r="F50" s="3">
        <v>12</v>
      </c>
      <c r="G50" s="3" t="s">
        <v>997</v>
      </c>
      <c r="H50" s="3"/>
      <c r="I50" s="3" t="s">
        <v>998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0.02</v>
      </c>
      <c r="P50" s="3">
        <v>0</v>
      </c>
      <c r="Q50" s="3">
        <v>0</v>
      </c>
      <c r="R50" s="3">
        <v>0</v>
      </c>
    </row>
    <row r="51" spans="1:18">
      <c r="A51" s="3" t="s">
        <v>1099</v>
      </c>
      <c r="B51" s="3" t="s">
        <v>1100</v>
      </c>
      <c r="C51" s="3" t="s">
        <v>1101</v>
      </c>
      <c r="D51" s="3" t="s">
        <v>1102</v>
      </c>
      <c r="E51" s="3" t="s">
        <v>159</v>
      </c>
      <c r="F51" s="3">
        <v>12</v>
      </c>
      <c r="G51" s="3" t="s">
        <v>997</v>
      </c>
      <c r="H51" s="3"/>
      <c r="I51" s="3" t="s">
        <v>998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0.02</v>
      </c>
      <c r="P51" s="3">
        <v>0</v>
      </c>
      <c r="Q51" s="3">
        <v>0</v>
      </c>
      <c r="R51" s="3">
        <v>0</v>
      </c>
    </row>
    <row r="52" spans="1:18">
      <c r="A52" s="3" t="s">
        <v>1103</v>
      </c>
      <c r="B52" s="3" t="s">
        <v>1104</v>
      </c>
      <c r="C52" s="3" t="s">
        <v>1105</v>
      </c>
      <c r="D52" s="3" t="s">
        <v>1106</v>
      </c>
      <c r="E52" s="3" t="s">
        <v>159</v>
      </c>
      <c r="F52" s="3">
        <v>12</v>
      </c>
      <c r="G52" s="3" t="s">
        <v>997</v>
      </c>
      <c r="H52" s="3"/>
      <c r="I52" s="3" t="s">
        <v>998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0.02</v>
      </c>
      <c r="P52" s="3">
        <v>0</v>
      </c>
      <c r="Q52" s="3">
        <v>0</v>
      </c>
      <c r="R52" s="3">
        <v>0</v>
      </c>
    </row>
    <row r="53" spans="1:18">
      <c r="A53" s="3" t="s">
        <v>1107</v>
      </c>
      <c r="B53" s="3" t="s">
        <v>1108</v>
      </c>
      <c r="C53" s="3" t="s">
        <v>1109</v>
      </c>
      <c r="D53" s="3" t="s">
        <v>1110</v>
      </c>
      <c r="E53" s="3" t="s">
        <v>159</v>
      </c>
      <c r="F53" s="3">
        <v>12</v>
      </c>
      <c r="G53" s="3" t="s">
        <v>997</v>
      </c>
      <c r="H53" s="3"/>
      <c r="I53" s="3" t="s">
        <v>998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0.02</v>
      </c>
      <c r="P53" s="3">
        <v>0</v>
      </c>
      <c r="Q53" s="3">
        <v>0</v>
      </c>
      <c r="R53" s="3">
        <v>0</v>
      </c>
    </row>
    <row r="54" spans="1:18">
      <c r="A54" s="3" t="s">
        <v>1111</v>
      </c>
      <c r="B54" s="3" t="s">
        <v>1112</v>
      </c>
      <c r="C54" s="3" t="s">
        <v>1113</v>
      </c>
      <c r="D54" s="3" t="s">
        <v>1114</v>
      </c>
      <c r="E54" s="3" t="s">
        <v>159</v>
      </c>
      <c r="F54" s="3">
        <v>12</v>
      </c>
      <c r="G54" s="3" t="s">
        <v>997</v>
      </c>
      <c r="H54" s="3"/>
      <c r="I54" s="3" t="s">
        <v>998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0.02</v>
      </c>
      <c r="P54" s="3">
        <v>0</v>
      </c>
      <c r="Q54" s="3">
        <v>0</v>
      </c>
      <c r="R54" s="3">
        <v>0</v>
      </c>
    </row>
    <row r="55" spans="1:18">
      <c r="A55" s="3" t="s">
        <v>1115</v>
      </c>
      <c r="B55" s="3" t="s">
        <v>1116</v>
      </c>
      <c r="C55" s="3" t="s">
        <v>1117</v>
      </c>
      <c r="D55" s="3" t="s">
        <v>1118</v>
      </c>
      <c r="E55" s="3" t="s">
        <v>159</v>
      </c>
      <c r="F55" s="3">
        <v>12</v>
      </c>
      <c r="G55" s="3" t="s">
        <v>997</v>
      </c>
      <c r="H55" s="3"/>
      <c r="I55" s="3" t="s">
        <v>998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0.02</v>
      </c>
      <c r="P55" s="3">
        <v>0</v>
      </c>
      <c r="Q55" s="3">
        <v>0</v>
      </c>
      <c r="R55" s="3">
        <v>0</v>
      </c>
    </row>
    <row r="56" spans="1:18">
      <c r="A56" s="3" t="s">
        <v>1119</v>
      </c>
      <c r="B56" s="3" t="s">
        <v>1120</v>
      </c>
      <c r="C56" s="3" t="s">
        <v>1121</v>
      </c>
      <c r="D56" s="3" t="s">
        <v>1122</v>
      </c>
      <c r="E56" s="3" t="s">
        <v>159</v>
      </c>
      <c r="F56" s="3">
        <v>12</v>
      </c>
      <c r="G56" s="3" t="s">
        <v>997</v>
      </c>
      <c r="H56" s="3"/>
      <c r="I56" s="3" t="s">
        <v>998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0.02</v>
      </c>
      <c r="P56" s="3">
        <v>0</v>
      </c>
      <c r="Q56" s="3">
        <v>0</v>
      </c>
      <c r="R56" s="3">
        <v>0</v>
      </c>
    </row>
    <row r="57" spans="1:18">
      <c r="A57" s="3" t="s">
        <v>1123</v>
      </c>
      <c r="B57" s="3" t="s">
        <v>1124</v>
      </c>
      <c r="C57" s="3" t="s">
        <v>1125</v>
      </c>
      <c r="D57" s="3" t="s">
        <v>1126</v>
      </c>
      <c r="E57" s="3" t="s">
        <v>159</v>
      </c>
      <c r="F57" s="3">
        <v>12</v>
      </c>
      <c r="G57" s="3" t="s">
        <v>997</v>
      </c>
      <c r="H57" s="3"/>
      <c r="I57" s="3" t="s">
        <v>998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0.02</v>
      </c>
      <c r="P57" s="3">
        <v>0</v>
      </c>
      <c r="Q57" s="3">
        <v>0</v>
      </c>
      <c r="R57" s="3">
        <v>0</v>
      </c>
    </row>
    <row r="58" spans="1:18">
      <c r="A58" s="3" t="s">
        <v>1127</v>
      </c>
      <c r="B58" s="3" t="s">
        <v>1128</v>
      </c>
      <c r="C58" s="3" t="s">
        <v>1129</v>
      </c>
      <c r="D58" s="3" t="s">
        <v>1130</v>
      </c>
      <c r="E58" s="3" t="s">
        <v>159</v>
      </c>
      <c r="F58" s="3">
        <v>12</v>
      </c>
      <c r="G58" s="3" t="s">
        <v>997</v>
      </c>
      <c r="H58" s="3"/>
      <c r="I58" s="3" t="s">
        <v>998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0.02</v>
      </c>
      <c r="P58" s="3">
        <v>0</v>
      </c>
      <c r="Q58" s="3">
        <v>0</v>
      </c>
      <c r="R58" s="3">
        <v>0</v>
      </c>
    </row>
    <row r="59" spans="1:18">
      <c r="A59" s="3" t="s">
        <v>1131</v>
      </c>
      <c r="B59" s="3" t="s">
        <v>1132</v>
      </c>
      <c r="C59" s="3" t="s">
        <v>1133</v>
      </c>
      <c r="D59" s="3" t="s">
        <v>1134</v>
      </c>
      <c r="E59" s="3" t="s">
        <v>159</v>
      </c>
      <c r="F59" s="3">
        <v>12</v>
      </c>
      <c r="G59" s="3" t="s">
        <v>997</v>
      </c>
      <c r="H59" s="3"/>
      <c r="I59" s="3" t="s">
        <v>998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0.02</v>
      </c>
      <c r="P59" s="3">
        <v>0</v>
      </c>
      <c r="Q59" s="3">
        <v>0</v>
      </c>
      <c r="R59" s="3">
        <v>0</v>
      </c>
    </row>
    <row r="60" spans="1:18">
      <c r="A60" s="3" t="s">
        <v>1135</v>
      </c>
      <c r="B60" s="3" t="s">
        <v>1136</v>
      </c>
      <c r="C60" s="3" t="s">
        <v>1137</v>
      </c>
      <c r="D60" s="3" t="s">
        <v>1138</v>
      </c>
      <c r="E60" s="3" t="s">
        <v>159</v>
      </c>
      <c r="F60" s="3">
        <v>12</v>
      </c>
      <c r="G60" s="3" t="s">
        <v>997</v>
      </c>
      <c r="H60" s="3"/>
      <c r="I60" s="3" t="s">
        <v>998</v>
      </c>
      <c r="J60" s="3">
        <v>0</v>
      </c>
      <c r="K60" s="3">
        <v>0</v>
      </c>
      <c r="L60" s="3">
        <v>0</v>
      </c>
      <c r="M60" s="3">
        <v>0</v>
      </c>
      <c r="N60" s="3">
        <v>0</v>
      </c>
      <c r="O60" s="3">
        <v>0.02</v>
      </c>
      <c r="P60" s="3">
        <v>0</v>
      </c>
      <c r="Q60" s="3">
        <v>0</v>
      </c>
      <c r="R60" s="3">
        <v>0</v>
      </c>
    </row>
    <row r="61" spans="1:18">
      <c r="A61" s="3" t="s">
        <v>1139</v>
      </c>
      <c r="B61" s="3" t="s">
        <v>1140</v>
      </c>
      <c r="C61" s="3" t="s">
        <v>1141</v>
      </c>
      <c r="D61" s="3" t="s">
        <v>1142</v>
      </c>
      <c r="E61" s="3" t="s">
        <v>159</v>
      </c>
      <c r="F61" s="3">
        <v>12</v>
      </c>
      <c r="G61" s="3" t="s">
        <v>997</v>
      </c>
      <c r="H61" s="3"/>
      <c r="I61" s="3" t="s">
        <v>998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0.02</v>
      </c>
      <c r="P61" s="3">
        <v>0</v>
      </c>
      <c r="Q61" s="3">
        <v>0</v>
      </c>
      <c r="R61" s="3">
        <v>0</v>
      </c>
    </row>
    <row r="62" spans="1:18">
      <c r="A62" s="3" t="s">
        <v>1143</v>
      </c>
      <c r="B62" s="3" t="s">
        <v>1144</v>
      </c>
      <c r="C62" s="3" t="s">
        <v>1145</v>
      </c>
      <c r="D62" s="3" t="s">
        <v>1146</v>
      </c>
      <c r="E62" s="3" t="s">
        <v>159</v>
      </c>
      <c r="F62" s="3">
        <v>12</v>
      </c>
      <c r="G62" s="3" t="s">
        <v>997</v>
      </c>
      <c r="H62" s="3"/>
      <c r="I62" s="3" t="s">
        <v>998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0.02</v>
      </c>
      <c r="P62" s="3">
        <v>0</v>
      </c>
      <c r="Q62" s="3">
        <v>0</v>
      </c>
      <c r="R62" s="3">
        <v>0</v>
      </c>
    </row>
    <row r="63" spans="1:18">
      <c r="A63" s="3" t="s">
        <v>1147</v>
      </c>
      <c r="B63" s="3" t="s">
        <v>1148</v>
      </c>
      <c r="C63" s="3" t="s">
        <v>1149</v>
      </c>
      <c r="D63" s="3" t="s">
        <v>1150</v>
      </c>
      <c r="E63" s="3" t="s">
        <v>159</v>
      </c>
      <c r="F63" s="3">
        <v>12</v>
      </c>
      <c r="G63" s="3" t="s">
        <v>997</v>
      </c>
      <c r="H63" s="3"/>
      <c r="I63" s="3" t="s">
        <v>998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0.08</v>
      </c>
      <c r="P63" s="3">
        <v>0</v>
      </c>
      <c r="Q63" s="3">
        <v>0</v>
      </c>
      <c r="R63" s="3">
        <v>0</v>
      </c>
    </row>
    <row r="64" spans="1:18">
      <c r="A64" s="3" t="s">
        <v>1151</v>
      </c>
      <c r="B64" s="3" t="s">
        <v>1152</v>
      </c>
      <c r="C64" s="3" t="s">
        <v>1153</v>
      </c>
      <c r="D64" s="3" t="s">
        <v>1154</v>
      </c>
      <c r="E64" s="3" t="s">
        <v>159</v>
      </c>
      <c r="F64" s="3">
        <v>12</v>
      </c>
      <c r="G64" s="3" t="s">
        <v>997</v>
      </c>
      <c r="H64" s="3"/>
      <c r="I64" s="3" t="s">
        <v>998</v>
      </c>
      <c r="J64" s="3">
        <v>0</v>
      </c>
      <c r="K64" s="3">
        <v>0</v>
      </c>
      <c r="L64" s="3">
        <v>0</v>
      </c>
      <c r="M64" s="3">
        <v>0</v>
      </c>
      <c r="N64" s="3">
        <v>0</v>
      </c>
      <c r="O64" s="3">
        <v>0.15</v>
      </c>
      <c r="P64" s="3">
        <v>0</v>
      </c>
      <c r="Q64" s="3">
        <v>0</v>
      </c>
      <c r="R64" s="3">
        <v>0</v>
      </c>
    </row>
    <row r="65" spans="1:18">
      <c r="A65" s="3" t="s">
        <v>1155</v>
      </c>
      <c r="B65" s="3" t="s">
        <v>1156</v>
      </c>
      <c r="C65" s="3" t="s">
        <v>1157</v>
      </c>
      <c r="D65" s="3" t="s">
        <v>1158</v>
      </c>
      <c r="E65" s="3" t="s">
        <v>159</v>
      </c>
      <c r="F65" s="3">
        <v>12</v>
      </c>
      <c r="G65" s="3" t="s">
        <v>997</v>
      </c>
      <c r="H65" s="3"/>
      <c r="I65" s="3" t="s">
        <v>998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0.06</v>
      </c>
      <c r="P65" s="3">
        <v>0</v>
      </c>
      <c r="Q65" s="3">
        <v>0</v>
      </c>
      <c r="R65" s="3">
        <v>0</v>
      </c>
    </row>
    <row r="66" spans="1:18">
      <c r="A66" s="3" t="s">
        <v>1159</v>
      </c>
      <c r="B66" s="3" t="s">
        <v>1160</v>
      </c>
      <c r="C66" s="3" t="s">
        <v>1161</v>
      </c>
      <c r="D66" s="3" t="s">
        <v>1162</v>
      </c>
      <c r="E66" s="3" t="s">
        <v>159</v>
      </c>
      <c r="F66" s="3">
        <v>12</v>
      </c>
      <c r="G66" s="3" t="s">
        <v>997</v>
      </c>
      <c r="H66" s="3"/>
      <c r="I66" s="3" t="s">
        <v>998</v>
      </c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>
        <v>0.09</v>
      </c>
      <c r="P66" s="3">
        <v>0</v>
      </c>
      <c r="Q66" s="3">
        <v>0</v>
      </c>
      <c r="R66" s="3">
        <v>0</v>
      </c>
    </row>
    <row r="67" spans="1:18">
      <c r="A67" s="3" t="s">
        <v>1163</v>
      </c>
      <c r="B67" s="3" t="s">
        <v>1164</v>
      </c>
      <c r="C67" s="3" t="s">
        <v>1165</v>
      </c>
      <c r="D67" s="3" t="s">
        <v>1166</v>
      </c>
      <c r="E67" s="3" t="s">
        <v>159</v>
      </c>
      <c r="F67" s="3">
        <v>12</v>
      </c>
      <c r="G67" s="3" t="s">
        <v>997</v>
      </c>
      <c r="H67" s="3"/>
      <c r="I67" s="3" t="s">
        <v>998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0.02</v>
      </c>
      <c r="P67" s="3">
        <v>0</v>
      </c>
      <c r="Q67" s="3">
        <v>0</v>
      </c>
      <c r="R67" s="3">
        <v>0</v>
      </c>
    </row>
    <row r="68" spans="1:18">
      <c r="A68" s="3" t="s">
        <v>1167</v>
      </c>
      <c r="B68" s="3" t="s">
        <v>1168</v>
      </c>
      <c r="C68" s="3" t="s">
        <v>1169</v>
      </c>
      <c r="D68" s="3" t="s">
        <v>1170</v>
      </c>
      <c r="E68" s="3" t="s">
        <v>159</v>
      </c>
      <c r="F68" s="3">
        <v>12</v>
      </c>
      <c r="G68" s="3" t="s">
        <v>997</v>
      </c>
      <c r="H68" s="3"/>
      <c r="I68" s="3" t="s">
        <v>998</v>
      </c>
      <c r="J68" s="3">
        <v>0</v>
      </c>
      <c r="K68" s="3">
        <v>0</v>
      </c>
      <c r="L68" s="3">
        <v>0</v>
      </c>
      <c r="M68" s="3">
        <v>0</v>
      </c>
      <c r="N68" s="3">
        <v>0</v>
      </c>
      <c r="O68" s="3">
        <v>0.02</v>
      </c>
      <c r="P68" s="3">
        <v>0</v>
      </c>
      <c r="Q68" s="3">
        <v>0</v>
      </c>
      <c r="R68" s="3">
        <v>0</v>
      </c>
    </row>
    <row r="69" spans="1:18">
      <c r="A69" s="3" t="s">
        <v>1171</v>
      </c>
      <c r="B69" s="3" t="s">
        <v>1172</v>
      </c>
      <c r="C69" s="3" t="s">
        <v>1173</v>
      </c>
      <c r="D69" s="3" t="s">
        <v>1174</v>
      </c>
      <c r="E69" s="3" t="s">
        <v>159</v>
      </c>
      <c r="F69" s="3">
        <v>12</v>
      </c>
      <c r="G69" s="3" t="s">
        <v>997</v>
      </c>
      <c r="H69" s="3"/>
      <c r="I69" s="3" t="s">
        <v>998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0.02</v>
      </c>
      <c r="P69" s="3">
        <v>0</v>
      </c>
      <c r="Q69" s="3">
        <v>0</v>
      </c>
      <c r="R69" s="3">
        <v>0</v>
      </c>
    </row>
    <row r="70" spans="1:18">
      <c r="A70" s="3" t="s">
        <v>1175</v>
      </c>
      <c r="B70" s="3" t="s">
        <v>1176</v>
      </c>
      <c r="C70" s="3" t="s">
        <v>1177</v>
      </c>
      <c r="D70" s="3" t="s">
        <v>1178</v>
      </c>
      <c r="E70" s="3" t="s">
        <v>159</v>
      </c>
      <c r="F70" s="3">
        <v>12</v>
      </c>
      <c r="G70" s="3" t="s">
        <v>997</v>
      </c>
      <c r="H70" s="3"/>
      <c r="I70" s="3" t="s">
        <v>998</v>
      </c>
      <c r="J70" s="3">
        <v>0</v>
      </c>
      <c r="K70" s="3">
        <v>0</v>
      </c>
      <c r="L70" s="3">
        <v>0</v>
      </c>
      <c r="M70" s="3">
        <v>0</v>
      </c>
      <c r="N70" s="3">
        <v>0</v>
      </c>
      <c r="O70" s="3">
        <v>0.02</v>
      </c>
      <c r="P70" s="3">
        <v>0</v>
      </c>
      <c r="Q70" s="3">
        <v>0</v>
      </c>
      <c r="R70" s="3">
        <v>0</v>
      </c>
    </row>
    <row r="71" spans="1:18">
      <c r="A71" s="3" t="s">
        <v>1179</v>
      </c>
      <c r="B71" s="3" t="s">
        <v>1180</v>
      </c>
      <c r="C71" s="3" t="s">
        <v>1181</v>
      </c>
      <c r="D71" s="3" t="s">
        <v>1182</v>
      </c>
      <c r="E71" s="3" t="s">
        <v>159</v>
      </c>
      <c r="F71" s="3">
        <v>12</v>
      </c>
      <c r="G71" s="3" t="s">
        <v>997</v>
      </c>
      <c r="H71" s="3"/>
      <c r="I71" s="3" t="s">
        <v>998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0.09</v>
      </c>
      <c r="P71" s="3">
        <v>0</v>
      </c>
      <c r="Q71" s="3">
        <v>0</v>
      </c>
      <c r="R71" s="3">
        <v>0</v>
      </c>
    </row>
    <row r="72" spans="1:18">
      <c r="A72" s="3" t="s">
        <v>1183</v>
      </c>
      <c r="B72" s="3" t="s">
        <v>1184</v>
      </c>
      <c r="C72" s="3" t="s">
        <v>1185</v>
      </c>
      <c r="D72" s="3" t="s">
        <v>1186</v>
      </c>
      <c r="E72" s="3" t="s">
        <v>159</v>
      </c>
      <c r="F72" s="3">
        <v>12</v>
      </c>
      <c r="G72" s="3" t="s">
        <v>997</v>
      </c>
      <c r="H72" s="3"/>
      <c r="I72" s="3" t="s">
        <v>998</v>
      </c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>
        <v>0.09</v>
      </c>
      <c r="P72" s="3">
        <v>0</v>
      </c>
      <c r="Q72" s="3">
        <v>0</v>
      </c>
      <c r="R72" s="3">
        <v>0</v>
      </c>
    </row>
    <row r="73" spans="1:18">
      <c r="A73" s="3" t="s">
        <v>1187</v>
      </c>
      <c r="B73" s="3" t="s">
        <v>1188</v>
      </c>
      <c r="C73" s="3" t="s">
        <v>1189</v>
      </c>
      <c r="D73" s="3" t="s">
        <v>1190</v>
      </c>
      <c r="E73" s="3" t="s">
        <v>159</v>
      </c>
      <c r="F73" s="3">
        <v>12</v>
      </c>
      <c r="G73" s="3" t="s">
        <v>997</v>
      </c>
      <c r="H73" s="3"/>
      <c r="I73" s="3" t="s">
        <v>998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0.07</v>
      </c>
      <c r="P73" s="3">
        <v>0</v>
      </c>
      <c r="Q73" s="3">
        <v>0</v>
      </c>
      <c r="R73" s="3">
        <v>0</v>
      </c>
    </row>
    <row r="74" spans="1:18">
      <c r="A74" s="3" t="s">
        <v>1191</v>
      </c>
      <c r="B74" s="3" t="s">
        <v>1192</v>
      </c>
      <c r="C74" s="3" t="s">
        <v>1193</v>
      </c>
      <c r="D74" s="3" t="s">
        <v>1194</v>
      </c>
      <c r="E74" s="3" t="s">
        <v>159</v>
      </c>
      <c r="F74" s="3">
        <v>12</v>
      </c>
      <c r="G74" s="3" t="s">
        <v>997</v>
      </c>
      <c r="H74" s="3"/>
      <c r="I74" s="3" t="s">
        <v>998</v>
      </c>
      <c r="J74" s="3">
        <v>0</v>
      </c>
      <c r="K74" s="3">
        <v>0</v>
      </c>
      <c r="L74" s="3">
        <v>0</v>
      </c>
      <c r="M74" s="3">
        <v>0</v>
      </c>
      <c r="N74" s="3">
        <v>0</v>
      </c>
      <c r="O74" s="3">
        <v>0.08</v>
      </c>
      <c r="P74" s="3">
        <v>0</v>
      </c>
      <c r="Q74" s="3">
        <v>0</v>
      </c>
      <c r="R74" s="3">
        <v>0</v>
      </c>
    </row>
    <row r="75" spans="1:18">
      <c r="A75" s="3" t="s">
        <v>1195</v>
      </c>
      <c r="B75" s="3" t="s">
        <v>1196</v>
      </c>
      <c r="C75" s="3" t="s">
        <v>1197</v>
      </c>
      <c r="D75" s="3" t="s">
        <v>1198</v>
      </c>
      <c r="E75" s="3" t="s">
        <v>159</v>
      </c>
      <c r="F75" s="3">
        <v>12</v>
      </c>
      <c r="G75" s="3" t="s">
        <v>997</v>
      </c>
      <c r="H75" s="3"/>
      <c r="I75" s="3" t="s">
        <v>998</v>
      </c>
      <c r="J75" s="3">
        <v>0</v>
      </c>
      <c r="K75" s="3">
        <v>0</v>
      </c>
      <c r="L75" s="3">
        <v>0</v>
      </c>
      <c r="M75" s="3">
        <v>0</v>
      </c>
      <c r="N75" s="3">
        <v>0</v>
      </c>
      <c r="O75" s="3">
        <v>0.02</v>
      </c>
      <c r="P75" s="3">
        <v>0</v>
      </c>
      <c r="Q75" s="3">
        <v>0</v>
      </c>
      <c r="R75" s="3">
        <v>0</v>
      </c>
    </row>
    <row r="76" spans="1:18">
      <c r="A76" s="3" t="s">
        <v>1199</v>
      </c>
      <c r="B76" s="3" t="s">
        <v>1200</v>
      </c>
      <c r="C76" s="3" t="s">
        <v>1201</v>
      </c>
      <c r="D76" s="3" t="s">
        <v>1202</v>
      </c>
      <c r="E76" s="3" t="s">
        <v>159</v>
      </c>
      <c r="F76" s="3">
        <v>12</v>
      </c>
      <c r="G76" s="3" t="s">
        <v>997</v>
      </c>
      <c r="H76" s="3"/>
      <c r="I76" s="3" t="s">
        <v>998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0.02</v>
      </c>
      <c r="P76" s="3">
        <v>0</v>
      </c>
      <c r="Q76" s="3">
        <v>0</v>
      </c>
      <c r="R76" s="3">
        <v>0</v>
      </c>
    </row>
    <row r="77" spans="1:18">
      <c r="A77" s="3" t="s">
        <v>1203</v>
      </c>
      <c r="B77" s="3" t="s">
        <v>1204</v>
      </c>
      <c r="C77" s="3" t="s">
        <v>1205</v>
      </c>
      <c r="D77" s="3" t="s">
        <v>1206</v>
      </c>
      <c r="E77" s="3" t="s">
        <v>159</v>
      </c>
      <c r="F77" s="3">
        <v>12</v>
      </c>
      <c r="G77" s="3" t="s">
        <v>997</v>
      </c>
      <c r="H77" s="3"/>
      <c r="I77" s="3" t="s">
        <v>998</v>
      </c>
      <c r="J77" s="3">
        <v>0</v>
      </c>
      <c r="K77" s="3">
        <v>0</v>
      </c>
      <c r="L77" s="3">
        <v>0</v>
      </c>
      <c r="M77" s="3">
        <v>0</v>
      </c>
      <c r="N77" s="3">
        <v>0</v>
      </c>
      <c r="O77" s="3">
        <v>0.02</v>
      </c>
      <c r="P77" s="3">
        <v>0</v>
      </c>
      <c r="Q77" s="3">
        <v>0</v>
      </c>
      <c r="R77" s="3">
        <v>0</v>
      </c>
    </row>
    <row r="78" spans="1:18">
      <c r="A78" s="3" t="s">
        <v>1207</v>
      </c>
      <c r="B78" s="3" t="s">
        <v>1208</v>
      </c>
      <c r="C78" s="3" t="s">
        <v>1209</v>
      </c>
      <c r="D78" s="3" t="s">
        <v>1210</v>
      </c>
      <c r="E78" s="3" t="s">
        <v>159</v>
      </c>
      <c r="F78" s="3">
        <v>12</v>
      </c>
      <c r="G78" s="3" t="s">
        <v>997</v>
      </c>
      <c r="H78" s="3"/>
      <c r="I78" s="3" t="s">
        <v>998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0.22</v>
      </c>
      <c r="P78" s="3">
        <v>0</v>
      </c>
      <c r="Q78" s="3">
        <v>0</v>
      </c>
      <c r="R78" s="3">
        <v>0</v>
      </c>
    </row>
    <row r="79" spans="1:18">
      <c r="A79" s="3" t="s">
        <v>1211</v>
      </c>
      <c r="B79" s="3" t="s">
        <v>1212</v>
      </c>
      <c r="C79" s="3" t="s">
        <v>1213</v>
      </c>
      <c r="D79" s="3" t="s">
        <v>1214</v>
      </c>
      <c r="E79" s="3" t="s">
        <v>159</v>
      </c>
      <c r="F79" s="3">
        <v>12</v>
      </c>
      <c r="G79" s="3" t="s">
        <v>997</v>
      </c>
      <c r="H79" s="3"/>
      <c r="I79" s="3" t="s">
        <v>998</v>
      </c>
      <c r="J79" s="3">
        <v>0</v>
      </c>
      <c r="K79" s="3">
        <v>0</v>
      </c>
      <c r="L79" s="3">
        <v>0</v>
      </c>
      <c r="M79" s="3">
        <v>0</v>
      </c>
      <c r="N79" s="3">
        <v>0</v>
      </c>
      <c r="O79" s="3">
        <v>0.09</v>
      </c>
      <c r="P79" s="3">
        <v>0</v>
      </c>
      <c r="Q79" s="3">
        <v>0</v>
      </c>
      <c r="R79" s="3">
        <v>0</v>
      </c>
    </row>
    <row r="80" spans="1:18">
      <c r="A80" s="3" t="s">
        <v>1215</v>
      </c>
      <c r="B80" s="3" t="s">
        <v>1216</v>
      </c>
      <c r="C80" s="3" t="s">
        <v>1217</v>
      </c>
      <c r="D80" s="3" t="s">
        <v>1218</v>
      </c>
      <c r="E80" s="3" t="s">
        <v>159</v>
      </c>
      <c r="F80" s="3">
        <v>12</v>
      </c>
      <c r="G80" s="3" t="s">
        <v>997</v>
      </c>
      <c r="H80" s="3"/>
      <c r="I80" s="3" t="s">
        <v>998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0.02</v>
      </c>
      <c r="P80" s="3">
        <v>0</v>
      </c>
      <c r="Q80" s="3">
        <v>0</v>
      </c>
      <c r="R80" s="3">
        <v>0</v>
      </c>
    </row>
    <row r="81" spans="1:18">
      <c r="A81" s="3" t="s">
        <v>1219</v>
      </c>
      <c r="B81" s="3" t="s">
        <v>1220</v>
      </c>
      <c r="C81" s="3" t="s">
        <v>1221</v>
      </c>
      <c r="D81" s="3" t="s">
        <v>1222</v>
      </c>
      <c r="E81" s="3" t="s">
        <v>159</v>
      </c>
      <c r="F81" s="3">
        <v>12</v>
      </c>
      <c r="G81" s="3" t="s">
        <v>997</v>
      </c>
      <c r="H81" s="3"/>
      <c r="I81" s="3" t="s">
        <v>998</v>
      </c>
      <c r="J81" s="3">
        <v>0</v>
      </c>
      <c r="K81" s="3">
        <v>0</v>
      </c>
      <c r="L81" s="3">
        <v>0</v>
      </c>
      <c r="M81" s="3">
        <v>0</v>
      </c>
      <c r="N81" s="3">
        <v>0</v>
      </c>
      <c r="O81" s="3">
        <v>0.05</v>
      </c>
      <c r="P81" s="3">
        <v>0</v>
      </c>
      <c r="Q81" s="3">
        <v>0</v>
      </c>
      <c r="R81" s="3">
        <v>0</v>
      </c>
    </row>
    <row r="82" spans="1:18">
      <c r="A82" s="3" t="s">
        <v>1223</v>
      </c>
      <c r="B82" s="3" t="s">
        <v>1224</v>
      </c>
      <c r="C82" s="3" t="s">
        <v>1225</v>
      </c>
      <c r="D82" s="3" t="s">
        <v>1226</v>
      </c>
      <c r="E82" s="3" t="s">
        <v>159</v>
      </c>
      <c r="F82" s="3">
        <v>12</v>
      </c>
      <c r="G82" s="3" t="s">
        <v>997</v>
      </c>
      <c r="H82" s="3"/>
      <c r="I82" s="3" t="s">
        <v>998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0.02</v>
      </c>
      <c r="P82" s="3">
        <v>0</v>
      </c>
      <c r="Q82" s="3">
        <v>0</v>
      </c>
      <c r="R82" s="3">
        <v>0</v>
      </c>
    </row>
    <row r="83" spans="1:18">
      <c r="A83" s="3" t="s">
        <v>1227</v>
      </c>
      <c r="B83" s="3" t="s">
        <v>1228</v>
      </c>
      <c r="C83" s="3" t="s">
        <v>1229</v>
      </c>
      <c r="D83" s="3" t="s">
        <v>1230</v>
      </c>
      <c r="E83" s="3" t="s">
        <v>159</v>
      </c>
      <c r="F83" s="3">
        <v>12</v>
      </c>
      <c r="G83" s="3" t="s">
        <v>997</v>
      </c>
      <c r="H83" s="3"/>
      <c r="I83" s="3" t="s">
        <v>998</v>
      </c>
      <c r="J83" s="3">
        <v>0</v>
      </c>
      <c r="K83" s="3">
        <v>0</v>
      </c>
      <c r="L83" s="3">
        <v>0</v>
      </c>
      <c r="M83" s="3">
        <v>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</row>
    <row r="84" spans="1:18">
      <c r="A84" s="3" t="s">
        <v>1231</v>
      </c>
      <c r="B84" s="3" t="s">
        <v>1232</v>
      </c>
      <c r="C84" s="3" t="s">
        <v>1233</v>
      </c>
      <c r="D84" s="3" t="s">
        <v>1234</v>
      </c>
      <c r="E84" s="3" t="s">
        <v>159</v>
      </c>
      <c r="F84" s="3">
        <v>12</v>
      </c>
      <c r="G84" s="3" t="s">
        <v>997</v>
      </c>
      <c r="H84" s="3"/>
      <c r="I84" s="3" t="s">
        <v>998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0.02</v>
      </c>
      <c r="P84" s="3">
        <v>0</v>
      </c>
      <c r="Q84" s="3">
        <v>0</v>
      </c>
      <c r="R84" s="3">
        <v>0</v>
      </c>
    </row>
    <row r="85" spans="1:18">
      <c r="A85" s="3" t="s">
        <v>1235</v>
      </c>
      <c r="B85" s="3" t="s">
        <v>1236</v>
      </c>
      <c r="C85" s="3" t="s">
        <v>1237</v>
      </c>
      <c r="D85" s="3" t="s">
        <v>1238</v>
      </c>
      <c r="E85" s="3" t="s">
        <v>159</v>
      </c>
      <c r="F85" s="3">
        <v>12</v>
      </c>
      <c r="G85" s="3" t="s">
        <v>997</v>
      </c>
      <c r="H85" s="3"/>
      <c r="I85" s="3" t="s">
        <v>998</v>
      </c>
      <c r="J85" s="3">
        <v>0</v>
      </c>
      <c r="K85" s="3">
        <v>0</v>
      </c>
      <c r="L85" s="3">
        <v>0</v>
      </c>
      <c r="M85" s="3">
        <v>0</v>
      </c>
      <c r="N85" s="3">
        <v>0</v>
      </c>
      <c r="O85" s="3">
        <v>0.02</v>
      </c>
      <c r="P85" s="3">
        <v>0</v>
      </c>
      <c r="Q85" s="3">
        <v>0</v>
      </c>
      <c r="R85" s="3">
        <v>0</v>
      </c>
    </row>
    <row r="86" spans="1:18">
      <c r="A86" s="3" t="s">
        <v>1239</v>
      </c>
      <c r="B86" s="3" t="s">
        <v>1240</v>
      </c>
      <c r="C86" s="3" t="s">
        <v>1241</v>
      </c>
      <c r="D86" s="3" t="s">
        <v>1242</v>
      </c>
      <c r="E86" s="3" t="s">
        <v>159</v>
      </c>
      <c r="F86" s="3">
        <v>12</v>
      </c>
      <c r="G86" s="3" t="s">
        <v>997</v>
      </c>
      <c r="H86" s="3"/>
      <c r="I86" s="3" t="s">
        <v>998</v>
      </c>
      <c r="J86" s="3">
        <v>0</v>
      </c>
      <c r="K86" s="3">
        <v>0</v>
      </c>
      <c r="L86" s="3">
        <v>0</v>
      </c>
      <c r="M86" s="3">
        <v>0</v>
      </c>
      <c r="N86" s="3">
        <v>0</v>
      </c>
      <c r="O86" s="3">
        <v>0.02</v>
      </c>
      <c r="P86" s="3">
        <v>0</v>
      </c>
      <c r="Q86" s="3">
        <v>0</v>
      </c>
      <c r="R86" s="3">
        <v>0</v>
      </c>
    </row>
    <row r="87" spans="1:18">
      <c r="A87" s="3" t="s">
        <v>1243</v>
      </c>
      <c r="B87" s="3" t="s">
        <v>1244</v>
      </c>
      <c r="C87" s="3" t="s">
        <v>1245</v>
      </c>
      <c r="D87" s="3" t="s">
        <v>1246</v>
      </c>
      <c r="E87" s="3" t="s">
        <v>159</v>
      </c>
      <c r="F87" s="3">
        <v>12</v>
      </c>
      <c r="G87" s="3" t="s">
        <v>997</v>
      </c>
      <c r="H87" s="3"/>
      <c r="I87" s="3" t="s">
        <v>998</v>
      </c>
      <c r="J87" s="3">
        <v>0</v>
      </c>
      <c r="K87" s="3">
        <v>0</v>
      </c>
      <c r="L87" s="3">
        <v>0</v>
      </c>
      <c r="M87" s="3">
        <v>0</v>
      </c>
      <c r="N87" s="3">
        <v>0</v>
      </c>
      <c r="O87" s="3">
        <v>0.02</v>
      </c>
      <c r="P87" s="3">
        <v>0</v>
      </c>
      <c r="Q87" s="3">
        <v>0</v>
      </c>
      <c r="R87" s="3">
        <v>0</v>
      </c>
    </row>
    <row r="88" spans="1:18">
      <c r="A88" s="3" t="s">
        <v>1247</v>
      </c>
      <c r="B88" s="3" t="s">
        <v>1248</v>
      </c>
      <c r="C88" s="3" t="s">
        <v>1249</v>
      </c>
      <c r="D88" s="3" t="s">
        <v>1250</v>
      </c>
      <c r="E88" s="3" t="s">
        <v>159</v>
      </c>
      <c r="F88" s="3">
        <v>12</v>
      </c>
      <c r="G88" s="3" t="s">
        <v>997</v>
      </c>
      <c r="H88" s="3"/>
      <c r="I88" s="3" t="s">
        <v>998</v>
      </c>
      <c r="J88" s="3">
        <v>0</v>
      </c>
      <c r="K88" s="3">
        <v>0</v>
      </c>
      <c r="L88" s="3">
        <v>0</v>
      </c>
      <c r="M88" s="3">
        <v>0</v>
      </c>
      <c r="N88" s="3">
        <v>0</v>
      </c>
      <c r="O88" s="3">
        <v>0.02</v>
      </c>
      <c r="P88" s="3">
        <v>0</v>
      </c>
      <c r="Q88" s="3">
        <v>0</v>
      </c>
      <c r="R88" s="3">
        <v>0</v>
      </c>
    </row>
    <row r="89" spans="1:18">
      <c r="A89" s="3" t="s">
        <v>1251</v>
      </c>
      <c r="B89" s="3" t="s">
        <v>1252</v>
      </c>
      <c r="C89" s="3" t="s">
        <v>1253</v>
      </c>
      <c r="D89" s="3" t="s">
        <v>1254</v>
      </c>
      <c r="E89" s="3" t="s">
        <v>159</v>
      </c>
      <c r="F89" s="3">
        <v>12</v>
      </c>
      <c r="G89" s="3" t="s">
        <v>997</v>
      </c>
      <c r="H89" s="3"/>
      <c r="I89" s="3" t="s">
        <v>998</v>
      </c>
      <c r="J89" s="3">
        <v>0</v>
      </c>
      <c r="K89" s="3">
        <v>0</v>
      </c>
      <c r="L89" s="3">
        <v>0</v>
      </c>
      <c r="M89" s="3">
        <v>0</v>
      </c>
      <c r="N89" s="3">
        <v>0</v>
      </c>
      <c r="O89" s="3">
        <v>0.02</v>
      </c>
      <c r="P89" s="3">
        <v>0</v>
      </c>
      <c r="Q89" s="3">
        <v>0</v>
      </c>
      <c r="R89" s="3">
        <v>0</v>
      </c>
    </row>
    <row r="90" spans="1:18">
      <c r="A90" s="3" t="s">
        <v>1255</v>
      </c>
      <c r="B90" s="3" t="s">
        <v>1256</v>
      </c>
      <c r="C90" s="3" t="s">
        <v>1257</v>
      </c>
      <c r="D90" s="3" t="s">
        <v>1258</v>
      </c>
      <c r="E90" s="3" t="s">
        <v>159</v>
      </c>
      <c r="F90" s="3">
        <v>12</v>
      </c>
      <c r="G90" s="3" t="s">
        <v>997</v>
      </c>
      <c r="H90" s="3"/>
      <c r="I90" s="3" t="s">
        <v>998</v>
      </c>
      <c r="J90" s="3">
        <v>0</v>
      </c>
      <c r="K90" s="3">
        <v>0</v>
      </c>
      <c r="L90" s="3">
        <v>0</v>
      </c>
      <c r="M90" s="3">
        <v>0</v>
      </c>
      <c r="N90" s="3">
        <v>0</v>
      </c>
      <c r="O90" s="3">
        <v>0.02</v>
      </c>
      <c r="P90" s="3">
        <v>0</v>
      </c>
      <c r="Q90" s="3">
        <v>0</v>
      </c>
      <c r="R90" s="3">
        <v>0</v>
      </c>
    </row>
    <row r="91" spans="1:18">
      <c r="A91" s="3" t="s">
        <v>1259</v>
      </c>
      <c r="B91" s="3" t="s">
        <v>1260</v>
      </c>
      <c r="C91" s="3" t="s">
        <v>1261</v>
      </c>
      <c r="D91" s="3" t="s">
        <v>1262</v>
      </c>
      <c r="E91" s="3" t="s">
        <v>159</v>
      </c>
      <c r="F91" s="3">
        <v>12</v>
      </c>
      <c r="G91" s="3" t="s">
        <v>997</v>
      </c>
      <c r="H91" s="3"/>
      <c r="I91" s="3" t="s">
        <v>998</v>
      </c>
      <c r="J91" s="3">
        <v>0</v>
      </c>
      <c r="K91" s="3">
        <v>0</v>
      </c>
      <c r="L91" s="3">
        <v>0</v>
      </c>
      <c r="M91" s="3">
        <v>0</v>
      </c>
      <c r="N91" s="3">
        <v>0</v>
      </c>
      <c r="O91" s="3">
        <v>0.16</v>
      </c>
      <c r="P91" s="3">
        <v>0</v>
      </c>
      <c r="Q91" s="3">
        <v>0</v>
      </c>
      <c r="R91" s="3">
        <v>0</v>
      </c>
    </row>
    <row r="92" spans="1:18">
      <c r="A92" s="3" t="s">
        <v>1263</v>
      </c>
      <c r="B92" s="3" t="s">
        <v>1264</v>
      </c>
      <c r="C92" s="3" t="s">
        <v>1265</v>
      </c>
      <c r="D92" s="3" t="s">
        <v>1266</v>
      </c>
      <c r="E92" s="3" t="s">
        <v>159</v>
      </c>
      <c r="F92" s="3">
        <v>12</v>
      </c>
      <c r="G92" s="3" t="s">
        <v>997</v>
      </c>
      <c r="H92" s="3"/>
      <c r="I92" s="3" t="s">
        <v>998</v>
      </c>
      <c r="J92" s="3">
        <v>0</v>
      </c>
      <c r="K92" s="3">
        <v>0</v>
      </c>
      <c r="L92" s="3">
        <v>0</v>
      </c>
      <c r="M92" s="3">
        <v>0</v>
      </c>
      <c r="N92" s="3">
        <v>0</v>
      </c>
      <c r="O92" s="3">
        <v>0.02</v>
      </c>
      <c r="P92" s="3">
        <v>0</v>
      </c>
      <c r="Q92" s="3">
        <v>0</v>
      </c>
      <c r="R92" s="3">
        <v>0</v>
      </c>
    </row>
    <row r="93" spans="1:18">
      <c r="A93" s="3" t="s">
        <v>1267</v>
      </c>
      <c r="B93" s="3" t="s">
        <v>1268</v>
      </c>
      <c r="C93" s="3" t="s">
        <v>1269</v>
      </c>
      <c r="D93" s="3" t="s">
        <v>1270</v>
      </c>
      <c r="E93" s="3" t="s">
        <v>159</v>
      </c>
      <c r="F93" s="3">
        <v>12</v>
      </c>
      <c r="G93" s="3" t="s">
        <v>997</v>
      </c>
      <c r="H93" s="3"/>
      <c r="I93" s="3" t="s">
        <v>998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0.02</v>
      </c>
      <c r="P93" s="3">
        <v>0</v>
      </c>
      <c r="Q93" s="3">
        <v>0</v>
      </c>
      <c r="R93" s="3">
        <v>0</v>
      </c>
    </row>
    <row r="94" spans="1:18">
      <c r="A94" s="3" t="s">
        <v>1271</v>
      </c>
      <c r="B94" s="3" t="s">
        <v>1272</v>
      </c>
      <c r="C94" s="3" t="s">
        <v>1273</v>
      </c>
      <c r="D94" s="3" t="s">
        <v>1274</v>
      </c>
      <c r="E94" s="3" t="s">
        <v>159</v>
      </c>
      <c r="F94" s="3">
        <v>12</v>
      </c>
      <c r="G94" s="3" t="s">
        <v>997</v>
      </c>
      <c r="H94" s="3"/>
      <c r="I94" s="3" t="s">
        <v>998</v>
      </c>
      <c r="J94" s="3">
        <v>0</v>
      </c>
      <c r="K94" s="3">
        <v>0</v>
      </c>
      <c r="L94" s="3">
        <v>0</v>
      </c>
      <c r="M94" s="3">
        <v>0</v>
      </c>
      <c r="N94" s="3">
        <v>0</v>
      </c>
      <c r="O94" s="3">
        <v>0.02</v>
      </c>
      <c r="P94" s="3">
        <v>0</v>
      </c>
      <c r="Q94" s="3">
        <v>0</v>
      </c>
      <c r="R94" s="3">
        <v>0</v>
      </c>
    </row>
    <row r="95" spans="1:18">
      <c r="A95" s="3" t="s">
        <v>1275</v>
      </c>
      <c r="B95" s="3" t="s">
        <v>1276</v>
      </c>
      <c r="C95" s="3" t="s">
        <v>1277</v>
      </c>
      <c r="D95" s="3" t="s">
        <v>1278</v>
      </c>
      <c r="E95" s="3" t="s">
        <v>159</v>
      </c>
      <c r="F95" s="3">
        <v>12</v>
      </c>
      <c r="G95" s="3" t="s">
        <v>997</v>
      </c>
      <c r="H95" s="3"/>
      <c r="I95" s="3" t="s">
        <v>998</v>
      </c>
      <c r="J95" s="3">
        <v>0</v>
      </c>
      <c r="K95" s="3">
        <v>0</v>
      </c>
      <c r="L95" s="3">
        <v>0</v>
      </c>
      <c r="M95" s="3">
        <v>0</v>
      </c>
      <c r="N95" s="3">
        <v>0</v>
      </c>
      <c r="O95" s="3">
        <v>0.02</v>
      </c>
      <c r="P95" s="3">
        <v>0</v>
      </c>
      <c r="Q95" s="3">
        <v>0</v>
      </c>
      <c r="R95" s="3">
        <v>0</v>
      </c>
    </row>
    <row r="96" spans="1:18">
      <c r="A96" s="3" t="s">
        <v>1279</v>
      </c>
      <c r="B96" s="3" t="s">
        <v>1280</v>
      </c>
      <c r="C96" s="3" t="s">
        <v>1281</v>
      </c>
      <c r="D96" s="3" t="s">
        <v>1282</v>
      </c>
      <c r="E96" s="3" t="s">
        <v>159</v>
      </c>
      <c r="F96" s="3">
        <v>12</v>
      </c>
      <c r="G96" s="3" t="s">
        <v>997</v>
      </c>
      <c r="H96" s="3"/>
      <c r="I96" s="3" t="s">
        <v>998</v>
      </c>
      <c r="J96" s="3">
        <v>0</v>
      </c>
      <c r="K96" s="3">
        <v>0</v>
      </c>
      <c r="L96" s="3">
        <v>0</v>
      </c>
      <c r="M96" s="3">
        <v>0</v>
      </c>
      <c r="N96" s="3">
        <v>0</v>
      </c>
      <c r="O96" s="3">
        <v>0.02</v>
      </c>
      <c r="P96" s="3">
        <v>0</v>
      </c>
      <c r="Q96" s="3">
        <v>0</v>
      </c>
      <c r="R96" s="3">
        <v>0</v>
      </c>
    </row>
    <row r="97" spans="1:18">
      <c r="A97" s="3" t="s">
        <v>1283</v>
      </c>
      <c r="B97" s="3" t="s">
        <v>1284</v>
      </c>
      <c r="C97" s="3" t="s">
        <v>1285</v>
      </c>
      <c r="D97" s="3" t="s">
        <v>1286</v>
      </c>
      <c r="E97" s="3" t="s">
        <v>159</v>
      </c>
      <c r="F97" s="3">
        <v>12</v>
      </c>
      <c r="G97" s="3" t="s">
        <v>997</v>
      </c>
      <c r="H97" s="3"/>
      <c r="I97" s="3" t="s">
        <v>998</v>
      </c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>
        <v>0.02</v>
      </c>
      <c r="P97" s="3">
        <v>0</v>
      </c>
      <c r="Q97" s="3">
        <v>0</v>
      </c>
      <c r="R97" s="3">
        <v>0</v>
      </c>
    </row>
    <row r="98" spans="1:18">
      <c r="A98" s="3" t="s">
        <v>655</v>
      </c>
      <c r="B98" s="3" t="s">
        <v>656</v>
      </c>
      <c r="C98" s="3" t="s">
        <v>656</v>
      </c>
      <c r="D98" s="3" t="s">
        <v>20</v>
      </c>
      <c r="E98" s="3" t="s">
        <v>159</v>
      </c>
      <c r="F98" s="3">
        <v>50.99</v>
      </c>
      <c r="G98" s="3" t="s">
        <v>997</v>
      </c>
      <c r="H98" s="3"/>
      <c r="I98" s="3" t="s">
        <v>998</v>
      </c>
      <c r="J98" s="3">
        <v>9</v>
      </c>
      <c r="K98" s="3">
        <v>9</v>
      </c>
      <c r="L98" s="3">
        <v>0</v>
      </c>
      <c r="M98" s="3">
        <v>0</v>
      </c>
      <c r="N98" s="3">
        <v>9</v>
      </c>
      <c r="O98" s="3">
        <v>0.39</v>
      </c>
      <c r="P98" s="3">
        <v>0</v>
      </c>
      <c r="Q98" s="3">
        <v>0</v>
      </c>
      <c r="R98" s="3">
        <v>0</v>
      </c>
    </row>
    <row r="99" spans="1:18">
      <c r="A99" s="3" t="s">
        <v>18</v>
      </c>
      <c r="B99" s="3" t="s">
        <v>19</v>
      </c>
      <c r="C99" s="3" t="s">
        <v>19</v>
      </c>
      <c r="D99" s="3" t="s">
        <v>20</v>
      </c>
      <c r="E99" s="3" t="s">
        <v>159</v>
      </c>
      <c r="F99" s="3">
        <v>50.99</v>
      </c>
      <c r="G99" s="3" t="s">
        <v>997</v>
      </c>
      <c r="H99" s="3"/>
      <c r="I99" s="3" t="s">
        <v>998</v>
      </c>
      <c r="J99" s="3">
        <v>5</v>
      </c>
      <c r="K99" s="3">
        <v>4</v>
      </c>
      <c r="L99" s="3">
        <v>0</v>
      </c>
      <c r="M99" s="3">
        <v>1</v>
      </c>
      <c r="N99" s="3">
        <v>5</v>
      </c>
      <c r="O99" s="3">
        <v>0.38</v>
      </c>
      <c r="P99" s="3">
        <v>0</v>
      </c>
      <c r="Q99" s="3">
        <v>0</v>
      </c>
      <c r="R99" s="3">
        <v>0</v>
      </c>
    </row>
    <row r="100" spans="1:18">
      <c r="A100" s="3" t="s">
        <v>436</v>
      </c>
      <c r="B100" s="3" t="s">
        <v>437</v>
      </c>
      <c r="C100" s="3" t="s">
        <v>437</v>
      </c>
      <c r="D100" s="3" t="s">
        <v>438</v>
      </c>
      <c r="E100" s="3" t="s">
        <v>159</v>
      </c>
      <c r="F100" s="3">
        <v>50.99</v>
      </c>
      <c r="G100" s="3" t="s">
        <v>997</v>
      </c>
      <c r="H100" s="3"/>
      <c r="I100" s="3" t="s">
        <v>998</v>
      </c>
      <c r="J100" s="3">
        <v>1</v>
      </c>
      <c r="K100" s="3">
        <v>1</v>
      </c>
      <c r="L100" s="3">
        <v>0</v>
      </c>
      <c r="M100" s="3">
        <v>0</v>
      </c>
      <c r="N100" s="3">
        <v>1</v>
      </c>
      <c r="O100" s="3">
        <v>0.32</v>
      </c>
      <c r="P100" s="3">
        <v>0</v>
      </c>
      <c r="Q100" s="3">
        <v>0</v>
      </c>
      <c r="R100" s="3">
        <v>0</v>
      </c>
    </row>
    <row r="101" spans="1:18">
      <c r="A101" s="3" t="s">
        <v>1287</v>
      </c>
      <c r="B101" s="3" t="s">
        <v>1288</v>
      </c>
      <c r="C101" s="3" t="s">
        <v>1288</v>
      </c>
      <c r="D101" s="3" t="s">
        <v>438</v>
      </c>
      <c r="E101" s="3" t="s">
        <v>159</v>
      </c>
      <c r="F101" s="3">
        <v>50.99</v>
      </c>
      <c r="G101" s="3" t="s">
        <v>997</v>
      </c>
      <c r="H101" s="3"/>
      <c r="I101" s="3" t="s">
        <v>998</v>
      </c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>
        <v>0.39</v>
      </c>
      <c r="P101" s="3">
        <v>0</v>
      </c>
      <c r="Q101" s="3">
        <v>0</v>
      </c>
      <c r="R101" s="3">
        <v>0</v>
      </c>
    </row>
    <row r="102" spans="1:18">
      <c r="A102" s="3" t="s">
        <v>1289</v>
      </c>
      <c r="B102" s="3" t="s">
        <v>1290</v>
      </c>
      <c r="C102" s="3" t="s">
        <v>1290</v>
      </c>
      <c r="D102" s="3" t="s">
        <v>438</v>
      </c>
      <c r="E102" s="3" t="s">
        <v>159</v>
      </c>
      <c r="F102" s="3">
        <v>50.99</v>
      </c>
      <c r="G102" s="3" t="s">
        <v>997</v>
      </c>
      <c r="H102" s="3"/>
      <c r="I102" s="3" t="s">
        <v>998</v>
      </c>
      <c r="J102" s="3">
        <v>0</v>
      </c>
      <c r="K102" s="3">
        <v>0</v>
      </c>
      <c r="L102" s="3">
        <v>0</v>
      </c>
      <c r="M102" s="3">
        <v>0</v>
      </c>
      <c r="N102" s="3">
        <v>0</v>
      </c>
      <c r="O102" s="3">
        <v>0.55</v>
      </c>
      <c r="P102" s="3">
        <v>0</v>
      </c>
      <c r="Q102" s="3">
        <v>0</v>
      </c>
      <c r="R102" s="3">
        <v>0</v>
      </c>
    </row>
    <row r="103" spans="1:18">
      <c r="A103" s="3" t="s">
        <v>1291</v>
      </c>
      <c r="B103" s="3" t="s">
        <v>1292</v>
      </c>
      <c r="C103" s="3" t="s">
        <v>1292</v>
      </c>
      <c r="D103" s="3" t="s">
        <v>438</v>
      </c>
      <c r="E103" s="3" t="s">
        <v>159</v>
      </c>
      <c r="F103" s="3">
        <v>50.99</v>
      </c>
      <c r="G103" s="3" t="s">
        <v>997</v>
      </c>
      <c r="H103" s="3"/>
      <c r="I103" s="3" t="s">
        <v>998</v>
      </c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>
        <v>0.59</v>
      </c>
      <c r="P103" s="3">
        <v>0</v>
      </c>
      <c r="Q103" s="3">
        <v>0</v>
      </c>
      <c r="R103" s="3">
        <v>0</v>
      </c>
    </row>
    <row r="104" spans="1:18">
      <c r="A104" s="3" t="s">
        <v>924</v>
      </c>
      <c r="B104" s="3" t="s">
        <v>925</v>
      </c>
      <c r="C104" s="3" t="s">
        <v>925</v>
      </c>
      <c r="D104" s="3" t="s">
        <v>249</v>
      </c>
      <c r="E104" s="3" t="s">
        <v>159</v>
      </c>
      <c r="F104" s="3">
        <v>55.99</v>
      </c>
      <c r="G104" s="3" t="s">
        <v>997</v>
      </c>
      <c r="H104" s="3"/>
      <c r="I104" s="3" t="s">
        <v>998</v>
      </c>
      <c r="J104" s="3">
        <v>2</v>
      </c>
      <c r="K104" s="3">
        <v>2</v>
      </c>
      <c r="L104" s="3">
        <v>0</v>
      </c>
      <c r="M104" s="3">
        <v>0</v>
      </c>
      <c r="N104" s="3">
        <v>2</v>
      </c>
      <c r="O104" s="3">
        <v>0</v>
      </c>
      <c r="P104" s="3">
        <v>0</v>
      </c>
      <c r="Q104" s="3">
        <v>0</v>
      </c>
      <c r="R104" s="3">
        <v>0</v>
      </c>
    </row>
    <row r="105" spans="1:18">
      <c r="A105" s="3" t="s">
        <v>935</v>
      </c>
      <c r="B105" s="3" t="s">
        <v>936</v>
      </c>
      <c r="C105" s="3" t="s">
        <v>936</v>
      </c>
      <c r="D105" s="3" t="s">
        <v>249</v>
      </c>
      <c r="E105" s="3" t="s">
        <v>159</v>
      </c>
      <c r="F105" s="3">
        <v>10.98</v>
      </c>
      <c r="G105" s="3" t="s">
        <v>997</v>
      </c>
      <c r="H105" s="3"/>
      <c r="I105" s="3" t="s">
        <v>998</v>
      </c>
      <c r="J105" s="3">
        <v>3</v>
      </c>
      <c r="K105" s="3">
        <v>3</v>
      </c>
      <c r="L105" s="3">
        <v>0</v>
      </c>
      <c r="M105" s="3">
        <v>0</v>
      </c>
      <c r="N105" s="3">
        <v>3</v>
      </c>
      <c r="O105" s="3">
        <v>0.12</v>
      </c>
      <c r="P105" s="3">
        <v>0</v>
      </c>
      <c r="Q105" s="3">
        <v>0</v>
      </c>
      <c r="R105" s="3">
        <v>0</v>
      </c>
    </row>
    <row r="106" spans="1:18">
      <c r="A106" s="3" t="s">
        <v>658</v>
      </c>
      <c r="B106" s="3" t="s">
        <v>659</v>
      </c>
      <c r="C106" s="3" t="s">
        <v>659</v>
      </c>
      <c r="D106" s="3" t="s">
        <v>249</v>
      </c>
      <c r="E106" s="3" t="s">
        <v>159</v>
      </c>
      <c r="F106" s="3">
        <v>12.98</v>
      </c>
      <c r="G106" s="3" t="s">
        <v>997</v>
      </c>
      <c r="H106" s="3"/>
      <c r="I106" s="3" t="s">
        <v>998</v>
      </c>
      <c r="J106" s="3">
        <v>3</v>
      </c>
      <c r="K106" s="3">
        <v>3</v>
      </c>
      <c r="L106" s="3">
        <v>0</v>
      </c>
      <c r="M106" s="3">
        <v>0</v>
      </c>
      <c r="N106" s="3">
        <v>3</v>
      </c>
      <c r="O106" s="3">
        <v>0.08</v>
      </c>
      <c r="P106" s="3">
        <v>0</v>
      </c>
      <c r="Q106" s="3">
        <v>0</v>
      </c>
      <c r="R106" s="3">
        <v>0</v>
      </c>
    </row>
    <row r="107" spans="1:18">
      <c r="A107" s="3" t="s">
        <v>247</v>
      </c>
      <c r="B107" s="3" t="s">
        <v>248</v>
      </c>
      <c r="C107" s="3" t="s">
        <v>248</v>
      </c>
      <c r="D107" s="3" t="s">
        <v>249</v>
      </c>
      <c r="E107" s="3" t="s">
        <v>159</v>
      </c>
      <c r="F107" s="3">
        <v>15.98</v>
      </c>
      <c r="G107" s="3" t="s">
        <v>997</v>
      </c>
      <c r="H107" s="3"/>
      <c r="I107" s="3" t="s">
        <v>998</v>
      </c>
      <c r="J107" s="3">
        <v>3</v>
      </c>
      <c r="K107" s="3">
        <v>3</v>
      </c>
      <c r="L107" s="3">
        <v>0</v>
      </c>
      <c r="M107" s="3">
        <v>0</v>
      </c>
      <c r="N107" s="3">
        <v>3</v>
      </c>
      <c r="O107" s="3">
        <v>0.09</v>
      </c>
      <c r="P107" s="3">
        <v>0</v>
      </c>
      <c r="Q107" s="3">
        <v>0</v>
      </c>
      <c r="R107" s="3">
        <v>0</v>
      </c>
    </row>
    <row r="108" spans="1:18">
      <c r="A108" s="3" t="s">
        <v>1293</v>
      </c>
      <c r="B108" s="3" t="s">
        <v>1294</v>
      </c>
      <c r="C108" s="3" t="s">
        <v>1295</v>
      </c>
      <c r="D108" s="3" t="s">
        <v>1296</v>
      </c>
      <c r="E108" s="3" t="s">
        <v>159</v>
      </c>
      <c r="F108" s="3">
        <v>20.99</v>
      </c>
      <c r="G108" s="3" t="s">
        <v>997</v>
      </c>
      <c r="H108" s="3"/>
      <c r="I108" s="3" t="s">
        <v>998</v>
      </c>
      <c r="J108" s="3">
        <v>0</v>
      </c>
      <c r="K108" s="3">
        <v>0</v>
      </c>
      <c r="L108" s="3">
        <v>0</v>
      </c>
      <c r="M108" s="3">
        <v>0</v>
      </c>
      <c r="N108" s="3">
        <v>0</v>
      </c>
      <c r="O108" s="3">
        <v>0.04</v>
      </c>
      <c r="P108" s="3">
        <v>0</v>
      </c>
      <c r="Q108" s="3">
        <v>0</v>
      </c>
      <c r="R108" s="3">
        <v>0</v>
      </c>
    </row>
    <row r="109" spans="1:18">
      <c r="A109" s="3" t="s">
        <v>1297</v>
      </c>
      <c r="B109" s="3" t="s">
        <v>1298</v>
      </c>
      <c r="C109" s="3" t="s">
        <v>1299</v>
      </c>
      <c r="D109" s="3" t="s">
        <v>1296</v>
      </c>
      <c r="E109" s="3" t="s">
        <v>159</v>
      </c>
      <c r="F109" s="3">
        <v>20.99</v>
      </c>
      <c r="G109" s="3" t="s">
        <v>997</v>
      </c>
      <c r="H109" s="3"/>
      <c r="I109" s="3" t="s">
        <v>998</v>
      </c>
      <c r="J109" s="3">
        <v>0</v>
      </c>
      <c r="K109" s="3">
        <v>0</v>
      </c>
      <c r="L109" s="3">
        <v>0</v>
      </c>
      <c r="M109" s="3">
        <v>0</v>
      </c>
      <c r="N109" s="3">
        <v>0</v>
      </c>
      <c r="O109" s="3">
        <v>0.04</v>
      </c>
      <c r="P109" s="3">
        <v>0</v>
      </c>
      <c r="Q109" s="3">
        <v>0</v>
      </c>
      <c r="R109" s="3">
        <v>0</v>
      </c>
    </row>
    <row r="110" spans="1:18">
      <c r="A110" s="3" t="s">
        <v>1300</v>
      </c>
      <c r="B110" s="3" t="s">
        <v>1301</v>
      </c>
      <c r="C110" s="3" t="s">
        <v>1302</v>
      </c>
      <c r="D110" s="3" t="s">
        <v>1296</v>
      </c>
      <c r="E110" s="3" t="s">
        <v>159</v>
      </c>
      <c r="F110" s="3">
        <v>20.99</v>
      </c>
      <c r="G110" s="3" t="s">
        <v>997</v>
      </c>
      <c r="H110" s="3"/>
      <c r="I110" s="3" t="s">
        <v>998</v>
      </c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>
        <v>0.02</v>
      </c>
      <c r="P110" s="3">
        <v>0</v>
      </c>
      <c r="Q110" s="3">
        <v>0</v>
      </c>
      <c r="R110" s="3">
        <v>0</v>
      </c>
    </row>
    <row r="111" spans="1:18">
      <c r="A111" s="3" t="s">
        <v>1303</v>
      </c>
      <c r="B111" s="3" t="s">
        <v>1304</v>
      </c>
      <c r="C111" s="3" t="s">
        <v>1305</v>
      </c>
      <c r="D111" s="3" t="s">
        <v>1296</v>
      </c>
      <c r="E111" s="3" t="s">
        <v>159</v>
      </c>
      <c r="F111" s="3">
        <v>20.99</v>
      </c>
      <c r="G111" s="3" t="s">
        <v>997</v>
      </c>
      <c r="H111" s="3"/>
      <c r="I111" s="3" t="s">
        <v>998</v>
      </c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>
        <v>0.13</v>
      </c>
      <c r="P111" s="3">
        <v>0</v>
      </c>
      <c r="Q111" s="3">
        <v>0</v>
      </c>
      <c r="R111" s="3">
        <v>0</v>
      </c>
    </row>
    <row r="112" spans="1:18">
      <c r="A112" s="3" t="s">
        <v>1306</v>
      </c>
      <c r="B112" s="3" t="s">
        <v>1307</v>
      </c>
      <c r="C112" s="3" t="s">
        <v>1308</v>
      </c>
      <c r="D112" s="3" t="s">
        <v>1296</v>
      </c>
      <c r="E112" s="3" t="s">
        <v>159</v>
      </c>
      <c r="F112" s="3">
        <v>20.99</v>
      </c>
      <c r="G112" s="3" t="s">
        <v>997</v>
      </c>
      <c r="H112" s="3"/>
      <c r="I112" s="3" t="s">
        <v>998</v>
      </c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  <c r="Q112" s="3">
        <v>0</v>
      </c>
      <c r="R112" s="3">
        <v>0</v>
      </c>
    </row>
    <row r="113" spans="1:18">
      <c r="A113" s="3" t="s">
        <v>1309</v>
      </c>
      <c r="B113" s="3" t="s">
        <v>1310</v>
      </c>
      <c r="C113" s="3" t="s">
        <v>1311</v>
      </c>
      <c r="D113" s="3" t="s">
        <v>1296</v>
      </c>
      <c r="E113" s="3" t="s">
        <v>159</v>
      </c>
      <c r="F113" s="3">
        <v>20.99</v>
      </c>
      <c r="G113" s="3" t="s">
        <v>997</v>
      </c>
      <c r="H113" s="3"/>
      <c r="I113" s="3" t="s">
        <v>998</v>
      </c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</row>
    <row r="114" spans="1:18">
      <c r="A114" s="3" t="s">
        <v>1312</v>
      </c>
      <c r="B114" s="3" t="s">
        <v>1313</v>
      </c>
      <c r="C114" s="3" t="s">
        <v>1314</v>
      </c>
      <c r="D114" s="3" t="s">
        <v>1296</v>
      </c>
      <c r="E114" s="3" t="s">
        <v>159</v>
      </c>
      <c r="F114" s="3">
        <v>20.99</v>
      </c>
      <c r="G114" s="3" t="s">
        <v>997</v>
      </c>
      <c r="H114" s="3"/>
      <c r="I114" s="3" t="s">
        <v>998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</row>
    <row r="115" spans="1:18">
      <c r="A115" s="3" t="s">
        <v>1315</v>
      </c>
      <c r="B115" s="3" t="s">
        <v>1316</v>
      </c>
      <c r="C115" s="3" t="s">
        <v>1317</v>
      </c>
      <c r="D115" s="3" t="s">
        <v>1296</v>
      </c>
      <c r="E115" s="3" t="s">
        <v>159</v>
      </c>
      <c r="F115" s="3">
        <v>20.99</v>
      </c>
      <c r="G115" s="3" t="s">
        <v>997</v>
      </c>
      <c r="H115" s="3"/>
      <c r="I115" s="3" t="s">
        <v>998</v>
      </c>
      <c r="J115" s="3">
        <v>0</v>
      </c>
      <c r="K115" s="3">
        <v>0</v>
      </c>
      <c r="L115" s="3">
        <v>0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</row>
    <row r="116" spans="1:18">
      <c r="A116" s="3" t="s">
        <v>1318</v>
      </c>
      <c r="B116" s="3" t="s">
        <v>1319</v>
      </c>
      <c r="C116" s="3" t="s">
        <v>1320</v>
      </c>
      <c r="D116" s="3" t="s">
        <v>1296</v>
      </c>
      <c r="E116" s="3" t="s">
        <v>159</v>
      </c>
      <c r="F116" s="3">
        <v>20.99</v>
      </c>
      <c r="G116" s="3" t="s">
        <v>997</v>
      </c>
      <c r="H116" s="3"/>
      <c r="I116" s="3" t="s">
        <v>998</v>
      </c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>
        <v>0.07</v>
      </c>
      <c r="P116" s="3">
        <v>0</v>
      </c>
      <c r="Q116" s="3">
        <v>0</v>
      </c>
      <c r="R116" s="3">
        <v>0</v>
      </c>
    </row>
    <row r="117" spans="1:18">
      <c r="A117" s="3" t="s">
        <v>1321</v>
      </c>
      <c r="B117" s="3" t="s">
        <v>1322</v>
      </c>
      <c r="C117" s="3" t="s">
        <v>1323</v>
      </c>
      <c r="D117" s="3" t="s">
        <v>1296</v>
      </c>
      <c r="E117" s="3" t="s">
        <v>159</v>
      </c>
      <c r="F117" s="3">
        <v>20.99</v>
      </c>
      <c r="G117" s="3" t="s">
        <v>997</v>
      </c>
      <c r="H117" s="3"/>
      <c r="I117" s="3" t="s">
        <v>998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0.02</v>
      </c>
      <c r="P117" s="3">
        <v>0</v>
      </c>
      <c r="Q117" s="3">
        <v>0</v>
      </c>
      <c r="R117" s="3">
        <v>0</v>
      </c>
    </row>
    <row r="118" spans="1:18">
      <c r="A118" s="3" t="s">
        <v>1324</v>
      </c>
      <c r="B118" s="3" t="s">
        <v>1325</v>
      </c>
      <c r="C118" s="3" t="s">
        <v>1326</v>
      </c>
      <c r="D118" s="3" t="s">
        <v>1296</v>
      </c>
      <c r="E118" s="3" t="s">
        <v>159</v>
      </c>
      <c r="F118" s="3">
        <v>20.99</v>
      </c>
      <c r="G118" s="3" t="s">
        <v>997</v>
      </c>
      <c r="H118" s="3"/>
      <c r="I118" s="3" t="s">
        <v>998</v>
      </c>
      <c r="J118" s="3">
        <v>0</v>
      </c>
      <c r="K118" s="3">
        <v>0</v>
      </c>
      <c r="L118" s="3">
        <v>0</v>
      </c>
      <c r="M118" s="3">
        <v>0</v>
      </c>
      <c r="N118" s="3">
        <v>0</v>
      </c>
      <c r="O118" s="3">
        <v>0.02</v>
      </c>
      <c r="P118" s="3">
        <v>0</v>
      </c>
      <c r="Q118" s="3">
        <v>0</v>
      </c>
      <c r="R118" s="3">
        <v>0</v>
      </c>
    </row>
    <row r="119" spans="1:18">
      <c r="A119" s="3" t="s">
        <v>1327</v>
      </c>
      <c r="B119" s="3" t="s">
        <v>1328</v>
      </c>
      <c r="C119" s="3" t="s">
        <v>1329</v>
      </c>
      <c r="D119" s="3" t="s">
        <v>1296</v>
      </c>
      <c r="E119" s="3" t="s">
        <v>159</v>
      </c>
      <c r="F119" s="3">
        <v>20.99</v>
      </c>
      <c r="G119" s="3" t="s">
        <v>997</v>
      </c>
      <c r="H119" s="3"/>
      <c r="I119" s="3" t="s">
        <v>998</v>
      </c>
      <c r="J119" s="3">
        <v>0</v>
      </c>
      <c r="K119" s="3">
        <v>0</v>
      </c>
      <c r="L119" s="3">
        <v>0</v>
      </c>
      <c r="M119" s="3">
        <v>0</v>
      </c>
      <c r="N119" s="3">
        <v>0</v>
      </c>
      <c r="O119" s="3">
        <v>0.15</v>
      </c>
      <c r="P119" s="3">
        <v>0</v>
      </c>
      <c r="Q119" s="3">
        <v>0</v>
      </c>
      <c r="R119" s="3">
        <v>0</v>
      </c>
    </row>
    <row r="120" spans="1:18">
      <c r="A120" s="3" t="s">
        <v>155</v>
      </c>
      <c r="B120" s="3" t="s">
        <v>156</v>
      </c>
      <c r="C120" s="3" t="s">
        <v>157</v>
      </c>
      <c r="D120" s="3" t="s">
        <v>158</v>
      </c>
      <c r="E120" s="3" t="s">
        <v>159</v>
      </c>
      <c r="F120" s="3">
        <v>20.99</v>
      </c>
      <c r="G120" s="3" t="s">
        <v>997</v>
      </c>
      <c r="H120" s="3"/>
      <c r="I120" s="3" t="s">
        <v>998</v>
      </c>
      <c r="J120" s="3">
        <v>3</v>
      </c>
      <c r="K120" s="3">
        <v>3</v>
      </c>
      <c r="L120" s="3">
        <v>0</v>
      </c>
      <c r="M120" s="3">
        <v>0</v>
      </c>
      <c r="N120" s="3">
        <v>3</v>
      </c>
      <c r="O120" s="3">
        <v>0.06</v>
      </c>
      <c r="P120" s="3">
        <v>0</v>
      </c>
      <c r="Q120" s="3">
        <v>0</v>
      </c>
      <c r="R120" s="3">
        <v>0</v>
      </c>
    </row>
    <row r="121" spans="1:18">
      <c r="A121" s="3" t="s">
        <v>594</v>
      </c>
      <c r="B121" s="3" t="s">
        <v>595</v>
      </c>
      <c r="C121" s="3" t="s">
        <v>596</v>
      </c>
      <c r="D121" s="3" t="s">
        <v>178</v>
      </c>
      <c r="E121" s="3" t="s">
        <v>159</v>
      </c>
      <c r="F121" s="3">
        <v>20.99</v>
      </c>
      <c r="G121" s="3" t="s">
        <v>997</v>
      </c>
      <c r="H121" s="3"/>
      <c r="I121" s="3" t="s">
        <v>998</v>
      </c>
      <c r="J121" s="3">
        <v>8</v>
      </c>
      <c r="K121" s="3">
        <v>8</v>
      </c>
      <c r="L121" s="3">
        <v>0</v>
      </c>
      <c r="M121" s="3">
        <v>0</v>
      </c>
      <c r="N121" s="3">
        <v>8</v>
      </c>
      <c r="O121" s="3">
        <v>0.09</v>
      </c>
      <c r="P121" s="3">
        <v>0</v>
      </c>
      <c r="Q121" s="3">
        <v>0</v>
      </c>
      <c r="R121" s="3">
        <v>0</v>
      </c>
    </row>
    <row r="122" spans="1:18">
      <c r="A122" s="3" t="s">
        <v>851</v>
      </c>
      <c r="B122" s="3" t="s">
        <v>852</v>
      </c>
      <c r="C122" s="3" t="s">
        <v>853</v>
      </c>
      <c r="D122" s="3" t="s">
        <v>178</v>
      </c>
      <c r="E122" s="3" t="s">
        <v>159</v>
      </c>
      <c r="F122" s="3">
        <v>20.99</v>
      </c>
      <c r="G122" s="3" t="s">
        <v>997</v>
      </c>
      <c r="H122" s="3"/>
      <c r="I122" s="3" t="s">
        <v>998</v>
      </c>
      <c r="J122" s="3">
        <v>8</v>
      </c>
      <c r="K122" s="3">
        <v>8</v>
      </c>
      <c r="L122" s="3">
        <v>0</v>
      </c>
      <c r="M122" s="3">
        <v>0</v>
      </c>
      <c r="N122" s="3">
        <v>8</v>
      </c>
      <c r="O122" s="3">
        <v>0</v>
      </c>
      <c r="P122" s="3">
        <v>0</v>
      </c>
      <c r="Q122" s="3">
        <v>0</v>
      </c>
      <c r="R122" s="3">
        <v>0</v>
      </c>
    </row>
    <row r="123" spans="1:18">
      <c r="A123" s="3" t="s">
        <v>175</v>
      </c>
      <c r="B123" s="3" t="s">
        <v>176</v>
      </c>
      <c r="C123" s="3" t="s">
        <v>177</v>
      </c>
      <c r="D123" s="3" t="s">
        <v>178</v>
      </c>
      <c r="E123" s="3" t="s">
        <v>159</v>
      </c>
      <c r="F123" s="3">
        <v>20.99</v>
      </c>
      <c r="G123" s="3" t="s">
        <v>997</v>
      </c>
      <c r="H123" s="3"/>
      <c r="I123" s="3" t="s">
        <v>998</v>
      </c>
      <c r="J123" s="3">
        <v>10</v>
      </c>
      <c r="K123" s="3">
        <v>10</v>
      </c>
      <c r="L123" s="3">
        <v>0</v>
      </c>
      <c r="M123" s="3">
        <v>0</v>
      </c>
      <c r="N123" s="3">
        <v>10</v>
      </c>
      <c r="O123" s="3">
        <v>0.23</v>
      </c>
      <c r="P123" s="3">
        <v>0</v>
      </c>
      <c r="Q123" s="3">
        <v>0</v>
      </c>
      <c r="R123" s="3">
        <v>0</v>
      </c>
    </row>
    <row r="124" spans="1:18">
      <c r="A124" s="3" t="s">
        <v>907</v>
      </c>
      <c r="B124" s="3" t="s">
        <v>908</v>
      </c>
      <c r="C124" s="3" t="s">
        <v>909</v>
      </c>
      <c r="D124" s="3" t="s">
        <v>158</v>
      </c>
      <c r="E124" s="3" t="s">
        <v>159</v>
      </c>
      <c r="F124" s="3">
        <v>20.99</v>
      </c>
      <c r="G124" s="3" t="s">
        <v>997</v>
      </c>
      <c r="H124" s="3"/>
      <c r="I124" s="3" t="s">
        <v>998</v>
      </c>
      <c r="J124" s="3">
        <v>4</v>
      </c>
      <c r="K124" s="3">
        <v>4</v>
      </c>
      <c r="L124" s="3">
        <v>0</v>
      </c>
      <c r="M124" s="3">
        <v>0</v>
      </c>
      <c r="N124" s="3">
        <v>4</v>
      </c>
      <c r="O124" s="3">
        <v>0.27</v>
      </c>
      <c r="P124" s="3">
        <v>0</v>
      </c>
      <c r="Q124" s="3">
        <v>0</v>
      </c>
      <c r="R124" s="3">
        <v>0</v>
      </c>
    </row>
    <row r="125" spans="1:18">
      <c r="A125" s="3" t="s">
        <v>880</v>
      </c>
      <c r="B125" s="3" t="s">
        <v>881</v>
      </c>
      <c r="C125" s="3" t="s">
        <v>882</v>
      </c>
      <c r="D125" s="3" t="s">
        <v>158</v>
      </c>
      <c r="E125" s="3" t="s">
        <v>159</v>
      </c>
      <c r="F125" s="3">
        <v>20.99</v>
      </c>
      <c r="G125" s="3" t="s">
        <v>997</v>
      </c>
      <c r="H125" s="3"/>
      <c r="I125" s="3" t="s">
        <v>998</v>
      </c>
      <c r="J125" s="3">
        <v>3</v>
      </c>
      <c r="K125" s="3">
        <v>3</v>
      </c>
      <c r="L125" s="3">
        <v>0</v>
      </c>
      <c r="M125" s="3">
        <v>0</v>
      </c>
      <c r="N125" s="3">
        <v>3</v>
      </c>
      <c r="O125" s="3">
        <v>0.2</v>
      </c>
      <c r="P125" s="3">
        <v>0</v>
      </c>
      <c r="Q125" s="3">
        <v>0</v>
      </c>
      <c r="R125" s="3">
        <v>0</v>
      </c>
    </row>
    <row r="126" spans="1:18">
      <c r="A126" s="3" t="s">
        <v>213</v>
      </c>
      <c r="B126" s="3" t="s">
        <v>214</v>
      </c>
      <c r="C126" s="3" t="s">
        <v>214</v>
      </c>
      <c r="D126" s="3" t="s">
        <v>215</v>
      </c>
      <c r="E126" s="3" t="s">
        <v>159</v>
      </c>
      <c r="F126" s="3">
        <v>38.99</v>
      </c>
      <c r="G126" s="3" t="s">
        <v>997</v>
      </c>
      <c r="H126" s="3"/>
      <c r="I126" s="3" t="s">
        <v>998</v>
      </c>
      <c r="J126" s="3">
        <v>13</v>
      </c>
      <c r="K126" s="3">
        <v>13</v>
      </c>
      <c r="L126" s="3">
        <v>0</v>
      </c>
      <c r="M126" s="3">
        <v>0</v>
      </c>
      <c r="N126" s="3">
        <v>13</v>
      </c>
      <c r="O126" s="3">
        <v>0.38</v>
      </c>
      <c r="P126" s="3">
        <v>0</v>
      </c>
      <c r="Q126" s="3">
        <v>0</v>
      </c>
      <c r="R126" s="3">
        <v>0</v>
      </c>
    </row>
    <row r="127" spans="1:18">
      <c r="A127" s="3" t="s">
        <v>353</v>
      </c>
      <c r="B127" s="3" t="s">
        <v>354</v>
      </c>
      <c r="C127" s="3" t="s">
        <v>354</v>
      </c>
      <c r="D127" s="3" t="s">
        <v>186</v>
      </c>
      <c r="E127" s="3" t="s">
        <v>159</v>
      </c>
      <c r="F127" s="3">
        <v>40</v>
      </c>
      <c r="G127" s="3" t="s">
        <v>997</v>
      </c>
      <c r="H127" s="3"/>
      <c r="I127" s="3" t="s">
        <v>998</v>
      </c>
      <c r="J127" s="3">
        <v>3</v>
      </c>
      <c r="K127" s="3">
        <v>3</v>
      </c>
      <c r="L127" s="3">
        <v>0</v>
      </c>
      <c r="M127" s="3">
        <v>0</v>
      </c>
      <c r="N127" s="3">
        <v>3</v>
      </c>
      <c r="O127" s="3"/>
      <c r="P127" s="3">
        <v>0</v>
      </c>
      <c r="Q127" s="3">
        <v>0</v>
      </c>
      <c r="R127" s="3">
        <v>0</v>
      </c>
    </row>
    <row r="128" spans="1:18">
      <c r="A128" s="3" t="s">
        <v>973</v>
      </c>
      <c r="B128" s="3" t="s">
        <v>974</v>
      </c>
      <c r="C128" s="3" t="s">
        <v>974</v>
      </c>
      <c r="D128" s="3" t="s">
        <v>186</v>
      </c>
      <c r="E128" s="3" t="s">
        <v>159</v>
      </c>
      <c r="F128" s="3">
        <v>40</v>
      </c>
      <c r="G128" s="3" t="s">
        <v>997</v>
      </c>
      <c r="H128" s="3"/>
      <c r="I128" s="3" t="s">
        <v>998</v>
      </c>
      <c r="J128" s="3">
        <v>3</v>
      </c>
      <c r="K128" s="3">
        <v>3</v>
      </c>
      <c r="L128" s="3">
        <v>0</v>
      </c>
      <c r="M128" s="3">
        <v>0</v>
      </c>
      <c r="N128" s="3">
        <v>3</v>
      </c>
      <c r="O128" s="3"/>
      <c r="P128" s="3">
        <v>0</v>
      </c>
      <c r="Q128" s="3">
        <v>0</v>
      </c>
      <c r="R128" s="3">
        <v>0</v>
      </c>
    </row>
    <row r="129" spans="1:18">
      <c r="A129" s="3" t="s">
        <v>540</v>
      </c>
      <c r="B129" s="3" t="s">
        <v>541</v>
      </c>
      <c r="C129" s="3" t="s">
        <v>541</v>
      </c>
      <c r="D129" s="3" t="s">
        <v>186</v>
      </c>
      <c r="E129" s="3" t="s">
        <v>159</v>
      </c>
      <c r="F129" s="3">
        <v>40</v>
      </c>
      <c r="G129" s="3" t="s">
        <v>997</v>
      </c>
      <c r="H129" s="3"/>
      <c r="I129" s="3" t="s">
        <v>998</v>
      </c>
      <c r="J129" s="3">
        <v>3</v>
      </c>
      <c r="K129" s="3">
        <v>3</v>
      </c>
      <c r="L129" s="3">
        <v>0</v>
      </c>
      <c r="M129" s="3">
        <v>0</v>
      </c>
      <c r="N129" s="3">
        <v>3</v>
      </c>
      <c r="O129" s="3"/>
      <c r="P129" s="3">
        <v>0</v>
      </c>
      <c r="Q129" s="3">
        <v>0</v>
      </c>
      <c r="R129" s="3">
        <v>0</v>
      </c>
    </row>
    <row r="130" spans="1:18">
      <c r="A130" s="3" t="s">
        <v>1330</v>
      </c>
      <c r="B130" s="3" t="s">
        <v>1331</v>
      </c>
      <c r="C130" s="3" t="s">
        <v>1331</v>
      </c>
      <c r="D130" s="3" t="s">
        <v>186</v>
      </c>
      <c r="E130" s="3" t="s">
        <v>159</v>
      </c>
      <c r="F130" s="3">
        <v>40</v>
      </c>
      <c r="G130" s="3" t="s">
        <v>997</v>
      </c>
      <c r="H130" s="3"/>
      <c r="I130" s="3" t="s">
        <v>998</v>
      </c>
      <c r="J130" s="3">
        <v>0</v>
      </c>
      <c r="K130" s="3">
        <v>0</v>
      </c>
      <c r="L130" s="3">
        <v>0</v>
      </c>
      <c r="M130" s="3">
        <v>0</v>
      </c>
      <c r="N130" s="3">
        <v>0</v>
      </c>
      <c r="O130" s="3"/>
      <c r="P130" s="3">
        <v>0</v>
      </c>
      <c r="Q130" s="3">
        <v>0</v>
      </c>
      <c r="R130" s="3">
        <v>0</v>
      </c>
    </row>
    <row r="131" spans="1:18">
      <c r="A131" s="3" t="s">
        <v>650</v>
      </c>
      <c r="B131" s="3" t="s">
        <v>651</v>
      </c>
      <c r="C131" s="3" t="s">
        <v>651</v>
      </c>
      <c r="D131" s="3" t="s">
        <v>186</v>
      </c>
      <c r="E131" s="3" t="s">
        <v>159</v>
      </c>
      <c r="F131" s="3">
        <v>40</v>
      </c>
      <c r="G131" s="3" t="s">
        <v>997</v>
      </c>
      <c r="H131" s="3"/>
      <c r="I131" s="3" t="s">
        <v>998</v>
      </c>
      <c r="J131" s="3">
        <v>2</v>
      </c>
      <c r="K131" s="3">
        <v>2</v>
      </c>
      <c r="L131" s="3">
        <v>0</v>
      </c>
      <c r="M131" s="3">
        <v>0</v>
      </c>
      <c r="N131" s="3">
        <v>2</v>
      </c>
      <c r="O131" s="3"/>
      <c r="P131" s="3">
        <v>0</v>
      </c>
      <c r="Q131" s="3">
        <v>0</v>
      </c>
      <c r="R131" s="3">
        <v>0</v>
      </c>
    </row>
    <row r="132" spans="1:18">
      <c r="A132" s="3" t="s">
        <v>825</v>
      </c>
      <c r="B132" s="3" t="s">
        <v>826</v>
      </c>
      <c r="C132" s="3" t="s">
        <v>826</v>
      </c>
      <c r="D132" s="3" t="s">
        <v>186</v>
      </c>
      <c r="E132" s="3" t="s">
        <v>159</v>
      </c>
      <c r="F132" s="3">
        <v>40</v>
      </c>
      <c r="G132" s="3" t="s">
        <v>997</v>
      </c>
      <c r="H132" s="3"/>
      <c r="I132" s="3" t="s">
        <v>998</v>
      </c>
      <c r="J132" s="3">
        <v>3</v>
      </c>
      <c r="K132" s="3">
        <v>3</v>
      </c>
      <c r="L132" s="3">
        <v>0</v>
      </c>
      <c r="M132" s="3">
        <v>0</v>
      </c>
      <c r="N132" s="3">
        <v>3</v>
      </c>
      <c r="O132" s="3"/>
      <c r="P132" s="3">
        <v>0</v>
      </c>
      <c r="Q132" s="3">
        <v>0</v>
      </c>
      <c r="R132" s="3">
        <v>0</v>
      </c>
    </row>
    <row r="133" spans="1:18">
      <c r="A133" s="3" t="s">
        <v>480</v>
      </c>
      <c r="B133" s="3" t="s">
        <v>481</v>
      </c>
      <c r="C133" s="3" t="s">
        <v>481</v>
      </c>
      <c r="D133" s="3" t="s">
        <v>186</v>
      </c>
      <c r="E133" s="3" t="s">
        <v>159</v>
      </c>
      <c r="F133" s="3">
        <v>40</v>
      </c>
      <c r="G133" s="3" t="s">
        <v>997</v>
      </c>
      <c r="H133" s="3"/>
      <c r="I133" s="3" t="s">
        <v>998</v>
      </c>
      <c r="J133" s="3">
        <v>3</v>
      </c>
      <c r="K133" s="3">
        <v>3</v>
      </c>
      <c r="L133" s="3">
        <v>0</v>
      </c>
      <c r="M133" s="3">
        <v>0</v>
      </c>
      <c r="N133" s="3">
        <v>3</v>
      </c>
      <c r="O133" s="3"/>
      <c r="P133" s="3">
        <v>0</v>
      </c>
      <c r="Q133" s="3">
        <v>0</v>
      </c>
      <c r="R133" s="3">
        <v>0</v>
      </c>
    </row>
    <row r="134" spans="1:18">
      <c r="A134" s="3" t="s">
        <v>1332</v>
      </c>
      <c r="B134" s="3" t="s">
        <v>1333</v>
      </c>
      <c r="C134" s="3" t="s">
        <v>1333</v>
      </c>
      <c r="D134" s="3" t="s">
        <v>186</v>
      </c>
      <c r="E134" s="3" t="s">
        <v>159</v>
      </c>
      <c r="F134" s="3">
        <v>40</v>
      </c>
      <c r="G134" s="3" t="s">
        <v>997</v>
      </c>
      <c r="H134" s="3"/>
      <c r="I134" s="3" t="s">
        <v>998</v>
      </c>
      <c r="J134" s="3">
        <v>0</v>
      </c>
      <c r="K134" s="3">
        <v>0</v>
      </c>
      <c r="L134" s="3">
        <v>0</v>
      </c>
      <c r="M134" s="3">
        <v>0</v>
      </c>
      <c r="N134" s="3">
        <v>0</v>
      </c>
      <c r="O134" s="3"/>
      <c r="P134" s="3">
        <v>0</v>
      </c>
      <c r="Q134" s="3">
        <v>0</v>
      </c>
      <c r="R134" s="3">
        <v>0</v>
      </c>
    </row>
    <row r="135" spans="1:18">
      <c r="A135" s="3" t="s">
        <v>478</v>
      </c>
      <c r="B135" s="3" t="s">
        <v>479</v>
      </c>
      <c r="C135" s="3" t="s">
        <v>479</v>
      </c>
      <c r="D135" s="3" t="s">
        <v>186</v>
      </c>
      <c r="E135" s="3" t="s">
        <v>159</v>
      </c>
      <c r="F135" s="3">
        <v>12</v>
      </c>
      <c r="G135" s="3" t="s">
        <v>997</v>
      </c>
      <c r="H135" s="3"/>
      <c r="I135" s="3" t="s">
        <v>998</v>
      </c>
      <c r="J135" s="3">
        <v>1</v>
      </c>
      <c r="K135" s="3">
        <v>1</v>
      </c>
      <c r="L135" s="3">
        <v>0</v>
      </c>
      <c r="M135" s="3">
        <v>0</v>
      </c>
      <c r="N135" s="3">
        <v>1</v>
      </c>
      <c r="O135" s="3"/>
      <c r="P135" s="3">
        <v>0</v>
      </c>
      <c r="Q135" s="3">
        <v>0</v>
      </c>
      <c r="R135" s="3">
        <v>0</v>
      </c>
    </row>
    <row r="136" spans="1:18">
      <c r="A136" s="3" t="s">
        <v>823</v>
      </c>
      <c r="B136" s="3" t="s">
        <v>824</v>
      </c>
      <c r="C136" s="3" t="s">
        <v>824</v>
      </c>
      <c r="D136" s="3" t="s">
        <v>186</v>
      </c>
      <c r="E136" s="3" t="s">
        <v>159</v>
      </c>
      <c r="F136" s="3">
        <v>12</v>
      </c>
      <c r="G136" s="3" t="s">
        <v>997</v>
      </c>
      <c r="H136" s="3"/>
      <c r="I136" s="3" t="s">
        <v>998</v>
      </c>
      <c r="J136" s="3">
        <v>2</v>
      </c>
      <c r="K136" s="3">
        <v>2</v>
      </c>
      <c r="L136" s="3">
        <v>0</v>
      </c>
      <c r="M136" s="3">
        <v>0</v>
      </c>
      <c r="N136" s="3">
        <v>2</v>
      </c>
      <c r="O136" s="3"/>
      <c r="P136" s="3">
        <v>0</v>
      </c>
      <c r="Q136" s="3">
        <v>0</v>
      </c>
      <c r="R136" s="3">
        <v>0</v>
      </c>
    </row>
    <row r="137" spans="1:18">
      <c r="A137" s="3" t="s">
        <v>251</v>
      </c>
      <c r="B137" s="3" t="s">
        <v>252</v>
      </c>
      <c r="C137" s="3" t="s">
        <v>252</v>
      </c>
      <c r="D137" s="3" t="s">
        <v>186</v>
      </c>
      <c r="E137" s="3" t="s">
        <v>159</v>
      </c>
      <c r="F137" s="3">
        <v>40</v>
      </c>
      <c r="G137" s="3" t="s">
        <v>997</v>
      </c>
      <c r="H137" s="3"/>
      <c r="I137" s="3" t="s">
        <v>998</v>
      </c>
      <c r="J137" s="3">
        <v>3</v>
      </c>
      <c r="K137" s="3">
        <v>3</v>
      </c>
      <c r="L137" s="3">
        <v>0</v>
      </c>
      <c r="M137" s="3">
        <v>0</v>
      </c>
      <c r="N137" s="3">
        <v>3</v>
      </c>
      <c r="O137" s="3"/>
      <c r="P137" s="3">
        <v>0</v>
      </c>
      <c r="Q137" s="3">
        <v>0</v>
      </c>
      <c r="R137" s="3">
        <v>0</v>
      </c>
    </row>
    <row r="138" spans="1:18">
      <c r="A138" s="3" t="s">
        <v>184</v>
      </c>
      <c r="B138" s="3" t="s">
        <v>185</v>
      </c>
      <c r="C138" s="3" t="s">
        <v>185</v>
      </c>
      <c r="D138" s="3" t="s">
        <v>186</v>
      </c>
      <c r="E138" s="3" t="s">
        <v>159</v>
      </c>
      <c r="F138" s="3">
        <v>40</v>
      </c>
      <c r="G138" s="3" t="s">
        <v>997</v>
      </c>
      <c r="H138" s="3"/>
      <c r="I138" s="3" t="s">
        <v>998</v>
      </c>
      <c r="J138" s="3">
        <v>3</v>
      </c>
      <c r="K138" s="3">
        <v>3</v>
      </c>
      <c r="L138" s="3">
        <v>0</v>
      </c>
      <c r="M138" s="3">
        <v>0</v>
      </c>
      <c r="N138" s="3">
        <v>3</v>
      </c>
      <c r="O138" s="3"/>
      <c r="P138" s="3">
        <v>0</v>
      </c>
      <c r="Q138" s="3">
        <v>0</v>
      </c>
      <c r="R138" s="3">
        <v>0</v>
      </c>
    </row>
    <row r="139" spans="1:18">
      <c r="A139" s="3" t="s">
        <v>963</v>
      </c>
      <c r="B139" s="3" t="s">
        <v>964</v>
      </c>
      <c r="C139" s="3" t="s">
        <v>964</v>
      </c>
      <c r="D139" s="3" t="s">
        <v>186</v>
      </c>
      <c r="E139" s="3" t="s">
        <v>159</v>
      </c>
      <c r="F139" s="3">
        <v>12</v>
      </c>
      <c r="G139" s="3" t="s">
        <v>997</v>
      </c>
      <c r="H139" s="3"/>
      <c r="I139" s="3" t="s">
        <v>998</v>
      </c>
      <c r="J139" s="3">
        <v>3</v>
      </c>
      <c r="K139" s="3">
        <v>3</v>
      </c>
      <c r="L139" s="3">
        <v>0</v>
      </c>
      <c r="M139" s="3">
        <v>0</v>
      </c>
      <c r="N139" s="3">
        <v>3</v>
      </c>
      <c r="O139" s="3"/>
      <c r="P139" s="3">
        <v>0</v>
      </c>
      <c r="Q139" s="3">
        <v>0</v>
      </c>
      <c r="R139" s="3">
        <v>0</v>
      </c>
    </row>
    <row r="140" spans="1:18">
      <c r="A140" s="3" t="s">
        <v>316</v>
      </c>
      <c r="B140" s="3" t="s">
        <v>317</v>
      </c>
      <c r="C140" s="3" t="s">
        <v>317</v>
      </c>
      <c r="D140" s="3" t="s">
        <v>186</v>
      </c>
      <c r="E140" s="3" t="s">
        <v>159</v>
      </c>
      <c r="F140" s="3">
        <v>12</v>
      </c>
      <c r="G140" s="3" t="s">
        <v>997</v>
      </c>
      <c r="H140" s="3"/>
      <c r="I140" s="3" t="s">
        <v>998</v>
      </c>
      <c r="J140" s="3">
        <v>2</v>
      </c>
      <c r="K140" s="3">
        <v>2</v>
      </c>
      <c r="L140" s="3">
        <v>0</v>
      </c>
      <c r="M140" s="3">
        <v>0</v>
      </c>
      <c r="N140" s="3">
        <v>2</v>
      </c>
      <c r="O140" s="3"/>
      <c r="P140" s="3">
        <v>0</v>
      </c>
      <c r="Q140" s="3">
        <v>0</v>
      </c>
      <c r="R140" s="3">
        <v>0</v>
      </c>
    </row>
    <row r="141" spans="1:18">
      <c r="A141" s="3" t="s">
        <v>334</v>
      </c>
      <c r="B141" s="3" t="s">
        <v>335</v>
      </c>
      <c r="C141" s="3" t="s">
        <v>335</v>
      </c>
      <c r="D141" s="3" t="s">
        <v>186</v>
      </c>
      <c r="E141" s="3" t="s">
        <v>159</v>
      </c>
      <c r="F141" s="3">
        <v>15</v>
      </c>
      <c r="G141" s="3" t="s">
        <v>997</v>
      </c>
      <c r="H141" s="3"/>
      <c r="I141" s="3" t="s">
        <v>998</v>
      </c>
      <c r="J141" s="3">
        <v>3</v>
      </c>
      <c r="K141" s="3">
        <v>3</v>
      </c>
      <c r="L141" s="3">
        <v>0</v>
      </c>
      <c r="M141" s="3">
        <v>0</v>
      </c>
      <c r="N141" s="3">
        <v>3</v>
      </c>
      <c r="O141" s="3"/>
      <c r="P141" s="3">
        <v>0</v>
      </c>
      <c r="Q141" s="3">
        <v>0</v>
      </c>
      <c r="R141" s="3">
        <v>0</v>
      </c>
    </row>
    <row r="142" spans="1:18">
      <c r="A142" s="3" t="s">
        <v>397</v>
      </c>
      <c r="B142" s="3" t="s">
        <v>398</v>
      </c>
      <c r="C142" s="3" t="s">
        <v>398</v>
      </c>
      <c r="D142" s="3" t="s">
        <v>186</v>
      </c>
      <c r="E142" s="3" t="s">
        <v>159</v>
      </c>
      <c r="F142" s="3">
        <v>40</v>
      </c>
      <c r="G142" s="3" t="s">
        <v>997</v>
      </c>
      <c r="H142" s="3"/>
      <c r="I142" s="3" t="s">
        <v>998</v>
      </c>
      <c r="J142" s="3">
        <v>1</v>
      </c>
      <c r="K142" s="3">
        <v>1</v>
      </c>
      <c r="L142" s="3">
        <v>0</v>
      </c>
      <c r="M142" s="3">
        <v>0</v>
      </c>
      <c r="N142" s="3">
        <v>1</v>
      </c>
      <c r="O142" s="3"/>
      <c r="P142" s="3">
        <v>0</v>
      </c>
      <c r="Q142" s="3">
        <v>0</v>
      </c>
      <c r="R142" s="3">
        <v>0</v>
      </c>
    </row>
    <row r="143" spans="1:18">
      <c r="A143" s="3" t="s">
        <v>953</v>
      </c>
      <c r="B143" s="3" t="s">
        <v>954</v>
      </c>
      <c r="C143" s="3" t="s">
        <v>954</v>
      </c>
      <c r="D143" s="3" t="s">
        <v>186</v>
      </c>
      <c r="E143" s="3" t="s">
        <v>159</v>
      </c>
      <c r="F143" s="3">
        <v>40</v>
      </c>
      <c r="G143" s="3" t="s">
        <v>997</v>
      </c>
      <c r="H143" s="3"/>
      <c r="I143" s="3" t="s">
        <v>998</v>
      </c>
      <c r="J143" s="3">
        <v>3</v>
      </c>
      <c r="K143" s="3">
        <v>3</v>
      </c>
      <c r="L143" s="3">
        <v>0</v>
      </c>
      <c r="M143" s="3">
        <v>0</v>
      </c>
      <c r="N143" s="3">
        <v>3</v>
      </c>
      <c r="O143" s="3"/>
      <c r="P143" s="3">
        <v>0</v>
      </c>
      <c r="Q143" s="3">
        <v>0</v>
      </c>
      <c r="R143" s="3">
        <v>0</v>
      </c>
    </row>
    <row r="144" spans="1:18">
      <c r="A144" s="3" t="s">
        <v>849</v>
      </c>
      <c r="B144" s="3" t="s">
        <v>850</v>
      </c>
      <c r="C144" s="3" t="s">
        <v>850</v>
      </c>
      <c r="D144" s="3" t="s">
        <v>186</v>
      </c>
      <c r="E144" s="3" t="s">
        <v>159</v>
      </c>
      <c r="F144" s="3">
        <v>40</v>
      </c>
      <c r="G144" s="3" t="s">
        <v>997</v>
      </c>
      <c r="H144" s="3"/>
      <c r="I144" s="3" t="s">
        <v>998</v>
      </c>
      <c r="J144" s="3">
        <v>2</v>
      </c>
      <c r="K144" s="3">
        <v>2</v>
      </c>
      <c r="L144" s="3">
        <v>0</v>
      </c>
      <c r="M144" s="3">
        <v>0</v>
      </c>
      <c r="N144" s="3">
        <v>2</v>
      </c>
      <c r="O144" s="3"/>
      <c r="P144" s="3">
        <v>0</v>
      </c>
      <c r="Q144" s="3">
        <v>0</v>
      </c>
      <c r="R144" s="3">
        <v>0</v>
      </c>
    </row>
    <row r="145" spans="1:18">
      <c r="A145" s="3" t="s">
        <v>847</v>
      </c>
      <c r="B145" s="3" t="s">
        <v>848</v>
      </c>
      <c r="C145" s="3" t="s">
        <v>848</v>
      </c>
      <c r="D145" s="3" t="s">
        <v>186</v>
      </c>
      <c r="E145" s="3" t="s">
        <v>159</v>
      </c>
      <c r="F145" s="3">
        <v>40</v>
      </c>
      <c r="G145" s="3" t="s">
        <v>997</v>
      </c>
      <c r="H145" s="3"/>
      <c r="I145" s="3" t="s">
        <v>998</v>
      </c>
      <c r="J145" s="3">
        <v>3</v>
      </c>
      <c r="K145" s="3">
        <v>3</v>
      </c>
      <c r="L145" s="3">
        <v>0</v>
      </c>
      <c r="M145" s="3">
        <v>0</v>
      </c>
      <c r="N145" s="3">
        <v>3</v>
      </c>
      <c r="O145" s="3"/>
      <c r="P145" s="3">
        <v>0</v>
      </c>
      <c r="Q145" s="3">
        <v>0</v>
      </c>
      <c r="R145" s="3">
        <v>0</v>
      </c>
    </row>
    <row r="146" spans="1:18">
      <c r="A146" s="3" t="s">
        <v>245</v>
      </c>
      <c r="B146" s="3" t="s">
        <v>246</v>
      </c>
      <c r="C146" s="3" t="s">
        <v>246</v>
      </c>
      <c r="D146" s="3" t="s">
        <v>186</v>
      </c>
      <c r="E146" s="3" t="s">
        <v>159</v>
      </c>
      <c r="F146" s="3">
        <v>40</v>
      </c>
      <c r="G146" s="3" t="s">
        <v>997</v>
      </c>
      <c r="H146" s="3"/>
      <c r="I146" s="3" t="s">
        <v>998</v>
      </c>
      <c r="J146" s="3">
        <v>2</v>
      </c>
      <c r="K146" s="3">
        <v>2</v>
      </c>
      <c r="L146" s="3">
        <v>0</v>
      </c>
      <c r="M146" s="3">
        <v>0</v>
      </c>
      <c r="N146" s="3">
        <v>2</v>
      </c>
      <c r="O146" s="3"/>
      <c r="P146" s="3">
        <v>0</v>
      </c>
      <c r="Q146" s="3">
        <v>0</v>
      </c>
      <c r="R146" s="3">
        <v>0</v>
      </c>
    </row>
    <row r="147" spans="1:18">
      <c r="A147" s="3" t="s">
        <v>774</v>
      </c>
      <c r="B147" s="3" t="s">
        <v>775</v>
      </c>
      <c r="C147" s="3" t="s">
        <v>775</v>
      </c>
      <c r="D147" s="3" t="s">
        <v>186</v>
      </c>
      <c r="E147" s="3" t="s">
        <v>159</v>
      </c>
      <c r="F147" s="3">
        <v>40</v>
      </c>
      <c r="G147" s="3" t="s">
        <v>997</v>
      </c>
      <c r="H147" s="3"/>
      <c r="I147" s="3" t="s">
        <v>998</v>
      </c>
      <c r="J147" s="3">
        <v>3</v>
      </c>
      <c r="K147" s="3">
        <v>3</v>
      </c>
      <c r="L147" s="3">
        <v>0</v>
      </c>
      <c r="M147" s="3">
        <v>0</v>
      </c>
      <c r="N147" s="3">
        <v>3</v>
      </c>
      <c r="O147" s="3"/>
      <c r="P147" s="3">
        <v>0</v>
      </c>
      <c r="Q147" s="3">
        <v>0</v>
      </c>
      <c r="R147" s="3">
        <v>0</v>
      </c>
    </row>
    <row r="148" spans="1:18">
      <c r="A148" s="3" t="s">
        <v>968</v>
      </c>
      <c r="B148" s="3" t="s">
        <v>969</v>
      </c>
      <c r="C148" s="3" t="s">
        <v>969</v>
      </c>
      <c r="D148" s="3" t="s">
        <v>186</v>
      </c>
      <c r="E148" s="3" t="s">
        <v>159</v>
      </c>
      <c r="F148" s="3">
        <v>40</v>
      </c>
      <c r="G148" s="3" t="s">
        <v>997</v>
      </c>
      <c r="H148" s="3"/>
      <c r="I148" s="3" t="s">
        <v>998</v>
      </c>
      <c r="J148" s="3">
        <v>1</v>
      </c>
      <c r="K148" s="3">
        <v>1</v>
      </c>
      <c r="L148" s="3">
        <v>0</v>
      </c>
      <c r="M148" s="3">
        <v>0</v>
      </c>
      <c r="N148" s="3">
        <v>1</v>
      </c>
      <c r="O148" s="3"/>
      <c r="P148" s="3">
        <v>0</v>
      </c>
      <c r="Q148" s="3">
        <v>0</v>
      </c>
      <c r="R148" s="3">
        <v>0</v>
      </c>
    </row>
    <row r="149" spans="1:18">
      <c r="A149" s="3" t="s">
        <v>544</v>
      </c>
      <c r="B149" s="3" t="s">
        <v>545</v>
      </c>
      <c r="C149" s="3" t="s">
        <v>545</v>
      </c>
      <c r="D149" s="3" t="s">
        <v>186</v>
      </c>
      <c r="E149" s="3" t="s">
        <v>159</v>
      </c>
      <c r="F149" s="3">
        <v>40</v>
      </c>
      <c r="G149" s="3" t="s">
        <v>997</v>
      </c>
      <c r="H149" s="3"/>
      <c r="I149" s="3" t="s">
        <v>998</v>
      </c>
      <c r="J149" s="3">
        <v>3</v>
      </c>
      <c r="K149" s="3">
        <v>3</v>
      </c>
      <c r="L149" s="3">
        <v>0</v>
      </c>
      <c r="M149" s="3">
        <v>0</v>
      </c>
      <c r="N149" s="3">
        <v>3</v>
      </c>
      <c r="O149" s="3"/>
      <c r="P149" s="3">
        <v>0</v>
      </c>
      <c r="Q149" s="3">
        <v>0</v>
      </c>
      <c r="R149" s="3">
        <v>0</v>
      </c>
    </row>
    <row r="150" spans="1:18">
      <c r="A150" s="3" t="s">
        <v>755</v>
      </c>
      <c r="B150" s="3" t="s">
        <v>756</v>
      </c>
      <c r="C150" s="3" t="s">
        <v>756</v>
      </c>
      <c r="D150" s="3" t="s">
        <v>186</v>
      </c>
      <c r="E150" s="3" t="s">
        <v>159</v>
      </c>
      <c r="F150" s="3">
        <v>40</v>
      </c>
      <c r="G150" s="3" t="s">
        <v>997</v>
      </c>
      <c r="H150" s="3"/>
      <c r="I150" s="3" t="s">
        <v>998</v>
      </c>
      <c r="J150" s="3">
        <v>3</v>
      </c>
      <c r="K150" s="3">
        <v>3</v>
      </c>
      <c r="L150" s="3">
        <v>0</v>
      </c>
      <c r="M150" s="3">
        <v>0</v>
      </c>
      <c r="N150" s="3">
        <v>3</v>
      </c>
      <c r="O150" s="3"/>
      <c r="P150" s="3">
        <v>0</v>
      </c>
      <c r="Q150" s="3">
        <v>0</v>
      </c>
      <c r="R150" s="3">
        <v>0</v>
      </c>
    </row>
    <row r="151" spans="1:18">
      <c r="A151" s="3" t="s">
        <v>338</v>
      </c>
      <c r="B151" s="3" t="s">
        <v>339</v>
      </c>
      <c r="C151" s="3" t="s">
        <v>339</v>
      </c>
      <c r="D151" s="3" t="s">
        <v>186</v>
      </c>
      <c r="E151" s="3" t="s">
        <v>159</v>
      </c>
      <c r="F151" s="3">
        <v>40</v>
      </c>
      <c r="G151" s="3" t="s">
        <v>997</v>
      </c>
      <c r="H151" s="3"/>
      <c r="I151" s="3" t="s">
        <v>998</v>
      </c>
      <c r="J151" s="3">
        <v>3</v>
      </c>
      <c r="K151" s="3">
        <v>3</v>
      </c>
      <c r="L151" s="3">
        <v>0</v>
      </c>
      <c r="M151" s="3">
        <v>0</v>
      </c>
      <c r="N151" s="3">
        <v>3</v>
      </c>
      <c r="O151" s="3"/>
      <c r="P151" s="3">
        <v>0</v>
      </c>
      <c r="Q151" s="3">
        <v>0</v>
      </c>
      <c r="R151" s="3">
        <v>0</v>
      </c>
    </row>
    <row r="152" spans="1:18">
      <c r="A152" s="3" t="s">
        <v>665</v>
      </c>
      <c r="B152" s="3" t="s">
        <v>666</v>
      </c>
      <c r="C152" s="3" t="s">
        <v>666</v>
      </c>
      <c r="D152" s="3" t="s">
        <v>186</v>
      </c>
      <c r="E152" s="3" t="s">
        <v>159</v>
      </c>
      <c r="F152" s="3">
        <v>40</v>
      </c>
      <c r="G152" s="3" t="s">
        <v>997</v>
      </c>
      <c r="H152" s="3"/>
      <c r="I152" s="3" t="s">
        <v>998</v>
      </c>
      <c r="J152" s="3">
        <v>3</v>
      </c>
      <c r="K152" s="3">
        <v>3</v>
      </c>
      <c r="L152" s="3">
        <v>0</v>
      </c>
      <c r="M152" s="3">
        <v>0</v>
      </c>
      <c r="N152" s="3">
        <v>3</v>
      </c>
      <c r="O152" s="3"/>
      <c r="P152" s="3">
        <v>0</v>
      </c>
      <c r="Q152" s="3">
        <v>0</v>
      </c>
      <c r="R152" s="3">
        <v>0</v>
      </c>
    </row>
    <row r="153" spans="1:18">
      <c r="A153" s="3" t="s">
        <v>583</v>
      </c>
      <c r="B153" s="3" t="s">
        <v>584</v>
      </c>
      <c r="C153" s="3" t="s">
        <v>584</v>
      </c>
      <c r="D153" s="3" t="s">
        <v>186</v>
      </c>
      <c r="E153" s="3" t="s">
        <v>159</v>
      </c>
      <c r="F153" s="3">
        <v>40</v>
      </c>
      <c r="G153" s="3" t="s">
        <v>997</v>
      </c>
      <c r="H153" s="3"/>
      <c r="I153" s="3" t="s">
        <v>998</v>
      </c>
      <c r="J153" s="3">
        <v>3</v>
      </c>
      <c r="K153" s="3">
        <v>3</v>
      </c>
      <c r="L153" s="3">
        <v>0</v>
      </c>
      <c r="M153" s="3">
        <v>0</v>
      </c>
      <c r="N153" s="3">
        <v>3</v>
      </c>
      <c r="O153" s="3"/>
      <c r="P153" s="3">
        <v>0</v>
      </c>
      <c r="Q153" s="3">
        <v>0</v>
      </c>
      <c r="R153" s="3">
        <v>0</v>
      </c>
    </row>
    <row r="154" spans="1:18">
      <c r="A154" s="3" t="s">
        <v>616</v>
      </c>
      <c r="B154" s="3" t="s">
        <v>617</v>
      </c>
      <c r="C154" s="3" t="s">
        <v>617</v>
      </c>
      <c r="D154" s="3" t="s">
        <v>186</v>
      </c>
      <c r="E154" s="3" t="s">
        <v>159</v>
      </c>
      <c r="F154" s="3">
        <v>40</v>
      </c>
      <c r="G154" s="3" t="s">
        <v>997</v>
      </c>
      <c r="H154" s="3"/>
      <c r="I154" s="3" t="s">
        <v>998</v>
      </c>
      <c r="J154" s="3">
        <v>3</v>
      </c>
      <c r="K154" s="3">
        <v>3</v>
      </c>
      <c r="L154" s="3">
        <v>0</v>
      </c>
      <c r="M154" s="3">
        <v>0</v>
      </c>
      <c r="N154" s="3">
        <v>3</v>
      </c>
      <c r="O154" s="3"/>
      <c r="P154" s="3">
        <v>0</v>
      </c>
      <c r="Q154" s="3">
        <v>0</v>
      </c>
      <c r="R154" s="3">
        <v>0</v>
      </c>
    </row>
    <row r="155" spans="1:18">
      <c r="A155" s="3" t="s">
        <v>298</v>
      </c>
      <c r="B155" s="3" t="s">
        <v>299</v>
      </c>
      <c r="C155" s="3" t="s">
        <v>299</v>
      </c>
      <c r="D155" s="3" t="s">
        <v>186</v>
      </c>
      <c r="E155" s="3" t="s">
        <v>159</v>
      </c>
      <c r="F155" s="3">
        <v>40</v>
      </c>
      <c r="G155" s="3" t="s">
        <v>997</v>
      </c>
      <c r="H155" s="3"/>
      <c r="I155" s="3" t="s">
        <v>998</v>
      </c>
      <c r="J155" s="3">
        <v>3</v>
      </c>
      <c r="K155" s="3">
        <v>3</v>
      </c>
      <c r="L155" s="3">
        <v>0</v>
      </c>
      <c r="M155" s="3">
        <v>0</v>
      </c>
      <c r="N155" s="3">
        <v>3</v>
      </c>
      <c r="O155" s="3"/>
      <c r="P155" s="3">
        <v>0</v>
      </c>
      <c r="Q155" s="3">
        <v>0</v>
      </c>
      <c r="R155" s="3">
        <v>0</v>
      </c>
    </row>
    <row r="156" spans="1:18">
      <c r="A156" s="3" t="s">
        <v>871</v>
      </c>
      <c r="B156" s="3" t="s">
        <v>872</v>
      </c>
      <c r="C156" s="3" t="s">
        <v>872</v>
      </c>
      <c r="D156" s="3" t="s">
        <v>14</v>
      </c>
      <c r="E156" s="3" t="s">
        <v>159</v>
      </c>
      <c r="F156" s="3">
        <v>17.9</v>
      </c>
      <c r="G156" s="3" t="s">
        <v>997</v>
      </c>
      <c r="H156" s="3"/>
      <c r="I156" s="3" t="s">
        <v>998</v>
      </c>
      <c r="J156" s="3">
        <v>8</v>
      </c>
      <c r="K156" s="3">
        <v>8</v>
      </c>
      <c r="L156" s="3">
        <v>0</v>
      </c>
      <c r="M156" s="3">
        <v>0</v>
      </c>
      <c r="N156" s="3">
        <v>8</v>
      </c>
      <c r="O156" s="3">
        <v>0.19</v>
      </c>
      <c r="P156" s="3">
        <v>0</v>
      </c>
      <c r="Q156" s="3">
        <v>0</v>
      </c>
      <c r="R156" s="3">
        <v>0</v>
      </c>
    </row>
    <row r="157" spans="1:18">
      <c r="A157" s="3" t="s">
        <v>890</v>
      </c>
      <c r="B157" s="3" t="s">
        <v>891</v>
      </c>
      <c r="C157" s="3" t="s">
        <v>891</v>
      </c>
      <c r="D157" s="3" t="s">
        <v>14</v>
      </c>
      <c r="E157" s="3" t="s">
        <v>159</v>
      </c>
      <c r="F157" s="3">
        <v>17.9</v>
      </c>
      <c r="G157" s="3" t="s">
        <v>997</v>
      </c>
      <c r="H157" s="3"/>
      <c r="I157" s="3" t="s">
        <v>998</v>
      </c>
      <c r="J157" s="3">
        <v>8</v>
      </c>
      <c r="K157" s="3">
        <v>8</v>
      </c>
      <c r="L157" s="3">
        <v>0</v>
      </c>
      <c r="M157" s="3">
        <v>0</v>
      </c>
      <c r="N157" s="3">
        <v>8</v>
      </c>
      <c r="O157" s="3">
        <v>0.11</v>
      </c>
      <c r="P157" s="3">
        <v>0</v>
      </c>
      <c r="Q157" s="3">
        <v>0</v>
      </c>
      <c r="R157" s="3">
        <v>0</v>
      </c>
    </row>
    <row r="158" spans="1:18">
      <c r="A158" s="3" t="s">
        <v>12</v>
      </c>
      <c r="B158" s="3" t="s">
        <v>13</v>
      </c>
      <c r="C158" s="3" t="s">
        <v>13</v>
      </c>
      <c r="D158" s="3" t="s">
        <v>14</v>
      </c>
      <c r="E158" s="3" t="s">
        <v>159</v>
      </c>
      <c r="F158" s="3">
        <v>17.9</v>
      </c>
      <c r="G158" s="3" t="s">
        <v>997</v>
      </c>
      <c r="H158" s="3"/>
      <c r="I158" s="3" t="s">
        <v>998</v>
      </c>
      <c r="J158" s="3">
        <v>6</v>
      </c>
      <c r="K158" s="3">
        <v>3</v>
      </c>
      <c r="L158" s="3">
        <v>2</v>
      </c>
      <c r="M158" s="3">
        <v>1</v>
      </c>
      <c r="N158" s="3">
        <v>6</v>
      </c>
      <c r="O158" s="3">
        <v>0.19</v>
      </c>
      <c r="P158" s="3">
        <v>0</v>
      </c>
      <c r="Q158" s="3">
        <v>0</v>
      </c>
      <c r="R158" s="3">
        <v>0</v>
      </c>
    </row>
    <row r="159" spans="1:18">
      <c r="A159" s="3" t="s">
        <v>423</v>
      </c>
      <c r="B159" s="3" t="s">
        <v>424</v>
      </c>
      <c r="C159" s="3" t="s">
        <v>424</v>
      </c>
      <c r="D159" s="3" t="s">
        <v>425</v>
      </c>
      <c r="E159" s="3" t="s">
        <v>159</v>
      </c>
      <c r="F159" s="3">
        <v>17.98</v>
      </c>
      <c r="G159" s="3" t="s">
        <v>997</v>
      </c>
      <c r="H159" s="3"/>
      <c r="I159" s="3" t="s">
        <v>998</v>
      </c>
      <c r="J159" s="3">
        <v>8</v>
      </c>
      <c r="K159" s="3">
        <v>8</v>
      </c>
      <c r="L159" s="3">
        <v>0</v>
      </c>
      <c r="M159" s="3">
        <v>0</v>
      </c>
      <c r="N159" s="3">
        <v>8</v>
      </c>
      <c r="O159" s="3">
        <v>0.16</v>
      </c>
      <c r="P159" s="3">
        <v>0</v>
      </c>
      <c r="Q159" s="3">
        <v>0</v>
      </c>
      <c r="R159" s="3">
        <v>0</v>
      </c>
    </row>
    <row r="160" spans="1:18">
      <c r="A160" s="3" t="s">
        <v>591</v>
      </c>
      <c r="B160" s="3" t="s">
        <v>592</v>
      </c>
      <c r="C160" s="3" t="s">
        <v>592</v>
      </c>
      <c r="D160" s="3" t="s">
        <v>14</v>
      </c>
      <c r="E160" s="3" t="s">
        <v>159</v>
      </c>
      <c r="F160" s="3">
        <v>17.9</v>
      </c>
      <c r="G160" s="3" t="s">
        <v>997</v>
      </c>
      <c r="H160" s="3"/>
      <c r="I160" s="3" t="s">
        <v>998</v>
      </c>
      <c r="J160" s="3">
        <v>12</v>
      </c>
      <c r="K160" s="3">
        <v>12</v>
      </c>
      <c r="L160" s="3">
        <v>0</v>
      </c>
      <c r="M160" s="3">
        <v>0</v>
      </c>
      <c r="N160" s="3">
        <v>12</v>
      </c>
      <c r="O160" s="3">
        <v>0.24</v>
      </c>
      <c r="P160" s="3">
        <v>0</v>
      </c>
      <c r="Q160" s="3">
        <v>0</v>
      </c>
      <c r="R160" s="3">
        <v>0</v>
      </c>
    </row>
    <row r="161" spans="1:18">
      <c r="A161" s="3" t="s">
        <v>842</v>
      </c>
      <c r="B161" s="3" t="s">
        <v>843</v>
      </c>
      <c r="C161" s="3" t="s">
        <v>843</v>
      </c>
      <c r="D161" s="3" t="s">
        <v>14</v>
      </c>
      <c r="E161" s="3" t="s">
        <v>159</v>
      </c>
      <c r="F161" s="3">
        <v>17.9</v>
      </c>
      <c r="G161" s="3" t="s">
        <v>997</v>
      </c>
      <c r="H161" s="3"/>
      <c r="I161" s="3" t="s">
        <v>998</v>
      </c>
      <c r="J161" s="3">
        <v>20</v>
      </c>
      <c r="K161" s="3">
        <v>20</v>
      </c>
      <c r="L161" s="3">
        <v>0</v>
      </c>
      <c r="M161" s="3">
        <v>0</v>
      </c>
      <c r="N161" s="3">
        <v>20</v>
      </c>
      <c r="O161" s="3">
        <v>0.22</v>
      </c>
      <c r="P161" s="3">
        <v>0</v>
      </c>
      <c r="Q161" s="3">
        <v>0</v>
      </c>
      <c r="R161" s="3">
        <v>0</v>
      </c>
    </row>
    <row r="162" spans="1:18">
      <c r="A162" s="3" t="s">
        <v>567</v>
      </c>
      <c r="B162" s="3" t="s">
        <v>568</v>
      </c>
      <c r="C162" s="3" t="s">
        <v>568</v>
      </c>
      <c r="D162" s="3" t="s">
        <v>569</v>
      </c>
      <c r="E162" s="3" t="s">
        <v>159</v>
      </c>
      <c r="F162" s="3">
        <v>35</v>
      </c>
      <c r="G162" s="3" t="s">
        <v>997</v>
      </c>
      <c r="H162" s="3"/>
      <c r="I162" s="3" t="s">
        <v>998</v>
      </c>
      <c r="J162" s="3">
        <v>3</v>
      </c>
      <c r="K162" s="3">
        <v>3</v>
      </c>
      <c r="L162" s="3">
        <v>0</v>
      </c>
      <c r="M162" s="3">
        <v>0</v>
      </c>
      <c r="N162" s="3">
        <v>3</v>
      </c>
      <c r="O162" s="3">
        <v>0.12</v>
      </c>
      <c r="P162" s="3">
        <v>0</v>
      </c>
      <c r="Q162" s="3">
        <v>0</v>
      </c>
      <c r="R162" s="3">
        <v>0</v>
      </c>
    </row>
    <row r="163" spans="1:18">
      <c r="A163" s="3" t="s">
        <v>711</v>
      </c>
      <c r="B163" s="3" t="s">
        <v>712</v>
      </c>
      <c r="C163" s="3" t="s">
        <v>712</v>
      </c>
      <c r="D163" s="3" t="s">
        <v>713</v>
      </c>
      <c r="E163" s="3" t="s">
        <v>159</v>
      </c>
      <c r="F163" s="3">
        <v>35</v>
      </c>
      <c r="G163" s="3" t="s">
        <v>997</v>
      </c>
      <c r="H163" s="3"/>
      <c r="I163" s="3" t="s">
        <v>998</v>
      </c>
      <c r="J163" s="3">
        <v>4</v>
      </c>
      <c r="K163" s="3">
        <v>4</v>
      </c>
      <c r="L163" s="3">
        <v>0</v>
      </c>
      <c r="M163" s="3">
        <v>0</v>
      </c>
      <c r="N163" s="3">
        <v>4</v>
      </c>
      <c r="O163" s="3">
        <v>0.12</v>
      </c>
      <c r="P163" s="3">
        <v>0</v>
      </c>
      <c r="Q163" s="3">
        <v>0</v>
      </c>
      <c r="R163" s="3">
        <v>0</v>
      </c>
    </row>
    <row r="164" spans="1:18">
      <c r="A164" s="3" t="s">
        <v>15</v>
      </c>
      <c r="B164" s="3" t="s">
        <v>16</v>
      </c>
      <c r="C164" s="3" t="s">
        <v>16</v>
      </c>
      <c r="D164" s="3" t="s">
        <v>17</v>
      </c>
      <c r="E164" s="3" t="s">
        <v>159</v>
      </c>
      <c r="F164" s="3">
        <v>35</v>
      </c>
      <c r="G164" s="3" t="s">
        <v>997</v>
      </c>
      <c r="H164" s="3"/>
      <c r="I164" s="3" t="s">
        <v>998</v>
      </c>
      <c r="J164" s="3">
        <v>1</v>
      </c>
      <c r="K164" s="3">
        <v>0</v>
      </c>
      <c r="L164" s="3">
        <v>0</v>
      </c>
      <c r="M164" s="3">
        <v>1</v>
      </c>
      <c r="N164" s="3">
        <v>1</v>
      </c>
      <c r="O164" s="3">
        <v>0.12</v>
      </c>
      <c r="P164" s="3">
        <v>0</v>
      </c>
      <c r="Q164" s="3">
        <v>0</v>
      </c>
      <c r="R164" s="3">
        <v>0</v>
      </c>
    </row>
    <row r="165" spans="1:18">
      <c r="A165" s="3" t="s">
        <v>404</v>
      </c>
      <c r="B165" s="3" t="s">
        <v>405</v>
      </c>
      <c r="C165" s="3" t="s">
        <v>405</v>
      </c>
      <c r="D165" s="3" t="s">
        <v>406</v>
      </c>
      <c r="E165" s="3" t="s">
        <v>159</v>
      </c>
      <c r="F165" s="3">
        <v>35</v>
      </c>
      <c r="G165" s="3" t="s">
        <v>997</v>
      </c>
      <c r="H165" s="3"/>
      <c r="I165" s="3" t="s">
        <v>998</v>
      </c>
      <c r="J165" s="3">
        <v>4</v>
      </c>
      <c r="K165" s="3">
        <v>4</v>
      </c>
      <c r="L165" s="3">
        <v>0</v>
      </c>
      <c r="M165" s="3">
        <v>0</v>
      </c>
      <c r="N165" s="3">
        <v>4</v>
      </c>
      <c r="O165" s="3">
        <v>0.12</v>
      </c>
      <c r="P165" s="3">
        <v>0</v>
      </c>
      <c r="Q165" s="3">
        <v>0</v>
      </c>
      <c r="R165" s="3">
        <v>0</v>
      </c>
    </row>
    <row r="166" spans="1:18">
      <c r="A166" s="3" t="s">
        <v>238</v>
      </c>
      <c r="B166" s="3" t="s">
        <v>239</v>
      </c>
      <c r="C166" s="3" t="s">
        <v>239</v>
      </c>
      <c r="D166" s="3" t="s">
        <v>240</v>
      </c>
      <c r="E166" s="3" t="s">
        <v>159</v>
      </c>
      <c r="F166" s="3">
        <v>35</v>
      </c>
      <c r="G166" s="3" t="s">
        <v>997</v>
      </c>
      <c r="H166" s="3"/>
      <c r="I166" s="3" t="s">
        <v>998</v>
      </c>
      <c r="J166" s="3">
        <v>4</v>
      </c>
      <c r="K166" s="3">
        <v>4</v>
      </c>
      <c r="L166" s="3">
        <v>0</v>
      </c>
      <c r="M166" s="3">
        <v>0</v>
      </c>
      <c r="N166" s="3">
        <v>4</v>
      </c>
      <c r="O166" s="3">
        <v>0.12</v>
      </c>
      <c r="P166" s="3">
        <v>0</v>
      </c>
      <c r="Q166" s="3">
        <v>0</v>
      </c>
      <c r="R166" s="3">
        <v>0</v>
      </c>
    </row>
    <row r="167" spans="1:18">
      <c r="A167" s="3" t="s">
        <v>789</v>
      </c>
      <c r="B167" s="3" t="s">
        <v>790</v>
      </c>
      <c r="C167" s="3" t="s">
        <v>790</v>
      </c>
      <c r="D167" s="3" t="s">
        <v>791</v>
      </c>
      <c r="E167" s="3" t="s">
        <v>159</v>
      </c>
      <c r="F167" s="3">
        <v>35</v>
      </c>
      <c r="G167" s="3" t="s">
        <v>997</v>
      </c>
      <c r="H167" s="3"/>
      <c r="I167" s="3" t="s">
        <v>998</v>
      </c>
      <c r="J167" s="3">
        <v>5</v>
      </c>
      <c r="K167" s="3">
        <v>5</v>
      </c>
      <c r="L167" s="3">
        <v>0</v>
      </c>
      <c r="M167" s="3">
        <v>0</v>
      </c>
      <c r="N167" s="3">
        <v>5</v>
      </c>
      <c r="O167" s="3">
        <v>0.12</v>
      </c>
      <c r="P167" s="3">
        <v>0</v>
      </c>
      <c r="Q167" s="3">
        <v>0</v>
      </c>
      <c r="R167" s="3">
        <v>0</v>
      </c>
    </row>
    <row r="168" spans="1:18">
      <c r="A168" s="3" t="s">
        <v>388</v>
      </c>
      <c r="B168" s="3" t="s">
        <v>389</v>
      </c>
      <c r="C168" s="3" t="s">
        <v>389</v>
      </c>
      <c r="D168" s="3" t="s">
        <v>390</v>
      </c>
      <c r="E168" s="3" t="s">
        <v>159</v>
      </c>
      <c r="F168" s="3">
        <v>35</v>
      </c>
      <c r="G168" s="3" t="s">
        <v>997</v>
      </c>
      <c r="H168" s="3"/>
      <c r="I168" s="3" t="s">
        <v>998</v>
      </c>
      <c r="J168" s="3">
        <v>4</v>
      </c>
      <c r="K168" s="3">
        <v>4</v>
      </c>
      <c r="L168" s="3">
        <v>0</v>
      </c>
      <c r="M168" s="3">
        <v>0</v>
      </c>
      <c r="N168" s="3">
        <v>4</v>
      </c>
      <c r="O168" s="3">
        <v>0.12</v>
      </c>
      <c r="P168" s="3">
        <v>0</v>
      </c>
      <c r="Q168" s="3">
        <v>0</v>
      </c>
      <c r="R168" s="3">
        <v>0</v>
      </c>
    </row>
    <row r="169" spans="1:18">
      <c r="A169" s="3" t="s">
        <v>784</v>
      </c>
      <c r="B169" s="3" t="s">
        <v>785</v>
      </c>
      <c r="C169" s="3" t="s">
        <v>785</v>
      </c>
      <c r="D169" s="3" t="s">
        <v>786</v>
      </c>
      <c r="E169" s="3" t="s">
        <v>159</v>
      </c>
      <c r="F169" s="3">
        <v>35</v>
      </c>
      <c r="G169" s="3" t="s">
        <v>997</v>
      </c>
      <c r="H169" s="3"/>
      <c r="I169" s="3" t="s">
        <v>998</v>
      </c>
      <c r="J169" s="3">
        <v>4</v>
      </c>
      <c r="K169" s="3">
        <v>4</v>
      </c>
      <c r="L169" s="3">
        <v>0</v>
      </c>
      <c r="M169" s="3">
        <v>0</v>
      </c>
      <c r="N169" s="3">
        <v>4</v>
      </c>
      <c r="O169" s="3">
        <v>0.12</v>
      </c>
      <c r="P169" s="3">
        <v>0</v>
      </c>
      <c r="Q169" s="3">
        <v>0</v>
      </c>
      <c r="R169" s="3">
        <v>0</v>
      </c>
    </row>
    <row r="170" spans="1:18">
      <c r="A170" s="3" t="s">
        <v>804</v>
      </c>
      <c r="B170" s="3" t="s">
        <v>805</v>
      </c>
      <c r="C170" s="3" t="s">
        <v>805</v>
      </c>
      <c r="D170" s="3" t="s">
        <v>806</v>
      </c>
      <c r="E170" s="3" t="s">
        <v>159</v>
      </c>
      <c r="F170" s="3">
        <v>35</v>
      </c>
      <c r="G170" s="3" t="s">
        <v>997</v>
      </c>
      <c r="H170" s="3"/>
      <c r="I170" s="3" t="s">
        <v>998</v>
      </c>
      <c r="J170" s="3">
        <v>5</v>
      </c>
      <c r="K170" s="3">
        <v>5</v>
      </c>
      <c r="L170" s="3">
        <v>0</v>
      </c>
      <c r="M170" s="3">
        <v>0</v>
      </c>
      <c r="N170" s="3">
        <v>5</v>
      </c>
      <c r="O170" s="3">
        <v>0.12</v>
      </c>
      <c r="P170" s="3">
        <v>0</v>
      </c>
      <c r="Q170" s="3">
        <v>0</v>
      </c>
      <c r="R170" s="3">
        <v>0</v>
      </c>
    </row>
    <row r="171" spans="1:18">
      <c r="A171" s="3" t="s">
        <v>467</v>
      </c>
      <c r="B171" s="3" t="s">
        <v>468</v>
      </c>
      <c r="C171" s="3" t="s">
        <v>468</v>
      </c>
      <c r="D171" s="3" t="s">
        <v>469</v>
      </c>
      <c r="E171" s="3" t="s">
        <v>159</v>
      </c>
      <c r="F171" s="3">
        <v>35</v>
      </c>
      <c r="G171" s="3" t="s">
        <v>997</v>
      </c>
      <c r="H171" s="3"/>
      <c r="I171" s="3" t="s">
        <v>998</v>
      </c>
      <c r="J171" s="3">
        <v>4</v>
      </c>
      <c r="K171" s="3">
        <v>4</v>
      </c>
      <c r="L171" s="3">
        <v>0</v>
      </c>
      <c r="M171" s="3">
        <v>0</v>
      </c>
      <c r="N171" s="3">
        <v>4</v>
      </c>
      <c r="O171" s="3">
        <v>0.12</v>
      </c>
      <c r="P171" s="3">
        <v>0</v>
      </c>
      <c r="Q171" s="3">
        <v>0</v>
      </c>
      <c r="R171" s="3">
        <v>0</v>
      </c>
    </row>
    <row r="172" spans="1:18">
      <c r="A172" s="3" t="s">
        <v>884</v>
      </c>
      <c r="B172" s="3" t="s">
        <v>885</v>
      </c>
      <c r="C172" s="3" t="s">
        <v>885</v>
      </c>
      <c r="D172" s="3" t="s">
        <v>886</v>
      </c>
      <c r="E172" s="3" t="s">
        <v>159</v>
      </c>
      <c r="F172" s="3">
        <v>35</v>
      </c>
      <c r="G172" s="3" t="s">
        <v>997</v>
      </c>
      <c r="H172" s="3"/>
      <c r="I172" s="3" t="s">
        <v>998</v>
      </c>
      <c r="J172" s="3">
        <v>5</v>
      </c>
      <c r="K172" s="3">
        <v>5</v>
      </c>
      <c r="L172" s="3">
        <v>0</v>
      </c>
      <c r="M172" s="3">
        <v>0</v>
      </c>
      <c r="N172" s="3">
        <v>5</v>
      </c>
      <c r="O172" s="3">
        <v>0.12</v>
      </c>
      <c r="P172" s="3">
        <v>0</v>
      </c>
      <c r="Q172" s="3">
        <v>0</v>
      </c>
      <c r="R172" s="3">
        <v>0</v>
      </c>
    </row>
    <row r="173" spans="1:18">
      <c r="A173" s="3" t="s">
        <v>380</v>
      </c>
      <c r="B173" s="3" t="s">
        <v>381</v>
      </c>
      <c r="C173" s="3" t="s">
        <v>381</v>
      </c>
      <c r="D173" s="3" t="s">
        <v>382</v>
      </c>
      <c r="E173" s="3" t="s">
        <v>159</v>
      </c>
      <c r="F173" s="3">
        <v>35</v>
      </c>
      <c r="G173" s="3" t="s">
        <v>997</v>
      </c>
      <c r="H173" s="3"/>
      <c r="I173" s="3" t="s">
        <v>998</v>
      </c>
      <c r="J173" s="3">
        <v>3</v>
      </c>
      <c r="K173" s="3">
        <v>3</v>
      </c>
      <c r="L173" s="3">
        <v>0</v>
      </c>
      <c r="M173" s="3">
        <v>0</v>
      </c>
      <c r="N173" s="3">
        <v>3</v>
      </c>
      <c r="O173" s="3">
        <v>0.12</v>
      </c>
      <c r="P173" s="3">
        <v>0</v>
      </c>
      <c r="Q173" s="3">
        <v>0</v>
      </c>
      <c r="R173" s="3">
        <v>0</v>
      </c>
    </row>
    <row r="174" spans="1:18">
      <c r="A174" s="3" t="s">
        <v>498</v>
      </c>
      <c r="B174" s="3" t="s">
        <v>499</v>
      </c>
      <c r="C174" s="3" t="s">
        <v>499</v>
      </c>
      <c r="D174" s="3" t="s">
        <v>500</v>
      </c>
      <c r="E174" s="3" t="s">
        <v>159</v>
      </c>
      <c r="F174" s="3">
        <v>35</v>
      </c>
      <c r="G174" s="3" t="s">
        <v>997</v>
      </c>
      <c r="H174" s="3"/>
      <c r="I174" s="3" t="s">
        <v>998</v>
      </c>
      <c r="J174" s="3">
        <v>5</v>
      </c>
      <c r="K174" s="3">
        <v>5</v>
      </c>
      <c r="L174" s="3">
        <v>0</v>
      </c>
      <c r="M174" s="3">
        <v>0</v>
      </c>
      <c r="N174" s="3">
        <v>5</v>
      </c>
      <c r="O174" s="3">
        <v>0.12</v>
      </c>
      <c r="P174" s="3">
        <v>0</v>
      </c>
      <c r="Q174" s="3">
        <v>0</v>
      </c>
      <c r="R174" s="3">
        <v>0</v>
      </c>
    </row>
    <row r="175" spans="1:18">
      <c r="A175" s="3" t="s">
        <v>718</v>
      </c>
      <c r="B175" s="3" t="s">
        <v>719</v>
      </c>
      <c r="C175" s="3" t="s">
        <v>719</v>
      </c>
      <c r="D175" s="3" t="s">
        <v>720</v>
      </c>
      <c r="E175" s="3" t="s">
        <v>159</v>
      </c>
      <c r="F175" s="3">
        <v>35</v>
      </c>
      <c r="G175" s="3" t="s">
        <v>997</v>
      </c>
      <c r="H175" s="3"/>
      <c r="I175" s="3" t="s">
        <v>998</v>
      </c>
      <c r="J175" s="3">
        <v>5</v>
      </c>
      <c r="K175" s="3">
        <v>5</v>
      </c>
      <c r="L175" s="3">
        <v>0</v>
      </c>
      <c r="M175" s="3">
        <v>0</v>
      </c>
      <c r="N175" s="3">
        <v>5</v>
      </c>
      <c r="O175" s="3">
        <v>0.12</v>
      </c>
      <c r="P175" s="3">
        <v>0</v>
      </c>
      <c r="Q175" s="3">
        <v>0</v>
      </c>
      <c r="R175" s="3">
        <v>0</v>
      </c>
    </row>
    <row r="176" spans="1:18">
      <c r="A176" s="3" t="s">
        <v>877</v>
      </c>
      <c r="B176" s="3" t="s">
        <v>878</v>
      </c>
      <c r="C176" s="3" t="s">
        <v>878</v>
      </c>
      <c r="D176" s="3" t="s">
        <v>879</v>
      </c>
      <c r="E176" s="3" t="s">
        <v>159</v>
      </c>
      <c r="F176" s="3">
        <v>35</v>
      </c>
      <c r="G176" s="3" t="s">
        <v>997</v>
      </c>
      <c r="H176" s="3"/>
      <c r="I176" s="3" t="s">
        <v>998</v>
      </c>
      <c r="J176" s="3">
        <v>3</v>
      </c>
      <c r="K176" s="3">
        <v>3</v>
      </c>
      <c r="L176" s="3">
        <v>0</v>
      </c>
      <c r="M176" s="3">
        <v>0</v>
      </c>
      <c r="N176" s="3">
        <v>3</v>
      </c>
      <c r="O176" s="3">
        <v>0.12</v>
      </c>
      <c r="P176" s="3">
        <v>0</v>
      </c>
      <c r="Q176" s="3">
        <v>0</v>
      </c>
      <c r="R176" s="3">
        <v>0</v>
      </c>
    </row>
    <row r="177" spans="1:18">
      <c r="A177" s="3" t="s">
        <v>513</v>
      </c>
      <c r="B177" s="3" t="s">
        <v>514</v>
      </c>
      <c r="C177" s="3" t="s">
        <v>514</v>
      </c>
      <c r="D177" s="3" t="s">
        <v>515</v>
      </c>
      <c r="E177" s="3" t="s">
        <v>159</v>
      </c>
      <c r="F177" s="3">
        <v>35</v>
      </c>
      <c r="G177" s="3" t="s">
        <v>997</v>
      </c>
      <c r="H177" s="3"/>
      <c r="I177" s="3" t="s">
        <v>998</v>
      </c>
      <c r="J177" s="3">
        <v>3</v>
      </c>
      <c r="K177" s="3">
        <v>3</v>
      </c>
      <c r="L177" s="3">
        <v>0</v>
      </c>
      <c r="M177" s="3">
        <v>0</v>
      </c>
      <c r="N177" s="3">
        <v>3</v>
      </c>
      <c r="O177" s="3">
        <v>0.12</v>
      </c>
      <c r="P177" s="3">
        <v>0</v>
      </c>
      <c r="Q177" s="3">
        <v>0</v>
      </c>
      <c r="R177" s="3">
        <v>0</v>
      </c>
    </row>
    <row r="178" spans="1:18">
      <c r="A178" s="3" t="s">
        <v>929</v>
      </c>
      <c r="B178" s="3" t="s">
        <v>930</v>
      </c>
      <c r="C178" s="3" t="s">
        <v>930</v>
      </c>
      <c r="D178" s="3" t="s">
        <v>931</v>
      </c>
      <c r="E178" s="3" t="s">
        <v>159</v>
      </c>
      <c r="F178" s="3">
        <v>35</v>
      </c>
      <c r="G178" s="3" t="s">
        <v>997</v>
      </c>
      <c r="H178" s="3"/>
      <c r="I178" s="3" t="s">
        <v>998</v>
      </c>
      <c r="J178" s="3">
        <v>5</v>
      </c>
      <c r="K178" s="3">
        <v>5</v>
      </c>
      <c r="L178" s="3">
        <v>0</v>
      </c>
      <c r="M178" s="3">
        <v>0</v>
      </c>
      <c r="N178" s="3">
        <v>5</v>
      </c>
      <c r="O178" s="3">
        <v>0.12</v>
      </c>
      <c r="P178" s="3">
        <v>0</v>
      </c>
      <c r="Q178" s="3">
        <v>0</v>
      </c>
      <c r="R178" s="3">
        <v>0</v>
      </c>
    </row>
    <row r="179" spans="1:18">
      <c r="A179" s="3" t="s">
        <v>609</v>
      </c>
      <c r="B179" s="3" t="s">
        <v>610</v>
      </c>
      <c r="C179" s="3" t="s">
        <v>610</v>
      </c>
      <c r="D179" s="3" t="s">
        <v>611</v>
      </c>
      <c r="E179" s="3" t="s">
        <v>159</v>
      </c>
      <c r="F179" s="3">
        <v>35</v>
      </c>
      <c r="G179" s="3" t="s">
        <v>997</v>
      </c>
      <c r="H179" s="3"/>
      <c r="I179" s="3" t="s">
        <v>998</v>
      </c>
      <c r="J179" s="3">
        <v>2</v>
      </c>
      <c r="K179" s="3">
        <v>2</v>
      </c>
      <c r="L179" s="3">
        <v>0</v>
      </c>
      <c r="M179" s="3">
        <v>0</v>
      </c>
      <c r="N179" s="3">
        <v>2</v>
      </c>
      <c r="O179" s="3">
        <v>0.12</v>
      </c>
      <c r="P179" s="3">
        <v>0</v>
      </c>
      <c r="Q179" s="3">
        <v>0</v>
      </c>
      <c r="R179" s="3">
        <v>0</v>
      </c>
    </row>
    <row r="180" spans="1:18">
      <c r="A180" s="3" t="s">
        <v>293</v>
      </c>
      <c r="B180" s="3" t="s">
        <v>294</v>
      </c>
      <c r="C180" s="3" t="s">
        <v>294</v>
      </c>
      <c r="D180" s="3" t="s">
        <v>295</v>
      </c>
      <c r="E180" s="3" t="s">
        <v>159</v>
      </c>
      <c r="F180" s="3">
        <v>35</v>
      </c>
      <c r="G180" s="3" t="s">
        <v>997</v>
      </c>
      <c r="H180" s="3"/>
      <c r="I180" s="3" t="s">
        <v>998</v>
      </c>
      <c r="J180" s="3">
        <v>5</v>
      </c>
      <c r="K180" s="3">
        <v>5</v>
      </c>
      <c r="L180" s="3">
        <v>0</v>
      </c>
      <c r="M180" s="3">
        <v>0</v>
      </c>
      <c r="N180" s="3">
        <v>5</v>
      </c>
      <c r="O180" s="3">
        <v>0.12</v>
      </c>
      <c r="P180" s="3">
        <v>0</v>
      </c>
      <c r="Q180" s="3">
        <v>0</v>
      </c>
      <c r="R180" s="3">
        <v>0</v>
      </c>
    </row>
    <row r="181" spans="1:18">
      <c r="A181" s="3" t="s">
        <v>572</v>
      </c>
      <c r="B181" s="3" t="s">
        <v>573</v>
      </c>
      <c r="C181" s="3" t="s">
        <v>573</v>
      </c>
      <c r="D181" s="3" t="s">
        <v>574</v>
      </c>
      <c r="E181" s="3" t="s">
        <v>159</v>
      </c>
      <c r="F181" s="3">
        <v>35</v>
      </c>
      <c r="G181" s="3" t="s">
        <v>997</v>
      </c>
      <c r="H181" s="3"/>
      <c r="I181" s="3" t="s">
        <v>998</v>
      </c>
      <c r="J181" s="3">
        <v>4</v>
      </c>
      <c r="K181" s="3">
        <v>4</v>
      </c>
      <c r="L181" s="3">
        <v>0</v>
      </c>
      <c r="M181" s="3">
        <v>0</v>
      </c>
      <c r="N181" s="3">
        <v>4</v>
      </c>
      <c r="O181" s="3">
        <v>0.12</v>
      </c>
      <c r="P181" s="3">
        <v>0</v>
      </c>
      <c r="Q181" s="3">
        <v>0</v>
      </c>
      <c r="R181" s="3">
        <v>0</v>
      </c>
    </row>
    <row r="182" spans="1:18">
      <c r="A182" s="3" t="s">
        <v>698</v>
      </c>
      <c r="B182" s="3" t="s">
        <v>699</v>
      </c>
      <c r="C182" s="3" t="s">
        <v>699</v>
      </c>
      <c r="D182" s="3" t="s">
        <v>700</v>
      </c>
      <c r="E182" s="3" t="s">
        <v>159</v>
      </c>
      <c r="F182" s="3">
        <v>35</v>
      </c>
      <c r="G182" s="3" t="s">
        <v>997</v>
      </c>
      <c r="H182" s="3"/>
      <c r="I182" s="3" t="s">
        <v>998</v>
      </c>
      <c r="J182" s="3">
        <v>3</v>
      </c>
      <c r="K182" s="3">
        <v>3</v>
      </c>
      <c r="L182" s="3">
        <v>0</v>
      </c>
      <c r="M182" s="3">
        <v>0</v>
      </c>
      <c r="N182" s="3">
        <v>3</v>
      </c>
      <c r="O182" s="3">
        <v>0.12</v>
      </c>
      <c r="P182" s="3">
        <v>0</v>
      </c>
      <c r="Q182" s="3">
        <v>0</v>
      </c>
      <c r="R182" s="3">
        <v>0</v>
      </c>
    </row>
    <row r="183" spans="1:18">
      <c r="A183" s="3" t="s">
        <v>391</v>
      </c>
      <c r="B183" s="3" t="s">
        <v>392</v>
      </c>
      <c r="C183" s="3" t="s">
        <v>392</v>
      </c>
      <c r="D183" s="3" t="s">
        <v>393</v>
      </c>
      <c r="E183" s="3" t="s">
        <v>159</v>
      </c>
      <c r="F183" s="3">
        <v>35</v>
      </c>
      <c r="G183" s="3" t="s">
        <v>997</v>
      </c>
      <c r="H183" s="3"/>
      <c r="I183" s="3" t="s">
        <v>998</v>
      </c>
      <c r="J183" s="3">
        <v>4</v>
      </c>
      <c r="K183" s="3">
        <v>4</v>
      </c>
      <c r="L183" s="3">
        <v>0</v>
      </c>
      <c r="M183" s="3">
        <v>0</v>
      </c>
      <c r="N183" s="3">
        <v>4</v>
      </c>
      <c r="O183" s="3">
        <v>0.12</v>
      </c>
      <c r="P183" s="3">
        <v>0</v>
      </c>
      <c r="Q183" s="3">
        <v>0</v>
      </c>
      <c r="R183" s="3">
        <v>0</v>
      </c>
    </row>
    <row r="184" spans="1:18">
      <c r="A184" s="3" t="s">
        <v>1334</v>
      </c>
      <c r="B184" s="3" t="s">
        <v>1335</v>
      </c>
      <c r="C184" s="3" t="s">
        <v>1335</v>
      </c>
      <c r="D184" s="3" t="s">
        <v>1336</v>
      </c>
      <c r="E184" s="3" t="s">
        <v>159</v>
      </c>
      <c r="F184" s="3">
        <v>35</v>
      </c>
      <c r="G184" s="3" t="s">
        <v>997</v>
      </c>
      <c r="H184" s="3"/>
      <c r="I184" s="3" t="s">
        <v>998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0.12</v>
      </c>
      <c r="P184" s="3">
        <v>0</v>
      </c>
      <c r="Q184" s="3">
        <v>0</v>
      </c>
      <c r="R184" s="3">
        <v>0</v>
      </c>
    </row>
    <row r="185" spans="1:18">
      <c r="A185" s="3" t="s">
        <v>1337</v>
      </c>
      <c r="B185" s="3" t="s">
        <v>1338</v>
      </c>
      <c r="C185" s="3" t="s">
        <v>1338</v>
      </c>
      <c r="D185" s="3" t="s">
        <v>1339</v>
      </c>
      <c r="E185" s="3" t="s">
        <v>159</v>
      </c>
      <c r="F185" s="3">
        <v>35</v>
      </c>
      <c r="G185" s="3" t="s">
        <v>997</v>
      </c>
      <c r="H185" s="3"/>
      <c r="I185" s="3" t="s">
        <v>998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0.12</v>
      </c>
      <c r="P185" s="3">
        <v>0</v>
      </c>
      <c r="Q185" s="3">
        <v>0</v>
      </c>
      <c r="R185" s="3">
        <v>0</v>
      </c>
    </row>
    <row r="186" spans="1:18">
      <c r="A186" s="3" t="s">
        <v>797</v>
      </c>
      <c r="B186" s="3" t="s">
        <v>798</v>
      </c>
      <c r="C186" s="3" t="s">
        <v>798</v>
      </c>
      <c r="D186" s="3" t="s">
        <v>799</v>
      </c>
      <c r="E186" s="3" t="s">
        <v>159</v>
      </c>
      <c r="F186" s="3">
        <v>35</v>
      </c>
      <c r="G186" s="3" t="s">
        <v>997</v>
      </c>
      <c r="H186" s="3"/>
      <c r="I186" s="3" t="s">
        <v>998</v>
      </c>
      <c r="J186" s="3">
        <v>1</v>
      </c>
      <c r="K186" s="3">
        <v>1</v>
      </c>
      <c r="L186" s="3">
        <v>0</v>
      </c>
      <c r="M186" s="3">
        <v>0</v>
      </c>
      <c r="N186" s="3">
        <v>1</v>
      </c>
      <c r="O186" s="3">
        <v>0.12</v>
      </c>
      <c r="P186" s="3">
        <v>0</v>
      </c>
      <c r="Q186" s="3">
        <v>0</v>
      </c>
      <c r="R186" s="3">
        <v>0</v>
      </c>
    </row>
    <row r="187" spans="1:18">
      <c r="A187" s="3" t="s">
        <v>809</v>
      </c>
      <c r="B187" s="3" t="s">
        <v>810</v>
      </c>
      <c r="C187" s="3" t="s">
        <v>811</v>
      </c>
      <c r="D187" s="3" t="s">
        <v>812</v>
      </c>
      <c r="E187" s="3" t="s">
        <v>159</v>
      </c>
      <c r="F187" s="3">
        <v>25.99</v>
      </c>
      <c r="G187" s="3" t="s">
        <v>997</v>
      </c>
      <c r="H187" s="3"/>
      <c r="I187" s="3" t="s">
        <v>998</v>
      </c>
      <c r="J187" s="3">
        <v>1</v>
      </c>
      <c r="K187" s="3">
        <v>1</v>
      </c>
      <c r="L187" s="3">
        <v>0</v>
      </c>
      <c r="M187" s="3">
        <v>0</v>
      </c>
      <c r="N187" s="3">
        <v>1</v>
      </c>
      <c r="O187" s="3">
        <v>0</v>
      </c>
      <c r="P187" s="3">
        <v>0</v>
      </c>
      <c r="Q187" s="3">
        <v>0</v>
      </c>
      <c r="R187" s="3">
        <v>0</v>
      </c>
    </row>
    <row r="188" spans="1:18">
      <c r="A188" s="3" t="s">
        <v>165</v>
      </c>
      <c r="B188" s="3" t="s">
        <v>166</v>
      </c>
      <c r="C188" s="3" t="s">
        <v>167</v>
      </c>
      <c r="D188" s="3" t="s">
        <v>168</v>
      </c>
      <c r="E188" s="3" t="s">
        <v>159</v>
      </c>
      <c r="F188" s="3">
        <v>18.99</v>
      </c>
      <c r="G188" s="3" t="s">
        <v>997</v>
      </c>
      <c r="H188" s="3"/>
      <c r="I188" s="3" t="s">
        <v>998</v>
      </c>
      <c r="J188" s="3">
        <v>4</v>
      </c>
      <c r="K188" s="3">
        <v>4</v>
      </c>
      <c r="L188" s="3">
        <v>0</v>
      </c>
      <c r="M188" s="3">
        <v>0</v>
      </c>
      <c r="N188" s="3">
        <v>4</v>
      </c>
      <c r="O188" s="3">
        <v>0</v>
      </c>
      <c r="P188" s="3">
        <v>0</v>
      </c>
      <c r="Q188" s="3">
        <v>0</v>
      </c>
      <c r="R188" s="3">
        <v>0</v>
      </c>
    </row>
    <row r="189" spans="1:18">
      <c r="A189" s="3" t="s">
        <v>864</v>
      </c>
      <c r="B189" s="3" t="s">
        <v>865</v>
      </c>
      <c r="C189" s="3" t="s">
        <v>866</v>
      </c>
      <c r="D189" s="3" t="s">
        <v>867</v>
      </c>
      <c r="E189" s="3" t="s">
        <v>159</v>
      </c>
      <c r="F189" s="3">
        <v>25.99</v>
      </c>
      <c r="G189" s="3" t="s">
        <v>997</v>
      </c>
      <c r="H189" s="3"/>
      <c r="I189" s="3" t="s">
        <v>998</v>
      </c>
      <c r="J189" s="3">
        <v>4</v>
      </c>
      <c r="K189" s="3">
        <v>4</v>
      </c>
      <c r="L189" s="3">
        <v>0</v>
      </c>
      <c r="M189" s="3">
        <v>0</v>
      </c>
      <c r="N189" s="3">
        <v>4</v>
      </c>
      <c r="O189" s="3">
        <v>0</v>
      </c>
      <c r="P189" s="3">
        <v>0</v>
      </c>
      <c r="Q189" s="3">
        <v>0</v>
      </c>
      <c r="R189" s="3">
        <v>0</v>
      </c>
    </row>
    <row r="190" spans="1:18">
      <c r="A190" s="3" t="s">
        <v>555</v>
      </c>
      <c r="B190" s="3" t="s">
        <v>556</v>
      </c>
      <c r="C190" s="3" t="s">
        <v>557</v>
      </c>
      <c r="D190" s="3" t="s">
        <v>558</v>
      </c>
      <c r="E190" s="3" t="s">
        <v>159</v>
      </c>
      <c r="F190" s="3">
        <v>18.99</v>
      </c>
      <c r="G190" s="3" t="s">
        <v>997</v>
      </c>
      <c r="H190" s="3"/>
      <c r="I190" s="3" t="s">
        <v>998</v>
      </c>
      <c r="J190" s="3">
        <v>2</v>
      </c>
      <c r="K190" s="3">
        <v>2</v>
      </c>
      <c r="L190" s="3">
        <v>0</v>
      </c>
      <c r="M190" s="3">
        <v>0</v>
      </c>
      <c r="N190" s="3">
        <v>2</v>
      </c>
      <c r="O190" s="3">
        <v>0</v>
      </c>
      <c r="P190" s="3">
        <v>0</v>
      </c>
      <c r="Q190" s="3">
        <v>0</v>
      </c>
      <c r="R190" s="3">
        <v>0</v>
      </c>
    </row>
    <row r="191" spans="1:18">
      <c r="A191" s="3" t="s">
        <v>269</v>
      </c>
      <c r="B191" s="3" t="s">
        <v>270</v>
      </c>
      <c r="C191" s="3" t="s">
        <v>271</v>
      </c>
      <c r="D191" s="3" t="s">
        <v>272</v>
      </c>
      <c r="E191" s="3" t="s">
        <v>159</v>
      </c>
      <c r="F191" s="3">
        <v>25.99</v>
      </c>
      <c r="G191" s="3" t="s">
        <v>997</v>
      </c>
      <c r="H191" s="3"/>
      <c r="I191" s="3" t="s">
        <v>998</v>
      </c>
      <c r="J191" s="3">
        <v>5</v>
      </c>
      <c r="K191" s="3">
        <v>5</v>
      </c>
      <c r="L191" s="3">
        <v>0</v>
      </c>
      <c r="M191" s="3">
        <v>0</v>
      </c>
      <c r="N191" s="3">
        <v>5</v>
      </c>
      <c r="O191" s="3">
        <v>0</v>
      </c>
      <c r="P191" s="3">
        <v>0</v>
      </c>
      <c r="Q191" s="3">
        <v>0</v>
      </c>
      <c r="R191" s="3">
        <v>0</v>
      </c>
    </row>
    <row r="192" spans="1:18">
      <c r="A192" s="3" t="s">
        <v>598</v>
      </c>
      <c r="B192" s="3" t="s">
        <v>599</v>
      </c>
      <c r="C192" s="3" t="s">
        <v>600</v>
      </c>
      <c r="D192" s="3" t="s">
        <v>601</v>
      </c>
      <c r="E192" s="3" t="s">
        <v>159</v>
      </c>
      <c r="F192" s="3">
        <v>18.99</v>
      </c>
      <c r="G192" s="3" t="s">
        <v>997</v>
      </c>
      <c r="H192" s="3"/>
      <c r="I192" s="3" t="s">
        <v>998</v>
      </c>
      <c r="J192" s="3">
        <v>3</v>
      </c>
      <c r="K192" s="3">
        <v>3</v>
      </c>
      <c r="L192" s="3">
        <v>0</v>
      </c>
      <c r="M192" s="3">
        <v>0</v>
      </c>
      <c r="N192" s="3">
        <v>3</v>
      </c>
      <c r="O192" s="3">
        <v>0</v>
      </c>
      <c r="P192" s="3">
        <v>0</v>
      </c>
      <c r="Q192" s="3">
        <v>0</v>
      </c>
      <c r="R192" s="3">
        <v>0</v>
      </c>
    </row>
    <row r="193" spans="1:18">
      <c r="A193" s="3" t="s">
        <v>1340</v>
      </c>
      <c r="B193" s="3" t="s">
        <v>1341</v>
      </c>
      <c r="C193" s="3" t="s">
        <v>1342</v>
      </c>
      <c r="D193" s="3" t="s">
        <v>1343</v>
      </c>
      <c r="E193" s="3" t="s">
        <v>159</v>
      </c>
      <c r="F193" s="3">
        <v>10</v>
      </c>
      <c r="G193" s="3" t="s">
        <v>997</v>
      </c>
      <c r="H193" s="3"/>
      <c r="I193" s="3" t="s">
        <v>998</v>
      </c>
      <c r="J193" s="3">
        <v>0</v>
      </c>
      <c r="K193" s="3">
        <v>0</v>
      </c>
      <c r="L193" s="3">
        <v>0</v>
      </c>
      <c r="M193" s="3">
        <v>0</v>
      </c>
      <c r="N193" s="3">
        <v>0</v>
      </c>
      <c r="O193" s="3">
        <v>0.06</v>
      </c>
      <c r="P193" s="3">
        <v>0</v>
      </c>
      <c r="Q193" s="3">
        <v>0</v>
      </c>
      <c r="R193" s="3">
        <v>0</v>
      </c>
    </row>
    <row r="194" spans="1:18">
      <c r="A194" s="3" t="s">
        <v>1344</v>
      </c>
      <c r="B194" s="3" t="s">
        <v>1345</v>
      </c>
      <c r="C194" s="3" t="s">
        <v>1346</v>
      </c>
      <c r="D194" s="3" t="s">
        <v>1343</v>
      </c>
      <c r="E194" s="3" t="s">
        <v>159</v>
      </c>
      <c r="F194" s="3">
        <v>10</v>
      </c>
      <c r="G194" s="3" t="s">
        <v>997</v>
      </c>
      <c r="H194" s="3"/>
      <c r="I194" s="3" t="s">
        <v>998</v>
      </c>
      <c r="J194" s="3">
        <v>0</v>
      </c>
      <c r="K194" s="3">
        <v>0</v>
      </c>
      <c r="L194" s="3">
        <v>0</v>
      </c>
      <c r="M194" s="3">
        <v>0</v>
      </c>
      <c r="N194" s="3">
        <v>0</v>
      </c>
      <c r="O194" s="3">
        <v>0.02</v>
      </c>
      <c r="P194" s="3">
        <v>0</v>
      </c>
      <c r="Q194" s="3">
        <v>0</v>
      </c>
      <c r="R194" s="3">
        <v>0</v>
      </c>
    </row>
    <row r="195" spans="1:18">
      <c r="A195" s="3" t="s">
        <v>1347</v>
      </c>
      <c r="B195" s="3" t="s">
        <v>1348</v>
      </c>
      <c r="C195" s="3" t="s">
        <v>1349</v>
      </c>
      <c r="D195" s="3" t="s">
        <v>1343</v>
      </c>
      <c r="E195" s="3" t="s">
        <v>159</v>
      </c>
      <c r="F195" s="3">
        <v>10</v>
      </c>
      <c r="G195" s="3" t="s">
        <v>997</v>
      </c>
      <c r="H195" s="3"/>
      <c r="I195" s="3" t="s">
        <v>998</v>
      </c>
      <c r="J195" s="3">
        <v>0</v>
      </c>
      <c r="K195" s="3">
        <v>0</v>
      </c>
      <c r="L195" s="3">
        <v>0</v>
      </c>
      <c r="M195" s="3">
        <v>0</v>
      </c>
      <c r="N195" s="3">
        <v>0</v>
      </c>
      <c r="O195" s="3">
        <v>0.09</v>
      </c>
      <c r="P195" s="3">
        <v>0</v>
      </c>
      <c r="Q195" s="3">
        <v>0</v>
      </c>
      <c r="R195" s="3">
        <v>0</v>
      </c>
    </row>
    <row r="196" spans="1:18">
      <c r="A196" s="3" t="s">
        <v>1350</v>
      </c>
      <c r="B196" s="3" t="s">
        <v>1351</v>
      </c>
      <c r="C196" s="3" t="s">
        <v>1352</v>
      </c>
      <c r="D196" s="3" t="s">
        <v>1343</v>
      </c>
      <c r="E196" s="3" t="s">
        <v>159</v>
      </c>
      <c r="F196" s="3">
        <v>10</v>
      </c>
      <c r="G196" s="3" t="s">
        <v>997</v>
      </c>
      <c r="H196" s="3"/>
      <c r="I196" s="3" t="s">
        <v>998</v>
      </c>
      <c r="J196" s="3">
        <v>0</v>
      </c>
      <c r="K196" s="3">
        <v>0</v>
      </c>
      <c r="L196" s="3">
        <v>0</v>
      </c>
      <c r="M196" s="3">
        <v>0</v>
      </c>
      <c r="N196" s="3">
        <v>0</v>
      </c>
      <c r="O196" s="3">
        <v>0.02</v>
      </c>
      <c r="P196" s="3">
        <v>0</v>
      </c>
      <c r="Q196" s="3">
        <v>0</v>
      </c>
      <c r="R196" s="3">
        <v>0</v>
      </c>
    </row>
    <row r="197" spans="1:18">
      <c r="A197" s="3" t="s">
        <v>1353</v>
      </c>
      <c r="B197" s="3" t="s">
        <v>1354</v>
      </c>
      <c r="C197" s="3" t="s">
        <v>1355</v>
      </c>
      <c r="D197" s="3" t="s">
        <v>1343</v>
      </c>
      <c r="E197" s="3" t="s">
        <v>159</v>
      </c>
      <c r="F197" s="3">
        <v>10</v>
      </c>
      <c r="G197" s="3" t="s">
        <v>997</v>
      </c>
      <c r="H197" s="3"/>
      <c r="I197" s="3" t="s">
        <v>998</v>
      </c>
      <c r="J197" s="3">
        <v>0</v>
      </c>
      <c r="K197" s="3">
        <v>0</v>
      </c>
      <c r="L197" s="3">
        <v>0</v>
      </c>
      <c r="M197" s="3">
        <v>0</v>
      </c>
      <c r="N197" s="3">
        <v>0</v>
      </c>
      <c r="O197" s="3">
        <v>0.13</v>
      </c>
      <c r="P197" s="3">
        <v>0</v>
      </c>
      <c r="Q197" s="3">
        <v>0</v>
      </c>
      <c r="R197" s="3">
        <v>0</v>
      </c>
    </row>
    <row r="198" spans="1:18">
      <c r="A198" s="3" t="s">
        <v>1356</v>
      </c>
      <c r="B198" s="3" t="s">
        <v>1357</v>
      </c>
      <c r="C198" s="3" t="s">
        <v>1358</v>
      </c>
      <c r="D198" s="3" t="s">
        <v>1343</v>
      </c>
      <c r="E198" s="3" t="s">
        <v>159</v>
      </c>
      <c r="F198" s="3">
        <v>10</v>
      </c>
      <c r="G198" s="3" t="s">
        <v>997</v>
      </c>
      <c r="H198" s="3"/>
      <c r="I198" s="3" t="s">
        <v>998</v>
      </c>
      <c r="J198" s="3">
        <v>0</v>
      </c>
      <c r="K198" s="3">
        <v>0</v>
      </c>
      <c r="L198" s="3">
        <v>0</v>
      </c>
      <c r="M198" s="3">
        <v>0</v>
      </c>
      <c r="N198" s="3">
        <v>0</v>
      </c>
      <c r="O198" s="3">
        <v>0.16</v>
      </c>
      <c r="P198" s="3">
        <v>0</v>
      </c>
      <c r="Q198" s="3">
        <v>0</v>
      </c>
      <c r="R198" s="3">
        <v>0</v>
      </c>
    </row>
    <row r="199" spans="1:18">
      <c r="A199" s="3" t="s">
        <v>1359</v>
      </c>
      <c r="B199" s="3" t="s">
        <v>1360</v>
      </c>
      <c r="C199" s="3" t="s">
        <v>1361</v>
      </c>
      <c r="D199" s="3" t="s">
        <v>1343</v>
      </c>
      <c r="E199" s="3" t="s">
        <v>159</v>
      </c>
      <c r="F199" s="3">
        <v>10</v>
      </c>
      <c r="G199" s="3" t="s">
        <v>997</v>
      </c>
      <c r="H199" s="3"/>
      <c r="I199" s="3" t="s">
        <v>998</v>
      </c>
      <c r="J199" s="3">
        <v>0</v>
      </c>
      <c r="K199" s="3">
        <v>0</v>
      </c>
      <c r="L199" s="3">
        <v>0</v>
      </c>
      <c r="M199" s="3">
        <v>0</v>
      </c>
      <c r="N199" s="3">
        <v>0</v>
      </c>
      <c r="O199" s="3">
        <v>0.14</v>
      </c>
      <c r="P199" s="3">
        <v>0</v>
      </c>
      <c r="Q199" s="3">
        <v>0</v>
      </c>
      <c r="R199" s="3">
        <v>0</v>
      </c>
    </row>
    <row r="200" spans="1:18">
      <c r="A200" s="3" t="s">
        <v>1362</v>
      </c>
      <c r="B200" s="3" t="s">
        <v>1363</v>
      </c>
      <c r="C200" s="3" t="s">
        <v>1364</v>
      </c>
      <c r="D200" s="3" t="s">
        <v>1343</v>
      </c>
      <c r="E200" s="3" t="s">
        <v>159</v>
      </c>
      <c r="F200" s="3">
        <v>10</v>
      </c>
      <c r="G200" s="3" t="s">
        <v>997</v>
      </c>
      <c r="H200" s="3"/>
      <c r="I200" s="3" t="s">
        <v>998</v>
      </c>
      <c r="J200" s="3">
        <v>0</v>
      </c>
      <c r="K200" s="3">
        <v>0</v>
      </c>
      <c r="L200" s="3">
        <v>0</v>
      </c>
      <c r="M200" s="3">
        <v>0</v>
      </c>
      <c r="N200" s="3">
        <v>0</v>
      </c>
      <c r="O200" s="3">
        <v>0.02</v>
      </c>
      <c r="P200" s="3">
        <v>0</v>
      </c>
      <c r="Q200" s="3">
        <v>0</v>
      </c>
      <c r="R200" s="3">
        <v>0</v>
      </c>
    </row>
    <row r="201" spans="1:18">
      <c r="A201" s="3" t="s">
        <v>1365</v>
      </c>
      <c r="B201" s="3" t="s">
        <v>1366</v>
      </c>
      <c r="C201" s="3" t="s">
        <v>1367</v>
      </c>
      <c r="D201" s="3" t="s">
        <v>1343</v>
      </c>
      <c r="E201" s="3" t="s">
        <v>159</v>
      </c>
      <c r="F201" s="3">
        <v>10</v>
      </c>
      <c r="G201" s="3" t="s">
        <v>997</v>
      </c>
      <c r="H201" s="3"/>
      <c r="I201" s="3" t="s">
        <v>998</v>
      </c>
      <c r="J201" s="3">
        <v>0</v>
      </c>
      <c r="K201" s="3">
        <v>0</v>
      </c>
      <c r="L201" s="3">
        <v>0</v>
      </c>
      <c r="M201" s="3">
        <v>0</v>
      </c>
      <c r="N201" s="3">
        <v>0</v>
      </c>
      <c r="O201" s="3">
        <v>0.08</v>
      </c>
      <c r="P201" s="3">
        <v>0</v>
      </c>
      <c r="Q201" s="3">
        <v>0</v>
      </c>
      <c r="R201" s="3">
        <v>0</v>
      </c>
    </row>
    <row r="202" spans="1:18">
      <c r="A202" s="3" t="s">
        <v>1368</v>
      </c>
      <c r="B202" s="3" t="s">
        <v>1369</v>
      </c>
      <c r="C202" s="3" t="s">
        <v>1370</v>
      </c>
      <c r="D202" s="3" t="s">
        <v>1343</v>
      </c>
      <c r="E202" s="3" t="s">
        <v>159</v>
      </c>
      <c r="F202" s="3">
        <v>10</v>
      </c>
      <c r="G202" s="3" t="s">
        <v>997</v>
      </c>
      <c r="H202" s="3"/>
      <c r="I202" s="3" t="s">
        <v>998</v>
      </c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>
        <v>0.06</v>
      </c>
      <c r="P202" s="3">
        <v>0</v>
      </c>
      <c r="Q202" s="3">
        <v>0</v>
      </c>
      <c r="R202" s="3">
        <v>0</v>
      </c>
    </row>
    <row r="203" spans="1:18">
      <c r="A203" s="3" t="s">
        <v>1371</v>
      </c>
      <c r="B203" s="3" t="s">
        <v>1372</v>
      </c>
      <c r="C203" s="3" t="s">
        <v>1373</v>
      </c>
      <c r="D203" s="3" t="s">
        <v>1343</v>
      </c>
      <c r="E203" s="3" t="s">
        <v>159</v>
      </c>
      <c r="F203" s="3">
        <v>10</v>
      </c>
      <c r="G203" s="3" t="s">
        <v>997</v>
      </c>
      <c r="H203" s="3"/>
      <c r="I203" s="3" t="s">
        <v>998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0.12</v>
      </c>
      <c r="P203" s="3">
        <v>0</v>
      </c>
      <c r="Q203" s="3">
        <v>0</v>
      </c>
      <c r="R203" s="3">
        <v>0</v>
      </c>
    </row>
    <row r="204" spans="1:18">
      <c r="A204" s="3" t="s">
        <v>1374</v>
      </c>
      <c r="B204" s="3" t="s">
        <v>1375</v>
      </c>
      <c r="C204" s="3" t="s">
        <v>1376</v>
      </c>
      <c r="D204" s="3" t="s">
        <v>1343</v>
      </c>
      <c r="E204" s="3" t="s">
        <v>159</v>
      </c>
      <c r="F204" s="3">
        <v>10</v>
      </c>
      <c r="G204" s="3" t="s">
        <v>997</v>
      </c>
      <c r="H204" s="3"/>
      <c r="I204" s="3" t="s">
        <v>998</v>
      </c>
      <c r="J204" s="3">
        <v>0</v>
      </c>
      <c r="K204" s="3">
        <v>0</v>
      </c>
      <c r="L204" s="3">
        <v>0</v>
      </c>
      <c r="M204" s="3">
        <v>0</v>
      </c>
      <c r="N204" s="3">
        <v>0</v>
      </c>
      <c r="O204" s="3">
        <v>0.07</v>
      </c>
      <c r="P204" s="3">
        <v>0</v>
      </c>
      <c r="Q204" s="3">
        <v>0</v>
      </c>
      <c r="R204" s="3">
        <v>0</v>
      </c>
    </row>
    <row r="205" spans="1:18">
      <c r="A205" s="3" t="s">
        <v>1377</v>
      </c>
      <c r="B205" s="3" t="s">
        <v>1378</v>
      </c>
      <c r="C205" s="3" t="s">
        <v>1379</v>
      </c>
      <c r="D205" s="3" t="s">
        <v>1343</v>
      </c>
      <c r="E205" s="3" t="s">
        <v>159</v>
      </c>
      <c r="F205" s="3">
        <v>10</v>
      </c>
      <c r="G205" s="3" t="s">
        <v>997</v>
      </c>
      <c r="H205" s="3"/>
      <c r="I205" s="3" t="s">
        <v>998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0.02</v>
      </c>
      <c r="P205" s="3">
        <v>0</v>
      </c>
      <c r="Q205" s="3">
        <v>0</v>
      </c>
      <c r="R205" s="3">
        <v>0</v>
      </c>
    </row>
    <row r="206" spans="1:18">
      <c r="A206" s="3" t="s">
        <v>1380</v>
      </c>
      <c r="B206" s="3" t="s">
        <v>1381</v>
      </c>
      <c r="C206" s="3" t="s">
        <v>1382</v>
      </c>
      <c r="D206" s="3" t="s">
        <v>1343</v>
      </c>
      <c r="E206" s="3" t="s">
        <v>159</v>
      </c>
      <c r="F206" s="3">
        <v>10</v>
      </c>
      <c r="G206" s="3" t="s">
        <v>997</v>
      </c>
      <c r="H206" s="3"/>
      <c r="I206" s="3" t="s">
        <v>998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0.02</v>
      </c>
      <c r="P206" s="3">
        <v>0</v>
      </c>
      <c r="Q206" s="3">
        <v>0</v>
      </c>
      <c r="R206" s="3">
        <v>0</v>
      </c>
    </row>
    <row r="207" spans="1:18">
      <c r="A207" s="3" t="s">
        <v>1383</v>
      </c>
      <c r="B207" s="3" t="s">
        <v>1384</v>
      </c>
      <c r="C207" s="3" t="s">
        <v>1385</v>
      </c>
      <c r="D207" s="3" t="s">
        <v>1343</v>
      </c>
      <c r="E207" s="3" t="s">
        <v>159</v>
      </c>
      <c r="F207" s="3">
        <v>10</v>
      </c>
      <c r="G207" s="3" t="s">
        <v>997</v>
      </c>
      <c r="H207" s="3"/>
      <c r="I207" s="3" t="s">
        <v>998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0.17</v>
      </c>
      <c r="P207" s="3">
        <v>0</v>
      </c>
      <c r="Q207" s="3">
        <v>0</v>
      </c>
      <c r="R207" s="3">
        <v>0</v>
      </c>
    </row>
    <row r="208" spans="1:18">
      <c r="A208" s="3" t="s">
        <v>1386</v>
      </c>
      <c r="B208" s="3" t="s">
        <v>1387</v>
      </c>
      <c r="C208" s="3" t="s">
        <v>1388</v>
      </c>
      <c r="D208" s="3" t="s">
        <v>1343</v>
      </c>
      <c r="E208" s="3" t="s">
        <v>159</v>
      </c>
      <c r="F208" s="3">
        <v>10</v>
      </c>
      <c r="G208" s="3" t="s">
        <v>997</v>
      </c>
      <c r="H208" s="3"/>
      <c r="I208" s="3" t="s">
        <v>998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0.04</v>
      </c>
      <c r="P208" s="3">
        <v>0</v>
      </c>
      <c r="Q208" s="3">
        <v>0</v>
      </c>
      <c r="R208" s="3">
        <v>0</v>
      </c>
    </row>
    <row r="209" spans="1:18">
      <c r="A209" s="3" t="s">
        <v>1389</v>
      </c>
      <c r="B209" s="3" t="s">
        <v>1390</v>
      </c>
      <c r="C209" s="3" t="s">
        <v>1391</v>
      </c>
      <c r="D209" s="3" t="s">
        <v>1343</v>
      </c>
      <c r="E209" s="3" t="s">
        <v>159</v>
      </c>
      <c r="F209" s="3">
        <v>10</v>
      </c>
      <c r="G209" s="3" t="s">
        <v>997</v>
      </c>
      <c r="H209" s="3"/>
      <c r="I209" s="3" t="s">
        <v>998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0.02</v>
      </c>
      <c r="P209" s="3">
        <v>0</v>
      </c>
      <c r="Q209" s="3">
        <v>0</v>
      </c>
      <c r="R209" s="3">
        <v>0</v>
      </c>
    </row>
    <row r="210" spans="1:18">
      <c r="A210" s="3" t="s">
        <v>1392</v>
      </c>
      <c r="B210" s="3" t="s">
        <v>1393</v>
      </c>
      <c r="C210" s="3" t="s">
        <v>1394</v>
      </c>
      <c r="D210" s="3" t="s">
        <v>1343</v>
      </c>
      <c r="E210" s="3" t="s">
        <v>159</v>
      </c>
      <c r="F210" s="3">
        <v>10</v>
      </c>
      <c r="G210" s="3" t="s">
        <v>997</v>
      </c>
      <c r="H210" s="3"/>
      <c r="I210" s="3" t="s">
        <v>998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0.09</v>
      </c>
      <c r="P210" s="3">
        <v>0</v>
      </c>
      <c r="Q210" s="3">
        <v>0</v>
      </c>
      <c r="R210" s="3">
        <v>0</v>
      </c>
    </row>
    <row r="211" spans="1:18">
      <c r="A211" s="3" t="s">
        <v>1395</v>
      </c>
      <c r="B211" s="3" t="s">
        <v>1396</v>
      </c>
      <c r="C211" s="3" t="s">
        <v>1397</v>
      </c>
      <c r="D211" s="3" t="s">
        <v>1343</v>
      </c>
      <c r="E211" s="3" t="s">
        <v>159</v>
      </c>
      <c r="F211" s="3">
        <v>10</v>
      </c>
      <c r="G211" s="3" t="s">
        <v>997</v>
      </c>
      <c r="H211" s="3"/>
      <c r="I211" s="3" t="s">
        <v>998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0.07</v>
      </c>
      <c r="P211" s="3">
        <v>0</v>
      </c>
      <c r="Q211" s="3">
        <v>0</v>
      </c>
      <c r="R211" s="3">
        <v>0</v>
      </c>
    </row>
    <row r="212" spans="1:18">
      <c r="A212" s="3" t="s">
        <v>1398</v>
      </c>
      <c r="B212" s="3" t="s">
        <v>1399</v>
      </c>
      <c r="C212" s="3" t="s">
        <v>1400</v>
      </c>
      <c r="D212" s="3" t="s">
        <v>1343</v>
      </c>
      <c r="E212" s="3" t="s">
        <v>159</v>
      </c>
      <c r="F212" s="3">
        <v>10</v>
      </c>
      <c r="G212" s="3" t="s">
        <v>997</v>
      </c>
      <c r="H212" s="3"/>
      <c r="I212" s="3" t="s">
        <v>998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0.1</v>
      </c>
      <c r="P212" s="3">
        <v>0</v>
      </c>
      <c r="Q212" s="3">
        <v>0</v>
      </c>
      <c r="R212" s="3">
        <v>0</v>
      </c>
    </row>
    <row r="213" spans="1:18">
      <c r="A213" s="3" t="s">
        <v>1401</v>
      </c>
      <c r="B213" s="3" t="s">
        <v>1402</v>
      </c>
      <c r="C213" s="3" t="s">
        <v>1403</v>
      </c>
      <c r="D213" s="3" t="s">
        <v>1343</v>
      </c>
      <c r="E213" s="3" t="s">
        <v>159</v>
      </c>
      <c r="F213" s="3">
        <v>10</v>
      </c>
      <c r="G213" s="3" t="s">
        <v>997</v>
      </c>
      <c r="H213" s="3"/>
      <c r="I213" s="3" t="s">
        <v>998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0.14</v>
      </c>
      <c r="P213" s="3">
        <v>0</v>
      </c>
      <c r="Q213" s="3">
        <v>0</v>
      </c>
      <c r="R213" s="3">
        <v>0</v>
      </c>
    </row>
    <row r="214" spans="1:18">
      <c r="A214" s="3" t="s">
        <v>1404</v>
      </c>
      <c r="B214" s="3" t="s">
        <v>1405</v>
      </c>
      <c r="C214" s="3" t="s">
        <v>1406</v>
      </c>
      <c r="D214" s="3" t="s">
        <v>1343</v>
      </c>
      <c r="E214" s="3" t="s">
        <v>159</v>
      </c>
      <c r="F214" s="3">
        <v>10</v>
      </c>
      <c r="G214" s="3" t="s">
        <v>997</v>
      </c>
      <c r="H214" s="3"/>
      <c r="I214" s="3" t="s">
        <v>998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0.02</v>
      </c>
      <c r="P214" s="3">
        <v>0</v>
      </c>
      <c r="Q214" s="3">
        <v>0</v>
      </c>
      <c r="R214" s="3">
        <v>0</v>
      </c>
    </row>
    <row r="215" spans="1:18">
      <c r="A215" s="3" t="s">
        <v>1407</v>
      </c>
      <c r="B215" s="3" t="s">
        <v>1408</v>
      </c>
      <c r="C215" s="3" t="s">
        <v>1409</v>
      </c>
      <c r="D215" s="3" t="s">
        <v>1343</v>
      </c>
      <c r="E215" s="3" t="s">
        <v>159</v>
      </c>
      <c r="F215" s="3">
        <v>10</v>
      </c>
      <c r="G215" s="3" t="s">
        <v>997</v>
      </c>
      <c r="H215" s="3"/>
      <c r="I215" s="3" t="s">
        <v>998</v>
      </c>
      <c r="J215" s="3">
        <v>0</v>
      </c>
      <c r="K215" s="3">
        <v>0</v>
      </c>
      <c r="L215" s="3">
        <v>0</v>
      </c>
      <c r="M215" s="3">
        <v>0</v>
      </c>
      <c r="N215" s="3">
        <v>0</v>
      </c>
      <c r="O215" s="3">
        <v>0.16</v>
      </c>
      <c r="P215" s="3">
        <v>0</v>
      </c>
      <c r="Q215" s="3">
        <v>0</v>
      </c>
      <c r="R215" s="3">
        <v>0</v>
      </c>
    </row>
    <row r="216" spans="1:18">
      <c r="A216" s="3" t="s">
        <v>1410</v>
      </c>
      <c r="B216" s="3" t="s">
        <v>1411</v>
      </c>
      <c r="C216" s="3" t="s">
        <v>1412</v>
      </c>
      <c r="D216" s="3" t="s">
        <v>1343</v>
      </c>
      <c r="E216" s="3" t="s">
        <v>159</v>
      </c>
      <c r="F216" s="3">
        <v>10</v>
      </c>
      <c r="G216" s="3" t="s">
        <v>997</v>
      </c>
      <c r="H216" s="3"/>
      <c r="I216" s="3" t="s">
        <v>998</v>
      </c>
      <c r="J216" s="3">
        <v>0</v>
      </c>
      <c r="K216" s="3">
        <v>0</v>
      </c>
      <c r="L216" s="3">
        <v>0</v>
      </c>
      <c r="M216" s="3">
        <v>0</v>
      </c>
      <c r="N216" s="3">
        <v>0</v>
      </c>
      <c r="O216" s="3">
        <v>0.05</v>
      </c>
      <c r="P216" s="3">
        <v>0</v>
      </c>
      <c r="Q216" s="3">
        <v>0</v>
      </c>
      <c r="R216" s="3">
        <v>0</v>
      </c>
    </row>
    <row r="217" spans="1:18">
      <c r="A217" s="3" t="s">
        <v>1413</v>
      </c>
      <c r="B217" s="3" t="s">
        <v>1414</v>
      </c>
      <c r="C217" s="3" t="s">
        <v>1415</v>
      </c>
      <c r="D217" s="3" t="s">
        <v>1416</v>
      </c>
      <c r="E217" s="3" t="s">
        <v>159</v>
      </c>
      <c r="F217" s="3">
        <v>10</v>
      </c>
      <c r="G217" s="3" t="s">
        <v>997</v>
      </c>
      <c r="H217" s="3"/>
      <c r="I217" s="3" t="s">
        <v>998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0.02</v>
      </c>
      <c r="P217" s="3">
        <v>0</v>
      </c>
      <c r="Q217" s="3">
        <v>0</v>
      </c>
      <c r="R217" s="3">
        <v>0</v>
      </c>
    </row>
    <row r="218" spans="1:18">
      <c r="A218" s="3" t="s">
        <v>1417</v>
      </c>
      <c r="B218" s="3" t="s">
        <v>1418</v>
      </c>
      <c r="C218" s="3" t="s">
        <v>1419</v>
      </c>
      <c r="D218" s="3" t="s">
        <v>1416</v>
      </c>
      <c r="E218" s="3" t="s">
        <v>159</v>
      </c>
      <c r="F218" s="3">
        <v>10</v>
      </c>
      <c r="G218" s="3" t="s">
        <v>997</v>
      </c>
      <c r="H218" s="3"/>
      <c r="I218" s="3" t="s">
        <v>998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0.02</v>
      </c>
      <c r="P218" s="3">
        <v>0</v>
      </c>
      <c r="Q218" s="3">
        <v>0</v>
      </c>
      <c r="R218" s="3">
        <v>0</v>
      </c>
    </row>
    <row r="219" spans="1:18">
      <c r="A219" s="3" t="s">
        <v>1420</v>
      </c>
      <c r="B219" s="3" t="s">
        <v>1421</v>
      </c>
      <c r="C219" s="3" t="s">
        <v>1422</v>
      </c>
      <c r="D219" s="3" t="s">
        <v>1416</v>
      </c>
      <c r="E219" s="3" t="s">
        <v>159</v>
      </c>
      <c r="F219" s="3">
        <v>10</v>
      </c>
      <c r="G219" s="3" t="s">
        <v>997</v>
      </c>
      <c r="H219" s="3"/>
      <c r="I219" s="3" t="s">
        <v>998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0.02</v>
      </c>
      <c r="P219" s="3">
        <v>0</v>
      </c>
      <c r="Q219" s="3">
        <v>0</v>
      </c>
      <c r="R219" s="3">
        <v>0</v>
      </c>
    </row>
    <row r="220" spans="1:18">
      <c r="A220" s="3" t="s">
        <v>1423</v>
      </c>
      <c r="B220" s="3" t="s">
        <v>1424</v>
      </c>
      <c r="C220" s="3" t="s">
        <v>1425</v>
      </c>
      <c r="D220" s="3" t="s">
        <v>1416</v>
      </c>
      <c r="E220" s="3" t="s">
        <v>159</v>
      </c>
      <c r="F220" s="3">
        <v>10</v>
      </c>
      <c r="G220" s="3" t="s">
        <v>997</v>
      </c>
      <c r="H220" s="3"/>
      <c r="I220" s="3" t="s">
        <v>998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0.02</v>
      </c>
      <c r="P220" s="3">
        <v>0</v>
      </c>
      <c r="Q220" s="3">
        <v>0</v>
      </c>
      <c r="R220" s="3">
        <v>0</v>
      </c>
    </row>
    <row r="221" spans="1:18">
      <c r="A221" s="3" t="s">
        <v>1426</v>
      </c>
      <c r="B221" s="3" t="s">
        <v>1427</v>
      </c>
      <c r="C221" s="3" t="s">
        <v>1428</v>
      </c>
      <c r="D221" s="3" t="s">
        <v>1416</v>
      </c>
      <c r="E221" s="3" t="s">
        <v>159</v>
      </c>
      <c r="F221" s="3">
        <v>10</v>
      </c>
      <c r="G221" s="3" t="s">
        <v>997</v>
      </c>
      <c r="H221" s="3"/>
      <c r="I221" s="3" t="s">
        <v>998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0.02</v>
      </c>
      <c r="P221" s="3">
        <v>0</v>
      </c>
      <c r="Q221" s="3">
        <v>0</v>
      </c>
      <c r="R221" s="3">
        <v>0</v>
      </c>
    </row>
    <row r="222" spans="1:18">
      <c r="A222" s="3" t="s">
        <v>1429</v>
      </c>
      <c r="B222" s="3" t="s">
        <v>1430</v>
      </c>
      <c r="C222" s="3" t="s">
        <v>1431</v>
      </c>
      <c r="D222" s="3" t="s">
        <v>1416</v>
      </c>
      <c r="E222" s="3" t="s">
        <v>159</v>
      </c>
      <c r="F222" s="3">
        <v>10</v>
      </c>
      <c r="G222" s="3" t="s">
        <v>997</v>
      </c>
      <c r="H222" s="3"/>
      <c r="I222" s="3" t="s">
        <v>998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0.02</v>
      </c>
      <c r="P222" s="3">
        <v>0</v>
      </c>
      <c r="Q222" s="3">
        <v>0</v>
      </c>
      <c r="R222" s="3">
        <v>0</v>
      </c>
    </row>
    <row r="223" spans="1:18">
      <c r="A223" s="3" t="s">
        <v>1432</v>
      </c>
      <c r="B223" s="3" t="s">
        <v>1433</v>
      </c>
      <c r="C223" s="3" t="s">
        <v>1434</v>
      </c>
      <c r="D223" s="3" t="s">
        <v>1416</v>
      </c>
      <c r="E223" s="3" t="s">
        <v>159</v>
      </c>
      <c r="F223" s="3">
        <v>10</v>
      </c>
      <c r="G223" s="3" t="s">
        <v>997</v>
      </c>
      <c r="H223" s="3"/>
      <c r="I223" s="3" t="s">
        <v>998</v>
      </c>
      <c r="J223" s="3">
        <v>0</v>
      </c>
      <c r="K223" s="3">
        <v>0</v>
      </c>
      <c r="L223" s="3">
        <v>0</v>
      </c>
      <c r="M223" s="3">
        <v>0</v>
      </c>
      <c r="N223" s="3">
        <v>0</v>
      </c>
      <c r="O223" s="3">
        <v>0.02</v>
      </c>
      <c r="P223" s="3">
        <v>0</v>
      </c>
      <c r="Q223" s="3">
        <v>0</v>
      </c>
      <c r="R223" s="3">
        <v>0</v>
      </c>
    </row>
    <row r="224" spans="1:18">
      <c r="A224" s="3" t="s">
        <v>1435</v>
      </c>
      <c r="B224" s="3" t="s">
        <v>1436</v>
      </c>
      <c r="C224" s="3" t="s">
        <v>1437</v>
      </c>
      <c r="D224" s="3" t="s">
        <v>1416</v>
      </c>
      <c r="E224" s="3" t="s">
        <v>159</v>
      </c>
      <c r="F224" s="3">
        <v>10</v>
      </c>
      <c r="G224" s="3" t="s">
        <v>997</v>
      </c>
      <c r="H224" s="3"/>
      <c r="I224" s="3" t="s">
        <v>998</v>
      </c>
      <c r="J224" s="3">
        <v>0</v>
      </c>
      <c r="K224" s="3">
        <v>0</v>
      </c>
      <c r="L224" s="3">
        <v>0</v>
      </c>
      <c r="M224" s="3">
        <v>0</v>
      </c>
      <c r="N224" s="3">
        <v>0</v>
      </c>
      <c r="O224" s="3">
        <v>0.02</v>
      </c>
      <c r="P224" s="3">
        <v>0</v>
      </c>
      <c r="Q224" s="3">
        <v>0</v>
      </c>
      <c r="R224" s="3">
        <v>0</v>
      </c>
    </row>
    <row r="225" spans="1:18">
      <c r="A225" s="3" t="s">
        <v>1438</v>
      </c>
      <c r="B225" s="3" t="s">
        <v>1439</v>
      </c>
      <c r="C225" s="3" t="s">
        <v>1440</v>
      </c>
      <c r="D225" s="3" t="s">
        <v>1416</v>
      </c>
      <c r="E225" s="3" t="s">
        <v>159</v>
      </c>
      <c r="F225" s="3">
        <v>10</v>
      </c>
      <c r="G225" s="3" t="s">
        <v>997</v>
      </c>
      <c r="H225" s="3"/>
      <c r="I225" s="3" t="s">
        <v>998</v>
      </c>
      <c r="J225" s="3">
        <v>0</v>
      </c>
      <c r="K225" s="3">
        <v>0</v>
      </c>
      <c r="L225" s="3">
        <v>0</v>
      </c>
      <c r="M225" s="3">
        <v>0</v>
      </c>
      <c r="N225" s="3">
        <v>0</v>
      </c>
      <c r="O225" s="3">
        <v>0.02</v>
      </c>
      <c r="P225" s="3">
        <v>0</v>
      </c>
      <c r="Q225" s="3">
        <v>0</v>
      </c>
      <c r="R225" s="3">
        <v>0</v>
      </c>
    </row>
    <row r="226" spans="1:18">
      <c r="A226" s="3" t="s">
        <v>1441</v>
      </c>
      <c r="B226" s="3" t="s">
        <v>1442</v>
      </c>
      <c r="C226" s="3" t="s">
        <v>1443</v>
      </c>
      <c r="D226" s="3" t="s">
        <v>1416</v>
      </c>
      <c r="E226" s="3" t="s">
        <v>159</v>
      </c>
      <c r="F226" s="3">
        <v>10</v>
      </c>
      <c r="G226" s="3" t="s">
        <v>997</v>
      </c>
      <c r="H226" s="3"/>
      <c r="I226" s="3" t="s">
        <v>998</v>
      </c>
      <c r="J226" s="3">
        <v>0</v>
      </c>
      <c r="K226" s="3">
        <v>0</v>
      </c>
      <c r="L226" s="3">
        <v>0</v>
      </c>
      <c r="M226" s="3">
        <v>0</v>
      </c>
      <c r="N226" s="3">
        <v>0</v>
      </c>
      <c r="O226" s="3">
        <v>0.02</v>
      </c>
      <c r="P226" s="3">
        <v>0</v>
      </c>
      <c r="Q226" s="3">
        <v>0</v>
      </c>
      <c r="R226" s="3">
        <v>0</v>
      </c>
    </row>
    <row r="227" spans="1:18">
      <c r="A227" s="3" t="s">
        <v>1444</v>
      </c>
      <c r="B227" s="3" t="s">
        <v>1445</v>
      </c>
      <c r="C227" s="3" t="s">
        <v>1446</v>
      </c>
      <c r="D227" s="3" t="s">
        <v>1416</v>
      </c>
      <c r="E227" s="3" t="s">
        <v>159</v>
      </c>
      <c r="F227" s="3">
        <v>10</v>
      </c>
      <c r="G227" s="3" t="s">
        <v>997</v>
      </c>
      <c r="H227" s="3"/>
      <c r="I227" s="3" t="s">
        <v>998</v>
      </c>
      <c r="J227" s="3">
        <v>0</v>
      </c>
      <c r="K227" s="3">
        <v>0</v>
      </c>
      <c r="L227" s="3">
        <v>0</v>
      </c>
      <c r="M227" s="3">
        <v>0</v>
      </c>
      <c r="N227" s="3">
        <v>0</v>
      </c>
      <c r="O227" s="3">
        <v>0.02</v>
      </c>
      <c r="P227" s="3">
        <v>0</v>
      </c>
      <c r="Q227" s="3">
        <v>0</v>
      </c>
      <c r="R227" s="3">
        <v>0</v>
      </c>
    </row>
    <row r="228" spans="1:18">
      <c r="A228" s="3" t="s">
        <v>1447</v>
      </c>
      <c r="B228" s="3" t="s">
        <v>1448</v>
      </c>
      <c r="C228" s="3" t="s">
        <v>1449</v>
      </c>
      <c r="D228" s="3" t="s">
        <v>1416</v>
      </c>
      <c r="E228" s="3" t="s">
        <v>159</v>
      </c>
      <c r="F228" s="3">
        <v>10</v>
      </c>
      <c r="G228" s="3" t="s">
        <v>997</v>
      </c>
      <c r="H228" s="3"/>
      <c r="I228" s="3" t="s">
        <v>998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0.02</v>
      </c>
      <c r="P228" s="3">
        <v>0</v>
      </c>
      <c r="Q228" s="3">
        <v>0</v>
      </c>
      <c r="R228" s="3">
        <v>0</v>
      </c>
    </row>
    <row r="229" spans="1:18">
      <c r="A229" s="3" t="s">
        <v>1450</v>
      </c>
      <c r="B229" s="3" t="s">
        <v>1451</v>
      </c>
      <c r="C229" s="3" t="s">
        <v>1452</v>
      </c>
      <c r="D229" s="3" t="s">
        <v>1416</v>
      </c>
      <c r="E229" s="3" t="s">
        <v>159</v>
      </c>
      <c r="F229" s="3">
        <v>10</v>
      </c>
      <c r="G229" s="3" t="s">
        <v>997</v>
      </c>
      <c r="H229" s="3"/>
      <c r="I229" s="3" t="s">
        <v>998</v>
      </c>
      <c r="J229" s="3">
        <v>0</v>
      </c>
      <c r="K229" s="3">
        <v>0</v>
      </c>
      <c r="L229" s="3">
        <v>0</v>
      </c>
      <c r="M229" s="3">
        <v>0</v>
      </c>
      <c r="N229" s="3">
        <v>0</v>
      </c>
      <c r="O229" s="3">
        <v>0.02</v>
      </c>
      <c r="P229" s="3">
        <v>0</v>
      </c>
      <c r="Q229" s="3">
        <v>0</v>
      </c>
      <c r="R229" s="3">
        <v>0</v>
      </c>
    </row>
    <row r="230" spans="1:18">
      <c r="A230" s="3" t="s">
        <v>1453</v>
      </c>
      <c r="B230" s="3" t="s">
        <v>1454</v>
      </c>
      <c r="C230" s="3" t="s">
        <v>1455</v>
      </c>
      <c r="D230" s="3" t="s">
        <v>1416</v>
      </c>
      <c r="E230" s="3" t="s">
        <v>159</v>
      </c>
      <c r="F230" s="3">
        <v>10</v>
      </c>
      <c r="G230" s="3" t="s">
        <v>997</v>
      </c>
      <c r="H230" s="3"/>
      <c r="I230" s="3" t="s">
        <v>998</v>
      </c>
      <c r="J230" s="3">
        <v>0</v>
      </c>
      <c r="K230" s="3">
        <v>0</v>
      </c>
      <c r="L230" s="3">
        <v>0</v>
      </c>
      <c r="M230" s="3">
        <v>0</v>
      </c>
      <c r="N230" s="3">
        <v>0</v>
      </c>
      <c r="O230" s="3">
        <v>0.02</v>
      </c>
      <c r="P230" s="3">
        <v>0</v>
      </c>
      <c r="Q230" s="3">
        <v>0</v>
      </c>
      <c r="R230" s="3">
        <v>0</v>
      </c>
    </row>
    <row r="231" spans="1:18">
      <c r="A231" s="3" t="s">
        <v>1456</v>
      </c>
      <c r="B231" s="3" t="s">
        <v>1457</v>
      </c>
      <c r="C231" s="3" t="s">
        <v>1458</v>
      </c>
      <c r="D231" s="3" t="s">
        <v>1416</v>
      </c>
      <c r="E231" s="3" t="s">
        <v>159</v>
      </c>
      <c r="F231" s="3">
        <v>10</v>
      </c>
      <c r="G231" s="3" t="s">
        <v>997</v>
      </c>
      <c r="H231" s="3"/>
      <c r="I231" s="3" t="s">
        <v>998</v>
      </c>
      <c r="J231" s="3">
        <v>0</v>
      </c>
      <c r="K231" s="3">
        <v>0</v>
      </c>
      <c r="L231" s="3">
        <v>0</v>
      </c>
      <c r="M231" s="3">
        <v>0</v>
      </c>
      <c r="N231" s="3">
        <v>0</v>
      </c>
      <c r="O231" s="3">
        <v>0.02</v>
      </c>
      <c r="P231" s="3">
        <v>0</v>
      </c>
      <c r="Q231" s="3">
        <v>0</v>
      </c>
      <c r="R231" s="3">
        <v>0</v>
      </c>
    </row>
    <row r="232" spans="1:18">
      <c r="A232" s="3" t="s">
        <v>1459</v>
      </c>
      <c r="B232" s="3" t="s">
        <v>1460</v>
      </c>
      <c r="C232" s="3" t="s">
        <v>1461</v>
      </c>
      <c r="D232" s="3" t="s">
        <v>1416</v>
      </c>
      <c r="E232" s="3" t="s">
        <v>159</v>
      </c>
      <c r="F232" s="3">
        <v>10</v>
      </c>
      <c r="G232" s="3" t="s">
        <v>997</v>
      </c>
      <c r="H232" s="3"/>
      <c r="I232" s="3" t="s">
        <v>998</v>
      </c>
      <c r="J232" s="3">
        <v>0</v>
      </c>
      <c r="K232" s="3">
        <v>0</v>
      </c>
      <c r="L232" s="3">
        <v>0</v>
      </c>
      <c r="M232" s="3">
        <v>0</v>
      </c>
      <c r="N232" s="3">
        <v>0</v>
      </c>
      <c r="O232" s="3">
        <v>0.07</v>
      </c>
      <c r="P232" s="3">
        <v>0</v>
      </c>
      <c r="Q232" s="3">
        <v>0</v>
      </c>
      <c r="R232" s="3">
        <v>0</v>
      </c>
    </row>
    <row r="233" spans="1:18">
      <c r="A233" s="3" t="s">
        <v>1462</v>
      </c>
      <c r="B233" s="3" t="s">
        <v>1463</v>
      </c>
      <c r="C233" s="3" t="s">
        <v>1464</v>
      </c>
      <c r="D233" s="3" t="s">
        <v>1416</v>
      </c>
      <c r="E233" s="3" t="s">
        <v>159</v>
      </c>
      <c r="F233" s="3">
        <v>10</v>
      </c>
      <c r="G233" s="3" t="s">
        <v>997</v>
      </c>
      <c r="H233" s="3"/>
      <c r="I233" s="3" t="s">
        <v>998</v>
      </c>
      <c r="J233" s="3">
        <v>0</v>
      </c>
      <c r="K233" s="3">
        <v>0</v>
      </c>
      <c r="L233" s="3">
        <v>0</v>
      </c>
      <c r="M233" s="3">
        <v>0</v>
      </c>
      <c r="N233" s="3">
        <v>0</v>
      </c>
      <c r="O233" s="3">
        <v>0.1</v>
      </c>
      <c r="P233" s="3">
        <v>0</v>
      </c>
      <c r="Q233" s="3">
        <v>0</v>
      </c>
      <c r="R233" s="3">
        <v>0</v>
      </c>
    </row>
    <row r="234" spans="1:18">
      <c r="A234" s="3" t="s">
        <v>1465</v>
      </c>
      <c r="B234" s="3" t="s">
        <v>1466</v>
      </c>
      <c r="C234" s="3" t="s">
        <v>1467</v>
      </c>
      <c r="D234" s="3" t="s">
        <v>1416</v>
      </c>
      <c r="E234" s="3" t="s">
        <v>159</v>
      </c>
      <c r="F234" s="3">
        <v>10</v>
      </c>
      <c r="G234" s="3" t="s">
        <v>997</v>
      </c>
      <c r="H234" s="3"/>
      <c r="I234" s="3" t="s">
        <v>998</v>
      </c>
      <c r="J234" s="3">
        <v>0</v>
      </c>
      <c r="K234" s="3">
        <v>0</v>
      </c>
      <c r="L234" s="3">
        <v>0</v>
      </c>
      <c r="M234" s="3">
        <v>0</v>
      </c>
      <c r="N234" s="3">
        <v>0</v>
      </c>
      <c r="O234" s="3">
        <v>0.07</v>
      </c>
      <c r="P234" s="3">
        <v>0</v>
      </c>
      <c r="Q234" s="3">
        <v>0</v>
      </c>
      <c r="R234" s="3">
        <v>0</v>
      </c>
    </row>
    <row r="235" spans="1:18">
      <c r="A235" s="3" t="s">
        <v>1468</v>
      </c>
      <c r="B235" s="3" t="s">
        <v>1469</v>
      </c>
      <c r="C235" s="3" t="s">
        <v>1470</v>
      </c>
      <c r="D235" s="3" t="s">
        <v>1416</v>
      </c>
      <c r="E235" s="3" t="s">
        <v>159</v>
      </c>
      <c r="F235" s="3">
        <v>10</v>
      </c>
      <c r="G235" s="3" t="s">
        <v>997</v>
      </c>
      <c r="H235" s="3"/>
      <c r="I235" s="3" t="s">
        <v>998</v>
      </c>
      <c r="J235" s="3">
        <v>0</v>
      </c>
      <c r="K235" s="3">
        <v>0</v>
      </c>
      <c r="L235" s="3">
        <v>0</v>
      </c>
      <c r="M235" s="3">
        <v>0</v>
      </c>
      <c r="N235" s="3">
        <v>0</v>
      </c>
      <c r="O235" s="3">
        <v>0.12</v>
      </c>
      <c r="P235" s="3">
        <v>0</v>
      </c>
      <c r="Q235" s="3">
        <v>0</v>
      </c>
      <c r="R235" s="3">
        <v>0</v>
      </c>
    </row>
    <row r="236" spans="1:18">
      <c r="A236" s="3" t="s">
        <v>1471</v>
      </c>
      <c r="B236" s="3" t="s">
        <v>1472</v>
      </c>
      <c r="C236" s="3" t="s">
        <v>1473</v>
      </c>
      <c r="D236" s="3" t="s">
        <v>1416</v>
      </c>
      <c r="E236" s="3" t="s">
        <v>159</v>
      </c>
      <c r="F236" s="3">
        <v>10</v>
      </c>
      <c r="G236" s="3" t="s">
        <v>997</v>
      </c>
      <c r="H236" s="3"/>
      <c r="I236" s="3" t="s">
        <v>998</v>
      </c>
      <c r="J236" s="3">
        <v>0</v>
      </c>
      <c r="K236" s="3">
        <v>0</v>
      </c>
      <c r="L236" s="3">
        <v>0</v>
      </c>
      <c r="M236" s="3">
        <v>0</v>
      </c>
      <c r="N236" s="3">
        <v>0</v>
      </c>
      <c r="O236" s="3">
        <v>0.08</v>
      </c>
      <c r="P236" s="3">
        <v>0</v>
      </c>
      <c r="Q236" s="3">
        <v>0</v>
      </c>
      <c r="R236" s="3">
        <v>0</v>
      </c>
    </row>
    <row r="237" spans="1:18">
      <c r="A237" s="3" t="s">
        <v>1474</v>
      </c>
      <c r="B237" s="3" t="s">
        <v>1475</v>
      </c>
      <c r="C237" s="3" t="s">
        <v>1475</v>
      </c>
      <c r="D237" s="3" t="s">
        <v>23</v>
      </c>
      <c r="E237" s="3" t="s">
        <v>159</v>
      </c>
      <c r="F237" s="3">
        <v>10.98</v>
      </c>
      <c r="G237" s="3" t="s">
        <v>997</v>
      </c>
      <c r="H237" s="3"/>
      <c r="I237" s="3" t="s">
        <v>998</v>
      </c>
      <c r="J237" s="3">
        <v>2</v>
      </c>
      <c r="K237" s="3">
        <v>0</v>
      </c>
      <c r="L237" s="3">
        <v>2</v>
      </c>
      <c r="M237" s="3">
        <v>0</v>
      </c>
      <c r="N237" s="3">
        <v>2</v>
      </c>
      <c r="O237" s="3">
        <v>0.15</v>
      </c>
      <c r="P237" s="3">
        <v>0</v>
      </c>
      <c r="Q237" s="3">
        <v>0</v>
      </c>
      <c r="R237" s="3">
        <v>0</v>
      </c>
    </row>
    <row r="238" spans="1:18">
      <c r="A238" s="3" t="s">
        <v>1476</v>
      </c>
      <c r="B238" s="3" t="s">
        <v>1477</v>
      </c>
      <c r="C238" s="3" t="s">
        <v>1477</v>
      </c>
      <c r="D238" s="3" t="s">
        <v>23</v>
      </c>
      <c r="E238" s="3" t="s">
        <v>159</v>
      </c>
      <c r="F238" s="3">
        <v>10.98</v>
      </c>
      <c r="G238" s="3" t="s">
        <v>997</v>
      </c>
      <c r="H238" s="3"/>
      <c r="I238" s="3" t="s">
        <v>998</v>
      </c>
      <c r="J238" s="3">
        <v>0</v>
      </c>
      <c r="K238" s="3">
        <v>0</v>
      </c>
      <c r="L238" s="3">
        <v>0</v>
      </c>
      <c r="M238" s="3">
        <v>0</v>
      </c>
      <c r="N238" s="3">
        <v>0</v>
      </c>
      <c r="O238" s="3">
        <v>0.15</v>
      </c>
      <c r="P238" s="3">
        <v>0</v>
      </c>
      <c r="Q238" s="3">
        <v>0</v>
      </c>
      <c r="R238" s="3">
        <v>0</v>
      </c>
    </row>
    <row r="239" spans="1:18">
      <c r="A239" s="3" t="s">
        <v>1478</v>
      </c>
      <c r="B239" s="3" t="s">
        <v>1479</v>
      </c>
      <c r="C239" s="3" t="s">
        <v>1479</v>
      </c>
      <c r="D239" s="3" t="s">
        <v>23</v>
      </c>
      <c r="E239" s="3" t="s">
        <v>159</v>
      </c>
      <c r="F239" s="3">
        <v>10.98</v>
      </c>
      <c r="G239" s="3" t="s">
        <v>997</v>
      </c>
      <c r="H239" s="3"/>
      <c r="I239" s="3" t="s">
        <v>998</v>
      </c>
      <c r="J239" s="3">
        <v>0</v>
      </c>
      <c r="K239" s="3">
        <v>0</v>
      </c>
      <c r="L239" s="3">
        <v>0</v>
      </c>
      <c r="M239" s="3">
        <v>0</v>
      </c>
      <c r="N239" s="3">
        <v>0</v>
      </c>
      <c r="O239" s="3">
        <v>0.15</v>
      </c>
      <c r="P239" s="3">
        <v>0</v>
      </c>
      <c r="Q239" s="3">
        <v>0</v>
      </c>
      <c r="R239" s="3">
        <v>0</v>
      </c>
    </row>
    <row r="240" spans="1:18">
      <c r="A240" s="3" t="s">
        <v>1480</v>
      </c>
      <c r="B240" s="3" t="s">
        <v>1481</v>
      </c>
      <c r="C240" s="3" t="s">
        <v>1481</v>
      </c>
      <c r="D240" s="3" t="s">
        <v>23</v>
      </c>
      <c r="E240" s="3" t="s">
        <v>159</v>
      </c>
      <c r="F240" s="3">
        <v>10.98</v>
      </c>
      <c r="G240" s="3" t="s">
        <v>997</v>
      </c>
      <c r="H240" s="3"/>
      <c r="I240" s="3" t="s">
        <v>998</v>
      </c>
      <c r="J240" s="3">
        <v>1</v>
      </c>
      <c r="K240" s="3">
        <v>0</v>
      </c>
      <c r="L240" s="3">
        <v>1</v>
      </c>
      <c r="M240" s="3">
        <v>0</v>
      </c>
      <c r="N240" s="3">
        <v>1</v>
      </c>
      <c r="O240" s="3">
        <v>0.15</v>
      </c>
      <c r="P240" s="3">
        <v>0</v>
      </c>
      <c r="Q240" s="3">
        <v>0</v>
      </c>
      <c r="R240" s="3">
        <v>0</v>
      </c>
    </row>
    <row r="241" spans="1:18">
      <c r="A241" s="3" t="s">
        <v>1482</v>
      </c>
      <c r="B241" s="3" t="s">
        <v>1483</v>
      </c>
      <c r="C241" s="3" t="s">
        <v>1483</v>
      </c>
      <c r="D241" s="3" t="s">
        <v>23</v>
      </c>
      <c r="E241" s="3" t="s">
        <v>159</v>
      </c>
      <c r="F241" s="3">
        <v>10.98</v>
      </c>
      <c r="G241" s="3" t="s">
        <v>997</v>
      </c>
      <c r="H241" s="3"/>
      <c r="I241" s="3" t="s">
        <v>998</v>
      </c>
      <c r="J241" s="3">
        <v>0</v>
      </c>
      <c r="K241" s="3">
        <v>0</v>
      </c>
      <c r="L241" s="3">
        <v>0</v>
      </c>
      <c r="M241" s="3">
        <v>0</v>
      </c>
      <c r="N241" s="3">
        <v>0</v>
      </c>
      <c r="O241" s="3">
        <v>0.15</v>
      </c>
      <c r="P241" s="3">
        <v>0</v>
      </c>
      <c r="Q241" s="3">
        <v>0</v>
      </c>
      <c r="R241" s="3">
        <v>0</v>
      </c>
    </row>
    <row r="242" spans="1:18">
      <c r="A242" s="3" t="s">
        <v>21</v>
      </c>
      <c r="B242" s="3" t="s">
        <v>22</v>
      </c>
      <c r="C242" s="3" t="s">
        <v>22</v>
      </c>
      <c r="D242" s="3" t="s">
        <v>23</v>
      </c>
      <c r="E242" s="3" t="s">
        <v>159</v>
      </c>
      <c r="F242" s="3">
        <v>10.98</v>
      </c>
      <c r="G242" s="3" t="s">
        <v>997</v>
      </c>
      <c r="H242" s="3"/>
      <c r="I242" s="3" t="s">
        <v>998</v>
      </c>
      <c r="J242" s="3">
        <v>1</v>
      </c>
      <c r="K242" s="3">
        <v>0</v>
      </c>
      <c r="L242" s="3">
        <v>0</v>
      </c>
      <c r="M242" s="3">
        <v>1</v>
      </c>
      <c r="N242" s="3">
        <v>1</v>
      </c>
      <c r="O242" s="3">
        <v>0.15</v>
      </c>
      <c r="P242" s="3">
        <v>0</v>
      </c>
      <c r="Q242" s="3">
        <v>0</v>
      </c>
      <c r="R242" s="3">
        <v>0</v>
      </c>
    </row>
    <row r="243" spans="1:18">
      <c r="A243" s="3" t="s">
        <v>1484</v>
      </c>
      <c r="B243" s="3" t="s">
        <v>1485</v>
      </c>
      <c r="C243" s="3" t="s">
        <v>1485</v>
      </c>
      <c r="D243" s="3" t="s">
        <v>23</v>
      </c>
      <c r="E243" s="3" t="s">
        <v>159</v>
      </c>
      <c r="F243" s="3">
        <v>10.98</v>
      </c>
      <c r="G243" s="3" t="s">
        <v>997</v>
      </c>
      <c r="H243" s="3"/>
      <c r="I243" s="3" t="s">
        <v>998</v>
      </c>
      <c r="J243" s="3">
        <v>0</v>
      </c>
      <c r="K243" s="3">
        <v>0</v>
      </c>
      <c r="L243" s="3">
        <v>0</v>
      </c>
      <c r="M243" s="3">
        <v>0</v>
      </c>
      <c r="N243" s="3">
        <v>0</v>
      </c>
      <c r="O243" s="3">
        <v>0.15</v>
      </c>
      <c r="P243" s="3">
        <v>0</v>
      </c>
      <c r="Q243" s="3">
        <v>0</v>
      </c>
      <c r="R243" s="3">
        <v>0</v>
      </c>
    </row>
    <row r="244" spans="1:18">
      <c r="A244" s="3" t="s">
        <v>1486</v>
      </c>
      <c r="B244" s="3" t="s">
        <v>1487</v>
      </c>
      <c r="C244" s="3" t="s">
        <v>1487</v>
      </c>
      <c r="D244" s="3" t="s">
        <v>23</v>
      </c>
      <c r="E244" s="3" t="s">
        <v>159</v>
      </c>
      <c r="F244" s="3">
        <v>10.98</v>
      </c>
      <c r="G244" s="3" t="s">
        <v>997</v>
      </c>
      <c r="H244" s="3"/>
      <c r="I244" s="3" t="s">
        <v>998</v>
      </c>
      <c r="J244" s="3">
        <v>0</v>
      </c>
      <c r="K244" s="3">
        <v>0</v>
      </c>
      <c r="L244" s="3">
        <v>0</v>
      </c>
      <c r="M244" s="3">
        <v>0</v>
      </c>
      <c r="N244" s="3">
        <v>0</v>
      </c>
      <c r="O244" s="3">
        <v>0.15</v>
      </c>
      <c r="P244" s="3">
        <v>0</v>
      </c>
      <c r="Q244" s="3">
        <v>0</v>
      </c>
      <c r="R244" s="3">
        <v>0</v>
      </c>
    </row>
    <row r="245" spans="1:18">
      <c r="A245" s="3" t="s">
        <v>1488</v>
      </c>
      <c r="B245" s="3" t="s">
        <v>1489</v>
      </c>
      <c r="C245" s="3" t="s">
        <v>1489</v>
      </c>
      <c r="D245" s="3" t="s">
        <v>23</v>
      </c>
      <c r="E245" s="3" t="s">
        <v>159</v>
      </c>
      <c r="F245" s="3">
        <v>10.98</v>
      </c>
      <c r="G245" s="3" t="s">
        <v>997</v>
      </c>
      <c r="H245" s="3"/>
      <c r="I245" s="3" t="s">
        <v>998</v>
      </c>
      <c r="J245" s="3">
        <v>0</v>
      </c>
      <c r="K245" s="3">
        <v>0</v>
      </c>
      <c r="L245" s="3">
        <v>0</v>
      </c>
      <c r="M245" s="3">
        <v>0</v>
      </c>
      <c r="N245" s="3">
        <v>0</v>
      </c>
      <c r="O245" s="3">
        <v>0.15</v>
      </c>
      <c r="P245" s="3">
        <v>0</v>
      </c>
      <c r="Q245" s="3">
        <v>0</v>
      </c>
      <c r="R245" s="3">
        <v>0</v>
      </c>
    </row>
    <row r="246" spans="1:18">
      <c r="A246" s="3" t="s">
        <v>1490</v>
      </c>
      <c r="B246" s="3" t="s">
        <v>1491</v>
      </c>
      <c r="C246" s="3" t="s">
        <v>1491</v>
      </c>
      <c r="D246" s="3" t="s">
        <v>23</v>
      </c>
      <c r="E246" s="3" t="s">
        <v>159</v>
      </c>
      <c r="F246" s="3">
        <v>10.98</v>
      </c>
      <c r="G246" s="3" t="s">
        <v>997</v>
      </c>
      <c r="H246" s="3"/>
      <c r="I246" s="3" t="s">
        <v>998</v>
      </c>
      <c r="J246" s="3">
        <v>0</v>
      </c>
      <c r="K246" s="3">
        <v>0</v>
      </c>
      <c r="L246" s="3">
        <v>0</v>
      </c>
      <c r="M246" s="3">
        <v>0</v>
      </c>
      <c r="N246" s="3">
        <v>0</v>
      </c>
      <c r="O246" s="3">
        <v>0.15</v>
      </c>
      <c r="P246" s="3">
        <v>0</v>
      </c>
      <c r="Q246" s="3">
        <v>0</v>
      </c>
      <c r="R246" s="3">
        <v>0</v>
      </c>
    </row>
    <row r="247" spans="1:18">
      <c r="A247" s="3" t="s">
        <v>1492</v>
      </c>
      <c r="B247" s="3" t="s">
        <v>1493</v>
      </c>
      <c r="C247" s="3" t="s">
        <v>1493</v>
      </c>
      <c r="D247" s="3" t="s">
        <v>23</v>
      </c>
      <c r="E247" s="3" t="s">
        <v>159</v>
      </c>
      <c r="F247" s="3">
        <v>10.98</v>
      </c>
      <c r="G247" s="3" t="s">
        <v>997</v>
      </c>
      <c r="H247" s="3"/>
      <c r="I247" s="3" t="s">
        <v>998</v>
      </c>
      <c r="J247" s="3">
        <v>2</v>
      </c>
      <c r="K247" s="3">
        <v>0</v>
      </c>
      <c r="L247" s="3">
        <v>2</v>
      </c>
      <c r="M247" s="3">
        <v>0</v>
      </c>
      <c r="N247" s="3">
        <v>2</v>
      </c>
      <c r="O247" s="3">
        <v>0.15</v>
      </c>
      <c r="P247" s="3">
        <v>0</v>
      </c>
      <c r="Q247" s="3">
        <v>0</v>
      </c>
      <c r="R247" s="3">
        <v>0</v>
      </c>
    </row>
    <row r="248" spans="1:18">
      <c r="A248" s="3" t="s">
        <v>1494</v>
      </c>
      <c r="B248" s="3" t="s">
        <v>1495</v>
      </c>
      <c r="C248" s="3" t="s">
        <v>1496</v>
      </c>
      <c r="D248" s="3"/>
      <c r="E248" s="3" t="s">
        <v>1497</v>
      </c>
      <c r="F248" s="3"/>
      <c r="G248" s="3"/>
      <c r="H248" s="3"/>
      <c r="I248" s="3"/>
      <c r="J248" s="3">
        <v>0</v>
      </c>
      <c r="K248" s="3">
        <v>0</v>
      </c>
      <c r="L248" s="3">
        <v>0</v>
      </c>
      <c r="M248" s="3">
        <v>0</v>
      </c>
      <c r="N248" s="3">
        <v>0</v>
      </c>
      <c r="O248" s="3"/>
      <c r="P248" s="3">
        <v>0</v>
      </c>
      <c r="Q248" s="3">
        <v>0</v>
      </c>
      <c r="R248" s="3">
        <v>0</v>
      </c>
    </row>
    <row r="249" spans="1:18">
      <c r="A249" s="3" t="s">
        <v>1498</v>
      </c>
      <c r="B249" s="3" t="s">
        <v>1499</v>
      </c>
      <c r="C249" s="3" t="s">
        <v>1500</v>
      </c>
      <c r="D249" s="3"/>
      <c r="E249" s="3" t="s">
        <v>1497</v>
      </c>
      <c r="F249" s="3"/>
      <c r="G249" s="3"/>
      <c r="H249" s="3"/>
      <c r="I249" s="3"/>
      <c r="J249" s="3">
        <v>0</v>
      </c>
      <c r="K249" s="3">
        <v>0</v>
      </c>
      <c r="L249" s="3">
        <v>0</v>
      </c>
      <c r="M249" s="3">
        <v>0</v>
      </c>
      <c r="N249" s="3">
        <v>0</v>
      </c>
      <c r="O249" s="3"/>
      <c r="P249" s="3">
        <v>0</v>
      </c>
      <c r="Q249" s="3">
        <v>0</v>
      </c>
      <c r="R249" s="3">
        <v>0</v>
      </c>
    </row>
    <row r="250" spans="1:18">
      <c r="A250" s="3" t="s">
        <v>1501</v>
      </c>
      <c r="B250" s="3" t="s">
        <v>1502</v>
      </c>
      <c r="C250" s="3" t="s">
        <v>1503</v>
      </c>
      <c r="D250" s="3"/>
      <c r="E250" s="3" t="s">
        <v>1497</v>
      </c>
      <c r="F250" s="3"/>
      <c r="G250" s="3"/>
      <c r="H250" s="3"/>
      <c r="I250" s="3"/>
      <c r="J250" s="3">
        <v>0</v>
      </c>
      <c r="K250" s="3">
        <v>0</v>
      </c>
      <c r="L250" s="3">
        <v>0</v>
      </c>
      <c r="M250" s="3">
        <v>0</v>
      </c>
      <c r="N250" s="3">
        <v>0</v>
      </c>
      <c r="O250" s="3"/>
      <c r="P250" s="3">
        <v>0</v>
      </c>
      <c r="Q250" s="3">
        <v>0</v>
      </c>
      <c r="R250" s="3">
        <v>0</v>
      </c>
    </row>
    <row r="251" spans="1:18">
      <c r="A251" s="3" t="s">
        <v>1504</v>
      </c>
      <c r="B251" s="3" t="s">
        <v>1505</v>
      </c>
      <c r="C251" s="3" t="s">
        <v>1506</v>
      </c>
      <c r="D251" s="3"/>
      <c r="E251" s="3" t="s">
        <v>1497</v>
      </c>
      <c r="F251" s="3"/>
      <c r="G251" s="3"/>
      <c r="H251" s="3"/>
      <c r="I251" s="3"/>
      <c r="J251" s="3">
        <v>0</v>
      </c>
      <c r="K251" s="3">
        <v>0</v>
      </c>
      <c r="L251" s="3">
        <v>0</v>
      </c>
      <c r="M251" s="3">
        <v>0</v>
      </c>
      <c r="N251" s="3">
        <v>0</v>
      </c>
      <c r="O251" s="3"/>
      <c r="P251" s="3">
        <v>0</v>
      </c>
      <c r="Q251" s="3">
        <v>0</v>
      </c>
      <c r="R251" s="3">
        <v>0</v>
      </c>
    </row>
    <row r="252" spans="1:18">
      <c r="A252" s="3" t="s">
        <v>1507</v>
      </c>
      <c r="B252" s="3" t="s">
        <v>1508</v>
      </c>
      <c r="C252" s="3" t="s">
        <v>1509</v>
      </c>
      <c r="D252" s="3"/>
      <c r="E252" s="3" t="s">
        <v>1497</v>
      </c>
      <c r="F252" s="3"/>
      <c r="G252" s="3"/>
      <c r="H252" s="3"/>
      <c r="I252" s="3"/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/>
      <c r="P252" s="3">
        <v>0</v>
      </c>
      <c r="Q252" s="3">
        <v>0</v>
      </c>
      <c r="R252" s="3">
        <v>0</v>
      </c>
    </row>
    <row r="253" spans="1:18">
      <c r="A253" s="3" t="s">
        <v>1510</v>
      </c>
      <c r="B253" s="3" t="s">
        <v>1511</v>
      </c>
      <c r="C253" s="3" t="s">
        <v>1512</v>
      </c>
      <c r="D253" s="3" t="s">
        <v>1513</v>
      </c>
      <c r="E253" s="3" t="s">
        <v>159</v>
      </c>
      <c r="F253" s="3">
        <v>12</v>
      </c>
      <c r="G253" s="3" t="s">
        <v>997</v>
      </c>
      <c r="H253" s="3"/>
      <c r="I253" s="3" t="s">
        <v>998</v>
      </c>
      <c r="J253" s="3">
        <v>0</v>
      </c>
      <c r="K253" s="3">
        <v>0</v>
      </c>
      <c r="L253" s="3">
        <v>0</v>
      </c>
      <c r="M253" s="3">
        <v>0</v>
      </c>
      <c r="N253" s="3">
        <v>0</v>
      </c>
      <c r="O253" s="3">
        <v>0.02</v>
      </c>
      <c r="P253" s="3">
        <v>0</v>
      </c>
      <c r="Q253" s="3">
        <v>0</v>
      </c>
      <c r="R253" s="3">
        <v>0</v>
      </c>
    </row>
    <row r="254" spans="1:18">
      <c r="A254" s="3" t="s">
        <v>1514</v>
      </c>
      <c r="B254" s="3" t="s">
        <v>1515</v>
      </c>
      <c r="C254" s="3" t="s">
        <v>1516</v>
      </c>
      <c r="D254" s="3" t="s">
        <v>1517</v>
      </c>
      <c r="E254" s="3" t="s">
        <v>159</v>
      </c>
      <c r="F254" s="3">
        <v>12</v>
      </c>
      <c r="G254" s="3" t="s">
        <v>997</v>
      </c>
      <c r="H254" s="3"/>
      <c r="I254" s="3" t="s">
        <v>998</v>
      </c>
      <c r="J254" s="3">
        <v>0</v>
      </c>
      <c r="K254" s="3">
        <v>0</v>
      </c>
      <c r="L254" s="3">
        <v>0</v>
      </c>
      <c r="M254" s="3">
        <v>0</v>
      </c>
      <c r="N254" s="3">
        <v>0</v>
      </c>
      <c r="O254" s="3">
        <v>0.02</v>
      </c>
      <c r="P254" s="3">
        <v>0</v>
      </c>
      <c r="Q254" s="3">
        <v>0</v>
      </c>
      <c r="R254" s="3">
        <v>0</v>
      </c>
    </row>
    <row r="255" spans="1:18">
      <c r="A255" s="3" t="s">
        <v>1518</v>
      </c>
      <c r="B255" s="3" t="s">
        <v>1519</v>
      </c>
      <c r="C255" s="3" t="s">
        <v>1520</v>
      </c>
      <c r="D255" s="3" t="s">
        <v>1521</v>
      </c>
      <c r="E255" s="3" t="s">
        <v>159</v>
      </c>
      <c r="F255" s="3">
        <v>12</v>
      </c>
      <c r="G255" s="3" t="s">
        <v>997</v>
      </c>
      <c r="H255" s="3"/>
      <c r="I255" s="3" t="s">
        <v>998</v>
      </c>
      <c r="J255" s="3">
        <v>0</v>
      </c>
      <c r="K255" s="3">
        <v>0</v>
      </c>
      <c r="L255" s="3">
        <v>0</v>
      </c>
      <c r="M255" s="3">
        <v>0</v>
      </c>
      <c r="N255" s="3">
        <v>0</v>
      </c>
      <c r="O255" s="3">
        <v>0.02</v>
      </c>
      <c r="P255" s="3">
        <v>0</v>
      </c>
      <c r="Q255" s="3">
        <v>0</v>
      </c>
      <c r="R255" s="3">
        <v>0</v>
      </c>
    </row>
    <row r="256" spans="1:18">
      <c r="A256" s="3" t="s">
        <v>1522</v>
      </c>
      <c r="B256" s="3" t="s">
        <v>1523</v>
      </c>
      <c r="C256" s="3" t="s">
        <v>1524</v>
      </c>
      <c r="D256" s="3" t="s">
        <v>1525</v>
      </c>
      <c r="E256" s="3" t="s">
        <v>159</v>
      </c>
      <c r="F256" s="3">
        <v>12</v>
      </c>
      <c r="G256" s="3" t="s">
        <v>997</v>
      </c>
      <c r="H256" s="3"/>
      <c r="I256" s="3" t="s">
        <v>998</v>
      </c>
      <c r="J256" s="3">
        <v>0</v>
      </c>
      <c r="K256" s="3">
        <v>0</v>
      </c>
      <c r="L256" s="3">
        <v>0</v>
      </c>
      <c r="M256" s="3">
        <v>0</v>
      </c>
      <c r="N256" s="3">
        <v>0</v>
      </c>
      <c r="O256" s="3">
        <v>0.02</v>
      </c>
      <c r="P256" s="3">
        <v>0</v>
      </c>
      <c r="Q256" s="3">
        <v>0</v>
      </c>
      <c r="R256" s="3">
        <v>0</v>
      </c>
    </row>
    <row r="257" spans="1:18">
      <c r="A257" s="3" t="s">
        <v>1526</v>
      </c>
      <c r="B257" s="3" t="s">
        <v>1527</v>
      </c>
      <c r="C257" s="3" t="s">
        <v>1528</v>
      </c>
      <c r="D257" s="3" t="s">
        <v>1529</v>
      </c>
      <c r="E257" s="3" t="s">
        <v>159</v>
      </c>
      <c r="F257" s="3">
        <v>12</v>
      </c>
      <c r="G257" s="3" t="s">
        <v>997</v>
      </c>
      <c r="H257" s="3"/>
      <c r="I257" s="3" t="s">
        <v>998</v>
      </c>
      <c r="J257" s="3">
        <v>0</v>
      </c>
      <c r="K257" s="3">
        <v>0</v>
      </c>
      <c r="L257" s="3">
        <v>0</v>
      </c>
      <c r="M257" s="3">
        <v>0</v>
      </c>
      <c r="N257" s="3">
        <v>0</v>
      </c>
      <c r="O257" s="3">
        <v>0.02</v>
      </c>
      <c r="P257" s="3">
        <v>0</v>
      </c>
      <c r="Q257" s="3">
        <v>0</v>
      </c>
      <c r="R257" s="3">
        <v>0</v>
      </c>
    </row>
    <row r="258" spans="1:18">
      <c r="A258" s="3" t="s">
        <v>1530</v>
      </c>
      <c r="B258" s="3" t="s">
        <v>1531</v>
      </c>
      <c r="C258" s="3" t="s">
        <v>1532</v>
      </c>
      <c r="D258" s="3" t="s">
        <v>1533</v>
      </c>
      <c r="E258" s="3" t="s">
        <v>159</v>
      </c>
      <c r="F258" s="3">
        <v>12</v>
      </c>
      <c r="G258" s="3" t="s">
        <v>997</v>
      </c>
      <c r="H258" s="3"/>
      <c r="I258" s="3" t="s">
        <v>998</v>
      </c>
      <c r="J258" s="3">
        <v>0</v>
      </c>
      <c r="K258" s="3">
        <v>0</v>
      </c>
      <c r="L258" s="3">
        <v>0</v>
      </c>
      <c r="M258" s="3">
        <v>0</v>
      </c>
      <c r="N258" s="3">
        <v>0</v>
      </c>
      <c r="O258" s="3">
        <v>0.02</v>
      </c>
      <c r="P258" s="3">
        <v>0</v>
      </c>
      <c r="Q258" s="3">
        <v>0</v>
      </c>
      <c r="R258" s="3">
        <v>0</v>
      </c>
    </row>
    <row r="259" spans="1:18">
      <c r="A259" s="3" t="s">
        <v>1534</v>
      </c>
      <c r="B259" s="3" t="s">
        <v>1535</v>
      </c>
      <c r="C259" s="3" t="s">
        <v>1536</v>
      </c>
      <c r="D259" s="3" t="s">
        <v>1537</v>
      </c>
      <c r="E259" s="3" t="s">
        <v>159</v>
      </c>
      <c r="F259" s="3">
        <v>12</v>
      </c>
      <c r="G259" s="3" t="s">
        <v>997</v>
      </c>
      <c r="H259" s="3"/>
      <c r="I259" s="3" t="s">
        <v>998</v>
      </c>
      <c r="J259" s="3">
        <v>0</v>
      </c>
      <c r="K259" s="3">
        <v>0</v>
      </c>
      <c r="L259" s="3">
        <v>0</v>
      </c>
      <c r="M259" s="3">
        <v>0</v>
      </c>
      <c r="N259" s="3">
        <v>0</v>
      </c>
      <c r="O259" s="3">
        <v>0.02</v>
      </c>
      <c r="P259" s="3">
        <v>0</v>
      </c>
      <c r="Q259" s="3">
        <v>0</v>
      </c>
      <c r="R259" s="3">
        <v>0</v>
      </c>
    </row>
    <row r="260" spans="1:18">
      <c r="A260" s="3" t="s">
        <v>1538</v>
      </c>
      <c r="B260" s="3" t="s">
        <v>1539</v>
      </c>
      <c r="C260" s="3" t="s">
        <v>1540</v>
      </c>
      <c r="D260" s="3" t="s">
        <v>1541</v>
      </c>
      <c r="E260" s="3" t="s">
        <v>159</v>
      </c>
      <c r="F260" s="3">
        <v>12</v>
      </c>
      <c r="G260" s="3" t="s">
        <v>997</v>
      </c>
      <c r="H260" s="3"/>
      <c r="I260" s="3" t="s">
        <v>998</v>
      </c>
      <c r="J260" s="3">
        <v>0</v>
      </c>
      <c r="K260" s="3">
        <v>0</v>
      </c>
      <c r="L260" s="3">
        <v>0</v>
      </c>
      <c r="M260" s="3">
        <v>0</v>
      </c>
      <c r="N260" s="3">
        <v>0</v>
      </c>
      <c r="O260" s="3">
        <v>0.02</v>
      </c>
      <c r="P260" s="3">
        <v>0</v>
      </c>
      <c r="Q260" s="3">
        <v>0</v>
      </c>
      <c r="R260" s="3">
        <v>0</v>
      </c>
    </row>
    <row r="261" spans="1:18">
      <c r="A261" s="3" t="s">
        <v>1542</v>
      </c>
      <c r="B261" s="3" t="s">
        <v>1543</v>
      </c>
      <c r="C261" s="3" t="s">
        <v>1544</v>
      </c>
      <c r="D261" s="3" t="s">
        <v>1545</v>
      </c>
      <c r="E261" s="3" t="s">
        <v>159</v>
      </c>
      <c r="F261" s="3">
        <v>12</v>
      </c>
      <c r="G261" s="3" t="s">
        <v>997</v>
      </c>
      <c r="H261" s="3"/>
      <c r="I261" s="3" t="s">
        <v>998</v>
      </c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>
        <v>0.02</v>
      </c>
      <c r="P261" s="3">
        <v>0</v>
      </c>
      <c r="Q261" s="3">
        <v>0</v>
      </c>
      <c r="R261" s="3">
        <v>0</v>
      </c>
    </row>
    <row r="262" spans="1:18">
      <c r="A262" s="3" t="s">
        <v>1546</v>
      </c>
      <c r="B262" s="3" t="s">
        <v>1547</v>
      </c>
      <c r="C262" s="3" t="s">
        <v>1548</v>
      </c>
      <c r="D262" s="3" t="s">
        <v>1549</v>
      </c>
      <c r="E262" s="3" t="s">
        <v>159</v>
      </c>
      <c r="F262" s="3">
        <v>12</v>
      </c>
      <c r="G262" s="3" t="s">
        <v>997</v>
      </c>
      <c r="H262" s="3"/>
      <c r="I262" s="3" t="s">
        <v>998</v>
      </c>
      <c r="J262" s="3">
        <v>0</v>
      </c>
      <c r="K262" s="3">
        <v>0</v>
      </c>
      <c r="L262" s="3">
        <v>0</v>
      </c>
      <c r="M262" s="3">
        <v>0</v>
      </c>
      <c r="N262" s="3">
        <v>0</v>
      </c>
      <c r="O262" s="3">
        <v>0.02</v>
      </c>
      <c r="P262" s="3">
        <v>0</v>
      </c>
      <c r="Q262" s="3">
        <v>0</v>
      </c>
      <c r="R262" s="3">
        <v>0</v>
      </c>
    </row>
    <row r="263" spans="1:18">
      <c r="A263" s="3" t="s">
        <v>1550</v>
      </c>
      <c r="B263" s="3" t="s">
        <v>1551</v>
      </c>
      <c r="C263" s="3" t="s">
        <v>1551</v>
      </c>
      <c r="D263" s="3" t="s">
        <v>275</v>
      </c>
      <c r="E263" s="3" t="s">
        <v>159</v>
      </c>
      <c r="F263" s="3">
        <v>66</v>
      </c>
      <c r="G263" s="3" t="s">
        <v>997</v>
      </c>
      <c r="H263" s="3"/>
      <c r="I263" s="3" t="s">
        <v>998</v>
      </c>
      <c r="J263" s="3">
        <v>0</v>
      </c>
      <c r="K263" s="3">
        <v>0</v>
      </c>
      <c r="L263" s="3">
        <v>0</v>
      </c>
      <c r="M263" s="3">
        <v>0</v>
      </c>
      <c r="N263" s="3">
        <v>0</v>
      </c>
      <c r="O263" s="3">
        <v>0.04</v>
      </c>
      <c r="P263" s="3">
        <v>0</v>
      </c>
      <c r="Q263" s="3">
        <v>0</v>
      </c>
      <c r="R263" s="3">
        <v>0</v>
      </c>
    </row>
    <row r="264" spans="1:18">
      <c r="A264" s="3" t="s">
        <v>1552</v>
      </c>
      <c r="B264" s="3" t="s">
        <v>1553</v>
      </c>
      <c r="C264" s="3" t="s">
        <v>1553</v>
      </c>
      <c r="D264" s="3" t="s">
        <v>275</v>
      </c>
      <c r="E264" s="3" t="s">
        <v>159</v>
      </c>
      <c r="F264" s="3">
        <v>66</v>
      </c>
      <c r="G264" s="3" t="s">
        <v>997</v>
      </c>
      <c r="H264" s="3"/>
      <c r="I264" s="3" t="s">
        <v>998</v>
      </c>
      <c r="J264" s="3">
        <v>0</v>
      </c>
      <c r="K264" s="3">
        <v>0</v>
      </c>
      <c r="L264" s="3">
        <v>0</v>
      </c>
      <c r="M264" s="3">
        <v>0</v>
      </c>
      <c r="N264" s="3">
        <v>0</v>
      </c>
      <c r="O264" s="3">
        <v>0.04</v>
      </c>
      <c r="P264" s="3">
        <v>0</v>
      </c>
      <c r="Q264" s="3">
        <v>0</v>
      </c>
      <c r="R264" s="3">
        <v>0</v>
      </c>
    </row>
    <row r="265" spans="1:18">
      <c r="A265" s="3" t="s">
        <v>346</v>
      </c>
      <c r="B265" s="3" t="s">
        <v>347</v>
      </c>
      <c r="C265" s="3" t="s">
        <v>347</v>
      </c>
      <c r="D265" s="3" t="s">
        <v>275</v>
      </c>
      <c r="E265" s="3" t="s">
        <v>159</v>
      </c>
      <c r="F265" s="3">
        <v>66</v>
      </c>
      <c r="G265" s="3" t="s">
        <v>997</v>
      </c>
      <c r="H265" s="3"/>
      <c r="I265" s="3" t="s">
        <v>998</v>
      </c>
      <c r="J265" s="3">
        <v>4</v>
      </c>
      <c r="K265" s="3">
        <v>4</v>
      </c>
      <c r="L265" s="3">
        <v>0</v>
      </c>
      <c r="M265" s="3">
        <v>0</v>
      </c>
      <c r="N265" s="3">
        <v>4</v>
      </c>
      <c r="O265" s="3">
        <v>0.04</v>
      </c>
      <c r="P265" s="3">
        <v>0</v>
      </c>
      <c r="Q265" s="3">
        <v>0</v>
      </c>
      <c r="R265" s="3">
        <v>0</v>
      </c>
    </row>
    <row r="266" spans="1:18">
      <c r="A266" s="3" t="s">
        <v>813</v>
      </c>
      <c r="B266" s="3" t="s">
        <v>814</v>
      </c>
      <c r="C266" s="3" t="s">
        <v>814</v>
      </c>
      <c r="D266" s="3" t="s">
        <v>275</v>
      </c>
      <c r="E266" s="3" t="s">
        <v>159</v>
      </c>
      <c r="F266" s="3">
        <v>66</v>
      </c>
      <c r="G266" s="3" t="s">
        <v>997</v>
      </c>
      <c r="H266" s="3"/>
      <c r="I266" s="3" t="s">
        <v>998</v>
      </c>
      <c r="J266" s="3">
        <v>6</v>
      </c>
      <c r="K266" s="3">
        <v>6</v>
      </c>
      <c r="L266" s="3">
        <v>0</v>
      </c>
      <c r="M266" s="3">
        <v>0</v>
      </c>
      <c r="N266" s="3">
        <v>6</v>
      </c>
      <c r="O266" s="3">
        <v>0.04</v>
      </c>
      <c r="P266" s="3">
        <v>0</v>
      </c>
      <c r="Q266" s="3">
        <v>0</v>
      </c>
      <c r="R266" s="3">
        <v>0</v>
      </c>
    </row>
    <row r="267" spans="1:18">
      <c r="A267" s="3" t="s">
        <v>821</v>
      </c>
      <c r="B267" s="3" t="s">
        <v>822</v>
      </c>
      <c r="C267" s="3" t="s">
        <v>822</v>
      </c>
      <c r="D267" s="3" t="s">
        <v>275</v>
      </c>
      <c r="E267" s="3" t="s">
        <v>159</v>
      </c>
      <c r="F267" s="3">
        <v>66</v>
      </c>
      <c r="G267" s="3" t="s">
        <v>997</v>
      </c>
      <c r="H267" s="3"/>
      <c r="I267" s="3" t="s">
        <v>998</v>
      </c>
      <c r="J267" s="3">
        <v>2</v>
      </c>
      <c r="K267" s="3">
        <v>2</v>
      </c>
      <c r="L267" s="3">
        <v>0</v>
      </c>
      <c r="M267" s="3">
        <v>0</v>
      </c>
      <c r="N267" s="3">
        <v>2</v>
      </c>
      <c r="O267" s="3">
        <v>0.04</v>
      </c>
      <c r="P267" s="3">
        <v>0</v>
      </c>
      <c r="Q267" s="3">
        <v>0</v>
      </c>
      <c r="R267" s="3">
        <v>0</v>
      </c>
    </row>
    <row r="268" spans="1:18">
      <c r="A268" s="3" t="s">
        <v>926</v>
      </c>
      <c r="B268" s="3" t="s">
        <v>927</v>
      </c>
      <c r="C268" s="3" t="s">
        <v>927</v>
      </c>
      <c r="D268" s="3" t="s">
        <v>275</v>
      </c>
      <c r="E268" s="3" t="s">
        <v>159</v>
      </c>
      <c r="F268" s="3">
        <v>66</v>
      </c>
      <c r="G268" s="3" t="s">
        <v>997</v>
      </c>
      <c r="H268" s="3"/>
      <c r="I268" s="3" t="s">
        <v>998</v>
      </c>
      <c r="J268" s="3">
        <v>5</v>
      </c>
      <c r="K268" s="3">
        <v>5</v>
      </c>
      <c r="L268" s="3">
        <v>0</v>
      </c>
      <c r="M268" s="3">
        <v>0</v>
      </c>
      <c r="N268" s="3">
        <v>5</v>
      </c>
      <c r="O268" s="3">
        <v>0.04</v>
      </c>
      <c r="P268" s="3">
        <v>0</v>
      </c>
      <c r="Q268" s="3">
        <v>0</v>
      </c>
      <c r="R268" s="3">
        <v>0</v>
      </c>
    </row>
    <row r="269" spans="1:18">
      <c r="A269" s="3" t="s">
        <v>273</v>
      </c>
      <c r="B269" s="3" t="s">
        <v>274</v>
      </c>
      <c r="C269" s="3" t="s">
        <v>274</v>
      </c>
      <c r="D269" s="3" t="s">
        <v>275</v>
      </c>
      <c r="E269" s="3" t="s">
        <v>159</v>
      </c>
      <c r="F269" s="3">
        <v>66</v>
      </c>
      <c r="G269" s="3" t="s">
        <v>997</v>
      </c>
      <c r="H269" s="3"/>
      <c r="I269" s="3" t="s">
        <v>998</v>
      </c>
      <c r="J269" s="3">
        <v>7</v>
      </c>
      <c r="K269" s="3">
        <v>7</v>
      </c>
      <c r="L269" s="3">
        <v>0</v>
      </c>
      <c r="M269" s="3">
        <v>0</v>
      </c>
      <c r="N269" s="3">
        <v>7</v>
      </c>
      <c r="O269" s="3">
        <v>0.04</v>
      </c>
      <c r="P269" s="3">
        <v>0</v>
      </c>
      <c r="Q269" s="3">
        <v>0</v>
      </c>
      <c r="R269" s="3">
        <v>0</v>
      </c>
    </row>
    <row r="270" spans="1:18">
      <c r="A270" s="3" t="s">
        <v>231</v>
      </c>
      <c r="B270" s="3" t="s">
        <v>232</v>
      </c>
      <c r="C270" s="3" t="s">
        <v>232</v>
      </c>
      <c r="D270" s="3" t="s">
        <v>26</v>
      </c>
      <c r="E270" s="3" t="s">
        <v>159</v>
      </c>
      <c r="F270" s="3">
        <v>50</v>
      </c>
      <c r="G270" s="3" t="s">
        <v>997</v>
      </c>
      <c r="H270" s="3"/>
      <c r="I270" s="3" t="s">
        <v>998</v>
      </c>
      <c r="J270" s="3">
        <v>6</v>
      </c>
      <c r="K270" s="3">
        <v>6</v>
      </c>
      <c r="L270" s="3">
        <v>0</v>
      </c>
      <c r="M270" s="3">
        <v>0</v>
      </c>
      <c r="N270" s="3">
        <v>6</v>
      </c>
      <c r="O270" s="3">
        <v>0.03</v>
      </c>
      <c r="P270" s="3">
        <v>0</v>
      </c>
      <c r="Q270" s="3">
        <v>0</v>
      </c>
      <c r="R270" s="3">
        <v>0</v>
      </c>
    </row>
    <row r="271" spans="1:18">
      <c r="A271" s="3" t="s">
        <v>618</v>
      </c>
      <c r="B271" s="3" t="s">
        <v>619</v>
      </c>
      <c r="C271" s="3" t="s">
        <v>619</v>
      </c>
      <c r="D271" s="3" t="s">
        <v>26</v>
      </c>
      <c r="E271" s="3" t="s">
        <v>159</v>
      </c>
      <c r="F271" s="3">
        <v>50</v>
      </c>
      <c r="G271" s="3" t="s">
        <v>997</v>
      </c>
      <c r="H271" s="3"/>
      <c r="I271" s="3" t="s">
        <v>998</v>
      </c>
      <c r="J271" s="3">
        <v>6</v>
      </c>
      <c r="K271" s="3">
        <v>6</v>
      </c>
      <c r="L271" s="3">
        <v>0</v>
      </c>
      <c r="M271" s="3">
        <v>0</v>
      </c>
      <c r="N271" s="3">
        <v>6</v>
      </c>
      <c r="O271" s="3">
        <v>0.03</v>
      </c>
      <c r="P271" s="3">
        <v>0</v>
      </c>
      <c r="Q271" s="3">
        <v>0</v>
      </c>
      <c r="R271" s="3">
        <v>0</v>
      </c>
    </row>
    <row r="272" spans="1:18">
      <c r="A272" s="3" t="s">
        <v>673</v>
      </c>
      <c r="B272" s="3" t="s">
        <v>674</v>
      </c>
      <c r="C272" s="3" t="s">
        <v>674</v>
      </c>
      <c r="D272" s="3" t="s">
        <v>26</v>
      </c>
      <c r="E272" s="3" t="s">
        <v>159</v>
      </c>
      <c r="F272" s="3">
        <v>50</v>
      </c>
      <c r="G272" s="3" t="s">
        <v>997</v>
      </c>
      <c r="H272" s="3"/>
      <c r="I272" s="3" t="s">
        <v>998</v>
      </c>
      <c r="J272" s="3">
        <v>4</v>
      </c>
      <c r="K272" s="3">
        <v>4</v>
      </c>
      <c r="L272" s="3">
        <v>0</v>
      </c>
      <c r="M272" s="3">
        <v>0</v>
      </c>
      <c r="N272" s="3">
        <v>4</v>
      </c>
      <c r="O272" s="3">
        <v>0.03</v>
      </c>
      <c r="P272" s="3">
        <v>0</v>
      </c>
      <c r="Q272" s="3">
        <v>0</v>
      </c>
      <c r="R272" s="3">
        <v>0</v>
      </c>
    </row>
    <row r="273" spans="1:18">
      <c r="A273" s="3" t="s">
        <v>614</v>
      </c>
      <c r="B273" s="3" t="s">
        <v>615</v>
      </c>
      <c r="C273" s="3" t="s">
        <v>615</v>
      </c>
      <c r="D273" s="3" t="s">
        <v>26</v>
      </c>
      <c r="E273" s="3" t="s">
        <v>159</v>
      </c>
      <c r="F273" s="3">
        <v>50</v>
      </c>
      <c r="G273" s="3" t="s">
        <v>997</v>
      </c>
      <c r="H273" s="3"/>
      <c r="I273" s="3" t="s">
        <v>998</v>
      </c>
      <c r="J273" s="3">
        <v>10</v>
      </c>
      <c r="K273" s="3">
        <v>10</v>
      </c>
      <c r="L273" s="3">
        <v>0</v>
      </c>
      <c r="M273" s="3">
        <v>0</v>
      </c>
      <c r="N273" s="3">
        <v>10</v>
      </c>
      <c r="O273" s="3">
        <v>0.03</v>
      </c>
      <c r="P273" s="3">
        <v>0</v>
      </c>
      <c r="Q273" s="3">
        <v>0</v>
      </c>
      <c r="R273" s="3">
        <v>0</v>
      </c>
    </row>
    <row r="274" spans="1:18">
      <c r="A274" s="3" t="s">
        <v>24</v>
      </c>
      <c r="B274" s="3" t="s">
        <v>25</v>
      </c>
      <c r="C274" s="3" t="s">
        <v>25</v>
      </c>
      <c r="D274" s="3" t="s">
        <v>26</v>
      </c>
      <c r="E274" s="3" t="s">
        <v>159</v>
      </c>
      <c r="F274" s="3">
        <v>50</v>
      </c>
      <c r="G274" s="3" t="s">
        <v>997</v>
      </c>
      <c r="H274" s="3"/>
      <c r="I274" s="3" t="s">
        <v>998</v>
      </c>
      <c r="J274" s="3">
        <v>4</v>
      </c>
      <c r="K274" s="3">
        <v>3</v>
      </c>
      <c r="L274" s="3">
        <v>0</v>
      </c>
      <c r="M274" s="3">
        <v>1</v>
      </c>
      <c r="N274" s="3">
        <v>4</v>
      </c>
      <c r="O274" s="3">
        <v>0.03</v>
      </c>
      <c r="P274" s="3">
        <v>0</v>
      </c>
      <c r="Q274" s="3">
        <v>0</v>
      </c>
      <c r="R274" s="3">
        <v>0</v>
      </c>
    </row>
    <row r="275" spans="1:18">
      <c r="A275" s="3" t="s">
        <v>827</v>
      </c>
      <c r="B275" s="3" t="s">
        <v>828</v>
      </c>
      <c r="C275" s="3" t="s">
        <v>828</v>
      </c>
      <c r="D275" s="3" t="s">
        <v>26</v>
      </c>
      <c r="E275" s="3" t="s">
        <v>159</v>
      </c>
      <c r="F275" s="3">
        <v>50</v>
      </c>
      <c r="G275" s="3" t="s">
        <v>997</v>
      </c>
      <c r="H275" s="3"/>
      <c r="I275" s="3" t="s">
        <v>998</v>
      </c>
      <c r="J275" s="3">
        <v>2</v>
      </c>
      <c r="K275" s="3">
        <v>2</v>
      </c>
      <c r="L275" s="3">
        <v>0</v>
      </c>
      <c r="M275" s="3">
        <v>0</v>
      </c>
      <c r="N275" s="3">
        <v>2</v>
      </c>
      <c r="O275" s="3">
        <v>0.03</v>
      </c>
      <c r="P275" s="3">
        <v>0</v>
      </c>
      <c r="Q275" s="3">
        <v>0</v>
      </c>
      <c r="R275" s="3">
        <v>0</v>
      </c>
    </row>
    <row r="276" spans="1:18">
      <c r="A276" s="3" t="s">
        <v>859</v>
      </c>
      <c r="B276" s="3" t="s">
        <v>860</v>
      </c>
      <c r="C276" s="3" t="s">
        <v>860</v>
      </c>
      <c r="D276" s="3" t="s">
        <v>26</v>
      </c>
      <c r="E276" s="3" t="s">
        <v>159</v>
      </c>
      <c r="F276" s="3">
        <v>50</v>
      </c>
      <c r="G276" s="3" t="s">
        <v>997</v>
      </c>
      <c r="H276" s="3"/>
      <c r="I276" s="3" t="s">
        <v>998</v>
      </c>
      <c r="J276" s="3">
        <v>6</v>
      </c>
      <c r="K276" s="3">
        <v>6</v>
      </c>
      <c r="L276" s="3">
        <v>0</v>
      </c>
      <c r="M276" s="3">
        <v>0</v>
      </c>
      <c r="N276" s="3">
        <v>6</v>
      </c>
      <c r="O276" s="3">
        <v>0.03</v>
      </c>
      <c r="P276" s="3">
        <v>0</v>
      </c>
      <c r="Q276" s="3">
        <v>0</v>
      </c>
      <c r="R276" s="3">
        <v>0</v>
      </c>
    </row>
    <row r="277" spans="1:18">
      <c r="A277" s="3" t="s">
        <v>570</v>
      </c>
      <c r="B277" s="3" t="s">
        <v>571</v>
      </c>
      <c r="C277" s="3" t="s">
        <v>571</v>
      </c>
      <c r="D277" s="3" t="s">
        <v>26</v>
      </c>
      <c r="E277" s="3" t="s">
        <v>159</v>
      </c>
      <c r="F277" s="3">
        <v>50</v>
      </c>
      <c r="G277" s="3" t="s">
        <v>997</v>
      </c>
      <c r="H277" s="3"/>
      <c r="I277" s="3" t="s">
        <v>998</v>
      </c>
      <c r="J277" s="3">
        <v>6</v>
      </c>
      <c r="K277" s="3">
        <v>6</v>
      </c>
      <c r="L277" s="3">
        <v>0</v>
      </c>
      <c r="M277" s="3">
        <v>0</v>
      </c>
      <c r="N277" s="3">
        <v>6</v>
      </c>
      <c r="O277" s="3">
        <v>0.03</v>
      </c>
      <c r="P277" s="3">
        <v>0</v>
      </c>
      <c r="Q277" s="3">
        <v>0</v>
      </c>
      <c r="R277" s="3">
        <v>0</v>
      </c>
    </row>
    <row r="278" spans="1:18">
      <c r="A278" s="3" t="s">
        <v>693</v>
      </c>
      <c r="B278" s="3" t="s">
        <v>694</v>
      </c>
      <c r="C278" s="3" t="s">
        <v>694</v>
      </c>
      <c r="D278" s="3" t="s">
        <v>26</v>
      </c>
      <c r="E278" s="3" t="s">
        <v>159</v>
      </c>
      <c r="F278" s="3">
        <v>50</v>
      </c>
      <c r="G278" s="3" t="s">
        <v>997</v>
      </c>
      <c r="H278" s="3"/>
      <c r="I278" s="3" t="s">
        <v>998</v>
      </c>
      <c r="J278" s="3">
        <v>3</v>
      </c>
      <c r="K278" s="3">
        <v>3</v>
      </c>
      <c r="L278" s="3">
        <v>0</v>
      </c>
      <c r="M278" s="3">
        <v>0</v>
      </c>
      <c r="N278" s="3">
        <v>3</v>
      </c>
      <c r="O278" s="3">
        <v>0.03</v>
      </c>
      <c r="P278" s="3">
        <v>0</v>
      </c>
      <c r="Q278" s="3">
        <v>0</v>
      </c>
      <c r="R278" s="3">
        <v>0</v>
      </c>
    </row>
    <row r="279" spans="1:18">
      <c r="A279" s="3" t="s">
        <v>27</v>
      </c>
      <c r="B279" s="3" t="s">
        <v>28</v>
      </c>
      <c r="C279" s="3" t="s">
        <v>28</v>
      </c>
      <c r="D279" s="3" t="s">
        <v>26</v>
      </c>
      <c r="E279" s="3" t="s">
        <v>159</v>
      </c>
      <c r="F279" s="3">
        <v>50</v>
      </c>
      <c r="G279" s="3" t="s">
        <v>997</v>
      </c>
      <c r="H279" s="3"/>
      <c r="I279" s="3" t="s">
        <v>998</v>
      </c>
      <c r="J279" s="3">
        <v>6</v>
      </c>
      <c r="K279" s="3">
        <v>5</v>
      </c>
      <c r="L279" s="3">
        <v>0</v>
      </c>
      <c r="M279" s="3">
        <v>1</v>
      </c>
      <c r="N279" s="3">
        <v>6</v>
      </c>
      <c r="O279" s="3">
        <v>0.03</v>
      </c>
      <c r="P279" s="3">
        <v>0</v>
      </c>
      <c r="Q279" s="3">
        <v>0</v>
      </c>
      <c r="R279" s="3">
        <v>0</v>
      </c>
    </row>
    <row r="280" spans="1:18">
      <c r="A280" s="3" t="s">
        <v>612</v>
      </c>
      <c r="B280" s="3" t="s">
        <v>613</v>
      </c>
      <c r="C280" s="3" t="s">
        <v>613</v>
      </c>
      <c r="D280" s="3" t="s">
        <v>26</v>
      </c>
      <c r="E280" s="3" t="s">
        <v>159</v>
      </c>
      <c r="F280" s="3">
        <v>50</v>
      </c>
      <c r="G280" s="3" t="s">
        <v>997</v>
      </c>
      <c r="H280" s="3"/>
      <c r="I280" s="3" t="s">
        <v>998</v>
      </c>
      <c r="J280" s="3">
        <v>6</v>
      </c>
      <c r="K280" s="3">
        <v>6</v>
      </c>
      <c r="L280" s="3">
        <v>0</v>
      </c>
      <c r="M280" s="3">
        <v>0</v>
      </c>
      <c r="N280" s="3">
        <v>6</v>
      </c>
      <c r="O280" s="3">
        <v>0.03</v>
      </c>
      <c r="P280" s="3">
        <v>0</v>
      </c>
      <c r="Q280" s="3">
        <v>0</v>
      </c>
      <c r="R280" s="3">
        <v>0</v>
      </c>
    </row>
    <row r="281" spans="1:18">
      <c r="A281" s="3" t="s">
        <v>559</v>
      </c>
      <c r="B281" s="3" t="s">
        <v>560</v>
      </c>
      <c r="C281" s="3" t="s">
        <v>560</v>
      </c>
      <c r="D281" s="3" t="s">
        <v>26</v>
      </c>
      <c r="E281" s="3" t="s">
        <v>159</v>
      </c>
      <c r="F281" s="3">
        <v>50</v>
      </c>
      <c r="G281" s="3" t="s">
        <v>997</v>
      </c>
      <c r="H281" s="3"/>
      <c r="I281" s="3" t="s">
        <v>998</v>
      </c>
      <c r="J281" s="3">
        <v>6</v>
      </c>
      <c r="K281" s="3">
        <v>6</v>
      </c>
      <c r="L281" s="3">
        <v>0</v>
      </c>
      <c r="M281" s="3">
        <v>0</v>
      </c>
      <c r="N281" s="3">
        <v>6</v>
      </c>
      <c r="O281" s="3">
        <v>0.03</v>
      </c>
      <c r="P281" s="3">
        <v>0</v>
      </c>
      <c r="Q281" s="3">
        <v>0</v>
      </c>
      <c r="R281" s="3">
        <v>0</v>
      </c>
    </row>
    <row r="282" spans="1:18">
      <c r="A282" s="3" t="s">
        <v>210</v>
      </c>
      <c r="B282" s="3" t="s">
        <v>211</v>
      </c>
      <c r="C282" s="3" t="s">
        <v>211</v>
      </c>
      <c r="D282" s="3" t="s">
        <v>26</v>
      </c>
      <c r="E282" s="3" t="s">
        <v>159</v>
      </c>
      <c r="F282" s="3">
        <v>50</v>
      </c>
      <c r="G282" s="3" t="s">
        <v>997</v>
      </c>
      <c r="H282" s="3"/>
      <c r="I282" s="3" t="s">
        <v>998</v>
      </c>
      <c r="J282" s="3">
        <v>6</v>
      </c>
      <c r="K282" s="3">
        <v>6</v>
      </c>
      <c r="L282" s="3">
        <v>0</v>
      </c>
      <c r="M282" s="3">
        <v>0</v>
      </c>
      <c r="N282" s="3">
        <v>6</v>
      </c>
      <c r="O282" s="3">
        <v>0.03</v>
      </c>
      <c r="P282" s="3">
        <v>0</v>
      </c>
      <c r="Q282" s="3">
        <v>0</v>
      </c>
      <c r="R282" s="3">
        <v>0</v>
      </c>
    </row>
    <row r="283" spans="1:18">
      <c r="A283" s="3" t="s">
        <v>454</v>
      </c>
      <c r="B283" s="3" t="s">
        <v>455</v>
      </c>
      <c r="C283" s="3" t="s">
        <v>455</v>
      </c>
      <c r="D283" s="3" t="s">
        <v>26</v>
      </c>
      <c r="E283" s="3" t="s">
        <v>159</v>
      </c>
      <c r="F283" s="3">
        <v>50</v>
      </c>
      <c r="G283" s="3" t="s">
        <v>997</v>
      </c>
      <c r="H283" s="3"/>
      <c r="I283" s="3" t="s">
        <v>998</v>
      </c>
      <c r="J283" s="3">
        <v>6</v>
      </c>
      <c r="K283" s="3">
        <v>6</v>
      </c>
      <c r="L283" s="3">
        <v>0</v>
      </c>
      <c r="M283" s="3">
        <v>0</v>
      </c>
      <c r="N283" s="3">
        <v>6</v>
      </c>
      <c r="O283" s="3">
        <v>0.03</v>
      </c>
      <c r="P283" s="3">
        <v>0</v>
      </c>
      <c r="Q283" s="3">
        <v>0</v>
      </c>
      <c r="R283" s="3">
        <v>0</v>
      </c>
    </row>
    <row r="284" spans="1:18">
      <c r="A284" s="3" t="s">
        <v>312</v>
      </c>
      <c r="B284" s="3" t="s">
        <v>313</v>
      </c>
      <c r="C284" s="3" t="s">
        <v>313</v>
      </c>
      <c r="D284" s="3" t="s">
        <v>314</v>
      </c>
      <c r="E284" s="3" t="s">
        <v>159</v>
      </c>
      <c r="F284" s="3">
        <v>50</v>
      </c>
      <c r="G284" s="3" t="s">
        <v>997</v>
      </c>
      <c r="H284" s="3"/>
      <c r="I284" s="3" t="s">
        <v>998</v>
      </c>
      <c r="J284" s="3">
        <v>5</v>
      </c>
      <c r="K284" s="3">
        <v>5</v>
      </c>
      <c r="L284" s="3">
        <v>0</v>
      </c>
      <c r="M284" s="3">
        <v>0</v>
      </c>
      <c r="N284" s="3">
        <v>5</v>
      </c>
      <c r="O284" s="3">
        <v>0.03</v>
      </c>
      <c r="P284" s="3">
        <v>0</v>
      </c>
      <c r="Q284" s="3">
        <v>0</v>
      </c>
      <c r="R284" s="3">
        <v>0</v>
      </c>
    </row>
    <row r="285" spans="1:18">
      <c r="A285" s="3" t="s">
        <v>386</v>
      </c>
      <c r="B285" s="3" t="s">
        <v>387</v>
      </c>
      <c r="C285" s="3" t="s">
        <v>387</v>
      </c>
      <c r="D285" s="3" t="s">
        <v>26</v>
      </c>
      <c r="E285" s="3" t="s">
        <v>159</v>
      </c>
      <c r="F285" s="3">
        <v>50</v>
      </c>
      <c r="G285" s="3" t="s">
        <v>997</v>
      </c>
      <c r="H285" s="3"/>
      <c r="I285" s="3" t="s">
        <v>998</v>
      </c>
      <c r="J285" s="3">
        <v>7</v>
      </c>
      <c r="K285" s="3">
        <v>7</v>
      </c>
      <c r="L285" s="3">
        <v>0</v>
      </c>
      <c r="M285" s="3">
        <v>0</v>
      </c>
      <c r="N285" s="3">
        <v>7</v>
      </c>
      <c r="O285" s="3">
        <v>0.03</v>
      </c>
      <c r="P285" s="3">
        <v>0</v>
      </c>
      <c r="Q285" s="3">
        <v>0</v>
      </c>
      <c r="R285" s="3">
        <v>0</v>
      </c>
    </row>
    <row r="286" spans="1:18">
      <c r="A286" s="3" t="s">
        <v>462</v>
      </c>
      <c r="B286" s="3" t="s">
        <v>463</v>
      </c>
      <c r="C286" s="3" t="s">
        <v>463</v>
      </c>
      <c r="D286" s="3" t="s">
        <v>26</v>
      </c>
      <c r="E286" s="3" t="s">
        <v>159</v>
      </c>
      <c r="F286" s="3">
        <v>50</v>
      </c>
      <c r="G286" s="3" t="s">
        <v>997</v>
      </c>
      <c r="H286" s="3"/>
      <c r="I286" s="3" t="s">
        <v>998</v>
      </c>
      <c r="J286" s="3">
        <v>7</v>
      </c>
      <c r="K286" s="3">
        <v>7</v>
      </c>
      <c r="L286" s="3">
        <v>0</v>
      </c>
      <c r="M286" s="3">
        <v>0</v>
      </c>
      <c r="N286" s="3">
        <v>7</v>
      </c>
      <c r="O286" s="3">
        <v>0.03</v>
      </c>
      <c r="P286" s="3">
        <v>0</v>
      </c>
      <c r="Q286" s="3">
        <v>0</v>
      </c>
      <c r="R286" s="3">
        <v>0</v>
      </c>
    </row>
    <row r="287" spans="1:18">
      <c r="A287" s="3" t="s">
        <v>914</v>
      </c>
      <c r="B287" s="3" t="s">
        <v>915</v>
      </c>
      <c r="C287" s="3" t="s">
        <v>915</v>
      </c>
      <c r="D287" s="3" t="s">
        <v>26</v>
      </c>
      <c r="E287" s="3" t="s">
        <v>159</v>
      </c>
      <c r="F287" s="3">
        <v>50</v>
      </c>
      <c r="G287" s="3" t="s">
        <v>997</v>
      </c>
      <c r="H287" s="3"/>
      <c r="I287" s="3" t="s">
        <v>998</v>
      </c>
      <c r="J287" s="3">
        <v>7</v>
      </c>
      <c r="K287" s="3">
        <v>7</v>
      </c>
      <c r="L287" s="3">
        <v>0</v>
      </c>
      <c r="M287" s="3">
        <v>0</v>
      </c>
      <c r="N287" s="3">
        <v>7</v>
      </c>
      <c r="O287" s="3">
        <v>0.01</v>
      </c>
      <c r="P287" s="3">
        <v>0</v>
      </c>
      <c r="Q287" s="3">
        <v>0</v>
      </c>
      <c r="R287" s="3">
        <v>0</v>
      </c>
    </row>
    <row r="288" spans="1:18">
      <c r="A288" s="3" t="s">
        <v>635</v>
      </c>
      <c r="B288" s="3" t="s">
        <v>636</v>
      </c>
      <c r="C288" s="3" t="s">
        <v>636</v>
      </c>
      <c r="D288" s="3" t="s">
        <v>26</v>
      </c>
      <c r="E288" s="3" t="s">
        <v>159</v>
      </c>
      <c r="F288" s="3">
        <v>50</v>
      </c>
      <c r="G288" s="3" t="s">
        <v>997</v>
      </c>
      <c r="H288" s="3"/>
      <c r="I288" s="3" t="s">
        <v>998</v>
      </c>
      <c r="J288" s="3">
        <v>6</v>
      </c>
      <c r="K288" s="3">
        <v>6</v>
      </c>
      <c r="L288" s="3">
        <v>0</v>
      </c>
      <c r="M288" s="3">
        <v>0</v>
      </c>
      <c r="N288" s="3">
        <v>6</v>
      </c>
      <c r="O288" s="3">
        <v>0.01</v>
      </c>
      <c r="P288" s="3">
        <v>0</v>
      </c>
      <c r="Q288" s="3">
        <v>0</v>
      </c>
      <c r="R288" s="3">
        <v>0</v>
      </c>
    </row>
    <row r="289" spans="1:18">
      <c r="A289" s="3" t="s">
        <v>736</v>
      </c>
      <c r="B289" s="3" t="s">
        <v>737</v>
      </c>
      <c r="C289" s="3" t="s">
        <v>737</v>
      </c>
      <c r="D289" s="3" t="s">
        <v>26</v>
      </c>
      <c r="E289" s="3" t="s">
        <v>159</v>
      </c>
      <c r="F289" s="3">
        <v>50</v>
      </c>
      <c r="G289" s="3" t="s">
        <v>997</v>
      </c>
      <c r="H289" s="3"/>
      <c r="I289" s="3" t="s">
        <v>998</v>
      </c>
      <c r="J289" s="3">
        <v>7</v>
      </c>
      <c r="K289" s="3">
        <v>7</v>
      </c>
      <c r="L289" s="3">
        <v>0</v>
      </c>
      <c r="M289" s="3">
        <v>0</v>
      </c>
      <c r="N289" s="3">
        <v>7</v>
      </c>
      <c r="O289" s="3">
        <v>0.01</v>
      </c>
      <c r="P289" s="3">
        <v>0</v>
      </c>
      <c r="Q289" s="3">
        <v>0</v>
      </c>
      <c r="R289" s="3">
        <v>0</v>
      </c>
    </row>
    <row r="290" spans="1:18">
      <c r="A290" s="3" t="s">
        <v>845</v>
      </c>
      <c r="B290" s="3" t="s">
        <v>846</v>
      </c>
      <c r="C290" s="3" t="s">
        <v>846</v>
      </c>
      <c r="D290" s="3" t="s">
        <v>26</v>
      </c>
      <c r="E290" s="3" t="s">
        <v>159</v>
      </c>
      <c r="F290" s="3">
        <v>50</v>
      </c>
      <c r="G290" s="3" t="s">
        <v>997</v>
      </c>
      <c r="H290" s="3"/>
      <c r="I290" s="3" t="s">
        <v>998</v>
      </c>
      <c r="J290" s="3">
        <v>7</v>
      </c>
      <c r="K290" s="3">
        <v>7</v>
      </c>
      <c r="L290" s="3">
        <v>0</v>
      </c>
      <c r="M290" s="3">
        <v>0</v>
      </c>
      <c r="N290" s="3">
        <v>7</v>
      </c>
      <c r="O290" s="3">
        <v>0.01</v>
      </c>
      <c r="P290" s="3">
        <v>0</v>
      </c>
      <c r="Q290" s="3">
        <v>0</v>
      </c>
      <c r="R290" s="3">
        <v>0</v>
      </c>
    </row>
    <row r="291" spans="1:18">
      <c r="A291" s="3" t="s">
        <v>1554</v>
      </c>
      <c r="B291" s="3" t="s">
        <v>1555</v>
      </c>
      <c r="C291" s="3" t="s">
        <v>1555</v>
      </c>
      <c r="D291" s="3" t="s">
        <v>31</v>
      </c>
      <c r="E291" s="3" t="s">
        <v>159</v>
      </c>
      <c r="F291" s="3">
        <v>66</v>
      </c>
      <c r="G291" s="3" t="s">
        <v>997</v>
      </c>
      <c r="H291" s="3"/>
      <c r="I291" s="3" t="s">
        <v>998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0.07</v>
      </c>
      <c r="P291" s="3">
        <v>0</v>
      </c>
      <c r="Q291" s="3">
        <v>0</v>
      </c>
      <c r="R291" s="3">
        <v>0</v>
      </c>
    </row>
    <row r="292" spans="1:18">
      <c r="A292" s="3" t="s">
        <v>318</v>
      </c>
      <c r="B292" s="3" t="s">
        <v>319</v>
      </c>
      <c r="C292" s="3" t="s">
        <v>319</v>
      </c>
      <c r="D292" s="3" t="s">
        <v>320</v>
      </c>
      <c r="E292" s="3" t="s">
        <v>159</v>
      </c>
      <c r="F292" s="3">
        <v>66</v>
      </c>
      <c r="G292" s="3" t="s">
        <v>997</v>
      </c>
      <c r="H292" s="3"/>
      <c r="I292" s="3" t="s">
        <v>998</v>
      </c>
      <c r="J292" s="3">
        <v>4</v>
      </c>
      <c r="K292" s="3">
        <v>4</v>
      </c>
      <c r="L292" s="3">
        <v>0</v>
      </c>
      <c r="M292" s="3">
        <v>0</v>
      </c>
      <c r="N292" s="3">
        <v>4</v>
      </c>
      <c r="O292" s="3">
        <v>0.07</v>
      </c>
      <c r="P292" s="3">
        <v>0</v>
      </c>
      <c r="Q292" s="3">
        <v>0</v>
      </c>
      <c r="R292" s="3">
        <v>0</v>
      </c>
    </row>
    <row r="293" spans="1:18">
      <c r="A293" s="3" t="s">
        <v>981</v>
      </c>
      <c r="B293" s="3" t="s">
        <v>982</v>
      </c>
      <c r="C293" s="3" t="s">
        <v>982</v>
      </c>
      <c r="D293" s="3" t="s">
        <v>320</v>
      </c>
      <c r="E293" s="3" t="s">
        <v>159</v>
      </c>
      <c r="F293" s="3">
        <v>66</v>
      </c>
      <c r="G293" s="3" t="s">
        <v>997</v>
      </c>
      <c r="H293" s="3"/>
      <c r="I293" s="3" t="s">
        <v>998</v>
      </c>
      <c r="J293" s="3">
        <v>2</v>
      </c>
      <c r="K293" s="3">
        <v>2</v>
      </c>
      <c r="L293" s="3">
        <v>0</v>
      </c>
      <c r="M293" s="3">
        <v>0</v>
      </c>
      <c r="N293" s="3">
        <v>2</v>
      </c>
      <c r="O293" s="3">
        <v>0.07</v>
      </c>
      <c r="P293" s="3">
        <v>0</v>
      </c>
      <c r="Q293" s="3">
        <v>0</v>
      </c>
      <c r="R293" s="3">
        <v>0</v>
      </c>
    </row>
    <row r="294" spans="1:18">
      <c r="A294" s="3" t="s">
        <v>1556</v>
      </c>
      <c r="B294" s="3" t="s">
        <v>1557</v>
      </c>
      <c r="C294" s="3" t="s">
        <v>1557</v>
      </c>
      <c r="D294" s="3" t="s">
        <v>31</v>
      </c>
      <c r="E294" s="3" t="s">
        <v>159</v>
      </c>
      <c r="F294" s="3">
        <v>66</v>
      </c>
      <c r="G294" s="3" t="s">
        <v>997</v>
      </c>
      <c r="H294" s="3"/>
      <c r="I294" s="3" t="s">
        <v>998</v>
      </c>
      <c r="J294" s="3">
        <v>0</v>
      </c>
      <c r="K294" s="3">
        <v>0</v>
      </c>
      <c r="L294" s="3">
        <v>0</v>
      </c>
      <c r="M294" s="3">
        <v>0</v>
      </c>
      <c r="N294" s="3">
        <v>0</v>
      </c>
      <c r="O294" s="3">
        <v>0.07</v>
      </c>
      <c r="P294" s="3">
        <v>0</v>
      </c>
      <c r="Q294" s="3">
        <v>0</v>
      </c>
      <c r="R294" s="3">
        <v>0</v>
      </c>
    </row>
    <row r="295" spans="1:18">
      <c r="A295" s="3" t="s">
        <v>29</v>
      </c>
      <c r="B295" s="3" t="s">
        <v>30</v>
      </c>
      <c r="C295" s="3" t="s">
        <v>30</v>
      </c>
      <c r="D295" s="3" t="s">
        <v>31</v>
      </c>
      <c r="E295" s="3" t="s">
        <v>159</v>
      </c>
      <c r="F295" s="3">
        <v>66</v>
      </c>
      <c r="G295" s="3" t="s">
        <v>997</v>
      </c>
      <c r="H295" s="3"/>
      <c r="I295" s="3" t="s">
        <v>998</v>
      </c>
      <c r="J295" s="3">
        <v>5</v>
      </c>
      <c r="K295" s="3">
        <v>4</v>
      </c>
      <c r="L295" s="3">
        <v>0</v>
      </c>
      <c r="M295" s="3">
        <v>1</v>
      </c>
      <c r="N295" s="3">
        <v>5</v>
      </c>
      <c r="O295" s="3">
        <v>0.07</v>
      </c>
      <c r="P295" s="3">
        <v>0</v>
      </c>
      <c r="Q295" s="3">
        <v>0</v>
      </c>
      <c r="R295" s="3">
        <v>0</v>
      </c>
    </row>
    <row r="296" spans="1:18">
      <c r="A296" s="3" t="s">
        <v>485</v>
      </c>
      <c r="B296" s="3" t="s">
        <v>486</v>
      </c>
      <c r="C296" s="3" t="s">
        <v>486</v>
      </c>
      <c r="D296" s="3" t="s">
        <v>31</v>
      </c>
      <c r="E296" s="3" t="s">
        <v>159</v>
      </c>
      <c r="F296" s="3">
        <v>66</v>
      </c>
      <c r="G296" s="3" t="s">
        <v>997</v>
      </c>
      <c r="H296" s="3"/>
      <c r="I296" s="3" t="s">
        <v>998</v>
      </c>
      <c r="J296" s="3">
        <v>4</v>
      </c>
      <c r="K296" s="3">
        <v>4</v>
      </c>
      <c r="L296" s="3">
        <v>0</v>
      </c>
      <c r="M296" s="3">
        <v>0</v>
      </c>
      <c r="N296" s="3">
        <v>4</v>
      </c>
      <c r="O296" s="3">
        <v>0.07</v>
      </c>
      <c r="P296" s="3">
        <v>0</v>
      </c>
      <c r="Q296" s="3">
        <v>0</v>
      </c>
      <c r="R296" s="3">
        <v>0</v>
      </c>
    </row>
    <row r="297" spans="1:18">
      <c r="A297" s="3" t="s">
        <v>296</v>
      </c>
      <c r="B297" s="3" t="s">
        <v>297</v>
      </c>
      <c r="C297" s="3" t="s">
        <v>297</v>
      </c>
      <c r="D297" s="3" t="s">
        <v>31</v>
      </c>
      <c r="E297" s="3" t="s">
        <v>159</v>
      </c>
      <c r="F297" s="3">
        <v>66</v>
      </c>
      <c r="G297" s="3" t="s">
        <v>997</v>
      </c>
      <c r="H297" s="3"/>
      <c r="I297" s="3" t="s">
        <v>998</v>
      </c>
      <c r="J297" s="3">
        <v>5</v>
      </c>
      <c r="K297" s="3">
        <v>5</v>
      </c>
      <c r="L297" s="3">
        <v>0</v>
      </c>
      <c r="M297" s="3">
        <v>0</v>
      </c>
      <c r="N297" s="3">
        <v>5</v>
      </c>
      <c r="O297" s="3">
        <v>0.07</v>
      </c>
      <c r="P297" s="3">
        <v>0</v>
      </c>
      <c r="Q297" s="3">
        <v>0</v>
      </c>
      <c r="R297" s="3">
        <v>0</v>
      </c>
    </row>
    <row r="298" spans="1:18">
      <c r="A298" s="3" t="s">
        <v>753</v>
      </c>
      <c r="B298" s="3" t="s">
        <v>754</v>
      </c>
      <c r="C298" s="3" t="s">
        <v>754</v>
      </c>
      <c r="D298" s="3" t="s">
        <v>31</v>
      </c>
      <c r="E298" s="3" t="s">
        <v>159</v>
      </c>
      <c r="F298" s="3">
        <v>66</v>
      </c>
      <c r="G298" s="3" t="s">
        <v>997</v>
      </c>
      <c r="H298" s="3"/>
      <c r="I298" s="3" t="s">
        <v>998</v>
      </c>
      <c r="J298" s="3">
        <v>6</v>
      </c>
      <c r="K298" s="3">
        <v>6</v>
      </c>
      <c r="L298" s="3">
        <v>0</v>
      </c>
      <c r="M298" s="3">
        <v>0</v>
      </c>
      <c r="N298" s="3">
        <v>6</v>
      </c>
      <c r="O298" s="3">
        <v>0.07</v>
      </c>
      <c r="P298" s="3">
        <v>0</v>
      </c>
      <c r="Q298" s="3">
        <v>0</v>
      </c>
      <c r="R298" s="3">
        <v>0</v>
      </c>
    </row>
    <row r="299" spans="1:18">
      <c r="A299" s="3" t="s">
        <v>787</v>
      </c>
      <c r="B299" s="3" t="s">
        <v>788</v>
      </c>
      <c r="C299" s="3" t="s">
        <v>788</v>
      </c>
      <c r="D299" s="3" t="s">
        <v>31</v>
      </c>
      <c r="E299" s="3" t="s">
        <v>159</v>
      </c>
      <c r="F299" s="3">
        <v>66</v>
      </c>
      <c r="G299" s="3" t="s">
        <v>997</v>
      </c>
      <c r="H299" s="3"/>
      <c r="I299" s="3" t="s">
        <v>998</v>
      </c>
      <c r="J299" s="3">
        <v>7</v>
      </c>
      <c r="K299" s="3">
        <v>7</v>
      </c>
      <c r="L299" s="3">
        <v>0</v>
      </c>
      <c r="M299" s="3">
        <v>0</v>
      </c>
      <c r="N299" s="3">
        <v>7</v>
      </c>
      <c r="O299" s="3">
        <v>0.07</v>
      </c>
      <c r="P299" s="3">
        <v>0</v>
      </c>
      <c r="Q299" s="3">
        <v>0</v>
      </c>
      <c r="R299" s="3">
        <v>0</v>
      </c>
    </row>
    <row r="300" spans="1:18">
      <c r="A300" s="3" t="s">
        <v>410</v>
      </c>
      <c r="B300" s="3" t="s">
        <v>411</v>
      </c>
      <c r="C300" s="3" t="s">
        <v>411</v>
      </c>
      <c r="D300" s="3" t="s">
        <v>31</v>
      </c>
      <c r="E300" s="3" t="s">
        <v>159</v>
      </c>
      <c r="F300" s="3">
        <v>66</v>
      </c>
      <c r="G300" s="3" t="s">
        <v>997</v>
      </c>
      <c r="H300" s="3"/>
      <c r="I300" s="3" t="s">
        <v>998</v>
      </c>
      <c r="J300" s="3">
        <v>5</v>
      </c>
      <c r="K300" s="3">
        <v>5</v>
      </c>
      <c r="L300" s="3">
        <v>0</v>
      </c>
      <c r="M300" s="3">
        <v>0</v>
      </c>
      <c r="N300" s="3">
        <v>5</v>
      </c>
      <c r="O300" s="3">
        <v>0.07</v>
      </c>
      <c r="P300" s="3">
        <v>0</v>
      </c>
      <c r="Q300" s="3">
        <v>0</v>
      </c>
      <c r="R300" s="3">
        <v>0</v>
      </c>
    </row>
    <row r="301" spans="1:18">
      <c r="A301" s="3" t="s">
        <v>446</v>
      </c>
      <c r="B301" s="3" t="s">
        <v>447</v>
      </c>
      <c r="C301" s="3" t="s">
        <v>447</v>
      </c>
      <c r="D301" s="3" t="s">
        <v>31</v>
      </c>
      <c r="E301" s="3" t="s">
        <v>159</v>
      </c>
      <c r="F301" s="3">
        <v>66</v>
      </c>
      <c r="G301" s="3" t="s">
        <v>997</v>
      </c>
      <c r="H301" s="3"/>
      <c r="I301" s="3" t="s">
        <v>998</v>
      </c>
      <c r="J301" s="3">
        <v>4</v>
      </c>
      <c r="K301" s="3">
        <v>4</v>
      </c>
      <c r="L301" s="3">
        <v>0</v>
      </c>
      <c r="M301" s="3">
        <v>0</v>
      </c>
      <c r="N301" s="3">
        <v>4</v>
      </c>
      <c r="O301" s="3">
        <v>0.07</v>
      </c>
      <c r="P301" s="3">
        <v>0</v>
      </c>
      <c r="Q301" s="3">
        <v>0</v>
      </c>
      <c r="R301" s="3">
        <v>0</v>
      </c>
    </row>
    <row r="302" spans="1:18">
      <c r="A302" s="3" t="s">
        <v>731</v>
      </c>
      <c r="B302" s="3" t="s">
        <v>732</v>
      </c>
      <c r="C302" s="3" t="s">
        <v>732</v>
      </c>
      <c r="D302" s="3" t="s">
        <v>320</v>
      </c>
      <c r="E302" s="3" t="s">
        <v>159</v>
      </c>
      <c r="F302" s="3">
        <v>66</v>
      </c>
      <c r="G302" s="3" t="s">
        <v>997</v>
      </c>
      <c r="H302" s="3"/>
      <c r="I302" s="3" t="s">
        <v>998</v>
      </c>
      <c r="J302" s="3">
        <v>3</v>
      </c>
      <c r="K302" s="3">
        <v>3</v>
      </c>
      <c r="L302" s="3">
        <v>0</v>
      </c>
      <c r="M302" s="3">
        <v>0</v>
      </c>
      <c r="N302" s="3">
        <v>3</v>
      </c>
      <c r="O302" s="3">
        <v>0.07</v>
      </c>
      <c r="P302" s="3">
        <v>0</v>
      </c>
      <c r="Q302" s="3">
        <v>0</v>
      </c>
      <c r="R302" s="3">
        <v>0</v>
      </c>
    </row>
    <row r="303" spans="1:18">
      <c r="A303" s="3" t="s">
        <v>336</v>
      </c>
      <c r="B303" s="3" t="s">
        <v>337</v>
      </c>
      <c r="C303" s="3" t="s">
        <v>337</v>
      </c>
      <c r="D303" s="3" t="s">
        <v>31</v>
      </c>
      <c r="E303" s="3" t="s">
        <v>159</v>
      </c>
      <c r="F303" s="3">
        <v>66</v>
      </c>
      <c r="G303" s="3" t="s">
        <v>997</v>
      </c>
      <c r="H303" s="3"/>
      <c r="I303" s="3" t="s">
        <v>998</v>
      </c>
      <c r="J303" s="3">
        <v>7</v>
      </c>
      <c r="K303" s="3">
        <v>7</v>
      </c>
      <c r="L303" s="3">
        <v>0</v>
      </c>
      <c r="M303" s="3">
        <v>0</v>
      </c>
      <c r="N303" s="3">
        <v>7</v>
      </c>
      <c r="O303" s="3">
        <v>0.07</v>
      </c>
      <c r="P303" s="3">
        <v>0</v>
      </c>
      <c r="Q303" s="3">
        <v>0</v>
      </c>
      <c r="R303" s="3">
        <v>0</v>
      </c>
    </row>
    <row r="304" spans="1:18">
      <c r="A304" s="3" t="s">
        <v>940</v>
      </c>
      <c r="B304" s="3" t="s">
        <v>941</v>
      </c>
      <c r="C304" s="3" t="s">
        <v>941</v>
      </c>
      <c r="D304" s="3" t="s">
        <v>31</v>
      </c>
      <c r="E304" s="3" t="s">
        <v>159</v>
      </c>
      <c r="F304" s="3">
        <v>66</v>
      </c>
      <c r="G304" s="3" t="s">
        <v>997</v>
      </c>
      <c r="H304" s="3"/>
      <c r="I304" s="3" t="s">
        <v>998</v>
      </c>
      <c r="J304" s="3">
        <v>1</v>
      </c>
      <c r="K304" s="3">
        <v>1</v>
      </c>
      <c r="L304" s="3">
        <v>0</v>
      </c>
      <c r="M304" s="3">
        <v>0</v>
      </c>
      <c r="N304" s="3">
        <v>1</v>
      </c>
      <c r="O304" s="3">
        <v>0.07</v>
      </c>
      <c r="P304" s="3">
        <v>0</v>
      </c>
      <c r="Q304" s="3">
        <v>0</v>
      </c>
      <c r="R304" s="3">
        <v>0</v>
      </c>
    </row>
    <row r="305" spans="1:18">
      <c r="A305" s="3" t="s">
        <v>542</v>
      </c>
      <c r="B305" s="3" t="s">
        <v>543</v>
      </c>
      <c r="C305" s="3" t="s">
        <v>543</v>
      </c>
      <c r="D305" s="3" t="s">
        <v>31</v>
      </c>
      <c r="E305" s="3" t="s">
        <v>159</v>
      </c>
      <c r="F305" s="3">
        <v>66</v>
      </c>
      <c r="G305" s="3" t="s">
        <v>997</v>
      </c>
      <c r="H305" s="3"/>
      <c r="I305" s="3" t="s">
        <v>998</v>
      </c>
      <c r="J305" s="3">
        <v>4</v>
      </c>
      <c r="K305" s="3">
        <v>4</v>
      </c>
      <c r="L305" s="3">
        <v>0</v>
      </c>
      <c r="M305" s="3">
        <v>0</v>
      </c>
      <c r="N305" s="3">
        <v>4</v>
      </c>
      <c r="O305" s="3">
        <v>0.07</v>
      </c>
      <c r="P305" s="3">
        <v>0</v>
      </c>
      <c r="Q305" s="3">
        <v>0</v>
      </c>
      <c r="R305" s="3">
        <v>0</v>
      </c>
    </row>
    <row r="306" spans="1:18">
      <c r="A306" s="3" t="s">
        <v>476</v>
      </c>
      <c r="B306" s="3" t="s">
        <v>477</v>
      </c>
      <c r="C306" s="3" t="s">
        <v>477</v>
      </c>
      <c r="D306" s="3" t="s">
        <v>31</v>
      </c>
      <c r="E306" s="3" t="s">
        <v>159</v>
      </c>
      <c r="F306" s="3">
        <v>66</v>
      </c>
      <c r="G306" s="3" t="s">
        <v>997</v>
      </c>
      <c r="H306" s="3"/>
      <c r="I306" s="3" t="s">
        <v>998</v>
      </c>
      <c r="J306" s="3">
        <v>1</v>
      </c>
      <c r="K306" s="3">
        <v>1</v>
      </c>
      <c r="L306" s="3">
        <v>0</v>
      </c>
      <c r="M306" s="3">
        <v>0</v>
      </c>
      <c r="N306" s="3">
        <v>1</v>
      </c>
      <c r="O306" s="3">
        <v>0.07</v>
      </c>
      <c r="P306" s="3">
        <v>0</v>
      </c>
      <c r="Q306" s="3">
        <v>0</v>
      </c>
      <c r="R306" s="3">
        <v>0</v>
      </c>
    </row>
    <row r="307" spans="1:18">
      <c r="A307" s="3" t="s">
        <v>1558</v>
      </c>
      <c r="B307" s="3" t="s">
        <v>1559</v>
      </c>
      <c r="C307" s="3" t="s">
        <v>1559</v>
      </c>
      <c r="D307" s="3" t="s">
        <v>31</v>
      </c>
      <c r="E307" s="3" t="s">
        <v>159</v>
      </c>
      <c r="F307" s="3">
        <v>66</v>
      </c>
      <c r="G307" s="3" t="s">
        <v>997</v>
      </c>
      <c r="H307" s="3"/>
      <c r="I307" s="3" t="s">
        <v>998</v>
      </c>
      <c r="J307" s="3">
        <v>0</v>
      </c>
      <c r="K307" s="3">
        <v>0</v>
      </c>
      <c r="L307" s="3">
        <v>0</v>
      </c>
      <c r="M307" s="3">
        <v>0</v>
      </c>
      <c r="N307" s="3">
        <v>0</v>
      </c>
      <c r="O307" s="3">
        <v>0.07</v>
      </c>
      <c r="P307" s="3">
        <v>0</v>
      </c>
      <c r="Q307" s="3">
        <v>0</v>
      </c>
      <c r="R307" s="3">
        <v>0</v>
      </c>
    </row>
    <row r="308" spans="1:18">
      <c r="A308" s="3" t="s">
        <v>983</v>
      </c>
      <c r="B308" s="3" t="s">
        <v>984</v>
      </c>
      <c r="C308" s="3" t="s">
        <v>984</v>
      </c>
      <c r="D308" s="3" t="s">
        <v>913</v>
      </c>
      <c r="E308" s="3" t="s">
        <v>159</v>
      </c>
      <c r="F308" s="3">
        <v>42</v>
      </c>
      <c r="G308" s="3" t="s">
        <v>997</v>
      </c>
      <c r="H308" s="3"/>
      <c r="I308" s="3" t="s">
        <v>998</v>
      </c>
      <c r="J308" s="3">
        <v>2</v>
      </c>
      <c r="K308" s="3">
        <v>2</v>
      </c>
      <c r="L308" s="3">
        <v>0</v>
      </c>
      <c r="M308" s="3">
        <v>0</v>
      </c>
      <c r="N308" s="3">
        <v>2</v>
      </c>
      <c r="O308" s="3">
        <v>0.01</v>
      </c>
      <c r="P308" s="3">
        <v>0</v>
      </c>
      <c r="Q308" s="3">
        <v>0</v>
      </c>
      <c r="R308" s="3">
        <v>0</v>
      </c>
    </row>
    <row r="309" spans="1:18">
      <c r="A309" s="3" t="s">
        <v>200</v>
      </c>
      <c r="B309" s="3" t="s">
        <v>201</v>
      </c>
      <c r="C309" s="3" t="s">
        <v>201</v>
      </c>
      <c r="D309" s="3" t="s">
        <v>202</v>
      </c>
      <c r="E309" s="3" t="s">
        <v>159</v>
      </c>
      <c r="F309" s="3">
        <v>42</v>
      </c>
      <c r="G309" s="3" t="s">
        <v>997</v>
      </c>
      <c r="H309" s="3"/>
      <c r="I309" s="3" t="s">
        <v>998</v>
      </c>
      <c r="J309" s="3">
        <v>5</v>
      </c>
      <c r="K309" s="3">
        <v>5</v>
      </c>
      <c r="L309" s="3">
        <v>0</v>
      </c>
      <c r="M309" s="3">
        <v>0</v>
      </c>
      <c r="N309" s="3">
        <v>5</v>
      </c>
      <c r="O309" s="3">
        <v>0.01</v>
      </c>
      <c r="P309" s="3">
        <v>0</v>
      </c>
      <c r="Q309" s="3">
        <v>0</v>
      </c>
      <c r="R309" s="3">
        <v>0</v>
      </c>
    </row>
    <row r="310" spans="1:18">
      <c r="A310" s="3" t="s">
        <v>488</v>
      </c>
      <c r="B310" s="3" t="s">
        <v>489</v>
      </c>
      <c r="C310" s="3" t="s">
        <v>489</v>
      </c>
      <c r="D310" s="3" t="s">
        <v>202</v>
      </c>
      <c r="E310" s="3" t="s">
        <v>159</v>
      </c>
      <c r="F310" s="3">
        <v>42</v>
      </c>
      <c r="G310" s="3" t="s">
        <v>997</v>
      </c>
      <c r="H310" s="3"/>
      <c r="I310" s="3" t="s">
        <v>998</v>
      </c>
      <c r="J310" s="3">
        <v>4</v>
      </c>
      <c r="K310" s="3">
        <v>4</v>
      </c>
      <c r="L310" s="3">
        <v>0</v>
      </c>
      <c r="M310" s="3">
        <v>0</v>
      </c>
      <c r="N310" s="3">
        <v>4</v>
      </c>
      <c r="O310" s="3">
        <v>0.01</v>
      </c>
      <c r="P310" s="3">
        <v>0</v>
      </c>
      <c r="Q310" s="3">
        <v>0</v>
      </c>
      <c r="R310" s="3">
        <v>0</v>
      </c>
    </row>
    <row r="311" spans="1:18">
      <c r="A311" s="3" t="s">
        <v>511</v>
      </c>
      <c r="B311" s="3" t="s">
        <v>512</v>
      </c>
      <c r="C311" s="3" t="s">
        <v>512</v>
      </c>
      <c r="D311" s="3" t="s">
        <v>202</v>
      </c>
      <c r="E311" s="3" t="s">
        <v>159</v>
      </c>
      <c r="F311" s="3">
        <v>42</v>
      </c>
      <c r="G311" s="3" t="s">
        <v>997</v>
      </c>
      <c r="H311" s="3"/>
      <c r="I311" s="3" t="s">
        <v>998</v>
      </c>
      <c r="J311" s="3">
        <v>5</v>
      </c>
      <c r="K311" s="3">
        <v>5</v>
      </c>
      <c r="L311" s="3">
        <v>0</v>
      </c>
      <c r="M311" s="3">
        <v>0</v>
      </c>
      <c r="N311" s="3">
        <v>5</v>
      </c>
      <c r="O311" s="3">
        <v>0.01</v>
      </c>
      <c r="P311" s="3">
        <v>0</v>
      </c>
      <c r="Q311" s="3">
        <v>0</v>
      </c>
      <c r="R311" s="3">
        <v>0</v>
      </c>
    </row>
    <row r="312" spans="1:18">
      <c r="A312" s="3" t="s">
        <v>1560</v>
      </c>
      <c r="B312" s="3" t="s">
        <v>1561</v>
      </c>
      <c r="C312" s="3" t="s">
        <v>1561</v>
      </c>
      <c r="D312" s="3" t="s">
        <v>202</v>
      </c>
      <c r="E312" s="3" t="s">
        <v>159</v>
      </c>
      <c r="F312" s="3">
        <v>42</v>
      </c>
      <c r="G312" s="3" t="s">
        <v>997</v>
      </c>
      <c r="H312" s="3"/>
      <c r="I312" s="3" t="s">
        <v>998</v>
      </c>
      <c r="J312" s="3">
        <v>0</v>
      </c>
      <c r="K312" s="3">
        <v>0</v>
      </c>
      <c r="L312" s="3">
        <v>0</v>
      </c>
      <c r="M312" s="3">
        <v>0</v>
      </c>
      <c r="N312" s="3">
        <v>0</v>
      </c>
      <c r="O312" s="3">
        <v>0.01</v>
      </c>
      <c r="P312" s="3">
        <v>0</v>
      </c>
      <c r="Q312" s="3">
        <v>0</v>
      </c>
      <c r="R312" s="3">
        <v>0</v>
      </c>
    </row>
    <row r="313" spans="1:18">
      <c r="A313" s="3" t="s">
        <v>911</v>
      </c>
      <c r="B313" s="3" t="s">
        <v>912</v>
      </c>
      <c r="C313" s="3" t="s">
        <v>912</v>
      </c>
      <c r="D313" s="3" t="s">
        <v>913</v>
      </c>
      <c r="E313" s="3" t="s">
        <v>159</v>
      </c>
      <c r="F313" s="3">
        <v>42</v>
      </c>
      <c r="G313" s="3" t="s">
        <v>997</v>
      </c>
      <c r="H313" s="3"/>
      <c r="I313" s="3" t="s">
        <v>998</v>
      </c>
      <c r="J313" s="3">
        <v>1</v>
      </c>
      <c r="K313" s="3">
        <v>1</v>
      </c>
      <c r="L313" s="3">
        <v>0</v>
      </c>
      <c r="M313" s="3">
        <v>0</v>
      </c>
      <c r="N313" s="3">
        <v>1</v>
      </c>
      <c r="O313" s="3">
        <v>0.01</v>
      </c>
      <c r="P313" s="3">
        <v>0</v>
      </c>
      <c r="Q313" s="3">
        <v>0</v>
      </c>
      <c r="R313" s="3">
        <v>0</v>
      </c>
    </row>
    <row r="314" spans="1:18">
      <c r="A314" s="3" t="s">
        <v>470</v>
      </c>
      <c r="B314" s="3" t="s">
        <v>471</v>
      </c>
      <c r="C314" s="3" t="s">
        <v>471</v>
      </c>
      <c r="D314" s="3" t="s">
        <v>202</v>
      </c>
      <c r="E314" s="3" t="s">
        <v>159</v>
      </c>
      <c r="F314" s="3">
        <v>42</v>
      </c>
      <c r="G314" s="3" t="s">
        <v>997</v>
      </c>
      <c r="H314" s="3"/>
      <c r="I314" s="3" t="s">
        <v>998</v>
      </c>
      <c r="J314" s="3">
        <v>2</v>
      </c>
      <c r="K314" s="3">
        <v>2</v>
      </c>
      <c r="L314" s="3">
        <v>0</v>
      </c>
      <c r="M314" s="3">
        <v>0</v>
      </c>
      <c r="N314" s="3">
        <v>2</v>
      </c>
      <c r="O314" s="3">
        <v>0.01</v>
      </c>
      <c r="P314" s="3">
        <v>0</v>
      </c>
      <c r="Q314" s="3">
        <v>0</v>
      </c>
      <c r="R314" s="3">
        <v>0</v>
      </c>
    </row>
    <row r="315" spans="1:18">
      <c r="A315" s="3" t="s">
        <v>236</v>
      </c>
      <c r="B315" s="3" t="s">
        <v>237</v>
      </c>
      <c r="C315" s="3" t="s">
        <v>237</v>
      </c>
      <c r="D315" s="3" t="s">
        <v>202</v>
      </c>
      <c r="E315" s="3" t="s">
        <v>159</v>
      </c>
      <c r="F315" s="3">
        <v>42</v>
      </c>
      <c r="G315" s="3" t="s">
        <v>997</v>
      </c>
      <c r="H315" s="3"/>
      <c r="I315" s="3" t="s">
        <v>998</v>
      </c>
      <c r="J315" s="3">
        <v>1</v>
      </c>
      <c r="K315" s="3">
        <v>1</v>
      </c>
      <c r="L315" s="3">
        <v>0</v>
      </c>
      <c r="M315" s="3">
        <v>0</v>
      </c>
      <c r="N315" s="3">
        <v>1</v>
      </c>
      <c r="O315" s="3">
        <v>0.01</v>
      </c>
      <c r="P315" s="3">
        <v>0</v>
      </c>
      <c r="Q315" s="3">
        <v>0</v>
      </c>
      <c r="R315" s="3">
        <v>0</v>
      </c>
    </row>
    <row r="316" spans="1:18">
      <c r="A316" s="3" t="s">
        <v>1562</v>
      </c>
      <c r="B316" s="3" t="s">
        <v>1563</v>
      </c>
      <c r="C316" s="3" t="s">
        <v>1563</v>
      </c>
      <c r="D316" s="3"/>
      <c r="E316" s="3" t="s">
        <v>1497</v>
      </c>
      <c r="F316" s="3"/>
      <c r="G316" s="3"/>
      <c r="H316" s="3"/>
      <c r="I316" s="3"/>
      <c r="J316" s="3">
        <v>0</v>
      </c>
      <c r="K316" s="3">
        <v>0</v>
      </c>
      <c r="L316" s="3">
        <v>0</v>
      </c>
      <c r="M316" s="3">
        <v>0</v>
      </c>
      <c r="N316" s="3">
        <v>0</v>
      </c>
      <c r="O316" s="3"/>
      <c r="P316" s="3">
        <v>0</v>
      </c>
      <c r="Q316" s="3">
        <v>0</v>
      </c>
      <c r="R316" s="3">
        <v>0</v>
      </c>
    </row>
    <row r="317" spans="1:18">
      <c r="A317" s="3" t="s">
        <v>1564</v>
      </c>
      <c r="B317" s="3" t="s">
        <v>1565</v>
      </c>
      <c r="C317" s="3" t="s">
        <v>1565</v>
      </c>
      <c r="D317" s="3" t="s">
        <v>1566</v>
      </c>
      <c r="E317" s="3" t="s">
        <v>159</v>
      </c>
      <c r="F317" s="3">
        <v>20</v>
      </c>
      <c r="G317" s="3" t="s">
        <v>997</v>
      </c>
      <c r="H317" s="3"/>
      <c r="I317" s="3" t="s">
        <v>998</v>
      </c>
      <c r="J317" s="3">
        <v>0</v>
      </c>
      <c r="K317" s="3">
        <v>0</v>
      </c>
      <c r="L317" s="3">
        <v>0</v>
      </c>
      <c r="M317" s="3">
        <v>0</v>
      </c>
      <c r="N317" s="3">
        <v>0</v>
      </c>
      <c r="O317" s="3">
        <v>0.01</v>
      </c>
      <c r="P317" s="3">
        <v>0</v>
      </c>
      <c r="Q317" s="3">
        <v>0</v>
      </c>
      <c r="R317" s="3">
        <v>0</v>
      </c>
    </row>
    <row r="318" spans="1:18">
      <c r="A318" s="3" t="s">
        <v>1567</v>
      </c>
      <c r="B318" s="3" t="s">
        <v>1568</v>
      </c>
      <c r="C318" s="3" t="s">
        <v>1568</v>
      </c>
      <c r="D318" s="3" t="s">
        <v>1566</v>
      </c>
      <c r="E318" s="3" t="s">
        <v>159</v>
      </c>
      <c r="F318" s="3">
        <v>20</v>
      </c>
      <c r="G318" s="3" t="s">
        <v>997</v>
      </c>
      <c r="H318" s="3"/>
      <c r="I318" s="3" t="s">
        <v>998</v>
      </c>
      <c r="J318" s="3">
        <v>0</v>
      </c>
      <c r="K318" s="3">
        <v>0</v>
      </c>
      <c r="L318" s="3">
        <v>0</v>
      </c>
      <c r="M318" s="3">
        <v>0</v>
      </c>
      <c r="N318" s="3">
        <v>0</v>
      </c>
      <c r="O318" s="3">
        <v>0.01</v>
      </c>
      <c r="P318" s="3">
        <v>0</v>
      </c>
      <c r="Q318" s="3">
        <v>0</v>
      </c>
      <c r="R318" s="3">
        <v>0</v>
      </c>
    </row>
    <row r="319" spans="1:18">
      <c r="A319" s="3" t="s">
        <v>1569</v>
      </c>
      <c r="B319" s="3" t="s">
        <v>1570</v>
      </c>
      <c r="C319" s="3" t="s">
        <v>1570</v>
      </c>
      <c r="D319" s="3"/>
      <c r="E319" s="3" t="s">
        <v>1497</v>
      </c>
      <c r="F319" s="3"/>
      <c r="G319" s="3"/>
      <c r="H319" s="3"/>
      <c r="I319" s="3"/>
      <c r="J319" s="3">
        <v>0</v>
      </c>
      <c r="K319" s="3">
        <v>0</v>
      </c>
      <c r="L319" s="3">
        <v>0</v>
      </c>
      <c r="M319" s="3">
        <v>0</v>
      </c>
      <c r="N319" s="3">
        <v>0</v>
      </c>
      <c r="O319" s="3"/>
      <c r="P319" s="3">
        <v>0</v>
      </c>
      <c r="Q319" s="3">
        <v>0</v>
      </c>
      <c r="R319" s="3">
        <v>0</v>
      </c>
    </row>
    <row r="320" spans="1:18">
      <c r="A320" s="3" t="s">
        <v>1571</v>
      </c>
      <c r="B320" s="3" t="s">
        <v>1572</v>
      </c>
      <c r="C320" s="3" t="s">
        <v>1572</v>
      </c>
      <c r="D320" s="3" t="s">
        <v>1573</v>
      </c>
      <c r="E320" s="3" t="s">
        <v>159</v>
      </c>
      <c r="F320" s="3">
        <v>32.56</v>
      </c>
      <c r="G320" s="3" t="s">
        <v>997</v>
      </c>
      <c r="H320" s="3"/>
      <c r="I320" s="3" t="s">
        <v>998</v>
      </c>
      <c r="J320" s="3">
        <v>0</v>
      </c>
      <c r="K320" s="3">
        <v>0</v>
      </c>
      <c r="L320" s="3">
        <v>0</v>
      </c>
      <c r="M320" s="3">
        <v>0</v>
      </c>
      <c r="N320" s="3">
        <v>0</v>
      </c>
      <c r="O320" s="3">
        <v>0.14</v>
      </c>
      <c r="P320" s="3">
        <v>0</v>
      </c>
      <c r="Q320" s="3">
        <v>0</v>
      </c>
      <c r="R320" s="3">
        <v>0</v>
      </c>
    </row>
    <row r="321" spans="1:18">
      <c r="A321" s="3" t="s">
        <v>1574</v>
      </c>
      <c r="B321" s="3" t="s">
        <v>1575</v>
      </c>
      <c r="C321" s="3" t="s">
        <v>1575</v>
      </c>
      <c r="D321" s="3" t="s">
        <v>1576</v>
      </c>
      <c r="E321" s="3" t="s">
        <v>159</v>
      </c>
      <c r="F321" s="3">
        <v>32.56</v>
      </c>
      <c r="G321" s="3" t="s">
        <v>997</v>
      </c>
      <c r="H321" s="3"/>
      <c r="I321" s="3" t="s">
        <v>998</v>
      </c>
      <c r="J321" s="3">
        <v>0</v>
      </c>
      <c r="K321" s="3">
        <v>0</v>
      </c>
      <c r="L321" s="3">
        <v>0</v>
      </c>
      <c r="M321" s="3">
        <v>0</v>
      </c>
      <c r="N321" s="3">
        <v>0</v>
      </c>
      <c r="O321" s="3">
        <v>0.14</v>
      </c>
      <c r="P321" s="3">
        <v>0</v>
      </c>
      <c r="Q321" s="3">
        <v>0</v>
      </c>
      <c r="R321" s="3">
        <v>0</v>
      </c>
    </row>
    <row r="322" spans="1:18">
      <c r="A322" s="3" t="s">
        <v>1577</v>
      </c>
      <c r="B322" s="3" t="s">
        <v>1578</v>
      </c>
      <c r="C322" s="3" t="s">
        <v>1578</v>
      </c>
      <c r="D322" s="3"/>
      <c r="E322" s="3" t="s">
        <v>1497</v>
      </c>
      <c r="F322" s="3"/>
      <c r="G322" s="3"/>
      <c r="H322" s="3"/>
      <c r="I322" s="3"/>
      <c r="J322" s="3">
        <v>0</v>
      </c>
      <c r="K322" s="3">
        <v>0</v>
      </c>
      <c r="L322" s="3">
        <v>0</v>
      </c>
      <c r="M322" s="3">
        <v>0</v>
      </c>
      <c r="N322" s="3">
        <v>0</v>
      </c>
      <c r="O322" s="3"/>
      <c r="P322" s="3">
        <v>0</v>
      </c>
      <c r="Q322" s="3">
        <v>0</v>
      </c>
      <c r="R322" s="3">
        <v>0</v>
      </c>
    </row>
    <row r="323" spans="1:18">
      <c r="A323" s="3" t="s">
        <v>376</v>
      </c>
      <c r="B323" s="3" t="s">
        <v>377</v>
      </c>
      <c r="C323" s="3" t="s">
        <v>377</v>
      </c>
      <c r="D323" s="3" t="s">
        <v>378</v>
      </c>
      <c r="E323" s="3" t="s">
        <v>159</v>
      </c>
      <c r="F323" s="3">
        <v>35.56</v>
      </c>
      <c r="G323" s="3" t="s">
        <v>997</v>
      </c>
      <c r="H323" s="3"/>
      <c r="I323" s="3" t="s">
        <v>998</v>
      </c>
      <c r="J323" s="3">
        <v>1</v>
      </c>
      <c r="K323" s="3">
        <v>1</v>
      </c>
      <c r="L323" s="3">
        <v>0</v>
      </c>
      <c r="M323" s="3">
        <v>0</v>
      </c>
      <c r="N323" s="3">
        <v>1</v>
      </c>
      <c r="O323" s="3">
        <v>0.08</v>
      </c>
      <c r="P323" s="3">
        <v>0</v>
      </c>
      <c r="Q323" s="3">
        <v>0</v>
      </c>
      <c r="R323" s="3">
        <v>0</v>
      </c>
    </row>
    <row r="324" spans="1:18">
      <c r="A324" s="3" t="s">
        <v>1579</v>
      </c>
      <c r="B324" s="3" t="s">
        <v>1580</v>
      </c>
      <c r="C324" s="3" t="s">
        <v>1580</v>
      </c>
      <c r="D324" s="3"/>
      <c r="E324" s="3" t="s">
        <v>1497</v>
      </c>
      <c r="F324" s="3"/>
      <c r="G324" s="3"/>
      <c r="H324" s="3"/>
      <c r="I324" s="3"/>
      <c r="J324" s="3">
        <v>0</v>
      </c>
      <c r="K324" s="3">
        <v>0</v>
      </c>
      <c r="L324" s="3">
        <v>0</v>
      </c>
      <c r="M324" s="3">
        <v>0</v>
      </c>
      <c r="N324" s="3">
        <v>0</v>
      </c>
      <c r="O324" s="3"/>
      <c r="P324" s="3">
        <v>0</v>
      </c>
      <c r="Q324" s="3">
        <v>0</v>
      </c>
      <c r="R324" s="3">
        <v>0</v>
      </c>
    </row>
    <row r="325" spans="1:18">
      <c r="A325" s="3" t="s">
        <v>280</v>
      </c>
      <c r="B325" s="3" t="s">
        <v>281</v>
      </c>
      <c r="C325" s="3" t="s">
        <v>281</v>
      </c>
      <c r="D325" s="3" t="s">
        <v>282</v>
      </c>
      <c r="E325" s="3" t="s">
        <v>159</v>
      </c>
      <c r="F325" s="3">
        <v>39.98</v>
      </c>
      <c r="G325" s="3" t="s">
        <v>997</v>
      </c>
      <c r="H325" s="3"/>
      <c r="I325" s="3" t="s">
        <v>998</v>
      </c>
      <c r="J325" s="3">
        <v>8</v>
      </c>
      <c r="K325" s="3">
        <v>8</v>
      </c>
      <c r="L325" s="3">
        <v>0</v>
      </c>
      <c r="M325" s="3">
        <v>0</v>
      </c>
      <c r="N325" s="3">
        <v>8</v>
      </c>
      <c r="O325" s="3">
        <v>0.21</v>
      </c>
      <c r="P325" s="3">
        <v>0</v>
      </c>
      <c r="Q325" s="3">
        <v>0</v>
      </c>
      <c r="R325" s="3">
        <v>0</v>
      </c>
    </row>
    <row r="326" spans="1:18">
      <c r="A326" s="3" t="s">
        <v>1581</v>
      </c>
      <c r="B326" s="3" t="s">
        <v>1582</v>
      </c>
      <c r="C326" s="3" t="s">
        <v>1582</v>
      </c>
      <c r="D326" s="3"/>
      <c r="E326" s="3" t="s">
        <v>1497</v>
      </c>
      <c r="F326" s="3"/>
      <c r="G326" s="3"/>
      <c r="H326" s="3"/>
      <c r="I326" s="3"/>
      <c r="J326" s="3">
        <v>0</v>
      </c>
      <c r="K326" s="3">
        <v>0</v>
      </c>
      <c r="L326" s="3">
        <v>0</v>
      </c>
      <c r="M326" s="3">
        <v>0</v>
      </c>
      <c r="N326" s="3">
        <v>0</v>
      </c>
      <c r="O326" s="3"/>
      <c r="P326" s="3">
        <v>0</v>
      </c>
      <c r="Q326" s="3">
        <v>0</v>
      </c>
      <c r="R326" s="3">
        <v>0</v>
      </c>
    </row>
    <row r="327" spans="1:18">
      <c r="A327" s="3" t="s">
        <v>945</v>
      </c>
      <c r="B327" s="3" t="s">
        <v>946</v>
      </c>
      <c r="C327" s="3" t="s">
        <v>946</v>
      </c>
      <c r="D327" s="3" t="s">
        <v>947</v>
      </c>
      <c r="E327" s="3" t="s">
        <v>159</v>
      </c>
      <c r="F327" s="3">
        <v>39.98</v>
      </c>
      <c r="G327" s="3" t="s">
        <v>997</v>
      </c>
      <c r="H327" s="3"/>
      <c r="I327" s="3" t="s">
        <v>998</v>
      </c>
      <c r="J327" s="3">
        <v>9</v>
      </c>
      <c r="K327" s="3">
        <v>9</v>
      </c>
      <c r="L327" s="3">
        <v>0</v>
      </c>
      <c r="M327" s="3">
        <v>0</v>
      </c>
      <c r="N327" s="3">
        <v>9</v>
      </c>
      <c r="O327" s="3">
        <v>0.14</v>
      </c>
      <c r="P327" s="3">
        <v>0</v>
      </c>
      <c r="Q327" s="3">
        <v>0</v>
      </c>
      <c r="R327" s="3">
        <v>0</v>
      </c>
    </row>
    <row r="328" spans="1:18">
      <c r="A328" s="3" t="s">
        <v>1583</v>
      </c>
      <c r="B328" s="3" t="s">
        <v>1584</v>
      </c>
      <c r="C328" s="3" t="s">
        <v>1584</v>
      </c>
      <c r="D328" s="3" t="s">
        <v>1585</v>
      </c>
      <c r="E328" s="3" t="s">
        <v>159</v>
      </c>
      <c r="F328" s="3">
        <v>39.98</v>
      </c>
      <c r="G328" s="3" t="s">
        <v>997</v>
      </c>
      <c r="H328" s="3"/>
      <c r="I328" s="3" t="s">
        <v>998</v>
      </c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>
        <v>0.14</v>
      </c>
      <c r="P328" s="3">
        <v>0</v>
      </c>
      <c r="Q328" s="3">
        <v>0</v>
      </c>
      <c r="R328" s="3">
        <v>0</v>
      </c>
    </row>
    <row r="329" spans="1:18">
      <c r="A329" s="3" t="s">
        <v>1586</v>
      </c>
      <c r="B329" s="3" t="s">
        <v>1587</v>
      </c>
      <c r="C329" s="3" t="s">
        <v>1587</v>
      </c>
      <c r="D329" s="3" t="s">
        <v>1588</v>
      </c>
      <c r="E329" s="3" t="s">
        <v>159</v>
      </c>
      <c r="F329" s="3">
        <v>39.98</v>
      </c>
      <c r="G329" s="3" t="s">
        <v>997</v>
      </c>
      <c r="H329" s="3"/>
      <c r="I329" s="3" t="s">
        <v>998</v>
      </c>
      <c r="J329" s="3">
        <v>0</v>
      </c>
      <c r="K329" s="3">
        <v>0</v>
      </c>
      <c r="L329" s="3">
        <v>0</v>
      </c>
      <c r="M329" s="3">
        <v>0</v>
      </c>
      <c r="N329" s="3">
        <v>0</v>
      </c>
      <c r="O329" s="3">
        <v>0.21</v>
      </c>
      <c r="P329" s="3">
        <v>0</v>
      </c>
      <c r="Q329" s="3">
        <v>0</v>
      </c>
      <c r="R329" s="3">
        <v>0</v>
      </c>
    </row>
    <row r="330" spans="1:18">
      <c r="A330" s="3" t="s">
        <v>1589</v>
      </c>
      <c r="B330" s="3" t="s">
        <v>1590</v>
      </c>
      <c r="C330" s="3" t="s">
        <v>1590</v>
      </c>
      <c r="D330" s="3" t="s">
        <v>1591</v>
      </c>
      <c r="E330" s="3" t="s">
        <v>159</v>
      </c>
      <c r="F330" s="3">
        <v>22.98</v>
      </c>
      <c r="G330" s="3" t="s">
        <v>997</v>
      </c>
      <c r="H330" s="3"/>
      <c r="I330" s="3" t="s">
        <v>998</v>
      </c>
      <c r="J330" s="3">
        <v>0</v>
      </c>
      <c r="K330" s="3">
        <v>0</v>
      </c>
      <c r="L330" s="3">
        <v>0</v>
      </c>
      <c r="M330" s="3">
        <v>0</v>
      </c>
      <c r="N330" s="3">
        <v>0</v>
      </c>
      <c r="O330" s="3">
        <v>0.21</v>
      </c>
      <c r="P330" s="3">
        <v>0</v>
      </c>
      <c r="Q330" s="3">
        <v>0</v>
      </c>
      <c r="R330" s="3">
        <v>0</v>
      </c>
    </row>
    <row r="331" spans="1:18">
      <c r="A331" s="3" t="s">
        <v>1592</v>
      </c>
      <c r="B331" s="3" t="s">
        <v>1593</v>
      </c>
      <c r="C331" s="3" t="s">
        <v>1593</v>
      </c>
      <c r="D331" s="3" t="s">
        <v>1594</v>
      </c>
      <c r="E331" s="3" t="s">
        <v>159</v>
      </c>
      <c r="F331" s="3">
        <v>39.98</v>
      </c>
      <c r="G331" s="3" t="s">
        <v>997</v>
      </c>
      <c r="H331" s="3"/>
      <c r="I331" s="3" t="s">
        <v>998</v>
      </c>
      <c r="J331" s="3">
        <v>0</v>
      </c>
      <c r="K331" s="3">
        <v>0</v>
      </c>
      <c r="L331" s="3">
        <v>0</v>
      </c>
      <c r="M331" s="3">
        <v>0</v>
      </c>
      <c r="N331" s="3">
        <v>0</v>
      </c>
      <c r="O331" s="3">
        <v>0.14</v>
      </c>
      <c r="P331" s="3">
        <v>0</v>
      </c>
      <c r="Q331" s="3">
        <v>0</v>
      </c>
      <c r="R331" s="3">
        <v>0</v>
      </c>
    </row>
    <row r="332" spans="1:18">
      <c r="A332" s="3" t="s">
        <v>1595</v>
      </c>
      <c r="B332" s="3" t="s">
        <v>1596</v>
      </c>
      <c r="C332" s="3" t="s">
        <v>1596</v>
      </c>
      <c r="D332" s="3"/>
      <c r="E332" s="3" t="s">
        <v>1497</v>
      </c>
      <c r="F332" s="3"/>
      <c r="G332" s="3"/>
      <c r="H332" s="3"/>
      <c r="I332" s="3"/>
      <c r="J332" s="3">
        <v>0</v>
      </c>
      <c r="K332" s="3">
        <v>0</v>
      </c>
      <c r="L332" s="3">
        <v>0</v>
      </c>
      <c r="M332" s="3">
        <v>0</v>
      </c>
      <c r="N332" s="3">
        <v>0</v>
      </c>
      <c r="O332" s="3"/>
      <c r="P332" s="3">
        <v>0</v>
      </c>
      <c r="Q332" s="3">
        <v>0</v>
      </c>
      <c r="R332" s="3">
        <v>0</v>
      </c>
    </row>
    <row r="333" spans="1:18">
      <c r="A333" s="3" t="s">
        <v>494</v>
      </c>
      <c r="B333" s="3" t="s">
        <v>495</v>
      </c>
      <c r="C333" s="3" t="s">
        <v>495</v>
      </c>
      <c r="D333" s="3" t="s">
        <v>496</v>
      </c>
      <c r="E333" s="3" t="s">
        <v>159</v>
      </c>
      <c r="F333" s="3">
        <v>15.98</v>
      </c>
      <c r="G333" s="3" t="s">
        <v>997</v>
      </c>
      <c r="H333" s="3"/>
      <c r="I333" s="3" t="s">
        <v>998</v>
      </c>
      <c r="J333" s="3">
        <v>11</v>
      </c>
      <c r="K333" s="3">
        <v>11</v>
      </c>
      <c r="L333" s="3">
        <v>0</v>
      </c>
      <c r="M333" s="3">
        <v>0</v>
      </c>
      <c r="N333" s="3">
        <v>11</v>
      </c>
      <c r="O333" s="3">
        <v>0.15</v>
      </c>
      <c r="P333" s="3">
        <v>0</v>
      </c>
      <c r="Q333" s="3">
        <v>0</v>
      </c>
      <c r="R333" s="3">
        <v>0</v>
      </c>
    </row>
    <row r="334" spans="1:18">
      <c r="A334" s="3" t="s">
        <v>588</v>
      </c>
      <c r="B334" s="3" t="s">
        <v>589</v>
      </c>
      <c r="C334" s="3" t="s">
        <v>589</v>
      </c>
      <c r="D334" s="3" t="s">
        <v>590</v>
      </c>
      <c r="E334" s="3" t="s">
        <v>159</v>
      </c>
      <c r="F334" s="3">
        <v>39.98</v>
      </c>
      <c r="G334" s="3" t="s">
        <v>997</v>
      </c>
      <c r="H334" s="3"/>
      <c r="I334" s="3" t="s">
        <v>998</v>
      </c>
      <c r="J334" s="3">
        <v>3</v>
      </c>
      <c r="K334" s="3">
        <v>3</v>
      </c>
      <c r="L334" s="3">
        <v>0</v>
      </c>
      <c r="M334" s="3">
        <v>0</v>
      </c>
      <c r="N334" s="3">
        <v>3</v>
      </c>
      <c r="O334" s="3">
        <v>0.15</v>
      </c>
      <c r="P334" s="3">
        <v>0</v>
      </c>
      <c r="Q334" s="3">
        <v>0</v>
      </c>
      <c r="R334" s="3">
        <v>0</v>
      </c>
    </row>
    <row r="335" spans="1:18">
      <c r="A335" s="3" t="s">
        <v>1597</v>
      </c>
      <c r="B335" s="3" t="s">
        <v>1598</v>
      </c>
      <c r="C335" s="3" t="s">
        <v>1598</v>
      </c>
      <c r="D335" s="3"/>
      <c r="E335" s="3" t="s">
        <v>1497</v>
      </c>
      <c r="F335" s="3"/>
      <c r="G335" s="3"/>
      <c r="H335" s="3"/>
      <c r="I335" s="3"/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/>
      <c r="P335" s="3">
        <v>0</v>
      </c>
      <c r="Q335" s="3">
        <v>0</v>
      </c>
      <c r="R335" s="3">
        <v>0</v>
      </c>
    </row>
    <row r="336" spans="1:18">
      <c r="A336" s="3" t="s">
        <v>681</v>
      </c>
      <c r="B336" s="3" t="s">
        <v>682</v>
      </c>
      <c r="C336" s="3" t="s">
        <v>682</v>
      </c>
      <c r="D336" s="3" t="s">
        <v>683</v>
      </c>
      <c r="E336" s="3" t="s">
        <v>159</v>
      </c>
      <c r="F336" s="3">
        <v>39.98</v>
      </c>
      <c r="G336" s="3" t="s">
        <v>997</v>
      </c>
      <c r="H336" s="3"/>
      <c r="I336" s="3" t="s">
        <v>998</v>
      </c>
      <c r="J336" s="3">
        <v>5</v>
      </c>
      <c r="K336" s="3">
        <v>5</v>
      </c>
      <c r="L336" s="3">
        <v>0</v>
      </c>
      <c r="M336" s="3">
        <v>0</v>
      </c>
      <c r="N336" s="3">
        <v>5</v>
      </c>
      <c r="O336" s="3">
        <v>0.15</v>
      </c>
      <c r="P336" s="3">
        <v>0</v>
      </c>
      <c r="Q336" s="3">
        <v>0</v>
      </c>
      <c r="R336" s="3">
        <v>0</v>
      </c>
    </row>
    <row r="337" spans="1:18">
      <c r="A337" s="3" t="s">
        <v>1599</v>
      </c>
      <c r="B337" s="3" t="s">
        <v>1600</v>
      </c>
      <c r="C337" s="3" t="s">
        <v>1600</v>
      </c>
      <c r="D337" s="3" t="s">
        <v>1601</v>
      </c>
      <c r="E337" s="3" t="s">
        <v>159</v>
      </c>
      <c r="F337" s="3">
        <v>22.98</v>
      </c>
      <c r="G337" s="3" t="s">
        <v>997</v>
      </c>
      <c r="H337" s="3"/>
      <c r="I337" s="3" t="s">
        <v>998</v>
      </c>
      <c r="J337" s="3">
        <v>0</v>
      </c>
      <c r="K337" s="3">
        <v>0</v>
      </c>
      <c r="L337" s="3">
        <v>0</v>
      </c>
      <c r="M337" s="3">
        <v>0</v>
      </c>
      <c r="N337" s="3">
        <v>0</v>
      </c>
      <c r="O337" s="3">
        <v>0.15</v>
      </c>
      <c r="P337" s="3">
        <v>0</v>
      </c>
      <c r="Q337" s="3">
        <v>0</v>
      </c>
      <c r="R337" s="3">
        <v>0</v>
      </c>
    </row>
    <row r="338" spans="1:18">
      <c r="A338" s="3" t="s">
        <v>32</v>
      </c>
      <c r="B338" s="3" t="s">
        <v>33</v>
      </c>
      <c r="C338" s="3" t="s">
        <v>33</v>
      </c>
      <c r="D338" s="3" t="s">
        <v>34</v>
      </c>
      <c r="E338" s="3" t="s">
        <v>159</v>
      </c>
      <c r="F338" s="3">
        <v>39.98</v>
      </c>
      <c r="G338" s="3" t="s">
        <v>997</v>
      </c>
      <c r="H338" s="3"/>
      <c r="I338" s="3" t="s">
        <v>998</v>
      </c>
      <c r="J338" s="3">
        <v>9</v>
      </c>
      <c r="K338" s="3">
        <v>8</v>
      </c>
      <c r="L338" s="3">
        <v>0</v>
      </c>
      <c r="M338" s="3">
        <v>1</v>
      </c>
      <c r="N338" s="3">
        <v>9</v>
      </c>
      <c r="O338" s="3">
        <v>0.15</v>
      </c>
      <c r="P338" s="3">
        <v>0</v>
      </c>
      <c r="Q338" s="3">
        <v>0</v>
      </c>
      <c r="R338" s="3">
        <v>0</v>
      </c>
    </row>
    <row r="339" spans="1:18">
      <c r="A339" s="3" t="s">
        <v>1602</v>
      </c>
      <c r="B339" s="3" t="s">
        <v>1603</v>
      </c>
      <c r="C339" s="3" t="s">
        <v>1603</v>
      </c>
      <c r="D339" s="3"/>
      <c r="E339" s="3" t="s">
        <v>1497</v>
      </c>
      <c r="F339" s="3"/>
      <c r="G339" s="3"/>
      <c r="H339" s="3"/>
      <c r="I339" s="3"/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/>
      <c r="P339" s="3">
        <v>0</v>
      </c>
      <c r="Q339" s="3">
        <v>0</v>
      </c>
      <c r="R339" s="3">
        <v>0</v>
      </c>
    </row>
    <row r="340" spans="1:18">
      <c r="A340" s="3" t="s">
        <v>1604</v>
      </c>
      <c r="B340" s="3" t="s">
        <v>1605</v>
      </c>
      <c r="C340" s="3" t="s">
        <v>1605</v>
      </c>
      <c r="D340" s="3"/>
      <c r="E340" s="3" t="s">
        <v>1497</v>
      </c>
      <c r="F340" s="3"/>
      <c r="G340" s="3"/>
      <c r="H340" s="3"/>
      <c r="I340" s="3"/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/>
      <c r="P340" s="3">
        <v>0</v>
      </c>
      <c r="Q340" s="3">
        <v>0</v>
      </c>
      <c r="R340" s="3">
        <v>0</v>
      </c>
    </row>
    <row r="341" spans="1:18">
      <c r="A341" s="3" t="s">
        <v>1606</v>
      </c>
      <c r="B341" s="3" t="s">
        <v>1607</v>
      </c>
      <c r="C341" s="3" t="s">
        <v>1607</v>
      </c>
      <c r="D341" s="3"/>
      <c r="E341" s="3" t="s">
        <v>1497</v>
      </c>
      <c r="F341" s="3"/>
      <c r="G341" s="3"/>
      <c r="H341" s="3"/>
      <c r="I341" s="3"/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/>
      <c r="P341" s="3">
        <v>0</v>
      </c>
      <c r="Q341" s="3">
        <v>0</v>
      </c>
      <c r="R341" s="3">
        <v>0</v>
      </c>
    </row>
    <row r="342" spans="1:18">
      <c r="A342" s="3" t="s">
        <v>1608</v>
      </c>
      <c r="B342" s="3" t="s">
        <v>1609</v>
      </c>
      <c r="C342" s="3" t="s">
        <v>1609</v>
      </c>
      <c r="D342" s="3"/>
      <c r="E342" s="3" t="s">
        <v>1497</v>
      </c>
      <c r="F342" s="3"/>
      <c r="G342" s="3"/>
      <c r="H342" s="3"/>
      <c r="I342" s="3"/>
      <c r="J342" s="3">
        <v>0</v>
      </c>
      <c r="K342" s="3">
        <v>0</v>
      </c>
      <c r="L342" s="3">
        <v>0</v>
      </c>
      <c r="M342" s="3">
        <v>0</v>
      </c>
      <c r="N342" s="3">
        <v>0</v>
      </c>
      <c r="O342" s="3"/>
      <c r="P342" s="3">
        <v>0</v>
      </c>
      <c r="Q342" s="3">
        <v>0</v>
      </c>
      <c r="R342" s="3">
        <v>0</v>
      </c>
    </row>
    <row r="343" spans="1:18">
      <c r="A343" s="3" t="s">
        <v>1610</v>
      </c>
      <c r="B343" s="3" t="s">
        <v>1611</v>
      </c>
      <c r="C343" s="3" t="s">
        <v>1611</v>
      </c>
      <c r="D343" s="3" t="s">
        <v>1612</v>
      </c>
      <c r="E343" s="3" t="s">
        <v>159</v>
      </c>
      <c r="F343" s="3">
        <v>39.98</v>
      </c>
      <c r="G343" s="3" t="s">
        <v>997</v>
      </c>
      <c r="H343" s="3"/>
      <c r="I343" s="3" t="s">
        <v>998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0.08</v>
      </c>
      <c r="P343" s="3">
        <v>0</v>
      </c>
      <c r="Q343" s="3">
        <v>0</v>
      </c>
      <c r="R343" s="3">
        <v>0</v>
      </c>
    </row>
    <row r="344" spans="1:18">
      <c r="A344" s="3" t="s">
        <v>223</v>
      </c>
      <c r="B344" s="3" t="s">
        <v>224</v>
      </c>
      <c r="C344" s="3" t="s">
        <v>224</v>
      </c>
      <c r="D344" s="3" t="s">
        <v>225</v>
      </c>
      <c r="E344" s="3" t="s">
        <v>159</v>
      </c>
      <c r="F344" s="3">
        <v>10</v>
      </c>
      <c r="G344" s="3" t="s">
        <v>997</v>
      </c>
      <c r="H344" s="3"/>
      <c r="I344" s="3" t="s">
        <v>998</v>
      </c>
      <c r="J344" s="3">
        <v>1</v>
      </c>
      <c r="K344" s="3">
        <v>1</v>
      </c>
      <c r="L344" s="3">
        <v>0</v>
      </c>
      <c r="M344" s="3">
        <v>0</v>
      </c>
      <c r="N344" s="3">
        <v>1</v>
      </c>
      <c r="O344" s="3">
        <v>0.19</v>
      </c>
      <c r="P344" s="3">
        <v>0</v>
      </c>
      <c r="Q344" s="3">
        <v>0</v>
      </c>
      <c r="R344" s="3">
        <v>0</v>
      </c>
    </row>
    <row r="345" spans="1:18">
      <c r="A345" s="3" t="s">
        <v>1613</v>
      </c>
      <c r="B345" s="3" t="s">
        <v>1614</v>
      </c>
      <c r="C345" s="3" t="s">
        <v>1614</v>
      </c>
      <c r="D345" s="3"/>
      <c r="E345" s="3" t="s">
        <v>1497</v>
      </c>
      <c r="F345" s="3"/>
      <c r="G345" s="3"/>
      <c r="H345" s="3"/>
      <c r="I345" s="3"/>
      <c r="J345" s="3">
        <v>0</v>
      </c>
      <c r="K345" s="3">
        <v>0</v>
      </c>
      <c r="L345" s="3">
        <v>0</v>
      </c>
      <c r="M345" s="3">
        <v>0</v>
      </c>
      <c r="N345" s="3">
        <v>0</v>
      </c>
      <c r="O345" s="3"/>
      <c r="P345" s="3">
        <v>0</v>
      </c>
      <c r="Q345" s="3">
        <v>0</v>
      </c>
      <c r="R345" s="3">
        <v>0</v>
      </c>
    </row>
    <row r="346" spans="1:18">
      <c r="A346" s="3" t="s">
        <v>1615</v>
      </c>
      <c r="B346" s="3" t="s">
        <v>1616</v>
      </c>
      <c r="C346" s="3" t="s">
        <v>1616</v>
      </c>
      <c r="D346" s="3"/>
      <c r="E346" s="3" t="s">
        <v>1497</v>
      </c>
      <c r="F346" s="3"/>
      <c r="G346" s="3"/>
      <c r="H346" s="3"/>
      <c r="I346" s="3"/>
      <c r="J346" s="3">
        <v>0</v>
      </c>
      <c r="K346" s="3">
        <v>0</v>
      </c>
      <c r="L346" s="3">
        <v>0</v>
      </c>
      <c r="M346" s="3">
        <v>0</v>
      </c>
      <c r="N346" s="3">
        <v>0</v>
      </c>
      <c r="O346" s="3"/>
      <c r="P346" s="3">
        <v>0</v>
      </c>
      <c r="Q346" s="3">
        <v>0</v>
      </c>
      <c r="R346" s="3">
        <v>0</v>
      </c>
    </row>
    <row r="347" spans="1:18">
      <c r="A347" s="3" t="s">
        <v>552</v>
      </c>
      <c r="B347" s="3" t="s">
        <v>553</v>
      </c>
      <c r="C347" s="3" t="s">
        <v>553</v>
      </c>
      <c r="D347" s="3" t="s">
        <v>554</v>
      </c>
      <c r="E347" s="3" t="s">
        <v>159</v>
      </c>
      <c r="F347" s="3">
        <v>40.89</v>
      </c>
      <c r="G347" s="3" t="s">
        <v>997</v>
      </c>
      <c r="H347" s="3"/>
      <c r="I347" s="3" t="s">
        <v>998</v>
      </c>
      <c r="J347" s="3">
        <v>3</v>
      </c>
      <c r="K347" s="3">
        <v>3</v>
      </c>
      <c r="L347" s="3">
        <v>0</v>
      </c>
      <c r="M347" s="3">
        <v>0</v>
      </c>
      <c r="N347" s="3">
        <v>3</v>
      </c>
      <c r="O347" s="3">
        <v>0.27</v>
      </c>
      <c r="P347" s="3">
        <v>0</v>
      </c>
      <c r="Q347" s="3">
        <v>0</v>
      </c>
      <c r="R347" s="3">
        <v>0</v>
      </c>
    </row>
    <row r="348" spans="1:18">
      <c r="A348" s="3" t="s">
        <v>357</v>
      </c>
      <c r="B348" s="3" t="s">
        <v>358</v>
      </c>
      <c r="C348" s="3" t="s">
        <v>358</v>
      </c>
      <c r="D348" s="3" t="s">
        <v>359</v>
      </c>
      <c r="E348" s="3" t="s">
        <v>159</v>
      </c>
      <c r="F348" s="3">
        <v>40.89</v>
      </c>
      <c r="G348" s="3" t="s">
        <v>997</v>
      </c>
      <c r="H348" s="3"/>
      <c r="I348" s="3" t="s">
        <v>998</v>
      </c>
      <c r="J348" s="3">
        <v>1</v>
      </c>
      <c r="K348" s="3">
        <v>1</v>
      </c>
      <c r="L348" s="3">
        <v>0</v>
      </c>
      <c r="M348" s="3">
        <v>0</v>
      </c>
      <c r="N348" s="3">
        <v>1</v>
      </c>
      <c r="O348" s="3">
        <v>0.27</v>
      </c>
      <c r="P348" s="3">
        <v>0</v>
      </c>
      <c r="Q348" s="3">
        <v>0</v>
      </c>
      <c r="R348" s="3">
        <v>0</v>
      </c>
    </row>
    <row r="349" spans="1:18">
      <c r="A349" s="3" t="s">
        <v>1617</v>
      </c>
      <c r="B349" s="3" t="s">
        <v>1618</v>
      </c>
      <c r="C349" s="3" t="s">
        <v>1618</v>
      </c>
      <c r="D349" s="3" t="s">
        <v>1619</v>
      </c>
      <c r="E349" s="3" t="s">
        <v>159</v>
      </c>
      <c r="F349" s="3">
        <v>40.89</v>
      </c>
      <c r="G349" s="3" t="s">
        <v>997</v>
      </c>
      <c r="H349" s="3"/>
      <c r="I349" s="3" t="s">
        <v>998</v>
      </c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>
        <v>0.27</v>
      </c>
      <c r="P349" s="3">
        <v>0</v>
      </c>
      <c r="Q349" s="3">
        <v>0</v>
      </c>
      <c r="R349" s="3">
        <v>0</v>
      </c>
    </row>
    <row r="350" spans="1:18">
      <c r="A350" s="3" t="s">
        <v>1620</v>
      </c>
      <c r="B350" s="3" t="s">
        <v>1621</v>
      </c>
      <c r="C350" s="3" t="s">
        <v>1621</v>
      </c>
      <c r="D350" s="3"/>
      <c r="E350" s="3" t="s">
        <v>1497</v>
      </c>
      <c r="F350" s="3"/>
      <c r="G350" s="3"/>
      <c r="H350" s="3"/>
      <c r="I350" s="3"/>
      <c r="J350" s="3">
        <v>0</v>
      </c>
      <c r="K350" s="3">
        <v>0</v>
      </c>
      <c r="L350" s="3">
        <v>0</v>
      </c>
      <c r="M350" s="3">
        <v>0</v>
      </c>
      <c r="N350" s="3">
        <v>0</v>
      </c>
      <c r="O350" s="3"/>
      <c r="P350" s="3">
        <v>0</v>
      </c>
      <c r="Q350" s="3">
        <v>0</v>
      </c>
      <c r="R350" s="3">
        <v>0</v>
      </c>
    </row>
    <row r="351" spans="1:18">
      <c r="A351" s="3" t="s">
        <v>1622</v>
      </c>
      <c r="B351" s="3" t="s">
        <v>1623</v>
      </c>
      <c r="C351" s="3" t="s">
        <v>1623</v>
      </c>
      <c r="D351" s="3"/>
      <c r="E351" s="3" t="s">
        <v>1497</v>
      </c>
      <c r="F351" s="3"/>
      <c r="G351" s="3"/>
      <c r="H351" s="3"/>
      <c r="I351" s="3"/>
      <c r="J351" s="3">
        <v>0</v>
      </c>
      <c r="K351" s="3">
        <v>0</v>
      </c>
      <c r="L351" s="3">
        <v>0</v>
      </c>
      <c r="M351" s="3">
        <v>0</v>
      </c>
      <c r="N351" s="3">
        <v>0</v>
      </c>
      <c r="O351" s="3"/>
      <c r="P351" s="3">
        <v>0</v>
      </c>
      <c r="Q351" s="3">
        <v>0</v>
      </c>
      <c r="R351" s="3">
        <v>0</v>
      </c>
    </row>
    <row r="352" spans="1:18">
      <c r="A352" s="3" t="s">
        <v>1624</v>
      </c>
      <c r="B352" s="3" t="s">
        <v>1625</v>
      </c>
      <c r="C352" s="3" t="s">
        <v>1625</v>
      </c>
      <c r="D352" s="3"/>
      <c r="E352" s="3" t="s">
        <v>1497</v>
      </c>
      <c r="F352" s="3"/>
      <c r="G352" s="3"/>
      <c r="H352" s="3"/>
      <c r="I352" s="3"/>
      <c r="J352" s="3">
        <v>0</v>
      </c>
      <c r="K352" s="3">
        <v>0</v>
      </c>
      <c r="L352" s="3">
        <v>0</v>
      </c>
      <c r="M352" s="3">
        <v>0</v>
      </c>
      <c r="N352" s="3">
        <v>0</v>
      </c>
      <c r="O352" s="3"/>
      <c r="P352" s="3">
        <v>0</v>
      </c>
      <c r="Q352" s="3">
        <v>0</v>
      </c>
      <c r="R352" s="3">
        <v>0</v>
      </c>
    </row>
    <row r="353" spans="1:18">
      <c r="A353" s="3" t="s">
        <v>1626</v>
      </c>
      <c r="B353" s="3" t="s">
        <v>1627</v>
      </c>
      <c r="C353" s="3" t="s">
        <v>1627</v>
      </c>
      <c r="D353" s="3"/>
      <c r="E353" s="3" t="s">
        <v>1497</v>
      </c>
      <c r="F353" s="3"/>
      <c r="G353" s="3"/>
      <c r="H353" s="3"/>
      <c r="I353" s="3"/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/>
      <c r="P353" s="3">
        <v>0</v>
      </c>
      <c r="Q353" s="3">
        <v>0</v>
      </c>
      <c r="R353" s="3">
        <v>0</v>
      </c>
    </row>
    <row r="354" spans="1:18">
      <c r="A354" s="3" t="s">
        <v>1628</v>
      </c>
      <c r="B354" s="3" t="s">
        <v>1629</v>
      </c>
      <c r="C354" s="3" t="s">
        <v>1629</v>
      </c>
      <c r="D354" s="3"/>
      <c r="E354" s="3" t="s">
        <v>1497</v>
      </c>
      <c r="F354" s="3"/>
      <c r="G354" s="3"/>
      <c r="H354" s="3"/>
      <c r="I354" s="3"/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/>
      <c r="P354" s="3">
        <v>0</v>
      </c>
      <c r="Q354" s="3">
        <v>0</v>
      </c>
      <c r="R354" s="3">
        <v>0</v>
      </c>
    </row>
    <row r="355" spans="1:18">
      <c r="A355" s="3" t="s">
        <v>1630</v>
      </c>
      <c r="B355" s="3" t="s">
        <v>1631</v>
      </c>
      <c r="C355" s="3" t="s">
        <v>1631</v>
      </c>
      <c r="D355" s="3"/>
      <c r="E355" s="3" t="s">
        <v>1497</v>
      </c>
      <c r="F355" s="3"/>
      <c r="G355" s="3"/>
      <c r="H355" s="3"/>
      <c r="I355" s="3"/>
      <c r="J355" s="3">
        <v>0</v>
      </c>
      <c r="K355" s="3">
        <v>0</v>
      </c>
      <c r="L355" s="3">
        <v>0</v>
      </c>
      <c r="M355" s="3">
        <v>0</v>
      </c>
      <c r="N355" s="3">
        <v>0</v>
      </c>
      <c r="O355" s="3"/>
      <c r="P355" s="3">
        <v>0</v>
      </c>
      <c r="Q355" s="3">
        <v>0</v>
      </c>
      <c r="R355" s="3">
        <v>0</v>
      </c>
    </row>
    <row r="356" spans="1:18">
      <c r="A356" s="3" t="s">
        <v>1632</v>
      </c>
      <c r="B356" s="3" t="s">
        <v>1633</v>
      </c>
      <c r="C356" s="3" t="s">
        <v>1633</v>
      </c>
      <c r="D356" s="3"/>
      <c r="E356" s="3" t="s">
        <v>1497</v>
      </c>
      <c r="F356" s="3"/>
      <c r="G356" s="3"/>
      <c r="H356" s="3"/>
      <c r="I356" s="3"/>
      <c r="J356" s="3">
        <v>0</v>
      </c>
      <c r="K356" s="3">
        <v>0</v>
      </c>
      <c r="L356" s="3">
        <v>0</v>
      </c>
      <c r="M356" s="3">
        <v>0</v>
      </c>
      <c r="N356" s="3">
        <v>0</v>
      </c>
      <c r="O356" s="3"/>
      <c r="P356" s="3">
        <v>0</v>
      </c>
      <c r="Q356" s="3">
        <v>0</v>
      </c>
      <c r="R356" s="3">
        <v>0</v>
      </c>
    </row>
    <row r="357" spans="1:18">
      <c r="A357" s="3" t="s">
        <v>1634</v>
      </c>
      <c r="B357" s="3" t="s">
        <v>1635</v>
      </c>
      <c r="C357" s="3" t="s">
        <v>1635</v>
      </c>
      <c r="D357" s="3"/>
      <c r="E357" s="3" t="s">
        <v>1497</v>
      </c>
      <c r="F357" s="3"/>
      <c r="G357" s="3"/>
      <c r="H357" s="3"/>
      <c r="I357" s="3"/>
      <c r="J357" s="3">
        <v>0</v>
      </c>
      <c r="K357" s="3">
        <v>0</v>
      </c>
      <c r="L357" s="3">
        <v>0</v>
      </c>
      <c r="M357" s="3">
        <v>0</v>
      </c>
      <c r="N357" s="3">
        <v>0</v>
      </c>
      <c r="O357" s="3"/>
      <c r="P357" s="3">
        <v>0</v>
      </c>
      <c r="Q357" s="3">
        <v>0</v>
      </c>
      <c r="R357" s="3">
        <v>0</v>
      </c>
    </row>
    <row r="358" spans="1:18">
      <c r="A358" s="3" t="s">
        <v>1636</v>
      </c>
      <c r="B358" s="3" t="s">
        <v>1637</v>
      </c>
      <c r="C358" s="3" t="s">
        <v>1637</v>
      </c>
      <c r="D358" s="3"/>
      <c r="E358" s="3" t="s">
        <v>1497</v>
      </c>
      <c r="F358" s="3"/>
      <c r="G358" s="3"/>
      <c r="H358" s="3"/>
      <c r="I358" s="3"/>
      <c r="J358" s="3">
        <v>0</v>
      </c>
      <c r="K358" s="3">
        <v>0</v>
      </c>
      <c r="L358" s="3">
        <v>0</v>
      </c>
      <c r="M358" s="3">
        <v>0</v>
      </c>
      <c r="N358" s="3">
        <v>0</v>
      </c>
      <c r="O358" s="3"/>
      <c r="P358" s="3">
        <v>0</v>
      </c>
      <c r="Q358" s="3">
        <v>0</v>
      </c>
      <c r="R358" s="3">
        <v>0</v>
      </c>
    </row>
    <row r="359" spans="1:18">
      <c r="A359" s="3" t="s">
        <v>321</v>
      </c>
      <c r="B359" s="3" t="s">
        <v>322</v>
      </c>
      <c r="C359" s="3" t="s">
        <v>322</v>
      </c>
      <c r="D359" s="3" t="s">
        <v>323</v>
      </c>
      <c r="E359" s="3" t="s">
        <v>159</v>
      </c>
      <c r="F359" s="3">
        <v>39.98</v>
      </c>
      <c r="G359" s="3" t="s">
        <v>997</v>
      </c>
      <c r="H359" s="3"/>
      <c r="I359" s="3" t="s">
        <v>998</v>
      </c>
      <c r="J359" s="3">
        <v>5</v>
      </c>
      <c r="K359" s="3">
        <v>5</v>
      </c>
      <c r="L359" s="3">
        <v>0</v>
      </c>
      <c r="M359" s="3">
        <v>0</v>
      </c>
      <c r="N359" s="3">
        <v>5</v>
      </c>
      <c r="O359" s="3">
        <v>0.12</v>
      </c>
      <c r="P359" s="3">
        <v>0</v>
      </c>
      <c r="Q359" s="3">
        <v>0</v>
      </c>
      <c r="R359" s="3">
        <v>0</v>
      </c>
    </row>
    <row r="360" spans="1:18">
      <c r="A360" s="3" t="s">
        <v>1638</v>
      </c>
      <c r="B360" s="3" t="s">
        <v>1639</v>
      </c>
      <c r="C360" s="3" t="s">
        <v>1639</v>
      </c>
      <c r="D360" s="3" t="s">
        <v>1640</v>
      </c>
      <c r="E360" s="3" t="s">
        <v>159</v>
      </c>
      <c r="F360" s="3">
        <v>28.99</v>
      </c>
      <c r="G360" s="3" t="s">
        <v>997</v>
      </c>
      <c r="H360" s="3"/>
      <c r="I360" s="3" t="s">
        <v>998</v>
      </c>
      <c r="J360" s="3">
        <v>0</v>
      </c>
      <c r="K360" s="3">
        <v>0</v>
      </c>
      <c r="L360" s="3">
        <v>0</v>
      </c>
      <c r="M360" s="3">
        <v>0</v>
      </c>
      <c r="N360" s="3">
        <v>0</v>
      </c>
      <c r="O360" s="3">
        <v>0.04</v>
      </c>
      <c r="P360" s="3">
        <v>0</v>
      </c>
      <c r="Q360" s="3">
        <v>0</v>
      </c>
      <c r="R360" s="3">
        <v>0</v>
      </c>
    </row>
    <row r="361" spans="1:18">
      <c r="A361" s="3" t="s">
        <v>1641</v>
      </c>
      <c r="B361" s="3" t="s">
        <v>1642</v>
      </c>
      <c r="C361" s="3" t="s">
        <v>1642</v>
      </c>
      <c r="D361" s="3" t="s">
        <v>1643</v>
      </c>
      <c r="E361" s="3" t="s">
        <v>159</v>
      </c>
      <c r="F361" s="3">
        <v>22.98</v>
      </c>
      <c r="G361" s="3" t="s">
        <v>997</v>
      </c>
      <c r="H361" s="3"/>
      <c r="I361" s="3" t="s">
        <v>998</v>
      </c>
      <c r="J361" s="3">
        <v>0</v>
      </c>
      <c r="K361" s="3">
        <v>0</v>
      </c>
      <c r="L361" s="3">
        <v>0</v>
      </c>
      <c r="M361" s="3">
        <v>0</v>
      </c>
      <c r="N361" s="3">
        <v>0</v>
      </c>
      <c r="O361" s="3">
        <v>0.05</v>
      </c>
      <c r="P361" s="3">
        <v>0</v>
      </c>
      <c r="Q361" s="3">
        <v>0</v>
      </c>
      <c r="R361" s="3">
        <v>0</v>
      </c>
    </row>
    <row r="362" spans="1:18">
      <c r="A362" s="3" t="s">
        <v>1644</v>
      </c>
      <c r="B362" s="3" t="s">
        <v>1645</v>
      </c>
      <c r="C362" s="3" t="s">
        <v>1645</v>
      </c>
      <c r="D362" s="3" t="s">
        <v>1646</v>
      </c>
      <c r="E362" s="3" t="s">
        <v>159</v>
      </c>
      <c r="F362" s="3">
        <v>21.98</v>
      </c>
      <c r="G362" s="3" t="s">
        <v>997</v>
      </c>
      <c r="H362" s="3"/>
      <c r="I362" s="3" t="s">
        <v>998</v>
      </c>
      <c r="J362" s="3">
        <v>0</v>
      </c>
      <c r="K362" s="3">
        <v>0</v>
      </c>
      <c r="L362" s="3">
        <v>0</v>
      </c>
      <c r="M362" s="3">
        <v>0</v>
      </c>
      <c r="N362" s="3">
        <v>0</v>
      </c>
      <c r="O362" s="3">
        <v>0.02</v>
      </c>
      <c r="P362" s="3">
        <v>0</v>
      </c>
      <c r="Q362" s="3">
        <v>0</v>
      </c>
      <c r="R362" s="3">
        <v>0</v>
      </c>
    </row>
    <row r="363" spans="1:18">
      <c r="A363" s="3" t="s">
        <v>763</v>
      </c>
      <c r="B363" s="3" t="s">
        <v>764</v>
      </c>
      <c r="C363" s="3" t="s">
        <v>764</v>
      </c>
      <c r="D363" s="3" t="s">
        <v>765</v>
      </c>
      <c r="E363" s="3" t="s">
        <v>159</v>
      </c>
      <c r="F363" s="3">
        <v>39.98</v>
      </c>
      <c r="G363" s="3" t="s">
        <v>997</v>
      </c>
      <c r="H363" s="3"/>
      <c r="I363" s="3" t="s">
        <v>998</v>
      </c>
      <c r="J363" s="3">
        <v>1</v>
      </c>
      <c r="K363" s="3">
        <v>1</v>
      </c>
      <c r="L363" s="3">
        <v>0</v>
      </c>
      <c r="M363" s="3">
        <v>0</v>
      </c>
      <c r="N363" s="3">
        <v>1</v>
      </c>
      <c r="O363" s="3">
        <v>0.02</v>
      </c>
      <c r="P363" s="3">
        <v>0</v>
      </c>
      <c r="Q363" s="3">
        <v>0</v>
      </c>
      <c r="R363" s="3">
        <v>0</v>
      </c>
    </row>
    <row r="364" spans="1:18">
      <c r="A364" s="3" t="s">
        <v>1647</v>
      </c>
      <c r="B364" s="3" t="s">
        <v>1648</v>
      </c>
      <c r="C364" s="3" t="s">
        <v>1648</v>
      </c>
      <c r="D364" s="3"/>
      <c r="E364" s="3" t="s">
        <v>1497</v>
      </c>
      <c r="F364" s="3"/>
      <c r="G364" s="3"/>
      <c r="H364" s="3"/>
      <c r="I364" s="3"/>
      <c r="J364" s="3">
        <v>0</v>
      </c>
      <c r="K364" s="3">
        <v>0</v>
      </c>
      <c r="L364" s="3">
        <v>0</v>
      </c>
      <c r="M364" s="3">
        <v>0</v>
      </c>
      <c r="N364" s="3">
        <v>0</v>
      </c>
      <c r="O364" s="3"/>
      <c r="P364" s="3">
        <v>0</v>
      </c>
      <c r="Q364" s="3">
        <v>0</v>
      </c>
      <c r="R364" s="3">
        <v>0</v>
      </c>
    </row>
    <row r="365" spans="1:18">
      <c r="A365" s="3" t="s">
        <v>1649</v>
      </c>
      <c r="B365" s="3" t="s">
        <v>1650</v>
      </c>
      <c r="C365" s="3" t="s">
        <v>1650</v>
      </c>
      <c r="D365" s="3"/>
      <c r="E365" s="3" t="s">
        <v>1497</v>
      </c>
      <c r="F365" s="3"/>
      <c r="G365" s="3"/>
      <c r="H365" s="3"/>
      <c r="I365" s="3"/>
      <c r="J365" s="3">
        <v>0</v>
      </c>
      <c r="K365" s="3">
        <v>0</v>
      </c>
      <c r="L365" s="3">
        <v>0</v>
      </c>
      <c r="M365" s="3">
        <v>0</v>
      </c>
      <c r="N365" s="3">
        <v>0</v>
      </c>
      <c r="O365" s="3"/>
      <c r="P365" s="3">
        <v>0</v>
      </c>
      <c r="Q365" s="3">
        <v>0</v>
      </c>
      <c r="R365" s="3">
        <v>0</v>
      </c>
    </row>
    <row r="366" spans="1:18">
      <c r="A366" s="3" t="s">
        <v>1651</v>
      </c>
      <c r="B366" s="3" t="s">
        <v>1652</v>
      </c>
      <c r="C366" s="3" t="s">
        <v>1652</v>
      </c>
      <c r="D366" s="3"/>
      <c r="E366" s="3" t="s">
        <v>1497</v>
      </c>
      <c r="F366" s="3"/>
      <c r="G366" s="3"/>
      <c r="H366" s="3"/>
      <c r="I366" s="3"/>
      <c r="J366" s="3">
        <v>0</v>
      </c>
      <c r="K366" s="3">
        <v>0</v>
      </c>
      <c r="L366" s="3">
        <v>0</v>
      </c>
      <c r="M366" s="3">
        <v>0</v>
      </c>
      <c r="N366" s="3">
        <v>0</v>
      </c>
      <c r="O366" s="3"/>
      <c r="P366" s="3">
        <v>0</v>
      </c>
      <c r="Q366" s="3">
        <v>0</v>
      </c>
      <c r="R366" s="3">
        <v>0</v>
      </c>
    </row>
    <row r="367" spans="1:18">
      <c r="A367" s="3" t="s">
        <v>1653</v>
      </c>
      <c r="B367" s="3" t="s">
        <v>1654</v>
      </c>
      <c r="C367" s="3" t="s">
        <v>1654</v>
      </c>
      <c r="D367" s="3"/>
      <c r="E367" s="3" t="s">
        <v>1497</v>
      </c>
      <c r="F367" s="3"/>
      <c r="G367" s="3"/>
      <c r="H367" s="3"/>
      <c r="I367" s="3"/>
      <c r="J367" s="3">
        <v>0</v>
      </c>
      <c r="K367" s="3">
        <v>0</v>
      </c>
      <c r="L367" s="3">
        <v>0</v>
      </c>
      <c r="M367" s="3">
        <v>0</v>
      </c>
      <c r="N367" s="3">
        <v>0</v>
      </c>
      <c r="O367" s="3"/>
      <c r="P367" s="3">
        <v>0</v>
      </c>
      <c r="Q367" s="3">
        <v>0</v>
      </c>
      <c r="R367" s="3">
        <v>0</v>
      </c>
    </row>
    <row r="368" spans="1:18">
      <c r="A368" s="3" t="s">
        <v>1655</v>
      </c>
      <c r="B368" s="3" t="s">
        <v>1656</v>
      </c>
      <c r="C368" s="3" t="s">
        <v>1656</v>
      </c>
      <c r="D368" s="3" t="s">
        <v>1657</v>
      </c>
      <c r="E368" s="3" t="s">
        <v>159</v>
      </c>
      <c r="F368" s="3">
        <v>39.98</v>
      </c>
      <c r="G368" s="3" t="s">
        <v>997</v>
      </c>
      <c r="H368" s="3"/>
      <c r="I368" s="3" t="s">
        <v>998</v>
      </c>
      <c r="J368" s="3">
        <v>2</v>
      </c>
      <c r="K368" s="3">
        <v>0</v>
      </c>
      <c r="L368" s="3">
        <v>2</v>
      </c>
      <c r="M368" s="3">
        <v>0</v>
      </c>
      <c r="N368" s="3">
        <v>2</v>
      </c>
      <c r="O368" s="3">
        <v>0.05</v>
      </c>
      <c r="P368" s="3">
        <v>0</v>
      </c>
      <c r="Q368" s="3">
        <v>0</v>
      </c>
      <c r="R368" s="3">
        <v>0</v>
      </c>
    </row>
    <row r="369" spans="1:18">
      <c r="A369" s="3" t="s">
        <v>1658</v>
      </c>
      <c r="B369" s="3" t="s">
        <v>1659</v>
      </c>
      <c r="C369" s="3" t="s">
        <v>1659</v>
      </c>
      <c r="D369" s="3"/>
      <c r="E369" s="3" t="s">
        <v>1497</v>
      </c>
      <c r="F369" s="3"/>
      <c r="G369" s="3"/>
      <c r="H369" s="3"/>
      <c r="I369" s="3"/>
      <c r="J369" s="3">
        <v>0</v>
      </c>
      <c r="K369" s="3">
        <v>0</v>
      </c>
      <c r="L369" s="3">
        <v>0</v>
      </c>
      <c r="M369" s="3">
        <v>0</v>
      </c>
      <c r="N369" s="3">
        <v>0</v>
      </c>
      <c r="O369" s="3"/>
      <c r="P369" s="3">
        <v>0</v>
      </c>
      <c r="Q369" s="3">
        <v>0</v>
      </c>
      <c r="R369" s="3">
        <v>0</v>
      </c>
    </row>
    <row r="370" spans="1:18">
      <c r="A370" s="3" t="s">
        <v>1660</v>
      </c>
      <c r="B370" s="3" t="s">
        <v>1661</v>
      </c>
      <c r="C370" s="3" t="s">
        <v>1661</v>
      </c>
      <c r="D370" s="3"/>
      <c r="E370" s="3" t="s">
        <v>1497</v>
      </c>
      <c r="F370" s="3"/>
      <c r="G370" s="3"/>
      <c r="H370" s="3"/>
      <c r="I370" s="3"/>
      <c r="J370" s="3">
        <v>0</v>
      </c>
      <c r="K370" s="3">
        <v>0</v>
      </c>
      <c r="L370" s="3">
        <v>0</v>
      </c>
      <c r="M370" s="3">
        <v>0</v>
      </c>
      <c r="N370" s="3">
        <v>0</v>
      </c>
      <c r="O370" s="3"/>
      <c r="P370" s="3">
        <v>0</v>
      </c>
      <c r="Q370" s="3">
        <v>0</v>
      </c>
      <c r="R370" s="3">
        <v>0</v>
      </c>
    </row>
    <row r="371" spans="1:18">
      <c r="A371" s="3" t="s">
        <v>1662</v>
      </c>
      <c r="B371" s="3" t="s">
        <v>1663</v>
      </c>
      <c r="C371" s="3" t="s">
        <v>1663</v>
      </c>
      <c r="D371" s="3"/>
      <c r="E371" s="3" t="s">
        <v>1497</v>
      </c>
      <c r="F371" s="3"/>
      <c r="G371" s="3"/>
      <c r="H371" s="3"/>
      <c r="I371" s="3"/>
      <c r="J371" s="3">
        <v>0</v>
      </c>
      <c r="K371" s="3">
        <v>0</v>
      </c>
      <c r="L371" s="3">
        <v>0</v>
      </c>
      <c r="M371" s="3">
        <v>0</v>
      </c>
      <c r="N371" s="3">
        <v>0</v>
      </c>
      <c r="O371" s="3"/>
      <c r="P371" s="3">
        <v>0</v>
      </c>
      <c r="Q371" s="3">
        <v>0</v>
      </c>
      <c r="R371" s="3">
        <v>0</v>
      </c>
    </row>
    <row r="372" spans="1:18">
      <c r="A372" s="3" t="s">
        <v>1664</v>
      </c>
      <c r="B372" s="3" t="s">
        <v>1665</v>
      </c>
      <c r="C372" s="3" t="s">
        <v>1665</v>
      </c>
      <c r="D372" s="3"/>
      <c r="E372" s="3" t="s">
        <v>1497</v>
      </c>
      <c r="F372" s="3"/>
      <c r="G372" s="3"/>
      <c r="H372" s="3"/>
      <c r="I372" s="3"/>
      <c r="J372" s="3">
        <v>0</v>
      </c>
      <c r="K372" s="3">
        <v>0</v>
      </c>
      <c r="L372" s="3">
        <v>0</v>
      </c>
      <c r="M372" s="3">
        <v>0</v>
      </c>
      <c r="N372" s="3">
        <v>0</v>
      </c>
      <c r="O372" s="3"/>
      <c r="P372" s="3">
        <v>0</v>
      </c>
      <c r="Q372" s="3">
        <v>0</v>
      </c>
      <c r="R372" s="3">
        <v>0</v>
      </c>
    </row>
    <row r="373" spans="1:18">
      <c r="A373" s="3" t="s">
        <v>1666</v>
      </c>
      <c r="B373" s="3" t="s">
        <v>1667</v>
      </c>
      <c r="C373" s="3" t="s">
        <v>1667</v>
      </c>
      <c r="D373" s="3"/>
      <c r="E373" s="3" t="s">
        <v>1497</v>
      </c>
      <c r="F373" s="3"/>
      <c r="G373" s="3"/>
      <c r="H373" s="3"/>
      <c r="I373" s="3"/>
      <c r="J373" s="3">
        <v>0</v>
      </c>
      <c r="K373" s="3">
        <v>0</v>
      </c>
      <c r="L373" s="3">
        <v>0</v>
      </c>
      <c r="M373" s="3">
        <v>0</v>
      </c>
      <c r="N373" s="3">
        <v>0</v>
      </c>
      <c r="O373" s="3"/>
      <c r="P373" s="3">
        <v>0</v>
      </c>
      <c r="Q373" s="3">
        <v>0</v>
      </c>
      <c r="R373" s="3">
        <v>0</v>
      </c>
    </row>
    <row r="374" spans="1:18">
      <c r="A374" s="3" t="s">
        <v>1668</v>
      </c>
      <c r="B374" s="3" t="s">
        <v>1669</v>
      </c>
      <c r="C374" s="3" t="s">
        <v>1669</v>
      </c>
      <c r="D374" s="3" t="s">
        <v>1670</v>
      </c>
      <c r="E374" s="3" t="s">
        <v>159</v>
      </c>
      <c r="F374" s="3">
        <v>39.98</v>
      </c>
      <c r="G374" s="3" t="s">
        <v>997</v>
      </c>
      <c r="H374" s="3"/>
      <c r="I374" s="3" t="s">
        <v>998</v>
      </c>
      <c r="J374" s="3">
        <v>0</v>
      </c>
      <c r="K374" s="3">
        <v>0</v>
      </c>
      <c r="L374" s="3">
        <v>0</v>
      </c>
      <c r="M374" s="3">
        <v>0</v>
      </c>
      <c r="N374" s="3">
        <v>0</v>
      </c>
      <c r="O374" s="3">
        <v>0.05</v>
      </c>
      <c r="P374" s="3">
        <v>0</v>
      </c>
      <c r="Q374" s="3">
        <v>0</v>
      </c>
      <c r="R374" s="3">
        <v>0</v>
      </c>
    </row>
    <row r="375" spans="1:18">
      <c r="A375" s="3" t="s">
        <v>1671</v>
      </c>
      <c r="B375" s="3" t="s">
        <v>1672</v>
      </c>
      <c r="C375" s="3" t="s">
        <v>1672</v>
      </c>
      <c r="D375" s="3"/>
      <c r="E375" s="3" t="s">
        <v>1497</v>
      </c>
      <c r="F375" s="3"/>
      <c r="G375" s="3"/>
      <c r="H375" s="3"/>
      <c r="I375" s="3"/>
      <c r="J375" s="3">
        <v>0</v>
      </c>
      <c r="K375" s="3">
        <v>0</v>
      </c>
      <c r="L375" s="3">
        <v>0</v>
      </c>
      <c r="M375" s="3">
        <v>0</v>
      </c>
      <c r="N375" s="3">
        <v>0</v>
      </c>
      <c r="O375" s="3"/>
      <c r="P375" s="3">
        <v>0</v>
      </c>
      <c r="Q375" s="3">
        <v>0</v>
      </c>
      <c r="R375" s="3">
        <v>0</v>
      </c>
    </row>
    <row r="376" spans="1:18">
      <c r="A376" s="3" t="s">
        <v>1673</v>
      </c>
      <c r="B376" s="3" t="s">
        <v>1674</v>
      </c>
      <c r="C376" s="3" t="s">
        <v>1674</v>
      </c>
      <c r="D376" s="3"/>
      <c r="E376" s="3" t="s">
        <v>1497</v>
      </c>
      <c r="F376" s="3"/>
      <c r="G376" s="3"/>
      <c r="H376" s="3"/>
      <c r="I376" s="3"/>
      <c r="J376" s="3">
        <v>0</v>
      </c>
      <c r="K376" s="3">
        <v>0</v>
      </c>
      <c r="L376" s="3">
        <v>0</v>
      </c>
      <c r="M376" s="3">
        <v>0</v>
      </c>
      <c r="N376" s="3">
        <v>0</v>
      </c>
      <c r="O376" s="3"/>
      <c r="P376" s="3">
        <v>0</v>
      </c>
      <c r="Q376" s="3">
        <v>0</v>
      </c>
      <c r="R376" s="3">
        <v>0</v>
      </c>
    </row>
    <row r="377" spans="1:18">
      <c r="A377" s="3" t="s">
        <v>1675</v>
      </c>
      <c r="B377" s="3" t="s">
        <v>1676</v>
      </c>
      <c r="C377" s="3" t="s">
        <v>1676</v>
      </c>
      <c r="D377" s="3"/>
      <c r="E377" s="3" t="s">
        <v>1497</v>
      </c>
      <c r="F377" s="3"/>
      <c r="G377" s="3"/>
      <c r="H377" s="3"/>
      <c r="I377" s="3"/>
      <c r="J377" s="3">
        <v>0</v>
      </c>
      <c r="K377" s="3">
        <v>0</v>
      </c>
      <c r="L377" s="3">
        <v>0</v>
      </c>
      <c r="M377" s="3">
        <v>0</v>
      </c>
      <c r="N377" s="3">
        <v>0</v>
      </c>
      <c r="O377" s="3"/>
      <c r="P377" s="3">
        <v>0</v>
      </c>
      <c r="Q377" s="3">
        <v>0</v>
      </c>
      <c r="R377" s="3">
        <v>0</v>
      </c>
    </row>
    <row r="378" spans="1:18">
      <c r="A378" s="3" t="s">
        <v>1677</v>
      </c>
      <c r="B378" s="3" t="s">
        <v>1678</v>
      </c>
      <c r="C378" s="3" t="s">
        <v>1678</v>
      </c>
      <c r="D378" s="3"/>
      <c r="E378" s="3" t="s">
        <v>1497</v>
      </c>
      <c r="F378" s="3"/>
      <c r="G378" s="3"/>
      <c r="H378" s="3"/>
      <c r="I378" s="3"/>
      <c r="J378" s="3">
        <v>0</v>
      </c>
      <c r="K378" s="3">
        <v>0</v>
      </c>
      <c r="L378" s="3">
        <v>0</v>
      </c>
      <c r="M378" s="3">
        <v>0</v>
      </c>
      <c r="N378" s="3">
        <v>0</v>
      </c>
      <c r="O378" s="3"/>
      <c r="P378" s="3">
        <v>0</v>
      </c>
      <c r="Q378" s="3">
        <v>0</v>
      </c>
      <c r="R378" s="3">
        <v>0</v>
      </c>
    </row>
    <row r="379" spans="1:18">
      <c r="A379" s="3" t="s">
        <v>1679</v>
      </c>
      <c r="B379" s="3" t="s">
        <v>1680</v>
      </c>
      <c r="C379" s="3" t="s">
        <v>1680</v>
      </c>
      <c r="D379" s="3"/>
      <c r="E379" s="3" t="s">
        <v>1497</v>
      </c>
      <c r="F379" s="3"/>
      <c r="G379" s="3"/>
      <c r="H379" s="3"/>
      <c r="I379" s="3"/>
      <c r="J379" s="3">
        <v>0</v>
      </c>
      <c r="K379" s="3">
        <v>0</v>
      </c>
      <c r="L379" s="3">
        <v>0</v>
      </c>
      <c r="M379" s="3">
        <v>0</v>
      </c>
      <c r="N379" s="3">
        <v>0</v>
      </c>
      <c r="O379" s="3"/>
      <c r="P379" s="3">
        <v>0</v>
      </c>
      <c r="Q379" s="3">
        <v>0</v>
      </c>
      <c r="R379" s="3">
        <v>0</v>
      </c>
    </row>
    <row r="380" spans="1:18">
      <c r="A380" s="3" t="s">
        <v>1681</v>
      </c>
      <c r="B380" s="3" t="s">
        <v>1682</v>
      </c>
      <c r="C380" s="3" t="s">
        <v>1682</v>
      </c>
      <c r="D380" s="3"/>
      <c r="E380" s="3" t="s">
        <v>1497</v>
      </c>
      <c r="F380" s="3"/>
      <c r="G380" s="3"/>
      <c r="H380" s="3"/>
      <c r="I380" s="3"/>
      <c r="J380" s="3">
        <v>0</v>
      </c>
      <c r="K380" s="3">
        <v>0</v>
      </c>
      <c r="L380" s="3">
        <v>0</v>
      </c>
      <c r="M380" s="3">
        <v>0</v>
      </c>
      <c r="N380" s="3">
        <v>0</v>
      </c>
      <c r="O380" s="3"/>
      <c r="P380" s="3">
        <v>0</v>
      </c>
      <c r="Q380" s="3">
        <v>0</v>
      </c>
      <c r="R380" s="3">
        <v>0</v>
      </c>
    </row>
    <row r="381" spans="1:18">
      <c r="A381" s="3" t="s">
        <v>1683</v>
      </c>
      <c r="B381" s="3" t="s">
        <v>1684</v>
      </c>
      <c r="C381" s="3" t="s">
        <v>1684</v>
      </c>
      <c r="D381" s="3"/>
      <c r="E381" s="3" t="s">
        <v>1497</v>
      </c>
      <c r="F381" s="3"/>
      <c r="G381" s="3"/>
      <c r="H381" s="3"/>
      <c r="I381" s="3"/>
      <c r="J381" s="3">
        <v>0</v>
      </c>
      <c r="K381" s="3">
        <v>0</v>
      </c>
      <c r="L381" s="3">
        <v>0</v>
      </c>
      <c r="M381" s="3">
        <v>0</v>
      </c>
      <c r="N381" s="3">
        <v>0</v>
      </c>
      <c r="O381" s="3"/>
      <c r="P381" s="3">
        <v>0</v>
      </c>
      <c r="Q381" s="3">
        <v>0</v>
      </c>
      <c r="R381" s="3">
        <v>0</v>
      </c>
    </row>
    <row r="382" spans="1:18">
      <c r="A382" s="3" t="s">
        <v>1685</v>
      </c>
      <c r="B382" s="3" t="s">
        <v>1686</v>
      </c>
      <c r="C382" s="3" t="s">
        <v>1686</v>
      </c>
      <c r="D382" s="3"/>
      <c r="E382" s="3" t="s">
        <v>1497</v>
      </c>
      <c r="F382" s="3"/>
      <c r="G382" s="3"/>
      <c r="H382" s="3"/>
      <c r="I382" s="3"/>
      <c r="J382" s="3">
        <v>0</v>
      </c>
      <c r="K382" s="3">
        <v>0</v>
      </c>
      <c r="L382" s="3">
        <v>0</v>
      </c>
      <c r="M382" s="3">
        <v>0</v>
      </c>
      <c r="N382" s="3">
        <v>0</v>
      </c>
      <c r="O382" s="3"/>
      <c r="P382" s="3">
        <v>0</v>
      </c>
      <c r="Q382" s="3">
        <v>0</v>
      </c>
      <c r="R382" s="3">
        <v>0</v>
      </c>
    </row>
    <row r="383" spans="1:18">
      <c r="A383" s="3" t="s">
        <v>1687</v>
      </c>
      <c r="B383" s="3" t="s">
        <v>1688</v>
      </c>
      <c r="C383" s="3" t="s">
        <v>1688</v>
      </c>
      <c r="D383" s="3" t="s">
        <v>1689</v>
      </c>
      <c r="E383" s="3" t="s">
        <v>159</v>
      </c>
      <c r="F383" s="3">
        <v>12.98</v>
      </c>
      <c r="G383" s="3" t="s">
        <v>997</v>
      </c>
      <c r="H383" s="3"/>
      <c r="I383" s="3" t="s">
        <v>998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0.07</v>
      </c>
      <c r="P383" s="3">
        <v>0</v>
      </c>
      <c r="Q383" s="3">
        <v>0</v>
      </c>
      <c r="R383" s="3">
        <v>0</v>
      </c>
    </row>
    <row r="384" spans="1:18">
      <c r="A384" s="3" t="s">
        <v>1690</v>
      </c>
      <c r="B384" s="3" t="s">
        <v>1691</v>
      </c>
      <c r="C384" s="3" t="s">
        <v>1691</v>
      </c>
      <c r="D384" s="3"/>
      <c r="E384" s="3" t="s">
        <v>1497</v>
      </c>
      <c r="F384" s="3"/>
      <c r="G384" s="3"/>
      <c r="H384" s="3"/>
      <c r="I384" s="3"/>
      <c r="J384" s="3">
        <v>0</v>
      </c>
      <c r="K384" s="3">
        <v>0</v>
      </c>
      <c r="L384" s="3">
        <v>0</v>
      </c>
      <c r="M384" s="3">
        <v>0</v>
      </c>
      <c r="N384" s="3">
        <v>0</v>
      </c>
      <c r="O384" s="3"/>
      <c r="P384" s="3">
        <v>0</v>
      </c>
      <c r="Q384" s="3">
        <v>0</v>
      </c>
      <c r="R384" s="3">
        <v>0</v>
      </c>
    </row>
    <row r="385" spans="1:18">
      <c r="A385" s="3" t="s">
        <v>1692</v>
      </c>
      <c r="B385" s="3" t="s">
        <v>1693</v>
      </c>
      <c r="C385" s="3" t="s">
        <v>1693</v>
      </c>
      <c r="D385" s="3"/>
      <c r="E385" s="3" t="s">
        <v>1497</v>
      </c>
      <c r="F385" s="3"/>
      <c r="G385" s="3"/>
      <c r="H385" s="3"/>
      <c r="I385" s="3"/>
      <c r="J385" s="3">
        <v>0</v>
      </c>
      <c r="K385" s="3">
        <v>0</v>
      </c>
      <c r="L385" s="3">
        <v>0</v>
      </c>
      <c r="M385" s="3">
        <v>0</v>
      </c>
      <c r="N385" s="3">
        <v>0</v>
      </c>
      <c r="O385" s="3"/>
      <c r="P385" s="3">
        <v>0</v>
      </c>
      <c r="Q385" s="3">
        <v>0</v>
      </c>
      <c r="R385" s="3">
        <v>0</v>
      </c>
    </row>
    <row r="386" spans="1:18">
      <c r="A386" s="3" t="s">
        <v>504</v>
      </c>
      <c r="B386" s="3" t="s">
        <v>505</v>
      </c>
      <c r="C386" s="3" t="s">
        <v>505</v>
      </c>
      <c r="D386" s="3" t="s">
        <v>506</v>
      </c>
      <c r="E386" s="3" t="s">
        <v>159</v>
      </c>
      <c r="F386" s="3">
        <v>39.98</v>
      </c>
      <c r="G386" s="3" t="s">
        <v>997</v>
      </c>
      <c r="H386" s="3"/>
      <c r="I386" s="3" t="s">
        <v>998</v>
      </c>
      <c r="J386" s="3">
        <v>2</v>
      </c>
      <c r="K386" s="3">
        <v>2</v>
      </c>
      <c r="L386" s="3">
        <v>0</v>
      </c>
      <c r="M386" s="3">
        <v>0</v>
      </c>
      <c r="N386" s="3">
        <v>2</v>
      </c>
      <c r="O386" s="3">
        <v>0.13</v>
      </c>
      <c r="P386" s="3">
        <v>0</v>
      </c>
      <c r="Q386" s="3">
        <v>0</v>
      </c>
      <c r="R386" s="3">
        <v>0</v>
      </c>
    </row>
    <row r="387" spans="1:18">
      <c r="A387" s="3" t="s">
        <v>361</v>
      </c>
      <c r="B387" s="3" t="s">
        <v>362</v>
      </c>
      <c r="C387" s="3" t="s">
        <v>362</v>
      </c>
      <c r="D387" s="3" t="s">
        <v>363</v>
      </c>
      <c r="E387" s="3" t="s">
        <v>159</v>
      </c>
      <c r="F387" s="3">
        <v>39.98</v>
      </c>
      <c r="G387" s="3" t="s">
        <v>997</v>
      </c>
      <c r="H387" s="3"/>
      <c r="I387" s="3" t="s">
        <v>998</v>
      </c>
      <c r="J387" s="3">
        <v>3</v>
      </c>
      <c r="K387" s="3">
        <v>3</v>
      </c>
      <c r="L387" s="3">
        <v>0</v>
      </c>
      <c r="M387" s="3">
        <v>0</v>
      </c>
      <c r="N387" s="3">
        <v>3</v>
      </c>
      <c r="O387" s="3">
        <v>0.17</v>
      </c>
      <c r="P387" s="3">
        <v>0</v>
      </c>
      <c r="Q387" s="3">
        <v>0</v>
      </c>
      <c r="R387" s="3">
        <v>0</v>
      </c>
    </row>
    <row r="388" spans="1:18">
      <c r="A388" s="3" t="s">
        <v>1694</v>
      </c>
      <c r="B388" s="3" t="s">
        <v>1695</v>
      </c>
      <c r="C388" s="3" t="s">
        <v>1695</v>
      </c>
      <c r="D388" s="3"/>
      <c r="E388" s="3" t="s">
        <v>1497</v>
      </c>
      <c r="F388" s="3"/>
      <c r="G388" s="3"/>
      <c r="H388" s="3"/>
      <c r="I388" s="3"/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/>
      <c r="P388" s="3">
        <v>0</v>
      </c>
      <c r="Q388" s="3">
        <v>0</v>
      </c>
      <c r="R388" s="3">
        <v>0</v>
      </c>
    </row>
    <row r="389" spans="1:18">
      <c r="A389" s="3" t="s">
        <v>1696</v>
      </c>
      <c r="B389" s="3" t="s">
        <v>1697</v>
      </c>
      <c r="C389" s="3" t="s">
        <v>1697</v>
      </c>
      <c r="D389" s="3"/>
      <c r="E389" s="3" t="s">
        <v>1497</v>
      </c>
      <c r="F389" s="3"/>
      <c r="G389" s="3"/>
      <c r="H389" s="3"/>
      <c r="I389" s="3"/>
      <c r="J389" s="3">
        <v>0</v>
      </c>
      <c r="K389" s="3">
        <v>0</v>
      </c>
      <c r="L389" s="3">
        <v>0</v>
      </c>
      <c r="M389" s="3">
        <v>0</v>
      </c>
      <c r="N389" s="3">
        <v>0</v>
      </c>
      <c r="O389" s="3"/>
      <c r="P389" s="3">
        <v>0</v>
      </c>
      <c r="Q389" s="3">
        <v>0</v>
      </c>
      <c r="R389" s="3">
        <v>0</v>
      </c>
    </row>
    <row r="390" spans="1:18">
      <c r="A390" s="3" t="s">
        <v>725</v>
      </c>
      <c r="B390" s="3" t="s">
        <v>726</v>
      </c>
      <c r="C390" s="3" t="s">
        <v>726</v>
      </c>
      <c r="D390" s="3" t="s">
        <v>727</v>
      </c>
      <c r="E390" s="3" t="s">
        <v>159</v>
      </c>
      <c r="F390" s="3">
        <v>39.98</v>
      </c>
      <c r="G390" s="3" t="s">
        <v>997</v>
      </c>
      <c r="H390" s="3"/>
      <c r="I390" s="3" t="s">
        <v>998</v>
      </c>
      <c r="J390" s="3">
        <v>13</v>
      </c>
      <c r="K390" s="3">
        <v>13</v>
      </c>
      <c r="L390" s="3">
        <v>0</v>
      </c>
      <c r="M390" s="3">
        <v>0</v>
      </c>
      <c r="N390" s="3">
        <v>13</v>
      </c>
      <c r="O390" s="3">
        <v>0.17</v>
      </c>
      <c r="P390" s="3">
        <v>0</v>
      </c>
      <c r="Q390" s="3">
        <v>0</v>
      </c>
      <c r="R390" s="3">
        <v>0</v>
      </c>
    </row>
    <row r="391" spans="1:18">
      <c r="A391" s="3" t="s">
        <v>1698</v>
      </c>
      <c r="B391" s="3" t="s">
        <v>1699</v>
      </c>
      <c r="C391" s="3" t="s">
        <v>1699</v>
      </c>
      <c r="D391" s="3"/>
      <c r="E391" s="3" t="s">
        <v>1497</v>
      </c>
      <c r="F391" s="3"/>
      <c r="G391" s="3"/>
      <c r="H391" s="3"/>
      <c r="I391" s="3"/>
      <c r="J391" s="3">
        <v>0</v>
      </c>
      <c r="K391" s="3">
        <v>0</v>
      </c>
      <c r="L391" s="3">
        <v>0</v>
      </c>
      <c r="M391" s="3">
        <v>0</v>
      </c>
      <c r="N391" s="3">
        <v>0</v>
      </c>
      <c r="O391" s="3"/>
      <c r="P391" s="3">
        <v>0</v>
      </c>
      <c r="Q391" s="3">
        <v>0</v>
      </c>
      <c r="R391" s="3">
        <v>0</v>
      </c>
    </row>
    <row r="392" spans="1:18">
      <c r="A392" s="3" t="s">
        <v>1700</v>
      </c>
      <c r="B392" s="3" t="s">
        <v>1701</v>
      </c>
      <c r="C392" s="3" t="s">
        <v>1701</v>
      </c>
      <c r="D392" s="3"/>
      <c r="E392" s="3" t="s">
        <v>1497</v>
      </c>
      <c r="F392" s="3"/>
      <c r="G392" s="3"/>
      <c r="H392" s="3"/>
      <c r="I392" s="3"/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/>
      <c r="P392" s="3">
        <v>0</v>
      </c>
      <c r="Q392" s="3">
        <v>0</v>
      </c>
      <c r="R392" s="3">
        <v>0</v>
      </c>
    </row>
    <row r="393" spans="1:18">
      <c r="A393" s="3" t="s">
        <v>1702</v>
      </c>
      <c r="B393" s="3" t="s">
        <v>1703</v>
      </c>
      <c r="C393" s="3" t="s">
        <v>1703</v>
      </c>
      <c r="D393" s="3"/>
      <c r="E393" s="3" t="s">
        <v>1497</v>
      </c>
      <c r="F393" s="3"/>
      <c r="G393" s="3"/>
      <c r="H393" s="3"/>
      <c r="I393" s="3"/>
      <c r="J393" s="3">
        <v>0</v>
      </c>
      <c r="K393" s="3">
        <v>0</v>
      </c>
      <c r="L393" s="3">
        <v>0</v>
      </c>
      <c r="M393" s="3">
        <v>0</v>
      </c>
      <c r="N393" s="3">
        <v>0</v>
      </c>
      <c r="O393" s="3"/>
      <c r="P393" s="3">
        <v>0</v>
      </c>
      <c r="Q393" s="3">
        <v>0</v>
      </c>
      <c r="R393" s="3">
        <v>0</v>
      </c>
    </row>
    <row r="394" spans="1:18">
      <c r="A394" s="3" t="s">
        <v>1704</v>
      </c>
      <c r="B394" s="3" t="s">
        <v>1705</v>
      </c>
      <c r="C394" s="3" t="s">
        <v>1705</v>
      </c>
      <c r="D394" s="3" t="s">
        <v>1706</v>
      </c>
      <c r="E394" s="3" t="s">
        <v>159</v>
      </c>
      <c r="F394" s="3">
        <v>35.99</v>
      </c>
      <c r="G394" s="3" t="s">
        <v>997</v>
      </c>
      <c r="H394" s="3"/>
      <c r="I394" s="3" t="s">
        <v>998</v>
      </c>
      <c r="J394" s="3">
        <v>0</v>
      </c>
      <c r="K394" s="3">
        <v>0</v>
      </c>
      <c r="L394" s="3">
        <v>0</v>
      </c>
      <c r="M394" s="3">
        <v>0</v>
      </c>
      <c r="N394" s="3">
        <v>0</v>
      </c>
      <c r="O394" s="3">
        <v>0.21</v>
      </c>
      <c r="P394" s="3">
        <v>0</v>
      </c>
      <c r="Q394" s="3">
        <v>0</v>
      </c>
      <c r="R394" s="3">
        <v>0</v>
      </c>
    </row>
    <row r="395" spans="1:18">
      <c r="A395" s="3" t="s">
        <v>204</v>
      </c>
      <c r="B395" s="3" t="s">
        <v>205</v>
      </c>
      <c r="C395" s="3" t="s">
        <v>205</v>
      </c>
      <c r="D395" s="3" t="s">
        <v>206</v>
      </c>
      <c r="E395" s="3" t="s">
        <v>159</v>
      </c>
      <c r="F395" s="3">
        <v>35.99</v>
      </c>
      <c r="G395" s="3" t="s">
        <v>997</v>
      </c>
      <c r="H395" s="3"/>
      <c r="I395" s="3" t="s">
        <v>998</v>
      </c>
      <c r="J395" s="3">
        <v>6</v>
      </c>
      <c r="K395" s="3">
        <v>6</v>
      </c>
      <c r="L395" s="3">
        <v>0</v>
      </c>
      <c r="M395" s="3">
        <v>0</v>
      </c>
      <c r="N395" s="3">
        <v>6</v>
      </c>
      <c r="O395" s="3">
        <v>0.21</v>
      </c>
      <c r="P395" s="3">
        <v>0</v>
      </c>
      <c r="Q395" s="3">
        <v>0</v>
      </c>
      <c r="R395" s="3">
        <v>0</v>
      </c>
    </row>
    <row r="396" spans="1:18">
      <c r="A396" s="3" t="s">
        <v>383</v>
      </c>
      <c r="B396" s="3" t="s">
        <v>384</v>
      </c>
      <c r="C396" s="3" t="s">
        <v>384</v>
      </c>
      <c r="D396" s="3" t="s">
        <v>385</v>
      </c>
      <c r="E396" s="3" t="s">
        <v>159</v>
      </c>
      <c r="F396" s="3">
        <v>35.99</v>
      </c>
      <c r="G396" s="3" t="s">
        <v>997</v>
      </c>
      <c r="H396" s="3"/>
      <c r="I396" s="3" t="s">
        <v>998</v>
      </c>
      <c r="J396" s="3">
        <v>2</v>
      </c>
      <c r="K396" s="3">
        <v>2</v>
      </c>
      <c r="L396" s="3">
        <v>0</v>
      </c>
      <c r="M396" s="3">
        <v>0</v>
      </c>
      <c r="N396" s="3">
        <v>2</v>
      </c>
      <c r="O396" s="3">
        <v>0.21</v>
      </c>
      <c r="P396" s="3">
        <v>0</v>
      </c>
      <c r="Q396" s="3">
        <v>0</v>
      </c>
      <c r="R396" s="3">
        <v>0</v>
      </c>
    </row>
    <row r="397" spans="1:18">
      <c r="A397" s="3" t="s">
        <v>1707</v>
      </c>
      <c r="B397" s="3" t="s">
        <v>1708</v>
      </c>
      <c r="C397" s="3" t="s">
        <v>1708</v>
      </c>
      <c r="D397" s="3" t="s">
        <v>1709</v>
      </c>
      <c r="E397" s="3" t="s">
        <v>159</v>
      </c>
      <c r="F397" s="3">
        <v>35.99</v>
      </c>
      <c r="G397" s="3" t="s">
        <v>997</v>
      </c>
      <c r="H397" s="3"/>
      <c r="I397" s="3" t="s">
        <v>998</v>
      </c>
      <c r="J397" s="3">
        <v>0</v>
      </c>
      <c r="K397" s="3">
        <v>0</v>
      </c>
      <c r="L397" s="3">
        <v>0</v>
      </c>
      <c r="M397" s="3">
        <v>0</v>
      </c>
      <c r="N397" s="3">
        <v>0</v>
      </c>
      <c r="O397" s="3">
        <v>0.21</v>
      </c>
      <c r="P397" s="3">
        <v>0</v>
      </c>
      <c r="Q397" s="3">
        <v>0</v>
      </c>
      <c r="R397" s="3">
        <v>0</v>
      </c>
    </row>
    <row r="398" spans="1:18">
      <c r="A398" s="3" t="s">
        <v>899</v>
      </c>
      <c r="B398" s="3" t="s">
        <v>900</v>
      </c>
      <c r="C398" s="3" t="s">
        <v>900</v>
      </c>
      <c r="D398" s="3" t="s">
        <v>901</v>
      </c>
      <c r="E398" s="3" t="s">
        <v>159</v>
      </c>
      <c r="F398" s="3">
        <v>35.99</v>
      </c>
      <c r="G398" s="3" t="s">
        <v>997</v>
      </c>
      <c r="H398" s="3"/>
      <c r="I398" s="3" t="s">
        <v>998</v>
      </c>
      <c r="J398" s="3">
        <v>5</v>
      </c>
      <c r="K398" s="3">
        <v>5</v>
      </c>
      <c r="L398" s="3">
        <v>0</v>
      </c>
      <c r="M398" s="3">
        <v>0</v>
      </c>
      <c r="N398" s="3">
        <v>5</v>
      </c>
      <c r="O398" s="3">
        <v>0.21</v>
      </c>
      <c r="P398" s="3">
        <v>0</v>
      </c>
      <c r="Q398" s="3">
        <v>0</v>
      </c>
      <c r="R398" s="3">
        <v>0</v>
      </c>
    </row>
    <row r="399" spans="1:18">
      <c r="A399" s="3" t="s">
        <v>451</v>
      </c>
      <c r="B399" s="3" t="s">
        <v>452</v>
      </c>
      <c r="C399" s="3" t="s">
        <v>452</v>
      </c>
      <c r="D399" s="3" t="s">
        <v>453</v>
      </c>
      <c r="E399" s="3" t="s">
        <v>159</v>
      </c>
      <c r="F399" s="3">
        <v>35.99</v>
      </c>
      <c r="G399" s="3" t="s">
        <v>997</v>
      </c>
      <c r="H399" s="3"/>
      <c r="I399" s="3" t="s">
        <v>998</v>
      </c>
      <c r="J399" s="3">
        <v>15</v>
      </c>
      <c r="K399" s="3">
        <v>15</v>
      </c>
      <c r="L399" s="3">
        <v>0</v>
      </c>
      <c r="M399" s="3">
        <v>0</v>
      </c>
      <c r="N399" s="3">
        <v>15</v>
      </c>
      <c r="O399" s="3">
        <v>0.21</v>
      </c>
      <c r="P399" s="3">
        <v>0</v>
      </c>
      <c r="Q399" s="3">
        <v>0</v>
      </c>
      <c r="R399" s="3">
        <v>0</v>
      </c>
    </row>
    <row r="400" spans="1:18">
      <c r="A400" s="3" t="s">
        <v>420</v>
      </c>
      <c r="B400" s="3" t="s">
        <v>421</v>
      </c>
      <c r="C400" s="3" t="s">
        <v>421</v>
      </c>
      <c r="D400" s="3" t="s">
        <v>422</v>
      </c>
      <c r="E400" s="3" t="s">
        <v>159</v>
      </c>
      <c r="F400" s="3">
        <v>35.99</v>
      </c>
      <c r="G400" s="3" t="s">
        <v>997</v>
      </c>
      <c r="H400" s="3"/>
      <c r="I400" s="3" t="s">
        <v>998</v>
      </c>
      <c r="J400" s="3">
        <v>14</v>
      </c>
      <c r="K400" s="3">
        <v>14</v>
      </c>
      <c r="L400" s="3">
        <v>0</v>
      </c>
      <c r="M400" s="3">
        <v>0</v>
      </c>
      <c r="N400" s="3">
        <v>14</v>
      </c>
      <c r="O400" s="3">
        <v>0.21</v>
      </c>
      <c r="P400" s="3">
        <v>0</v>
      </c>
      <c r="Q400" s="3">
        <v>0</v>
      </c>
      <c r="R400" s="3">
        <v>0</v>
      </c>
    </row>
    <row r="401" spans="1:18">
      <c r="A401" s="3" t="s">
        <v>602</v>
      </c>
      <c r="B401" s="3" t="s">
        <v>603</v>
      </c>
      <c r="C401" s="3" t="s">
        <v>603</v>
      </c>
      <c r="D401" s="3" t="s">
        <v>604</v>
      </c>
      <c r="E401" s="3" t="s">
        <v>159</v>
      </c>
      <c r="F401" s="3">
        <v>35.99</v>
      </c>
      <c r="G401" s="3" t="s">
        <v>997</v>
      </c>
      <c r="H401" s="3"/>
      <c r="I401" s="3" t="s">
        <v>998</v>
      </c>
      <c r="J401" s="3">
        <v>5</v>
      </c>
      <c r="K401" s="3">
        <v>5</v>
      </c>
      <c r="L401" s="3">
        <v>0</v>
      </c>
      <c r="M401" s="3">
        <v>0</v>
      </c>
      <c r="N401" s="3">
        <v>5</v>
      </c>
      <c r="O401" s="3">
        <v>0.21</v>
      </c>
      <c r="P401" s="3">
        <v>0</v>
      </c>
      <c r="Q401" s="3">
        <v>0</v>
      </c>
      <c r="R401" s="3">
        <v>0</v>
      </c>
    </row>
    <row r="402" spans="1:18">
      <c r="A402" s="3" t="s">
        <v>546</v>
      </c>
      <c r="B402" s="3" t="s">
        <v>547</v>
      </c>
      <c r="C402" s="3" t="s">
        <v>547</v>
      </c>
      <c r="D402" s="3" t="s">
        <v>548</v>
      </c>
      <c r="E402" s="3" t="s">
        <v>159</v>
      </c>
      <c r="F402" s="3">
        <v>35.99</v>
      </c>
      <c r="G402" s="3" t="s">
        <v>997</v>
      </c>
      <c r="H402" s="3"/>
      <c r="I402" s="3" t="s">
        <v>998</v>
      </c>
      <c r="J402" s="3">
        <v>6</v>
      </c>
      <c r="K402" s="3">
        <v>6</v>
      </c>
      <c r="L402" s="3">
        <v>0</v>
      </c>
      <c r="M402" s="3">
        <v>0</v>
      </c>
      <c r="N402" s="3">
        <v>6</v>
      </c>
      <c r="O402" s="3">
        <v>0.21</v>
      </c>
      <c r="P402" s="3">
        <v>0</v>
      </c>
      <c r="Q402" s="3">
        <v>0</v>
      </c>
      <c r="R402" s="3">
        <v>0</v>
      </c>
    </row>
    <row r="403" spans="1:18">
      <c r="A403" s="3" t="s">
        <v>242</v>
      </c>
      <c r="B403" s="3" t="s">
        <v>243</v>
      </c>
      <c r="C403" s="3" t="s">
        <v>243</v>
      </c>
      <c r="D403" s="3" t="s">
        <v>244</v>
      </c>
      <c r="E403" s="3" t="s">
        <v>159</v>
      </c>
      <c r="F403" s="3">
        <v>35.99</v>
      </c>
      <c r="G403" s="3" t="s">
        <v>997</v>
      </c>
      <c r="H403" s="3"/>
      <c r="I403" s="3" t="s">
        <v>998</v>
      </c>
      <c r="J403" s="3">
        <v>18</v>
      </c>
      <c r="K403" s="3">
        <v>18</v>
      </c>
      <c r="L403" s="3">
        <v>0</v>
      </c>
      <c r="M403" s="3">
        <v>0</v>
      </c>
      <c r="N403" s="3">
        <v>18</v>
      </c>
      <c r="O403" s="3">
        <v>0.21</v>
      </c>
      <c r="P403" s="3">
        <v>0</v>
      </c>
      <c r="Q403" s="3">
        <v>0</v>
      </c>
      <c r="R403" s="3">
        <v>0</v>
      </c>
    </row>
    <row r="404" spans="1:18">
      <c r="A404" s="3" t="s">
        <v>365</v>
      </c>
      <c r="B404" s="3" t="s">
        <v>366</v>
      </c>
      <c r="C404" s="3" t="s">
        <v>366</v>
      </c>
      <c r="D404" s="3" t="s">
        <v>367</v>
      </c>
      <c r="E404" s="3" t="s">
        <v>159</v>
      </c>
      <c r="F404" s="3">
        <v>35.99</v>
      </c>
      <c r="G404" s="3" t="s">
        <v>997</v>
      </c>
      <c r="H404" s="3"/>
      <c r="I404" s="3" t="s">
        <v>998</v>
      </c>
      <c r="J404" s="3">
        <v>14</v>
      </c>
      <c r="K404" s="3">
        <v>14</v>
      </c>
      <c r="L404" s="3">
        <v>0</v>
      </c>
      <c r="M404" s="3">
        <v>0</v>
      </c>
      <c r="N404" s="3">
        <v>14</v>
      </c>
      <c r="O404" s="3">
        <v>0.21</v>
      </c>
      <c r="P404" s="3">
        <v>0</v>
      </c>
      <c r="Q404" s="3">
        <v>0</v>
      </c>
      <c r="R404" s="3">
        <v>0</v>
      </c>
    </row>
    <row r="405" spans="1:18">
      <c r="A405" s="3" t="s">
        <v>861</v>
      </c>
      <c r="B405" s="3" t="s">
        <v>862</v>
      </c>
      <c r="C405" s="3" t="s">
        <v>862</v>
      </c>
      <c r="D405" s="3" t="s">
        <v>863</v>
      </c>
      <c r="E405" s="3" t="s">
        <v>159</v>
      </c>
      <c r="F405" s="3">
        <v>35.99</v>
      </c>
      <c r="G405" s="3" t="s">
        <v>997</v>
      </c>
      <c r="H405" s="3"/>
      <c r="I405" s="3" t="s">
        <v>998</v>
      </c>
      <c r="J405" s="3">
        <v>19</v>
      </c>
      <c r="K405" s="3">
        <v>19</v>
      </c>
      <c r="L405" s="3">
        <v>0</v>
      </c>
      <c r="M405" s="3">
        <v>0</v>
      </c>
      <c r="N405" s="3">
        <v>19</v>
      </c>
      <c r="O405" s="3">
        <v>0.21</v>
      </c>
      <c r="P405" s="3">
        <v>0</v>
      </c>
      <c r="Q405" s="3">
        <v>0</v>
      </c>
      <c r="R405" s="3">
        <v>0</v>
      </c>
    </row>
    <row r="406" spans="1:18">
      <c r="A406" s="3" t="s">
        <v>678</v>
      </c>
      <c r="B406" s="3" t="s">
        <v>679</v>
      </c>
      <c r="C406" s="3" t="s">
        <v>679</v>
      </c>
      <c r="D406" s="3" t="s">
        <v>680</v>
      </c>
      <c r="E406" s="3" t="s">
        <v>159</v>
      </c>
      <c r="F406" s="3">
        <v>35.99</v>
      </c>
      <c r="G406" s="3" t="s">
        <v>997</v>
      </c>
      <c r="H406" s="3"/>
      <c r="I406" s="3" t="s">
        <v>998</v>
      </c>
      <c r="J406" s="3">
        <v>13</v>
      </c>
      <c r="K406" s="3">
        <v>13</v>
      </c>
      <c r="L406" s="3">
        <v>0</v>
      </c>
      <c r="M406" s="3">
        <v>0</v>
      </c>
      <c r="N406" s="3">
        <v>13</v>
      </c>
      <c r="O406" s="3">
        <v>0.21</v>
      </c>
      <c r="P406" s="3">
        <v>0</v>
      </c>
      <c r="Q406" s="3">
        <v>0</v>
      </c>
      <c r="R406" s="3">
        <v>0</v>
      </c>
    </row>
    <row r="407" spans="1:18">
      <c r="A407" s="3" t="s">
        <v>306</v>
      </c>
      <c r="B407" s="3" t="s">
        <v>307</v>
      </c>
      <c r="C407" s="3" t="s">
        <v>307</v>
      </c>
      <c r="D407" s="3" t="s">
        <v>308</v>
      </c>
      <c r="E407" s="3" t="s">
        <v>159</v>
      </c>
      <c r="F407" s="3">
        <v>35.99</v>
      </c>
      <c r="G407" s="3" t="s">
        <v>997</v>
      </c>
      <c r="H407" s="3"/>
      <c r="I407" s="3" t="s">
        <v>998</v>
      </c>
      <c r="J407" s="3">
        <v>14</v>
      </c>
      <c r="K407" s="3">
        <v>14</v>
      </c>
      <c r="L407" s="3">
        <v>0</v>
      </c>
      <c r="M407" s="3">
        <v>0</v>
      </c>
      <c r="N407" s="3">
        <v>14</v>
      </c>
      <c r="O407" s="3">
        <v>0.21</v>
      </c>
      <c r="P407" s="3">
        <v>0</v>
      </c>
      <c r="Q407" s="3">
        <v>0</v>
      </c>
      <c r="R407" s="3">
        <v>0</v>
      </c>
    </row>
    <row r="408" spans="1:18">
      <c r="A408" s="3" t="s">
        <v>287</v>
      </c>
      <c r="B408" s="3" t="s">
        <v>288</v>
      </c>
      <c r="C408" s="3" t="s">
        <v>288</v>
      </c>
      <c r="D408" s="3" t="s">
        <v>289</v>
      </c>
      <c r="E408" s="3" t="s">
        <v>159</v>
      </c>
      <c r="F408" s="3">
        <v>35.99</v>
      </c>
      <c r="G408" s="3" t="s">
        <v>997</v>
      </c>
      <c r="H408" s="3"/>
      <c r="I408" s="3" t="s">
        <v>998</v>
      </c>
      <c r="J408" s="3">
        <v>16</v>
      </c>
      <c r="K408" s="3">
        <v>16</v>
      </c>
      <c r="L408" s="3">
        <v>0</v>
      </c>
      <c r="M408" s="3">
        <v>0</v>
      </c>
      <c r="N408" s="3">
        <v>16</v>
      </c>
      <c r="O408" s="3">
        <v>0.21</v>
      </c>
      <c r="P408" s="3">
        <v>0</v>
      </c>
      <c r="Q408" s="3">
        <v>0</v>
      </c>
      <c r="R408" s="3">
        <v>0</v>
      </c>
    </row>
    <row r="409" spans="1:18">
      <c r="A409" s="3" t="s">
        <v>456</v>
      </c>
      <c r="B409" s="3" t="s">
        <v>457</v>
      </c>
      <c r="C409" s="3" t="s">
        <v>457</v>
      </c>
      <c r="D409" s="3" t="s">
        <v>458</v>
      </c>
      <c r="E409" s="3" t="s">
        <v>159</v>
      </c>
      <c r="F409" s="3">
        <v>35.99</v>
      </c>
      <c r="G409" s="3" t="s">
        <v>997</v>
      </c>
      <c r="H409" s="3"/>
      <c r="I409" s="3" t="s">
        <v>998</v>
      </c>
      <c r="J409" s="3">
        <v>14</v>
      </c>
      <c r="K409" s="3">
        <v>14</v>
      </c>
      <c r="L409" s="3">
        <v>0</v>
      </c>
      <c r="M409" s="3">
        <v>0</v>
      </c>
      <c r="N409" s="3">
        <v>14</v>
      </c>
      <c r="O409" s="3">
        <v>0.21</v>
      </c>
      <c r="P409" s="3">
        <v>0</v>
      </c>
      <c r="Q409" s="3">
        <v>0</v>
      </c>
      <c r="R409" s="3">
        <v>0</v>
      </c>
    </row>
    <row r="410" spans="1:18">
      <c r="A410" s="3" t="s">
        <v>394</v>
      </c>
      <c r="B410" s="3" t="s">
        <v>395</v>
      </c>
      <c r="C410" s="3" t="s">
        <v>395</v>
      </c>
      <c r="D410" s="3" t="s">
        <v>396</v>
      </c>
      <c r="E410" s="3" t="s">
        <v>159</v>
      </c>
      <c r="F410" s="3">
        <v>35.99</v>
      </c>
      <c r="G410" s="3" t="s">
        <v>997</v>
      </c>
      <c r="H410" s="3"/>
      <c r="I410" s="3" t="s">
        <v>998</v>
      </c>
      <c r="J410" s="3">
        <v>16</v>
      </c>
      <c r="K410" s="3">
        <v>16</v>
      </c>
      <c r="L410" s="3">
        <v>0</v>
      </c>
      <c r="M410" s="3">
        <v>0</v>
      </c>
      <c r="N410" s="3">
        <v>16</v>
      </c>
      <c r="O410" s="3">
        <v>0.21</v>
      </c>
      <c r="P410" s="3">
        <v>0</v>
      </c>
      <c r="Q410" s="3">
        <v>0</v>
      </c>
      <c r="R410" s="3">
        <v>0</v>
      </c>
    </row>
    <row r="411" spans="1:18">
      <c r="A411" s="3" t="s">
        <v>427</v>
      </c>
      <c r="B411" s="3" t="s">
        <v>428</v>
      </c>
      <c r="C411" s="3" t="s">
        <v>428</v>
      </c>
      <c r="D411" s="3" t="s">
        <v>429</v>
      </c>
      <c r="E411" s="3" t="s">
        <v>159</v>
      </c>
      <c r="F411" s="3">
        <v>35.99</v>
      </c>
      <c r="G411" s="3" t="s">
        <v>997</v>
      </c>
      <c r="H411" s="3"/>
      <c r="I411" s="3" t="s">
        <v>998</v>
      </c>
      <c r="J411" s="3">
        <v>16</v>
      </c>
      <c r="K411" s="3">
        <v>16</v>
      </c>
      <c r="L411" s="3">
        <v>0</v>
      </c>
      <c r="M411" s="3">
        <v>0</v>
      </c>
      <c r="N411" s="3">
        <v>16</v>
      </c>
      <c r="O411" s="3">
        <v>0.21</v>
      </c>
      <c r="P411" s="3">
        <v>0</v>
      </c>
      <c r="Q411" s="3">
        <v>0</v>
      </c>
      <c r="R411" s="3">
        <v>0</v>
      </c>
    </row>
    <row r="412" spans="1:18">
      <c r="A412" s="3" t="s">
        <v>328</v>
      </c>
      <c r="B412" s="3" t="s">
        <v>329</v>
      </c>
      <c r="C412" s="3" t="s">
        <v>329</v>
      </c>
      <c r="D412" s="3" t="s">
        <v>330</v>
      </c>
      <c r="E412" s="3" t="s">
        <v>159</v>
      </c>
      <c r="F412" s="3">
        <v>35.99</v>
      </c>
      <c r="G412" s="3" t="s">
        <v>997</v>
      </c>
      <c r="H412" s="3"/>
      <c r="I412" s="3" t="s">
        <v>998</v>
      </c>
      <c r="J412" s="3">
        <v>10</v>
      </c>
      <c r="K412" s="3">
        <v>10</v>
      </c>
      <c r="L412" s="3">
        <v>0</v>
      </c>
      <c r="M412" s="3">
        <v>0</v>
      </c>
      <c r="N412" s="3">
        <v>10</v>
      </c>
      <c r="O412" s="3">
        <v>0.21</v>
      </c>
      <c r="P412" s="3">
        <v>0</v>
      </c>
      <c r="Q412" s="3">
        <v>0</v>
      </c>
      <c r="R412" s="3">
        <v>0</v>
      </c>
    </row>
    <row r="413" spans="1:18">
      <c r="A413" s="3" t="s">
        <v>217</v>
      </c>
      <c r="B413" s="3" t="s">
        <v>218</v>
      </c>
      <c r="C413" s="3" t="s">
        <v>218</v>
      </c>
      <c r="D413" s="3" t="s">
        <v>219</v>
      </c>
      <c r="E413" s="3" t="s">
        <v>159</v>
      </c>
      <c r="F413" s="3">
        <v>35.99</v>
      </c>
      <c r="G413" s="3" t="s">
        <v>997</v>
      </c>
      <c r="H413" s="3"/>
      <c r="I413" s="3" t="s">
        <v>998</v>
      </c>
      <c r="J413" s="3">
        <v>18</v>
      </c>
      <c r="K413" s="3">
        <v>18</v>
      </c>
      <c r="L413" s="3">
        <v>0</v>
      </c>
      <c r="M413" s="3">
        <v>0</v>
      </c>
      <c r="N413" s="3">
        <v>18</v>
      </c>
      <c r="O413" s="3">
        <v>0.21</v>
      </c>
      <c r="P413" s="3">
        <v>0</v>
      </c>
      <c r="Q413" s="3">
        <v>0</v>
      </c>
      <c r="R413" s="3">
        <v>0</v>
      </c>
    </row>
    <row r="414" spans="1:18">
      <c r="A414" s="3" t="s">
        <v>760</v>
      </c>
      <c r="B414" s="3" t="s">
        <v>761</v>
      </c>
      <c r="C414" s="3" t="s">
        <v>761</v>
      </c>
      <c r="D414" s="3" t="s">
        <v>762</v>
      </c>
      <c r="E414" s="3" t="s">
        <v>159</v>
      </c>
      <c r="F414" s="3">
        <v>35.99</v>
      </c>
      <c r="G414" s="3" t="s">
        <v>997</v>
      </c>
      <c r="H414" s="3"/>
      <c r="I414" s="3" t="s">
        <v>998</v>
      </c>
      <c r="J414" s="3">
        <v>18</v>
      </c>
      <c r="K414" s="3">
        <v>18</v>
      </c>
      <c r="L414" s="3">
        <v>0</v>
      </c>
      <c r="M414" s="3">
        <v>0</v>
      </c>
      <c r="N414" s="3">
        <v>18</v>
      </c>
      <c r="O414" s="3">
        <v>0.21</v>
      </c>
      <c r="P414" s="3">
        <v>0</v>
      </c>
      <c r="Q414" s="3">
        <v>0</v>
      </c>
      <c r="R414" s="3">
        <v>0</v>
      </c>
    </row>
    <row r="415" spans="1:18">
      <c r="A415" s="3" t="s">
        <v>516</v>
      </c>
      <c r="B415" s="3" t="s">
        <v>517</v>
      </c>
      <c r="C415" s="3" t="s">
        <v>517</v>
      </c>
      <c r="D415" s="3" t="s">
        <v>518</v>
      </c>
      <c r="E415" s="3" t="s">
        <v>159</v>
      </c>
      <c r="F415" s="3">
        <v>35.99</v>
      </c>
      <c r="G415" s="3" t="s">
        <v>997</v>
      </c>
      <c r="H415" s="3"/>
      <c r="I415" s="3" t="s">
        <v>998</v>
      </c>
      <c r="J415" s="3">
        <v>18</v>
      </c>
      <c r="K415" s="3">
        <v>18</v>
      </c>
      <c r="L415" s="3">
        <v>0</v>
      </c>
      <c r="M415" s="3">
        <v>0</v>
      </c>
      <c r="N415" s="3">
        <v>18</v>
      </c>
      <c r="O415" s="3">
        <v>0.05</v>
      </c>
      <c r="P415" s="3">
        <v>0</v>
      </c>
      <c r="Q415" s="3">
        <v>0</v>
      </c>
      <c r="R415" s="3">
        <v>0</v>
      </c>
    </row>
    <row r="416" spans="1:18">
      <c r="A416" s="3" t="s">
        <v>745</v>
      </c>
      <c r="B416" s="3" t="s">
        <v>746</v>
      </c>
      <c r="C416" s="3" t="s">
        <v>746</v>
      </c>
      <c r="D416" s="3" t="s">
        <v>747</v>
      </c>
      <c r="E416" s="3" t="s">
        <v>159</v>
      </c>
      <c r="F416" s="3">
        <v>35.99</v>
      </c>
      <c r="G416" s="3" t="s">
        <v>997</v>
      </c>
      <c r="H416" s="3"/>
      <c r="I416" s="3" t="s">
        <v>998</v>
      </c>
      <c r="J416" s="3">
        <v>18</v>
      </c>
      <c r="K416" s="3">
        <v>18</v>
      </c>
      <c r="L416" s="3">
        <v>0</v>
      </c>
      <c r="M416" s="3">
        <v>0</v>
      </c>
      <c r="N416" s="3">
        <v>18</v>
      </c>
      <c r="O416" s="3">
        <v>0.21</v>
      </c>
      <c r="P416" s="3">
        <v>0</v>
      </c>
      <c r="Q416" s="3">
        <v>0</v>
      </c>
      <c r="R416" s="3">
        <v>0</v>
      </c>
    </row>
    <row r="417" spans="1:18">
      <c r="A417" s="3" t="s">
        <v>757</v>
      </c>
      <c r="B417" s="3" t="s">
        <v>758</v>
      </c>
      <c r="C417" s="3" t="s">
        <v>758</v>
      </c>
      <c r="D417" s="3" t="s">
        <v>759</v>
      </c>
      <c r="E417" s="3" t="s">
        <v>159</v>
      </c>
      <c r="F417" s="3">
        <v>35.99</v>
      </c>
      <c r="G417" s="3" t="s">
        <v>997</v>
      </c>
      <c r="H417" s="3"/>
      <c r="I417" s="3" t="s">
        <v>998</v>
      </c>
      <c r="J417" s="3">
        <v>18</v>
      </c>
      <c r="K417" s="3">
        <v>18</v>
      </c>
      <c r="L417" s="3">
        <v>0</v>
      </c>
      <c r="M417" s="3">
        <v>0</v>
      </c>
      <c r="N417" s="3">
        <v>18</v>
      </c>
      <c r="O417" s="3">
        <v>0.21</v>
      </c>
      <c r="P417" s="3">
        <v>0</v>
      </c>
      <c r="Q417" s="3">
        <v>0</v>
      </c>
      <c r="R417" s="3">
        <v>0</v>
      </c>
    </row>
    <row r="418" spans="1:18">
      <c r="A418" s="3" t="s">
        <v>856</v>
      </c>
      <c r="B418" s="3" t="s">
        <v>857</v>
      </c>
      <c r="C418" s="3" t="s">
        <v>857</v>
      </c>
      <c r="D418" s="3" t="s">
        <v>858</v>
      </c>
      <c r="E418" s="3" t="s">
        <v>159</v>
      </c>
      <c r="F418" s="3">
        <v>35.99</v>
      </c>
      <c r="G418" s="3" t="s">
        <v>997</v>
      </c>
      <c r="H418" s="3"/>
      <c r="I418" s="3" t="s">
        <v>998</v>
      </c>
      <c r="J418" s="3">
        <v>5</v>
      </c>
      <c r="K418" s="3">
        <v>5</v>
      </c>
      <c r="L418" s="3">
        <v>0</v>
      </c>
      <c r="M418" s="3">
        <v>0</v>
      </c>
      <c r="N418" s="3">
        <v>5</v>
      </c>
      <c r="O418" s="3">
        <v>0.21</v>
      </c>
      <c r="P418" s="3">
        <v>0</v>
      </c>
      <c r="Q418" s="3">
        <v>0</v>
      </c>
      <c r="R418" s="3">
        <v>0</v>
      </c>
    </row>
    <row r="419" spans="1:18">
      <c r="A419" s="3" t="s">
        <v>407</v>
      </c>
      <c r="B419" s="3" t="s">
        <v>408</v>
      </c>
      <c r="C419" s="3" t="s">
        <v>408</v>
      </c>
      <c r="D419" s="3" t="s">
        <v>409</v>
      </c>
      <c r="E419" s="3" t="s">
        <v>159</v>
      </c>
      <c r="F419" s="3">
        <v>35.99</v>
      </c>
      <c r="G419" s="3" t="s">
        <v>997</v>
      </c>
      <c r="H419" s="3"/>
      <c r="I419" s="3" t="s">
        <v>998</v>
      </c>
      <c r="J419" s="3">
        <v>4</v>
      </c>
      <c r="K419" s="3">
        <v>4</v>
      </c>
      <c r="L419" s="3">
        <v>0</v>
      </c>
      <c r="M419" s="3">
        <v>0</v>
      </c>
      <c r="N419" s="3">
        <v>4</v>
      </c>
      <c r="O419" s="3">
        <v>0.21</v>
      </c>
      <c r="P419" s="3">
        <v>0</v>
      </c>
      <c r="Q419" s="3">
        <v>0</v>
      </c>
      <c r="R419" s="3">
        <v>0</v>
      </c>
    </row>
    <row r="420" spans="1:18">
      <c r="A420" s="3" t="s">
        <v>277</v>
      </c>
      <c r="B420" s="3" t="s">
        <v>278</v>
      </c>
      <c r="C420" s="3" t="s">
        <v>278</v>
      </c>
      <c r="D420" s="3" t="s">
        <v>279</v>
      </c>
      <c r="E420" s="3" t="s">
        <v>159</v>
      </c>
      <c r="F420" s="3">
        <v>35.99</v>
      </c>
      <c r="G420" s="3" t="s">
        <v>997</v>
      </c>
      <c r="H420" s="3"/>
      <c r="I420" s="3" t="s">
        <v>998</v>
      </c>
      <c r="J420" s="3">
        <v>7</v>
      </c>
      <c r="K420" s="3">
        <v>7</v>
      </c>
      <c r="L420" s="3">
        <v>0</v>
      </c>
      <c r="M420" s="3">
        <v>0</v>
      </c>
      <c r="N420" s="3">
        <v>7</v>
      </c>
      <c r="O420" s="3">
        <v>0.21</v>
      </c>
      <c r="P420" s="3">
        <v>0</v>
      </c>
      <c r="Q420" s="3">
        <v>0</v>
      </c>
      <c r="R420" s="3">
        <v>0</v>
      </c>
    </row>
    <row r="421" spans="1:18">
      <c r="A421" s="3" t="s">
        <v>290</v>
      </c>
      <c r="B421" s="3" t="s">
        <v>291</v>
      </c>
      <c r="C421" s="3" t="s">
        <v>291</v>
      </c>
      <c r="D421" s="3" t="s">
        <v>292</v>
      </c>
      <c r="E421" s="3" t="s">
        <v>159</v>
      </c>
      <c r="F421" s="3">
        <v>35.99</v>
      </c>
      <c r="G421" s="3" t="s">
        <v>997</v>
      </c>
      <c r="H421" s="3"/>
      <c r="I421" s="3" t="s">
        <v>998</v>
      </c>
      <c r="J421" s="3">
        <v>2</v>
      </c>
      <c r="K421" s="3">
        <v>2</v>
      </c>
      <c r="L421" s="3">
        <v>0</v>
      </c>
      <c r="M421" s="3">
        <v>0</v>
      </c>
      <c r="N421" s="3">
        <v>2</v>
      </c>
      <c r="O421" s="3">
        <v>0.21</v>
      </c>
      <c r="P421" s="3">
        <v>0</v>
      </c>
      <c r="Q421" s="3">
        <v>0</v>
      </c>
      <c r="R421" s="3">
        <v>0</v>
      </c>
    </row>
    <row r="422" spans="1:18">
      <c r="A422" s="3" t="s">
        <v>300</v>
      </c>
      <c r="B422" s="3" t="s">
        <v>301</v>
      </c>
      <c r="C422" s="3" t="s">
        <v>301</v>
      </c>
      <c r="D422" s="3" t="s">
        <v>302</v>
      </c>
      <c r="E422" s="3" t="s">
        <v>159</v>
      </c>
      <c r="F422" s="3">
        <v>35.99</v>
      </c>
      <c r="G422" s="3" t="s">
        <v>997</v>
      </c>
      <c r="H422" s="3"/>
      <c r="I422" s="3" t="s">
        <v>998</v>
      </c>
      <c r="J422" s="3">
        <v>10</v>
      </c>
      <c r="K422" s="3">
        <v>10</v>
      </c>
      <c r="L422" s="3">
        <v>0</v>
      </c>
      <c r="M422" s="3">
        <v>0</v>
      </c>
      <c r="N422" s="3">
        <v>10</v>
      </c>
      <c r="O422" s="3">
        <v>0.21</v>
      </c>
      <c r="P422" s="3">
        <v>0</v>
      </c>
      <c r="Q422" s="3">
        <v>0</v>
      </c>
      <c r="R422" s="3">
        <v>0</v>
      </c>
    </row>
    <row r="423" spans="1:18">
      <c r="A423" s="3" t="s">
        <v>325</v>
      </c>
      <c r="B423" s="3" t="s">
        <v>326</v>
      </c>
      <c r="C423" s="3" t="s">
        <v>326</v>
      </c>
      <c r="D423" s="3" t="s">
        <v>327</v>
      </c>
      <c r="E423" s="3" t="s">
        <v>159</v>
      </c>
      <c r="F423" s="3">
        <v>35.99</v>
      </c>
      <c r="G423" s="3" t="s">
        <v>997</v>
      </c>
      <c r="H423" s="3"/>
      <c r="I423" s="3" t="s">
        <v>998</v>
      </c>
      <c r="J423" s="3">
        <v>13</v>
      </c>
      <c r="K423" s="3">
        <v>13</v>
      </c>
      <c r="L423" s="3">
        <v>0</v>
      </c>
      <c r="M423" s="3">
        <v>0</v>
      </c>
      <c r="N423" s="3">
        <v>13</v>
      </c>
      <c r="O423" s="3">
        <v>0.21</v>
      </c>
      <c r="P423" s="3">
        <v>0</v>
      </c>
      <c r="Q423" s="3">
        <v>0</v>
      </c>
      <c r="R423" s="3">
        <v>0</v>
      </c>
    </row>
    <row r="424" spans="1:18">
      <c r="A424" s="3" t="s">
        <v>662</v>
      </c>
      <c r="B424" s="3" t="s">
        <v>663</v>
      </c>
      <c r="C424" s="3" t="s">
        <v>663</v>
      </c>
      <c r="D424" s="3" t="s">
        <v>664</v>
      </c>
      <c r="E424" s="3" t="s">
        <v>159</v>
      </c>
      <c r="F424" s="3">
        <v>35.99</v>
      </c>
      <c r="G424" s="3" t="s">
        <v>997</v>
      </c>
      <c r="H424" s="3"/>
      <c r="I424" s="3" t="s">
        <v>998</v>
      </c>
      <c r="J424" s="3">
        <v>14</v>
      </c>
      <c r="K424" s="3">
        <v>14</v>
      </c>
      <c r="L424" s="3">
        <v>0</v>
      </c>
      <c r="M424" s="3">
        <v>0</v>
      </c>
      <c r="N424" s="3">
        <v>14</v>
      </c>
      <c r="O424" s="3">
        <v>0.21</v>
      </c>
      <c r="P424" s="3">
        <v>0</v>
      </c>
      <c r="Q424" s="3">
        <v>0</v>
      </c>
      <c r="R424" s="3">
        <v>0</v>
      </c>
    </row>
    <row r="425" spans="1:18">
      <c r="A425" s="3" t="s">
        <v>606</v>
      </c>
      <c r="B425" s="3" t="s">
        <v>607</v>
      </c>
      <c r="C425" s="3" t="s">
        <v>607</v>
      </c>
      <c r="D425" s="3" t="s">
        <v>608</v>
      </c>
      <c r="E425" s="3" t="s">
        <v>159</v>
      </c>
      <c r="F425" s="3">
        <v>35.99</v>
      </c>
      <c r="G425" s="3" t="s">
        <v>997</v>
      </c>
      <c r="H425" s="3"/>
      <c r="I425" s="3" t="s">
        <v>998</v>
      </c>
      <c r="J425" s="3">
        <v>8</v>
      </c>
      <c r="K425" s="3">
        <v>8</v>
      </c>
      <c r="L425" s="3">
        <v>0</v>
      </c>
      <c r="M425" s="3">
        <v>0</v>
      </c>
      <c r="N425" s="3">
        <v>8</v>
      </c>
      <c r="O425" s="3">
        <v>0.21</v>
      </c>
      <c r="P425" s="3">
        <v>0</v>
      </c>
      <c r="Q425" s="3">
        <v>0</v>
      </c>
      <c r="R425" s="3">
        <v>0</v>
      </c>
    </row>
    <row r="426" spans="1:18">
      <c r="A426" s="3" t="s">
        <v>459</v>
      </c>
      <c r="B426" s="3" t="s">
        <v>460</v>
      </c>
      <c r="C426" s="3" t="s">
        <v>460</v>
      </c>
      <c r="D426" s="3" t="s">
        <v>461</v>
      </c>
      <c r="E426" s="3" t="s">
        <v>159</v>
      </c>
      <c r="F426" s="3">
        <v>35.99</v>
      </c>
      <c r="G426" s="3" t="s">
        <v>997</v>
      </c>
      <c r="H426" s="3"/>
      <c r="I426" s="3" t="s">
        <v>998</v>
      </c>
      <c r="J426" s="3">
        <v>12</v>
      </c>
      <c r="K426" s="3">
        <v>12</v>
      </c>
      <c r="L426" s="3">
        <v>0</v>
      </c>
      <c r="M426" s="3">
        <v>0</v>
      </c>
      <c r="N426" s="3">
        <v>12</v>
      </c>
      <c r="O426" s="3">
        <v>0.21</v>
      </c>
      <c r="P426" s="3">
        <v>0</v>
      </c>
      <c r="Q426" s="3">
        <v>0</v>
      </c>
      <c r="R426" s="3">
        <v>0</v>
      </c>
    </row>
    <row r="427" spans="1:18">
      <c r="A427" s="3" t="s">
        <v>887</v>
      </c>
      <c r="B427" s="3" t="s">
        <v>888</v>
      </c>
      <c r="C427" s="3" t="s">
        <v>888</v>
      </c>
      <c r="D427" s="3" t="s">
        <v>889</v>
      </c>
      <c r="E427" s="3" t="s">
        <v>159</v>
      </c>
      <c r="F427" s="3">
        <v>35.99</v>
      </c>
      <c r="G427" s="3" t="s">
        <v>997</v>
      </c>
      <c r="H427" s="3"/>
      <c r="I427" s="3" t="s">
        <v>998</v>
      </c>
      <c r="J427" s="3">
        <v>15</v>
      </c>
      <c r="K427" s="3">
        <v>15</v>
      </c>
      <c r="L427" s="3">
        <v>0</v>
      </c>
      <c r="M427" s="3">
        <v>0</v>
      </c>
      <c r="N427" s="3">
        <v>15</v>
      </c>
      <c r="O427" s="3">
        <v>0.21</v>
      </c>
      <c r="P427" s="3">
        <v>0</v>
      </c>
      <c r="Q427" s="3">
        <v>0</v>
      </c>
      <c r="R427" s="3">
        <v>0</v>
      </c>
    </row>
    <row r="428" spans="1:18">
      <c r="A428" s="3" t="s">
        <v>585</v>
      </c>
      <c r="B428" s="3" t="s">
        <v>586</v>
      </c>
      <c r="C428" s="3" t="s">
        <v>586</v>
      </c>
      <c r="D428" s="3" t="s">
        <v>587</v>
      </c>
      <c r="E428" s="3" t="s">
        <v>159</v>
      </c>
      <c r="F428" s="3">
        <v>35.99</v>
      </c>
      <c r="G428" s="3" t="s">
        <v>997</v>
      </c>
      <c r="H428" s="3"/>
      <c r="I428" s="3" t="s">
        <v>998</v>
      </c>
      <c r="J428" s="3">
        <v>16</v>
      </c>
      <c r="K428" s="3">
        <v>16</v>
      </c>
      <c r="L428" s="3">
        <v>0</v>
      </c>
      <c r="M428" s="3">
        <v>0</v>
      </c>
      <c r="N428" s="3">
        <v>16</v>
      </c>
      <c r="O428" s="3">
        <v>0.21</v>
      </c>
      <c r="P428" s="3">
        <v>0</v>
      </c>
      <c r="Q428" s="3">
        <v>0</v>
      </c>
      <c r="R428" s="3">
        <v>0</v>
      </c>
    </row>
    <row r="429" spans="1:18">
      <c r="A429" s="3" t="s">
        <v>38</v>
      </c>
      <c r="B429" s="3" t="s">
        <v>39</v>
      </c>
      <c r="C429" s="3" t="s">
        <v>39</v>
      </c>
      <c r="D429" s="3" t="s">
        <v>40</v>
      </c>
      <c r="E429" s="3" t="s">
        <v>159</v>
      </c>
      <c r="F429" s="3">
        <v>35.99</v>
      </c>
      <c r="G429" s="3" t="s">
        <v>997</v>
      </c>
      <c r="H429" s="3"/>
      <c r="I429" s="3" t="s">
        <v>998</v>
      </c>
      <c r="J429" s="3">
        <v>11</v>
      </c>
      <c r="K429" s="3">
        <v>10</v>
      </c>
      <c r="L429" s="3">
        <v>0</v>
      </c>
      <c r="M429" s="3">
        <v>1</v>
      </c>
      <c r="N429" s="3">
        <v>11</v>
      </c>
      <c r="O429" s="3">
        <v>0.21</v>
      </c>
      <c r="P429" s="3">
        <v>0</v>
      </c>
      <c r="Q429" s="3">
        <v>0</v>
      </c>
      <c r="R429" s="3">
        <v>0</v>
      </c>
    </row>
    <row r="430" spans="1:18">
      <c r="A430" s="3" t="s">
        <v>233</v>
      </c>
      <c r="B430" s="3" t="s">
        <v>234</v>
      </c>
      <c r="C430" s="3" t="s">
        <v>234</v>
      </c>
      <c r="D430" s="3" t="s">
        <v>235</v>
      </c>
      <c r="E430" s="3" t="s">
        <v>159</v>
      </c>
      <c r="F430" s="3">
        <v>35.99</v>
      </c>
      <c r="G430" s="3" t="s">
        <v>997</v>
      </c>
      <c r="H430" s="3"/>
      <c r="I430" s="3" t="s">
        <v>998</v>
      </c>
      <c r="J430" s="3">
        <v>17</v>
      </c>
      <c r="K430" s="3">
        <v>17</v>
      </c>
      <c r="L430" s="3">
        <v>0</v>
      </c>
      <c r="M430" s="3">
        <v>0</v>
      </c>
      <c r="N430" s="3">
        <v>17</v>
      </c>
      <c r="O430" s="3">
        <v>0.21</v>
      </c>
      <c r="P430" s="3">
        <v>0</v>
      </c>
      <c r="Q430" s="3">
        <v>0</v>
      </c>
      <c r="R430" s="3">
        <v>0</v>
      </c>
    </row>
    <row r="431" spans="1:18">
      <c r="A431" s="3" t="s">
        <v>690</v>
      </c>
      <c r="B431" s="3" t="s">
        <v>691</v>
      </c>
      <c r="C431" s="3" t="s">
        <v>691</v>
      </c>
      <c r="D431" s="3" t="s">
        <v>692</v>
      </c>
      <c r="E431" s="3" t="s">
        <v>159</v>
      </c>
      <c r="F431" s="3">
        <v>35.99</v>
      </c>
      <c r="G431" s="3" t="s">
        <v>997</v>
      </c>
      <c r="H431" s="3"/>
      <c r="I431" s="3" t="s">
        <v>998</v>
      </c>
      <c r="J431" s="3">
        <v>15</v>
      </c>
      <c r="K431" s="3">
        <v>15</v>
      </c>
      <c r="L431" s="3">
        <v>0</v>
      </c>
      <c r="M431" s="3">
        <v>0</v>
      </c>
      <c r="N431" s="3">
        <v>15</v>
      </c>
      <c r="O431" s="3">
        <v>0.21</v>
      </c>
      <c r="P431" s="3">
        <v>0</v>
      </c>
      <c r="Q431" s="3">
        <v>0</v>
      </c>
      <c r="R431" s="3">
        <v>0</v>
      </c>
    </row>
    <row r="432" spans="1:18">
      <c r="A432" s="3" t="s">
        <v>227</v>
      </c>
      <c r="B432" s="3" t="s">
        <v>228</v>
      </c>
      <c r="C432" s="3" t="s">
        <v>228</v>
      </c>
      <c r="D432" s="3" t="s">
        <v>229</v>
      </c>
      <c r="E432" s="3" t="s">
        <v>159</v>
      </c>
      <c r="F432" s="3">
        <v>35.99</v>
      </c>
      <c r="G432" s="3" t="s">
        <v>997</v>
      </c>
      <c r="H432" s="3"/>
      <c r="I432" s="3" t="s">
        <v>998</v>
      </c>
      <c r="J432" s="3">
        <v>15</v>
      </c>
      <c r="K432" s="3">
        <v>15</v>
      </c>
      <c r="L432" s="3">
        <v>0</v>
      </c>
      <c r="M432" s="3">
        <v>0</v>
      </c>
      <c r="N432" s="3">
        <v>15</v>
      </c>
      <c r="O432" s="3">
        <v>0.21</v>
      </c>
      <c r="P432" s="3">
        <v>0</v>
      </c>
      <c r="Q432" s="3">
        <v>0</v>
      </c>
      <c r="R432" s="3">
        <v>0</v>
      </c>
    </row>
    <row r="433" spans="1:18">
      <c r="A433" s="3" t="s">
        <v>767</v>
      </c>
      <c r="B433" s="3" t="s">
        <v>768</v>
      </c>
      <c r="C433" s="3" t="s">
        <v>768</v>
      </c>
      <c r="D433" s="3" t="s">
        <v>769</v>
      </c>
      <c r="E433" s="3" t="s">
        <v>159</v>
      </c>
      <c r="F433" s="3">
        <v>35.99</v>
      </c>
      <c r="G433" s="3" t="s">
        <v>997</v>
      </c>
      <c r="H433" s="3"/>
      <c r="I433" s="3" t="s">
        <v>998</v>
      </c>
      <c r="J433" s="3">
        <v>3</v>
      </c>
      <c r="K433" s="3">
        <v>3</v>
      </c>
      <c r="L433" s="3">
        <v>0</v>
      </c>
      <c r="M433" s="3">
        <v>0</v>
      </c>
      <c r="N433" s="3">
        <v>3</v>
      </c>
      <c r="O433" s="3">
        <v>0.21</v>
      </c>
      <c r="P433" s="3">
        <v>0</v>
      </c>
      <c r="Q433" s="3">
        <v>0</v>
      </c>
      <c r="R433" s="3">
        <v>0</v>
      </c>
    </row>
    <row r="434" spans="1:18">
      <c r="A434" s="3" t="s">
        <v>430</v>
      </c>
      <c r="B434" s="3" t="s">
        <v>431</v>
      </c>
      <c r="C434" s="3" t="s">
        <v>431</v>
      </c>
      <c r="D434" s="3" t="s">
        <v>432</v>
      </c>
      <c r="E434" s="3" t="s">
        <v>159</v>
      </c>
      <c r="F434" s="3">
        <v>35.99</v>
      </c>
      <c r="G434" s="3" t="s">
        <v>997</v>
      </c>
      <c r="H434" s="3"/>
      <c r="I434" s="3" t="s">
        <v>998</v>
      </c>
      <c r="J434" s="3">
        <v>7</v>
      </c>
      <c r="K434" s="3">
        <v>7</v>
      </c>
      <c r="L434" s="3">
        <v>0</v>
      </c>
      <c r="M434" s="3">
        <v>0</v>
      </c>
      <c r="N434" s="3">
        <v>7</v>
      </c>
      <c r="O434" s="3">
        <v>0.21</v>
      </c>
      <c r="P434" s="3">
        <v>0</v>
      </c>
      <c r="Q434" s="3">
        <v>0</v>
      </c>
      <c r="R434" s="3">
        <v>0</v>
      </c>
    </row>
    <row r="435" spans="1:18">
      <c r="A435" s="3" t="s">
        <v>632</v>
      </c>
      <c r="B435" s="3" t="s">
        <v>633</v>
      </c>
      <c r="C435" s="3" t="s">
        <v>633</v>
      </c>
      <c r="D435" s="3" t="s">
        <v>634</v>
      </c>
      <c r="E435" s="3" t="s">
        <v>159</v>
      </c>
      <c r="F435" s="3">
        <v>35.99</v>
      </c>
      <c r="G435" s="3" t="s">
        <v>997</v>
      </c>
      <c r="H435" s="3"/>
      <c r="I435" s="3" t="s">
        <v>998</v>
      </c>
      <c r="J435" s="3">
        <v>2</v>
      </c>
      <c r="K435" s="3">
        <v>2</v>
      </c>
      <c r="L435" s="3">
        <v>0</v>
      </c>
      <c r="M435" s="3">
        <v>0</v>
      </c>
      <c r="N435" s="3">
        <v>2</v>
      </c>
      <c r="O435" s="3">
        <v>0.21</v>
      </c>
      <c r="P435" s="3">
        <v>0</v>
      </c>
      <c r="Q435" s="3">
        <v>0</v>
      </c>
      <c r="R435" s="3">
        <v>0</v>
      </c>
    </row>
    <row r="436" spans="1:18">
      <c r="A436" s="3" t="s">
        <v>1710</v>
      </c>
      <c r="B436" s="3" t="s">
        <v>1711</v>
      </c>
      <c r="C436" s="3" t="s">
        <v>1711</v>
      </c>
      <c r="D436" s="3" t="s">
        <v>1712</v>
      </c>
      <c r="E436" s="3" t="s">
        <v>159</v>
      </c>
      <c r="F436" s="3">
        <v>35.99</v>
      </c>
      <c r="G436" s="3" t="s">
        <v>997</v>
      </c>
      <c r="H436" s="3"/>
      <c r="I436" s="3" t="s">
        <v>998</v>
      </c>
      <c r="J436" s="3">
        <v>0</v>
      </c>
      <c r="K436" s="3">
        <v>0</v>
      </c>
      <c r="L436" s="3">
        <v>0</v>
      </c>
      <c r="M436" s="3">
        <v>0</v>
      </c>
      <c r="N436" s="3">
        <v>0</v>
      </c>
      <c r="O436" s="3">
        <v>0.21</v>
      </c>
      <c r="P436" s="3">
        <v>0</v>
      </c>
      <c r="Q436" s="3">
        <v>0</v>
      </c>
      <c r="R436" s="3">
        <v>0</v>
      </c>
    </row>
    <row r="437" spans="1:18">
      <c r="A437" s="3" t="s">
        <v>1713</v>
      </c>
      <c r="B437" s="3" t="s">
        <v>1714</v>
      </c>
      <c r="C437" s="3" t="s">
        <v>1714</v>
      </c>
      <c r="D437" s="3"/>
      <c r="E437" s="3" t="s">
        <v>1497</v>
      </c>
      <c r="F437" s="3"/>
      <c r="G437" s="3"/>
      <c r="H437" s="3"/>
      <c r="I437" s="3"/>
      <c r="J437" s="3">
        <v>0</v>
      </c>
      <c r="K437" s="3">
        <v>0</v>
      </c>
      <c r="L437" s="3">
        <v>0</v>
      </c>
      <c r="M437" s="3">
        <v>0</v>
      </c>
      <c r="N437" s="3">
        <v>0</v>
      </c>
      <c r="O437" s="3"/>
      <c r="P437" s="3">
        <v>0</v>
      </c>
      <c r="Q437" s="3">
        <v>0</v>
      </c>
      <c r="R437" s="3">
        <v>0</v>
      </c>
    </row>
    <row r="438" spans="1:18">
      <c r="A438" s="3" t="s">
        <v>343</v>
      </c>
      <c r="B438" s="3" t="s">
        <v>344</v>
      </c>
      <c r="C438" s="3" t="s">
        <v>344</v>
      </c>
      <c r="D438" s="3" t="s">
        <v>345</v>
      </c>
      <c r="E438" s="3" t="s">
        <v>159</v>
      </c>
      <c r="F438" s="3">
        <v>39.98</v>
      </c>
      <c r="G438" s="3" t="s">
        <v>997</v>
      </c>
      <c r="H438" s="3"/>
      <c r="I438" s="3" t="s">
        <v>998</v>
      </c>
      <c r="J438" s="3">
        <v>1</v>
      </c>
      <c r="K438" s="3">
        <v>1</v>
      </c>
      <c r="L438" s="3">
        <v>0</v>
      </c>
      <c r="M438" s="3">
        <v>0</v>
      </c>
      <c r="N438" s="3">
        <v>1</v>
      </c>
      <c r="O438" s="3">
        <v>0.12</v>
      </c>
      <c r="P438" s="3">
        <v>0</v>
      </c>
      <c r="Q438" s="3">
        <v>0</v>
      </c>
      <c r="R438" s="3">
        <v>0</v>
      </c>
    </row>
    <row r="439" spans="1:18">
      <c r="A439" s="3" t="s">
        <v>1715</v>
      </c>
      <c r="B439" s="3" t="s">
        <v>1716</v>
      </c>
      <c r="C439" s="3" t="s">
        <v>1716</v>
      </c>
      <c r="D439" s="3" t="s">
        <v>1717</v>
      </c>
      <c r="E439" s="3" t="s">
        <v>159</v>
      </c>
      <c r="F439" s="3">
        <v>39.98</v>
      </c>
      <c r="G439" s="3" t="s">
        <v>997</v>
      </c>
      <c r="H439" s="3"/>
      <c r="I439" s="3" t="s">
        <v>998</v>
      </c>
      <c r="J439" s="3">
        <v>0</v>
      </c>
      <c r="K439" s="3">
        <v>0</v>
      </c>
      <c r="L439" s="3">
        <v>0</v>
      </c>
      <c r="M439" s="3">
        <v>0</v>
      </c>
      <c r="N439" s="3">
        <v>0</v>
      </c>
      <c r="O439" s="3">
        <v>0.12</v>
      </c>
      <c r="P439" s="3">
        <v>0</v>
      </c>
      <c r="Q439" s="3">
        <v>0</v>
      </c>
      <c r="R439" s="3">
        <v>0</v>
      </c>
    </row>
    <row r="440" spans="1:18">
      <c r="A440" s="3" t="s">
        <v>1718</v>
      </c>
      <c r="B440" s="3" t="s">
        <v>1719</v>
      </c>
      <c r="C440" s="3" t="s">
        <v>1719</v>
      </c>
      <c r="D440" s="3" t="s">
        <v>1720</v>
      </c>
      <c r="E440" s="3" t="s">
        <v>159</v>
      </c>
      <c r="F440" s="3">
        <v>39.98</v>
      </c>
      <c r="G440" s="3" t="s">
        <v>997</v>
      </c>
      <c r="H440" s="3"/>
      <c r="I440" s="3" t="s">
        <v>998</v>
      </c>
      <c r="J440" s="3">
        <v>0</v>
      </c>
      <c r="K440" s="3">
        <v>0</v>
      </c>
      <c r="L440" s="3">
        <v>0</v>
      </c>
      <c r="M440" s="3">
        <v>0</v>
      </c>
      <c r="N440" s="3">
        <v>0</v>
      </c>
      <c r="O440" s="3">
        <v>0.12</v>
      </c>
      <c r="P440" s="3">
        <v>0</v>
      </c>
      <c r="Q440" s="3">
        <v>0</v>
      </c>
      <c r="R440" s="3">
        <v>0</v>
      </c>
    </row>
    <row r="441" spans="1:18">
      <c r="A441" s="3" t="s">
        <v>180</v>
      </c>
      <c r="B441" s="3" t="s">
        <v>181</v>
      </c>
      <c r="C441" s="3" t="s">
        <v>181</v>
      </c>
      <c r="D441" s="3" t="s">
        <v>182</v>
      </c>
      <c r="E441" s="3" t="s">
        <v>159</v>
      </c>
      <c r="F441" s="3">
        <v>10</v>
      </c>
      <c r="G441" s="3" t="s">
        <v>997</v>
      </c>
      <c r="H441" s="3"/>
      <c r="I441" s="3" t="s">
        <v>998</v>
      </c>
      <c r="J441" s="3">
        <v>6</v>
      </c>
      <c r="K441" s="3">
        <v>6</v>
      </c>
      <c r="L441" s="3">
        <v>0</v>
      </c>
      <c r="M441" s="3">
        <v>0</v>
      </c>
      <c r="N441" s="3">
        <v>6</v>
      </c>
      <c r="O441" s="3">
        <v>0.12</v>
      </c>
      <c r="P441" s="3">
        <v>0</v>
      </c>
      <c r="Q441" s="3">
        <v>0</v>
      </c>
      <c r="R441" s="3">
        <v>0</v>
      </c>
    </row>
    <row r="442" spans="1:18">
      <c r="A442" s="3" t="s">
        <v>35</v>
      </c>
      <c r="B442" s="3" t="s">
        <v>36</v>
      </c>
      <c r="C442" s="3" t="s">
        <v>36</v>
      </c>
      <c r="D442" s="3" t="s">
        <v>37</v>
      </c>
      <c r="E442" s="3" t="s">
        <v>159</v>
      </c>
      <c r="F442" s="3">
        <v>39.98</v>
      </c>
      <c r="G442" s="3" t="s">
        <v>997</v>
      </c>
      <c r="H442" s="3"/>
      <c r="I442" s="3" t="s">
        <v>998</v>
      </c>
      <c r="J442" s="3">
        <v>3</v>
      </c>
      <c r="K442" s="3">
        <v>1</v>
      </c>
      <c r="L442" s="3">
        <v>0</v>
      </c>
      <c r="M442" s="3">
        <v>2</v>
      </c>
      <c r="N442" s="3">
        <v>3</v>
      </c>
      <c r="O442" s="3">
        <v>0.12</v>
      </c>
      <c r="P442" s="3">
        <v>0</v>
      </c>
      <c r="Q442" s="3">
        <v>0</v>
      </c>
      <c r="R442" s="3">
        <v>0</v>
      </c>
    </row>
    <row r="443" spans="1:18">
      <c r="A443" s="3" t="s">
        <v>368</v>
      </c>
      <c r="B443" s="3" t="s">
        <v>369</v>
      </c>
      <c r="C443" s="3" t="s">
        <v>369</v>
      </c>
      <c r="D443" s="3" t="s">
        <v>370</v>
      </c>
      <c r="E443" s="3" t="s">
        <v>159</v>
      </c>
      <c r="F443" s="3">
        <v>39.98</v>
      </c>
      <c r="G443" s="3" t="s">
        <v>997</v>
      </c>
      <c r="H443" s="3"/>
      <c r="I443" s="3" t="s">
        <v>998</v>
      </c>
      <c r="J443" s="3">
        <v>9</v>
      </c>
      <c r="K443" s="3">
        <v>9</v>
      </c>
      <c r="L443" s="3">
        <v>0</v>
      </c>
      <c r="M443" s="3">
        <v>0</v>
      </c>
      <c r="N443" s="3">
        <v>9</v>
      </c>
      <c r="O443" s="3">
        <v>0.12</v>
      </c>
      <c r="P443" s="3">
        <v>0</v>
      </c>
      <c r="Q443" s="3">
        <v>0</v>
      </c>
      <c r="R443" s="3">
        <v>0</v>
      </c>
    </row>
    <row r="444" spans="1:18">
      <c r="A444" s="3" t="s">
        <v>41</v>
      </c>
      <c r="B444" s="3" t="s">
        <v>42</v>
      </c>
      <c r="C444" s="3" t="s">
        <v>42</v>
      </c>
      <c r="D444" s="3" t="s">
        <v>43</v>
      </c>
      <c r="E444" s="3" t="s">
        <v>159</v>
      </c>
      <c r="F444" s="3">
        <v>39.98</v>
      </c>
      <c r="G444" s="3" t="s">
        <v>997</v>
      </c>
      <c r="H444" s="3"/>
      <c r="I444" s="3" t="s">
        <v>998</v>
      </c>
      <c r="J444" s="3">
        <v>1</v>
      </c>
      <c r="K444" s="3">
        <v>0</v>
      </c>
      <c r="L444" s="3">
        <v>0</v>
      </c>
      <c r="M444" s="3">
        <v>1</v>
      </c>
      <c r="N444" s="3">
        <v>1</v>
      </c>
      <c r="O444" s="3">
        <v>0.12</v>
      </c>
      <c r="P444" s="3">
        <v>0</v>
      </c>
      <c r="Q444" s="3">
        <v>0</v>
      </c>
      <c r="R444" s="3">
        <v>0</v>
      </c>
    </row>
    <row r="445" spans="1:18">
      <c r="A445" s="3" t="s">
        <v>1721</v>
      </c>
      <c r="B445" s="3" t="s">
        <v>1722</v>
      </c>
      <c r="C445" s="3" t="s">
        <v>1722</v>
      </c>
      <c r="D445" s="3" t="s">
        <v>1723</v>
      </c>
      <c r="E445" s="3" t="s">
        <v>159</v>
      </c>
      <c r="F445" s="3">
        <v>39.98</v>
      </c>
      <c r="G445" s="3" t="s">
        <v>997</v>
      </c>
      <c r="H445" s="3"/>
      <c r="I445" s="3" t="s">
        <v>998</v>
      </c>
      <c r="J445" s="3">
        <v>0</v>
      </c>
      <c r="K445" s="3">
        <v>0</v>
      </c>
      <c r="L445" s="3">
        <v>0</v>
      </c>
      <c r="M445" s="3">
        <v>0</v>
      </c>
      <c r="N445" s="3">
        <v>0</v>
      </c>
      <c r="O445" s="3">
        <v>0.12</v>
      </c>
      <c r="P445" s="3">
        <v>0</v>
      </c>
      <c r="Q445" s="3">
        <v>0</v>
      </c>
      <c r="R445" s="3">
        <v>0</v>
      </c>
    </row>
    <row r="446" spans="1:18">
      <c r="A446" s="3" t="s">
        <v>1724</v>
      </c>
      <c r="B446" s="3" t="s">
        <v>1725</v>
      </c>
      <c r="C446" s="3" t="s">
        <v>1725</v>
      </c>
      <c r="D446" s="3" t="s">
        <v>1726</v>
      </c>
      <c r="E446" s="3" t="s">
        <v>159</v>
      </c>
      <c r="F446" s="3">
        <v>39.98</v>
      </c>
      <c r="G446" s="3" t="s">
        <v>997</v>
      </c>
      <c r="H446" s="3"/>
      <c r="I446" s="3" t="s">
        <v>998</v>
      </c>
      <c r="J446" s="3">
        <v>0</v>
      </c>
      <c r="K446" s="3">
        <v>0</v>
      </c>
      <c r="L446" s="3">
        <v>0</v>
      </c>
      <c r="M446" s="3">
        <v>0</v>
      </c>
      <c r="N446" s="3">
        <v>0</v>
      </c>
      <c r="O446" s="3">
        <v>0.12</v>
      </c>
      <c r="P446" s="3">
        <v>0</v>
      </c>
      <c r="Q446" s="3">
        <v>0</v>
      </c>
      <c r="R446" s="3">
        <v>0</v>
      </c>
    </row>
    <row r="447" spans="1:18">
      <c r="A447" s="3" t="s">
        <v>464</v>
      </c>
      <c r="B447" s="3" t="s">
        <v>465</v>
      </c>
      <c r="C447" s="3" t="s">
        <v>465</v>
      </c>
      <c r="D447" s="3" t="s">
        <v>466</v>
      </c>
      <c r="E447" s="3" t="s">
        <v>159</v>
      </c>
      <c r="F447" s="3">
        <v>10</v>
      </c>
      <c r="G447" s="3" t="s">
        <v>997</v>
      </c>
      <c r="H447" s="3"/>
      <c r="I447" s="3" t="s">
        <v>998</v>
      </c>
      <c r="J447" s="3">
        <v>11</v>
      </c>
      <c r="K447" s="3">
        <v>11</v>
      </c>
      <c r="L447" s="3">
        <v>0</v>
      </c>
      <c r="M447" s="3">
        <v>0</v>
      </c>
      <c r="N447" s="3">
        <v>11</v>
      </c>
      <c r="O447" s="3">
        <v>0.12</v>
      </c>
      <c r="P447" s="3">
        <v>0</v>
      </c>
      <c r="Q447" s="3">
        <v>0</v>
      </c>
      <c r="R447" s="3">
        <v>0</v>
      </c>
    </row>
    <row r="448" spans="1:18">
      <c r="A448" s="3" t="s">
        <v>1727</v>
      </c>
      <c r="B448" s="3" t="s">
        <v>1728</v>
      </c>
      <c r="C448" s="3" t="s">
        <v>1728</v>
      </c>
      <c r="D448" s="3" t="s">
        <v>1729</v>
      </c>
      <c r="E448" s="3" t="s">
        <v>159</v>
      </c>
      <c r="F448" s="3">
        <v>39.98</v>
      </c>
      <c r="G448" s="3" t="s">
        <v>997</v>
      </c>
      <c r="H448" s="3"/>
      <c r="I448" s="3" t="s">
        <v>998</v>
      </c>
      <c r="J448" s="3">
        <v>0</v>
      </c>
      <c r="K448" s="3">
        <v>0</v>
      </c>
      <c r="L448" s="3">
        <v>0</v>
      </c>
      <c r="M448" s="3">
        <v>0</v>
      </c>
      <c r="N448" s="3">
        <v>0</v>
      </c>
      <c r="O448" s="3">
        <v>0.12</v>
      </c>
      <c r="P448" s="3">
        <v>0</v>
      </c>
      <c r="Q448" s="3">
        <v>0</v>
      </c>
      <c r="R448" s="3">
        <v>0</v>
      </c>
    </row>
    <row r="449" spans="1:18">
      <c r="A449" s="3" t="s">
        <v>1730</v>
      </c>
      <c r="B449" s="3" t="s">
        <v>1731</v>
      </c>
      <c r="C449" s="3" t="s">
        <v>1731</v>
      </c>
      <c r="D449" s="3" t="s">
        <v>1732</v>
      </c>
      <c r="E449" s="3" t="s">
        <v>159</v>
      </c>
      <c r="F449" s="3">
        <v>39.98</v>
      </c>
      <c r="G449" s="3" t="s">
        <v>997</v>
      </c>
      <c r="H449" s="3"/>
      <c r="I449" s="3" t="s">
        <v>998</v>
      </c>
      <c r="J449" s="3">
        <v>0</v>
      </c>
      <c r="K449" s="3">
        <v>0</v>
      </c>
      <c r="L449" s="3">
        <v>0</v>
      </c>
      <c r="M449" s="3">
        <v>0</v>
      </c>
      <c r="N449" s="3">
        <v>0</v>
      </c>
      <c r="O449" s="3">
        <v>0.12</v>
      </c>
      <c r="P449" s="3">
        <v>0</v>
      </c>
      <c r="Q449" s="3">
        <v>0</v>
      </c>
      <c r="R449" s="3">
        <v>0</v>
      </c>
    </row>
    <row r="450" spans="1:18">
      <c r="A450" s="3" t="s">
        <v>1733</v>
      </c>
      <c r="B450" s="3" t="s">
        <v>1734</v>
      </c>
      <c r="C450" s="3" t="s">
        <v>1734</v>
      </c>
      <c r="D450" s="3" t="s">
        <v>1735</v>
      </c>
      <c r="E450" s="3" t="s">
        <v>159</v>
      </c>
      <c r="F450" s="3">
        <v>39.98</v>
      </c>
      <c r="G450" s="3" t="s">
        <v>997</v>
      </c>
      <c r="H450" s="3"/>
      <c r="I450" s="3" t="s">
        <v>998</v>
      </c>
      <c r="J450" s="3">
        <v>0</v>
      </c>
      <c r="K450" s="3">
        <v>0</v>
      </c>
      <c r="L450" s="3">
        <v>0</v>
      </c>
      <c r="M450" s="3">
        <v>0</v>
      </c>
      <c r="N450" s="3">
        <v>0</v>
      </c>
      <c r="O450" s="3">
        <v>0.12</v>
      </c>
      <c r="P450" s="3">
        <v>0</v>
      </c>
      <c r="Q450" s="3">
        <v>0</v>
      </c>
      <c r="R450" s="3">
        <v>0</v>
      </c>
    </row>
    <row r="451" spans="1:18">
      <c r="A451" s="3" t="s">
        <v>1736</v>
      </c>
      <c r="B451" s="3" t="s">
        <v>1737</v>
      </c>
      <c r="C451" s="3" t="s">
        <v>1737</v>
      </c>
      <c r="D451" s="3" t="s">
        <v>1738</v>
      </c>
      <c r="E451" s="3" t="s">
        <v>159</v>
      </c>
      <c r="F451" s="3">
        <v>39.98</v>
      </c>
      <c r="G451" s="3" t="s">
        <v>997</v>
      </c>
      <c r="H451" s="3"/>
      <c r="I451" s="3" t="s">
        <v>998</v>
      </c>
      <c r="J451" s="3">
        <v>0</v>
      </c>
      <c r="K451" s="3">
        <v>0</v>
      </c>
      <c r="L451" s="3">
        <v>0</v>
      </c>
      <c r="M451" s="3">
        <v>0</v>
      </c>
      <c r="N451" s="3">
        <v>0</v>
      </c>
      <c r="O451" s="3">
        <v>0.12</v>
      </c>
      <c r="P451" s="3">
        <v>0</v>
      </c>
      <c r="Q451" s="3">
        <v>0</v>
      </c>
      <c r="R451" s="3">
        <v>0</v>
      </c>
    </row>
    <row r="452" spans="1:18">
      <c r="A452" s="3" t="s">
        <v>950</v>
      </c>
      <c r="B452" s="3" t="s">
        <v>951</v>
      </c>
      <c r="C452" s="3" t="s">
        <v>951</v>
      </c>
      <c r="D452" s="3" t="s">
        <v>952</v>
      </c>
      <c r="E452" s="3" t="s">
        <v>159</v>
      </c>
      <c r="F452" s="3">
        <v>39.98</v>
      </c>
      <c r="G452" s="3" t="s">
        <v>997</v>
      </c>
      <c r="H452" s="3"/>
      <c r="I452" s="3" t="s">
        <v>998</v>
      </c>
      <c r="J452" s="3">
        <v>13</v>
      </c>
      <c r="K452" s="3">
        <v>13</v>
      </c>
      <c r="L452" s="3">
        <v>0</v>
      </c>
      <c r="M452" s="3">
        <v>0</v>
      </c>
      <c r="N452" s="3">
        <v>13</v>
      </c>
      <c r="O452" s="3">
        <v>0.12</v>
      </c>
      <c r="P452" s="3">
        <v>0</v>
      </c>
      <c r="Q452" s="3">
        <v>0</v>
      </c>
      <c r="R452" s="3">
        <v>0</v>
      </c>
    </row>
    <row r="453" spans="1:18">
      <c r="A453" s="3" t="s">
        <v>1739</v>
      </c>
      <c r="B453" s="3" t="s">
        <v>1740</v>
      </c>
      <c r="C453" s="3" t="s">
        <v>1740</v>
      </c>
      <c r="D453" s="3" t="s">
        <v>1741</v>
      </c>
      <c r="E453" s="3" t="s">
        <v>159</v>
      </c>
      <c r="F453" s="3">
        <v>39.98</v>
      </c>
      <c r="G453" s="3" t="s">
        <v>997</v>
      </c>
      <c r="H453" s="3"/>
      <c r="I453" s="3" t="s">
        <v>998</v>
      </c>
      <c r="J453" s="3">
        <v>0</v>
      </c>
      <c r="K453" s="3">
        <v>0</v>
      </c>
      <c r="L453" s="3">
        <v>0</v>
      </c>
      <c r="M453" s="3">
        <v>0</v>
      </c>
      <c r="N453" s="3">
        <v>0</v>
      </c>
      <c r="O453" s="3">
        <v>0.12</v>
      </c>
      <c r="P453" s="3">
        <v>0</v>
      </c>
      <c r="Q453" s="3">
        <v>0</v>
      </c>
      <c r="R453" s="3">
        <v>0</v>
      </c>
    </row>
    <row r="454" spans="1:18">
      <c r="A454" s="3" t="s">
        <v>1742</v>
      </c>
      <c r="B454" s="3" t="s">
        <v>1743</v>
      </c>
      <c r="C454" s="3" t="s">
        <v>1743</v>
      </c>
      <c r="D454" s="3" t="s">
        <v>1744</v>
      </c>
      <c r="E454" s="3" t="s">
        <v>159</v>
      </c>
      <c r="F454" s="3">
        <v>39.98</v>
      </c>
      <c r="G454" s="3" t="s">
        <v>997</v>
      </c>
      <c r="H454" s="3"/>
      <c r="I454" s="3" t="s">
        <v>998</v>
      </c>
      <c r="J454" s="3">
        <v>0</v>
      </c>
      <c r="K454" s="3">
        <v>0</v>
      </c>
      <c r="L454" s="3">
        <v>0</v>
      </c>
      <c r="M454" s="3">
        <v>0</v>
      </c>
      <c r="N454" s="3">
        <v>0</v>
      </c>
      <c r="O454" s="3">
        <v>0.12</v>
      </c>
      <c r="P454" s="3">
        <v>0</v>
      </c>
      <c r="Q454" s="3">
        <v>0</v>
      </c>
      <c r="R454" s="3">
        <v>0</v>
      </c>
    </row>
    <row r="455" spans="1:18">
      <c r="A455" s="3" t="s">
        <v>829</v>
      </c>
      <c r="B455" s="3" t="s">
        <v>830</v>
      </c>
      <c r="C455" s="3" t="s">
        <v>830</v>
      </c>
      <c r="D455" s="3" t="s">
        <v>831</v>
      </c>
      <c r="E455" s="3" t="s">
        <v>159</v>
      </c>
      <c r="F455" s="3">
        <v>12.98</v>
      </c>
      <c r="G455" s="3" t="s">
        <v>997</v>
      </c>
      <c r="H455" s="3"/>
      <c r="I455" s="3" t="s">
        <v>998</v>
      </c>
      <c r="J455" s="3">
        <v>8</v>
      </c>
      <c r="K455" s="3">
        <v>8</v>
      </c>
      <c r="L455" s="3">
        <v>0</v>
      </c>
      <c r="M455" s="3">
        <v>0</v>
      </c>
      <c r="N455" s="3">
        <v>8</v>
      </c>
      <c r="O455" s="3">
        <v>0.12</v>
      </c>
      <c r="P455" s="3">
        <v>0</v>
      </c>
      <c r="Q455" s="3">
        <v>0</v>
      </c>
      <c r="R455" s="3">
        <v>0</v>
      </c>
    </row>
    <row r="456" spans="1:18">
      <c r="A456" s="3" t="s">
        <v>67</v>
      </c>
      <c r="B456" s="3" t="s">
        <v>68</v>
      </c>
      <c r="C456" s="3" t="s">
        <v>68</v>
      </c>
      <c r="D456" s="3" t="s">
        <v>69</v>
      </c>
      <c r="E456" s="3" t="s">
        <v>159</v>
      </c>
      <c r="F456" s="3">
        <v>12.98</v>
      </c>
      <c r="G456" s="3" t="s">
        <v>997</v>
      </c>
      <c r="H456" s="3"/>
      <c r="I456" s="3" t="s">
        <v>998</v>
      </c>
      <c r="J456" s="3">
        <v>1</v>
      </c>
      <c r="K456" s="3">
        <v>0</v>
      </c>
      <c r="L456" s="3">
        <v>0</v>
      </c>
      <c r="M456" s="3">
        <v>1</v>
      </c>
      <c r="N456" s="3">
        <v>1</v>
      </c>
      <c r="O456" s="3">
        <v>0.12</v>
      </c>
      <c r="P456" s="3">
        <v>0</v>
      </c>
      <c r="Q456" s="3">
        <v>0</v>
      </c>
      <c r="R456" s="3">
        <v>0</v>
      </c>
    </row>
    <row r="457" spans="1:18">
      <c r="A457" s="3" t="s">
        <v>529</v>
      </c>
      <c r="B457" s="3" t="s">
        <v>530</v>
      </c>
      <c r="C457" s="3" t="s">
        <v>530</v>
      </c>
      <c r="D457" s="3" t="s">
        <v>531</v>
      </c>
      <c r="E457" s="3" t="s">
        <v>159</v>
      </c>
      <c r="F457" s="3">
        <v>12.98</v>
      </c>
      <c r="G457" s="3" t="s">
        <v>997</v>
      </c>
      <c r="H457" s="3"/>
      <c r="I457" s="3" t="s">
        <v>998</v>
      </c>
      <c r="J457" s="3">
        <v>9</v>
      </c>
      <c r="K457" s="3">
        <v>9</v>
      </c>
      <c r="L457" s="3">
        <v>0</v>
      </c>
      <c r="M457" s="3">
        <v>0</v>
      </c>
      <c r="N457" s="3">
        <v>9</v>
      </c>
      <c r="O457" s="3">
        <v>0.12</v>
      </c>
      <c r="P457" s="3">
        <v>0</v>
      </c>
      <c r="Q457" s="3">
        <v>0</v>
      </c>
      <c r="R457" s="3">
        <v>0</v>
      </c>
    </row>
    <row r="458" spans="1:18">
      <c r="A458" s="3" t="s">
        <v>932</v>
      </c>
      <c r="B458" s="3" t="s">
        <v>933</v>
      </c>
      <c r="C458" s="3" t="s">
        <v>933</v>
      </c>
      <c r="D458" s="3" t="s">
        <v>934</v>
      </c>
      <c r="E458" s="3" t="s">
        <v>159</v>
      </c>
      <c r="F458" s="3">
        <v>12.98</v>
      </c>
      <c r="G458" s="3" t="s">
        <v>997</v>
      </c>
      <c r="H458" s="3"/>
      <c r="I458" s="3" t="s">
        <v>998</v>
      </c>
      <c r="J458" s="3">
        <v>6</v>
      </c>
      <c r="K458" s="3">
        <v>6</v>
      </c>
      <c r="L458" s="3">
        <v>0</v>
      </c>
      <c r="M458" s="3">
        <v>0</v>
      </c>
      <c r="N458" s="3">
        <v>6</v>
      </c>
      <c r="O458" s="3">
        <v>0.12</v>
      </c>
      <c r="P458" s="3">
        <v>0</v>
      </c>
      <c r="Q458" s="3">
        <v>0</v>
      </c>
      <c r="R458" s="3">
        <v>0</v>
      </c>
    </row>
    <row r="459" spans="1:18">
      <c r="A459" s="3" t="s">
        <v>472</v>
      </c>
      <c r="B459" s="3" t="s">
        <v>473</v>
      </c>
      <c r="C459" s="3" t="s">
        <v>473</v>
      </c>
      <c r="D459" s="3" t="s">
        <v>474</v>
      </c>
      <c r="E459" s="3" t="s">
        <v>159</v>
      </c>
      <c r="F459" s="3">
        <v>12.98</v>
      </c>
      <c r="G459" s="3" t="s">
        <v>997</v>
      </c>
      <c r="H459" s="3"/>
      <c r="I459" s="3" t="s">
        <v>998</v>
      </c>
      <c r="J459" s="3">
        <v>3</v>
      </c>
      <c r="K459" s="3">
        <v>3</v>
      </c>
      <c r="L459" s="3">
        <v>0</v>
      </c>
      <c r="M459" s="3">
        <v>0</v>
      </c>
      <c r="N459" s="3">
        <v>3</v>
      </c>
      <c r="O459" s="3">
        <v>0.12</v>
      </c>
      <c r="P459" s="3">
        <v>0</v>
      </c>
      <c r="Q459" s="3">
        <v>0</v>
      </c>
      <c r="R459" s="3">
        <v>0</v>
      </c>
    </row>
    <row r="460" spans="1:18">
      <c r="A460" s="3" t="s">
        <v>1745</v>
      </c>
      <c r="B460" s="3" t="s">
        <v>1746</v>
      </c>
      <c r="C460" s="3" t="s">
        <v>1746</v>
      </c>
      <c r="D460" s="3" t="s">
        <v>1747</v>
      </c>
      <c r="E460" s="3" t="s">
        <v>159</v>
      </c>
      <c r="F460" s="3">
        <v>39.98</v>
      </c>
      <c r="G460" s="3" t="s">
        <v>997</v>
      </c>
      <c r="H460" s="3"/>
      <c r="I460" s="3" t="s">
        <v>998</v>
      </c>
      <c r="J460" s="3">
        <v>0</v>
      </c>
      <c r="K460" s="3">
        <v>0</v>
      </c>
      <c r="L460" s="3">
        <v>0</v>
      </c>
      <c r="M460" s="3">
        <v>0</v>
      </c>
      <c r="N460" s="3">
        <v>0</v>
      </c>
      <c r="O460" s="3">
        <v>0.12</v>
      </c>
      <c r="P460" s="3">
        <v>0</v>
      </c>
      <c r="Q460" s="3">
        <v>0</v>
      </c>
      <c r="R460" s="3">
        <v>0</v>
      </c>
    </row>
    <row r="461" spans="1:18">
      <c r="A461" s="3" t="s">
        <v>652</v>
      </c>
      <c r="B461" s="3" t="s">
        <v>653</v>
      </c>
      <c r="C461" s="3" t="s">
        <v>653</v>
      </c>
      <c r="D461" s="3" t="s">
        <v>654</v>
      </c>
      <c r="E461" s="3" t="s">
        <v>159</v>
      </c>
      <c r="F461" s="3">
        <v>39.98</v>
      </c>
      <c r="G461" s="3" t="s">
        <v>997</v>
      </c>
      <c r="H461" s="3"/>
      <c r="I461" s="3" t="s">
        <v>998</v>
      </c>
      <c r="J461" s="3">
        <v>0</v>
      </c>
      <c r="K461" s="3">
        <v>0</v>
      </c>
      <c r="L461" s="3">
        <v>0</v>
      </c>
      <c r="M461" s="3">
        <v>0</v>
      </c>
      <c r="N461" s="3">
        <v>0</v>
      </c>
      <c r="O461" s="3">
        <v>0.12</v>
      </c>
      <c r="P461" s="3">
        <v>0</v>
      </c>
      <c r="Q461" s="3">
        <v>0</v>
      </c>
      <c r="R461" s="3">
        <v>0</v>
      </c>
    </row>
    <row r="462" spans="1:18">
      <c r="A462" s="3" t="s">
        <v>970</v>
      </c>
      <c r="B462" s="3" t="s">
        <v>971</v>
      </c>
      <c r="C462" s="3" t="s">
        <v>971</v>
      </c>
      <c r="D462" s="3" t="s">
        <v>972</v>
      </c>
      <c r="E462" s="3" t="s">
        <v>159</v>
      </c>
      <c r="F462" s="3">
        <v>10</v>
      </c>
      <c r="G462" s="3" t="s">
        <v>997</v>
      </c>
      <c r="H462" s="3"/>
      <c r="I462" s="3" t="s">
        <v>998</v>
      </c>
      <c r="J462" s="3">
        <v>6</v>
      </c>
      <c r="K462" s="3">
        <v>6</v>
      </c>
      <c r="L462" s="3">
        <v>0</v>
      </c>
      <c r="M462" s="3">
        <v>0</v>
      </c>
      <c r="N462" s="3">
        <v>6</v>
      </c>
      <c r="O462" s="3">
        <v>0.12</v>
      </c>
      <c r="P462" s="3">
        <v>0</v>
      </c>
      <c r="Q462" s="3">
        <v>0</v>
      </c>
      <c r="R462" s="3">
        <v>0</v>
      </c>
    </row>
    <row r="463" spans="1:18">
      <c r="A463" s="3" t="s">
        <v>955</v>
      </c>
      <c r="B463" s="3" t="s">
        <v>956</v>
      </c>
      <c r="C463" s="3" t="s">
        <v>956</v>
      </c>
      <c r="D463" s="3" t="s">
        <v>957</v>
      </c>
      <c r="E463" s="3" t="s">
        <v>159</v>
      </c>
      <c r="F463" s="3">
        <v>10</v>
      </c>
      <c r="G463" s="3" t="s">
        <v>997</v>
      </c>
      <c r="H463" s="3"/>
      <c r="I463" s="3" t="s">
        <v>998</v>
      </c>
      <c r="J463" s="3">
        <v>9</v>
      </c>
      <c r="K463" s="3">
        <v>9</v>
      </c>
      <c r="L463" s="3">
        <v>0</v>
      </c>
      <c r="M463" s="3">
        <v>0</v>
      </c>
      <c r="N463" s="3">
        <v>9</v>
      </c>
      <c r="O463" s="3">
        <v>0.12</v>
      </c>
      <c r="P463" s="3">
        <v>0</v>
      </c>
      <c r="Q463" s="3">
        <v>0</v>
      </c>
      <c r="R463" s="3">
        <v>0</v>
      </c>
    </row>
    <row r="464" spans="1:18">
      <c r="A464" s="3" t="s">
        <v>965</v>
      </c>
      <c r="B464" s="3" t="s">
        <v>966</v>
      </c>
      <c r="C464" s="3" t="s">
        <v>966</v>
      </c>
      <c r="D464" s="3" t="s">
        <v>967</v>
      </c>
      <c r="E464" s="3" t="s">
        <v>159</v>
      </c>
      <c r="F464" s="3">
        <v>10</v>
      </c>
      <c r="G464" s="3" t="s">
        <v>997</v>
      </c>
      <c r="H464" s="3"/>
      <c r="I464" s="3" t="s">
        <v>998</v>
      </c>
      <c r="J464" s="3">
        <v>12</v>
      </c>
      <c r="K464" s="3">
        <v>12</v>
      </c>
      <c r="L464" s="3">
        <v>0</v>
      </c>
      <c r="M464" s="3">
        <v>0</v>
      </c>
      <c r="N464" s="3">
        <v>12</v>
      </c>
      <c r="O464" s="3">
        <v>0.12</v>
      </c>
      <c r="P464" s="3">
        <v>0</v>
      </c>
      <c r="Q464" s="3">
        <v>0</v>
      </c>
      <c r="R464" s="3">
        <v>0</v>
      </c>
    </row>
    <row r="465" spans="1:18">
      <c r="A465" s="3" t="s">
        <v>1748</v>
      </c>
      <c r="B465" s="3" t="s">
        <v>1749</v>
      </c>
      <c r="C465" s="3" t="s">
        <v>1749</v>
      </c>
      <c r="D465" s="3" t="s">
        <v>1750</v>
      </c>
      <c r="E465" s="3" t="s">
        <v>159</v>
      </c>
      <c r="F465" s="3">
        <v>39.98</v>
      </c>
      <c r="G465" s="3" t="s">
        <v>997</v>
      </c>
      <c r="H465" s="3"/>
      <c r="I465" s="3" t="s">
        <v>998</v>
      </c>
      <c r="J465" s="3">
        <v>0</v>
      </c>
      <c r="K465" s="3">
        <v>0</v>
      </c>
      <c r="L465" s="3">
        <v>0</v>
      </c>
      <c r="M465" s="3">
        <v>0</v>
      </c>
      <c r="N465" s="3">
        <v>0</v>
      </c>
      <c r="O465" s="3">
        <v>0.12</v>
      </c>
      <c r="P465" s="3">
        <v>0</v>
      </c>
      <c r="Q465" s="3">
        <v>0</v>
      </c>
      <c r="R465" s="3">
        <v>0</v>
      </c>
    </row>
    <row r="466" spans="1:18">
      <c r="A466" s="3" t="s">
        <v>1751</v>
      </c>
      <c r="B466" s="3" t="s">
        <v>1752</v>
      </c>
      <c r="C466" s="3" t="s">
        <v>1752</v>
      </c>
      <c r="D466" s="3" t="s">
        <v>1753</v>
      </c>
      <c r="E466" s="3" t="s">
        <v>159</v>
      </c>
      <c r="F466" s="3">
        <v>39.98</v>
      </c>
      <c r="G466" s="3" t="s">
        <v>997</v>
      </c>
      <c r="H466" s="3"/>
      <c r="I466" s="3" t="s">
        <v>998</v>
      </c>
      <c r="J466" s="3">
        <v>0</v>
      </c>
      <c r="K466" s="3">
        <v>0</v>
      </c>
      <c r="L466" s="3">
        <v>0</v>
      </c>
      <c r="M466" s="3">
        <v>0</v>
      </c>
      <c r="N466" s="3">
        <v>0</v>
      </c>
      <c r="O466" s="3">
        <v>0.12</v>
      </c>
      <c r="P466" s="3">
        <v>0</v>
      </c>
      <c r="Q466" s="3">
        <v>0</v>
      </c>
      <c r="R466" s="3">
        <v>0</v>
      </c>
    </row>
    <row r="467" spans="1:18">
      <c r="A467" s="3" t="s">
        <v>1754</v>
      </c>
      <c r="B467" s="3" t="s">
        <v>1755</v>
      </c>
      <c r="C467" s="3" t="s">
        <v>1755</v>
      </c>
      <c r="D467" s="3" t="s">
        <v>1756</v>
      </c>
      <c r="E467" s="3" t="s">
        <v>159</v>
      </c>
      <c r="F467" s="3">
        <v>39.98</v>
      </c>
      <c r="G467" s="3" t="s">
        <v>997</v>
      </c>
      <c r="H467" s="3"/>
      <c r="I467" s="3" t="s">
        <v>998</v>
      </c>
      <c r="J467" s="3">
        <v>0</v>
      </c>
      <c r="K467" s="3">
        <v>0</v>
      </c>
      <c r="L467" s="3">
        <v>0</v>
      </c>
      <c r="M467" s="3">
        <v>0</v>
      </c>
      <c r="N467" s="3">
        <v>0</v>
      </c>
      <c r="O467" s="3">
        <v>0.12</v>
      </c>
      <c r="P467" s="3">
        <v>0</v>
      </c>
      <c r="Q467" s="3">
        <v>0</v>
      </c>
      <c r="R467" s="3">
        <v>0</v>
      </c>
    </row>
    <row r="468" spans="1:18">
      <c r="A468" s="3" t="s">
        <v>1757</v>
      </c>
      <c r="B468" s="3" t="s">
        <v>1758</v>
      </c>
      <c r="C468" s="3" t="s">
        <v>1758</v>
      </c>
      <c r="D468" s="3" t="s">
        <v>1759</v>
      </c>
      <c r="E468" s="3" t="s">
        <v>159</v>
      </c>
      <c r="F468" s="3">
        <v>39.98</v>
      </c>
      <c r="G468" s="3" t="s">
        <v>997</v>
      </c>
      <c r="H468" s="3"/>
      <c r="I468" s="3" t="s">
        <v>998</v>
      </c>
      <c r="J468" s="3">
        <v>0</v>
      </c>
      <c r="K468" s="3">
        <v>0</v>
      </c>
      <c r="L468" s="3">
        <v>0</v>
      </c>
      <c r="M468" s="3">
        <v>0</v>
      </c>
      <c r="N468" s="3">
        <v>0</v>
      </c>
      <c r="O468" s="3">
        <v>0.12</v>
      </c>
      <c r="P468" s="3">
        <v>0</v>
      </c>
      <c r="Q468" s="3">
        <v>0</v>
      </c>
      <c r="R468" s="3">
        <v>0</v>
      </c>
    </row>
    <row r="469" spans="1:18">
      <c r="A469" s="3" t="s">
        <v>667</v>
      </c>
      <c r="B469" s="3" t="s">
        <v>668</v>
      </c>
      <c r="C469" s="3" t="s">
        <v>668</v>
      </c>
      <c r="D469" s="3" t="s">
        <v>669</v>
      </c>
      <c r="E469" s="3" t="s">
        <v>159</v>
      </c>
      <c r="F469" s="3">
        <v>39.98</v>
      </c>
      <c r="G469" s="3" t="s">
        <v>997</v>
      </c>
      <c r="H469" s="3"/>
      <c r="I469" s="3" t="s">
        <v>998</v>
      </c>
      <c r="J469" s="3">
        <v>7</v>
      </c>
      <c r="K469" s="3">
        <v>7</v>
      </c>
      <c r="L469" s="3">
        <v>0</v>
      </c>
      <c r="M469" s="3">
        <v>0</v>
      </c>
      <c r="N469" s="3">
        <v>7</v>
      </c>
      <c r="O469" s="3">
        <v>0.12</v>
      </c>
      <c r="P469" s="3">
        <v>0</v>
      </c>
      <c r="Q469" s="3">
        <v>0</v>
      </c>
      <c r="R469" s="3">
        <v>0</v>
      </c>
    </row>
    <row r="470" spans="1:18">
      <c r="A470" s="3" t="s">
        <v>1760</v>
      </c>
      <c r="B470" s="3" t="s">
        <v>1761</v>
      </c>
      <c r="C470" s="3" t="s">
        <v>1761</v>
      </c>
      <c r="D470" s="3"/>
      <c r="E470" s="3" t="s">
        <v>1497</v>
      </c>
      <c r="F470" s="3"/>
      <c r="G470" s="3"/>
      <c r="H470" s="3"/>
      <c r="I470" s="3"/>
      <c r="J470" s="3">
        <v>0</v>
      </c>
      <c r="K470" s="3">
        <v>0</v>
      </c>
      <c r="L470" s="3">
        <v>0</v>
      </c>
      <c r="M470" s="3">
        <v>0</v>
      </c>
      <c r="N470" s="3">
        <v>0</v>
      </c>
      <c r="O470" s="3"/>
      <c r="P470" s="3">
        <v>0</v>
      </c>
      <c r="Q470" s="3">
        <v>0</v>
      </c>
      <c r="R470" s="3">
        <v>0</v>
      </c>
    </row>
    <row r="471" spans="1:18">
      <c r="A471" s="3" t="s">
        <v>44</v>
      </c>
      <c r="B471" s="3" t="s">
        <v>45</v>
      </c>
      <c r="C471" s="3" t="s">
        <v>45</v>
      </c>
      <c r="D471" s="3" t="s">
        <v>46</v>
      </c>
      <c r="E471" s="3" t="s">
        <v>159</v>
      </c>
      <c r="F471" s="3">
        <v>39.98</v>
      </c>
      <c r="G471" s="3" t="s">
        <v>997</v>
      </c>
      <c r="H471" s="3"/>
      <c r="I471" s="3" t="s">
        <v>998</v>
      </c>
      <c r="J471" s="3">
        <v>2</v>
      </c>
      <c r="K471" s="3">
        <v>0</v>
      </c>
      <c r="L471" s="3">
        <v>0</v>
      </c>
      <c r="M471" s="3">
        <v>2</v>
      </c>
      <c r="N471" s="3">
        <v>2</v>
      </c>
      <c r="O471" s="3">
        <v>0.12</v>
      </c>
      <c r="P471" s="3">
        <v>0</v>
      </c>
      <c r="Q471" s="3">
        <v>0</v>
      </c>
      <c r="R471" s="3">
        <v>0</v>
      </c>
    </row>
    <row r="472" spans="1:18">
      <c r="A472" s="3" t="s">
        <v>1762</v>
      </c>
      <c r="B472" s="3" t="s">
        <v>1763</v>
      </c>
      <c r="C472" s="3" t="s">
        <v>1763</v>
      </c>
      <c r="D472" s="3" t="s">
        <v>1764</v>
      </c>
      <c r="E472" s="3" t="s">
        <v>159</v>
      </c>
      <c r="F472" s="3">
        <v>39.98</v>
      </c>
      <c r="G472" s="3" t="s">
        <v>997</v>
      </c>
      <c r="H472" s="3"/>
      <c r="I472" s="3" t="s">
        <v>998</v>
      </c>
      <c r="J472" s="3">
        <v>0</v>
      </c>
      <c r="K472" s="3">
        <v>0</v>
      </c>
      <c r="L472" s="3">
        <v>0</v>
      </c>
      <c r="M472" s="3">
        <v>0</v>
      </c>
      <c r="N472" s="3">
        <v>0</v>
      </c>
      <c r="O472" s="3">
        <v>0.12</v>
      </c>
      <c r="P472" s="3">
        <v>0</v>
      </c>
      <c r="Q472" s="3">
        <v>0</v>
      </c>
      <c r="R472" s="3">
        <v>0</v>
      </c>
    </row>
    <row r="473" spans="1:18">
      <c r="A473" s="3" t="s">
        <v>815</v>
      </c>
      <c r="B473" s="3" t="s">
        <v>816</v>
      </c>
      <c r="C473" s="3" t="s">
        <v>816</v>
      </c>
      <c r="D473" s="3" t="s">
        <v>817</v>
      </c>
      <c r="E473" s="3" t="s">
        <v>159</v>
      </c>
      <c r="F473" s="3">
        <v>13.99</v>
      </c>
      <c r="G473" s="3" t="s">
        <v>997</v>
      </c>
      <c r="H473" s="3"/>
      <c r="I473" s="3" t="s">
        <v>998</v>
      </c>
      <c r="J473" s="3">
        <v>5</v>
      </c>
      <c r="K473" s="3">
        <v>5</v>
      </c>
      <c r="L473" s="3">
        <v>0</v>
      </c>
      <c r="M473" s="3">
        <v>0</v>
      </c>
      <c r="N473" s="3">
        <v>5</v>
      </c>
      <c r="O473" s="3">
        <v>0</v>
      </c>
      <c r="P473" s="3">
        <v>0</v>
      </c>
      <c r="Q473" s="3">
        <v>0</v>
      </c>
      <c r="R473" s="3">
        <v>0</v>
      </c>
    </row>
    <row r="474" spans="1:18">
      <c r="A474" s="3" t="s">
        <v>59</v>
      </c>
      <c r="B474" s="3" t="s">
        <v>60</v>
      </c>
      <c r="C474" s="3" t="s">
        <v>61</v>
      </c>
      <c r="D474" s="3" t="s">
        <v>62</v>
      </c>
      <c r="E474" s="3" t="s">
        <v>159</v>
      </c>
      <c r="F474" s="3">
        <v>30.99</v>
      </c>
      <c r="G474" s="3" t="s">
        <v>997</v>
      </c>
      <c r="H474" s="3"/>
      <c r="I474" s="3" t="s">
        <v>998</v>
      </c>
      <c r="J474" s="3">
        <v>9</v>
      </c>
      <c r="K474" s="3">
        <v>8</v>
      </c>
      <c r="L474" s="3">
        <v>0</v>
      </c>
      <c r="M474" s="3">
        <v>1</v>
      </c>
      <c r="N474" s="3">
        <v>39</v>
      </c>
      <c r="O474" s="3">
        <v>0.24</v>
      </c>
      <c r="P474" s="3">
        <v>20</v>
      </c>
      <c r="Q474" s="3">
        <v>10</v>
      </c>
      <c r="R474" s="3">
        <v>0</v>
      </c>
    </row>
    <row r="475" spans="1:18">
      <c r="A475" s="3" t="s">
        <v>707</v>
      </c>
      <c r="B475" s="3" t="s">
        <v>708</v>
      </c>
      <c r="C475" s="3" t="s">
        <v>709</v>
      </c>
      <c r="D475" s="3" t="s">
        <v>710</v>
      </c>
      <c r="E475" s="3" t="s">
        <v>159</v>
      </c>
      <c r="F475" s="3">
        <v>20.99</v>
      </c>
      <c r="G475" s="3" t="s">
        <v>997</v>
      </c>
      <c r="H475" s="3"/>
      <c r="I475" s="3" t="s">
        <v>998</v>
      </c>
      <c r="J475" s="3">
        <v>5</v>
      </c>
      <c r="K475" s="3">
        <v>5</v>
      </c>
      <c r="L475" s="3">
        <v>0</v>
      </c>
      <c r="M475" s="3">
        <v>0</v>
      </c>
      <c r="N475" s="3">
        <v>55</v>
      </c>
      <c r="O475" s="3">
        <v>0</v>
      </c>
      <c r="P475" s="3">
        <v>20</v>
      </c>
      <c r="Q475" s="3">
        <v>30</v>
      </c>
      <c r="R475" s="3">
        <v>0</v>
      </c>
    </row>
    <row r="476" spans="1:18">
      <c r="A476" s="3" t="s">
        <v>47</v>
      </c>
      <c r="B476" s="3" t="s">
        <v>48</v>
      </c>
      <c r="C476" s="3" t="s">
        <v>49</v>
      </c>
      <c r="D476" s="3" t="s">
        <v>50</v>
      </c>
      <c r="E476" s="3" t="s">
        <v>159</v>
      </c>
      <c r="F476" s="3">
        <v>15.99</v>
      </c>
      <c r="G476" s="3" t="s">
        <v>997</v>
      </c>
      <c r="H476" s="3"/>
      <c r="I476" s="3" t="s">
        <v>998</v>
      </c>
      <c r="J476" s="3">
        <v>6</v>
      </c>
      <c r="K476" s="3">
        <v>1</v>
      </c>
      <c r="L476" s="3">
        <v>0</v>
      </c>
      <c r="M476" s="3">
        <v>5</v>
      </c>
      <c r="N476" s="3">
        <v>136</v>
      </c>
      <c r="O476" s="3">
        <v>0</v>
      </c>
      <c r="P476" s="3">
        <v>19</v>
      </c>
      <c r="Q476" s="3">
        <v>111</v>
      </c>
      <c r="R476" s="3">
        <v>0</v>
      </c>
    </row>
    <row r="477" spans="1:18">
      <c r="A477" s="3" t="s">
        <v>1765</v>
      </c>
      <c r="B477" s="3" t="s">
        <v>101</v>
      </c>
      <c r="C477" s="3" t="s">
        <v>101</v>
      </c>
      <c r="D477" s="3" t="s">
        <v>102</v>
      </c>
      <c r="E477" s="3" t="s">
        <v>159</v>
      </c>
      <c r="F477" s="3">
        <v>25.99</v>
      </c>
      <c r="G477" s="3" t="s">
        <v>997</v>
      </c>
      <c r="H477" s="3"/>
      <c r="I477" s="3" t="s">
        <v>998</v>
      </c>
      <c r="J477" s="3">
        <v>0</v>
      </c>
      <c r="K477" s="3">
        <v>0</v>
      </c>
      <c r="L477" s="3">
        <v>0</v>
      </c>
      <c r="M477" s="3">
        <v>0</v>
      </c>
      <c r="N477" s="3">
        <v>0</v>
      </c>
      <c r="O477" s="3">
        <v>0.33</v>
      </c>
      <c r="P477" s="3">
        <v>0</v>
      </c>
      <c r="Q477" s="3">
        <v>0</v>
      </c>
      <c r="R477" s="3">
        <v>0</v>
      </c>
    </row>
    <row r="478" spans="1:18">
      <c r="A478" s="3" t="s">
        <v>1766</v>
      </c>
      <c r="B478" s="3" t="s">
        <v>121</v>
      </c>
      <c r="C478" s="3" t="s">
        <v>121</v>
      </c>
      <c r="D478" s="3" t="s">
        <v>122</v>
      </c>
      <c r="E478" s="3" t="s">
        <v>159</v>
      </c>
      <c r="F478" s="3">
        <v>18.99</v>
      </c>
      <c r="G478" s="3" t="s">
        <v>997</v>
      </c>
      <c r="H478" s="3"/>
      <c r="I478" s="3" t="s">
        <v>998</v>
      </c>
      <c r="J478" s="3">
        <v>1</v>
      </c>
      <c r="K478" s="3">
        <v>0</v>
      </c>
      <c r="L478" s="3">
        <v>1</v>
      </c>
      <c r="M478" s="3">
        <v>0</v>
      </c>
      <c r="N478" s="3">
        <v>1</v>
      </c>
      <c r="O478" s="3">
        <v>0.18</v>
      </c>
      <c r="P478" s="3">
        <v>0</v>
      </c>
      <c r="Q478" s="3">
        <v>0</v>
      </c>
      <c r="R478" s="3">
        <v>0</v>
      </c>
    </row>
    <row r="479" spans="1:18">
      <c r="A479" s="3" t="s">
        <v>1767</v>
      </c>
      <c r="B479" s="3" t="s">
        <v>921</v>
      </c>
      <c r="C479" s="3" t="s">
        <v>921</v>
      </c>
      <c r="D479" s="3" t="s">
        <v>922</v>
      </c>
      <c r="E479" s="3" t="s">
        <v>159</v>
      </c>
      <c r="F479" s="3">
        <v>13.99</v>
      </c>
      <c r="G479" s="3" t="s">
        <v>997</v>
      </c>
      <c r="H479" s="3"/>
      <c r="I479" s="3" t="s">
        <v>998</v>
      </c>
      <c r="J479" s="3">
        <v>2</v>
      </c>
      <c r="K479" s="3">
        <v>0</v>
      </c>
      <c r="L479" s="3">
        <v>2</v>
      </c>
      <c r="M479" s="3">
        <v>0</v>
      </c>
      <c r="N479" s="3">
        <v>2</v>
      </c>
      <c r="O479" s="3">
        <v>0.11</v>
      </c>
      <c r="P479" s="3">
        <v>0</v>
      </c>
      <c r="Q479" s="3">
        <v>0</v>
      </c>
      <c r="R479" s="3">
        <v>0</v>
      </c>
    </row>
    <row r="480" spans="1:18">
      <c r="A480" s="3" t="s">
        <v>1768</v>
      </c>
      <c r="B480" s="3" t="s">
        <v>350</v>
      </c>
      <c r="C480" s="3" t="s">
        <v>350</v>
      </c>
      <c r="D480" s="3" t="s">
        <v>351</v>
      </c>
      <c r="E480" s="3" t="s">
        <v>159</v>
      </c>
      <c r="F480" s="3">
        <v>25.99</v>
      </c>
      <c r="G480" s="3" t="s">
        <v>997</v>
      </c>
      <c r="H480" s="3"/>
      <c r="I480" s="3" t="s">
        <v>998</v>
      </c>
      <c r="J480" s="3">
        <v>0</v>
      </c>
      <c r="K480" s="3">
        <v>0</v>
      </c>
      <c r="L480" s="3">
        <v>0</v>
      </c>
      <c r="M480" s="3">
        <v>0</v>
      </c>
      <c r="N480" s="3">
        <v>0</v>
      </c>
      <c r="O480" s="3">
        <v>0.29</v>
      </c>
      <c r="P480" s="3">
        <v>0</v>
      </c>
      <c r="Q480" s="3">
        <v>0</v>
      </c>
      <c r="R480" s="3">
        <v>0</v>
      </c>
    </row>
    <row r="481" spans="1:18">
      <c r="A481" s="3" t="s">
        <v>1769</v>
      </c>
      <c r="B481" s="3" t="s">
        <v>113</v>
      </c>
      <c r="C481" s="3" t="s">
        <v>113</v>
      </c>
      <c r="D481" s="3" t="s">
        <v>114</v>
      </c>
      <c r="E481" s="3" t="s">
        <v>159</v>
      </c>
      <c r="F481" s="3">
        <v>18.99</v>
      </c>
      <c r="G481" s="3" t="s">
        <v>997</v>
      </c>
      <c r="H481" s="3"/>
      <c r="I481" s="3" t="s">
        <v>998</v>
      </c>
      <c r="J481" s="3">
        <v>0</v>
      </c>
      <c r="K481" s="3">
        <v>0</v>
      </c>
      <c r="L481" s="3">
        <v>0</v>
      </c>
      <c r="M481" s="3">
        <v>0</v>
      </c>
      <c r="N481" s="3">
        <v>0</v>
      </c>
      <c r="O481" s="3">
        <v>0.15</v>
      </c>
      <c r="P481" s="3">
        <v>0</v>
      </c>
      <c r="Q481" s="3">
        <v>0</v>
      </c>
      <c r="R481" s="3">
        <v>0</v>
      </c>
    </row>
    <row r="482" spans="1:18">
      <c r="A482" s="3" t="s">
        <v>1770</v>
      </c>
      <c r="B482" s="3" t="s">
        <v>93</v>
      </c>
      <c r="C482" s="3" t="s">
        <v>93</v>
      </c>
      <c r="D482" s="3" t="s">
        <v>94</v>
      </c>
      <c r="E482" s="3" t="s">
        <v>159</v>
      </c>
      <c r="F482" s="3">
        <v>13.99</v>
      </c>
      <c r="G482" s="3" t="s">
        <v>997</v>
      </c>
      <c r="H482" s="3"/>
      <c r="I482" s="3" t="s">
        <v>998</v>
      </c>
      <c r="J482" s="3">
        <v>0</v>
      </c>
      <c r="K482" s="3">
        <v>0</v>
      </c>
      <c r="L482" s="3">
        <v>0</v>
      </c>
      <c r="M482" s="3">
        <v>0</v>
      </c>
      <c r="N482" s="3">
        <v>0</v>
      </c>
      <c r="O482" s="3">
        <v>0.11</v>
      </c>
      <c r="P482" s="3">
        <v>0</v>
      </c>
      <c r="Q482" s="3">
        <v>0</v>
      </c>
      <c r="R482" s="3">
        <v>0</v>
      </c>
    </row>
    <row r="483" spans="1:18">
      <c r="A483" s="3" t="s">
        <v>371</v>
      </c>
      <c r="B483" s="3" t="s">
        <v>372</v>
      </c>
      <c r="C483" s="3" t="s">
        <v>373</v>
      </c>
      <c r="D483" s="3" t="s">
        <v>374</v>
      </c>
      <c r="E483" s="3" t="s">
        <v>159</v>
      </c>
      <c r="F483" s="3">
        <v>30.99</v>
      </c>
      <c r="G483" s="3" t="s">
        <v>997</v>
      </c>
      <c r="H483" s="3"/>
      <c r="I483" s="3" t="s">
        <v>998</v>
      </c>
      <c r="J483" s="3">
        <v>4</v>
      </c>
      <c r="K483" s="3">
        <v>4</v>
      </c>
      <c r="L483" s="3">
        <v>0</v>
      </c>
      <c r="M483" s="3">
        <v>0</v>
      </c>
      <c r="N483" s="3">
        <v>56</v>
      </c>
      <c r="O483" s="3">
        <v>0.38</v>
      </c>
      <c r="P483" s="3">
        <v>20</v>
      </c>
      <c r="Q483" s="3">
        <v>32</v>
      </c>
      <c r="R483" s="3">
        <v>0</v>
      </c>
    </row>
    <row r="484" spans="1:18">
      <c r="A484" s="3" t="s">
        <v>51</v>
      </c>
      <c r="B484" s="3" t="s">
        <v>52</v>
      </c>
      <c r="C484" s="3" t="s">
        <v>53</v>
      </c>
      <c r="D484" s="3" t="s">
        <v>54</v>
      </c>
      <c r="E484" s="3" t="s">
        <v>159</v>
      </c>
      <c r="F484" s="3">
        <v>20.99</v>
      </c>
      <c r="G484" s="3" t="s">
        <v>997</v>
      </c>
      <c r="H484" s="3"/>
      <c r="I484" s="3" t="s">
        <v>998</v>
      </c>
      <c r="J484" s="3">
        <v>13</v>
      </c>
      <c r="K484" s="3">
        <v>4</v>
      </c>
      <c r="L484" s="3">
        <v>0</v>
      </c>
      <c r="M484" s="3">
        <v>9</v>
      </c>
      <c r="N484" s="3">
        <v>67</v>
      </c>
      <c r="O484" s="3">
        <v>0</v>
      </c>
      <c r="P484" s="3">
        <v>20</v>
      </c>
      <c r="Q484" s="3">
        <v>34</v>
      </c>
      <c r="R484" s="3">
        <v>0</v>
      </c>
    </row>
    <row r="485" spans="1:18">
      <c r="A485" s="3" t="s">
        <v>1771</v>
      </c>
      <c r="B485" s="3" t="s">
        <v>1772</v>
      </c>
      <c r="C485" s="3" t="s">
        <v>1773</v>
      </c>
      <c r="D485" s="3" t="s">
        <v>1774</v>
      </c>
      <c r="E485" s="3" t="s">
        <v>159</v>
      </c>
      <c r="F485" s="3">
        <v>15.99</v>
      </c>
      <c r="G485" s="3" t="s">
        <v>997</v>
      </c>
      <c r="H485" s="3"/>
      <c r="I485" s="3" t="s">
        <v>998</v>
      </c>
      <c r="J485" s="3">
        <v>0</v>
      </c>
      <c r="K485" s="3">
        <v>0</v>
      </c>
      <c r="L485" s="3">
        <v>0</v>
      </c>
      <c r="M485" s="3">
        <v>0</v>
      </c>
      <c r="N485" s="3">
        <v>101</v>
      </c>
      <c r="O485" s="3">
        <v>0.07</v>
      </c>
      <c r="P485" s="3">
        <v>19</v>
      </c>
      <c r="Q485" s="3">
        <v>82</v>
      </c>
      <c r="R485" s="3">
        <v>0</v>
      </c>
    </row>
    <row r="486" spans="1:18">
      <c r="A486" s="3" t="s">
        <v>1775</v>
      </c>
      <c r="B486" s="3" t="s">
        <v>105</v>
      </c>
      <c r="C486" s="3" t="s">
        <v>105</v>
      </c>
      <c r="D486" s="3" t="s">
        <v>106</v>
      </c>
      <c r="E486" s="3" t="s">
        <v>159</v>
      </c>
      <c r="F486" s="3">
        <v>25.99</v>
      </c>
      <c r="G486" s="3" t="s">
        <v>997</v>
      </c>
      <c r="H486" s="3"/>
      <c r="I486" s="3" t="s">
        <v>998</v>
      </c>
      <c r="J486" s="3">
        <v>0</v>
      </c>
      <c r="K486" s="3">
        <v>0</v>
      </c>
      <c r="L486" s="3">
        <v>0</v>
      </c>
      <c r="M486" s="3">
        <v>0</v>
      </c>
      <c r="N486" s="3">
        <v>0</v>
      </c>
      <c r="O486" s="3">
        <v>0.17</v>
      </c>
      <c r="P486" s="3">
        <v>0</v>
      </c>
      <c r="Q486" s="3">
        <v>0</v>
      </c>
      <c r="R486" s="3">
        <v>0</v>
      </c>
    </row>
    <row r="487" spans="1:18">
      <c r="A487" s="3" t="s">
        <v>1776</v>
      </c>
      <c r="B487" s="3" t="s">
        <v>72</v>
      </c>
      <c r="C487" s="3" t="s">
        <v>72</v>
      </c>
      <c r="D487" s="3" t="s">
        <v>73</v>
      </c>
      <c r="E487" s="3" t="s">
        <v>159</v>
      </c>
      <c r="F487" s="3">
        <v>18.99</v>
      </c>
      <c r="G487" s="3" t="s">
        <v>997</v>
      </c>
      <c r="H487" s="3"/>
      <c r="I487" s="3" t="s">
        <v>998</v>
      </c>
      <c r="J487" s="3">
        <v>1</v>
      </c>
      <c r="K487" s="3">
        <v>0</v>
      </c>
      <c r="L487" s="3">
        <v>1</v>
      </c>
      <c r="M487" s="3">
        <v>0</v>
      </c>
      <c r="N487" s="3">
        <v>1</v>
      </c>
      <c r="O487" s="3">
        <v>0.19</v>
      </c>
      <c r="P487" s="3">
        <v>0</v>
      </c>
      <c r="Q487" s="3">
        <v>0</v>
      </c>
      <c r="R487" s="3">
        <v>0</v>
      </c>
    </row>
    <row r="488" spans="1:18">
      <c r="A488" s="3" t="s">
        <v>1777</v>
      </c>
      <c r="B488" s="3" t="s">
        <v>89</v>
      </c>
      <c r="C488" s="3" t="s">
        <v>89</v>
      </c>
      <c r="D488" s="3" t="s">
        <v>90</v>
      </c>
      <c r="E488" s="3" t="s">
        <v>159</v>
      </c>
      <c r="F488" s="3">
        <v>13.99</v>
      </c>
      <c r="G488" s="3" t="s">
        <v>997</v>
      </c>
      <c r="H488" s="3"/>
      <c r="I488" s="3" t="s">
        <v>998</v>
      </c>
      <c r="J488" s="3">
        <v>1</v>
      </c>
      <c r="K488" s="3">
        <v>0</v>
      </c>
      <c r="L488" s="3">
        <v>1</v>
      </c>
      <c r="M488" s="3">
        <v>0</v>
      </c>
      <c r="N488" s="3">
        <v>1</v>
      </c>
      <c r="O488" s="3">
        <v>0.13</v>
      </c>
      <c r="P488" s="3">
        <v>0</v>
      </c>
      <c r="Q488" s="3">
        <v>0</v>
      </c>
      <c r="R488" s="3">
        <v>0</v>
      </c>
    </row>
    <row r="489" spans="1:18">
      <c r="A489" s="3" t="s">
        <v>532</v>
      </c>
      <c r="B489" s="3" t="s">
        <v>533</v>
      </c>
      <c r="C489" s="3" t="s">
        <v>534</v>
      </c>
      <c r="D489" s="3" t="s">
        <v>535</v>
      </c>
      <c r="E489" s="3" t="s">
        <v>159</v>
      </c>
      <c r="F489" s="3">
        <v>30.99</v>
      </c>
      <c r="G489" s="3" t="s">
        <v>997</v>
      </c>
      <c r="H489" s="3"/>
      <c r="I489" s="3" t="s">
        <v>998</v>
      </c>
      <c r="J489" s="3">
        <v>19</v>
      </c>
      <c r="K489" s="3">
        <v>19</v>
      </c>
      <c r="L489" s="3">
        <v>0</v>
      </c>
      <c r="M489" s="3">
        <v>0</v>
      </c>
      <c r="N489" s="3">
        <v>29</v>
      </c>
      <c r="O489" s="3">
        <v>0.26</v>
      </c>
      <c r="P489" s="3">
        <v>0</v>
      </c>
      <c r="Q489" s="3">
        <v>10</v>
      </c>
      <c r="R489" s="3">
        <v>0</v>
      </c>
    </row>
    <row r="490" spans="1:18">
      <c r="A490" s="3" t="s">
        <v>55</v>
      </c>
      <c r="B490" s="3" t="s">
        <v>56</v>
      </c>
      <c r="C490" s="3" t="s">
        <v>57</v>
      </c>
      <c r="D490" s="3" t="s">
        <v>58</v>
      </c>
      <c r="E490" s="3" t="s">
        <v>159</v>
      </c>
      <c r="F490" s="3">
        <v>20.99</v>
      </c>
      <c r="G490" s="3" t="s">
        <v>997</v>
      </c>
      <c r="H490" s="3"/>
      <c r="I490" s="3" t="s">
        <v>998</v>
      </c>
      <c r="J490" s="3">
        <v>13</v>
      </c>
      <c r="K490" s="3">
        <v>12</v>
      </c>
      <c r="L490" s="3">
        <v>0</v>
      </c>
      <c r="M490" s="3">
        <v>1</v>
      </c>
      <c r="N490" s="3">
        <v>43</v>
      </c>
      <c r="O490" s="3">
        <v>0.18</v>
      </c>
      <c r="P490" s="3">
        <v>0</v>
      </c>
      <c r="Q490" s="3">
        <v>30</v>
      </c>
      <c r="R490" s="3">
        <v>0</v>
      </c>
    </row>
    <row r="491" spans="1:18">
      <c r="A491" s="3" t="s">
        <v>490</v>
      </c>
      <c r="B491" s="3" t="s">
        <v>491</v>
      </c>
      <c r="C491" s="3" t="s">
        <v>492</v>
      </c>
      <c r="D491" s="3" t="s">
        <v>493</v>
      </c>
      <c r="E491" s="3" t="s">
        <v>159</v>
      </c>
      <c r="F491" s="3">
        <v>15.99</v>
      </c>
      <c r="G491" s="3" t="s">
        <v>997</v>
      </c>
      <c r="H491" s="3"/>
      <c r="I491" s="3" t="s">
        <v>998</v>
      </c>
      <c r="J491" s="3">
        <v>13</v>
      </c>
      <c r="K491" s="3">
        <v>13</v>
      </c>
      <c r="L491" s="3">
        <v>0</v>
      </c>
      <c r="M491" s="3">
        <v>0</v>
      </c>
      <c r="N491" s="3">
        <v>53</v>
      </c>
      <c r="O491" s="3">
        <v>0</v>
      </c>
      <c r="P491" s="3">
        <v>0</v>
      </c>
      <c r="Q491" s="3">
        <v>40</v>
      </c>
      <c r="R491" s="3">
        <v>0</v>
      </c>
    </row>
    <row r="492" spans="1:18">
      <c r="A492" s="3" t="s">
        <v>796</v>
      </c>
      <c r="B492" s="3" t="s">
        <v>117</v>
      </c>
      <c r="C492" s="3" t="s">
        <v>117</v>
      </c>
      <c r="D492" s="3" t="s">
        <v>118</v>
      </c>
      <c r="E492" s="3" t="s">
        <v>159</v>
      </c>
      <c r="F492" s="3">
        <v>25.99</v>
      </c>
      <c r="G492" s="3" t="s">
        <v>997</v>
      </c>
      <c r="H492" s="3"/>
      <c r="I492" s="3" t="s">
        <v>998</v>
      </c>
      <c r="J492" s="3">
        <v>15</v>
      </c>
      <c r="K492" s="3">
        <v>15</v>
      </c>
      <c r="L492" s="3">
        <v>0</v>
      </c>
      <c r="M492" s="3">
        <v>0</v>
      </c>
      <c r="N492" s="3">
        <v>15</v>
      </c>
      <c r="O492" s="3">
        <v>0.3</v>
      </c>
      <c r="P492" s="3">
        <v>0</v>
      </c>
      <c r="Q492" s="3">
        <v>0</v>
      </c>
      <c r="R492" s="3">
        <v>0</v>
      </c>
    </row>
    <row r="493" spans="1:18">
      <c r="A493" s="3" t="s">
        <v>1778</v>
      </c>
      <c r="B493" s="3" t="s">
        <v>97</v>
      </c>
      <c r="C493" s="3" t="s">
        <v>97</v>
      </c>
      <c r="D493" s="3" t="s">
        <v>98</v>
      </c>
      <c r="E493" s="3" t="s">
        <v>159</v>
      </c>
      <c r="F493" s="3">
        <v>18.99</v>
      </c>
      <c r="G493" s="3" t="s">
        <v>997</v>
      </c>
      <c r="H493" s="3"/>
      <c r="I493" s="3" t="s">
        <v>998</v>
      </c>
      <c r="J493" s="3">
        <v>2</v>
      </c>
      <c r="K493" s="3">
        <v>0</v>
      </c>
      <c r="L493" s="3">
        <v>2</v>
      </c>
      <c r="M493" s="3">
        <v>0</v>
      </c>
      <c r="N493" s="3">
        <v>2</v>
      </c>
      <c r="O493" s="3">
        <v>0.22</v>
      </c>
      <c r="P493" s="3">
        <v>0</v>
      </c>
      <c r="Q493" s="3">
        <v>0</v>
      </c>
      <c r="R493" s="3">
        <v>0</v>
      </c>
    </row>
    <row r="494" spans="1:18">
      <c r="A494" s="3" t="s">
        <v>1779</v>
      </c>
      <c r="B494" s="3" t="s">
        <v>79</v>
      </c>
      <c r="C494" s="3" t="s">
        <v>79</v>
      </c>
      <c r="D494" s="3" t="s">
        <v>80</v>
      </c>
      <c r="E494" s="3" t="s">
        <v>159</v>
      </c>
      <c r="F494" s="3">
        <v>13.99</v>
      </c>
      <c r="G494" s="3" t="s">
        <v>997</v>
      </c>
      <c r="H494" s="3"/>
      <c r="I494" s="3" t="s">
        <v>998</v>
      </c>
      <c r="J494" s="3">
        <v>3</v>
      </c>
      <c r="K494" s="3">
        <v>0</v>
      </c>
      <c r="L494" s="3">
        <v>3</v>
      </c>
      <c r="M494" s="3">
        <v>0</v>
      </c>
      <c r="N494" s="3">
        <v>3</v>
      </c>
      <c r="O494" s="3">
        <v>0.12</v>
      </c>
      <c r="P494" s="3">
        <v>0</v>
      </c>
      <c r="Q494" s="3">
        <v>0</v>
      </c>
      <c r="R494" s="3">
        <v>0</v>
      </c>
    </row>
    <row r="495" spans="1:18">
      <c r="A495" s="3" t="s">
        <v>63</v>
      </c>
      <c r="B495" s="3" t="s">
        <v>64</v>
      </c>
      <c r="C495" s="3" t="s">
        <v>65</v>
      </c>
      <c r="D495" s="3" t="s">
        <v>66</v>
      </c>
      <c r="E495" s="3" t="s">
        <v>159</v>
      </c>
      <c r="F495" s="3">
        <v>30.99</v>
      </c>
      <c r="G495" s="3" t="s">
        <v>997</v>
      </c>
      <c r="H495" s="3"/>
      <c r="I495" s="3" t="s">
        <v>998</v>
      </c>
      <c r="J495" s="3">
        <v>19</v>
      </c>
      <c r="K495" s="3">
        <v>18</v>
      </c>
      <c r="L495" s="3">
        <v>0</v>
      </c>
      <c r="M495" s="3">
        <v>1</v>
      </c>
      <c r="N495" s="3">
        <v>49</v>
      </c>
      <c r="O495" s="3">
        <v>0.32</v>
      </c>
      <c r="P495" s="3">
        <v>20</v>
      </c>
      <c r="Q495" s="3">
        <v>10</v>
      </c>
      <c r="R495" s="3">
        <v>0</v>
      </c>
    </row>
    <row r="496" spans="1:18">
      <c r="A496" s="3" t="s">
        <v>415</v>
      </c>
      <c r="B496" s="3" t="s">
        <v>416</v>
      </c>
      <c r="C496" s="3" t="s">
        <v>417</v>
      </c>
      <c r="D496" s="3" t="s">
        <v>418</v>
      </c>
      <c r="E496" s="3" t="s">
        <v>159</v>
      </c>
      <c r="F496" s="3">
        <v>20.99</v>
      </c>
      <c r="G496" s="3" t="s">
        <v>997</v>
      </c>
      <c r="H496" s="3"/>
      <c r="I496" s="3" t="s">
        <v>998</v>
      </c>
      <c r="J496" s="3">
        <v>10</v>
      </c>
      <c r="K496" s="3">
        <v>10</v>
      </c>
      <c r="L496" s="3">
        <v>0</v>
      </c>
      <c r="M496" s="3">
        <v>0</v>
      </c>
      <c r="N496" s="3">
        <v>60</v>
      </c>
      <c r="O496" s="3">
        <v>0.14</v>
      </c>
      <c r="P496" s="3">
        <v>20</v>
      </c>
      <c r="Q496" s="3">
        <v>30</v>
      </c>
      <c r="R496" s="3">
        <v>0</v>
      </c>
    </row>
    <row r="497" spans="1:18">
      <c r="A497" s="3" t="s">
        <v>627</v>
      </c>
      <c r="B497" s="3" t="s">
        <v>628</v>
      </c>
      <c r="C497" s="3" t="s">
        <v>629</v>
      </c>
      <c r="D497" s="3" t="s">
        <v>630</v>
      </c>
      <c r="E497" s="3" t="s">
        <v>159</v>
      </c>
      <c r="F497" s="3">
        <v>15.99</v>
      </c>
      <c r="G497" s="3" t="s">
        <v>997</v>
      </c>
      <c r="H497" s="3"/>
      <c r="I497" s="3" t="s">
        <v>998</v>
      </c>
      <c r="J497" s="3">
        <v>17</v>
      </c>
      <c r="K497" s="3">
        <v>17</v>
      </c>
      <c r="L497" s="3">
        <v>0</v>
      </c>
      <c r="M497" s="3">
        <v>0</v>
      </c>
      <c r="N497" s="3">
        <v>110</v>
      </c>
      <c r="O497" s="3">
        <v>0.12</v>
      </c>
      <c r="P497" s="3">
        <v>19</v>
      </c>
      <c r="Q497" s="3">
        <v>74</v>
      </c>
      <c r="R497" s="3">
        <v>0</v>
      </c>
    </row>
    <row r="498" spans="1:18">
      <c r="A498" s="3" t="s">
        <v>855</v>
      </c>
      <c r="B498" s="3" t="s">
        <v>401</v>
      </c>
      <c r="C498" s="3" t="s">
        <v>401</v>
      </c>
      <c r="D498" s="3" t="s">
        <v>402</v>
      </c>
      <c r="E498" s="3" t="s">
        <v>159</v>
      </c>
      <c r="F498" s="3">
        <v>25.99</v>
      </c>
      <c r="G498" s="3" t="s">
        <v>997</v>
      </c>
      <c r="H498" s="3"/>
      <c r="I498" s="3" t="s">
        <v>998</v>
      </c>
      <c r="J498" s="3">
        <v>13</v>
      </c>
      <c r="K498" s="3">
        <v>13</v>
      </c>
      <c r="L498" s="3">
        <v>0</v>
      </c>
      <c r="M498" s="3">
        <v>0</v>
      </c>
      <c r="N498" s="3">
        <v>13</v>
      </c>
      <c r="O498" s="3">
        <v>0.28</v>
      </c>
      <c r="P498" s="3">
        <v>0</v>
      </c>
      <c r="Q498" s="3">
        <v>0</v>
      </c>
      <c r="R498" s="3">
        <v>0</v>
      </c>
    </row>
    <row r="499" spans="1:18">
      <c r="A499" s="3" t="s">
        <v>776</v>
      </c>
      <c r="B499" s="3" t="s">
        <v>777</v>
      </c>
      <c r="C499" s="3" t="s">
        <v>777</v>
      </c>
      <c r="D499" s="3" t="s">
        <v>778</v>
      </c>
      <c r="E499" s="3" t="s">
        <v>159</v>
      </c>
      <c r="F499" s="3">
        <v>18.99</v>
      </c>
      <c r="G499" s="3" t="s">
        <v>997</v>
      </c>
      <c r="H499" s="3"/>
      <c r="I499" s="3" t="s">
        <v>998</v>
      </c>
      <c r="J499" s="3">
        <v>17</v>
      </c>
      <c r="K499" s="3">
        <v>17</v>
      </c>
      <c r="L499" s="3">
        <v>0</v>
      </c>
      <c r="M499" s="3">
        <v>0</v>
      </c>
      <c r="N499" s="3">
        <v>17</v>
      </c>
      <c r="O499" s="3">
        <v>0.18</v>
      </c>
      <c r="P499" s="3">
        <v>0</v>
      </c>
      <c r="Q499" s="3">
        <v>0</v>
      </c>
      <c r="R499" s="3">
        <v>0</v>
      </c>
    </row>
    <row r="500" spans="1:18">
      <c r="A500" s="3" t="s">
        <v>641</v>
      </c>
      <c r="B500" s="3" t="s">
        <v>642</v>
      </c>
      <c r="C500" s="3" t="s">
        <v>642</v>
      </c>
      <c r="D500" s="3" t="s">
        <v>643</v>
      </c>
      <c r="E500" s="3" t="s">
        <v>159</v>
      </c>
      <c r="F500" s="3">
        <v>12.99</v>
      </c>
      <c r="G500" s="3" t="s">
        <v>997</v>
      </c>
      <c r="H500" s="3"/>
      <c r="I500" s="3" t="s">
        <v>998</v>
      </c>
      <c r="J500" s="3">
        <v>0</v>
      </c>
      <c r="K500" s="3">
        <v>0</v>
      </c>
      <c r="L500" s="3">
        <v>0</v>
      </c>
      <c r="M500" s="3">
        <v>0</v>
      </c>
      <c r="N500" s="3">
        <v>0</v>
      </c>
      <c r="O500" s="3">
        <v>0.11</v>
      </c>
      <c r="P500" s="3">
        <v>0</v>
      </c>
      <c r="Q500" s="3">
        <v>0</v>
      </c>
      <c r="R500" s="3">
        <v>0</v>
      </c>
    </row>
    <row r="501" spans="1:18">
      <c r="A501" s="3" t="s">
        <v>748</v>
      </c>
      <c r="B501" s="3" t="s">
        <v>109</v>
      </c>
      <c r="C501" s="3" t="s">
        <v>109</v>
      </c>
      <c r="D501" s="3" t="s">
        <v>110</v>
      </c>
      <c r="E501" s="3" t="s">
        <v>159</v>
      </c>
      <c r="F501" s="3">
        <v>25.99</v>
      </c>
      <c r="G501" s="3" t="s">
        <v>997</v>
      </c>
      <c r="H501" s="3"/>
      <c r="I501" s="3" t="s">
        <v>998</v>
      </c>
      <c r="J501" s="3">
        <v>21</v>
      </c>
      <c r="K501" s="3">
        <v>21</v>
      </c>
      <c r="L501" s="3">
        <v>0</v>
      </c>
      <c r="M501" s="3">
        <v>0</v>
      </c>
      <c r="N501" s="3">
        <v>21</v>
      </c>
      <c r="O501" s="3">
        <v>0.08</v>
      </c>
      <c r="P501" s="3">
        <v>0</v>
      </c>
      <c r="Q501" s="3">
        <v>0</v>
      </c>
      <c r="R501" s="3">
        <v>0</v>
      </c>
    </row>
    <row r="502" spans="1:18">
      <c r="A502" s="3" t="s">
        <v>721</v>
      </c>
      <c r="B502" s="3" t="s">
        <v>580</v>
      </c>
      <c r="C502" s="3" t="s">
        <v>580</v>
      </c>
      <c r="D502" s="3" t="s">
        <v>581</v>
      </c>
      <c r="E502" s="3" t="s">
        <v>159</v>
      </c>
      <c r="F502" s="3">
        <v>18.99</v>
      </c>
      <c r="G502" s="3" t="s">
        <v>997</v>
      </c>
      <c r="H502" s="3"/>
      <c r="I502" s="3" t="s">
        <v>998</v>
      </c>
      <c r="J502" s="3">
        <v>31</v>
      </c>
      <c r="K502" s="3">
        <v>31</v>
      </c>
      <c r="L502" s="3">
        <v>0</v>
      </c>
      <c r="M502" s="3">
        <v>0</v>
      </c>
      <c r="N502" s="3">
        <v>31</v>
      </c>
      <c r="O502" s="3">
        <v>0.17</v>
      </c>
      <c r="P502" s="3">
        <v>0</v>
      </c>
      <c r="Q502" s="3">
        <v>0</v>
      </c>
      <c r="R502" s="3">
        <v>0</v>
      </c>
    </row>
    <row r="503" spans="1:18">
      <c r="A503" s="3" t="s">
        <v>1780</v>
      </c>
      <c r="B503" s="3" t="s">
        <v>85</v>
      </c>
      <c r="C503" s="3" t="s">
        <v>85</v>
      </c>
      <c r="D503" s="3" t="s">
        <v>86</v>
      </c>
      <c r="E503" s="3" t="s">
        <v>159</v>
      </c>
      <c r="F503" s="3">
        <v>12.99</v>
      </c>
      <c r="G503" s="3" t="s">
        <v>997</v>
      </c>
      <c r="H503" s="3"/>
      <c r="I503" s="3" t="s">
        <v>998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0.11</v>
      </c>
      <c r="P503" s="3">
        <v>0</v>
      </c>
      <c r="Q503" s="3">
        <v>0</v>
      </c>
      <c r="R503" s="3">
        <v>0</v>
      </c>
    </row>
    <row r="504" spans="1:18">
      <c r="A504" s="3" t="s">
        <v>99</v>
      </c>
      <c r="B504" s="3" t="s">
        <v>100</v>
      </c>
      <c r="C504" s="3" t="s">
        <v>101</v>
      </c>
      <c r="D504" s="3" t="s">
        <v>102</v>
      </c>
      <c r="E504" s="3" t="s">
        <v>159</v>
      </c>
      <c r="F504" s="3">
        <v>24.99</v>
      </c>
      <c r="G504" s="3" t="s">
        <v>997</v>
      </c>
      <c r="H504" s="3"/>
      <c r="I504" s="3" t="s">
        <v>998</v>
      </c>
      <c r="J504" s="3">
        <v>63</v>
      </c>
      <c r="K504" s="3">
        <v>60</v>
      </c>
      <c r="L504" s="3">
        <v>0</v>
      </c>
      <c r="M504" s="3">
        <v>3</v>
      </c>
      <c r="N504" s="3">
        <v>105</v>
      </c>
      <c r="O504" s="3">
        <v>0.33</v>
      </c>
      <c r="P504" s="3">
        <v>0</v>
      </c>
      <c r="Q504" s="3">
        <v>40</v>
      </c>
      <c r="R504" s="3">
        <v>2</v>
      </c>
    </row>
    <row r="505" spans="1:18">
      <c r="A505" s="3" t="s">
        <v>119</v>
      </c>
      <c r="B505" s="3" t="s">
        <v>120</v>
      </c>
      <c r="C505" s="3" t="s">
        <v>121</v>
      </c>
      <c r="D505" s="3" t="s">
        <v>122</v>
      </c>
      <c r="E505" s="3" t="s">
        <v>159</v>
      </c>
      <c r="F505" s="3">
        <v>18.99</v>
      </c>
      <c r="G505" s="3" t="s">
        <v>997</v>
      </c>
      <c r="H505" s="3"/>
      <c r="I505" s="3" t="s">
        <v>998</v>
      </c>
      <c r="J505" s="3">
        <v>68</v>
      </c>
      <c r="K505" s="3">
        <v>54</v>
      </c>
      <c r="L505" s="3">
        <v>0</v>
      </c>
      <c r="M505" s="3">
        <v>14</v>
      </c>
      <c r="N505" s="3">
        <v>186</v>
      </c>
      <c r="O505" s="3">
        <v>0.18</v>
      </c>
      <c r="P505" s="3">
        <v>0</v>
      </c>
      <c r="Q505" s="3">
        <v>118</v>
      </c>
      <c r="R505" s="3">
        <v>0</v>
      </c>
    </row>
    <row r="506" spans="1:18">
      <c r="A506" s="3" t="s">
        <v>919</v>
      </c>
      <c r="B506" s="3" t="s">
        <v>920</v>
      </c>
      <c r="C506" s="3" t="s">
        <v>921</v>
      </c>
      <c r="D506" s="3" t="s">
        <v>922</v>
      </c>
      <c r="E506" s="3" t="s">
        <v>159</v>
      </c>
      <c r="F506" s="3">
        <v>13.99</v>
      </c>
      <c r="G506" s="3" t="s">
        <v>997</v>
      </c>
      <c r="H506" s="3"/>
      <c r="I506" s="3" t="s">
        <v>998</v>
      </c>
      <c r="J506" s="3">
        <v>80</v>
      </c>
      <c r="K506" s="3">
        <v>80</v>
      </c>
      <c r="L506" s="3">
        <v>0</v>
      </c>
      <c r="M506" s="3">
        <v>0</v>
      </c>
      <c r="N506" s="3">
        <v>395</v>
      </c>
      <c r="O506" s="3">
        <v>0.11</v>
      </c>
      <c r="P506" s="3">
        <v>0</v>
      </c>
      <c r="Q506" s="3">
        <v>315</v>
      </c>
      <c r="R506" s="3">
        <v>0</v>
      </c>
    </row>
    <row r="507" spans="1:18">
      <c r="A507" s="3" t="s">
        <v>348</v>
      </c>
      <c r="B507" s="3" t="s">
        <v>349</v>
      </c>
      <c r="C507" s="3" t="s">
        <v>350</v>
      </c>
      <c r="D507" s="3" t="s">
        <v>351</v>
      </c>
      <c r="E507" s="3" t="s">
        <v>159</v>
      </c>
      <c r="F507" s="3">
        <v>24.99</v>
      </c>
      <c r="G507" s="3" t="s">
        <v>997</v>
      </c>
      <c r="H507" s="3"/>
      <c r="I507" s="3" t="s">
        <v>998</v>
      </c>
      <c r="J507" s="3">
        <v>81</v>
      </c>
      <c r="K507" s="3">
        <v>81</v>
      </c>
      <c r="L507" s="3">
        <v>0</v>
      </c>
      <c r="M507" s="3">
        <v>0</v>
      </c>
      <c r="N507" s="3">
        <v>126</v>
      </c>
      <c r="O507" s="3">
        <v>0.29</v>
      </c>
      <c r="P507" s="3">
        <v>0</v>
      </c>
      <c r="Q507" s="3">
        <v>45</v>
      </c>
      <c r="R507" s="3">
        <v>0</v>
      </c>
    </row>
    <row r="508" spans="1:18">
      <c r="A508" s="3" t="s">
        <v>111</v>
      </c>
      <c r="B508" s="3" t="s">
        <v>112</v>
      </c>
      <c r="C508" s="3" t="s">
        <v>113</v>
      </c>
      <c r="D508" s="3" t="s">
        <v>114</v>
      </c>
      <c r="E508" s="3" t="s">
        <v>159</v>
      </c>
      <c r="F508" s="3">
        <v>18.99</v>
      </c>
      <c r="G508" s="3" t="s">
        <v>997</v>
      </c>
      <c r="H508" s="3"/>
      <c r="I508" s="3" t="s">
        <v>998</v>
      </c>
      <c r="J508" s="3">
        <v>111</v>
      </c>
      <c r="K508" s="3">
        <v>105</v>
      </c>
      <c r="L508" s="3">
        <v>3</v>
      </c>
      <c r="M508" s="3">
        <v>3</v>
      </c>
      <c r="N508" s="3">
        <v>216</v>
      </c>
      <c r="O508" s="3">
        <v>0.15</v>
      </c>
      <c r="P508" s="3">
        <v>45</v>
      </c>
      <c r="Q508" s="3">
        <v>60</v>
      </c>
      <c r="R508" s="3">
        <v>0</v>
      </c>
    </row>
    <row r="509" spans="1:18">
      <c r="A509" s="3" t="s">
        <v>91</v>
      </c>
      <c r="B509" s="3" t="s">
        <v>92</v>
      </c>
      <c r="C509" s="3" t="s">
        <v>93</v>
      </c>
      <c r="D509" s="3" t="s">
        <v>94</v>
      </c>
      <c r="E509" s="3" t="s">
        <v>159</v>
      </c>
      <c r="F509" s="3">
        <v>13.99</v>
      </c>
      <c r="G509" s="3" t="s">
        <v>997</v>
      </c>
      <c r="H509" s="3"/>
      <c r="I509" s="3" t="s">
        <v>998</v>
      </c>
      <c r="J509" s="3">
        <v>79</v>
      </c>
      <c r="K509" s="3">
        <v>76</v>
      </c>
      <c r="L509" s="3">
        <v>2</v>
      </c>
      <c r="M509" s="3">
        <v>1</v>
      </c>
      <c r="N509" s="3">
        <v>354</v>
      </c>
      <c r="O509" s="3">
        <v>0.11</v>
      </c>
      <c r="P509" s="3">
        <v>20</v>
      </c>
      <c r="Q509" s="3">
        <v>255</v>
      </c>
      <c r="R509" s="3">
        <v>0</v>
      </c>
    </row>
    <row r="510" spans="1:18">
      <c r="A510" s="3" t="s">
        <v>103</v>
      </c>
      <c r="B510" s="3" t="s">
        <v>104</v>
      </c>
      <c r="C510" s="3" t="s">
        <v>105</v>
      </c>
      <c r="D510" s="3" t="s">
        <v>106</v>
      </c>
      <c r="E510" s="3" t="s">
        <v>159</v>
      </c>
      <c r="F510" s="3">
        <v>24.99</v>
      </c>
      <c r="G510" s="3" t="s">
        <v>997</v>
      </c>
      <c r="H510" s="3"/>
      <c r="I510" s="3" t="s">
        <v>998</v>
      </c>
      <c r="J510" s="3">
        <v>75</v>
      </c>
      <c r="K510" s="3">
        <v>73</v>
      </c>
      <c r="L510" s="3">
        <v>0</v>
      </c>
      <c r="M510" s="3">
        <v>2</v>
      </c>
      <c r="N510" s="3">
        <v>155</v>
      </c>
      <c r="O510" s="3">
        <v>0.17</v>
      </c>
      <c r="P510" s="3">
        <v>0</v>
      </c>
      <c r="Q510" s="3">
        <v>60</v>
      </c>
      <c r="R510" s="3">
        <v>20</v>
      </c>
    </row>
    <row r="511" spans="1:18">
      <c r="A511" s="3" t="s">
        <v>70</v>
      </c>
      <c r="B511" s="3" t="s">
        <v>71</v>
      </c>
      <c r="C511" s="3" t="s">
        <v>72</v>
      </c>
      <c r="D511" s="3" t="s">
        <v>73</v>
      </c>
      <c r="E511" s="3" t="s">
        <v>159</v>
      </c>
      <c r="F511" s="3">
        <v>18.99</v>
      </c>
      <c r="G511" s="3" t="s">
        <v>997</v>
      </c>
      <c r="H511" s="3"/>
      <c r="I511" s="3" t="s">
        <v>998</v>
      </c>
      <c r="J511" s="3">
        <v>102</v>
      </c>
      <c r="K511" s="3">
        <v>99</v>
      </c>
      <c r="L511" s="3">
        <v>0</v>
      </c>
      <c r="M511" s="3">
        <v>3</v>
      </c>
      <c r="N511" s="3">
        <v>279</v>
      </c>
      <c r="O511" s="3">
        <v>0.19</v>
      </c>
      <c r="P511" s="3">
        <v>0</v>
      </c>
      <c r="Q511" s="3">
        <v>175</v>
      </c>
      <c r="R511" s="3">
        <v>2</v>
      </c>
    </row>
    <row r="512" spans="1:18">
      <c r="A512" s="3" t="s">
        <v>87</v>
      </c>
      <c r="B512" s="3" t="s">
        <v>88</v>
      </c>
      <c r="C512" s="3" t="s">
        <v>89</v>
      </c>
      <c r="D512" s="3" t="s">
        <v>90</v>
      </c>
      <c r="E512" s="3" t="s">
        <v>159</v>
      </c>
      <c r="F512" s="3">
        <v>13.99</v>
      </c>
      <c r="G512" s="3" t="s">
        <v>997</v>
      </c>
      <c r="H512" s="3"/>
      <c r="I512" s="3" t="s">
        <v>998</v>
      </c>
      <c r="J512" s="3">
        <v>155</v>
      </c>
      <c r="K512" s="3">
        <v>150</v>
      </c>
      <c r="L512" s="3">
        <v>0</v>
      </c>
      <c r="M512" s="3">
        <v>5</v>
      </c>
      <c r="N512" s="3">
        <v>455</v>
      </c>
      <c r="O512" s="3">
        <v>0.13</v>
      </c>
      <c r="P512" s="3">
        <v>30</v>
      </c>
      <c r="Q512" s="3">
        <v>270</v>
      </c>
      <c r="R512" s="3">
        <v>0</v>
      </c>
    </row>
    <row r="513" spans="1:18">
      <c r="A513" s="3" t="s">
        <v>115</v>
      </c>
      <c r="B513" s="3" t="s">
        <v>116</v>
      </c>
      <c r="C513" s="3" t="s">
        <v>117</v>
      </c>
      <c r="D513" s="3" t="s">
        <v>118</v>
      </c>
      <c r="E513" s="3" t="s">
        <v>159</v>
      </c>
      <c r="F513" s="3">
        <v>24.99</v>
      </c>
      <c r="G513" s="3" t="s">
        <v>997</v>
      </c>
      <c r="H513" s="3"/>
      <c r="I513" s="3" t="s">
        <v>998</v>
      </c>
      <c r="J513" s="3">
        <v>79</v>
      </c>
      <c r="K513" s="3">
        <v>75</v>
      </c>
      <c r="L513" s="3">
        <v>0</v>
      </c>
      <c r="M513" s="3">
        <v>4</v>
      </c>
      <c r="N513" s="3">
        <v>119</v>
      </c>
      <c r="O513" s="3">
        <v>0.3</v>
      </c>
      <c r="P513" s="3">
        <v>0</v>
      </c>
      <c r="Q513" s="3">
        <v>40</v>
      </c>
      <c r="R513" s="3">
        <v>0</v>
      </c>
    </row>
    <row r="514" spans="1:18">
      <c r="A514" s="3" t="s">
        <v>95</v>
      </c>
      <c r="B514" s="3" t="s">
        <v>96</v>
      </c>
      <c r="C514" s="3" t="s">
        <v>97</v>
      </c>
      <c r="D514" s="3" t="s">
        <v>98</v>
      </c>
      <c r="E514" s="3" t="s">
        <v>159</v>
      </c>
      <c r="F514" s="3">
        <v>18.99</v>
      </c>
      <c r="G514" s="3" t="s">
        <v>997</v>
      </c>
      <c r="H514" s="3"/>
      <c r="I514" s="3" t="s">
        <v>998</v>
      </c>
      <c r="J514" s="3">
        <v>91</v>
      </c>
      <c r="K514" s="3">
        <v>79</v>
      </c>
      <c r="L514" s="3">
        <v>0</v>
      </c>
      <c r="M514" s="3">
        <v>12</v>
      </c>
      <c r="N514" s="3">
        <v>358</v>
      </c>
      <c r="O514" s="3">
        <v>0.22</v>
      </c>
      <c r="P514" s="3">
        <v>35</v>
      </c>
      <c r="Q514" s="3">
        <v>232</v>
      </c>
      <c r="R514" s="3">
        <v>0</v>
      </c>
    </row>
    <row r="515" spans="1:18">
      <c r="A515" s="3" t="s">
        <v>77</v>
      </c>
      <c r="B515" s="3" t="s">
        <v>78</v>
      </c>
      <c r="C515" s="3" t="s">
        <v>79</v>
      </c>
      <c r="D515" s="3" t="s">
        <v>80</v>
      </c>
      <c r="E515" s="3" t="s">
        <v>159</v>
      </c>
      <c r="F515" s="3">
        <v>13.99</v>
      </c>
      <c r="G515" s="3" t="s">
        <v>997</v>
      </c>
      <c r="H515" s="3"/>
      <c r="I515" s="3" t="s">
        <v>998</v>
      </c>
      <c r="J515" s="3">
        <v>108</v>
      </c>
      <c r="K515" s="3">
        <v>98</v>
      </c>
      <c r="L515" s="3">
        <v>0</v>
      </c>
      <c r="M515" s="3">
        <v>10</v>
      </c>
      <c r="N515" s="3">
        <v>313</v>
      </c>
      <c r="O515" s="3">
        <v>0.12</v>
      </c>
      <c r="P515" s="3">
        <v>0</v>
      </c>
      <c r="Q515" s="3">
        <v>203</v>
      </c>
      <c r="R515" s="3">
        <v>2</v>
      </c>
    </row>
    <row r="516" spans="1:18">
      <c r="A516" s="3" t="s">
        <v>399</v>
      </c>
      <c r="B516" s="3" t="s">
        <v>400</v>
      </c>
      <c r="C516" s="3" t="s">
        <v>401</v>
      </c>
      <c r="D516" s="3" t="s">
        <v>402</v>
      </c>
      <c r="E516" s="3" t="s">
        <v>159</v>
      </c>
      <c r="F516" s="3">
        <v>23.99</v>
      </c>
      <c r="G516" s="3" t="s">
        <v>997</v>
      </c>
      <c r="H516" s="3"/>
      <c r="I516" s="3" t="s">
        <v>998</v>
      </c>
      <c r="J516" s="3">
        <v>88</v>
      </c>
      <c r="K516" s="3">
        <v>88</v>
      </c>
      <c r="L516" s="3">
        <v>0</v>
      </c>
      <c r="M516" s="3">
        <v>0</v>
      </c>
      <c r="N516" s="3">
        <v>88</v>
      </c>
      <c r="O516" s="3">
        <v>0.28</v>
      </c>
      <c r="P516" s="3">
        <v>0</v>
      </c>
      <c r="Q516" s="3">
        <v>0</v>
      </c>
      <c r="R516" s="3">
        <v>0</v>
      </c>
    </row>
    <row r="517" spans="1:18">
      <c r="A517" s="3" t="s">
        <v>897</v>
      </c>
      <c r="B517" s="3" t="s">
        <v>898</v>
      </c>
      <c r="C517" s="3" t="s">
        <v>777</v>
      </c>
      <c r="D517" s="3" t="s">
        <v>778</v>
      </c>
      <c r="E517" s="3" t="s">
        <v>159</v>
      </c>
      <c r="F517" s="3">
        <v>18.99</v>
      </c>
      <c r="G517" s="3" t="s">
        <v>997</v>
      </c>
      <c r="H517" s="3"/>
      <c r="I517" s="3" t="s">
        <v>998</v>
      </c>
      <c r="J517" s="3">
        <v>110</v>
      </c>
      <c r="K517" s="3">
        <v>110</v>
      </c>
      <c r="L517" s="3">
        <v>0</v>
      </c>
      <c r="M517" s="3">
        <v>0</v>
      </c>
      <c r="N517" s="3">
        <v>110</v>
      </c>
      <c r="O517" s="3">
        <v>0.18</v>
      </c>
      <c r="P517" s="3">
        <v>0</v>
      </c>
      <c r="Q517" s="3">
        <v>0</v>
      </c>
      <c r="R517" s="3">
        <v>0</v>
      </c>
    </row>
    <row r="518" spans="1:18">
      <c r="A518" s="3" t="s">
        <v>975</v>
      </c>
      <c r="B518" s="3" t="s">
        <v>976</v>
      </c>
      <c r="C518" s="3" t="s">
        <v>642</v>
      </c>
      <c r="D518" s="3" t="s">
        <v>643</v>
      </c>
      <c r="E518" s="3" t="s">
        <v>159</v>
      </c>
      <c r="F518" s="3">
        <v>13.99</v>
      </c>
      <c r="G518" s="3" t="s">
        <v>997</v>
      </c>
      <c r="H518" s="3"/>
      <c r="I518" s="3" t="s">
        <v>998</v>
      </c>
      <c r="J518" s="3">
        <v>52</v>
      </c>
      <c r="K518" s="3">
        <v>52</v>
      </c>
      <c r="L518" s="3">
        <v>0</v>
      </c>
      <c r="M518" s="3">
        <v>0</v>
      </c>
      <c r="N518" s="3">
        <v>100</v>
      </c>
      <c r="O518" s="3">
        <v>0.11</v>
      </c>
      <c r="P518" s="3">
        <v>0</v>
      </c>
      <c r="Q518" s="3">
        <v>40</v>
      </c>
      <c r="R518" s="3">
        <v>8</v>
      </c>
    </row>
    <row r="519" spans="1:18">
      <c r="A519" s="3" t="s">
        <v>107</v>
      </c>
      <c r="B519" s="3" t="s">
        <v>108</v>
      </c>
      <c r="C519" s="3" t="s">
        <v>109</v>
      </c>
      <c r="D519" s="3" t="s">
        <v>110</v>
      </c>
      <c r="E519" s="3" t="s">
        <v>159</v>
      </c>
      <c r="F519" s="3">
        <v>24.99</v>
      </c>
      <c r="G519" s="3" t="s">
        <v>997</v>
      </c>
      <c r="H519" s="3"/>
      <c r="I519" s="3" t="s">
        <v>998</v>
      </c>
      <c r="J519" s="3">
        <v>20</v>
      </c>
      <c r="K519" s="3">
        <v>18</v>
      </c>
      <c r="L519" s="3">
        <v>0</v>
      </c>
      <c r="M519" s="3">
        <v>2</v>
      </c>
      <c r="N519" s="3">
        <v>94</v>
      </c>
      <c r="O519" s="3">
        <v>0.08</v>
      </c>
      <c r="P519" s="3">
        <v>0</v>
      </c>
      <c r="Q519" s="3">
        <v>74</v>
      </c>
      <c r="R519" s="3">
        <v>0</v>
      </c>
    </row>
    <row r="520" spans="1:18">
      <c r="A520" s="3" t="s">
        <v>578</v>
      </c>
      <c r="B520" s="3" t="s">
        <v>579</v>
      </c>
      <c r="C520" s="3" t="s">
        <v>580</v>
      </c>
      <c r="D520" s="3" t="s">
        <v>581</v>
      </c>
      <c r="E520" s="3" t="s">
        <v>159</v>
      </c>
      <c r="F520" s="3">
        <v>18.99</v>
      </c>
      <c r="G520" s="3" t="s">
        <v>997</v>
      </c>
      <c r="H520" s="3"/>
      <c r="I520" s="3" t="s">
        <v>998</v>
      </c>
      <c r="J520" s="3">
        <v>50</v>
      </c>
      <c r="K520" s="3">
        <v>50</v>
      </c>
      <c r="L520" s="3">
        <v>0</v>
      </c>
      <c r="M520" s="3">
        <v>0</v>
      </c>
      <c r="N520" s="3">
        <v>100</v>
      </c>
      <c r="O520" s="3">
        <v>0.17</v>
      </c>
      <c r="P520" s="3">
        <v>0</v>
      </c>
      <c r="Q520" s="3">
        <v>50</v>
      </c>
      <c r="R520" s="3">
        <v>0</v>
      </c>
    </row>
    <row r="521" spans="1:18">
      <c r="A521" s="3" t="s">
        <v>83</v>
      </c>
      <c r="B521" s="3" t="s">
        <v>84</v>
      </c>
      <c r="C521" s="3" t="s">
        <v>85</v>
      </c>
      <c r="D521" s="3" t="s">
        <v>86</v>
      </c>
      <c r="E521" s="3" t="s">
        <v>159</v>
      </c>
      <c r="F521" s="3">
        <v>13.99</v>
      </c>
      <c r="G521" s="3" t="s">
        <v>997</v>
      </c>
      <c r="H521" s="3"/>
      <c r="I521" s="3" t="s">
        <v>998</v>
      </c>
      <c r="J521" s="3">
        <v>40</v>
      </c>
      <c r="K521" s="3">
        <v>36</v>
      </c>
      <c r="L521" s="3">
        <v>0</v>
      </c>
      <c r="M521" s="3">
        <v>4</v>
      </c>
      <c r="N521" s="3">
        <v>200</v>
      </c>
      <c r="O521" s="3">
        <v>0.11</v>
      </c>
      <c r="P521" s="3">
        <v>26</v>
      </c>
      <c r="Q521" s="3">
        <v>134</v>
      </c>
      <c r="R521" s="3">
        <v>0</v>
      </c>
    </row>
    <row r="522" spans="1:18">
      <c r="A522" s="3" t="s">
        <v>1781</v>
      </c>
      <c r="B522" s="3" t="s">
        <v>1782</v>
      </c>
      <c r="C522" s="3" t="s">
        <v>1783</v>
      </c>
      <c r="D522" s="3"/>
      <c r="E522" s="3" t="s">
        <v>1497</v>
      </c>
      <c r="F522" s="3"/>
      <c r="G522" s="3"/>
      <c r="H522" s="3"/>
      <c r="I522" s="3"/>
      <c r="J522" s="3">
        <v>0</v>
      </c>
      <c r="K522" s="3">
        <v>0</v>
      </c>
      <c r="L522" s="3">
        <v>0</v>
      </c>
      <c r="M522" s="3">
        <v>0</v>
      </c>
      <c r="N522" s="3">
        <v>0</v>
      </c>
      <c r="O522" s="3"/>
      <c r="P522" s="3">
        <v>0</v>
      </c>
      <c r="Q522" s="3">
        <v>0</v>
      </c>
      <c r="R522" s="3">
        <v>0</v>
      </c>
    </row>
    <row r="523" spans="1:18">
      <c r="A523" s="3" t="s">
        <v>1784</v>
      </c>
      <c r="B523" s="3" t="s">
        <v>1785</v>
      </c>
      <c r="C523" s="3" t="s">
        <v>1786</v>
      </c>
      <c r="D523" s="3"/>
      <c r="E523" s="3" t="s">
        <v>1497</v>
      </c>
      <c r="F523" s="3"/>
      <c r="G523" s="3"/>
      <c r="H523" s="3"/>
      <c r="I523" s="3"/>
      <c r="J523" s="3">
        <v>0</v>
      </c>
      <c r="K523" s="3">
        <v>0</v>
      </c>
      <c r="L523" s="3">
        <v>0</v>
      </c>
      <c r="M523" s="3">
        <v>0</v>
      </c>
      <c r="N523" s="3">
        <v>0</v>
      </c>
      <c r="O523" s="3"/>
      <c r="P523" s="3">
        <v>0</v>
      </c>
      <c r="Q523" s="3">
        <v>0</v>
      </c>
      <c r="R523" s="3">
        <v>0</v>
      </c>
    </row>
    <row r="524" spans="1:18">
      <c r="A524" s="3" t="s">
        <v>1787</v>
      </c>
      <c r="B524" s="3" t="s">
        <v>1788</v>
      </c>
      <c r="C524" s="3" t="s">
        <v>1789</v>
      </c>
      <c r="D524" s="3"/>
      <c r="E524" s="3" t="s">
        <v>1497</v>
      </c>
      <c r="F524" s="3"/>
      <c r="G524" s="3"/>
      <c r="H524" s="3"/>
      <c r="I524" s="3"/>
      <c r="J524" s="3">
        <v>0</v>
      </c>
      <c r="K524" s="3">
        <v>0</v>
      </c>
      <c r="L524" s="3">
        <v>0</v>
      </c>
      <c r="M524" s="3">
        <v>0</v>
      </c>
      <c r="N524" s="3">
        <v>0</v>
      </c>
      <c r="O524" s="3"/>
      <c r="P524" s="3">
        <v>0</v>
      </c>
      <c r="Q524" s="3">
        <v>0</v>
      </c>
      <c r="R524" s="3">
        <v>0</v>
      </c>
    </row>
    <row r="525" spans="1:18">
      <c r="A525" s="3" t="s">
        <v>733</v>
      </c>
      <c r="B525" s="3" t="s">
        <v>734</v>
      </c>
      <c r="C525" s="3" t="s">
        <v>734</v>
      </c>
      <c r="D525" s="3" t="s">
        <v>76</v>
      </c>
      <c r="E525" s="3" t="s">
        <v>159</v>
      </c>
      <c r="F525" s="3">
        <v>9.9</v>
      </c>
      <c r="G525" s="3" t="s">
        <v>997</v>
      </c>
      <c r="H525" s="3"/>
      <c r="I525" s="3" t="s">
        <v>998</v>
      </c>
      <c r="J525" s="3">
        <v>3</v>
      </c>
      <c r="K525" s="3">
        <v>3</v>
      </c>
      <c r="L525" s="3">
        <v>0</v>
      </c>
      <c r="M525" s="3">
        <v>0</v>
      </c>
      <c r="N525" s="3">
        <v>3</v>
      </c>
      <c r="O525" s="3">
        <v>0.03</v>
      </c>
      <c r="P525" s="3">
        <v>0</v>
      </c>
      <c r="Q525" s="3">
        <v>0</v>
      </c>
      <c r="R525" s="3">
        <v>0</v>
      </c>
    </row>
    <row r="526" spans="1:18">
      <c r="A526" s="3" t="s">
        <v>537</v>
      </c>
      <c r="B526" s="3" t="s">
        <v>538</v>
      </c>
      <c r="C526" s="3" t="s">
        <v>538</v>
      </c>
      <c r="D526" s="3" t="s">
        <v>76</v>
      </c>
      <c r="E526" s="3" t="s">
        <v>159</v>
      </c>
      <c r="F526" s="3">
        <v>9.9</v>
      </c>
      <c r="G526" s="3" t="s">
        <v>997</v>
      </c>
      <c r="H526" s="3"/>
      <c r="I526" s="3" t="s">
        <v>998</v>
      </c>
      <c r="J526" s="3">
        <v>13</v>
      </c>
      <c r="K526" s="3">
        <v>13</v>
      </c>
      <c r="L526" s="3">
        <v>0</v>
      </c>
      <c r="M526" s="3">
        <v>0</v>
      </c>
      <c r="N526" s="3">
        <v>13</v>
      </c>
      <c r="O526" s="3">
        <v>0.03</v>
      </c>
      <c r="P526" s="3">
        <v>0</v>
      </c>
      <c r="Q526" s="3">
        <v>0</v>
      </c>
      <c r="R526" s="3">
        <v>0</v>
      </c>
    </row>
    <row r="527" spans="1:18">
      <c r="A527" s="3" t="s">
        <v>780</v>
      </c>
      <c r="B527" s="3" t="s">
        <v>781</v>
      </c>
      <c r="C527" s="3" t="s">
        <v>781</v>
      </c>
      <c r="D527" s="3" t="s">
        <v>76</v>
      </c>
      <c r="E527" s="3" t="s">
        <v>159</v>
      </c>
      <c r="F527" s="3">
        <v>9.9</v>
      </c>
      <c r="G527" s="3" t="s">
        <v>997</v>
      </c>
      <c r="H527" s="3"/>
      <c r="I527" s="3" t="s">
        <v>998</v>
      </c>
      <c r="J527" s="3">
        <v>6</v>
      </c>
      <c r="K527" s="3">
        <v>6</v>
      </c>
      <c r="L527" s="3">
        <v>0</v>
      </c>
      <c r="M527" s="3">
        <v>0</v>
      </c>
      <c r="N527" s="3">
        <v>6</v>
      </c>
      <c r="O527" s="3">
        <v>0.04</v>
      </c>
      <c r="P527" s="3">
        <v>0</v>
      </c>
      <c r="Q527" s="3">
        <v>0</v>
      </c>
      <c r="R527" s="3">
        <v>0</v>
      </c>
    </row>
    <row r="528" spans="1:18">
      <c r="A528" s="3" t="s">
        <v>807</v>
      </c>
      <c r="B528" s="3" t="s">
        <v>808</v>
      </c>
      <c r="C528" s="3" t="s">
        <v>808</v>
      </c>
      <c r="D528" s="3" t="s">
        <v>76</v>
      </c>
      <c r="E528" s="3" t="s">
        <v>159</v>
      </c>
      <c r="F528" s="3">
        <v>9.9</v>
      </c>
      <c r="G528" s="3" t="s">
        <v>997</v>
      </c>
      <c r="H528" s="3"/>
      <c r="I528" s="3" t="s">
        <v>998</v>
      </c>
      <c r="J528" s="3">
        <v>9</v>
      </c>
      <c r="K528" s="3">
        <v>9</v>
      </c>
      <c r="L528" s="3">
        <v>0</v>
      </c>
      <c r="M528" s="3">
        <v>0</v>
      </c>
      <c r="N528" s="3">
        <v>9</v>
      </c>
      <c r="O528" s="3">
        <v>0.04</v>
      </c>
      <c r="P528" s="3">
        <v>0</v>
      </c>
      <c r="Q528" s="3">
        <v>0</v>
      </c>
      <c r="R528" s="3">
        <v>0</v>
      </c>
    </row>
    <row r="529" spans="1:18">
      <c r="A529" s="3" t="s">
        <v>701</v>
      </c>
      <c r="B529" s="3" t="s">
        <v>702</v>
      </c>
      <c r="C529" s="3" t="s">
        <v>702</v>
      </c>
      <c r="D529" s="3" t="s">
        <v>76</v>
      </c>
      <c r="E529" s="3" t="s">
        <v>159</v>
      </c>
      <c r="F529" s="3">
        <v>9.9</v>
      </c>
      <c r="G529" s="3" t="s">
        <v>997</v>
      </c>
      <c r="H529" s="3"/>
      <c r="I529" s="3" t="s">
        <v>998</v>
      </c>
      <c r="J529" s="3">
        <v>12</v>
      </c>
      <c r="K529" s="3">
        <v>12</v>
      </c>
      <c r="L529" s="3">
        <v>0</v>
      </c>
      <c r="M529" s="3">
        <v>0</v>
      </c>
      <c r="N529" s="3">
        <v>12</v>
      </c>
      <c r="O529" s="3">
        <v>0.03</v>
      </c>
      <c r="P529" s="3">
        <v>0</v>
      </c>
      <c r="Q529" s="3">
        <v>0</v>
      </c>
      <c r="R529" s="3">
        <v>0</v>
      </c>
    </row>
    <row r="530" spans="1:18">
      <c r="A530" s="3" t="s">
        <v>840</v>
      </c>
      <c r="B530" s="3" t="s">
        <v>841</v>
      </c>
      <c r="C530" s="3" t="s">
        <v>841</v>
      </c>
      <c r="D530" s="3" t="s">
        <v>76</v>
      </c>
      <c r="E530" s="3" t="s">
        <v>159</v>
      </c>
      <c r="F530" s="3">
        <v>9.9</v>
      </c>
      <c r="G530" s="3" t="s">
        <v>997</v>
      </c>
      <c r="H530" s="3"/>
      <c r="I530" s="3" t="s">
        <v>998</v>
      </c>
      <c r="J530" s="3">
        <v>12</v>
      </c>
      <c r="K530" s="3">
        <v>12</v>
      </c>
      <c r="L530" s="3">
        <v>0</v>
      </c>
      <c r="M530" s="3">
        <v>0</v>
      </c>
      <c r="N530" s="3">
        <v>12</v>
      </c>
      <c r="O530" s="3">
        <v>0.04</v>
      </c>
      <c r="P530" s="3">
        <v>0</v>
      </c>
      <c r="Q530" s="3">
        <v>0</v>
      </c>
      <c r="R530" s="3">
        <v>0</v>
      </c>
    </row>
    <row r="531" spans="1:18">
      <c r="A531" s="3" t="s">
        <v>958</v>
      </c>
      <c r="B531" s="3" t="s">
        <v>959</v>
      </c>
      <c r="C531" s="3" t="s">
        <v>959</v>
      </c>
      <c r="D531" s="3" t="s">
        <v>76</v>
      </c>
      <c r="E531" s="3" t="s">
        <v>159</v>
      </c>
      <c r="F531" s="3">
        <v>9.9</v>
      </c>
      <c r="G531" s="3" t="s">
        <v>997</v>
      </c>
      <c r="H531" s="3"/>
      <c r="I531" s="3" t="s">
        <v>998</v>
      </c>
      <c r="J531" s="3">
        <v>10</v>
      </c>
      <c r="K531" s="3">
        <v>10</v>
      </c>
      <c r="L531" s="3">
        <v>0</v>
      </c>
      <c r="M531" s="3">
        <v>0</v>
      </c>
      <c r="N531" s="3">
        <v>10</v>
      </c>
      <c r="O531" s="3">
        <v>0.04</v>
      </c>
      <c r="P531" s="3">
        <v>0</v>
      </c>
      <c r="Q531" s="3">
        <v>0</v>
      </c>
      <c r="R531" s="3">
        <v>0</v>
      </c>
    </row>
    <row r="532" spans="1:18">
      <c r="A532" s="3" t="s">
        <v>684</v>
      </c>
      <c r="B532" s="3" t="s">
        <v>685</v>
      </c>
      <c r="C532" s="3" t="s">
        <v>685</v>
      </c>
      <c r="D532" s="3" t="s">
        <v>76</v>
      </c>
      <c r="E532" s="3" t="s">
        <v>159</v>
      </c>
      <c r="F532" s="3">
        <v>9.9</v>
      </c>
      <c r="G532" s="3" t="s">
        <v>997</v>
      </c>
      <c r="H532" s="3"/>
      <c r="I532" s="3" t="s">
        <v>998</v>
      </c>
      <c r="J532" s="3">
        <v>10</v>
      </c>
      <c r="K532" s="3">
        <v>10</v>
      </c>
      <c r="L532" s="3">
        <v>0</v>
      </c>
      <c r="M532" s="3">
        <v>0</v>
      </c>
      <c r="N532" s="3">
        <v>10</v>
      </c>
      <c r="O532" s="3">
        <v>0.04</v>
      </c>
      <c r="P532" s="3">
        <v>0</v>
      </c>
      <c r="Q532" s="3">
        <v>0</v>
      </c>
      <c r="R532" s="3">
        <v>0</v>
      </c>
    </row>
    <row r="533" spans="1:18">
      <c r="A533" s="3" t="s">
        <v>81</v>
      </c>
      <c r="B533" s="3" t="s">
        <v>82</v>
      </c>
      <c r="C533" s="3" t="s">
        <v>82</v>
      </c>
      <c r="D533" s="3" t="s">
        <v>76</v>
      </c>
      <c r="E533" s="3" t="s">
        <v>159</v>
      </c>
      <c r="F533" s="3">
        <v>9.9</v>
      </c>
      <c r="G533" s="3" t="s">
        <v>997</v>
      </c>
      <c r="H533" s="3"/>
      <c r="I533" s="3" t="s">
        <v>998</v>
      </c>
      <c r="J533" s="3">
        <v>4</v>
      </c>
      <c r="K533" s="3">
        <v>3</v>
      </c>
      <c r="L533" s="3">
        <v>0</v>
      </c>
      <c r="M533" s="3">
        <v>1</v>
      </c>
      <c r="N533" s="3">
        <v>4</v>
      </c>
      <c r="O533" s="3">
        <v>0.04</v>
      </c>
      <c r="P533" s="3">
        <v>0</v>
      </c>
      <c r="Q533" s="3">
        <v>0</v>
      </c>
      <c r="R533" s="3">
        <v>0</v>
      </c>
    </row>
    <row r="534" spans="1:18">
      <c r="A534" s="3" t="s">
        <v>74</v>
      </c>
      <c r="B534" s="3" t="s">
        <v>75</v>
      </c>
      <c r="C534" s="3" t="s">
        <v>75</v>
      </c>
      <c r="D534" s="3" t="s">
        <v>76</v>
      </c>
      <c r="E534" s="3" t="s">
        <v>159</v>
      </c>
      <c r="F534" s="3">
        <v>9.9</v>
      </c>
      <c r="G534" s="3" t="s">
        <v>997</v>
      </c>
      <c r="H534" s="3"/>
      <c r="I534" s="3" t="s">
        <v>998</v>
      </c>
      <c r="J534" s="3">
        <v>5</v>
      </c>
      <c r="K534" s="3">
        <v>4</v>
      </c>
      <c r="L534" s="3">
        <v>0</v>
      </c>
      <c r="M534" s="3">
        <v>1</v>
      </c>
      <c r="N534" s="3">
        <v>5</v>
      </c>
      <c r="O534" s="3">
        <v>0.03</v>
      </c>
      <c r="P534" s="3">
        <v>0</v>
      </c>
      <c r="Q534" s="3">
        <v>0</v>
      </c>
      <c r="R534" s="3">
        <v>0</v>
      </c>
    </row>
    <row r="535" spans="1:18">
      <c r="A535" s="3" t="s">
        <v>564</v>
      </c>
      <c r="B535" s="3" t="s">
        <v>565</v>
      </c>
      <c r="C535" s="3" t="s">
        <v>565</v>
      </c>
      <c r="D535" s="3" t="s">
        <v>76</v>
      </c>
      <c r="E535" s="3" t="s">
        <v>159</v>
      </c>
      <c r="F535" s="3">
        <v>9.9</v>
      </c>
      <c r="G535" s="3" t="s">
        <v>997</v>
      </c>
      <c r="H535" s="3"/>
      <c r="I535" s="3" t="s">
        <v>998</v>
      </c>
      <c r="J535" s="3">
        <v>4</v>
      </c>
      <c r="K535" s="3">
        <v>4</v>
      </c>
      <c r="L535" s="3">
        <v>0</v>
      </c>
      <c r="M535" s="3">
        <v>0</v>
      </c>
      <c r="N535" s="3">
        <v>4</v>
      </c>
      <c r="O535" s="3">
        <v>0.04</v>
      </c>
      <c r="P535" s="3">
        <v>0</v>
      </c>
      <c r="Q535" s="3">
        <v>0</v>
      </c>
      <c r="R535" s="3">
        <v>0</v>
      </c>
    </row>
    <row r="536" spans="1:18">
      <c r="A536" s="3" t="s">
        <v>482</v>
      </c>
      <c r="B536" s="3" t="s">
        <v>483</v>
      </c>
      <c r="C536" s="3" t="s">
        <v>483</v>
      </c>
      <c r="D536" s="3" t="s">
        <v>76</v>
      </c>
      <c r="E536" s="3" t="s">
        <v>159</v>
      </c>
      <c r="F536" s="3">
        <v>9.9</v>
      </c>
      <c r="G536" s="3" t="s">
        <v>997</v>
      </c>
      <c r="H536" s="3"/>
      <c r="I536" s="3" t="s">
        <v>998</v>
      </c>
      <c r="J536" s="3">
        <v>6</v>
      </c>
      <c r="K536" s="3">
        <v>6</v>
      </c>
      <c r="L536" s="3">
        <v>0</v>
      </c>
      <c r="M536" s="3">
        <v>0</v>
      </c>
      <c r="N536" s="3">
        <v>6</v>
      </c>
      <c r="O536" s="3">
        <v>0.04</v>
      </c>
      <c r="P536" s="3">
        <v>0</v>
      </c>
      <c r="Q536" s="3">
        <v>0</v>
      </c>
      <c r="R536" s="3">
        <v>0</v>
      </c>
    </row>
    <row r="537" spans="1:18">
      <c r="A537" s="3" t="s">
        <v>818</v>
      </c>
      <c r="B537" s="3" t="s">
        <v>819</v>
      </c>
      <c r="C537" s="3" t="s">
        <v>819</v>
      </c>
      <c r="D537" s="3" t="s">
        <v>76</v>
      </c>
      <c r="E537" s="3" t="s">
        <v>159</v>
      </c>
      <c r="F537" s="3">
        <v>9.9</v>
      </c>
      <c r="G537" s="3" t="s">
        <v>997</v>
      </c>
      <c r="H537" s="3"/>
      <c r="I537" s="3" t="s">
        <v>998</v>
      </c>
      <c r="J537" s="3">
        <v>6</v>
      </c>
      <c r="K537" s="3">
        <v>6</v>
      </c>
      <c r="L537" s="3">
        <v>0</v>
      </c>
      <c r="M537" s="3">
        <v>0</v>
      </c>
      <c r="N537" s="3">
        <v>6</v>
      </c>
      <c r="O537" s="3">
        <v>0.04</v>
      </c>
      <c r="P537" s="3">
        <v>0</v>
      </c>
      <c r="Q537" s="3">
        <v>0</v>
      </c>
      <c r="R537" s="3">
        <v>0</v>
      </c>
    </row>
    <row r="538" spans="1:18">
      <c r="A538" s="3" t="s">
        <v>266</v>
      </c>
      <c r="B538" s="3" t="s">
        <v>267</v>
      </c>
      <c r="C538" s="3" t="s">
        <v>267</v>
      </c>
      <c r="D538" s="3" t="s">
        <v>76</v>
      </c>
      <c r="E538" s="3" t="s">
        <v>159</v>
      </c>
      <c r="F538" s="3">
        <v>9.9</v>
      </c>
      <c r="G538" s="3" t="s">
        <v>997</v>
      </c>
      <c r="H538" s="3"/>
      <c r="I538" s="3" t="s">
        <v>998</v>
      </c>
      <c r="J538" s="3">
        <v>3</v>
      </c>
      <c r="K538" s="3">
        <v>3</v>
      </c>
      <c r="L538" s="3">
        <v>0</v>
      </c>
      <c r="M538" s="3">
        <v>0</v>
      </c>
      <c r="N538" s="3">
        <v>3</v>
      </c>
      <c r="O538" s="3">
        <v>0.04</v>
      </c>
      <c r="P538" s="3">
        <v>0</v>
      </c>
      <c r="Q538" s="3">
        <v>0</v>
      </c>
      <c r="R538" s="3">
        <v>0</v>
      </c>
    </row>
    <row r="539" spans="1:18">
      <c r="A539" s="3" t="s">
        <v>782</v>
      </c>
      <c r="B539" s="3" t="s">
        <v>783</v>
      </c>
      <c r="C539" s="3" t="s">
        <v>783</v>
      </c>
      <c r="D539" s="3" t="s">
        <v>76</v>
      </c>
      <c r="E539" s="3" t="s">
        <v>159</v>
      </c>
      <c r="F539" s="3">
        <v>9.9</v>
      </c>
      <c r="G539" s="3" t="s">
        <v>997</v>
      </c>
      <c r="H539" s="3"/>
      <c r="I539" s="3" t="s">
        <v>998</v>
      </c>
      <c r="J539" s="3">
        <v>4</v>
      </c>
      <c r="K539" s="3">
        <v>4</v>
      </c>
      <c r="L539" s="3">
        <v>0</v>
      </c>
      <c r="M539" s="3">
        <v>0</v>
      </c>
      <c r="N539" s="3">
        <v>4</v>
      </c>
      <c r="O539" s="3">
        <v>0.04</v>
      </c>
      <c r="P539" s="3">
        <v>0</v>
      </c>
      <c r="Q539" s="3">
        <v>0</v>
      </c>
      <c r="R539" s="3">
        <v>0</v>
      </c>
    </row>
    <row r="540" spans="1:18">
      <c r="A540" s="3" t="s">
        <v>895</v>
      </c>
      <c r="B540" s="3" t="s">
        <v>896</v>
      </c>
      <c r="C540" s="3" t="s">
        <v>896</v>
      </c>
      <c r="D540" s="3" t="s">
        <v>76</v>
      </c>
      <c r="E540" s="3" t="s">
        <v>159</v>
      </c>
      <c r="F540" s="3">
        <v>9.9</v>
      </c>
      <c r="G540" s="3" t="s">
        <v>997</v>
      </c>
      <c r="H540" s="3"/>
      <c r="I540" s="3" t="s">
        <v>998</v>
      </c>
      <c r="J540" s="3">
        <v>5</v>
      </c>
      <c r="K540" s="3">
        <v>5</v>
      </c>
      <c r="L540" s="3">
        <v>0</v>
      </c>
      <c r="M540" s="3">
        <v>0</v>
      </c>
      <c r="N540" s="3">
        <v>5</v>
      </c>
      <c r="O540" s="3">
        <v>0.03</v>
      </c>
      <c r="P540" s="3">
        <v>0</v>
      </c>
      <c r="Q540" s="3">
        <v>0</v>
      </c>
      <c r="R540" s="3">
        <v>0</v>
      </c>
    </row>
    <row r="541" spans="1:18">
      <c r="A541" s="3" t="s">
        <v>220</v>
      </c>
      <c r="B541" s="3" t="s">
        <v>221</v>
      </c>
      <c r="C541" s="3" t="s">
        <v>221</v>
      </c>
      <c r="D541" s="3" t="s">
        <v>222</v>
      </c>
      <c r="E541" s="3" t="s">
        <v>159</v>
      </c>
      <c r="F541" s="3">
        <v>15</v>
      </c>
      <c r="G541" s="3" t="s">
        <v>997</v>
      </c>
      <c r="H541" s="3"/>
      <c r="I541" s="3" t="s">
        <v>998</v>
      </c>
      <c r="J541" s="3">
        <v>4</v>
      </c>
      <c r="K541" s="3">
        <v>4</v>
      </c>
      <c r="L541" s="3">
        <v>0</v>
      </c>
      <c r="M541" s="3">
        <v>0</v>
      </c>
      <c r="N541" s="3">
        <v>4</v>
      </c>
      <c r="O541" s="3">
        <v>0</v>
      </c>
      <c r="P541" s="3">
        <v>0</v>
      </c>
      <c r="Q541" s="3">
        <v>0</v>
      </c>
      <c r="R541" s="3">
        <v>0</v>
      </c>
    </row>
    <row r="542" spans="1:18">
      <c r="A542" s="3" t="s">
        <v>695</v>
      </c>
      <c r="B542" s="3" t="s">
        <v>696</v>
      </c>
      <c r="C542" s="3" t="s">
        <v>696</v>
      </c>
      <c r="D542" s="3" t="s">
        <v>697</v>
      </c>
      <c r="E542" s="3" t="s">
        <v>159</v>
      </c>
      <c r="F542" s="3">
        <v>15</v>
      </c>
      <c r="G542" s="3" t="s">
        <v>997</v>
      </c>
      <c r="H542" s="3"/>
      <c r="I542" s="3" t="s">
        <v>998</v>
      </c>
      <c r="J542" s="3">
        <v>4</v>
      </c>
      <c r="K542" s="3">
        <v>4</v>
      </c>
      <c r="L542" s="3">
        <v>0</v>
      </c>
      <c r="M542" s="3">
        <v>0</v>
      </c>
      <c r="N542" s="3">
        <v>4</v>
      </c>
      <c r="O542" s="3">
        <v>0</v>
      </c>
      <c r="P542" s="3">
        <v>0</v>
      </c>
      <c r="Q542" s="3">
        <v>0</v>
      </c>
      <c r="R542" s="3">
        <v>0</v>
      </c>
    </row>
    <row r="543" spans="1:18">
      <c r="A543" s="3" t="s">
        <v>714</v>
      </c>
      <c r="B543" s="3" t="s">
        <v>715</v>
      </c>
      <c r="C543" s="3" t="s">
        <v>715</v>
      </c>
      <c r="D543" s="3" t="s">
        <v>716</v>
      </c>
      <c r="E543" s="3" t="s">
        <v>159</v>
      </c>
      <c r="F543" s="3">
        <v>15</v>
      </c>
      <c r="G543" s="3" t="s">
        <v>997</v>
      </c>
      <c r="H543" s="3"/>
      <c r="I543" s="3" t="s">
        <v>998</v>
      </c>
      <c r="J543" s="3">
        <v>4</v>
      </c>
      <c r="K543" s="3">
        <v>4</v>
      </c>
      <c r="L543" s="3">
        <v>0</v>
      </c>
      <c r="M543" s="3">
        <v>0</v>
      </c>
      <c r="N543" s="3">
        <v>4</v>
      </c>
      <c r="O543" s="3">
        <v>0</v>
      </c>
      <c r="P543" s="3">
        <v>0</v>
      </c>
      <c r="Q543" s="3">
        <v>0</v>
      </c>
      <c r="R543" s="3">
        <v>0</v>
      </c>
    </row>
    <row r="544" spans="1:18">
      <c r="A544" s="3" t="s">
        <v>526</v>
      </c>
      <c r="B544" s="3" t="s">
        <v>527</v>
      </c>
      <c r="C544" s="3" t="s">
        <v>527</v>
      </c>
      <c r="D544" s="3" t="s">
        <v>528</v>
      </c>
      <c r="E544" s="3" t="s">
        <v>159</v>
      </c>
      <c r="F544" s="3">
        <v>15</v>
      </c>
      <c r="G544" s="3" t="s">
        <v>997</v>
      </c>
      <c r="H544" s="3"/>
      <c r="I544" s="3" t="s">
        <v>998</v>
      </c>
      <c r="J544" s="3">
        <v>4</v>
      </c>
      <c r="K544" s="3">
        <v>4</v>
      </c>
      <c r="L544" s="3">
        <v>0</v>
      </c>
      <c r="M544" s="3">
        <v>0</v>
      </c>
      <c r="N544" s="3">
        <v>4</v>
      </c>
      <c r="O544" s="3">
        <v>0</v>
      </c>
      <c r="P544" s="3">
        <v>0</v>
      </c>
      <c r="Q544" s="3">
        <v>0</v>
      </c>
      <c r="R544" s="3">
        <v>0</v>
      </c>
    </row>
    <row r="545" spans="1:18">
      <c r="A545" s="3" t="s">
        <v>197</v>
      </c>
      <c r="B545" s="3" t="s">
        <v>198</v>
      </c>
      <c r="C545" s="3" t="s">
        <v>198</v>
      </c>
      <c r="D545" s="3" t="s">
        <v>199</v>
      </c>
      <c r="E545" s="3" t="s">
        <v>159</v>
      </c>
      <c r="F545" s="3">
        <v>9.9</v>
      </c>
      <c r="G545" s="3" t="s">
        <v>997</v>
      </c>
      <c r="H545" s="3"/>
      <c r="I545" s="3" t="s">
        <v>998</v>
      </c>
      <c r="J545" s="3">
        <v>4</v>
      </c>
      <c r="K545" s="3">
        <v>4</v>
      </c>
      <c r="L545" s="3">
        <v>0</v>
      </c>
      <c r="M545" s="3">
        <v>0</v>
      </c>
      <c r="N545" s="3">
        <v>4</v>
      </c>
      <c r="O545" s="3">
        <v>0</v>
      </c>
      <c r="P545" s="3">
        <v>0</v>
      </c>
      <c r="Q545" s="3">
        <v>0</v>
      </c>
      <c r="R545" s="3">
        <v>0</v>
      </c>
    </row>
    <row r="546" spans="1:18">
      <c r="A546" s="3" t="s">
        <v>440</v>
      </c>
      <c r="B546" s="3" t="s">
        <v>441</v>
      </c>
      <c r="C546" s="3" t="s">
        <v>441</v>
      </c>
      <c r="D546" s="3" t="s">
        <v>442</v>
      </c>
      <c r="E546" s="3" t="s">
        <v>159</v>
      </c>
      <c r="F546" s="3">
        <v>15</v>
      </c>
      <c r="G546" s="3" t="s">
        <v>997</v>
      </c>
      <c r="H546" s="3"/>
      <c r="I546" s="3" t="s">
        <v>998</v>
      </c>
      <c r="J546" s="3">
        <v>4</v>
      </c>
      <c r="K546" s="3">
        <v>4</v>
      </c>
      <c r="L546" s="3">
        <v>0</v>
      </c>
      <c r="M546" s="3">
        <v>0</v>
      </c>
      <c r="N546" s="3">
        <v>4</v>
      </c>
      <c r="O546" s="3">
        <v>0</v>
      </c>
      <c r="P546" s="3">
        <v>0</v>
      </c>
      <c r="Q546" s="3">
        <v>0</v>
      </c>
      <c r="R546" s="3">
        <v>0</v>
      </c>
    </row>
    <row r="547" spans="1:18">
      <c r="A547" s="3" t="s">
        <v>549</v>
      </c>
      <c r="B547" s="3" t="s">
        <v>550</v>
      </c>
      <c r="C547" s="3" t="s">
        <v>550</v>
      </c>
      <c r="D547" s="3" t="s">
        <v>551</v>
      </c>
      <c r="E547" s="3" t="s">
        <v>159</v>
      </c>
      <c r="F547" s="3">
        <v>15</v>
      </c>
      <c r="G547" s="3" t="s">
        <v>997</v>
      </c>
      <c r="H547" s="3"/>
      <c r="I547" s="3" t="s">
        <v>998</v>
      </c>
      <c r="J547" s="3">
        <v>4</v>
      </c>
      <c r="K547" s="3">
        <v>4</v>
      </c>
      <c r="L547" s="3">
        <v>0</v>
      </c>
      <c r="M547" s="3">
        <v>0</v>
      </c>
      <c r="N547" s="3">
        <v>4</v>
      </c>
      <c r="O547" s="3">
        <v>0</v>
      </c>
      <c r="P547" s="3">
        <v>0</v>
      </c>
      <c r="Q547" s="3">
        <v>0</v>
      </c>
      <c r="R547" s="3">
        <v>0</v>
      </c>
    </row>
    <row r="548" spans="1:18">
      <c r="A548" s="3" t="s">
        <v>800</v>
      </c>
      <c r="B548" s="3" t="s">
        <v>801</v>
      </c>
      <c r="C548" s="3" t="s">
        <v>801</v>
      </c>
      <c r="D548" s="3" t="s">
        <v>802</v>
      </c>
      <c r="E548" s="3" t="s">
        <v>159</v>
      </c>
      <c r="F548" s="3">
        <v>15</v>
      </c>
      <c r="G548" s="3" t="s">
        <v>997</v>
      </c>
      <c r="H548" s="3"/>
      <c r="I548" s="3" t="s">
        <v>998</v>
      </c>
      <c r="J548" s="3">
        <v>4</v>
      </c>
      <c r="K548" s="3">
        <v>4</v>
      </c>
      <c r="L548" s="3">
        <v>0</v>
      </c>
      <c r="M548" s="3">
        <v>0</v>
      </c>
      <c r="N548" s="3">
        <v>4</v>
      </c>
      <c r="O548" s="3">
        <v>0</v>
      </c>
      <c r="P548" s="3">
        <v>0</v>
      </c>
      <c r="Q548" s="3">
        <v>0</v>
      </c>
      <c r="R548" s="3">
        <v>0</v>
      </c>
    </row>
    <row r="549" spans="1:18">
      <c r="A549" s="3" t="s">
        <v>412</v>
      </c>
      <c r="B549" s="3" t="s">
        <v>413</v>
      </c>
      <c r="C549" s="3" t="s">
        <v>413</v>
      </c>
      <c r="D549" s="3" t="s">
        <v>414</v>
      </c>
      <c r="E549" s="3" t="s">
        <v>159</v>
      </c>
      <c r="F549" s="3">
        <v>15</v>
      </c>
      <c r="G549" s="3" t="s">
        <v>997</v>
      </c>
      <c r="H549" s="3"/>
      <c r="I549" s="3" t="s">
        <v>998</v>
      </c>
      <c r="J549" s="3">
        <v>4</v>
      </c>
      <c r="K549" s="3">
        <v>4</v>
      </c>
      <c r="L549" s="3">
        <v>0</v>
      </c>
      <c r="M549" s="3">
        <v>0</v>
      </c>
      <c r="N549" s="3">
        <v>4</v>
      </c>
      <c r="O549" s="3">
        <v>0</v>
      </c>
      <c r="P549" s="3">
        <v>0</v>
      </c>
      <c r="Q549" s="3">
        <v>0</v>
      </c>
      <c r="R549" s="3">
        <v>0</v>
      </c>
    </row>
    <row r="550" spans="1:18">
      <c r="A550" s="3" t="s">
        <v>638</v>
      </c>
      <c r="B550" s="3" t="s">
        <v>639</v>
      </c>
      <c r="C550" s="3" t="s">
        <v>639</v>
      </c>
      <c r="D550" s="3" t="s">
        <v>640</v>
      </c>
      <c r="E550" s="3" t="s">
        <v>159</v>
      </c>
      <c r="F550" s="3">
        <v>15</v>
      </c>
      <c r="G550" s="3" t="s">
        <v>997</v>
      </c>
      <c r="H550" s="3"/>
      <c r="I550" s="3" t="s">
        <v>998</v>
      </c>
      <c r="J550" s="3">
        <v>4</v>
      </c>
      <c r="K550" s="3">
        <v>4</v>
      </c>
      <c r="L550" s="3">
        <v>0</v>
      </c>
      <c r="M550" s="3">
        <v>0</v>
      </c>
      <c r="N550" s="3">
        <v>4</v>
      </c>
      <c r="O550" s="3">
        <v>0</v>
      </c>
      <c r="P550" s="3">
        <v>0</v>
      </c>
      <c r="Q550" s="3">
        <v>0</v>
      </c>
      <c r="R550" s="3">
        <v>0</v>
      </c>
    </row>
    <row r="551" spans="1:18">
      <c r="A551" s="3" t="s">
        <v>448</v>
      </c>
      <c r="B551" s="3" t="s">
        <v>449</v>
      </c>
      <c r="C551" s="3" t="s">
        <v>449</v>
      </c>
      <c r="D551" s="3" t="s">
        <v>450</v>
      </c>
      <c r="E551" s="3" t="s">
        <v>159</v>
      </c>
      <c r="F551" s="3">
        <v>15</v>
      </c>
      <c r="G551" s="3" t="s">
        <v>997</v>
      </c>
      <c r="H551" s="3"/>
      <c r="I551" s="3" t="s">
        <v>998</v>
      </c>
      <c r="J551" s="3">
        <v>4</v>
      </c>
      <c r="K551" s="3">
        <v>4</v>
      </c>
      <c r="L551" s="3">
        <v>0</v>
      </c>
      <c r="M551" s="3">
        <v>0</v>
      </c>
      <c r="N551" s="3">
        <v>4</v>
      </c>
      <c r="O551" s="3">
        <v>0</v>
      </c>
      <c r="P551" s="3">
        <v>0</v>
      </c>
      <c r="Q551" s="3">
        <v>0</v>
      </c>
      <c r="R551" s="3">
        <v>0</v>
      </c>
    </row>
    <row r="552" spans="1:18">
      <c r="A552" s="3" t="s">
        <v>675</v>
      </c>
      <c r="B552" s="3" t="s">
        <v>676</v>
      </c>
      <c r="C552" s="3" t="s">
        <v>676</v>
      </c>
      <c r="D552" s="3" t="s">
        <v>677</v>
      </c>
      <c r="E552" s="3" t="s">
        <v>159</v>
      </c>
      <c r="F552" s="3">
        <v>15</v>
      </c>
      <c r="G552" s="3" t="s">
        <v>997</v>
      </c>
      <c r="H552" s="3"/>
      <c r="I552" s="3" t="s">
        <v>998</v>
      </c>
      <c r="J552" s="3">
        <v>4</v>
      </c>
      <c r="K552" s="3">
        <v>4</v>
      </c>
      <c r="L552" s="3">
        <v>0</v>
      </c>
      <c r="M552" s="3">
        <v>0</v>
      </c>
      <c r="N552" s="3">
        <v>4</v>
      </c>
      <c r="O552" s="3">
        <v>0</v>
      </c>
      <c r="P552" s="3">
        <v>0</v>
      </c>
      <c r="Q552" s="3">
        <v>0</v>
      </c>
      <c r="R552" s="3">
        <v>0</v>
      </c>
    </row>
    <row r="553" spans="1:18">
      <c r="A553" s="3" t="s">
        <v>501</v>
      </c>
      <c r="B553" s="3" t="s">
        <v>502</v>
      </c>
      <c r="C553" s="3" t="s">
        <v>502</v>
      </c>
      <c r="D553" s="3" t="s">
        <v>503</v>
      </c>
      <c r="E553" s="3" t="s">
        <v>159</v>
      </c>
      <c r="F553" s="3">
        <v>15</v>
      </c>
      <c r="G553" s="3" t="s">
        <v>997</v>
      </c>
      <c r="H553" s="3"/>
      <c r="I553" s="3" t="s">
        <v>998</v>
      </c>
      <c r="J553" s="3">
        <v>4</v>
      </c>
      <c r="K553" s="3">
        <v>4</v>
      </c>
      <c r="L553" s="3">
        <v>0</v>
      </c>
      <c r="M553" s="3">
        <v>0</v>
      </c>
      <c r="N553" s="3">
        <v>4</v>
      </c>
      <c r="O553" s="3">
        <v>0</v>
      </c>
      <c r="P553" s="3">
        <v>0</v>
      </c>
      <c r="Q553" s="3">
        <v>0</v>
      </c>
      <c r="R553" s="3">
        <v>0</v>
      </c>
    </row>
    <row r="554" spans="1:18">
      <c r="A554" s="3" t="s">
        <v>443</v>
      </c>
      <c r="B554" s="3" t="s">
        <v>444</v>
      </c>
      <c r="C554" s="3" t="s">
        <v>444</v>
      </c>
      <c r="D554" s="3" t="s">
        <v>445</v>
      </c>
      <c r="E554" s="3" t="s">
        <v>159</v>
      </c>
      <c r="F554" s="3">
        <v>15</v>
      </c>
      <c r="G554" s="3" t="s">
        <v>997</v>
      </c>
      <c r="H554" s="3"/>
      <c r="I554" s="3" t="s">
        <v>998</v>
      </c>
      <c r="J554" s="3">
        <v>4</v>
      </c>
      <c r="K554" s="3">
        <v>4</v>
      </c>
      <c r="L554" s="3">
        <v>0</v>
      </c>
      <c r="M554" s="3">
        <v>0</v>
      </c>
      <c r="N554" s="3">
        <v>4</v>
      </c>
      <c r="O554" s="3">
        <v>0</v>
      </c>
      <c r="P554" s="3">
        <v>0</v>
      </c>
      <c r="Q554" s="3">
        <v>0</v>
      </c>
      <c r="R554" s="3">
        <v>0</v>
      </c>
    </row>
    <row r="555" spans="1:18">
      <c r="A555" s="3" t="s">
        <v>728</v>
      </c>
      <c r="B555" s="3" t="s">
        <v>729</v>
      </c>
      <c r="C555" s="3" t="s">
        <v>729</v>
      </c>
      <c r="D555" s="3" t="s">
        <v>730</v>
      </c>
      <c r="E555" s="3" t="s">
        <v>159</v>
      </c>
      <c r="F555" s="3">
        <v>15</v>
      </c>
      <c r="G555" s="3" t="s">
        <v>997</v>
      </c>
      <c r="H555" s="3"/>
      <c r="I555" s="3" t="s">
        <v>998</v>
      </c>
      <c r="J555" s="3">
        <v>4</v>
      </c>
      <c r="K555" s="3">
        <v>4</v>
      </c>
      <c r="L555" s="3">
        <v>0</v>
      </c>
      <c r="M555" s="3">
        <v>0</v>
      </c>
      <c r="N555" s="3">
        <v>4</v>
      </c>
      <c r="O555" s="3">
        <v>0</v>
      </c>
      <c r="P555" s="3">
        <v>0</v>
      </c>
      <c r="Q555" s="3">
        <v>0</v>
      </c>
      <c r="R555" s="3">
        <v>0</v>
      </c>
    </row>
    <row r="556" spans="1:18">
      <c r="A556" s="3" t="s">
        <v>960</v>
      </c>
      <c r="B556" s="3" t="s">
        <v>961</v>
      </c>
      <c r="C556" s="3" t="s">
        <v>961</v>
      </c>
      <c r="D556" s="3" t="s">
        <v>962</v>
      </c>
      <c r="E556" s="3" t="s">
        <v>159</v>
      </c>
      <c r="F556" s="3">
        <v>15</v>
      </c>
      <c r="G556" s="3" t="s">
        <v>997</v>
      </c>
      <c r="H556" s="3"/>
      <c r="I556" s="3" t="s">
        <v>998</v>
      </c>
      <c r="J556" s="3">
        <v>4</v>
      </c>
      <c r="K556" s="3">
        <v>4</v>
      </c>
      <c r="L556" s="3">
        <v>0</v>
      </c>
      <c r="M556" s="3">
        <v>0</v>
      </c>
      <c r="N556" s="3">
        <v>4</v>
      </c>
      <c r="O556" s="3">
        <v>0</v>
      </c>
      <c r="P556" s="3">
        <v>0</v>
      </c>
      <c r="Q556" s="3">
        <v>0</v>
      </c>
      <c r="R556" s="3">
        <v>0</v>
      </c>
    </row>
    <row r="557" spans="1:18">
      <c r="A557" s="3" t="s">
        <v>620</v>
      </c>
      <c r="B557" s="3" t="s">
        <v>621</v>
      </c>
      <c r="C557" s="3" t="s">
        <v>621</v>
      </c>
      <c r="D557" s="3" t="s">
        <v>622</v>
      </c>
      <c r="E557" s="3" t="s">
        <v>159</v>
      </c>
      <c r="F557" s="3">
        <v>15</v>
      </c>
      <c r="G557" s="3" t="s">
        <v>997</v>
      </c>
      <c r="H557" s="3"/>
      <c r="I557" s="3" t="s">
        <v>998</v>
      </c>
      <c r="J557" s="3">
        <v>4</v>
      </c>
      <c r="K557" s="3">
        <v>4</v>
      </c>
      <c r="L557" s="3">
        <v>0</v>
      </c>
      <c r="M557" s="3">
        <v>0</v>
      </c>
      <c r="N557" s="3">
        <v>4</v>
      </c>
      <c r="O557" s="3">
        <v>0</v>
      </c>
      <c r="P557" s="3">
        <v>0</v>
      </c>
      <c r="Q557" s="3">
        <v>0</v>
      </c>
      <c r="R557" s="3">
        <v>0</v>
      </c>
    </row>
    <row r="558" spans="1:18">
      <c r="A558" s="3" t="s">
        <v>523</v>
      </c>
      <c r="B558" s="3" t="s">
        <v>524</v>
      </c>
      <c r="C558" s="3" t="s">
        <v>524</v>
      </c>
      <c r="D558" s="3" t="s">
        <v>525</v>
      </c>
      <c r="E558" s="3" t="s">
        <v>159</v>
      </c>
      <c r="F558" s="3">
        <v>15</v>
      </c>
      <c r="G558" s="3" t="s">
        <v>997</v>
      </c>
      <c r="H558" s="3"/>
      <c r="I558" s="3" t="s">
        <v>998</v>
      </c>
      <c r="J558" s="3">
        <v>4</v>
      </c>
      <c r="K558" s="3">
        <v>4</v>
      </c>
      <c r="L558" s="3">
        <v>0</v>
      </c>
      <c r="M558" s="3">
        <v>0</v>
      </c>
      <c r="N558" s="3">
        <v>4</v>
      </c>
      <c r="O558" s="3">
        <v>0</v>
      </c>
      <c r="P558" s="3">
        <v>0</v>
      </c>
      <c r="Q558" s="3">
        <v>0</v>
      </c>
      <c r="R558" s="3">
        <v>0</v>
      </c>
    </row>
    <row r="559" spans="1:18">
      <c r="A559" s="3" t="s">
        <v>189</v>
      </c>
      <c r="B559" s="3" t="s">
        <v>190</v>
      </c>
      <c r="C559" s="3" t="s">
        <v>190</v>
      </c>
      <c r="D559" s="3" t="s">
        <v>191</v>
      </c>
      <c r="E559" s="3" t="s">
        <v>159</v>
      </c>
      <c r="F559" s="3">
        <v>15</v>
      </c>
      <c r="G559" s="3" t="s">
        <v>997</v>
      </c>
      <c r="H559" s="3"/>
      <c r="I559" s="3" t="s">
        <v>998</v>
      </c>
      <c r="J559" s="3">
        <v>4</v>
      </c>
      <c r="K559" s="3">
        <v>4</v>
      </c>
      <c r="L559" s="3">
        <v>0</v>
      </c>
      <c r="M559" s="3">
        <v>0</v>
      </c>
      <c r="N559" s="3">
        <v>4</v>
      </c>
      <c r="O559" s="3">
        <v>0</v>
      </c>
      <c r="P559" s="3">
        <v>0</v>
      </c>
      <c r="Q559" s="3">
        <v>0</v>
      </c>
      <c r="R559" s="3">
        <v>0</v>
      </c>
    </row>
    <row r="560" spans="1:18">
      <c r="A560" s="3" t="s">
        <v>793</v>
      </c>
      <c r="B560" s="3" t="s">
        <v>794</v>
      </c>
      <c r="C560" s="3" t="s">
        <v>794</v>
      </c>
      <c r="D560" s="3" t="s">
        <v>795</v>
      </c>
      <c r="E560" s="3" t="s">
        <v>159</v>
      </c>
      <c r="F560" s="3">
        <v>15</v>
      </c>
      <c r="G560" s="3" t="s">
        <v>997</v>
      </c>
      <c r="H560" s="3"/>
      <c r="I560" s="3" t="s">
        <v>998</v>
      </c>
      <c r="J560" s="3">
        <v>4</v>
      </c>
      <c r="K560" s="3">
        <v>4</v>
      </c>
      <c r="L560" s="3">
        <v>0</v>
      </c>
      <c r="M560" s="3">
        <v>0</v>
      </c>
      <c r="N560" s="3">
        <v>4</v>
      </c>
      <c r="O560" s="3">
        <v>0</v>
      </c>
      <c r="P560" s="3">
        <v>0</v>
      </c>
      <c r="Q560" s="3">
        <v>0</v>
      </c>
      <c r="R560" s="3">
        <v>0</v>
      </c>
    </row>
    <row r="561" spans="1:18">
      <c r="A561" s="3" t="s">
        <v>331</v>
      </c>
      <c r="B561" s="3" t="s">
        <v>332</v>
      </c>
      <c r="C561" s="3" t="s">
        <v>332</v>
      </c>
      <c r="D561" s="3" t="s">
        <v>333</v>
      </c>
      <c r="E561" s="3" t="s">
        <v>159</v>
      </c>
      <c r="F561" s="3">
        <v>15</v>
      </c>
      <c r="G561" s="3" t="s">
        <v>997</v>
      </c>
      <c r="H561" s="3"/>
      <c r="I561" s="3" t="s">
        <v>998</v>
      </c>
      <c r="J561" s="3">
        <v>2</v>
      </c>
      <c r="K561" s="3">
        <v>2</v>
      </c>
      <c r="L561" s="3">
        <v>0</v>
      </c>
      <c r="M561" s="3">
        <v>0</v>
      </c>
      <c r="N561" s="3">
        <v>2</v>
      </c>
      <c r="O561" s="3">
        <v>0</v>
      </c>
      <c r="P561" s="3">
        <v>0</v>
      </c>
      <c r="Q561" s="3">
        <v>0</v>
      </c>
      <c r="R561" s="3">
        <v>0</v>
      </c>
    </row>
    <row r="562" spans="1:18">
      <c r="A562" s="3" t="s">
        <v>722</v>
      </c>
      <c r="B562" s="3" t="s">
        <v>723</v>
      </c>
      <c r="C562" s="3" t="s">
        <v>723</v>
      </c>
      <c r="D562" s="3" t="s">
        <v>724</v>
      </c>
      <c r="E562" s="3" t="s">
        <v>159</v>
      </c>
      <c r="F562" s="3">
        <v>15</v>
      </c>
      <c r="G562" s="3" t="s">
        <v>997</v>
      </c>
      <c r="H562" s="3"/>
      <c r="I562" s="3" t="s">
        <v>998</v>
      </c>
      <c r="J562" s="3">
        <v>2</v>
      </c>
      <c r="K562" s="3">
        <v>2</v>
      </c>
      <c r="L562" s="3">
        <v>0</v>
      </c>
      <c r="M562" s="3">
        <v>0</v>
      </c>
      <c r="N562" s="3">
        <v>2</v>
      </c>
      <c r="O562" s="3">
        <v>0</v>
      </c>
      <c r="P562" s="3">
        <v>0</v>
      </c>
      <c r="Q562" s="3">
        <v>0</v>
      </c>
      <c r="R562" s="3">
        <v>0</v>
      </c>
    </row>
    <row r="563" spans="1:18">
      <c r="A563" s="3" t="s">
        <v>284</v>
      </c>
      <c r="B563" s="3" t="s">
        <v>285</v>
      </c>
      <c r="C563" s="3" t="s">
        <v>285</v>
      </c>
      <c r="D563" s="3" t="s">
        <v>286</v>
      </c>
      <c r="E563" s="3" t="s">
        <v>159</v>
      </c>
      <c r="F563" s="3">
        <v>15</v>
      </c>
      <c r="G563" s="3" t="s">
        <v>997</v>
      </c>
      <c r="H563" s="3"/>
      <c r="I563" s="3" t="s">
        <v>998</v>
      </c>
      <c r="J563" s="3">
        <v>3</v>
      </c>
      <c r="K563" s="3">
        <v>3</v>
      </c>
      <c r="L563" s="3">
        <v>0</v>
      </c>
      <c r="M563" s="3">
        <v>0</v>
      </c>
      <c r="N563" s="3">
        <v>3</v>
      </c>
      <c r="O563" s="3">
        <v>0</v>
      </c>
      <c r="P563" s="3">
        <v>0</v>
      </c>
      <c r="Q563" s="3">
        <v>0</v>
      </c>
      <c r="R563" s="3">
        <v>0</v>
      </c>
    </row>
    <row r="564" spans="1:18">
      <c r="A564" s="3" t="s">
        <v>868</v>
      </c>
      <c r="B564" s="3" t="s">
        <v>869</v>
      </c>
      <c r="C564" s="3" t="s">
        <v>869</v>
      </c>
      <c r="D564" s="3" t="s">
        <v>870</v>
      </c>
      <c r="E564" s="3" t="s">
        <v>159</v>
      </c>
      <c r="F564" s="3">
        <v>15</v>
      </c>
      <c r="G564" s="3" t="s">
        <v>997</v>
      </c>
      <c r="H564" s="3"/>
      <c r="I564" s="3" t="s">
        <v>998</v>
      </c>
      <c r="J564" s="3">
        <v>1</v>
      </c>
      <c r="K564" s="3">
        <v>1</v>
      </c>
      <c r="L564" s="3">
        <v>0</v>
      </c>
      <c r="M564" s="3">
        <v>0</v>
      </c>
      <c r="N564" s="3">
        <v>1</v>
      </c>
      <c r="O564" s="3">
        <v>0</v>
      </c>
      <c r="P564" s="3">
        <v>0</v>
      </c>
      <c r="Q564" s="3">
        <v>0</v>
      </c>
      <c r="R564" s="3">
        <v>0</v>
      </c>
    </row>
    <row r="565" spans="1:18">
      <c r="A565" s="3" t="s">
        <v>263</v>
      </c>
      <c r="B565" s="3" t="s">
        <v>264</v>
      </c>
      <c r="C565" s="3" t="s">
        <v>264</v>
      </c>
      <c r="D565" s="3" t="s">
        <v>265</v>
      </c>
      <c r="E565" s="3" t="s">
        <v>159</v>
      </c>
      <c r="F565" s="3">
        <v>15</v>
      </c>
      <c r="G565" s="3" t="s">
        <v>997</v>
      </c>
      <c r="H565" s="3"/>
      <c r="I565" s="3" t="s">
        <v>998</v>
      </c>
      <c r="J565" s="3">
        <v>4</v>
      </c>
      <c r="K565" s="3">
        <v>4</v>
      </c>
      <c r="L565" s="3">
        <v>0</v>
      </c>
      <c r="M565" s="3">
        <v>0</v>
      </c>
      <c r="N565" s="3">
        <v>4</v>
      </c>
      <c r="O565" s="3">
        <v>0</v>
      </c>
      <c r="P565" s="3">
        <v>0</v>
      </c>
      <c r="Q565" s="3">
        <v>0</v>
      </c>
      <c r="R565" s="3">
        <v>0</v>
      </c>
    </row>
    <row r="566" spans="1:18">
      <c r="A566" s="3" t="s">
        <v>741</v>
      </c>
      <c r="B566" s="3" t="s">
        <v>742</v>
      </c>
      <c r="C566" s="3" t="s">
        <v>742</v>
      </c>
      <c r="D566" s="3" t="s">
        <v>743</v>
      </c>
      <c r="E566" s="3" t="s">
        <v>159</v>
      </c>
      <c r="F566" s="3">
        <v>15</v>
      </c>
      <c r="G566" s="3" t="s">
        <v>997</v>
      </c>
      <c r="H566" s="3"/>
      <c r="I566" s="3" t="s">
        <v>998</v>
      </c>
      <c r="J566" s="3">
        <v>4</v>
      </c>
      <c r="K566" s="3">
        <v>4</v>
      </c>
      <c r="L566" s="3">
        <v>0</v>
      </c>
      <c r="M566" s="3">
        <v>0</v>
      </c>
      <c r="N566" s="3">
        <v>4</v>
      </c>
      <c r="O566" s="3">
        <v>0</v>
      </c>
      <c r="P566" s="3">
        <v>0</v>
      </c>
      <c r="Q566" s="3">
        <v>0</v>
      </c>
      <c r="R566" s="3">
        <v>0</v>
      </c>
    </row>
    <row r="567" spans="1:18">
      <c r="A567" s="3" t="s">
        <v>254</v>
      </c>
      <c r="B567" s="3" t="s">
        <v>255</v>
      </c>
      <c r="C567" s="3" t="s">
        <v>255</v>
      </c>
      <c r="D567" s="3" t="s">
        <v>256</v>
      </c>
      <c r="E567" s="3" t="s">
        <v>159</v>
      </c>
      <c r="F567" s="3">
        <v>15</v>
      </c>
      <c r="G567" s="3" t="s">
        <v>997</v>
      </c>
      <c r="H567" s="3"/>
      <c r="I567" s="3" t="s">
        <v>998</v>
      </c>
      <c r="J567" s="3">
        <v>4</v>
      </c>
      <c r="K567" s="3">
        <v>4</v>
      </c>
      <c r="L567" s="3">
        <v>0</v>
      </c>
      <c r="M567" s="3">
        <v>0</v>
      </c>
      <c r="N567" s="3">
        <v>4</v>
      </c>
      <c r="O567" s="3">
        <v>0</v>
      </c>
      <c r="P567" s="3">
        <v>0</v>
      </c>
      <c r="Q567" s="3">
        <v>0</v>
      </c>
      <c r="R567" s="3">
        <v>0</v>
      </c>
    </row>
    <row r="568" spans="1:18">
      <c r="A568" s="3" t="s">
        <v>874</v>
      </c>
      <c r="B568" s="3" t="s">
        <v>875</v>
      </c>
      <c r="C568" s="3" t="s">
        <v>875</v>
      </c>
      <c r="D568" s="3" t="s">
        <v>876</v>
      </c>
      <c r="E568" s="3" t="s">
        <v>159</v>
      </c>
      <c r="F568" s="3">
        <v>15</v>
      </c>
      <c r="G568" s="3" t="s">
        <v>997</v>
      </c>
      <c r="H568" s="3"/>
      <c r="I568" s="3" t="s">
        <v>998</v>
      </c>
      <c r="J568" s="3">
        <v>3</v>
      </c>
      <c r="K568" s="3">
        <v>3</v>
      </c>
      <c r="L568" s="3">
        <v>0</v>
      </c>
      <c r="M568" s="3">
        <v>0</v>
      </c>
      <c r="N568" s="3">
        <v>3</v>
      </c>
      <c r="O568" s="3">
        <v>0</v>
      </c>
      <c r="P568" s="3">
        <v>0</v>
      </c>
      <c r="Q568" s="3">
        <v>0</v>
      </c>
      <c r="R568" s="3">
        <v>0</v>
      </c>
    </row>
    <row r="569" spans="1:18">
      <c r="A569" s="3" t="s">
        <v>260</v>
      </c>
      <c r="B569" s="3" t="s">
        <v>261</v>
      </c>
      <c r="C569" s="3" t="s">
        <v>261</v>
      </c>
      <c r="D569" s="3" t="s">
        <v>262</v>
      </c>
      <c r="E569" s="3" t="s">
        <v>159</v>
      </c>
      <c r="F569" s="3">
        <v>15</v>
      </c>
      <c r="G569" s="3" t="s">
        <v>997</v>
      </c>
      <c r="H569" s="3"/>
      <c r="I569" s="3" t="s">
        <v>998</v>
      </c>
      <c r="J569" s="3">
        <v>4</v>
      </c>
      <c r="K569" s="3">
        <v>4</v>
      </c>
      <c r="L569" s="3">
        <v>0</v>
      </c>
      <c r="M569" s="3">
        <v>0</v>
      </c>
      <c r="N569" s="3">
        <v>4</v>
      </c>
      <c r="O569" s="3">
        <v>0</v>
      </c>
      <c r="P569" s="3">
        <v>0</v>
      </c>
      <c r="Q569" s="3">
        <v>0</v>
      </c>
      <c r="R569" s="3">
        <v>0</v>
      </c>
    </row>
    <row r="570" spans="1:18">
      <c r="A570" s="3" t="s">
        <v>670</v>
      </c>
      <c r="B570" s="3" t="s">
        <v>671</v>
      </c>
      <c r="C570" s="3" t="s">
        <v>671</v>
      </c>
      <c r="D570" s="3" t="s">
        <v>672</v>
      </c>
      <c r="E570" s="3" t="s">
        <v>159</v>
      </c>
      <c r="F570" s="3">
        <v>15</v>
      </c>
      <c r="G570" s="3" t="s">
        <v>997</v>
      </c>
      <c r="H570" s="3"/>
      <c r="I570" s="3" t="s">
        <v>998</v>
      </c>
      <c r="J570" s="3">
        <v>4</v>
      </c>
      <c r="K570" s="3">
        <v>4</v>
      </c>
      <c r="L570" s="3">
        <v>0</v>
      </c>
      <c r="M570" s="3">
        <v>0</v>
      </c>
      <c r="N570" s="3">
        <v>4</v>
      </c>
      <c r="O570" s="3">
        <v>0</v>
      </c>
      <c r="P570" s="3">
        <v>0</v>
      </c>
      <c r="Q570" s="3">
        <v>0</v>
      </c>
      <c r="R570" s="3">
        <v>0</v>
      </c>
    </row>
    <row r="571" spans="1:18">
      <c r="A571" s="3" t="s">
        <v>738</v>
      </c>
      <c r="B571" s="3" t="s">
        <v>739</v>
      </c>
      <c r="C571" s="3" t="s">
        <v>739</v>
      </c>
      <c r="D571" s="3" t="s">
        <v>740</v>
      </c>
      <c r="E571" s="3" t="s">
        <v>159</v>
      </c>
      <c r="F571" s="3">
        <v>15</v>
      </c>
      <c r="G571" s="3" t="s">
        <v>997</v>
      </c>
      <c r="H571" s="3"/>
      <c r="I571" s="3" t="s">
        <v>998</v>
      </c>
      <c r="J571" s="3">
        <v>4</v>
      </c>
      <c r="K571" s="3">
        <v>4</v>
      </c>
      <c r="L571" s="3">
        <v>0</v>
      </c>
      <c r="M571" s="3">
        <v>0</v>
      </c>
      <c r="N571" s="3">
        <v>4</v>
      </c>
      <c r="O571" s="3">
        <v>0</v>
      </c>
      <c r="P571" s="3">
        <v>0</v>
      </c>
      <c r="Q571" s="3">
        <v>0</v>
      </c>
      <c r="R571" s="3">
        <v>0</v>
      </c>
    </row>
    <row r="572" spans="1:18">
      <c r="A572" s="3" t="s">
        <v>902</v>
      </c>
      <c r="B572" s="3" t="s">
        <v>903</v>
      </c>
      <c r="C572" s="3" t="s">
        <v>903</v>
      </c>
      <c r="D572" s="3" t="s">
        <v>904</v>
      </c>
      <c r="E572" s="3" t="s">
        <v>159</v>
      </c>
      <c r="F572" s="3">
        <v>15</v>
      </c>
      <c r="G572" s="3" t="s">
        <v>997</v>
      </c>
      <c r="H572" s="3"/>
      <c r="I572" s="3" t="s">
        <v>998</v>
      </c>
      <c r="J572" s="3">
        <v>4</v>
      </c>
      <c r="K572" s="3">
        <v>4</v>
      </c>
      <c r="L572" s="3">
        <v>0</v>
      </c>
      <c r="M572" s="3">
        <v>0</v>
      </c>
      <c r="N572" s="3">
        <v>4</v>
      </c>
      <c r="O572" s="3">
        <v>0</v>
      </c>
      <c r="P572" s="3">
        <v>0</v>
      </c>
      <c r="Q572" s="3">
        <v>0</v>
      </c>
      <c r="R572" s="3">
        <v>0</v>
      </c>
    </row>
    <row r="573" spans="1:18">
      <c r="A573" s="3" t="s">
        <v>309</v>
      </c>
      <c r="B573" s="3" t="s">
        <v>310</v>
      </c>
      <c r="C573" s="3" t="s">
        <v>310</v>
      </c>
      <c r="D573" s="3" t="s">
        <v>311</v>
      </c>
      <c r="E573" s="3" t="s">
        <v>159</v>
      </c>
      <c r="F573" s="3">
        <v>15</v>
      </c>
      <c r="G573" s="3" t="s">
        <v>997</v>
      </c>
      <c r="H573" s="3"/>
      <c r="I573" s="3" t="s">
        <v>998</v>
      </c>
      <c r="J573" s="3">
        <v>4</v>
      </c>
      <c r="K573" s="3">
        <v>4</v>
      </c>
      <c r="L573" s="3">
        <v>0</v>
      </c>
      <c r="M573" s="3">
        <v>0</v>
      </c>
      <c r="N573" s="3">
        <v>4</v>
      </c>
      <c r="O573" s="3">
        <v>0</v>
      </c>
      <c r="P573" s="3">
        <v>0</v>
      </c>
      <c r="Q573" s="3">
        <v>0</v>
      </c>
      <c r="R573" s="3">
        <v>0</v>
      </c>
    </row>
    <row r="574" spans="1:18">
      <c r="A574" s="3" t="s">
        <v>916</v>
      </c>
      <c r="B574" s="3" t="s">
        <v>917</v>
      </c>
      <c r="C574" s="3" t="s">
        <v>917</v>
      </c>
      <c r="D574" s="3" t="s">
        <v>918</v>
      </c>
      <c r="E574" s="3" t="s">
        <v>159</v>
      </c>
      <c r="F574" s="3">
        <v>15</v>
      </c>
      <c r="G574" s="3" t="s">
        <v>997</v>
      </c>
      <c r="H574" s="3"/>
      <c r="I574" s="3" t="s">
        <v>998</v>
      </c>
      <c r="J574" s="3">
        <v>4</v>
      </c>
      <c r="K574" s="3">
        <v>4</v>
      </c>
      <c r="L574" s="3">
        <v>0</v>
      </c>
      <c r="M574" s="3">
        <v>0</v>
      </c>
      <c r="N574" s="3">
        <v>4</v>
      </c>
      <c r="O574" s="3">
        <v>0</v>
      </c>
      <c r="P574" s="3">
        <v>0</v>
      </c>
      <c r="Q574" s="3">
        <v>0</v>
      </c>
      <c r="R574" s="3">
        <v>0</v>
      </c>
    </row>
    <row r="575" spans="1:18">
      <c r="A575" s="3" t="s">
        <v>771</v>
      </c>
      <c r="B575" s="3" t="s">
        <v>772</v>
      </c>
      <c r="C575" s="3" t="s">
        <v>772</v>
      </c>
      <c r="D575" s="3" t="s">
        <v>773</v>
      </c>
      <c r="E575" s="3" t="s">
        <v>159</v>
      </c>
      <c r="F575" s="3">
        <v>15</v>
      </c>
      <c r="G575" s="3" t="s">
        <v>997</v>
      </c>
      <c r="H575" s="3"/>
      <c r="I575" s="3" t="s">
        <v>998</v>
      </c>
      <c r="J575" s="3">
        <v>4</v>
      </c>
      <c r="K575" s="3">
        <v>4</v>
      </c>
      <c r="L575" s="3">
        <v>0</v>
      </c>
      <c r="M575" s="3">
        <v>0</v>
      </c>
      <c r="N575" s="3">
        <v>4</v>
      </c>
      <c r="O575" s="3">
        <v>0</v>
      </c>
      <c r="P575" s="3">
        <v>0</v>
      </c>
      <c r="Q575" s="3">
        <v>0</v>
      </c>
      <c r="R575" s="3">
        <v>0</v>
      </c>
    </row>
    <row r="576" spans="1:18">
      <c r="A576" s="3" t="s">
        <v>704</v>
      </c>
      <c r="B576" s="3" t="s">
        <v>705</v>
      </c>
      <c r="C576" s="3" t="s">
        <v>705</v>
      </c>
      <c r="D576" s="3" t="s">
        <v>706</v>
      </c>
      <c r="E576" s="3" t="s">
        <v>159</v>
      </c>
      <c r="F576" s="3">
        <v>15</v>
      </c>
      <c r="G576" s="3" t="s">
        <v>997</v>
      </c>
      <c r="H576" s="3"/>
      <c r="I576" s="3" t="s">
        <v>998</v>
      </c>
      <c r="J576" s="3">
        <v>3</v>
      </c>
      <c r="K576" s="3">
        <v>3</v>
      </c>
      <c r="L576" s="3">
        <v>0</v>
      </c>
      <c r="M576" s="3">
        <v>0</v>
      </c>
      <c r="N576" s="3">
        <v>3</v>
      </c>
      <c r="O576" s="3">
        <v>0</v>
      </c>
      <c r="P576" s="3">
        <v>0</v>
      </c>
      <c r="Q576" s="3">
        <v>0</v>
      </c>
      <c r="R576" s="3">
        <v>0</v>
      </c>
    </row>
    <row r="577" spans="1:18">
      <c r="A577" s="3" t="s">
        <v>905</v>
      </c>
      <c r="B577" s="3" t="s">
        <v>906</v>
      </c>
      <c r="C577" s="3" t="s">
        <v>906</v>
      </c>
      <c r="D577" s="3" t="s">
        <v>689</v>
      </c>
      <c r="E577" s="3" t="s">
        <v>159</v>
      </c>
      <c r="F577" s="3">
        <v>42</v>
      </c>
      <c r="G577" s="3" t="s">
        <v>997</v>
      </c>
      <c r="H577" s="3"/>
      <c r="I577" s="3" t="s">
        <v>998</v>
      </c>
      <c r="J577" s="3">
        <v>2</v>
      </c>
      <c r="K577" s="3">
        <v>2</v>
      </c>
      <c r="L577" s="3">
        <v>0</v>
      </c>
      <c r="M577" s="3">
        <v>0</v>
      </c>
      <c r="N577" s="3">
        <v>2</v>
      </c>
      <c r="O577" s="3">
        <v>0.01</v>
      </c>
      <c r="P577" s="3">
        <v>0</v>
      </c>
      <c r="Q577" s="3">
        <v>0</v>
      </c>
      <c r="R577" s="3">
        <v>0</v>
      </c>
    </row>
    <row r="578" spans="1:18">
      <c r="A578" s="3" t="s">
        <v>687</v>
      </c>
      <c r="B578" s="3" t="s">
        <v>688</v>
      </c>
      <c r="C578" s="3" t="s">
        <v>688</v>
      </c>
      <c r="D578" s="3" t="s">
        <v>689</v>
      </c>
      <c r="E578" s="3" t="s">
        <v>159</v>
      </c>
      <c r="F578" s="3">
        <v>10</v>
      </c>
      <c r="G578" s="3" t="s">
        <v>997</v>
      </c>
      <c r="H578" s="3"/>
      <c r="I578" s="3" t="s">
        <v>998</v>
      </c>
      <c r="J578" s="3">
        <v>10</v>
      </c>
      <c r="K578" s="3">
        <v>10</v>
      </c>
      <c r="L578" s="3">
        <v>0</v>
      </c>
      <c r="M578" s="3">
        <v>0</v>
      </c>
      <c r="N578" s="3">
        <v>10</v>
      </c>
      <c r="O578" s="3">
        <v>0.01</v>
      </c>
      <c r="P578" s="3">
        <v>0</v>
      </c>
      <c r="Q578" s="3">
        <v>0</v>
      </c>
      <c r="R578" s="3">
        <v>0</v>
      </c>
    </row>
    <row r="579" spans="1:18">
      <c r="A579" s="3" t="s">
        <v>1790</v>
      </c>
      <c r="B579" s="3" t="s">
        <v>1791</v>
      </c>
      <c r="C579" s="3" t="s">
        <v>1791</v>
      </c>
      <c r="D579" s="3" t="s">
        <v>689</v>
      </c>
      <c r="E579" s="3" t="s">
        <v>159</v>
      </c>
      <c r="F579" s="3">
        <v>42</v>
      </c>
      <c r="G579" s="3" t="s">
        <v>997</v>
      </c>
      <c r="H579" s="3"/>
      <c r="I579" s="3" t="s">
        <v>998</v>
      </c>
      <c r="J579" s="3">
        <v>0</v>
      </c>
      <c r="K579" s="3">
        <v>0</v>
      </c>
      <c r="L579" s="3">
        <v>0</v>
      </c>
      <c r="M579" s="3">
        <v>0</v>
      </c>
      <c r="N579" s="3">
        <v>0</v>
      </c>
      <c r="O579" s="3">
        <v>0.01</v>
      </c>
      <c r="P579" s="3">
        <v>0</v>
      </c>
      <c r="Q579" s="3">
        <v>0</v>
      </c>
      <c r="R579" s="3">
        <v>0</v>
      </c>
    </row>
    <row r="580" spans="1:18">
      <c r="A580" s="3" t="s">
        <v>837</v>
      </c>
      <c r="B580" s="3" t="s">
        <v>838</v>
      </c>
      <c r="C580" s="3" t="s">
        <v>838</v>
      </c>
      <c r="D580" s="3" t="s">
        <v>689</v>
      </c>
      <c r="E580" s="3" t="s">
        <v>159</v>
      </c>
      <c r="F580" s="3">
        <v>42</v>
      </c>
      <c r="G580" s="3" t="s">
        <v>997</v>
      </c>
      <c r="H580" s="3"/>
      <c r="I580" s="3" t="s">
        <v>998</v>
      </c>
      <c r="J580" s="3">
        <v>7</v>
      </c>
      <c r="K580" s="3">
        <v>7</v>
      </c>
      <c r="L580" s="3">
        <v>0</v>
      </c>
      <c r="M580" s="3">
        <v>0</v>
      </c>
      <c r="N580" s="3">
        <v>7</v>
      </c>
      <c r="O580" s="3">
        <v>0.01</v>
      </c>
      <c r="P580" s="3">
        <v>0</v>
      </c>
      <c r="Q580" s="3">
        <v>0</v>
      </c>
      <c r="R580" s="3">
        <v>0</v>
      </c>
    </row>
    <row r="581" spans="1:18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</row>
    <row r="582" spans="1:18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</row>
    <row r="583" spans="1:18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</row>
    <row r="584" spans="1:18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</row>
    <row r="585" spans="1:18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</row>
    <row r="586" spans="1:18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</row>
    <row r="587" spans="1:18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</row>
    <row r="588" spans="1:18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1616"/>
  <sheetViews>
    <sheetView tabSelected="1" topLeftCell="B3" workbookViewId="0">
      <selection activeCell="B3" sqref="B3:N581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1792</v>
      </c>
      <c r="C1" t="s">
        <v>1793</v>
      </c>
      <c r="D1" t="s">
        <v>1794</v>
      </c>
      <c r="E1" t="s">
        <v>1795</v>
      </c>
      <c r="F1" t="s">
        <v>1796</v>
      </c>
      <c r="G1" t="s">
        <v>6</v>
      </c>
      <c r="H1" s="2" t="s">
        <v>7</v>
      </c>
      <c r="I1" t="s">
        <v>5</v>
      </c>
      <c r="J1" t="s">
        <v>128</v>
      </c>
      <c r="K1" t="s">
        <v>129</v>
      </c>
      <c r="L1" t="s">
        <v>130</v>
      </c>
      <c r="M1" t="s">
        <v>131</v>
      </c>
      <c r="N1" t="s">
        <v>1797</v>
      </c>
    </row>
    <row r="2" s="1" customFormat="1" spans="1:14">
      <c r="A2" s="1" t="s">
        <v>1798</v>
      </c>
      <c r="B2" s="1">
        <f t="shared" ref="B2:N2" si="0">SUM(B3:B2543)</f>
        <v>3097</v>
      </c>
      <c r="C2" s="1">
        <f t="shared" si="0"/>
        <v>27</v>
      </c>
      <c r="D2" s="1">
        <f t="shared" si="0"/>
        <v>2604</v>
      </c>
      <c r="E2" s="1">
        <f t="shared" si="0"/>
        <v>34</v>
      </c>
      <c r="F2" s="1">
        <f t="shared" si="0"/>
        <v>2638</v>
      </c>
      <c r="G2" s="1">
        <f t="shared" si="0"/>
        <v>27</v>
      </c>
      <c r="H2" s="1">
        <f t="shared" si="0"/>
        <v>56</v>
      </c>
      <c r="I2" s="1">
        <f t="shared" si="0"/>
        <v>15</v>
      </c>
      <c r="J2" s="1">
        <f t="shared" si="0"/>
        <v>298</v>
      </c>
      <c r="K2" s="1">
        <f t="shared" si="0"/>
        <v>355</v>
      </c>
      <c r="L2" s="1">
        <f t="shared" si="0"/>
        <v>615</v>
      </c>
      <c r="M2" s="1">
        <f t="shared" si="0"/>
        <v>0</v>
      </c>
      <c r="N2" s="1">
        <f t="shared" si="0"/>
        <v>1268</v>
      </c>
    </row>
    <row r="3" spans="1:14">
      <c r="A3" s="3" t="s">
        <v>8</v>
      </c>
      <c r="B3">
        <f>IFERROR(VLOOKUP(A3,管理亚马逊库存!A:K,11,0),"")</f>
        <v>3</v>
      </c>
      <c r="C3">
        <f>IFERROR(VLOOKUP(A3,管理亚马逊库存!A:L,12,0),"")</f>
        <v>1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1</v>
      </c>
      <c r="I3">
        <f>IFERROR(VLOOKUP(A3,预留库存!A:F,6,0),0)</f>
        <v>0</v>
      </c>
      <c r="J3">
        <f>IFERROR(VLOOKUP(A3,库龄!B:K,9,0),0)</f>
        <v>0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0</v>
      </c>
    </row>
    <row r="4" spans="1:14">
      <c r="A4" s="3" t="s">
        <v>12</v>
      </c>
      <c r="B4">
        <f>IFERROR(VLOOKUP(A4,管理亚马逊库存!A:K,11,0),"")</f>
        <v>3</v>
      </c>
      <c r="C4">
        <f>IFERROR(VLOOKUP(A4,管理亚马逊库存!A:L,12,0),"")</f>
        <v>2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0</v>
      </c>
      <c r="H4">
        <f>IFERROR(VLOOKUP(A4,预留库存!A:H,8,0),0)</f>
        <v>1</v>
      </c>
      <c r="I4">
        <f>IFERROR(VLOOKUP(A4,预留库存!A:F,6,0),0)</f>
        <v>0</v>
      </c>
      <c r="J4">
        <f>IFERROR(VLOOKUP(A4,库龄!B:K,9,0),0)</f>
        <v>0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0</v>
      </c>
    </row>
    <row r="5" spans="1:14">
      <c r="A5" s="3" t="s">
        <v>15</v>
      </c>
      <c r="B5">
        <f>IFERROR(VLOOKUP(A5,管理亚马逊库存!A:K,11,0),"")</f>
        <v>0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0</v>
      </c>
      <c r="H5">
        <f>IFERROR(VLOOKUP(A5,预留库存!A:H,8,0),0)</f>
        <v>1</v>
      </c>
      <c r="I5">
        <f>IFERROR(VLOOKUP(A5,预留库存!A:F,6,0),0)</f>
        <v>0</v>
      </c>
      <c r="J5">
        <f>IFERROR(VLOOKUP(A5,库龄!B:K,9,0),0)</f>
        <v>0</v>
      </c>
      <c r="K5">
        <f>IFERROR(VLOOKUP(A5,库龄!B:L,10,0),0)</f>
        <v>1</v>
      </c>
      <c r="L5">
        <f>IFERROR(VLOOKUP(A5,库龄!B:M,11,0),0)</f>
        <v>0</v>
      </c>
      <c r="M5">
        <f>IFERROR(VLOOKUP(A5,库龄!B:N,12,0),0)</f>
        <v>0</v>
      </c>
      <c r="N5">
        <f t="shared" si="2"/>
        <v>1</v>
      </c>
    </row>
    <row r="6" spans="1:14">
      <c r="A6" s="3" t="s">
        <v>18</v>
      </c>
      <c r="B6">
        <f>IFERROR(VLOOKUP(A6,管理亚马逊库存!A:K,11,0),"")</f>
        <v>4</v>
      </c>
      <c r="C6">
        <f>IFERROR(VLOOKUP(A6,管理亚马逊库存!A:L,12,0),"")</f>
        <v>0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0</v>
      </c>
      <c r="H6">
        <f>IFERROR(VLOOKUP(A6,预留库存!A:H,8,0),0)</f>
        <v>1</v>
      </c>
      <c r="I6">
        <f>IFERROR(VLOOKUP(A6,预留库存!A:F,6,0),0)</f>
        <v>0</v>
      </c>
      <c r="J6">
        <f>IFERROR(VLOOKUP(A6,库龄!B:K,9,0),0)</f>
        <v>5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5</v>
      </c>
    </row>
    <row r="7" spans="1:14">
      <c r="A7" s="3" t="s">
        <v>21</v>
      </c>
      <c r="B7">
        <f>IFERROR(VLOOKUP(A7,管理亚马逊库存!A:K,11,0),"")</f>
        <v>0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0</v>
      </c>
      <c r="H7">
        <f>IFERROR(VLOOKUP(A7,预留库存!A:H,8,0),0)</f>
        <v>1</v>
      </c>
      <c r="I7">
        <f>IFERROR(VLOOKUP(A7,预留库存!A:F,6,0),0)</f>
        <v>0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24</v>
      </c>
      <c r="B8">
        <f>IFERROR(VLOOKUP(A8,管理亚马逊库存!A:K,11,0),"")</f>
        <v>3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0</v>
      </c>
      <c r="H8">
        <f>IFERROR(VLOOKUP(A8,预留库存!A:H,8,0),0)</f>
        <v>1</v>
      </c>
      <c r="I8">
        <f>IFERROR(VLOOKUP(A8,预留库存!A:F,6,0),0)</f>
        <v>0</v>
      </c>
      <c r="J8">
        <f>IFERROR(VLOOKUP(A8,库龄!B:K,9,0),0)</f>
        <v>0</v>
      </c>
      <c r="K8">
        <f>IFERROR(VLOOKUP(A8,库龄!B:L,10,0),0)</f>
        <v>4</v>
      </c>
      <c r="L8">
        <f>IFERROR(VLOOKUP(A8,库龄!B:M,11,0),0)</f>
        <v>0</v>
      </c>
      <c r="M8">
        <f>IFERROR(VLOOKUP(A8,库龄!B:N,12,0),0)</f>
        <v>0</v>
      </c>
      <c r="N8">
        <f t="shared" si="2"/>
        <v>4</v>
      </c>
    </row>
    <row r="9" spans="1:14">
      <c r="A9" s="3" t="s">
        <v>27</v>
      </c>
      <c r="B9">
        <f>IFERROR(VLOOKUP(A9,管理亚马逊库存!A:K,11,0),"")</f>
        <v>5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0</v>
      </c>
      <c r="H9">
        <f>IFERROR(VLOOKUP(A9,预留库存!A:H,8,0),0)</f>
        <v>1</v>
      </c>
      <c r="I9">
        <f>IFERROR(VLOOKUP(A9,预留库存!A:F,6,0),0)</f>
        <v>0</v>
      </c>
      <c r="J9">
        <f>IFERROR(VLOOKUP(A9,库龄!B:K,9,0),0)</f>
        <v>0</v>
      </c>
      <c r="K9">
        <f>IFERROR(VLOOKUP(A9,库龄!B:L,10,0),0)</f>
        <v>4</v>
      </c>
      <c r="L9">
        <f>IFERROR(VLOOKUP(A9,库龄!B:M,11,0),0)</f>
        <v>1</v>
      </c>
      <c r="M9">
        <f>IFERROR(VLOOKUP(A9,库龄!B:N,12,0),0)</f>
        <v>0</v>
      </c>
      <c r="N9">
        <f t="shared" si="2"/>
        <v>5</v>
      </c>
    </row>
    <row r="10" spans="1:14">
      <c r="A10" s="3" t="s">
        <v>29</v>
      </c>
      <c r="B10">
        <f>IFERROR(VLOOKUP(A10,管理亚马逊库存!A:K,11,0),"")</f>
        <v>4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0</v>
      </c>
      <c r="H10">
        <f>IFERROR(VLOOKUP(A10,预留库存!A:H,8,0),0)</f>
        <v>1</v>
      </c>
      <c r="I10">
        <f>IFERROR(VLOOKUP(A10,预留库存!A:F,6,0),0)</f>
        <v>0</v>
      </c>
      <c r="J10">
        <f>IFERROR(VLOOKUP(A10,库龄!B:K,9,0),0)</f>
        <v>0</v>
      </c>
      <c r="K10">
        <f>IFERROR(VLOOKUP(A10,库龄!B:L,10,0),0)</f>
        <v>4</v>
      </c>
      <c r="L10">
        <f>IFERROR(VLOOKUP(A10,库龄!B:M,11,0),0)</f>
        <v>1</v>
      </c>
      <c r="M10">
        <f>IFERROR(VLOOKUP(A10,库龄!B:N,12,0),0)</f>
        <v>0</v>
      </c>
      <c r="N10">
        <f t="shared" si="2"/>
        <v>5</v>
      </c>
    </row>
    <row r="11" spans="1:14">
      <c r="A11" s="3" t="s">
        <v>32</v>
      </c>
      <c r="B11">
        <f>IFERROR(VLOOKUP(A11,管理亚马逊库存!A:K,11,0),"")</f>
        <v>8</v>
      </c>
      <c r="C11">
        <f>IFERROR(VLOOKUP(A11,管理亚马逊库存!A:L,12,0),"")</f>
        <v>0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0</v>
      </c>
      <c r="H11">
        <f>IFERROR(VLOOKUP(A11,预留库存!A:H,8,0),0)</f>
        <v>1</v>
      </c>
      <c r="I11">
        <f>IFERROR(VLOOKUP(A11,预留库存!A:F,6,0),0)</f>
        <v>0</v>
      </c>
      <c r="J11">
        <f>IFERROR(VLOOKUP(A11,库龄!B:K,9,0),0)</f>
        <v>0</v>
      </c>
      <c r="K11">
        <f>IFERROR(VLOOKUP(A11,库龄!B:L,10,0),0)</f>
        <v>9</v>
      </c>
      <c r="L11">
        <f>IFERROR(VLOOKUP(A11,库龄!B:M,11,0),0)</f>
        <v>0</v>
      </c>
      <c r="M11">
        <f>IFERROR(VLOOKUP(A11,库龄!B:N,12,0),0)</f>
        <v>0</v>
      </c>
      <c r="N11">
        <f t="shared" si="2"/>
        <v>9</v>
      </c>
    </row>
    <row r="12" spans="1:14">
      <c r="A12" s="3" t="s">
        <v>35</v>
      </c>
      <c r="B12">
        <f>IFERROR(VLOOKUP(A12,管理亚马逊库存!A:K,11,0),"")</f>
        <v>1</v>
      </c>
      <c r="C12">
        <f>IFERROR(VLOOKUP(A12,管理亚马逊库存!A:L,12,0),"")</f>
        <v>0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1</v>
      </c>
      <c r="H12">
        <f>IFERROR(VLOOKUP(A12,预留库存!A:H,8,0),0)</f>
        <v>0</v>
      </c>
      <c r="I12">
        <f>IFERROR(VLOOKUP(A12,预留库存!A:F,6,0),0)</f>
        <v>1</v>
      </c>
      <c r="J12">
        <f>IFERROR(VLOOKUP(A12,库龄!B:K,9,0),0)</f>
        <v>1</v>
      </c>
      <c r="K12">
        <f>IFERROR(VLOOKUP(A12,库龄!B:L,10,0),0)</f>
        <v>0</v>
      </c>
      <c r="L12">
        <f>IFERROR(VLOOKUP(A12,库龄!B:M,11,0),0)</f>
        <v>2</v>
      </c>
      <c r="M12">
        <f>IFERROR(VLOOKUP(A12,库龄!B:N,12,0),0)</f>
        <v>0</v>
      </c>
      <c r="N12">
        <f t="shared" si="2"/>
        <v>3</v>
      </c>
    </row>
    <row r="13" spans="1:14">
      <c r="A13" s="3" t="s">
        <v>38</v>
      </c>
      <c r="B13">
        <f>IFERROR(VLOOKUP(A13,管理亚马逊库存!A:K,11,0),"")</f>
        <v>10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0</v>
      </c>
      <c r="H13">
        <f>IFERROR(VLOOKUP(A13,预留库存!A:H,8,0),0)</f>
        <v>1</v>
      </c>
      <c r="I13">
        <f>IFERROR(VLOOKUP(A13,预留库存!A:F,6,0),0)</f>
        <v>0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9</v>
      </c>
      <c r="M13">
        <f>IFERROR(VLOOKUP(A13,库龄!B:N,12,0),0)</f>
        <v>0</v>
      </c>
      <c r="N13">
        <f t="shared" si="2"/>
        <v>9</v>
      </c>
    </row>
    <row r="14" spans="1:14">
      <c r="A14" s="3" t="s">
        <v>41</v>
      </c>
      <c r="B14">
        <f>IFERROR(VLOOKUP(A14,管理亚马逊库存!A:K,11,0),"")</f>
        <v>0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1</v>
      </c>
      <c r="H14">
        <f>IFERROR(VLOOKUP(A14,预留库存!A:H,8,0),0)</f>
        <v>0</v>
      </c>
      <c r="I14">
        <f>IFERROR(VLOOKUP(A14,预留库存!A:F,6,0),0)</f>
        <v>0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3" t="s">
        <v>44</v>
      </c>
      <c r="B15">
        <f>IFERROR(VLOOKUP(A15,管理亚马逊库存!A:K,11,0),"")</f>
        <v>0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0</v>
      </c>
      <c r="H15">
        <f>IFERROR(VLOOKUP(A15,预留库存!A:H,8,0),0)</f>
        <v>2</v>
      </c>
      <c r="I15">
        <f>IFERROR(VLOOKUP(A15,预留库存!A:F,6,0),0)</f>
        <v>0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1</v>
      </c>
      <c r="M15">
        <f>IFERROR(VLOOKUP(A15,库龄!B:N,12,0),0)</f>
        <v>0</v>
      </c>
      <c r="N15">
        <f t="shared" si="2"/>
        <v>1</v>
      </c>
    </row>
    <row r="16" spans="1:14">
      <c r="A16" s="3" t="s">
        <v>47</v>
      </c>
      <c r="B16">
        <f>IFERROR(VLOOKUP(A16,管理亚马逊库存!A:K,11,0),"")</f>
        <v>1</v>
      </c>
      <c r="C16">
        <f>IFERROR(VLOOKUP(A16,管理亚马逊库存!A:L,12,0),"")</f>
        <v>0</v>
      </c>
      <c r="D16">
        <f>IFERROR(VLOOKUP(A16,管理亚马逊库存!A:Q,17,0),"")</f>
        <v>111</v>
      </c>
      <c r="E16">
        <f>IFERROR(VLOOKUP(A16,管理亚马逊库存!A:R,18,0),"")</f>
        <v>0</v>
      </c>
      <c r="F16">
        <f t="shared" si="1"/>
        <v>111</v>
      </c>
      <c r="G16">
        <f>IFERROR(VLOOKUP(A16,预留库存!A:G,7,0),0)</f>
        <v>1</v>
      </c>
      <c r="H16">
        <f>IFERROR(VLOOKUP(A16,预留库存!A:H,8,0),0)</f>
        <v>3</v>
      </c>
      <c r="I16">
        <f>IFERROR(VLOOKUP(A16,预留库存!A:F,6,0),0)</f>
        <v>1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51</v>
      </c>
      <c r="B17">
        <f>IFERROR(VLOOKUP(A17,管理亚马逊库存!A:K,11,0),"")</f>
        <v>4</v>
      </c>
      <c r="C17">
        <f>IFERROR(VLOOKUP(A17,管理亚马逊库存!A:L,12,0),"")</f>
        <v>0</v>
      </c>
      <c r="D17">
        <f>IFERROR(VLOOKUP(A17,管理亚马逊库存!A:Q,17,0),"")</f>
        <v>34</v>
      </c>
      <c r="E17">
        <f>IFERROR(VLOOKUP(A17,管理亚马逊库存!A:R,18,0),"")</f>
        <v>0</v>
      </c>
      <c r="F17">
        <f t="shared" si="1"/>
        <v>34</v>
      </c>
      <c r="G17">
        <f>IFERROR(VLOOKUP(A17,预留库存!A:G,7,0),0)</f>
        <v>8</v>
      </c>
      <c r="H17">
        <f>IFERROR(VLOOKUP(A17,预留库存!A:H,8,0),0)</f>
        <v>1</v>
      </c>
      <c r="I17">
        <f>IFERROR(VLOOKUP(A17,预留库存!A:F,6,0),0)</f>
        <v>0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55</v>
      </c>
      <c r="B18">
        <f>IFERROR(VLOOKUP(A18,管理亚马逊库存!A:K,11,0),"")</f>
        <v>12</v>
      </c>
      <c r="C18">
        <f>IFERROR(VLOOKUP(A18,管理亚马逊库存!A:L,12,0),"")</f>
        <v>0</v>
      </c>
      <c r="D18">
        <f>IFERROR(VLOOKUP(A18,管理亚马逊库存!A:Q,17,0),"")</f>
        <v>30</v>
      </c>
      <c r="E18">
        <f>IFERROR(VLOOKUP(A18,管理亚马逊库存!A:R,18,0),"")</f>
        <v>0</v>
      </c>
      <c r="F18">
        <f t="shared" si="1"/>
        <v>30</v>
      </c>
      <c r="G18">
        <f>IFERROR(VLOOKUP(A18,预留库存!A:G,7,0),0)</f>
        <v>0</v>
      </c>
      <c r="H18">
        <f>IFERROR(VLOOKUP(A18,预留库存!A:H,8,0),0)</f>
        <v>1</v>
      </c>
      <c r="I18">
        <f>IFERROR(VLOOKUP(A18,预留库存!A:F,6,0),0)</f>
        <v>0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59</v>
      </c>
      <c r="B19">
        <f>IFERROR(VLOOKUP(A19,管理亚马逊库存!A:K,11,0),"")</f>
        <v>8</v>
      </c>
      <c r="C19">
        <f>IFERROR(VLOOKUP(A19,管理亚马逊库存!A:L,12,0),"")</f>
        <v>0</v>
      </c>
      <c r="D19">
        <f>IFERROR(VLOOKUP(A19,管理亚马逊库存!A:Q,17,0),"")</f>
        <v>10</v>
      </c>
      <c r="E19">
        <f>IFERROR(VLOOKUP(A19,管理亚马逊库存!A:R,18,0),"")</f>
        <v>0</v>
      </c>
      <c r="F19">
        <f t="shared" si="1"/>
        <v>10</v>
      </c>
      <c r="G19">
        <f>IFERROR(VLOOKUP(A19,预留库存!A:G,7,0),0)</f>
        <v>0</v>
      </c>
      <c r="H19">
        <f>IFERROR(VLOOKUP(A19,预留库存!A:H,8,0),0)</f>
        <v>1</v>
      </c>
      <c r="I19">
        <f>IFERROR(VLOOKUP(A19,预留库存!A:F,6,0),0)</f>
        <v>0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63</v>
      </c>
      <c r="B20">
        <f>IFERROR(VLOOKUP(A20,管理亚马逊库存!A:K,11,0),"")</f>
        <v>18</v>
      </c>
      <c r="C20">
        <f>IFERROR(VLOOKUP(A20,管理亚马逊库存!A:L,12,0),"")</f>
        <v>0</v>
      </c>
      <c r="D20">
        <f>IFERROR(VLOOKUP(A20,管理亚马逊库存!A:Q,17,0),"")</f>
        <v>10</v>
      </c>
      <c r="E20">
        <f>IFERROR(VLOOKUP(A20,管理亚马逊库存!A:R,18,0),"")</f>
        <v>0</v>
      </c>
      <c r="F20">
        <f t="shared" si="1"/>
        <v>10</v>
      </c>
      <c r="G20">
        <f>IFERROR(VLOOKUP(A20,预留库存!A:G,7,0),0)</f>
        <v>0</v>
      </c>
      <c r="H20">
        <f>IFERROR(VLOOKUP(A20,预留库存!A:H,8,0),0)</f>
        <v>1</v>
      </c>
      <c r="I20">
        <f>IFERROR(VLOOKUP(A20,预留库存!A:F,6,0),0)</f>
        <v>0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0</v>
      </c>
    </row>
    <row r="21" spans="1:14">
      <c r="A21" s="3" t="s">
        <v>67</v>
      </c>
      <c r="B21">
        <f>IFERROR(VLOOKUP(A21,管理亚马逊库存!A:K,11,0),"")</f>
        <v>0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0</v>
      </c>
      <c r="I21">
        <f>IFERROR(VLOOKUP(A21,预留库存!A:F,6,0),0)</f>
        <v>1</v>
      </c>
      <c r="J21">
        <f>IFERROR(VLOOKUP(A21,库龄!B:K,9,0),0)</f>
        <v>1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1</v>
      </c>
    </row>
    <row r="22" spans="1:14">
      <c r="A22" s="3" t="s">
        <v>70</v>
      </c>
      <c r="B22">
        <f>IFERROR(VLOOKUP(A22,管理亚马逊库存!A:K,11,0),"")</f>
        <v>99</v>
      </c>
      <c r="C22">
        <f>IFERROR(VLOOKUP(A22,管理亚马逊库存!A:L,12,0),"")</f>
        <v>0</v>
      </c>
      <c r="D22">
        <f>IFERROR(VLOOKUP(A22,管理亚马逊库存!A:Q,17,0),"")</f>
        <v>175</v>
      </c>
      <c r="E22">
        <f>IFERROR(VLOOKUP(A22,管理亚马逊库存!A:R,18,0),"")</f>
        <v>2</v>
      </c>
      <c r="F22">
        <f t="shared" si="1"/>
        <v>177</v>
      </c>
      <c r="G22">
        <f>IFERROR(VLOOKUP(A22,预留库存!A:G,7,0),0)</f>
        <v>1</v>
      </c>
      <c r="H22">
        <f>IFERROR(VLOOKUP(A22,预留库存!A:H,8,0),0)</f>
        <v>1</v>
      </c>
      <c r="I22">
        <f>IFERROR(VLOOKUP(A22,预留库存!A:F,6,0),0)</f>
        <v>1</v>
      </c>
      <c r="J22">
        <f>IFERROR(VLOOKUP(A22,库龄!B:K,9,0),0)</f>
        <v>0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0</v>
      </c>
    </row>
    <row r="23" spans="1:14">
      <c r="A23" s="3" t="s">
        <v>74</v>
      </c>
      <c r="B23">
        <f>IFERROR(VLOOKUP(A23,管理亚马逊库存!A:K,11,0),"")</f>
        <v>4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0</v>
      </c>
      <c r="H23">
        <f>IFERROR(VLOOKUP(A23,预留库存!A:H,8,0),0)</f>
        <v>1</v>
      </c>
      <c r="I23">
        <f>IFERROR(VLOOKUP(A23,预留库存!A:F,6,0),0)</f>
        <v>0</v>
      </c>
      <c r="J23">
        <f>IFERROR(VLOOKUP(A23,库龄!B:K,9,0),0)</f>
        <v>0</v>
      </c>
      <c r="K23">
        <f>IFERROR(VLOOKUP(A23,库龄!B:L,10,0),0)</f>
        <v>0</v>
      </c>
      <c r="L23">
        <f>IFERROR(VLOOKUP(A23,库龄!B:M,11,0),0)</f>
        <v>0</v>
      </c>
      <c r="M23">
        <f>IFERROR(VLOOKUP(A23,库龄!B:N,12,0),0)</f>
        <v>0</v>
      </c>
      <c r="N23">
        <f t="shared" si="2"/>
        <v>0</v>
      </c>
    </row>
    <row r="24" spans="1:14">
      <c r="A24" s="3" t="s">
        <v>77</v>
      </c>
      <c r="B24">
        <f>IFERROR(VLOOKUP(A24,管理亚马逊库存!A:K,11,0),"")</f>
        <v>98</v>
      </c>
      <c r="C24">
        <f>IFERROR(VLOOKUP(A24,管理亚马逊库存!A:L,12,0),"")</f>
        <v>0</v>
      </c>
      <c r="D24">
        <f>IFERROR(VLOOKUP(A24,管理亚马逊库存!A:Q,17,0),"")</f>
        <v>203</v>
      </c>
      <c r="E24">
        <f>IFERROR(VLOOKUP(A24,管理亚马逊库存!A:R,18,0),"")</f>
        <v>2</v>
      </c>
      <c r="F24">
        <f t="shared" si="1"/>
        <v>205</v>
      </c>
      <c r="G24">
        <f>IFERROR(VLOOKUP(A24,预留库存!A:G,7,0),0)</f>
        <v>1</v>
      </c>
      <c r="H24">
        <f>IFERROR(VLOOKUP(A24,预留库存!A:H,8,0),0)</f>
        <v>8</v>
      </c>
      <c r="I24">
        <f>IFERROR(VLOOKUP(A24,预留库存!A:F,6,0),0)</f>
        <v>1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0</v>
      </c>
    </row>
    <row r="25" spans="1:14">
      <c r="A25" s="3" t="s">
        <v>81</v>
      </c>
      <c r="B25">
        <f>IFERROR(VLOOKUP(A25,管理亚马逊库存!A:K,11,0),"")</f>
        <v>3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1</v>
      </c>
      <c r="I25">
        <f>IFERROR(VLOOKUP(A25,预留库存!A:F,6,0),0)</f>
        <v>0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83</v>
      </c>
      <c r="B26">
        <f>IFERROR(VLOOKUP(A26,管理亚马逊库存!A:K,11,0),"")</f>
        <v>36</v>
      </c>
      <c r="C26">
        <f>IFERROR(VLOOKUP(A26,管理亚马逊库存!A:L,12,0),"")</f>
        <v>0</v>
      </c>
      <c r="D26">
        <f>IFERROR(VLOOKUP(A26,管理亚马逊库存!A:Q,17,0),"")</f>
        <v>134</v>
      </c>
      <c r="E26">
        <f>IFERROR(VLOOKUP(A26,管理亚马逊库存!A:R,18,0),"")</f>
        <v>0</v>
      </c>
      <c r="F26">
        <f t="shared" si="1"/>
        <v>134</v>
      </c>
      <c r="G26">
        <f>IFERROR(VLOOKUP(A26,预留库存!A:G,7,0),0)</f>
        <v>1</v>
      </c>
      <c r="H26">
        <f>IFERROR(VLOOKUP(A26,预留库存!A:H,8,0),0)</f>
        <v>2</v>
      </c>
      <c r="I26">
        <f>IFERROR(VLOOKUP(A26,预留库存!A:F,6,0),0)</f>
        <v>1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87</v>
      </c>
      <c r="B27">
        <f>IFERROR(VLOOKUP(A27,管理亚马逊库存!A:K,11,0),"")</f>
        <v>150</v>
      </c>
      <c r="C27">
        <f>IFERROR(VLOOKUP(A27,管理亚马逊库存!A:L,12,0),"")</f>
        <v>0</v>
      </c>
      <c r="D27">
        <f>IFERROR(VLOOKUP(A27,管理亚马逊库存!A:Q,17,0),"")</f>
        <v>270</v>
      </c>
      <c r="E27">
        <f>IFERROR(VLOOKUP(A27,管理亚马逊库存!A:R,18,0),"")</f>
        <v>0</v>
      </c>
      <c r="F27">
        <f t="shared" si="1"/>
        <v>270</v>
      </c>
      <c r="G27">
        <f>IFERROR(VLOOKUP(A27,预留库存!A:G,7,0),0)</f>
        <v>0</v>
      </c>
      <c r="H27">
        <f>IFERROR(VLOOKUP(A27,预留库存!A:H,8,0),0)</f>
        <v>5</v>
      </c>
      <c r="I27">
        <f>IFERROR(VLOOKUP(A27,预留库存!A:F,6,0),0)</f>
        <v>0</v>
      </c>
      <c r="J27">
        <f>IFERROR(VLOOKUP(A27,库龄!B:K,9,0),0)</f>
        <v>0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0</v>
      </c>
    </row>
    <row r="28" spans="1:14">
      <c r="A28" s="3" t="s">
        <v>91</v>
      </c>
      <c r="B28">
        <f>IFERROR(VLOOKUP(A28,管理亚马逊库存!A:K,11,0),"")</f>
        <v>76</v>
      </c>
      <c r="C28">
        <f>IFERROR(VLOOKUP(A28,管理亚马逊库存!A:L,12,0),"")</f>
        <v>2</v>
      </c>
      <c r="D28">
        <f>IFERROR(VLOOKUP(A28,管理亚马逊库存!A:Q,17,0),"")</f>
        <v>255</v>
      </c>
      <c r="E28">
        <f>IFERROR(VLOOKUP(A28,管理亚马逊库存!A:R,18,0),"")</f>
        <v>0</v>
      </c>
      <c r="F28">
        <f t="shared" si="1"/>
        <v>255</v>
      </c>
      <c r="G28">
        <f>IFERROR(VLOOKUP(A28,预留库存!A:G,7,0),0)</f>
        <v>0</v>
      </c>
      <c r="H28">
        <f>IFERROR(VLOOKUP(A28,预留库存!A:H,8,0),0)</f>
        <v>1</v>
      </c>
      <c r="I28">
        <f>IFERROR(VLOOKUP(A28,预留库存!A:F,6,0),0)</f>
        <v>0</v>
      </c>
      <c r="J28">
        <f>IFERROR(VLOOKUP(A28,库龄!B:K,9,0),0)</f>
        <v>0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0</v>
      </c>
    </row>
    <row r="29" spans="1:14">
      <c r="A29" s="3" t="s">
        <v>95</v>
      </c>
      <c r="B29">
        <f>IFERROR(VLOOKUP(A29,管理亚马逊库存!A:K,11,0),"")</f>
        <v>79</v>
      </c>
      <c r="C29">
        <f>IFERROR(VLOOKUP(A29,管理亚马逊库存!A:L,12,0),"")</f>
        <v>0</v>
      </c>
      <c r="D29">
        <f>IFERROR(VLOOKUP(A29,管理亚马逊库存!A:Q,17,0),"")</f>
        <v>232</v>
      </c>
      <c r="E29">
        <f>IFERROR(VLOOKUP(A29,管理亚马逊库存!A:R,18,0),"")</f>
        <v>0</v>
      </c>
      <c r="F29">
        <f t="shared" si="1"/>
        <v>232</v>
      </c>
      <c r="G29">
        <f>IFERROR(VLOOKUP(A29,预留库存!A:G,7,0),0)</f>
        <v>7</v>
      </c>
      <c r="H29">
        <f>IFERROR(VLOOKUP(A29,预留库存!A:H,8,0),0)</f>
        <v>4</v>
      </c>
      <c r="I29">
        <f>IFERROR(VLOOKUP(A29,预留库存!A:F,6,0),0)</f>
        <v>1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0</v>
      </c>
    </row>
    <row r="30" spans="1:14">
      <c r="A30" s="3" t="s">
        <v>99</v>
      </c>
      <c r="B30">
        <f>IFERROR(VLOOKUP(A30,管理亚马逊库存!A:K,11,0),"")</f>
        <v>60</v>
      </c>
      <c r="C30">
        <f>IFERROR(VLOOKUP(A30,管理亚马逊库存!A:L,12,0),"")</f>
        <v>0</v>
      </c>
      <c r="D30">
        <f>IFERROR(VLOOKUP(A30,管理亚马逊库存!A:Q,17,0),"")</f>
        <v>40</v>
      </c>
      <c r="E30">
        <f>IFERROR(VLOOKUP(A30,管理亚马逊库存!A:R,18,0),"")</f>
        <v>2</v>
      </c>
      <c r="F30">
        <f t="shared" si="1"/>
        <v>42</v>
      </c>
      <c r="G30">
        <f>IFERROR(VLOOKUP(A30,预留库存!A:G,7,0),0)</f>
        <v>1</v>
      </c>
      <c r="H30">
        <f>IFERROR(VLOOKUP(A30,预留库存!A:H,8,0),0)</f>
        <v>1</v>
      </c>
      <c r="I30">
        <f>IFERROR(VLOOKUP(A30,预留库存!A:F,6,0),0)</f>
        <v>1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0</v>
      </c>
    </row>
    <row r="31" spans="1:14">
      <c r="A31" s="3" t="s">
        <v>103</v>
      </c>
      <c r="B31">
        <f>IFERROR(VLOOKUP(A31,管理亚马逊库存!A:K,11,0),"")</f>
        <v>73</v>
      </c>
      <c r="C31">
        <f>IFERROR(VLOOKUP(A31,管理亚马逊库存!A:L,12,0),"")</f>
        <v>0</v>
      </c>
      <c r="D31">
        <f>IFERROR(VLOOKUP(A31,管理亚马逊库存!A:Q,17,0),"")</f>
        <v>60</v>
      </c>
      <c r="E31">
        <f>IFERROR(VLOOKUP(A31,管理亚马逊库存!A:R,18,0),"")</f>
        <v>20</v>
      </c>
      <c r="F31">
        <f t="shared" si="1"/>
        <v>80</v>
      </c>
      <c r="G31">
        <f>IFERROR(VLOOKUP(A31,预留库存!A:G,7,0),0)</f>
        <v>1</v>
      </c>
      <c r="H31">
        <f>IFERROR(VLOOKUP(A31,预留库存!A:H,8,0),0)</f>
        <v>0</v>
      </c>
      <c r="I31">
        <f>IFERROR(VLOOKUP(A31,预留库存!A:F,6,0),0)</f>
        <v>1</v>
      </c>
      <c r="J31">
        <f>IFERROR(VLOOKUP(A31,库龄!B:K,9,0),0)</f>
        <v>0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0</v>
      </c>
    </row>
    <row r="32" spans="1:14">
      <c r="A32" s="3" t="s">
        <v>107</v>
      </c>
      <c r="B32">
        <f>IFERROR(VLOOKUP(A32,管理亚马逊库存!A:K,11,0),"")</f>
        <v>18</v>
      </c>
      <c r="C32">
        <f>IFERROR(VLOOKUP(A32,管理亚马逊库存!A:L,12,0),"")</f>
        <v>0</v>
      </c>
      <c r="D32">
        <f>IFERROR(VLOOKUP(A32,管理亚马逊库存!A:Q,17,0),"")</f>
        <v>74</v>
      </c>
      <c r="E32">
        <f>IFERROR(VLOOKUP(A32,管理亚马逊库存!A:R,18,0),"")</f>
        <v>0</v>
      </c>
      <c r="F32">
        <f t="shared" si="1"/>
        <v>74</v>
      </c>
      <c r="G32">
        <f>IFERROR(VLOOKUP(A32,预留库存!A:G,7,0),0)</f>
        <v>1</v>
      </c>
      <c r="H32">
        <f>IFERROR(VLOOKUP(A32,预留库存!A:H,8,0),0)</f>
        <v>0</v>
      </c>
      <c r="I32">
        <f>IFERROR(VLOOKUP(A32,预留库存!A:F,6,0),0)</f>
        <v>1</v>
      </c>
      <c r="J32">
        <f>IFERROR(VLOOKUP(A32,库龄!B:K,9,0),0)</f>
        <v>0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0</v>
      </c>
    </row>
    <row r="33" spans="1:14">
      <c r="A33" s="3" t="s">
        <v>111</v>
      </c>
      <c r="B33">
        <f>IFERROR(VLOOKUP(A33,管理亚马逊库存!A:K,11,0),"")</f>
        <v>105</v>
      </c>
      <c r="C33">
        <f>IFERROR(VLOOKUP(A33,管理亚马逊库存!A:L,12,0),"")</f>
        <v>3</v>
      </c>
      <c r="D33">
        <f>IFERROR(VLOOKUP(A33,管理亚马逊库存!A:Q,17,0),"")</f>
        <v>60</v>
      </c>
      <c r="E33">
        <f>IFERROR(VLOOKUP(A33,管理亚马逊库存!A:R,18,0),"")</f>
        <v>0</v>
      </c>
      <c r="F33">
        <f t="shared" si="1"/>
        <v>60</v>
      </c>
      <c r="G33">
        <f>IFERROR(VLOOKUP(A33,预留库存!A:G,7,0),0)</f>
        <v>1</v>
      </c>
      <c r="H33">
        <f>IFERROR(VLOOKUP(A33,预留库存!A:H,8,0),0)</f>
        <v>0</v>
      </c>
      <c r="I33">
        <f>IFERROR(VLOOKUP(A33,预留库存!A:F,6,0),0)</f>
        <v>2</v>
      </c>
      <c r="J33">
        <f>IFERROR(VLOOKUP(A33,库龄!B:K,9,0),0)</f>
        <v>0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0</v>
      </c>
    </row>
    <row r="34" spans="1:14">
      <c r="A34" s="3" t="s">
        <v>115</v>
      </c>
      <c r="B34">
        <f>IFERROR(VLOOKUP(A34,管理亚马逊库存!A:K,11,0),"")</f>
        <v>75</v>
      </c>
      <c r="C34">
        <f>IFERROR(VLOOKUP(A34,管理亚马逊库存!A:L,12,0),"")</f>
        <v>0</v>
      </c>
      <c r="D34">
        <f>IFERROR(VLOOKUP(A34,管理亚马逊库存!A:Q,17,0),"")</f>
        <v>40</v>
      </c>
      <c r="E34">
        <f>IFERROR(VLOOKUP(A34,管理亚马逊库存!A:R,18,0),"")</f>
        <v>0</v>
      </c>
      <c r="F34">
        <f t="shared" si="1"/>
        <v>40</v>
      </c>
      <c r="G34">
        <f>IFERROR(VLOOKUP(A34,预留库存!A:G,7,0),0)</f>
        <v>2</v>
      </c>
      <c r="H34">
        <f>IFERROR(VLOOKUP(A34,预留库存!A:H,8,0),0)</f>
        <v>0</v>
      </c>
      <c r="I34">
        <f>IFERROR(VLOOKUP(A34,预留库存!A:F,6,0),0)</f>
        <v>2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119</v>
      </c>
      <c r="B35">
        <f>IFERROR(VLOOKUP(A35,管理亚马逊库存!A:K,11,0),"")</f>
        <v>54</v>
      </c>
      <c r="C35">
        <f>IFERROR(VLOOKUP(A35,管理亚马逊库存!A:L,12,0),"")</f>
        <v>0</v>
      </c>
      <c r="D35">
        <f>IFERROR(VLOOKUP(A35,管理亚马逊库存!A:Q,17,0),"")</f>
        <v>118</v>
      </c>
      <c r="E35">
        <f>IFERROR(VLOOKUP(A35,管理亚马逊库存!A:R,18,0),"")</f>
        <v>0</v>
      </c>
      <c r="F35">
        <f t="shared" si="1"/>
        <v>118</v>
      </c>
      <c r="G35">
        <f>IFERROR(VLOOKUP(A35,预留库存!A:G,7,0),0)</f>
        <v>0</v>
      </c>
      <c r="H35">
        <f>IFERROR(VLOOKUP(A35,预留库存!A:H,8,0),0)</f>
        <v>13</v>
      </c>
      <c r="I35">
        <f>IFERROR(VLOOKUP(A35,预留库存!A:F,6,0),0)</f>
        <v>1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0</v>
      </c>
    </row>
    <row r="36" spans="1:14">
      <c r="A36" s="3" t="s">
        <v>155</v>
      </c>
      <c r="B36">
        <f>IFERROR(VLOOKUP(A36,管理亚马逊库存!A:K,11,0),"")</f>
        <v>3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0</v>
      </c>
      <c r="I36">
        <f>IFERROR(VLOOKUP(A36,预留库存!A:F,6,0),0)</f>
        <v>0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0</v>
      </c>
    </row>
    <row r="37" spans="1:14">
      <c r="A37" s="3" t="s">
        <v>165</v>
      </c>
      <c r="B37">
        <f>IFERROR(VLOOKUP(A37,管理亚马逊库存!A:K,11,0),"")</f>
        <v>4</v>
      </c>
      <c r="C37">
        <f>IFERROR(VLOOKUP(A37,管理亚马逊库存!A:L,12,0),"")</f>
        <v>0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0</v>
      </c>
      <c r="I37">
        <f>IFERROR(VLOOKUP(A37,预留库存!A:F,6,0),0)</f>
        <v>0</v>
      </c>
      <c r="J37">
        <f>IFERROR(VLOOKUP(A37,库龄!B:K,9,0),0)</f>
        <v>4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4</v>
      </c>
    </row>
    <row r="38" spans="1:14">
      <c r="A38" s="3" t="s">
        <v>175</v>
      </c>
      <c r="B38">
        <f>IFERROR(VLOOKUP(A38,管理亚马逊库存!A:K,11,0),"")</f>
        <v>10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0</v>
      </c>
      <c r="I38">
        <f>IFERROR(VLOOKUP(A38,预留库存!A:F,6,0),0)</f>
        <v>0</v>
      </c>
      <c r="J38">
        <f>IFERROR(VLOOKUP(A38,库龄!B:K,9,0),0)</f>
        <v>0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0</v>
      </c>
      <c r="N38">
        <f t="shared" si="2"/>
        <v>0</v>
      </c>
    </row>
    <row r="39" spans="1:14">
      <c r="A39" s="3" t="s">
        <v>180</v>
      </c>
      <c r="B39">
        <f>IFERROR(VLOOKUP(A39,管理亚马逊库存!A:K,11,0),"")</f>
        <v>6</v>
      </c>
      <c r="C39">
        <f>IFERROR(VLOOKUP(A39,管理亚马逊库存!A:L,12,0),"")</f>
        <v>0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0</v>
      </c>
      <c r="H39">
        <f>IFERROR(VLOOKUP(A39,预留库存!A:H,8,0),0)</f>
        <v>0</v>
      </c>
      <c r="I39">
        <f>IFERROR(VLOOKUP(A39,预留库存!A:F,6,0),0)</f>
        <v>0</v>
      </c>
      <c r="J39">
        <f>IFERROR(VLOOKUP(A39,库龄!B:K,9,0),0)</f>
        <v>0</v>
      </c>
      <c r="K39">
        <f>IFERROR(VLOOKUP(A39,库龄!B:L,10,0),0)</f>
        <v>0</v>
      </c>
      <c r="L39">
        <f>IFERROR(VLOOKUP(A39,库龄!B:M,11,0),0)</f>
        <v>6</v>
      </c>
      <c r="M39">
        <f>IFERROR(VLOOKUP(A39,库龄!B:N,12,0),0)</f>
        <v>0</v>
      </c>
      <c r="N39">
        <f t="shared" si="2"/>
        <v>6</v>
      </c>
    </row>
    <row r="40" spans="1:14">
      <c r="A40" s="3" t="s">
        <v>184</v>
      </c>
      <c r="B40">
        <f>IFERROR(VLOOKUP(A40,管理亚马逊库存!A:K,11,0),"")</f>
        <v>3</v>
      </c>
      <c r="C40">
        <f>IFERROR(VLOOKUP(A40,管理亚马逊库存!A:L,12,0),"")</f>
        <v>0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0</v>
      </c>
      <c r="H40">
        <f>IFERROR(VLOOKUP(A40,预留库存!A:H,8,0),0)</f>
        <v>0</v>
      </c>
      <c r="I40">
        <f>IFERROR(VLOOKUP(A40,预留库存!A:F,6,0),0)</f>
        <v>0</v>
      </c>
      <c r="J40">
        <f>IFERROR(VLOOKUP(A40,库龄!B:K,9,0),0)</f>
        <v>0</v>
      </c>
      <c r="K40">
        <f>IFERROR(VLOOKUP(A40,库龄!B:L,10,0),0)</f>
        <v>3</v>
      </c>
      <c r="L40">
        <f>IFERROR(VLOOKUP(A40,库龄!B:M,11,0),0)</f>
        <v>0</v>
      </c>
      <c r="M40">
        <f>IFERROR(VLOOKUP(A40,库龄!B:N,12,0),0)</f>
        <v>0</v>
      </c>
      <c r="N40">
        <f t="shared" si="2"/>
        <v>3</v>
      </c>
    </row>
    <row r="41" spans="1:14">
      <c r="A41" s="3" t="s">
        <v>189</v>
      </c>
      <c r="B41">
        <f>IFERROR(VLOOKUP(A41,管理亚马逊库存!A:K,11,0),"")</f>
        <v>4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0</v>
      </c>
      <c r="I41">
        <f>IFERROR(VLOOKUP(A41,预留库存!A:F,6,0),0)</f>
        <v>0</v>
      </c>
      <c r="J41">
        <f>IFERROR(VLOOKUP(A41,库龄!B:K,9,0),0)</f>
        <v>4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4</v>
      </c>
    </row>
    <row r="42" spans="1:14">
      <c r="A42" s="3" t="s">
        <v>193</v>
      </c>
      <c r="B42">
        <f>IFERROR(VLOOKUP(A42,管理亚马逊库存!A:K,11,0),"")</f>
        <v>2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0</v>
      </c>
      <c r="I42">
        <f>IFERROR(VLOOKUP(A42,预留库存!A:F,6,0),0)</f>
        <v>0</v>
      </c>
      <c r="J42">
        <f>IFERROR(VLOOKUP(A42,库龄!B:K,9,0),0)</f>
        <v>2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2</v>
      </c>
    </row>
    <row r="43" spans="1:14">
      <c r="A43" s="3" t="s">
        <v>197</v>
      </c>
      <c r="B43">
        <f>IFERROR(VLOOKUP(A43,管理亚马逊库存!A:K,11,0),"")</f>
        <v>4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0</v>
      </c>
      <c r="I43">
        <f>IFERROR(VLOOKUP(A43,预留库存!A:F,6,0),0)</f>
        <v>0</v>
      </c>
      <c r="J43">
        <f>IFERROR(VLOOKUP(A43,库龄!B:K,9,0),0)</f>
        <v>4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4</v>
      </c>
    </row>
    <row r="44" spans="1:14">
      <c r="A44" s="3" t="s">
        <v>200</v>
      </c>
      <c r="B44">
        <f>IFERROR(VLOOKUP(A44,管理亚马逊库存!A:K,11,0),"")</f>
        <v>5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0</v>
      </c>
      <c r="I44">
        <f>IFERROR(VLOOKUP(A44,预留库存!A:F,6,0),0)</f>
        <v>0</v>
      </c>
      <c r="J44">
        <f>IFERROR(VLOOKUP(A44,库龄!B:K,9,0),0)</f>
        <v>0</v>
      </c>
      <c r="K44">
        <f>IFERROR(VLOOKUP(A44,库龄!B:L,10,0),0)</f>
        <v>4</v>
      </c>
      <c r="L44">
        <f>IFERROR(VLOOKUP(A44,库龄!B:M,11,0),0)</f>
        <v>1</v>
      </c>
      <c r="M44">
        <f>IFERROR(VLOOKUP(A44,库龄!B:N,12,0),0)</f>
        <v>0</v>
      </c>
      <c r="N44">
        <f t="shared" si="2"/>
        <v>5</v>
      </c>
    </row>
    <row r="45" spans="1:14">
      <c r="A45" s="3" t="s">
        <v>204</v>
      </c>
      <c r="B45">
        <f>IFERROR(VLOOKUP(A45,管理亚马逊库存!A:K,11,0),"")</f>
        <v>6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0</v>
      </c>
      <c r="I45">
        <f>IFERROR(VLOOKUP(A45,预留库存!A:F,6,0),0)</f>
        <v>0</v>
      </c>
      <c r="J45">
        <f>IFERROR(VLOOKUP(A45,库龄!B:K,9,0),0)</f>
        <v>0</v>
      </c>
      <c r="K45">
        <f>IFERROR(VLOOKUP(A45,库龄!B:L,10,0),0)</f>
        <v>1</v>
      </c>
      <c r="L45">
        <f>IFERROR(VLOOKUP(A45,库龄!B:M,11,0),0)</f>
        <v>5</v>
      </c>
      <c r="M45">
        <f>IFERROR(VLOOKUP(A45,库龄!B:N,12,0),0)</f>
        <v>0</v>
      </c>
      <c r="N45">
        <f t="shared" si="2"/>
        <v>6</v>
      </c>
    </row>
    <row r="46" spans="1:14">
      <c r="A46" s="3" t="s">
        <v>210</v>
      </c>
      <c r="B46">
        <f>IFERROR(VLOOKUP(A46,管理亚马逊库存!A:K,11,0),"")</f>
        <v>6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0</v>
      </c>
      <c r="I46">
        <f>IFERROR(VLOOKUP(A46,预留库存!A:F,6,0),0)</f>
        <v>0</v>
      </c>
      <c r="J46">
        <f>IFERROR(VLOOKUP(A46,库龄!B:K,9,0),0)</f>
        <v>0</v>
      </c>
      <c r="K46">
        <f>IFERROR(VLOOKUP(A46,库龄!B:L,10,0),0)</f>
        <v>4</v>
      </c>
      <c r="L46">
        <f>IFERROR(VLOOKUP(A46,库龄!B:M,11,0),0)</f>
        <v>2</v>
      </c>
      <c r="M46">
        <f>IFERROR(VLOOKUP(A46,库龄!B:N,12,0),0)</f>
        <v>0</v>
      </c>
      <c r="N46">
        <f t="shared" si="2"/>
        <v>6</v>
      </c>
    </row>
    <row r="47" spans="1:14">
      <c r="A47" s="3" t="s">
        <v>213</v>
      </c>
      <c r="B47">
        <f>IFERROR(VLOOKUP(A47,管理亚马逊库存!A:K,11,0),"")</f>
        <v>13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0</v>
      </c>
      <c r="H47">
        <f>IFERROR(VLOOKUP(A47,预留库存!A:H,8,0),0)</f>
        <v>0</v>
      </c>
      <c r="I47">
        <f>IFERROR(VLOOKUP(A47,预留库存!A:F,6,0),0)</f>
        <v>0</v>
      </c>
      <c r="J47">
        <f>IFERROR(VLOOKUP(A47,库龄!B:K,9,0),0)</f>
        <v>13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13</v>
      </c>
    </row>
    <row r="48" spans="1:14">
      <c r="A48" s="3" t="s">
        <v>217</v>
      </c>
      <c r="B48">
        <f>IFERROR(VLOOKUP(A48,管理亚马逊库存!A:K,11,0),"")</f>
        <v>18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0</v>
      </c>
      <c r="I48">
        <f>IFERROR(VLOOKUP(A48,预留库存!A:F,6,0),0)</f>
        <v>0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18</v>
      </c>
      <c r="M48">
        <f>IFERROR(VLOOKUP(A48,库龄!B:N,12,0),0)</f>
        <v>0</v>
      </c>
      <c r="N48">
        <f t="shared" si="2"/>
        <v>18</v>
      </c>
    </row>
    <row r="49" spans="1:14">
      <c r="A49" s="3" t="s">
        <v>220</v>
      </c>
      <c r="B49">
        <f>IFERROR(VLOOKUP(A49,管理亚马逊库存!A:K,11,0),"")</f>
        <v>4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0</v>
      </c>
      <c r="I49">
        <f>IFERROR(VLOOKUP(A49,预留库存!A:F,6,0),0)</f>
        <v>0</v>
      </c>
      <c r="J49">
        <f>IFERROR(VLOOKUP(A49,库龄!B:K,9,0),0)</f>
        <v>4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4</v>
      </c>
    </row>
    <row r="50" spans="1:14">
      <c r="A50" s="3" t="s">
        <v>223</v>
      </c>
      <c r="B50">
        <f>IFERROR(VLOOKUP(A50,管理亚马逊库存!A:K,11,0),"")</f>
        <v>1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0</v>
      </c>
      <c r="I50">
        <f>IFERROR(VLOOKUP(A50,预留库存!A:F,6,0),0)</f>
        <v>0</v>
      </c>
      <c r="J50">
        <f>IFERROR(VLOOKUP(A50,库龄!B:K,9,0),0)</f>
        <v>1</v>
      </c>
      <c r="K50">
        <f>IFERROR(VLOOKUP(A50,库龄!B:L,10,0),0)</f>
        <v>1</v>
      </c>
      <c r="L50">
        <f>IFERROR(VLOOKUP(A50,库龄!B:M,11,0),0)</f>
        <v>0</v>
      </c>
      <c r="M50">
        <f>IFERROR(VLOOKUP(A50,库龄!B:N,12,0),0)</f>
        <v>0</v>
      </c>
      <c r="N50">
        <f t="shared" si="2"/>
        <v>2</v>
      </c>
    </row>
    <row r="51" spans="1:14">
      <c r="A51" s="3" t="s">
        <v>227</v>
      </c>
      <c r="B51">
        <f>IFERROR(VLOOKUP(A51,管理亚马逊库存!A:K,11,0),"")</f>
        <v>15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0</v>
      </c>
      <c r="I51">
        <f>IFERROR(VLOOKUP(A51,预留库存!A:F,6,0),0)</f>
        <v>0</v>
      </c>
      <c r="J51">
        <f>IFERROR(VLOOKUP(A51,库龄!B:K,9,0),0)</f>
        <v>0</v>
      </c>
      <c r="K51">
        <f>IFERROR(VLOOKUP(A51,库龄!B:L,10,0),0)</f>
        <v>0</v>
      </c>
      <c r="L51">
        <f>IFERROR(VLOOKUP(A51,库龄!B:M,11,0),0)</f>
        <v>14</v>
      </c>
      <c r="M51">
        <f>IFERROR(VLOOKUP(A51,库龄!B:N,12,0),0)</f>
        <v>0</v>
      </c>
      <c r="N51">
        <f t="shared" si="2"/>
        <v>14</v>
      </c>
    </row>
    <row r="52" spans="1:14">
      <c r="A52" s="3" t="s">
        <v>231</v>
      </c>
      <c r="B52">
        <f>IFERROR(VLOOKUP(A52,管理亚马逊库存!A:K,11,0),"")</f>
        <v>6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0</v>
      </c>
      <c r="I52">
        <f>IFERROR(VLOOKUP(A52,预留库存!A:F,6,0),0)</f>
        <v>0</v>
      </c>
      <c r="J52">
        <f>IFERROR(VLOOKUP(A52,库龄!B:K,9,0),0)</f>
        <v>0</v>
      </c>
      <c r="K52">
        <f>IFERROR(VLOOKUP(A52,库龄!B:L,10,0),0)</f>
        <v>4</v>
      </c>
      <c r="L52">
        <f>IFERROR(VLOOKUP(A52,库龄!B:M,11,0),0)</f>
        <v>2</v>
      </c>
      <c r="M52">
        <f>IFERROR(VLOOKUP(A52,库龄!B:N,12,0),0)</f>
        <v>0</v>
      </c>
      <c r="N52">
        <f t="shared" si="2"/>
        <v>6</v>
      </c>
    </row>
    <row r="53" spans="1:14">
      <c r="A53" s="3" t="s">
        <v>233</v>
      </c>
      <c r="B53">
        <f>IFERROR(VLOOKUP(A53,管理亚马逊库存!A:K,11,0),"")</f>
        <v>17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0</v>
      </c>
      <c r="I53">
        <f>IFERROR(VLOOKUP(A53,预留库存!A:F,6,0),0)</f>
        <v>0</v>
      </c>
      <c r="J53">
        <f>IFERROR(VLOOKUP(A53,库龄!B:K,9,0),0)</f>
        <v>0</v>
      </c>
      <c r="K53">
        <f>IFERROR(VLOOKUP(A53,库龄!B:L,10,0),0)</f>
        <v>0</v>
      </c>
      <c r="L53">
        <f>IFERROR(VLOOKUP(A53,库龄!B:M,11,0),0)</f>
        <v>17</v>
      </c>
      <c r="M53">
        <f>IFERROR(VLOOKUP(A53,库龄!B:N,12,0),0)</f>
        <v>0</v>
      </c>
      <c r="N53">
        <f t="shared" si="2"/>
        <v>17</v>
      </c>
    </row>
    <row r="54" spans="1:14">
      <c r="A54" s="3" t="s">
        <v>236</v>
      </c>
      <c r="B54">
        <f>IFERROR(VLOOKUP(A54,管理亚马逊库存!A:K,11,0),"")</f>
        <v>1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0</v>
      </c>
      <c r="I54">
        <f>IFERROR(VLOOKUP(A54,预留库存!A:F,6,0),0)</f>
        <v>0</v>
      </c>
      <c r="J54">
        <f>IFERROR(VLOOKUP(A54,库龄!B:K,9,0),0)</f>
        <v>0</v>
      </c>
      <c r="K54">
        <f>IFERROR(VLOOKUP(A54,库龄!B:L,10,0),0)</f>
        <v>1</v>
      </c>
      <c r="L54">
        <f>IFERROR(VLOOKUP(A54,库龄!B:M,11,0),0)</f>
        <v>0</v>
      </c>
      <c r="M54">
        <f>IFERROR(VLOOKUP(A54,库龄!B:N,12,0),0)</f>
        <v>0</v>
      </c>
      <c r="N54">
        <f t="shared" si="2"/>
        <v>1</v>
      </c>
    </row>
    <row r="55" spans="1:14">
      <c r="A55" s="3" t="s">
        <v>238</v>
      </c>
      <c r="B55">
        <f>IFERROR(VLOOKUP(A55,管理亚马逊库存!A:K,11,0),"")</f>
        <v>4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0</v>
      </c>
      <c r="I55">
        <f>IFERROR(VLOOKUP(A55,预留库存!A:F,6,0),0)</f>
        <v>0</v>
      </c>
      <c r="J55">
        <f>IFERROR(VLOOKUP(A55,库龄!B:K,9,0),0)</f>
        <v>0</v>
      </c>
      <c r="K55">
        <f>IFERROR(VLOOKUP(A55,库龄!B:L,10,0),0)</f>
        <v>4</v>
      </c>
      <c r="L55">
        <f>IFERROR(VLOOKUP(A55,库龄!B:M,11,0),0)</f>
        <v>0</v>
      </c>
      <c r="M55">
        <f>IFERROR(VLOOKUP(A55,库龄!B:N,12,0),0)</f>
        <v>0</v>
      </c>
      <c r="N55">
        <f t="shared" si="2"/>
        <v>4</v>
      </c>
    </row>
    <row r="56" spans="1:14">
      <c r="A56" s="3" t="s">
        <v>242</v>
      </c>
      <c r="B56">
        <f>IFERROR(VLOOKUP(A56,管理亚马逊库存!A:K,11,0),"")</f>
        <v>18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0</v>
      </c>
      <c r="I56">
        <f>IFERROR(VLOOKUP(A56,预留库存!A:F,6,0),0)</f>
        <v>0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18</v>
      </c>
      <c r="M56">
        <f>IFERROR(VLOOKUP(A56,库龄!B:N,12,0),0)</f>
        <v>0</v>
      </c>
      <c r="N56">
        <f t="shared" si="2"/>
        <v>18</v>
      </c>
    </row>
    <row r="57" spans="1:14">
      <c r="A57" s="3" t="s">
        <v>245</v>
      </c>
      <c r="B57">
        <f>IFERROR(VLOOKUP(A57,管理亚马逊库存!A:K,11,0),"")</f>
        <v>2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0</v>
      </c>
      <c r="I57">
        <f>IFERROR(VLOOKUP(A57,预留库存!A:F,6,0),0)</f>
        <v>0</v>
      </c>
      <c r="J57">
        <f>IFERROR(VLOOKUP(A57,库龄!B:K,9,0),0)</f>
        <v>0</v>
      </c>
      <c r="K57">
        <f>IFERROR(VLOOKUP(A57,库龄!B:L,10,0),0)</f>
        <v>2</v>
      </c>
      <c r="L57">
        <f>IFERROR(VLOOKUP(A57,库龄!B:M,11,0),0)</f>
        <v>0</v>
      </c>
      <c r="M57">
        <f>IFERROR(VLOOKUP(A57,库龄!B:N,12,0),0)</f>
        <v>0</v>
      </c>
      <c r="N57">
        <f t="shared" si="2"/>
        <v>2</v>
      </c>
    </row>
    <row r="58" spans="1:14">
      <c r="A58" s="3" t="s">
        <v>247</v>
      </c>
      <c r="B58">
        <f>IFERROR(VLOOKUP(A58,管理亚马逊库存!A:K,11,0),"")</f>
        <v>3</v>
      </c>
      <c r="C58">
        <f>IFERROR(VLOOKUP(A58,管理亚马逊库存!A:L,12,0),"")</f>
        <v>0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0</v>
      </c>
      <c r="I58">
        <f>IFERROR(VLOOKUP(A58,预留库存!A:F,6,0),0)</f>
        <v>0</v>
      </c>
      <c r="J58">
        <f>IFERROR(VLOOKUP(A58,库龄!B:K,9,0),0)</f>
        <v>3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3</v>
      </c>
    </row>
    <row r="59" spans="1:14">
      <c r="A59" s="3" t="s">
        <v>251</v>
      </c>
      <c r="B59">
        <f>IFERROR(VLOOKUP(A59,管理亚马逊库存!A:K,11,0),"")</f>
        <v>3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0</v>
      </c>
      <c r="I59">
        <f>IFERROR(VLOOKUP(A59,预留库存!A:F,6,0),0)</f>
        <v>0</v>
      </c>
      <c r="J59">
        <f>IFERROR(VLOOKUP(A59,库龄!B:K,9,0),0)</f>
        <v>0</v>
      </c>
      <c r="K59">
        <f>IFERROR(VLOOKUP(A59,库龄!B:L,10,0),0)</f>
        <v>3</v>
      </c>
      <c r="L59">
        <f>IFERROR(VLOOKUP(A59,库龄!B:M,11,0),0)</f>
        <v>0</v>
      </c>
      <c r="M59">
        <f>IFERROR(VLOOKUP(A59,库龄!B:N,12,0),0)</f>
        <v>0</v>
      </c>
      <c r="N59">
        <f t="shared" si="2"/>
        <v>3</v>
      </c>
    </row>
    <row r="60" spans="1:14">
      <c r="A60" s="3" t="s">
        <v>254</v>
      </c>
      <c r="B60">
        <f>IFERROR(VLOOKUP(A60,管理亚马逊库存!A:K,11,0),"")</f>
        <v>4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0</v>
      </c>
      <c r="I60">
        <f>IFERROR(VLOOKUP(A60,预留库存!A:F,6,0),0)</f>
        <v>0</v>
      </c>
      <c r="J60">
        <f>IFERROR(VLOOKUP(A60,库龄!B:K,9,0),0)</f>
        <v>4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4</v>
      </c>
    </row>
    <row r="61" spans="1:14">
      <c r="A61" s="3" t="s">
        <v>257</v>
      </c>
      <c r="B61">
        <f>IFERROR(VLOOKUP(A61,管理亚马逊库存!A:K,11,0),"")</f>
        <v>3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0</v>
      </c>
      <c r="I61">
        <f>IFERROR(VLOOKUP(A61,预留库存!A:F,6,0),0)</f>
        <v>0</v>
      </c>
      <c r="J61">
        <f>IFERROR(VLOOKUP(A61,库龄!B:K,9,0),0)</f>
        <v>3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3</v>
      </c>
    </row>
    <row r="62" spans="1:14">
      <c r="A62" s="3" t="s">
        <v>260</v>
      </c>
      <c r="B62">
        <f>IFERROR(VLOOKUP(A62,管理亚马逊库存!A:K,11,0),"")</f>
        <v>4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0</v>
      </c>
      <c r="I62">
        <f>IFERROR(VLOOKUP(A62,预留库存!A:F,6,0),0)</f>
        <v>0</v>
      </c>
      <c r="J62">
        <f>IFERROR(VLOOKUP(A62,库龄!B:K,9,0),0)</f>
        <v>4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4</v>
      </c>
    </row>
    <row r="63" spans="1:14">
      <c r="A63" s="3" t="s">
        <v>263</v>
      </c>
      <c r="B63">
        <f>IFERROR(VLOOKUP(A63,管理亚马逊库存!A:K,11,0),"")</f>
        <v>4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0</v>
      </c>
      <c r="I63">
        <f>IFERROR(VLOOKUP(A63,预留库存!A:F,6,0),0)</f>
        <v>0</v>
      </c>
      <c r="J63">
        <f>IFERROR(VLOOKUP(A63,库龄!B:K,9,0),0)</f>
        <v>4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4</v>
      </c>
    </row>
    <row r="64" spans="1:14">
      <c r="A64" s="3" t="s">
        <v>266</v>
      </c>
      <c r="B64">
        <f>IFERROR(VLOOKUP(A64,管理亚马逊库存!A:K,11,0),"")</f>
        <v>3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0</v>
      </c>
      <c r="I64">
        <f>IFERROR(VLOOKUP(A64,预留库存!A:F,6,0),0)</f>
        <v>0</v>
      </c>
      <c r="J64">
        <f>IFERROR(VLOOKUP(A64,库龄!B:K,9,0),0)</f>
        <v>0</v>
      </c>
      <c r="K64">
        <f>IFERROR(VLOOKUP(A64,库龄!B:L,10,0),0)</f>
        <v>0</v>
      </c>
      <c r="L64">
        <f>IFERROR(VLOOKUP(A64,库龄!B:M,11,0),0)</f>
        <v>0</v>
      </c>
      <c r="M64">
        <f>IFERROR(VLOOKUP(A64,库龄!B:N,12,0),0)</f>
        <v>0</v>
      </c>
      <c r="N64">
        <f t="shared" si="2"/>
        <v>0</v>
      </c>
    </row>
    <row r="65" spans="1:14">
      <c r="A65" s="3" t="s">
        <v>269</v>
      </c>
      <c r="B65">
        <f>IFERROR(VLOOKUP(A65,管理亚马逊库存!A:K,11,0),"")</f>
        <v>5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0</v>
      </c>
      <c r="J65">
        <f>IFERROR(VLOOKUP(A65,库龄!B:K,9,0),0)</f>
        <v>5</v>
      </c>
      <c r="K65">
        <f>IFERROR(VLOOKUP(A65,库龄!B:L,10,0),0)</f>
        <v>0</v>
      </c>
      <c r="L65">
        <f>IFERROR(VLOOKUP(A65,库龄!B:M,11,0),0)</f>
        <v>0</v>
      </c>
      <c r="M65">
        <f>IFERROR(VLOOKUP(A65,库龄!B:N,12,0),0)</f>
        <v>0</v>
      </c>
      <c r="N65">
        <f t="shared" si="2"/>
        <v>5</v>
      </c>
    </row>
    <row r="66" spans="1:14">
      <c r="A66" s="3" t="s">
        <v>273</v>
      </c>
      <c r="B66">
        <f>IFERROR(VLOOKUP(A66,管理亚马逊库存!A:K,11,0),"")</f>
        <v>7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0</v>
      </c>
      <c r="I66">
        <f>IFERROR(VLOOKUP(A66,预留库存!A:F,6,0),0)</f>
        <v>0</v>
      </c>
      <c r="J66">
        <f>IFERROR(VLOOKUP(A66,库龄!B:K,9,0),0)</f>
        <v>0</v>
      </c>
      <c r="K66">
        <f>IFERROR(VLOOKUP(A66,库龄!B:L,10,0),0)</f>
        <v>4</v>
      </c>
      <c r="L66">
        <f>IFERROR(VLOOKUP(A66,库龄!B:M,11,0),0)</f>
        <v>2</v>
      </c>
      <c r="M66">
        <f>IFERROR(VLOOKUP(A66,库龄!B:N,12,0),0)</f>
        <v>0</v>
      </c>
      <c r="N66">
        <f t="shared" si="2"/>
        <v>6</v>
      </c>
    </row>
    <row r="67" spans="1:14">
      <c r="A67" s="3" t="s">
        <v>277</v>
      </c>
      <c r="B67">
        <f>IFERROR(VLOOKUP(A67,管理亚马逊库存!A:K,11,0),"")</f>
        <v>7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0</v>
      </c>
      <c r="I67">
        <f>IFERROR(VLOOKUP(A67,预留库存!A:F,6,0),0)</f>
        <v>0</v>
      </c>
      <c r="J67">
        <f>IFERROR(VLOOKUP(A67,库龄!B:K,9,0),0)</f>
        <v>0</v>
      </c>
      <c r="K67">
        <f>IFERROR(VLOOKUP(A67,库龄!B:L,10,0),0)</f>
        <v>1</v>
      </c>
      <c r="L67">
        <f>IFERROR(VLOOKUP(A67,库龄!B:M,11,0),0)</f>
        <v>5</v>
      </c>
      <c r="M67">
        <f>IFERROR(VLOOKUP(A67,库龄!B:N,12,0),0)</f>
        <v>0</v>
      </c>
      <c r="N67">
        <f t="shared" ref="N67:N130" si="4">SUM(J67:M67)</f>
        <v>6</v>
      </c>
    </row>
    <row r="68" spans="1:14">
      <c r="A68" s="3" t="s">
        <v>280</v>
      </c>
      <c r="B68">
        <f>IFERROR(VLOOKUP(A68,管理亚马逊库存!A:K,11,0),"")</f>
        <v>8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0</v>
      </c>
      <c r="I68">
        <f>IFERROR(VLOOKUP(A68,预留库存!A:F,6,0),0)</f>
        <v>0</v>
      </c>
      <c r="J68">
        <f>IFERROR(VLOOKUP(A68,库龄!B:K,9,0),0)</f>
        <v>7</v>
      </c>
      <c r="K68">
        <f>IFERROR(VLOOKUP(A68,库龄!B:L,10,0),0)</f>
        <v>1</v>
      </c>
      <c r="L68">
        <f>IFERROR(VLOOKUP(A68,库龄!B:M,11,0),0)</f>
        <v>0</v>
      </c>
      <c r="M68">
        <f>IFERROR(VLOOKUP(A68,库龄!B:N,12,0),0)</f>
        <v>0</v>
      </c>
      <c r="N68">
        <f t="shared" si="4"/>
        <v>8</v>
      </c>
    </row>
    <row r="69" spans="1:14">
      <c r="A69" s="3" t="s">
        <v>284</v>
      </c>
      <c r="B69">
        <f>IFERROR(VLOOKUP(A69,管理亚马逊库存!A:K,11,0),"")</f>
        <v>3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0</v>
      </c>
      <c r="I69">
        <f>IFERROR(VLOOKUP(A69,预留库存!A:F,6,0),0)</f>
        <v>0</v>
      </c>
      <c r="J69">
        <f>IFERROR(VLOOKUP(A69,库龄!B:K,9,0),0)</f>
        <v>3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3</v>
      </c>
    </row>
    <row r="70" spans="1:14">
      <c r="A70" s="3" t="s">
        <v>287</v>
      </c>
      <c r="B70">
        <f>IFERROR(VLOOKUP(A70,管理亚马逊库存!A:K,11,0),"")</f>
        <v>16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0</v>
      </c>
      <c r="I70">
        <f>IFERROR(VLOOKUP(A70,预留库存!A:F,6,0),0)</f>
        <v>0</v>
      </c>
      <c r="J70">
        <f>IFERROR(VLOOKUP(A70,库龄!B:K,9,0),0)</f>
        <v>1</v>
      </c>
      <c r="K70">
        <f>IFERROR(VLOOKUP(A70,库龄!B:L,10,0),0)</f>
        <v>0</v>
      </c>
      <c r="L70">
        <f>IFERROR(VLOOKUP(A70,库龄!B:M,11,0),0)</f>
        <v>15</v>
      </c>
      <c r="M70">
        <f>IFERROR(VLOOKUP(A70,库龄!B:N,12,0),0)</f>
        <v>0</v>
      </c>
      <c r="N70">
        <f t="shared" si="4"/>
        <v>16</v>
      </c>
    </row>
    <row r="71" spans="1:14">
      <c r="A71" s="3" t="s">
        <v>290</v>
      </c>
      <c r="B71">
        <f>IFERROR(VLOOKUP(A71,管理亚马逊库存!A:K,11,0),"")</f>
        <v>2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0</v>
      </c>
      <c r="I71">
        <f>IFERROR(VLOOKUP(A71,预留库存!A:F,6,0),0)</f>
        <v>0</v>
      </c>
      <c r="J71">
        <f>IFERROR(VLOOKUP(A71,库龄!B:K,9,0),0)</f>
        <v>0</v>
      </c>
      <c r="K71">
        <f>IFERROR(VLOOKUP(A71,库龄!B:L,10,0),0)</f>
        <v>2</v>
      </c>
      <c r="L71">
        <f>IFERROR(VLOOKUP(A71,库龄!B:M,11,0),0)</f>
        <v>0</v>
      </c>
      <c r="M71">
        <f>IFERROR(VLOOKUP(A71,库龄!B:N,12,0),0)</f>
        <v>0</v>
      </c>
      <c r="N71">
        <f t="shared" si="4"/>
        <v>2</v>
      </c>
    </row>
    <row r="72" spans="1:14">
      <c r="A72" s="3" t="s">
        <v>293</v>
      </c>
      <c r="B72">
        <f>IFERROR(VLOOKUP(A72,管理亚马逊库存!A:K,11,0),"")</f>
        <v>5</v>
      </c>
      <c r="C72">
        <f>IFERROR(VLOOKUP(A72,管理亚马逊库存!A:L,12,0),"")</f>
        <v>0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0</v>
      </c>
      <c r="I72">
        <f>IFERROR(VLOOKUP(A72,预留库存!A:F,6,0),0)</f>
        <v>0</v>
      </c>
      <c r="J72">
        <f>IFERROR(VLOOKUP(A72,库龄!B:K,9,0),0)</f>
        <v>0</v>
      </c>
      <c r="K72">
        <f>IFERROR(VLOOKUP(A72,库龄!B:L,10,0),0)</f>
        <v>5</v>
      </c>
      <c r="L72">
        <f>IFERROR(VLOOKUP(A72,库龄!B:M,11,0),0)</f>
        <v>0</v>
      </c>
      <c r="M72">
        <f>IFERROR(VLOOKUP(A72,库龄!B:N,12,0),0)</f>
        <v>0</v>
      </c>
      <c r="N72">
        <f t="shared" si="4"/>
        <v>5</v>
      </c>
    </row>
    <row r="73" spans="1:14">
      <c r="A73" s="3" t="s">
        <v>296</v>
      </c>
      <c r="B73">
        <f>IFERROR(VLOOKUP(A73,管理亚马逊库存!A:K,11,0),"")</f>
        <v>5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0</v>
      </c>
      <c r="I73">
        <f>IFERROR(VLOOKUP(A73,预留库存!A:F,6,0),0)</f>
        <v>0</v>
      </c>
      <c r="J73">
        <f>IFERROR(VLOOKUP(A73,库龄!B:K,9,0),0)</f>
        <v>0</v>
      </c>
      <c r="K73">
        <f>IFERROR(VLOOKUP(A73,库龄!B:L,10,0),0)</f>
        <v>4</v>
      </c>
      <c r="L73">
        <f>IFERROR(VLOOKUP(A73,库龄!B:M,11,0),0)</f>
        <v>0</v>
      </c>
      <c r="M73">
        <f>IFERROR(VLOOKUP(A73,库龄!B:N,12,0),0)</f>
        <v>0</v>
      </c>
      <c r="N73">
        <f t="shared" si="4"/>
        <v>4</v>
      </c>
    </row>
    <row r="74" spans="1:14">
      <c r="A74" s="3" t="s">
        <v>298</v>
      </c>
      <c r="B74">
        <f>IFERROR(VLOOKUP(A74,管理亚马逊库存!A:K,11,0),"")</f>
        <v>3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0</v>
      </c>
      <c r="I74">
        <f>IFERROR(VLOOKUP(A74,预留库存!A:F,6,0),0)</f>
        <v>0</v>
      </c>
      <c r="J74">
        <f>IFERROR(VLOOKUP(A74,库龄!B:K,9,0),0)</f>
        <v>0</v>
      </c>
      <c r="K74">
        <f>IFERROR(VLOOKUP(A74,库龄!B:L,10,0),0)</f>
        <v>3</v>
      </c>
      <c r="L74">
        <f>IFERROR(VLOOKUP(A74,库龄!B:M,11,0),0)</f>
        <v>0</v>
      </c>
      <c r="M74">
        <f>IFERROR(VLOOKUP(A74,库龄!B:N,12,0),0)</f>
        <v>0</v>
      </c>
      <c r="N74">
        <f t="shared" si="4"/>
        <v>3</v>
      </c>
    </row>
    <row r="75" spans="1:14">
      <c r="A75" s="3" t="s">
        <v>300</v>
      </c>
      <c r="B75">
        <f>IFERROR(VLOOKUP(A75,管理亚马逊库存!A:K,11,0),"")</f>
        <v>10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0</v>
      </c>
      <c r="I75">
        <f>IFERROR(VLOOKUP(A75,预留库存!A:F,6,0),0)</f>
        <v>0</v>
      </c>
      <c r="J75">
        <f>IFERROR(VLOOKUP(A75,库龄!B:K,9,0),0)</f>
        <v>0</v>
      </c>
      <c r="K75">
        <f>IFERROR(VLOOKUP(A75,库龄!B:L,10,0),0)</f>
        <v>0</v>
      </c>
      <c r="L75">
        <f>IFERROR(VLOOKUP(A75,库龄!B:M,11,0),0)</f>
        <v>10</v>
      </c>
      <c r="M75">
        <f>IFERROR(VLOOKUP(A75,库龄!B:N,12,0),0)</f>
        <v>0</v>
      </c>
      <c r="N75">
        <f t="shared" si="4"/>
        <v>10</v>
      </c>
    </row>
    <row r="76" spans="1:14">
      <c r="A76" s="3" t="s">
        <v>303</v>
      </c>
      <c r="B76">
        <f>IFERROR(VLOOKUP(A76,管理亚马逊库存!A:K,11,0),"")</f>
        <v>4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0</v>
      </c>
      <c r="I76">
        <f>IFERROR(VLOOKUP(A76,预留库存!A:F,6,0),0)</f>
        <v>0</v>
      </c>
      <c r="J76">
        <f>IFERROR(VLOOKUP(A76,库龄!B:K,9,0),0)</f>
        <v>4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4</v>
      </c>
    </row>
    <row r="77" spans="1:14">
      <c r="A77" s="3" t="s">
        <v>306</v>
      </c>
      <c r="B77">
        <f>IFERROR(VLOOKUP(A77,管理亚马逊库存!A:K,11,0),"")</f>
        <v>14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0</v>
      </c>
      <c r="I77">
        <f>IFERROR(VLOOKUP(A77,预留库存!A:F,6,0),0)</f>
        <v>0</v>
      </c>
      <c r="J77">
        <f>IFERROR(VLOOKUP(A77,库龄!B:K,9,0),0)</f>
        <v>0</v>
      </c>
      <c r="K77">
        <f>IFERROR(VLOOKUP(A77,库龄!B:L,10,0),0)</f>
        <v>0</v>
      </c>
      <c r="L77">
        <f>IFERROR(VLOOKUP(A77,库龄!B:M,11,0),0)</f>
        <v>14</v>
      </c>
      <c r="M77">
        <f>IFERROR(VLOOKUP(A77,库龄!B:N,12,0),0)</f>
        <v>0</v>
      </c>
      <c r="N77">
        <f t="shared" si="4"/>
        <v>14</v>
      </c>
    </row>
    <row r="78" spans="1:14">
      <c r="A78" s="3" t="s">
        <v>309</v>
      </c>
      <c r="B78">
        <f>IFERROR(VLOOKUP(A78,管理亚马逊库存!A:K,11,0),"")</f>
        <v>4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0</v>
      </c>
      <c r="I78">
        <f>IFERROR(VLOOKUP(A78,预留库存!A:F,6,0),0)</f>
        <v>0</v>
      </c>
      <c r="J78">
        <f>IFERROR(VLOOKUP(A78,库龄!B:K,9,0),0)</f>
        <v>4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4</v>
      </c>
    </row>
    <row r="79" spans="1:14">
      <c r="A79" s="3" t="s">
        <v>312</v>
      </c>
      <c r="B79">
        <f>IFERROR(VLOOKUP(A79,管理亚马逊库存!A:K,11,0),"")</f>
        <v>5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0</v>
      </c>
      <c r="J79">
        <f>IFERROR(VLOOKUP(A79,库龄!B:K,9,0),0)</f>
        <v>0</v>
      </c>
      <c r="K79">
        <f>IFERROR(VLOOKUP(A79,库龄!B:L,10,0),0)</f>
        <v>4</v>
      </c>
      <c r="L79">
        <f>IFERROR(VLOOKUP(A79,库龄!B:M,11,0),0)</f>
        <v>1</v>
      </c>
      <c r="M79">
        <f>IFERROR(VLOOKUP(A79,库龄!B:N,12,0),0)</f>
        <v>0</v>
      </c>
      <c r="N79">
        <f t="shared" si="4"/>
        <v>5</v>
      </c>
    </row>
    <row r="80" spans="1:14">
      <c r="A80" s="3" t="s">
        <v>316</v>
      </c>
      <c r="B80">
        <f>IFERROR(VLOOKUP(A80,管理亚马逊库存!A:K,11,0),"")</f>
        <v>2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IFERROR(VLOOKUP(A80,库龄!B:K,9,0),0)</f>
        <v>0</v>
      </c>
      <c r="K80">
        <f>IFERROR(VLOOKUP(A80,库龄!B:L,10,0),0)</f>
        <v>2</v>
      </c>
      <c r="L80">
        <f>IFERROR(VLOOKUP(A80,库龄!B:M,11,0),0)</f>
        <v>0</v>
      </c>
      <c r="M80">
        <f>IFERROR(VLOOKUP(A80,库龄!B:N,12,0),0)</f>
        <v>0</v>
      </c>
      <c r="N80">
        <f t="shared" si="4"/>
        <v>2</v>
      </c>
    </row>
    <row r="81" spans="1:14">
      <c r="A81" s="3" t="s">
        <v>318</v>
      </c>
      <c r="B81">
        <f>IFERROR(VLOOKUP(A81,管理亚马逊库存!A:K,11,0),"")</f>
        <v>4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0</v>
      </c>
      <c r="I81">
        <f>IFERROR(VLOOKUP(A81,预留库存!A:F,6,0),0)</f>
        <v>0</v>
      </c>
      <c r="J81">
        <f>IFERROR(VLOOKUP(A81,库龄!B:K,9,0),0)</f>
        <v>1</v>
      </c>
      <c r="K81">
        <f>IFERROR(VLOOKUP(A81,库龄!B:L,10,0),0)</f>
        <v>2</v>
      </c>
      <c r="L81">
        <f>IFERROR(VLOOKUP(A81,库龄!B:M,11,0),0)</f>
        <v>1</v>
      </c>
      <c r="M81">
        <f>IFERROR(VLOOKUP(A81,库龄!B:N,12,0),0)</f>
        <v>0</v>
      </c>
      <c r="N81">
        <f t="shared" si="4"/>
        <v>4</v>
      </c>
    </row>
    <row r="82" spans="1:14">
      <c r="A82" s="3" t="s">
        <v>321</v>
      </c>
      <c r="B82">
        <f>IFERROR(VLOOKUP(A82,管理亚马逊库存!A:K,11,0),"")</f>
        <v>5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0</v>
      </c>
      <c r="I82">
        <f>IFERROR(VLOOKUP(A82,预留库存!A:F,6,0),0)</f>
        <v>0</v>
      </c>
      <c r="J82">
        <f>IFERROR(VLOOKUP(A82,库龄!B:K,9,0),0)</f>
        <v>0</v>
      </c>
      <c r="K82">
        <f>IFERROR(VLOOKUP(A82,库龄!B:L,10,0),0)</f>
        <v>0</v>
      </c>
      <c r="L82">
        <f>IFERROR(VLOOKUP(A82,库龄!B:M,11,0),0)</f>
        <v>5</v>
      </c>
      <c r="M82">
        <f>IFERROR(VLOOKUP(A82,库龄!B:N,12,0),0)</f>
        <v>0</v>
      </c>
      <c r="N82">
        <f t="shared" si="4"/>
        <v>5</v>
      </c>
    </row>
    <row r="83" spans="1:14">
      <c r="A83" s="3" t="s">
        <v>325</v>
      </c>
      <c r="B83">
        <f>IFERROR(VLOOKUP(A83,管理亚马逊库存!A:K,11,0),"")</f>
        <v>13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0</v>
      </c>
      <c r="J83">
        <f>IFERROR(VLOOKUP(A83,库龄!B:K,9,0),0)</f>
        <v>0</v>
      </c>
      <c r="K83">
        <f>IFERROR(VLOOKUP(A83,库龄!B:L,10,0),0)</f>
        <v>1</v>
      </c>
      <c r="L83">
        <f>IFERROR(VLOOKUP(A83,库龄!B:M,11,0),0)</f>
        <v>12</v>
      </c>
      <c r="M83">
        <f>IFERROR(VLOOKUP(A83,库龄!B:N,12,0),0)</f>
        <v>0</v>
      </c>
      <c r="N83">
        <f t="shared" si="4"/>
        <v>13</v>
      </c>
    </row>
    <row r="84" spans="1:14">
      <c r="A84" s="3" t="s">
        <v>328</v>
      </c>
      <c r="B84">
        <f>IFERROR(VLOOKUP(A84,管理亚马逊库存!A:K,11,0),"")</f>
        <v>10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0</v>
      </c>
      <c r="J84">
        <f>IFERROR(VLOOKUP(A84,库龄!B:K,9,0),0)</f>
        <v>2</v>
      </c>
      <c r="K84">
        <f>IFERROR(VLOOKUP(A84,库龄!B:L,10,0),0)</f>
        <v>0</v>
      </c>
      <c r="L84">
        <f>IFERROR(VLOOKUP(A84,库龄!B:M,11,0),0)</f>
        <v>6</v>
      </c>
      <c r="M84">
        <f>IFERROR(VLOOKUP(A84,库龄!B:N,12,0),0)</f>
        <v>0</v>
      </c>
      <c r="N84">
        <f t="shared" si="4"/>
        <v>8</v>
      </c>
    </row>
    <row r="85" spans="1:14">
      <c r="A85" s="3" t="s">
        <v>331</v>
      </c>
      <c r="B85">
        <f>IFERROR(VLOOKUP(A85,管理亚马逊库存!A:K,11,0),"")</f>
        <v>2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0</v>
      </c>
      <c r="I85">
        <f>IFERROR(VLOOKUP(A85,预留库存!A:F,6,0),0)</f>
        <v>0</v>
      </c>
      <c r="J85">
        <f>IFERROR(VLOOKUP(A85,库龄!B:K,9,0),0)</f>
        <v>2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2</v>
      </c>
    </row>
    <row r="86" spans="1:14">
      <c r="A86" s="3" t="s">
        <v>334</v>
      </c>
      <c r="B86">
        <f>IFERROR(VLOOKUP(A86,管理亚马逊库存!A:K,11,0),"")</f>
        <v>3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0</v>
      </c>
      <c r="J86">
        <f>IFERROR(VLOOKUP(A86,库龄!B:K,9,0),0)</f>
        <v>0</v>
      </c>
      <c r="K86">
        <f>IFERROR(VLOOKUP(A86,库龄!B:L,10,0),0)</f>
        <v>3</v>
      </c>
      <c r="L86">
        <f>IFERROR(VLOOKUP(A86,库龄!B:M,11,0),0)</f>
        <v>0</v>
      </c>
      <c r="M86">
        <f>IFERROR(VLOOKUP(A86,库龄!B:N,12,0),0)</f>
        <v>0</v>
      </c>
      <c r="N86">
        <f t="shared" si="4"/>
        <v>3</v>
      </c>
    </row>
    <row r="87" spans="1:14">
      <c r="A87" s="3" t="s">
        <v>336</v>
      </c>
      <c r="B87">
        <f>IFERROR(VLOOKUP(A87,管理亚马逊库存!A:K,11,0),"")</f>
        <v>7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0</v>
      </c>
      <c r="I87">
        <f>IFERROR(VLOOKUP(A87,预留库存!A:F,6,0),0)</f>
        <v>0</v>
      </c>
      <c r="J87">
        <f>IFERROR(VLOOKUP(A87,库龄!B:K,9,0),0)</f>
        <v>0</v>
      </c>
      <c r="K87">
        <f>IFERROR(VLOOKUP(A87,库龄!B:L,10,0),0)</f>
        <v>4</v>
      </c>
      <c r="L87">
        <f>IFERROR(VLOOKUP(A87,库龄!B:M,11,0),0)</f>
        <v>3</v>
      </c>
      <c r="M87">
        <f>IFERROR(VLOOKUP(A87,库龄!B:N,12,0),0)</f>
        <v>0</v>
      </c>
      <c r="N87">
        <f t="shared" si="4"/>
        <v>7</v>
      </c>
    </row>
    <row r="88" spans="1:14">
      <c r="A88" s="3" t="s">
        <v>338</v>
      </c>
      <c r="B88">
        <f>IFERROR(VLOOKUP(A88,管理亚马逊库存!A:K,11,0),"")</f>
        <v>3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IFERROR(VLOOKUP(A88,库龄!B:K,9,0),0)</f>
        <v>0</v>
      </c>
      <c r="K88">
        <f>IFERROR(VLOOKUP(A88,库龄!B:L,10,0),0)</f>
        <v>3</v>
      </c>
      <c r="L88">
        <f>IFERROR(VLOOKUP(A88,库龄!B:M,11,0),0)</f>
        <v>0</v>
      </c>
      <c r="M88">
        <f>IFERROR(VLOOKUP(A88,库龄!B:N,12,0),0)</f>
        <v>0</v>
      </c>
      <c r="N88">
        <f t="shared" si="4"/>
        <v>3</v>
      </c>
    </row>
    <row r="89" spans="1:14">
      <c r="A89" s="3" t="s">
        <v>340</v>
      </c>
      <c r="B89">
        <f>IFERROR(VLOOKUP(A89,管理亚马逊库存!A:K,11,0),"")</f>
        <v>4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IFERROR(VLOOKUP(A89,库龄!B:K,9,0),0)</f>
        <v>4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4</v>
      </c>
    </row>
    <row r="90" spans="1:14">
      <c r="A90" s="3" t="s">
        <v>343</v>
      </c>
      <c r="B90">
        <f>IFERROR(VLOOKUP(A90,管理亚马逊库存!A:K,11,0),"")</f>
        <v>1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0</v>
      </c>
      <c r="J90">
        <f>IFERROR(VLOOKUP(A90,库龄!B:K,9,0),0)</f>
        <v>0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0</v>
      </c>
    </row>
    <row r="91" spans="1:14">
      <c r="A91" s="3" t="s">
        <v>346</v>
      </c>
      <c r="B91">
        <f>IFERROR(VLOOKUP(A91,管理亚马逊库存!A:K,11,0),"")</f>
        <v>4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0</v>
      </c>
      <c r="J91">
        <f>IFERROR(VLOOKUP(A91,库龄!B:K,9,0),0)</f>
        <v>0</v>
      </c>
      <c r="K91">
        <f>IFERROR(VLOOKUP(A91,库龄!B:L,10,0),0)</f>
        <v>4</v>
      </c>
      <c r="L91">
        <f>IFERROR(VLOOKUP(A91,库龄!B:M,11,0),0)</f>
        <v>0</v>
      </c>
      <c r="M91">
        <f>IFERROR(VLOOKUP(A91,库龄!B:N,12,0),0)</f>
        <v>0</v>
      </c>
      <c r="N91">
        <f t="shared" si="4"/>
        <v>4</v>
      </c>
    </row>
    <row r="92" spans="1:14">
      <c r="A92" s="3" t="s">
        <v>348</v>
      </c>
      <c r="B92">
        <f>IFERROR(VLOOKUP(A92,管理亚马逊库存!A:K,11,0),"")</f>
        <v>81</v>
      </c>
      <c r="C92">
        <f>IFERROR(VLOOKUP(A92,管理亚马逊库存!A:L,12,0),"")</f>
        <v>0</v>
      </c>
      <c r="D92">
        <f>IFERROR(VLOOKUP(A92,管理亚马逊库存!A:Q,17,0),"")</f>
        <v>45</v>
      </c>
      <c r="E92">
        <f>IFERROR(VLOOKUP(A92,管理亚马逊库存!A:R,18,0),"")</f>
        <v>0</v>
      </c>
      <c r="F92">
        <f t="shared" si="3"/>
        <v>45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IFERROR(VLOOKUP(A92,库龄!B:K,9,0),0)</f>
        <v>0</v>
      </c>
      <c r="K92">
        <f>IFERROR(VLOOKUP(A92,库龄!B:L,10,0),0)</f>
        <v>0</v>
      </c>
      <c r="L92">
        <f>IFERROR(VLOOKUP(A92,库龄!B:M,11,0),0)</f>
        <v>0</v>
      </c>
      <c r="M92">
        <f>IFERROR(VLOOKUP(A92,库龄!B:N,12,0),0)</f>
        <v>0</v>
      </c>
      <c r="N92">
        <f t="shared" si="4"/>
        <v>0</v>
      </c>
    </row>
    <row r="93" spans="1:14">
      <c r="A93" s="3" t="s">
        <v>353</v>
      </c>
      <c r="B93">
        <f>IFERROR(VLOOKUP(A93,管理亚马逊库存!A:K,11,0),"")</f>
        <v>3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0</v>
      </c>
      <c r="J93">
        <f>IFERROR(VLOOKUP(A93,库龄!B:K,9,0),0)</f>
        <v>0</v>
      </c>
      <c r="K93">
        <f>IFERROR(VLOOKUP(A93,库龄!B:L,10,0),0)</f>
        <v>3</v>
      </c>
      <c r="L93">
        <f>IFERROR(VLOOKUP(A93,库龄!B:M,11,0),0)</f>
        <v>0</v>
      </c>
      <c r="M93">
        <f>IFERROR(VLOOKUP(A93,库龄!B:N,12,0),0)</f>
        <v>0</v>
      </c>
      <c r="N93">
        <f t="shared" si="4"/>
        <v>3</v>
      </c>
    </row>
    <row r="94" spans="1:14">
      <c r="A94" s="3" t="s">
        <v>355</v>
      </c>
      <c r="B94">
        <f>IFERROR(VLOOKUP(A94,管理亚马逊库存!A:K,11,0),"")</f>
        <v>2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0</v>
      </c>
      <c r="J94">
        <f>IFERROR(VLOOKUP(A94,库龄!B:K,9,0),0)</f>
        <v>2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0</v>
      </c>
      <c r="N94">
        <f t="shared" si="4"/>
        <v>2</v>
      </c>
    </row>
    <row r="95" spans="1:14">
      <c r="A95" s="3" t="s">
        <v>357</v>
      </c>
      <c r="B95">
        <f>IFERROR(VLOOKUP(A95,管理亚马逊库存!A:K,11,0),"")</f>
        <v>1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0</v>
      </c>
      <c r="I95">
        <f>IFERROR(VLOOKUP(A95,预留库存!A:F,6,0),0)</f>
        <v>0</v>
      </c>
      <c r="J95">
        <f>IFERROR(VLOOKUP(A95,库龄!B:K,9,0),0)</f>
        <v>0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0</v>
      </c>
    </row>
    <row r="96" spans="1:14">
      <c r="A96" s="3" t="s">
        <v>361</v>
      </c>
      <c r="B96">
        <f>IFERROR(VLOOKUP(A96,管理亚马逊库存!A:K,11,0),"")</f>
        <v>3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0</v>
      </c>
      <c r="J96">
        <f>IFERROR(VLOOKUP(A96,库龄!B:K,9,0),0)</f>
        <v>1</v>
      </c>
      <c r="K96">
        <f>IFERROR(VLOOKUP(A96,库龄!B:L,10,0),0)</f>
        <v>2</v>
      </c>
      <c r="L96">
        <f>IFERROR(VLOOKUP(A96,库龄!B:M,11,0),0)</f>
        <v>0</v>
      </c>
      <c r="M96">
        <f>IFERROR(VLOOKUP(A96,库龄!B:N,12,0),0)</f>
        <v>0</v>
      </c>
      <c r="N96">
        <f t="shared" si="4"/>
        <v>3</v>
      </c>
    </row>
    <row r="97" spans="1:14">
      <c r="A97" s="3" t="s">
        <v>365</v>
      </c>
      <c r="B97">
        <f>IFERROR(VLOOKUP(A97,管理亚马逊库存!A:K,11,0),"")</f>
        <v>14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0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0</v>
      </c>
      <c r="L97">
        <f>IFERROR(VLOOKUP(A97,库龄!B:M,11,0),0)</f>
        <v>14</v>
      </c>
      <c r="M97">
        <f>IFERROR(VLOOKUP(A97,库龄!B:N,12,0),0)</f>
        <v>0</v>
      </c>
      <c r="N97">
        <f t="shared" si="4"/>
        <v>14</v>
      </c>
    </row>
    <row r="98" spans="1:14">
      <c r="A98" s="3" t="s">
        <v>368</v>
      </c>
      <c r="B98">
        <f>IFERROR(VLOOKUP(A98,管理亚马逊库存!A:K,11,0),"")</f>
        <v>9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0</v>
      </c>
      <c r="J98">
        <f>IFERROR(VLOOKUP(A98,库龄!B:K,9,0),0)</f>
        <v>0</v>
      </c>
      <c r="K98">
        <f>IFERROR(VLOOKUP(A98,库龄!B:L,10,0),0)</f>
        <v>0</v>
      </c>
      <c r="L98">
        <f>IFERROR(VLOOKUP(A98,库龄!B:M,11,0),0)</f>
        <v>9</v>
      </c>
      <c r="M98">
        <f>IFERROR(VLOOKUP(A98,库龄!B:N,12,0),0)</f>
        <v>0</v>
      </c>
      <c r="N98">
        <f t="shared" si="4"/>
        <v>9</v>
      </c>
    </row>
    <row r="99" spans="1:14">
      <c r="A99" s="3" t="s">
        <v>371</v>
      </c>
      <c r="B99">
        <f>IFERROR(VLOOKUP(A99,管理亚马逊库存!A:K,11,0),"")</f>
        <v>4</v>
      </c>
      <c r="C99">
        <f>IFERROR(VLOOKUP(A99,管理亚马逊库存!A:L,12,0),"")</f>
        <v>0</v>
      </c>
      <c r="D99">
        <f>IFERROR(VLOOKUP(A99,管理亚马逊库存!A:Q,17,0),"")</f>
        <v>32</v>
      </c>
      <c r="E99">
        <f>IFERROR(VLOOKUP(A99,管理亚马逊库存!A:R,18,0),"")</f>
        <v>0</v>
      </c>
      <c r="F99">
        <f t="shared" si="3"/>
        <v>32</v>
      </c>
      <c r="G99">
        <f>IFERROR(VLOOKUP(A99,预留库存!A:G,7,0),0)</f>
        <v>0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0</v>
      </c>
    </row>
    <row r="100" spans="1:14">
      <c r="A100" s="3" t="s">
        <v>376</v>
      </c>
      <c r="B100">
        <f>IFERROR(VLOOKUP(A100,管理亚马逊库存!A:K,11,0),"")</f>
        <v>1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0</v>
      </c>
      <c r="K100">
        <f>IFERROR(VLOOKUP(A100,库龄!B:L,10,0),0)</f>
        <v>0</v>
      </c>
      <c r="L100">
        <f>IFERROR(VLOOKUP(A100,库龄!B:M,11,0),0)</f>
        <v>1</v>
      </c>
      <c r="M100">
        <f>IFERROR(VLOOKUP(A100,库龄!B:N,12,0),0)</f>
        <v>0</v>
      </c>
      <c r="N100">
        <f t="shared" si="4"/>
        <v>1</v>
      </c>
    </row>
    <row r="101" spans="1:14">
      <c r="A101" s="3" t="s">
        <v>380</v>
      </c>
      <c r="B101">
        <f>IFERROR(VLOOKUP(A101,管理亚马逊库存!A:K,11,0),"")</f>
        <v>3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0</v>
      </c>
      <c r="K101">
        <f>IFERROR(VLOOKUP(A101,库龄!B:L,10,0),0)</f>
        <v>2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2</v>
      </c>
    </row>
    <row r="102" spans="1:14">
      <c r="A102" s="3" t="s">
        <v>383</v>
      </c>
      <c r="B102">
        <f>IFERROR(VLOOKUP(A102,管理亚马逊库存!A:K,11,0),"")</f>
        <v>2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0</v>
      </c>
      <c r="K102">
        <f>IFERROR(VLOOKUP(A102,库龄!B:L,10,0),0)</f>
        <v>1</v>
      </c>
      <c r="L102">
        <f>IFERROR(VLOOKUP(A102,库龄!B:M,11,0),0)</f>
        <v>1</v>
      </c>
      <c r="M102">
        <f>IFERROR(VLOOKUP(A102,库龄!B:N,12,0),0)</f>
        <v>0</v>
      </c>
      <c r="N102">
        <f t="shared" si="4"/>
        <v>2</v>
      </c>
    </row>
    <row r="103" spans="1:14">
      <c r="A103" s="3" t="s">
        <v>386</v>
      </c>
      <c r="B103">
        <f>IFERROR(VLOOKUP(A103,管理亚马逊库存!A:K,11,0),"")</f>
        <v>7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0</v>
      </c>
      <c r="K103">
        <f>IFERROR(VLOOKUP(A103,库龄!B:L,10,0),0)</f>
        <v>4</v>
      </c>
      <c r="L103">
        <f>IFERROR(VLOOKUP(A103,库龄!B:M,11,0),0)</f>
        <v>3</v>
      </c>
      <c r="M103">
        <f>IFERROR(VLOOKUP(A103,库龄!B:N,12,0),0)</f>
        <v>0</v>
      </c>
      <c r="N103">
        <f t="shared" si="4"/>
        <v>7</v>
      </c>
    </row>
    <row r="104" spans="1:14">
      <c r="A104" s="3" t="s">
        <v>388</v>
      </c>
      <c r="B104">
        <f>IFERROR(VLOOKUP(A104,管理亚马逊库存!A:K,11,0),"")</f>
        <v>4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0</v>
      </c>
      <c r="K104">
        <f>IFERROR(VLOOKUP(A104,库龄!B:L,10,0),0)</f>
        <v>3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3</v>
      </c>
    </row>
    <row r="105" spans="1:14">
      <c r="A105" s="3" t="s">
        <v>391</v>
      </c>
      <c r="B105">
        <f>IFERROR(VLOOKUP(A105,管理亚马逊库存!A:K,11,0),"")</f>
        <v>4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0</v>
      </c>
      <c r="K105">
        <f>IFERROR(VLOOKUP(A105,库龄!B:L,10,0),0)</f>
        <v>3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3</v>
      </c>
    </row>
    <row r="106" spans="1:14">
      <c r="A106" s="3" t="s">
        <v>394</v>
      </c>
      <c r="B106">
        <f>IFERROR(VLOOKUP(A106,管理亚马逊库存!A:K,11,0),"")</f>
        <v>16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0</v>
      </c>
      <c r="K106">
        <f>IFERROR(VLOOKUP(A106,库龄!B:L,10,0),0)</f>
        <v>0</v>
      </c>
      <c r="L106">
        <f>IFERROR(VLOOKUP(A106,库龄!B:M,11,0),0)</f>
        <v>16</v>
      </c>
      <c r="M106">
        <f>IFERROR(VLOOKUP(A106,库龄!B:N,12,0),0)</f>
        <v>0</v>
      </c>
      <c r="N106">
        <f t="shared" si="4"/>
        <v>16</v>
      </c>
    </row>
    <row r="107" spans="1:14">
      <c r="A107" s="3" t="s">
        <v>397</v>
      </c>
      <c r="B107">
        <f>IFERROR(VLOOKUP(A107,管理亚马逊库存!A:K,11,0),"")</f>
        <v>1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IFERROR(VLOOKUP(A107,库龄!B:K,9,0),0)</f>
        <v>0</v>
      </c>
      <c r="K107">
        <f>IFERROR(VLOOKUP(A107,库龄!B:L,10,0),0)</f>
        <v>1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1</v>
      </c>
    </row>
    <row r="108" spans="1:14">
      <c r="A108" s="3" t="s">
        <v>399</v>
      </c>
      <c r="B108">
        <f>IFERROR(VLOOKUP(A108,管理亚马逊库存!A:K,11,0),"")</f>
        <v>88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IFERROR(VLOOKUP(A108,库龄!B:K,9,0),0)</f>
        <v>0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0</v>
      </c>
    </row>
    <row r="109" spans="1:14">
      <c r="A109" s="3" t="s">
        <v>404</v>
      </c>
      <c r="B109">
        <f>IFERROR(VLOOKUP(A109,管理亚马逊库存!A:K,11,0),"")</f>
        <v>4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IFERROR(VLOOKUP(A109,库龄!B:K,9,0),0)</f>
        <v>0</v>
      </c>
      <c r="K109">
        <f>IFERROR(VLOOKUP(A109,库龄!B:L,10,0),0)</f>
        <v>4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4</v>
      </c>
    </row>
    <row r="110" spans="1:14">
      <c r="A110" s="3" t="s">
        <v>407</v>
      </c>
      <c r="B110">
        <f>IFERROR(VLOOKUP(A110,管理亚马逊库存!A:K,11,0),"")</f>
        <v>4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0</v>
      </c>
      <c r="J110">
        <f>IFERROR(VLOOKUP(A110,库龄!B:K,9,0),0)</f>
        <v>0</v>
      </c>
      <c r="K110">
        <f>IFERROR(VLOOKUP(A110,库龄!B:L,10,0),0)</f>
        <v>1</v>
      </c>
      <c r="L110">
        <f>IFERROR(VLOOKUP(A110,库龄!B:M,11,0),0)</f>
        <v>3</v>
      </c>
      <c r="M110">
        <f>IFERROR(VLOOKUP(A110,库龄!B:N,12,0),0)</f>
        <v>0</v>
      </c>
      <c r="N110">
        <f t="shared" si="4"/>
        <v>4</v>
      </c>
    </row>
    <row r="111" spans="1:14">
      <c r="A111" s="3" t="s">
        <v>410</v>
      </c>
      <c r="B111">
        <f>IFERROR(VLOOKUP(A111,管理亚马逊库存!A:K,11,0),"")</f>
        <v>5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2</v>
      </c>
      <c r="K111">
        <f>IFERROR(VLOOKUP(A111,库龄!B:L,10,0),0)</f>
        <v>3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5</v>
      </c>
    </row>
    <row r="112" spans="1:14">
      <c r="A112" s="3" t="s">
        <v>412</v>
      </c>
      <c r="B112">
        <f>IFERROR(VLOOKUP(A112,管理亚马逊库存!A:K,11,0),"")</f>
        <v>4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4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4</v>
      </c>
    </row>
    <row r="113" spans="1:14">
      <c r="A113" s="3" t="s">
        <v>415</v>
      </c>
      <c r="B113">
        <f>IFERROR(VLOOKUP(A113,管理亚马逊库存!A:K,11,0),"")</f>
        <v>10</v>
      </c>
      <c r="C113">
        <f>IFERROR(VLOOKUP(A113,管理亚马逊库存!A:L,12,0),"")</f>
        <v>0</v>
      </c>
      <c r="D113">
        <f>IFERROR(VLOOKUP(A113,管理亚马逊库存!A:Q,17,0),"")</f>
        <v>30</v>
      </c>
      <c r="E113">
        <f>IFERROR(VLOOKUP(A113,管理亚马逊库存!A:R,18,0),"")</f>
        <v>0</v>
      </c>
      <c r="F113">
        <f t="shared" si="3"/>
        <v>30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0</v>
      </c>
    </row>
    <row r="114" spans="1:14">
      <c r="A114" s="3" t="s">
        <v>420</v>
      </c>
      <c r="B114">
        <f>IFERROR(VLOOKUP(A114,管理亚马逊库存!A:K,11,0),"")</f>
        <v>14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0</v>
      </c>
      <c r="J114">
        <f>IFERROR(VLOOKUP(A114,库龄!B:K,9,0),0)</f>
        <v>0</v>
      </c>
      <c r="K114">
        <f>IFERROR(VLOOKUP(A114,库龄!B:L,10,0),0)</f>
        <v>0</v>
      </c>
      <c r="L114">
        <f>IFERROR(VLOOKUP(A114,库龄!B:M,11,0),0)</f>
        <v>13</v>
      </c>
      <c r="M114">
        <f>IFERROR(VLOOKUP(A114,库龄!B:N,12,0),0)</f>
        <v>0</v>
      </c>
      <c r="N114">
        <f t="shared" si="4"/>
        <v>13</v>
      </c>
    </row>
    <row r="115" spans="1:14">
      <c r="A115" s="3" t="s">
        <v>423</v>
      </c>
      <c r="B115">
        <f>IFERROR(VLOOKUP(A115,管理亚马逊库存!A:K,11,0),"")</f>
        <v>8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0</v>
      </c>
      <c r="I115">
        <f>IFERROR(VLOOKUP(A115,预留库存!A:F,6,0),0)</f>
        <v>0</v>
      </c>
      <c r="J115">
        <f>IFERROR(VLOOKUP(A115,库龄!B:K,9,0),0)</f>
        <v>0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0</v>
      </c>
    </row>
    <row r="116" spans="1:14">
      <c r="A116" s="3" t="s">
        <v>427</v>
      </c>
      <c r="B116">
        <f>IFERROR(VLOOKUP(A116,管理亚马逊库存!A:K,11,0),"")</f>
        <v>16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1</v>
      </c>
      <c r="K116">
        <f>IFERROR(VLOOKUP(A116,库龄!B:L,10,0),0)</f>
        <v>0</v>
      </c>
      <c r="L116">
        <f>IFERROR(VLOOKUP(A116,库龄!B:M,11,0),0)</f>
        <v>15</v>
      </c>
      <c r="M116">
        <f>IFERROR(VLOOKUP(A116,库龄!B:N,12,0),0)</f>
        <v>0</v>
      </c>
      <c r="N116">
        <f t="shared" si="4"/>
        <v>16</v>
      </c>
    </row>
    <row r="117" spans="1:14">
      <c r="A117" s="3" t="s">
        <v>430</v>
      </c>
      <c r="B117">
        <f>IFERROR(VLOOKUP(A117,管理亚马逊库存!A:K,11,0),"")</f>
        <v>7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0</v>
      </c>
      <c r="K117">
        <f>IFERROR(VLOOKUP(A117,库龄!B:L,10,0),0)</f>
        <v>0</v>
      </c>
      <c r="L117">
        <f>IFERROR(VLOOKUP(A117,库龄!B:M,11,0),0)</f>
        <v>7</v>
      </c>
      <c r="M117">
        <f>IFERROR(VLOOKUP(A117,库龄!B:N,12,0),0)</f>
        <v>0</v>
      </c>
      <c r="N117">
        <f t="shared" si="4"/>
        <v>7</v>
      </c>
    </row>
    <row r="118" spans="1:14">
      <c r="A118" s="3" t="s">
        <v>433</v>
      </c>
      <c r="B118">
        <f>IFERROR(VLOOKUP(A118,管理亚马逊库存!A:K,11,0),"")</f>
        <v>4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4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4</v>
      </c>
    </row>
    <row r="119" spans="1:14">
      <c r="A119" s="3" t="s">
        <v>436</v>
      </c>
      <c r="B119">
        <f>IFERROR(VLOOKUP(A119,管理亚马逊库存!A:K,11,0),"")</f>
        <v>1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1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1</v>
      </c>
    </row>
    <row r="120" spans="1:14">
      <c r="A120" s="3" t="s">
        <v>440</v>
      </c>
      <c r="B120">
        <f>IFERROR(VLOOKUP(A120,管理亚马逊库存!A:K,11,0),"")</f>
        <v>4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4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4</v>
      </c>
    </row>
    <row r="121" spans="1:14">
      <c r="A121" s="3" t="s">
        <v>443</v>
      </c>
      <c r="B121">
        <f>IFERROR(VLOOKUP(A121,管理亚马逊库存!A:K,11,0),"")</f>
        <v>4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4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4</v>
      </c>
    </row>
    <row r="122" spans="1:14">
      <c r="A122" s="3" t="s">
        <v>446</v>
      </c>
      <c r="B122">
        <f>IFERROR(VLOOKUP(A122,管理亚马逊库存!A:K,11,0),"")</f>
        <v>4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0</v>
      </c>
      <c r="K122">
        <f>IFERROR(VLOOKUP(A122,库龄!B:L,10,0),0)</f>
        <v>4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4</v>
      </c>
    </row>
    <row r="123" spans="1:14">
      <c r="A123" s="3" t="s">
        <v>448</v>
      </c>
      <c r="B123">
        <f>IFERROR(VLOOKUP(A123,管理亚马逊库存!A:K,11,0),"")</f>
        <v>4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4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4</v>
      </c>
    </row>
    <row r="124" spans="1:14">
      <c r="A124" s="3" t="s">
        <v>451</v>
      </c>
      <c r="B124">
        <f>IFERROR(VLOOKUP(A124,管理亚马逊库存!A:K,11,0),"")</f>
        <v>15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15</v>
      </c>
      <c r="M124">
        <f>IFERROR(VLOOKUP(A124,库龄!B:N,12,0),0)</f>
        <v>0</v>
      </c>
      <c r="N124">
        <f t="shared" si="4"/>
        <v>15</v>
      </c>
    </row>
    <row r="125" spans="1:14">
      <c r="A125" s="3" t="s">
        <v>454</v>
      </c>
      <c r="B125">
        <f>IFERROR(VLOOKUP(A125,管理亚马逊库存!A:K,11,0),"")</f>
        <v>6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0</v>
      </c>
      <c r="K125">
        <f>IFERROR(VLOOKUP(A125,库龄!B:L,10,0),0)</f>
        <v>4</v>
      </c>
      <c r="L125">
        <f>IFERROR(VLOOKUP(A125,库龄!B:M,11,0),0)</f>
        <v>2</v>
      </c>
      <c r="M125">
        <f>IFERROR(VLOOKUP(A125,库龄!B:N,12,0),0)</f>
        <v>0</v>
      </c>
      <c r="N125">
        <f t="shared" si="4"/>
        <v>6</v>
      </c>
    </row>
    <row r="126" spans="1:14">
      <c r="A126" s="3" t="s">
        <v>456</v>
      </c>
      <c r="B126">
        <f>IFERROR(VLOOKUP(A126,管理亚马逊库存!A:K,11,0),"")</f>
        <v>14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1</v>
      </c>
      <c r="K126">
        <f>IFERROR(VLOOKUP(A126,库龄!B:L,10,0),0)</f>
        <v>0</v>
      </c>
      <c r="L126">
        <f>IFERROR(VLOOKUP(A126,库龄!B:M,11,0),0)</f>
        <v>13</v>
      </c>
      <c r="M126">
        <f>IFERROR(VLOOKUP(A126,库龄!B:N,12,0),0)</f>
        <v>0</v>
      </c>
      <c r="N126">
        <f t="shared" si="4"/>
        <v>14</v>
      </c>
    </row>
    <row r="127" spans="1:14">
      <c r="A127" s="3" t="s">
        <v>459</v>
      </c>
      <c r="B127">
        <f>IFERROR(VLOOKUP(A127,管理亚马逊库存!A:K,11,0),"")</f>
        <v>12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1</v>
      </c>
      <c r="K127">
        <f>IFERROR(VLOOKUP(A127,库龄!B:L,10,0),0)</f>
        <v>1</v>
      </c>
      <c r="L127">
        <f>IFERROR(VLOOKUP(A127,库龄!B:M,11,0),0)</f>
        <v>10</v>
      </c>
      <c r="M127">
        <f>IFERROR(VLOOKUP(A127,库龄!B:N,12,0),0)</f>
        <v>0</v>
      </c>
      <c r="N127">
        <f t="shared" si="4"/>
        <v>12</v>
      </c>
    </row>
    <row r="128" spans="1:14">
      <c r="A128" s="3" t="s">
        <v>462</v>
      </c>
      <c r="B128">
        <f>IFERROR(VLOOKUP(A128,管理亚马逊库存!A:K,11,0),"")</f>
        <v>7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0</v>
      </c>
      <c r="K128">
        <f>IFERROR(VLOOKUP(A128,库龄!B:L,10,0),0)</f>
        <v>4</v>
      </c>
      <c r="L128">
        <f>IFERROR(VLOOKUP(A128,库龄!B:M,11,0),0)</f>
        <v>3</v>
      </c>
      <c r="M128">
        <f>IFERROR(VLOOKUP(A128,库龄!B:N,12,0),0)</f>
        <v>0</v>
      </c>
      <c r="N128">
        <f t="shared" si="4"/>
        <v>7</v>
      </c>
    </row>
    <row r="129" spans="1:14">
      <c r="A129" s="3" t="s">
        <v>464</v>
      </c>
      <c r="B129">
        <f>IFERROR(VLOOKUP(A129,管理亚马逊库存!A:K,11,0),"")</f>
        <v>11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0</v>
      </c>
      <c r="K129">
        <f>IFERROR(VLOOKUP(A129,库龄!B:L,10,0),0)</f>
        <v>0</v>
      </c>
      <c r="L129">
        <f>IFERROR(VLOOKUP(A129,库龄!B:M,11,0),0)</f>
        <v>11</v>
      </c>
      <c r="M129">
        <f>IFERROR(VLOOKUP(A129,库龄!B:N,12,0),0)</f>
        <v>0</v>
      </c>
      <c r="N129">
        <f t="shared" si="4"/>
        <v>11</v>
      </c>
    </row>
    <row r="130" spans="1:14">
      <c r="A130" s="3" t="s">
        <v>467</v>
      </c>
      <c r="B130">
        <f>IFERROR(VLOOKUP(A130,管理亚马逊库存!A:K,11,0),"")</f>
        <v>4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0</v>
      </c>
      <c r="K130">
        <f>IFERROR(VLOOKUP(A130,库龄!B:L,10,0),0)</f>
        <v>3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3</v>
      </c>
    </row>
    <row r="131" spans="1:14">
      <c r="A131" s="3" t="s">
        <v>470</v>
      </c>
      <c r="B131">
        <f>IFERROR(VLOOKUP(A131,管理亚马逊库存!A:K,11,0),"")</f>
        <v>2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2</v>
      </c>
      <c r="L131">
        <f>IFERROR(VLOOKUP(A131,库龄!B:M,11,0),0)</f>
        <v>0</v>
      </c>
      <c r="M131">
        <f>IFERROR(VLOOKUP(A131,库龄!B:N,12,0),0)</f>
        <v>0</v>
      </c>
      <c r="N131">
        <f t="shared" ref="N131:N194" si="6">SUM(J131:M131)</f>
        <v>2</v>
      </c>
    </row>
    <row r="132" spans="1:14">
      <c r="A132" s="3" t="s">
        <v>472</v>
      </c>
      <c r="B132">
        <f>IFERROR(VLOOKUP(A132,管理亚马逊库存!A:K,11,0),"")</f>
        <v>3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1</v>
      </c>
      <c r="K132">
        <f>IFERROR(VLOOKUP(A132,库龄!B:L,10,0),0)</f>
        <v>0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1</v>
      </c>
    </row>
    <row r="133" spans="1:14">
      <c r="A133" s="3" t="s">
        <v>476</v>
      </c>
      <c r="B133">
        <f>IFERROR(VLOOKUP(A133,管理亚马逊库存!A:K,11,0),"")</f>
        <v>1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0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0</v>
      </c>
    </row>
    <row r="134" spans="1:14">
      <c r="A134" s="3" t="s">
        <v>478</v>
      </c>
      <c r="B134">
        <f>IFERROR(VLOOKUP(A134,管理亚马逊库存!A:K,11,0),"")</f>
        <v>1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0</v>
      </c>
      <c r="K134">
        <f>IFERROR(VLOOKUP(A134,库龄!B:L,10,0),0)</f>
        <v>1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1</v>
      </c>
    </row>
    <row r="135" spans="1:14">
      <c r="A135" s="3" t="s">
        <v>480</v>
      </c>
      <c r="B135">
        <f>IFERROR(VLOOKUP(A135,管理亚马逊库存!A:K,11,0),"")</f>
        <v>3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0</v>
      </c>
      <c r="K135">
        <f>IFERROR(VLOOKUP(A135,库龄!B:L,10,0),0)</f>
        <v>3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3</v>
      </c>
    </row>
    <row r="136" spans="1:14">
      <c r="A136" s="3" t="s">
        <v>482</v>
      </c>
      <c r="B136">
        <f>IFERROR(VLOOKUP(A136,管理亚马逊库存!A:K,11,0),"")</f>
        <v>6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1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1</v>
      </c>
    </row>
    <row r="137" spans="1:14">
      <c r="A137" s="3" t="s">
        <v>485</v>
      </c>
      <c r="B137">
        <f>IFERROR(VLOOKUP(A137,管理亚马逊库存!A:K,11,0),"")</f>
        <v>4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0</v>
      </c>
      <c r="K137">
        <f>IFERROR(VLOOKUP(A137,库龄!B:L,10,0),0)</f>
        <v>4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4</v>
      </c>
    </row>
    <row r="138" spans="1:14">
      <c r="A138" s="3" t="s">
        <v>488</v>
      </c>
      <c r="B138">
        <f>IFERROR(VLOOKUP(A138,管理亚马逊库存!A:K,11,0),"")</f>
        <v>4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0</v>
      </c>
      <c r="K138">
        <f>IFERROR(VLOOKUP(A138,库龄!B:L,10,0),0)</f>
        <v>3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3</v>
      </c>
    </row>
    <row r="139" spans="1:14">
      <c r="A139" s="3" t="s">
        <v>490</v>
      </c>
      <c r="B139">
        <f>IFERROR(VLOOKUP(A139,管理亚马逊库存!A:K,11,0),"")</f>
        <v>13</v>
      </c>
      <c r="C139">
        <f>IFERROR(VLOOKUP(A139,管理亚马逊库存!A:L,12,0),"")</f>
        <v>0</v>
      </c>
      <c r="D139">
        <f>IFERROR(VLOOKUP(A139,管理亚马逊库存!A:Q,17,0),"")</f>
        <v>40</v>
      </c>
      <c r="E139">
        <f>IFERROR(VLOOKUP(A139,管理亚马逊库存!A:R,18,0),"")</f>
        <v>0</v>
      </c>
      <c r="F139">
        <f t="shared" si="5"/>
        <v>40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0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0</v>
      </c>
    </row>
    <row r="140" spans="1:14">
      <c r="A140" s="3" t="s">
        <v>494</v>
      </c>
      <c r="B140">
        <f>IFERROR(VLOOKUP(A140,管理亚马逊库存!A:K,11,0),"")</f>
        <v>11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0</v>
      </c>
      <c r="K140">
        <f>IFERROR(VLOOKUP(A140,库龄!B:L,10,0),0)</f>
        <v>11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11</v>
      </c>
    </row>
    <row r="141" spans="1:14">
      <c r="A141" s="3" t="s">
        <v>498</v>
      </c>
      <c r="B141">
        <f>IFERROR(VLOOKUP(A141,管理亚马逊库存!A:K,11,0),"")</f>
        <v>5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0</v>
      </c>
      <c r="K141">
        <f>IFERROR(VLOOKUP(A141,库龄!B:L,10,0),0)</f>
        <v>5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5</v>
      </c>
    </row>
    <row r="142" spans="1:14">
      <c r="A142" s="3" t="s">
        <v>501</v>
      </c>
      <c r="B142">
        <f>IFERROR(VLOOKUP(A142,管理亚马逊库存!A:K,11,0),"")</f>
        <v>4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4</v>
      </c>
      <c r="K142">
        <f>IFERROR(VLOOKUP(A142,库龄!B:L,10,0),0)</f>
        <v>0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4</v>
      </c>
    </row>
    <row r="143" spans="1:14">
      <c r="A143" s="3" t="s">
        <v>504</v>
      </c>
      <c r="B143">
        <f>IFERROR(VLOOKUP(A143,管理亚马逊库存!A:K,11,0),"")</f>
        <v>2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0</v>
      </c>
      <c r="K143">
        <f>IFERROR(VLOOKUP(A143,库龄!B:L,10,0),0)</f>
        <v>1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1</v>
      </c>
    </row>
    <row r="144" spans="1:14">
      <c r="A144" s="3" t="s">
        <v>508</v>
      </c>
      <c r="B144">
        <f>IFERROR(VLOOKUP(A144,管理亚马逊库存!A:K,11,0),"")</f>
        <v>2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2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2</v>
      </c>
    </row>
    <row r="145" spans="1:14">
      <c r="A145" s="3" t="s">
        <v>511</v>
      </c>
      <c r="B145">
        <f>IFERROR(VLOOKUP(A145,管理亚马逊库存!A:K,11,0),"")</f>
        <v>5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0</v>
      </c>
      <c r="K145">
        <f>IFERROR(VLOOKUP(A145,库龄!B:L,10,0),0)</f>
        <v>4</v>
      </c>
      <c r="L145">
        <f>IFERROR(VLOOKUP(A145,库龄!B:M,11,0),0)</f>
        <v>1</v>
      </c>
      <c r="M145">
        <f>IFERROR(VLOOKUP(A145,库龄!B:N,12,0),0)</f>
        <v>0</v>
      </c>
      <c r="N145">
        <f t="shared" si="6"/>
        <v>5</v>
      </c>
    </row>
    <row r="146" spans="1:14">
      <c r="A146" s="3" t="s">
        <v>513</v>
      </c>
      <c r="B146">
        <f>IFERROR(VLOOKUP(A146,管理亚马逊库存!A:K,11,0),"")</f>
        <v>3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0</v>
      </c>
      <c r="K146">
        <f>IFERROR(VLOOKUP(A146,库龄!B:L,10,0),0)</f>
        <v>3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3</v>
      </c>
    </row>
    <row r="147" spans="1:14">
      <c r="A147" s="3" t="s">
        <v>516</v>
      </c>
      <c r="B147">
        <f>IFERROR(VLOOKUP(A147,管理亚马逊库存!A:K,11,0),"")</f>
        <v>18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2</v>
      </c>
      <c r="L147">
        <f>IFERROR(VLOOKUP(A147,库龄!B:M,11,0),0)</f>
        <v>16</v>
      </c>
      <c r="M147">
        <f>IFERROR(VLOOKUP(A147,库龄!B:N,12,0),0)</f>
        <v>0</v>
      </c>
      <c r="N147">
        <f t="shared" si="6"/>
        <v>18</v>
      </c>
    </row>
    <row r="148" spans="1:14">
      <c r="A148" s="3" t="s">
        <v>520</v>
      </c>
      <c r="B148">
        <f>IFERROR(VLOOKUP(A148,管理亚马逊库存!A:K,11,0),"")</f>
        <v>3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3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3</v>
      </c>
    </row>
    <row r="149" spans="1:14">
      <c r="A149" s="3" t="s">
        <v>523</v>
      </c>
      <c r="B149">
        <f>IFERROR(VLOOKUP(A149,管理亚马逊库存!A:K,11,0),"")</f>
        <v>4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4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4</v>
      </c>
    </row>
    <row r="150" spans="1:14">
      <c r="A150" s="3" t="s">
        <v>526</v>
      </c>
      <c r="B150">
        <f>IFERROR(VLOOKUP(A150,管理亚马逊库存!A:K,11,0),"")</f>
        <v>4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4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4</v>
      </c>
    </row>
    <row r="151" spans="1:14">
      <c r="A151" s="3" t="s">
        <v>529</v>
      </c>
      <c r="B151">
        <f>IFERROR(VLOOKUP(A151,管理亚马逊库存!A:K,11,0),"")</f>
        <v>9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9</v>
      </c>
      <c r="M151">
        <f>IFERROR(VLOOKUP(A151,库龄!B:N,12,0),0)</f>
        <v>0</v>
      </c>
      <c r="N151">
        <f t="shared" si="6"/>
        <v>9</v>
      </c>
    </row>
    <row r="152" spans="1:14">
      <c r="A152" s="3" t="s">
        <v>532</v>
      </c>
      <c r="B152">
        <f>IFERROR(VLOOKUP(A152,管理亚马逊库存!A:K,11,0),"")</f>
        <v>19</v>
      </c>
      <c r="C152">
        <f>IFERROR(VLOOKUP(A152,管理亚马逊库存!A:L,12,0),"")</f>
        <v>0</v>
      </c>
      <c r="D152">
        <f>IFERROR(VLOOKUP(A152,管理亚马逊库存!A:Q,17,0),"")</f>
        <v>10</v>
      </c>
      <c r="E152">
        <f>IFERROR(VLOOKUP(A152,管理亚马逊库存!A:R,18,0),"")</f>
        <v>0</v>
      </c>
      <c r="F152">
        <f t="shared" si="5"/>
        <v>10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0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0</v>
      </c>
    </row>
    <row r="153" spans="1:14">
      <c r="A153" s="3" t="s">
        <v>537</v>
      </c>
      <c r="B153">
        <f>IFERROR(VLOOKUP(A153,管理亚马逊库存!A:K,11,0),"")</f>
        <v>13</v>
      </c>
      <c r="C153">
        <f>IFERROR(VLOOKUP(A153,管理亚马逊库存!A:L,12,0),"")</f>
        <v>0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0</v>
      </c>
    </row>
    <row r="154" spans="1:14">
      <c r="A154" s="3" t="s">
        <v>540</v>
      </c>
      <c r="B154">
        <f>IFERROR(VLOOKUP(A154,管理亚马逊库存!A:K,11,0),"")</f>
        <v>3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3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3</v>
      </c>
    </row>
    <row r="155" spans="1:14">
      <c r="A155" s="3" t="s">
        <v>542</v>
      </c>
      <c r="B155">
        <f>IFERROR(VLOOKUP(A155,管理亚马逊库存!A:K,11,0),"")</f>
        <v>4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IFERROR(VLOOKUP(A155,库龄!B:K,9,0),0)</f>
        <v>1</v>
      </c>
      <c r="K155">
        <f>IFERROR(VLOOKUP(A155,库龄!B:L,10,0),0)</f>
        <v>3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4</v>
      </c>
    </row>
    <row r="156" spans="1:14">
      <c r="A156" s="3" t="s">
        <v>544</v>
      </c>
      <c r="B156">
        <f>IFERROR(VLOOKUP(A156,管理亚马逊库存!A:K,11,0),"")</f>
        <v>3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0</v>
      </c>
      <c r="I156">
        <f>IFERROR(VLOOKUP(A156,预留库存!A:F,6,0),0)</f>
        <v>0</v>
      </c>
      <c r="J156">
        <f>IFERROR(VLOOKUP(A156,库龄!B:K,9,0),0)</f>
        <v>0</v>
      </c>
      <c r="K156">
        <f>IFERROR(VLOOKUP(A156,库龄!B:L,10,0),0)</f>
        <v>3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3</v>
      </c>
    </row>
    <row r="157" spans="1:14">
      <c r="A157" s="3" t="s">
        <v>546</v>
      </c>
      <c r="B157">
        <f>IFERROR(VLOOKUP(A157,管理亚马逊库存!A:K,11,0),"")</f>
        <v>6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IFERROR(VLOOKUP(A157,库龄!B:K,9,0),0)</f>
        <v>0</v>
      </c>
      <c r="K157">
        <f>IFERROR(VLOOKUP(A157,库龄!B:L,10,0),0)</f>
        <v>0</v>
      </c>
      <c r="L157">
        <f>IFERROR(VLOOKUP(A157,库龄!B:M,11,0),0)</f>
        <v>4</v>
      </c>
      <c r="M157">
        <f>IFERROR(VLOOKUP(A157,库龄!B:N,12,0),0)</f>
        <v>0</v>
      </c>
      <c r="N157">
        <f t="shared" si="6"/>
        <v>4</v>
      </c>
    </row>
    <row r="158" spans="1:14">
      <c r="A158" s="3" t="s">
        <v>549</v>
      </c>
      <c r="B158">
        <f>IFERROR(VLOOKUP(A158,管理亚马逊库存!A:K,11,0),"")</f>
        <v>4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0</v>
      </c>
      <c r="J158">
        <f>IFERROR(VLOOKUP(A158,库龄!B:K,9,0),0)</f>
        <v>4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4</v>
      </c>
    </row>
    <row r="159" spans="1:14">
      <c r="A159" s="3" t="s">
        <v>552</v>
      </c>
      <c r="B159">
        <f>IFERROR(VLOOKUP(A159,管理亚马逊库存!A:K,11,0),"")</f>
        <v>3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0</v>
      </c>
      <c r="J159">
        <f>IFERROR(VLOOKUP(A159,库龄!B:K,9,0),0)</f>
        <v>0</v>
      </c>
      <c r="K159">
        <f>IFERROR(VLOOKUP(A159,库龄!B:L,10,0),0)</f>
        <v>0</v>
      </c>
      <c r="L159">
        <f>IFERROR(VLOOKUP(A159,库龄!B:M,11,0),0)</f>
        <v>2</v>
      </c>
      <c r="M159">
        <f>IFERROR(VLOOKUP(A159,库龄!B:N,12,0),0)</f>
        <v>0</v>
      </c>
      <c r="N159">
        <f t="shared" si="6"/>
        <v>2</v>
      </c>
    </row>
    <row r="160" spans="1:14">
      <c r="A160" s="3" t="s">
        <v>555</v>
      </c>
      <c r="B160">
        <f>IFERROR(VLOOKUP(A160,管理亚马逊库存!A:K,11,0),"")</f>
        <v>2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2</v>
      </c>
      <c r="K160">
        <f>IFERROR(VLOOKUP(A160,库龄!B:L,10,0),0)</f>
        <v>0</v>
      </c>
      <c r="L160">
        <f>IFERROR(VLOOKUP(A160,库龄!B:M,11,0),0)</f>
        <v>0</v>
      </c>
      <c r="M160">
        <f>IFERROR(VLOOKUP(A160,库龄!B:N,12,0),0)</f>
        <v>0</v>
      </c>
      <c r="N160">
        <f t="shared" si="6"/>
        <v>2</v>
      </c>
    </row>
    <row r="161" spans="1:14">
      <c r="A161" s="3" t="s">
        <v>559</v>
      </c>
      <c r="B161">
        <f>IFERROR(VLOOKUP(A161,管理亚马逊库存!A:K,11,0),"")</f>
        <v>6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0</v>
      </c>
      <c r="K161">
        <f>IFERROR(VLOOKUP(A161,库龄!B:L,10,0),0)</f>
        <v>3</v>
      </c>
      <c r="L161">
        <f>IFERROR(VLOOKUP(A161,库龄!B:M,11,0),0)</f>
        <v>3</v>
      </c>
      <c r="M161">
        <f>IFERROR(VLOOKUP(A161,库龄!B:N,12,0),0)</f>
        <v>0</v>
      </c>
      <c r="N161">
        <f t="shared" si="6"/>
        <v>6</v>
      </c>
    </row>
    <row r="162" spans="1:14">
      <c r="A162" s="3" t="s">
        <v>561</v>
      </c>
      <c r="B162">
        <f>IFERROR(VLOOKUP(A162,管理亚马逊库存!A:K,11,0),"")</f>
        <v>3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0</v>
      </c>
      <c r="I162">
        <f>IFERROR(VLOOKUP(A162,预留库存!A:F,6,0),0)</f>
        <v>0</v>
      </c>
      <c r="J162">
        <f>IFERROR(VLOOKUP(A162,库龄!B:K,9,0),0)</f>
        <v>3</v>
      </c>
      <c r="K162">
        <f>IFERROR(VLOOKUP(A162,库龄!B:L,10,0),0)</f>
        <v>0</v>
      </c>
      <c r="L162">
        <f>IFERROR(VLOOKUP(A162,库龄!B:M,11,0),0)</f>
        <v>0</v>
      </c>
      <c r="M162">
        <f>IFERROR(VLOOKUP(A162,库龄!B:N,12,0),0)</f>
        <v>0</v>
      </c>
      <c r="N162">
        <f t="shared" si="6"/>
        <v>3</v>
      </c>
    </row>
    <row r="163" spans="1:14">
      <c r="A163" s="3" t="s">
        <v>564</v>
      </c>
      <c r="B163">
        <f>IFERROR(VLOOKUP(A163,管理亚马逊库存!A:K,11,0),"")</f>
        <v>4</v>
      </c>
      <c r="C163">
        <f>IFERROR(VLOOKUP(A163,管理亚马逊库存!A:L,12,0),"")</f>
        <v>0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0</v>
      </c>
      <c r="I163">
        <f>IFERROR(VLOOKUP(A163,预留库存!A:F,6,0),0)</f>
        <v>0</v>
      </c>
      <c r="J163">
        <f>IFERROR(VLOOKUP(A163,库龄!B:K,9,0),0)</f>
        <v>0</v>
      </c>
      <c r="K163">
        <f>IFERROR(VLOOKUP(A163,库龄!B:L,10,0),0)</f>
        <v>0</v>
      </c>
      <c r="L163">
        <f>IFERROR(VLOOKUP(A163,库龄!B:M,11,0),0)</f>
        <v>0</v>
      </c>
      <c r="M163">
        <f>IFERROR(VLOOKUP(A163,库龄!B:N,12,0),0)</f>
        <v>0</v>
      </c>
      <c r="N163">
        <f t="shared" si="6"/>
        <v>0</v>
      </c>
    </row>
    <row r="164" spans="1:14">
      <c r="A164" s="3" t="s">
        <v>567</v>
      </c>
      <c r="B164">
        <f>IFERROR(VLOOKUP(A164,管理亚马逊库存!A:K,11,0),"")</f>
        <v>3</v>
      </c>
      <c r="C164">
        <f>IFERROR(VLOOKUP(A164,管理亚马逊库存!A:L,12,0),"")</f>
        <v>0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0</v>
      </c>
      <c r="H164">
        <f>IFERROR(VLOOKUP(A164,预留库存!A:H,8,0),0)</f>
        <v>0</v>
      </c>
      <c r="I164">
        <f>IFERROR(VLOOKUP(A164,预留库存!A:F,6,0),0)</f>
        <v>0</v>
      </c>
      <c r="J164">
        <f>IFERROR(VLOOKUP(A164,库龄!B:K,9,0),0)</f>
        <v>0</v>
      </c>
      <c r="K164">
        <f>IFERROR(VLOOKUP(A164,库龄!B:L,10,0),0)</f>
        <v>3</v>
      </c>
      <c r="L164">
        <f>IFERROR(VLOOKUP(A164,库龄!B:M,11,0),0)</f>
        <v>0</v>
      </c>
      <c r="M164">
        <f>IFERROR(VLOOKUP(A164,库龄!B:N,12,0),0)</f>
        <v>0</v>
      </c>
      <c r="N164">
        <f t="shared" si="6"/>
        <v>3</v>
      </c>
    </row>
    <row r="165" spans="1:14">
      <c r="A165" s="3" t="s">
        <v>570</v>
      </c>
      <c r="B165">
        <f>IFERROR(VLOOKUP(A165,管理亚马逊库存!A:K,11,0),"")</f>
        <v>6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0</v>
      </c>
      <c r="I165">
        <f>IFERROR(VLOOKUP(A165,预留库存!A:F,6,0),0)</f>
        <v>0</v>
      </c>
      <c r="J165">
        <f>IFERROR(VLOOKUP(A165,库龄!B:K,9,0),0)</f>
        <v>0</v>
      </c>
      <c r="K165">
        <f>IFERROR(VLOOKUP(A165,库龄!B:L,10,0),0)</f>
        <v>4</v>
      </c>
      <c r="L165">
        <f>IFERROR(VLOOKUP(A165,库龄!B:M,11,0),0)</f>
        <v>2</v>
      </c>
      <c r="M165">
        <f>IFERROR(VLOOKUP(A165,库龄!B:N,12,0),0)</f>
        <v>0</v>
      </c>
      <c r="N165">
        <f t="shared" si="6"/>
        <v>6</v>
      </c>
    </row>
    <row r="166" spans="1:14">
      <c r="A166" s="3" t="s">
        <v>572</v>
      </c>
      <c r="B166">
        <f>IFERROR(VLOOKUP(A166,管理亚马逊库存!A:K,11,0),"")</f>
        <v>4</v>
      </c>
      <c r="C166">
        <f>IFERROR(VLOOKUP(A166,管理亚马逊库存!A:L,12,0),"")</f>
        <v>0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0</v>
      </c>
      <c r="I166">
        <f>IFERROR(VLOOKUP(A166,预留库存!A:F,6,0),0)</f>
        <v>0</v>
      </c>
      <c r="J166">
        <f>IFERROR(VLOOKUP(A166,库龄!B:K,9,0),0)</f>
        <v>0</v>
      </c>
      <c r="K166">
        <f>IFERROR(VLOOKUP(A166,库龄!B:L,10,0),0)</f>
        <v>4</v>
      </c>
      <c r="L166">
        <f>IFERROR(VLOOKUP(A166,库龄!B:M,11,0),0)</f>
        <v>0</v>
      </c>
      <c r="M166">
        <f>IFERROR(VLOOKUP(A166,库龄!B:N,12,0),0)</f>
        <v>0</v>
      </c>
      <c r="N166">
        <f t="shared" si="6"/>
        <v>4</v>
      </c>
    </row>
    <row r="167" spans="1:14">
      <c r="A167" s="3" t="s">
        <v>575</v>
      </c>
      <c r="B167">
        <f>IFERROR(VLOOKUP(A167,管理亚马逊库存!A:K,11,0),"")</f>
        <v>4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0</v>
      </c>
      <c r="H167">
        <f>IFERROR(VLOOKUP(A167,预留库存!A:H,8,0),0)</f>
        <v>0</v>
      </c>
      <c r="I167">
        <f>IFERROR(VLOOKUP(A167,预留库存!A:F,6,0),0)</f>
        <v>0</v>
      </c>
      <c r="J167">
        <f>IFERROR(VLOOKUP(A167,库龄!B:K,9,0),0)</f>
        <v>4</v>
      </c>
      <c r="K167">
        <f>IFERROR(VLOOKUP(A167,库龄!B:L,10,0),0)</f>
        <v>0</v>
      </c>
      <c r="L167">
        <f>IFERROR(VLOOKUP(A167,库龄!B:M,11,0),0)</f>
        <v>0</v>
      </c>
      <c r="M167">
        <f>IFERROR(VLOOKUP(A167,库龄!B:N,12,0),0)</f>
        <v>0</v>
      </c>
      <c r="N167">
        <f t="shared" si="6"/>
        <v>4</v>
      </c>
    </row>
    <row r="168" spans="1:14">
      <c r="A168" s="3" t="s">
        <v>578</v>
      </c>
      <c r="B168">
        <f>IFERROR(VLOOKUP(A168,管理亚马逊库存!A:K,11,0),"")</f>
        <v>50</v>
      </c>
      <c r="C168">
        <f>IFERROR(VLOOKUP(A168,管理亚马逊库存!A:L,12,0),"")</f>
        <v>0</v>
      </c>
      <c r="D168">
        <f>IFERROR(VLOOKUP(A168,管理亚马逊库存!A:Q,17,0),"")</f>
        <v>50</v>
      </c>
      <c r="E168">
        <f>IFERROR(VLOOKUP(A168,管理亚马逊库存!A:R,18,0),"")</f>
        <v>0</v>
      </c>
      <c r="F168">
        <f t="shared" si="5"/>
        <v>50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0</v>
      </c>
      <c r="J168">
        <f>IFERROR(VLOOKUP(A168,库龄!B:K,9,0),0)</f>
        <v>0</v>
      </c>
      <c r="K168">
        <f>IFERROR(VLOOKUP(A168,库龄!B:L,10,0),0)</f>
        <v>0</v>
      </c>
      <c r="L168">
        <f>IFERROR(VLOOKUP(A168,库龄!B:M,11,0),0)</f>
        <v>0</v>
      </c>
      <c r="M168">
        <f>IFERROR(VLOOKUP(A168,库龄!B:N,12,0),0)</f>
        <v>0</v>
      </c>
      <c r="N168">
        <f t="shared" si="6"/>
        <v>0</v>
      </c>
    </row>
    <row r="169" spans="1:14">
      <c r="A169" s="3" t="s">
        <v>583</v>
      </c>
      <c r="B169">
        <f>IFERROR(VLOOKUP(A169,管理亚马逊库存!A:K,11,0),"")</f>
        <v>3</v>
      </c>
      <c r="C169">
        <f>IFERROR(VLOOKUP(A169,管理亚马逊库存!A:L,12,0),"")</f>
        <v>0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0</v>
      </c>
      <c r="I169">
        <f>IFERROR(VLOOKUP(A169,预留库存!A:F,6,0),0)</f>
        <v>0</v>
      </c>
      <c r="J169">
        <f>IFERROR(VLOOKUP(A169,库龄!B:K,9,0),0)</f>
        <v>0</v>
      </c>
      <c r="K169">
        <f>IFERROR(VLOOKUP(A169,库龄!B:L,10,0),0)</f>
        <v>3</v>
      </c>
      <c r="L169">
        <f>IFERROR(VLOOKUP(A169,库龄!B:M,11,0),0)</f>
        <v>0</v>
      </c>
      <c r="M169">
        <f>IFERROR(VLOOKUP(A169,库龄!B:N,12,0),0)</f>
        <v>0</v>
      </c>
      <c r="N169">
        <f t="shared" si="6"/>
        <v>3</v>
      </c>
    </row>
    <row r="170" spans="1:14">
      <c r="A170" s="3" t="s">
        <v>585</v>
      </c>
      <c r="B170">
        <f>IFERROR(VLOOKUP(A170,管理亚马逊库存!A:K,11,0),"")</f>
        <v>16</v>
      </c>
      <c r="C170">
        <f>IFERROR(VLOOKUP(A170,管理亚马逊库存!A:L,12,0),"")</f>
        <v>0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0</v>
      </c>
      <c r="J170">
        <f>IFERROR(VLOOKUP(A170,库龄!B:K,9,0),0)</f>
        <v>1</v>
      </c>
      <c r="K170">
        <f>IFERROR(VLOOKUP(A170,库龄!B:L,10,0),0)</f>
        <v>0</v>
      </c>
      <c r="L170">
        <f>IFERROR(VLOOKUP(A170,库龄!B:M,11,0),0)</f>
        <v>15</v>
      </c>
      <c r="M170">
        <f>IFERROR(VLOOKUP(A170,库龄!B:N,12,0),0)</f>
        <v>0</v>
      </c>
      <c r="N170">
        <f t="shared" si="6"/>
        <v>16</v>
      </c>
    </row>
    <row r="171" spans="1:14">
      <c r="A171" s="3" t="s">
        <v>588</v>
      </c>
      <c r="B171">
        <f>IFERROR(VLOOKUP(A171,管理亚马逊库存!A:K,11,0),"")</f>
        <v>3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0</v>
      </c>
      <c r="H171">
        <f>IFERROR(VLOOKUP(A171,预留库存!A:H,8,0),0)</f>
        <v>0</v>
      </c>
      <c r="I171">
        <f>IFERROR(VLOOKUP(A171,预留库存!A:F,6,0),0)</f>
        <v>0</v>
      </c>
      <c r="J171">
        <f>IFERROR(VLOOKUP(A171,库龄!B:K,9,0),0)</f>
        <v>1</v>
      </c>
      <c r="K171">
        <f>IFERROR(VLOOKUP(A171,库龄!B:L,10,0),0)</f>
        <v>1</v>
      </c>
      <c r="L171">
        <f>IFERROR(VLOOKUP(A171,库龄!B:M,11,0),0)</f>
        <v>0</v>
      </c>
      <c r="M171">
        <f>IFERROR(VLOOKUP(A171,库龄!B:N,12,0),0)</f>
        <v>0</v>
      </c>
      <c r="N171">
        <f t="shared" si="6"/>
        <v>2</v>
      </c>
    </row>
    <row r="172" spans="1:14">
      <c r="A172" s="3" t="s">
        <v>591</v>
      </c>
      <c r="B172">
        <f>IFERROR(VLOOKUP(A172,管理亚马逊库存!A:K,11,0),"")</f>
        <v>12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0</v>
      </c>
      <c r="I172">
        <f>IFERROR(VLOOKUP(A172,预留库存!A:F,6,0),0)</f>
        <v>0</v>
      </c>
      <c r="J172">
        <f>IFERROR(VLOOKUP(A172,库龄!B:K,9,0),0)</f>
        <v>0</v>
      </c>
      <c r="K172">
        <f>IFERROR(VLOOKUP(A172,库龄!B:L,10,0),0)</f>
        <v>0</v>
      </c>
      <c r="L172">
        <f>IFERROR(VLOOKUP(A172,库龄!B:M,11,0),0)</f>
        <v>0</v>
      </c>
      <c r="M172">
        <f>IFERROR(VLOOKUP(A172,库龄!B:N,12,0),0)</f>
        <v>0</v>
      </c>
      <c r="N172">
        <f t="shared" si="6"/>
        <v>0</v>
      </c>
    </row>
    <row r="173" spans="1:14">
      <c r="A173" s="3" t="s">
        <v>594</v>
      </c>
      <c r="B173">
        <f>IFERROR(VLOOKUP(A173,管理亚马逊库存!A:K,11,0),"")</f>
        <v>8</v>
      </c>
      <c r="C173">
        <f>IFERROR(VLOOKUP(A173,管理亚马逊库存!A:L,12,0),"")</f>
        <v>0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0</v>
      </c>
      <c r="H173">
        <f>IFERROR(VLOOKUP(A173,预留库存!A:H,8,0),0)</f>
        <v>0</v>
      </c>
      <c r="I173">
        <f>IFERROR(VLOOKUP(A173,预留库存!A:F,6,0),0)</f>
        <v>0</v>
      </c>
      <c r="J173">
        <f>IFERROR(VLOOKUP(A173,库龄!B:K,9,0),0)</f>
        <v>0</v>
      </c>
      <c r="K173">
        <f>IFERROR(VLOOKUP(A173,库龄!B:L,10,0),0)</f>
        <v>0</v>
      </c>
      <c r="L173">
        <f>IFERROR(VLOOKUP(A173,库龄!B:M,11,0),0)</f>
        <v>0</v>
      </c>
      <c r="M173">
        <f>IFERROR(VLOOKUP(A173,库龄!B:N,12,0),0)</f>
        <v>0</v>
      </c>
      <c r="N173">
        <f t="shared" si="6"/>
        <v>0</v>
      </c>
    </row>
    <row r="174" spans="1:14">
      <c r="A174" s="3" t="s">
        <v>598</v>
      </c>
      <c r="B174">
        <f>IFERROR(VLOOKUP(A174,管理亚马逊库存!A:K,11,0),"")</f>
        <v>3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0</v>
      </c>
      <c r="H174">
        <f>IFERROR(VLOOKUP(A174,预留库存!A:H,8,0),0)</f>
        <v>0</v>
      </c>
      <c r="I174">
        <f>IFERROR(VLOOKUP(A174,预留库存!A:F,6,0),0)</f>
        <v>0</v>
      </c>
      <c r="J174">
        <f>IFERROR(VLOOKUP(A174,库龄!B:K,9,0),0)</f>
        <v>3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3</v>
      </c>
    </row>
    <row r="175" spans="1:14">
      <c r="A175" s="3" t="s">
        <v>602</v>
      </c>
      <c r="B175">
        <f>IFERROR(VLOOKUP(A175,管理亚马逊库存!A:K,11,0),"")</f>
        <v>5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0</v>
      </c>
      <c r="I175">
        <f>IFERROR(VLOOKUP(A175,预留库存!A:F,6,0),0)</f>
        <v>0</v>
      </c>
      <c r="J175">
        <f>IFERROR(VLOOKUP(A175,库龄!B:K,9,0),0)</f>
        <v>0</v>
      </c>
      <c r="K175">
        <f>IFERROR(VLOOKUP(A175,库龄!B:L,10,0),0)</f>
        <v>0</v>
      </c>
      <c r="L175">
        <f>IFERROR(VLOOKUP(A175,库龄!B:M,11,0),0)</f>
        <v>5</v>
      </c>
      <c r="M175">
        <f>IFERROR(VLOOKUP(A175,库龄!B:N,12,0),0)</f>
        <v>0</v>
      </c>
      <c r="N175">
        <f t="shared" si="6"/>
        <v>5</v>
      </c>
    </row>
    <row r="176" spans="1:14">
      <c r="A176" s="3" t="s">
        <v>606</v>
      </c>
      <c r="B176">
        <f>IFERROR(VLOOKUP(A176,管理亚马逊库存!A:K,11,0),"")</f>
        <v>8</v>
      </c>
      <c r="C176">
        <f>IFERROR(VLOOKUP(A176,管理亚马逊库存!A:L,12,0),"")</f>
        <v>0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0</v>
      </c>
      <c r="H176">
        <f>IFERROR(VLOOKUP(A176,预留库存!A:H,8,0),0)</f>
        <v>0</v>
      </c>
      <c r="I176">
        <f>IFERROR(VLOOKUP(A176,预留库存!A:F,6,0),0)</f>
        <v>0</v>
      </c>
      <c r="J176">
        <f>IFERROR(VLOOKUP(A176,库龄!B:K,9,0),0)</f>
        <v>0</v>
      </c>
      <c r="K176">
        <f>IFERROR(VLOOKUP(A176,库龄!B:L,10,0),0)</f>
        <v>1</v>
      </c>
      <c r="L176">
        <f>IFERROR(VLOOKUP(A176,库龄!B:M,11,0),0)</f>
        <v>7</v>
      </c>
      <c r="M176">
        <f>IFERROR(VLOOKUP(A176,库龄!B:N,12,0),0)</f>
        <v>0</v>
      </c>
      <c r="N176">
        <f t="shared" si="6"/>
        <v>8</v>
      </c>
    </row>
    <row r="177" spans="1:14">
      <c r="A177" s="3" t="s">
        <v>609</v>
      </c>
      <c r="B177">
        <f>IFERROR(VLOOKUP(A177,管理亚马逊库存!A:K,11,0),"")</f>
        <v>2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0</v>
      </c>
      <c r="H177">
        <f>IFERROR(VLOOKUP(A177,预留库存!A:H,8,0),0)</f>
        <v>0</v>
      </c>
      <c r="I177">
        <f>IFERROR(VLOOKUP(A177,预留库存!A:F,6,0),0)</f>
        <v>0</v>
      </c>
      <c r="J177">
        <f>IFERROR(VLOOKUP(A177,库龄!B:K,9,0),0)</f>
        <v>0</v>
      </c>
      <c r="K177">
        <f>IFERROR(VLOOKUP(A177,库龄!B:L,10,0),0)</f>
        <v>1</v>
      </c>
      <c r="L177">
        <f>IFERROR(VLOOKUP(A177,库龄!B:M,11,0),0)</f>
        <v>0</v>
      </c>
      <c r="M177">
        <f>IFERROR(VLOOKUP(A177,库龄!B:N,12,0),0)</f>
        <v>0</v>
      </c>
      <c r="N177">
        <f t="shared" si="6"/>
        <v>1</v>
      </c>
    </row>
    <row r="178" spans="1:14">
      <c r="A178" s="3" t="s">
        <v>612</v>
      </c>
      <c r="B178">
        <f>IFERROR(VLOOKUP(A178,管理亚马逊库存!A:K,11,0),"")</f>
        <v>6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0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IFERROR(VLOOKUP(A178,库龄!B:K,9,0),0)</f>
        <v>0</v>
      </c>
      <c r="K178">
        <f>IFERROR(VLOOKUP(A178,库龄!B:L,10,0),0)</f>
        <v>4</v>
      </c>
      <c r="L178">
        <f>IFERROR(VLOOKUP(A178,库龄!B:M,11,0),0)</f>
        <v>0</v>
      </c>
      <c r="M178">
        <f>IFERROR(VLOOKUP(A178,库龄!B:N,12,0),0)</f>
        <v>0</v>
      </c>
      <c r="N178">
        <f t="shared" si="6"/>
        <v>4</v>
      </c>
    </row>
    <row r="179" spans="1:14">
      <c r="A179" s="3" t="s">
        <v>614</v>
      </c>
      <c r="B179">
        <f>IFERROR(VLOOKUP(A179,管理亚马逊库存!A:K,11,0),"")</f>
        <v>10</v>
      </c>
      <c r="C179">
        <f>IFERROR(VLOOKUP(A179,管理亚马逊库存!A:L,12,0),"")</f>
        <v>0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0</v>
      </c>
      <c r="I179">
        <f>IFERROR(VLOOKUP(A179,预留库存!A:F,6,0),0)</f>
        <v>0</v>
      </c>
      <c r="J179">
        <f>IFERROR(VLOOKUP(A179,库龄!B:K,9,0),0)</f>
        <v>0</v>
      </c>
      <c r="K179">
        <f>IFERROR(VLOOKUP(A179,库龄!B:L,10,0),0)</f>
        <v>8</v>
      </c>
      <c r="L179">
        <f>IFERROR(VLOOKUP(A179,库龄!B:M,11,0),0)</f>
        <v>2</v>
      </c>
      <c r="M179">
        <f>IFERROR(VLOOKUP(A179,库龄!B:N,12,0),0)</f>
        <v>0</v>
      </c>
      <c r="N179">
        <f t="shared" si="6"/>
        <v>10</v>
      </c>
    </row>
    <row r="180" spans="1:14">
      <c r="A180" s="3" t="s">
        <v>616</v>
      </c>
      <c r="B180">
        <f>IFERROR(VLOOKUP(A180,管理亚马逊库存!A:K,11,0),"")</f>
        <v>3</v>
      </c>
      <c r="C180">
        <f>IFERROR(VLOOKUP(A180,管理亚马逊库存!A:L,12,0),"")</f>
        <v>0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0</v>
      </c>
      <c r="H180">
        <f>IFERROR(VLOOKUP(A180,预留库存!A:H,8,0),0)</f>
        <v>0</v>
      </c>
      <c r="I180">
        <f>IFERROR(VLOOKUP(A180,预留库存!A:F,6,0),0)</f>
        <v>0</v>
      </c>
      <c r="J180">
        <f>IFERROR(VLOOKUP(A180,库龄!B:K,9,0),0)</f>
        <v>0</v>
      </c>
      <c r="K180">
        <f>IFERROR(VLOOKUP(A180,库龄!B:L,10,0),0)</f>
        <v>3</v>
      </c>
      <c r="L180">
        <f>IFERROR(VLOOKUP(A180,库龄!B:M,11,0),0)</f>
        <v>0</v>
      </c>
      <c r="M180">
        <f>IFERROR(VLOOKUP(A180,库龄!B:N,12,0),0)</f>
        <v>0</v>
      </c>
      <c r="N180">
        <f t="shared" si="6"/>
        <v>3</v>
      </c>
    </row>
    <row r="181" spans="1:14">
      <c r="A181" s="3" t="s">
        <v>618</v>
      </c>
      <c r="B181">
        <f>IFERROR(VLOOKUP(A181,管理亚马逊库存!A:K,11,0),"")</f>
        <v>6</v>
      </c>
      <c r="C181">
        <f>IFERROR(VLOOKUP(A181,管理亚马逊库存!A:L,12,0),"")</f>
        <v>0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0</v>
      </c>
      <c r="I181">
        <f>IFERROR(VLOOKUP(A181,预留库存!A:F,6,0),0)</f>
        <v>0</v>
      </c>
      <c r="J181">
        <f>IFERROR(VLOOKUP(A181,库龄!B:K,9,0),0)</f>
        <v>0</v>
      </c>
      <c r="K181">
        <f>IFERROR(VLOOKUP(A181,库龄!B:L,10,0),0)</f>
        <v>4</v>
      </c>
      <c r="L181">
        <f>IFERROR(VLOOKUP(A181,库龄!B:M,11,0),0)</f>
        <v>2</v>
      </c>
      <c r="M181">
        <f>IFERROR(VLOOKUP(A181,库龄!B:N,12,0),0)</f>
        <v>0</v>
      </c>
      <c r="N181">
        <f t="shared" si="6"/>
        <v>6</v>
      </c>
    </row>
    <row r="182" spans="1:14">
      <c r="A182" s="3" t="s">
        <v>620</v>
      </c>
      <c r="B182">
        <f>IFERROR(VLOOKUP(A182,管理亚马逊库存!A:K,11,0),"")</f>
        <v>4</v>
      </c>
      <c r="C182">
        <f>IFERROR(VLOOKUP(A182,管理亚马逊库存!A:L,12,0),"")</f>
        <v>0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>
        <f>IFERROR(VLOOKUP(A182,预留库存!A:G,7,0),0)</f>
        <v>0</v>
      </c>
      <c r="H182">
        <f>IFERROR(VLOOKUP(A182,预留库存!A:H,8,0),0)</f>
        <v>0</v>
      </c>
      <c r="I182">
        <f>IFERROR(VLOOKUP(A182,预留库存!A:F,6,0),0)</f>
        <v>0</v>
      </c>
      <c r="J182">
        <f>IFERROR(VLOOKUP(A182,库龄!B:K,9,0),0)</f>
        <v>4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4</v>
      </c>
    </row>
    <row r="183" spans="1:14">
      <c r="A183" s="3" t="s">
        <v>623</v>
      </c>
      <c r="B183">
        <f>IFERROR(VLOOKUP(A183,管理亚马逊库存!A:K,11,0),"")</f>
        <v>4</v>
      </c>
      <c r="C183">
        <f>IFERROR(VLOOKUP(A183,管理亚马逊库存!A:L,12,0),"")</f>
        <v>0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0</v>
      </c>
      <c r="H183">
        <f>IFERROR(VLOOKUP(A183,预留库存!A:H,8,0),0)</f>
        <v>0</v>
      </c>
      <c r="I183">
        <f>IFERROR(VLOOKUP(A183,预留库存!A:F,6,0),0)</f>
        <v>0</v>
      </c>
      <c r="J183">
        <f>IFERROR(VLOOKUP(A183,库龄!B:K,9,0),0)</f>
        <v>4</v>
      </c>
      <c r="K183">
        <f>IFERROR(VLOOKUP(A183,库龄!B:L,10,0),0)</f>
        <v>0</v>
      </c>
      <c r="L183">
        <f>IFERROR(VLOOKUP(A183,库龄!B:M,11,0),0)</f>
        <v>0</v>
      </c>
      <c r="M183">
        <f>IFERROR(VLOOKUP(A183,库龄!B:N,12,0),0)</f>
        <v>0</v>
      </c>
      <c r="N183">
        <f t="shared" si="6"/>
        <v>4</v>
      </c>
    </row>
    <row r="184" spans="1:14">
      <c r="A184" s="3" t="s">
        <v>627</v>
      </c>
      <c r="B184">
        <f>IFERROR(VLOOKUP(A184,管理亚马逊库存!A:K,11,0),"")</f>
        <v>17</v>
      </c>
      <c r="C184">
        <f>IFERROR(VLOOKUP(A184,管理亚马逊库存!A:L,12,0),"")</f>
        <v>0</v>
      </c>
      <c r="D184">
        <f>IFERROR(VLOOKUP(A184,管理亚马逊库存!A:Q,17,0),"")</f>
        <v>74</v>
      </c>
      <c r="E184">
        <f>IFERROR(VLOOKUP(A184,管理亚马逊库存!A:R,18,0),"")</f>
        <v>0</v>
      </c>
      <c r="F184">
        <f t="shared" si="5"/>
        <v>74</v>
      </c>
      <c r="G184">
        <f>IFERROR(VLOOKUP(A184,预留库存!A:G,7,0),0)</f>
        <v>0</v>
      </c>
      <c r="H184">
        <f>IFERROR(VLOOKUP(A184,预留库存!A:H,8,0),0)</f>
        <v>0</v>
      </c>
      <c r="I184">
        <f>IFERROR(VLOOKUP(A184,预留库存!A:F,6,0),0)</f>
        <v>0</v>
      </c>
      <c r="J184">
        <f>IFERROR(VLOOKUP(A184,库龄!B:K,9,0),0)</f>
        <v>0</v>
      </c>
      <c r="K184">
        <f>IFERROR(VLOOKUP(A184,库龄!B:L,10,0),0)</f>
        <v>0</v>
      </c>
      <c r="L184">
        <f>IFERROR(VLOOKUP(A184,库龄!B:M,11,0),0)</f>
        <v>0</v>
      </c>
      <c r="M184">
        <f>IFERROR(VLOOKUP(A184,库龄!B:N,12,0),0)</f>
        <v>0</v>
      </c>
      <c r="N184">
        <f t="shared" si="6"/>
        <v>0</v>
      </c>
    </row>
    <row r="185" spans="1:14">
      <c r="A185" s="3" t="s">
        <v>632</v>
      </c>
      <c r="B185">
        <f>IFERROR(VLOOKUP(A185,管理亚马逊库存!A:K,11,0),"")</f>
        <v>2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0</v>
      </c>
      <c r="I185">
        <f>IFERROR(VLOOKUP(A185,预留库存!A:F,6,0),0)</f>
        <v>0</v>
      </c>
      <c r="J185">
        <f>IFERROR(VLOOKUP(A185,库龄!B:K,9,0),0)</f>
        <v>0</v>
      </c>
      <c r="K185">
        <f>IFERROR(VLOOKUP(A185,库龄!B:L,10,0),0)</f>
        <v>0</v>
      </c>
      <c r="L185">
        <f>IFERROR(VLOOKUP(A185,库龄!B:M,11,0),0)</f>
        <v>0</v>
      </c>
      <c r="M185">
        <f>IFERROR(VLOOKUP(A185,库龄!B:N,12,0),0)</f>
        <v>0</v>
      </c>
      <c r="N185">
        <f t="shared" si="6"/>
        <v>0</v>
      </c>
    </row>
    <row r="186" spans="1:14">
      <c r="A186" s="3" t="s">
        <v>635</v>
      </c>
      <c r="B186">
        <f>IFERROR(VLOOKUP(A186,管理亚马逊库存!A:K,11,0),"")</f>
        <v>6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0</v>
      </c>
      <c r="I186">
        <f>IFERROR(VLOOKUP(A186,预留库存!A:F,6,0),0)</f>
        <v>0</v>
      </c>
      <c r="J186">
        <f>IFERROR(VLOOKUP(A186,库龄!B:K,9,0),0)</f>
        <v>0</v>
      </c>
      <c r="K186">
        <f>IFERROR(VLOOKUP(A186,库龄!B:L,10,0),0)</f>
        <v>4</v>
      </c>
      <c r="L186">
        <f>IFERROR(VLOOKUP(A186,库龄!B:M,11,0),0)</f>
        <v>2</v>
      </c>
      <c r="M186">
        <f>IFERROR(VLOOKUP(A186,库龄!B:N,12,0),0)</f>
        <v>0</v>
      </c>
      <c r="N186">
        <f t="shared" si="6"/>
        <v>6</v>
      </c>
    </row>
    <row r="187" spans="1:14">
      <c r="A187" s="3" t="s">
        <v>638</v>
      </c>
      <c r="B187">
        <f>IFERROR(VLOOKUP(A187,管理亚马逊库存!A:K,11,0),"")</f>
        <v>4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0</v>
      </c>
      <c r="I187">
        <f>IFERROR(VLOOKUP(A187,预留库存!A:F,6,0),0)</f>
        <v>0</v>
      </c>
      <c r="J187">
        <f>IFERROR(VLOOKUP(A187,库龄!B:K,9,0),0)</f>
        <v>4</v>
      </c>
      <c r="K187">
        <f>IFERROR(VLOOKUP(A187,库龄!B:L,10,0),0)</f>
        <v>0</v>
      </c>
      <c r="L187">
        <f>IFERROR(VLOOKUP(A187,库龄!B:M,11,0),0)</f>
        <v>0</v>
      </c>
      <c r="M187">
        <f>IFERROR(VLOOKUP(A187,库龄!B:N,12,0),0)</f>
        <v>0</v>
      </c>
      <c r="N187">
        <f t="shared" si="6"/>
        <v>4</v>
      </c>
    </row>
    <row r="188" spans="1:14">
      <c r="A188" s="3" t="s">
        <v>641</v>
      </c>
      <c r="B188">
        <f>IFERROR(VLOOKUP(A188,管理亚马逊库存!A:K,11,0),"")</f>
        <v>0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0</v>
      </c>
      <c r="I188">
        <f>IFERROR(VLOOKUP(A188,预留库存!A:F,6,0),0)</f>
        <v>0</v>
      </c>
      <c r="J188">
        <f>IFERROR(VLOOKUP(A188,库龄!B:K,9,0),0)</f>
        <v>0</v>
      </c>
      <c r="K188">
        <f>IFERROR(VLOOKUP(A188,库龄!B:L,10,0),0)</f>
        <v>0</v>
      </c>
      <c r="L188">
        <f>IFERROR(VLOOKUP(A188,库龄!B:M,11,0),0)</f>
        <v>0</v>
      </c>
      <c r="M188">
        <f>IFERROR(VLOOKUP(A188,库龄!B:N,12,0),0)</f>
        <v>0</v>
      </c>
      <c r="N188">
        <f t="shared" si="6"/>
        <v>0</v>
      </c>
    </row>
    <row r="189" spans="1:14">
      <c r="A189" s="3" t="s">
        <v>645</v>
      </c>
      <c r="B189">
        <f>IFERROR(VLOOKUP(A189,管理亚马逊库存!A:K,11,0),"")</f>
        <v>20</v>
      </c>
      <c r="C189">
        <f>IFERROR(VLOOKUP(A189,管理亚马逊库存!A:L,12,0),"")</f>
        <v>0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>
        <f>IFERROR(VLOOKUP(A189,预留库存!A:G,7,0),0)</f>
        <v>0</v>
      </c>
      <c r="H189">
        <f>IFERROR(VLOOKUP(A189,预留库存!A:H,8,0),0)</f>
        <v>0</v>
      </c>
      <c r="I189">
        <f>IFERROR(VLOOKUP(A189,预留库存!A:F,6,0),0)</f>
        <v>0</v>
      </c>
      <c r="J189">
        <f>IFERROR(VLOOKUP(A189,库龄!B:K,9,0),0)</f>
        <v>0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0</v>
      </c>
      <c r="N189">
        <f t="shared" si="6"/>
        <v>0</v>
      </c>
    </row>
    <row r="190" spans="1:14">
      <c r="A190" s="3" t="s">
        <v>650</v>
      </c>
      <c r="B190">
        <f>IFERROR(VLOOKUP(A190,管理亚马逊库存!A:K,11,0),"")</f>
        <v>2</v>
      </c>
      <c r="C190">
        <f>IFERROR(VLOOKUP(A190,管理亚马逊库存!A:L,12,0),"")</f>
        <v>0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0</v>
      </c>
      <c r="H190">
        <f>IFERROR(VLOOKUP(A190,预留库存!A:H,8,0),0)</f>
        <v>0</v>
      </c>
      <c r="I190">
        <f>IFERROR(VLOOKUP(A190,预留库存!A:F,6,0),0)</f>
        <v>0</v>
      </c>
      <c r="J190">
        <f>IFERROR(VLOOKUP(A190,库龄!B:K,9,0),0)</f>
        <v>0</v>
      </c>
      <c r="K190">
        <f>IFERROR(VLOOKUP(A190,库龄!B:L,10,0),0)</f>
        <v>2</v>
      </c>
      <c r="L190">
        <f>IFERROR(VLOOKUP(A190,库龄!B:M,11,0),0)</f>
        <v>0</v>
      </c>
      <c r="M190">
        <f>IFERROR(VLOOKUP(A190,库龄!B:N,12,0),0)</f>
        <v>0</v>
      </c>
      <c r="N190">
        <f t="shared" si="6"/>
        <v>2</v>
      </c>
    </row>
    <row r="191" spans="1:14">
      <c r="A191" s="3" t="s">
        <v>652</v>
      </c>
      <c r="B191">
        <f>IFERROR(VLOOKUP(A191,管理亚马逊库存!A:K,11,0),"")</f>
        <v>0</v>
      </c>
      <c r="C191">
        <f>IFERROR(VLOOKUP(A191,管理亚马逊库存!A:L,12,0),"")</f>
        <v>0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0</v>
      </c>
      <c r="I191">
        <f>IFERROR(VLOOKUP(A191,预留库存!A:F,6,0),0)</f>
        <v>0</v>
      </c>
      <c r="J191">
        <f>IFERROR(VLOOKUP(A191,库龄!B:K,9,0),0)</f>
        <v>1</v>
      </c>
      <c r="K191">
        <f>IFERROR(VLOOKUP(A191,库龄!B:L,10,0),0)</f>
        <v>0</v>
      </c>
      <c r="L191">
        <f>IFERROR(VLOOKUP(A191,库龄!B:M,11,0),0)</f>
        <v>0</v>
      </c>
      <c r="M191">
        <f>IFERROR(VLOOKUP(A191,库龄!B:N,12,0),0)</f>
        <v>0</v>
      </c>
      <c r="N191">
        <f t="shared" si="6"/>
        <v>1</v>
      </c>
    </row>
    <row r="192" spans="1:14">
      <c r="A192" s="3" t="s">
        <v>655</v>
      </c>
      <c r="B192">
        <f>IFERROR(VLOOKUP(A192,管理亚马逊库存!A:K,11,0),"")</f>
        <v>9</v>
      </c>
      <c r="C192">
        <f>IFERROR(VLOOKUP(A192,管理亚马逊库存!A:L,12,0),"")</f>
        <v>0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0</v>
      </c>
      <c r="I192">
        <f>IFERROR(VLOOKUP(A192,预留库存!A:F,6,0),0)</f>
        <v>0</v>
      </c>
      <c r="J192">
        <f>IFERROR(VLOOKUP(A192,库龄!B:K,9,0),0)</f>
        <v>9</v>
      </c>
      <c r="K192">
        <f>IFERROR(VLOOKUP(A192,库龄!B:L,10,0),0)</f>
        <v>0</v>
      </c>
      <c r="L192">
        <f>IFERROR(VLOOKUP(A192,库龄!B:M,11,0),0)</f>
        <v>0</v>
      </c>
      <c r="M192">
        <f>IFERROR(VLOOKUP(A192,库龄!B:N,12,0),0)</f>
        <v>0</v>
      </c>
      <c r="N192">
        <f t="shared" si="6"/>
        <v>9</v>
      </c>
    </row>
    <row r="193" spans="1:14">
      <c r="A193" s="3" t="s">
        <v>658</v>
      </c>
      <c r="B193">
        <f>IFERROR(VLOOKUP(A193,管理亚马逊库存!A:K,11,0),"")</f>
        <v>3</v>
      </c>
      <c r="C193">
        <f>IFERROR(VLOOKUP(A193,管理亚马逊库存!A:L,12,0),"")</f>
        <v>0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0</v>
      </c>
      <c r="I193">
        <f>IFERROR(VLOOKUP(A193,预留库存!A:F,6,0),0)</f>
        <v>0</v>
      </c>
      <c r="J193">
        <f>IFERROR(VLOOKUP(A193,库龄!B:K,9,0),0)</f>
        <v>3</v>
      </c>
      <c r="K193">
        <f>IFERROR(VLOOKUP(A193,库龄!B:L,10,0),0)</f>
        <v>0</v>
      </c>
      <c r="L193">
        <f>IFERROR(VLOOKUP(A193,库龄!B:M,11,0),0)</f>
        <v>0</v>
      </c>
      <c r="M193">
        <f>IFERROR(VLOOKUP(A193,库龄!B:N,12,0),0)</f>
        <v>0</v>
      </c>
      <c r="N193">
        <f t="shared" si="6"/>
        <v>3</v>
      </c>
    </row>
    <row r="194" spans="1:14">
      <c r="A194" s="3" t="s">
        <v>662</v>
      </c>
      <c r="B194">
        <f>IFERROR(VLOOKUP(A194,管理亚马逊库存!A:K,11,0),"")</f>
        <v>14</v>
      </c>
      <c r="C194">
        <f>IFERROR(VLOOKUP(A194,管理亚马逊库存!A:L,12,0),"")</f>
        <v>0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0</v>
      </c>
      <c r="H194">
        <f>IFERROR(VLOOKUP(A194,预留库存!A:H,8,0),0)</f>
        <v>0</v>
      </c>
      <c r="I194">
        <f>IFERROR(VLOOKUP(A194,预留库存!A:F,6,0),0)</f>
        <v>0</v>
      </c>
      <c r="J194">
        <f>IFERROR(VLOOKUP(A194,库龄!B:K,9,0),0)</f>
        <v>0</v>
      </c>
      <c r="K194">
        <f>IFERROR(VLOOKUP(A194,库龄!B:L,10,0),0)</f>
        <v>0</v>
      </c>
      <c r="L194">
        <f>IFERROR(VLOOKUP(A194,库龄!B:M,11,0),0)</f>
        <v>13</v>
      </c>
      <c r="M194">
        <f>IFERROR(VLOOKUP(A194,库龄!B:N,12,0),0)</f>
        <v>0</v>
      </c>
      <c r="N194">
        <f t="shared" si="6"/>
        <v>13</v>
      </c>
    </row>
    <row r="195" spans="1:14">
      <c r="A195" s="3" t="s">
        <v>665</v>
      </c>
      <c r="B195">
        <f>IFERROR(VLOOKUP(A195,管理亚马逊库存!A:K,11,0),"")</f>
        <v>3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8" si="7">SUM(D195:E195)</f>
        <v>0</v>
      </c>
      <c r="G195">
        <f>IFERROR(VLOOKUP(A195,预留库存!A:G,7,0),0)</f>
        <v>0</v>
      </c>
      <c r="H195">
        <f>IFERROR(VLOOKUP(A195,预留库存!A:H,8,0),0)</f>
        <v>0</v>
      </c>
      <c r="I195">
        <f>IFERROR(VLOOKUP(A195,预留库存!A:F,6,0),0)</f>
        <v>0</v>
      </c>
      <c r="J195">
        <f>IFERROR(VLOOKUP(A195,库龄!B:K,9,0),0)</f>
        <v>0</v>
      </c>
      <c r="K195">
        <f>IFERROR(VLOOKUP(A195,库龄!B:L,10,0),0)</f>
        <v>3</v>
      </c>
      <c r="L195">
        <f>IFERROR(VLOOKUP(A195,库龄!B:M,11,0),0)</f>
        <v>0</v>
      </c>
      <c r="M195">
        <f>IFERROR(VLOOKUP(A195,库龄!B:N,12,0),0)</f>
        <v>0</v>
      </c>
      <c r="N195">
        <f t="shared" ref="N195:N258" si="8">SUM(J195:M195)</f>
        <v>3</v>
      </c>
    </row>
    <row r="196" spans="1:14">
      <c r="A196" s="3" t="s">
        <v>667</v>
      </c>
      <c r="B196">
        <f>IFERROR(VLOOKUP(A196,管理亚马逊库存!A:K,11,0),"")</f>
        <v>7</v>
      </c>
      <c r="C196">
        <f>IFERROR(VLOOKUP(A196,管理亚马逊库存!A:L,12,0),"")</f>
        <v>0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0</v>
      </c>
      <c r="H196">
        <f>IFERROR(VLOOKUP(A196,预留库存!A:H,8,0),0)</f>
        <v>0</v>
      </c>
      <c r="I196">
        <f>IFERROR(VLOOKUP(A196,预留库存!A:F,6,0),0)</f>
        <v>0</v>
      </c>
      <c r="J196">
        <f>IFERROR(VLOOKUP(A196,库龄!B:K,9,0),0)</f>
        <v>0</v>
      </c>
      <c r="K196">
        <f>IFERROR(VLOOKUP(A196,库龄!B:L,10,0),0)</f>
        <v>0</v>
      </c>
      <c r="L196">
        <f>IFERROR(VLOOKUP(A196,库龄!B:M,11,0),0)</f>
        <v>7</v>
      </c>
      <c r="M196">
        <f>IFERROR(VLOOKUP(A196,库龄!B:N,12,0),0)</f>
        <v>0</v>
      </c>
      <c r="N196">
        <f t="shared" si="8"/>
        <v>7</v>
      </c>
    </row>
    <row r="197" spans="1:14">
      <c r="A197" s="3" t="s">
        <v>670</v>
      </c>
      <c r="B197">
        <f>IFERROR(VLOOKUP(A197,管理亚马逊库存!A:K,11,0),"")</f>
        <v>4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0</v>
      </c>
      <c r="H197">
        <f>IFERROR(VLOOKUP(A197,预留库存!A:H,8,0),0)</f>
        <v>0</v>
      </c>
      <c r="I197">
        <f>IFERROR(VLOOKUP(A197,预留库存!A:F,6,0),0)</f>
        <v>0</v>
      </c>
      <c r="J197">
        <f>IFERROR(VLOOKUP(A197,库龄!B:K,9,0),0)</f>
        <v>4</v>
      </c>
      <c r="K197">
        <f>IFERROR(VLOOKUP(A197,库龄!B:L,10,0),0)</f>
        <v>0</v>
      </c>
      <c r="L197">
        <f>IFERROR(VLOOKUP(A197,库龄!B:M,11,0),0)</f>
        <v>0</v>
      </c>
      <c r="M197">
        <f>IFERROR(VLOOKUP(A197,库龄!B:N,12,0),0)</f>
        <v>0</v>
      </c>
      <c r="N197">
        <f t="shared" si="8"/>
        <v>4</v>
      </c>
    </row>
    <row r="198" spans="1:14">
      <c r="A198" s="3" t="s">
        <v>673</v>
      </c>
      <c r="B198">
        <f>IFERROR(VLOOKUP(A198,管理亚马逊库存!A:K,11,0),"")</f>
        <v>4</v>
      </c>
      <c r="C198">
        <f>IFERROR(VLOOKUP(A198,管理亚马逊库存!A:L,12,0),"")</f>
        <v>0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0</v>
      </c>
      <c r="H198">
        <f>IFERROR(VLOOKUP(A198,预留库存!A:H,8,0),0)</f>
        <v>0</v>
      </c>
      <c r="I198">
        <f>IFERROR(VLOOKUP(A198,预留库存!A:F,6,0),0)</f>
        <v>0</v>
      </c>
      <c r="J198">
        <f>IFERROR(VLOOKUP(A198,库龄!B:K,9,0),0)</f>
        <v>1</v>
      </c>
      <c r="K198">
        <f>IFERROR(VLOOKUP(A198,库龄!B:L,10,0),0)</f>
        <v>2</v>
      </c>
      <c r="L198">
        <f>IFERROR(VLOOKUP(A198,库龄!B:M,11,0),0)</f>
        <v>0</v>
      </c>
      <c r="M198">
        <f>IFERROR(VLOOKUP(A198,库龄!B:N,12,0),0)</f>
        <v>0</v>
      </c>
      <c r="N198">
        <f t="shared" si="8"/>
        <v>3</v>
      </c>
    </row>
    <row r="199" spans="1:14">
      <c r="A199" s="3" t="s">
        <v>675</v>
      </c>
      <c r="B199">
        <f>IFERROR(VLOOKUP(A199,管理亚马逊库存!A:K,11,0),"")</f>
        <v>4</v>
      </c>
      <c r="C199">
        <f>IFERROR(VLOOKUP(A199,管理亚马逊库存!A:L,12,0),"")</f>
        <v>0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0</v>
      </c>
      <c r="H199">
        <f>IFERROR(VLOOKUP(A199,预留库存!A:H,8,0),0)</f>
        <v>0</v>
      </c>
      <c r="I199">
        <f>IFERROR(VLOOKUP(A199,预留库存!A:F,6,0),0)</f>
        <v>0</v>
      </c>
      <c r="J199">
        <f>IFERROR(VLOOKUP(A199,库龄!B:K,9,0),0)</f>
        <v>4</v>
      </c>
      <c r="K199">
        <f>IFERROR(VLOOKUP(A199,库龄!B:L,10,0),0)</f>
        <v>0</v>
      </c>
      <c r="L199">
        <f>IFERROR(VLOOKUP(A199,库龄!B:M,11,0),0)</f>
        <v>0</v>
      </c>
      <c r="M199">
        <f>IFERROR(VLOOKUP(A199,库龄!B:N,12,0),0)</f>
        <v>0</v>
      </c>
      <c r="N199">
        <f t="shared" si="8"/>
        <v>4</v>
      </c>
    </row>
    <row r="200" spans="1:14">
      <c r="A200" s="3" t="s">
        <v>678</v>
      </c>
      <c r="B200">
        <f>IFERROR(VLOOKUP(A200,管理亚马逊库存!A:K,11,0),"")</f>
        <v>13</v>
      </c>
      <c r="C200">
        <f>IFERROR(VLOOKUP(A200,管理亚马逊库存!A:L,12,0),"")</f>
        <v>0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0</v>
      </c>
      <c r="I200">
        <f>IFERROR(VLOOKUP(A200,预留库存!A:F,6,0),0)</f>
        <v>0</v>
      </c>
      <c r="J200">
        <f>IFERROR(VLOOKUP(A200,库龄!B:K,9,0),0)</f>
        <v>0</v>
      </c>
      <c r="K200">
        <f>IFERROR(VLOOKUP(A200,库龄!B:L,10,0),0)</f>
        <v>0</v>
      </c>
      <c r="L200">
        <f>IFERROR(VLOOKUP(A200,库龄!B:M,11,0),0)</f>
        <v>13</v>
      </c>
      <c r="M200">
        <f>IFERROR(VLOOKUP(A200,库龄!B:N,12,0),0)</f>
        <v>0</v>
      </c>
      <c r="N200">
        <f t="shared" si="8"/>
        <v>13</v>
      </c>
    </row>
    <row r="201" spans="1:14">
      <c r="A201" s="3" t="s">
        <v>681</v>
      </c>
      <c r="B201">
        <f>IFERROR(VLOOKUP(A201,管理亚马逊库存!A:K,11,0),"")</f>
        <v>5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0</v>
      </c>
      <c r="I201">
        <f>IFERROR(VLOOKUP(A201,预留库存!A:F,6,0),0)</f>
        <v>0</v>
      </c>
      <c r="J201">
        <f>IFERROR(VLOOKUP(A201,库龄!B:K,9,0),0)</f>
        <v>0</v>
      </c>
      <c r="K201">
        <f>IFERROR(VLOOKUP(A201,库龄!B:L,10,0),0)</f>
        <v>4</v>
      </c>
      <c r="L201">
        <f>IFERROR(VLOOKUP(A201,库龄!B:M,11,0),0)</f>
        <v>0</v>
      </c>
      <c r="M201">
        <f>IFERROR(VLOOKUP(A201,库龄!B:N,12,0),0)</f>
        <v>0</v>
      </c>
      <c r="N201">
        <f t="shared" si="8"/>
        <v>4</v>
      </c>
    </row>
    <row r="202" spans="1:14">
      <c r="A202" s="3" t="s">
        <v>684</v>
      </c>
      <c r="B202">
        <f>IFERROR(VLOOKUP(A202,管理亚马逊库存!A:K,11,0),"")</f>
        <v>10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0</v>
      </c>
      <c r="I202">
        <f>IFERROR(VLOOKUP(A202,预留库存!A:F,6,0),0)</f>
        <v>0</v>
      </c>
      <c r="J202">
        <f>IFERROR(VLOOKUP(A202,库龄!B:K,9,0),0)</f>
        <v>0</v>
      </c>
      <c r="K202">
        <f>IFERROR(VLOOKUP(A202,库龄!B:L,10,0),0)</f>
        <v>0</v>
      </c>
      <c r="L202">
        <f>IFERROR(VLOOKUP(A202,库龄!B:M,11,0),0)</f>
        <v>0</v>
      </c>
      <c r="M202">
        <f>IFERROR(VLOOKUP(A202,库龄!B:N,12,0),0)</f>
        <v>0</v>
      </c>
      <c r="N202">
        <f t="shared" si="8"/>
        <v>0</v>
      </c>
    </row>
    <row r="203" spans="1:14">
      <c r="A203" s="3" t="s">
        <v>687</v>
      </c>
      <c r="B203">
        <f>IFERROR(VLOOKUP(A203,管理亚马逊库存!A:K,11,0),"")</f>
        <v>10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0</v>
      </c>
      <c r="H203">
        <f>IFERROR(VLOOKUP(A203,预留库存!A:H,8,0),0)</f>
        <v>0</v>
      </c>
      <c r="I203">
        <f>IFERROR(VLOOKUP(A203,预留库存!A:F,6,0),0)</f>
        <v>0</v>
      </c>
      <c r="J203">
        <f>IFERROR(VLOOKUP(A203,库龄!B:K,9,0),0)</f>
        <v>0</v>
      </c>
      <c r="K203">
        <f>IFERROR(VLOOKUP(A203,库龄!B:L,10,0),0)</f>
        <v>10</v>
      </c>
      <c r="L203">
        <f>IFERROR(VLOOKUP(A203,库龄!B:M,11,0),0)</f>
        <v>0</v>
      </c>
      <c r="M203">
        <f>IFERROR(VLOOKUP(A203,库龄!B:N,12,0),0)</f>
        <v>0</v>
      </c>
      <c r="N203">
        <f t="shared" si="8"/>
        <v>10</v>
      </c>
    </row>
    <row r="204" spans="1:14">
      <c r="A204" s="3" t="s">
        <v>690</v>
      </c>
      <c r="B204">
        <f>IFERROR(VLOOKUP(A204,管理亚马逊库存!A:K,11,0),"")</f>
        <v>15</v>
      </c>
      <c r="C204">
        <f>IFERROR(VLOOKUP(A204,管理亚马逊库存!A:L,12,0),"")</f>
        <v>0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0</v>
      </c>
      <c r="I204">
        <f>IFERROR(VLOOKUP(A204,预留库存!A:F,6,0),0)</f>
        <v>0</v>
      </c>
      <c r="J204">
        <f>IFERROR(VLOOKUP(A204,库龄!B:K,9,0),0)</f>
        <v>0</v>
      </c>
      <c r="K204">
        <f>IFERROR(VLOOKUP(A204,库龄!B:L,10,0),0)</f>
        <v>0</v>
      </c>
      <c r="L204">
        <f>IFERROR(VLOOKUP(A204,库龄!B:M,11,0),0)</f>
        <v>14</v>
      </c>
      <c r="M204">
        <f>IFERROR(VLOOKUP(A204,库龄!B:N,12,0),0)</f>
        <v>0</v>
      </c>
      <c r="N204">
        <f t="shared" si="8"/>
        <v>14</v>
      </c>
    </row>
    <row r="205" spans="1:14">
      <c r="A205" s="3" t="s">
        <v>693</v>
      </c>
      <c r="B205">
        <f>IFERROR(VLOOKUP(A205,管理亚马逊库存!A:K,11,0),"")</f>
        <v>3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0</v>
      </c>
      <c r="I205">
        <f>IFERROR(VLOOKUP(A205,预留库存!A:F,6,0),0)</f>
        <v>0</v>
      </c>
      <c r="J205">
        <f>IFERROR(VLOOKUP(A205,库龄!B:K,9,0),0)</f>
        <v>0</v>
      </c>
      <c r="K205">
        <f>IFERROR(VLOOKUP(A205,库龄!B:L,10,0),0)</f>
        <v>1</v>
      </c>
      <c r="L205">
        <f>IFERROR(VLOOKUP(A205,库龄!B:M,11,0),0)</f>
        <v>2</v>
      </c>
      <c r="M205">
        <f>IFERROR(VLOOKUP(A205,库龄!B:N,12,0),0)</f>
        <v>0</v>
      </c>
      <c r="N205">
        <f t="shared" si="8"/>
        <v>3</v>
      </c>
    </row>
    <row r="206" spans="1:14">
      <c r="A206" s="3" t="s">
        <v>695</v>
      </c>
      <c r="B206">
        <f>IFERROR(VLOOKUP(A206,管理亚马逊库存!A:K,11,0),"")</f>
        <v>4</v>
      </c>
      <c r="C206">
        <f>IFERROR(VLOOKUP(A206,管理亚马逊库存!A:L,12,0),"")</f>
        <v>0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0</v>
      </c>
      <c r="H206">
        <f>IFERROR(VLOOKUP(A206,预留库存!A:H,8,0),0)</f>
        <v>0</v>
      </c>
      <c r="I206">
        <f>IFERROR(VLOOKUP(A206,预留库存!A:F,6,0),0)</f>
        <v>0</v>
      </c>
      <c r="J206">
        <f>IFERROR(VLOOKUP(A206,库龄!B:K,9,0),0)</f>
        <v>4</v>
      </c>
      <c r="K206">
        <f>IFERROR(VLOOKUP(A206,库龄!B:L,10,0),0)</f>
        <v>0</v>
      </c>
      <c r="L206">
        <f>IFERROR(VLOOKUP(A206,库龄!B:M,11,0),0)</f>
        <v>0</v>
      </c>
      <c r="M206">
        <f>IFERROR(VLOOKUP(A206,库龄!B:N,12,0),0)</f>
        <v>0</v>
      </c>
      <c r="N206">
        <f t="shared" si="8"/>
        <v>4</v>
      </c>
    </row>
    <row r="207" spans="1:14">
      <c r="A207" s="3" t="s">
        <v>698</v>
      </c>
      <c r="B207">
        <f>IFERROR(VLOOKUP(A207,管理亚马逊库存!A:K,11,0),"")</f>
        <v>3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0</v>
      </c>
      <c r="H207">
        <f>IFERROR(VLOOKUP(A207,预留库存!A:H,8,0),0)</f>
        <v>0</v>
      </c>
      <c r="I207">
        <f>IFERROR(VLOOKUP(A207,预留库存!A:F,6,0),0)</f>
        <v>0</v>
      </c>
      <c r="J207">
        <f>IFERROR(VLOOKUP(A207,库龄!B:K,9,0),0)</f>
        <v>0</v>
      </c>
      <c r="K207">
        <f>IFERROR(VLOOKUP(A207,库龄!B:L,10,0),0)</f>
        <v>2</v>
      </c>
      <c r="L207">
        <f>IFERROR(VLOOKUP(A207,库龄!B:M,11,0),0)</f>
        <v>0</v>
      </c>
      <c r="M207">
        <f>IFERROR(VLOOKUP(A207,库龄!B:N,12,0),0)</f>
        <v>0</v>
      </c>
      <c r="N207">
        <f t="shared" si="8"/>
        <v>2</v>
      </c>
    </row>
    <row r="208" spans="1:14">
      <c r="A208" s="3" t="s">
        <v>701</v>
      </c>
      <c r="B208">
        <f>IFERROR(VLOOKUP(A208,管理亚马逊库存!A:K,11,0),"")</f>
        <v>12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0</v>
      </c>
      <c r="I208">
        <f>IFERROR(VLOOKUP(A208,预留库存!A:F,6,0),0)</f>
        <v>0</v>
      </c>
      <c r="J208">
        <f>IFERROR(VLOOKUP(A208,库龄!B:K,9,0),0)</f>
        <v>7</v>
      </c>
      <c r="K208">
        <f>IFERROR(VLOOKUP(A208,库龄!B:L,10,0),0)</f>
        <v>0</v>
      </c>
      <c r="L208">
        <f>IFERROR(VLOOKUP(A208,库龄!B:M,11,0),0)</f>
        <v>0</v>
      </c>
      <c r="M208">
        <f>IFERROR(VLOOKUP(A208,库龄!B:N,12,0),0)</f>
        <v>0</v>
      </c>
      <c r="N208">
        <f t="shared" si="8"/>
        <v>7</v>
      </c>
    </row>
    <row r="209" spans="1:14">
      <c r="A209" s="3" t="s">
        <v>704</v>
      </c>
      <c r="B209">
        <f>IFERROR(VLOOKUP(A209,管理亚马逊库存!A:K,11,0),"")</f>
        <v>3</v>
      </c>
      <c r="C209">
        <f>IFERROR(VLOOKUP(A209,管理亚马逊库存!A:L,12,0),"")</f>
        <v>0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0</v>
      </c>
      <c r="I209">
        <f>IFERROR(VLOOKUP(A209,预留库存!A:F,6,0),0)</f>
        <v>0</v>
      </c>
      <c r="J209">
        <f>IFERROR(VLOOKUP(A209,库龄!B:K,9,0),0)</f>
        <v>3</v>
      </c>
      <c r="K209">
        <f>IFERROR(VLOOKUP(A209,库龄!B:L,10,0),0)</f>
        <v>0</v>
      </c>
      <c r="L209">
        <f>IFERROR(VLOOKUP(A209,库龄!B:M,11,0),0)</f>
        <v>0</v>
      </c>
      <c r="M209">
        <f>IFERROR(VLOOKUP(A209,库龄!B:N,12,0),0)</f>
        <v>0</v>
      </c>
      <c r="N209">
        <f t="shared" si="8"/>
        <v>3</v>
      </c>
    </row>
    <row r="210" spans="1:14">
      <c r="A210" s="3" t="s">
        <v>707</v>
      </c>
      <c r="B210">
        <f>IFERROR(VLOOKUP(A210,管理亚马逊库存!A:K,11,0),"")</f>
        <v>5</v>
      </c>
      <c r="C210">
        <f>IFERROR(VLOOKUP(A210,管理亚马逊库存!A:L,12,0),"")</f>
        <v>0</v>
      </c>
      <c r="D210">
        <f>IFERROR(VLOOKUP(A210,管理亚马逊库存!A:Q,17,0),"")</f>
        <v>30</v>
      </c>
      <c r="E210">
        <f>IFERROR(VLOOKUP(A210,管理亚马逊库存!A:R,18,0),"")</f>
        <v>0</v>
      </c>
      <c r="F210">
        <f t="shared" si="7"/>
        <v>30</v>
      </c>
      <c r="G210">
        <f>IFERROR(VLOOKUP(A210,预留库存!A:G,7,0),0)</f>
        <v>0</v>
      </c>
      <c r="H210">
        <f>IFERROR(VLOOKUP(A210,预留库存!A:H,8,0),0)</f>
        <v>0</v>
      </c>
      <c r="I210">
        <f>IFERROR(VLOOKUP(A210,预留库存!A:F,6,0),0)</f>
        <v>0</v>
      </c>
      <c r="J210">
        <f>IFERROR(VLOOKUP(A210,库龄!B:K,9,0),0)</f>
        <v>0</v>
      </c>
      <c r="K210">
        <f>IFERROR(VLOOKUP(A210,库龄!B:L,10,0),0)</f>
        <v>0</v>
      </c>
      <c r="L210">
        <f>IFERROR(VLOOKUP(A210,库龄!B:M,11,0),0)</f>
        <v>0</v>
      </c>
      <c r="M210">
        <f>IFERROR(VLOOKUP(A210,库龄!B:N,12,0),0)</f>
        <v>0</v>
      </c>
      <c r="N210">
        <f t="shared" si="8"/>
        <v>0</v>
      </c>
    </row>
    <row r="211" spans="1:14">
      <c r="A211" s="3" t="s">
        <v>711</v>
      </c>
      <c r="B211">
        <f>IFERROR(VLOOKUP(A211,管理亚马逊库存!A:K,11,0),"")</f>
        <v>4</v>
      </c>
      <c r="C211">
        <f>IFERROR(VLOOKUP(A211,管理亚马逊库存!A:L,12,0),"")</f>
        <v>0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0</v>
      </c>
      <c r="H211">
        <f>IFERROR(VLOOKUP(A211,预留库存!A:H,8,0),0)</f>
        <v>0</v>
      </c>
      <c r="I211">
        <f>IFERROR(VLOOKUP(A211,预留库存!A:F,6,0),0)</f>
        <v>0</v>
      </c>
      <c r="J211">
        <f>IFERROR(VLOOKUP(A211,库龄!B:K,9,0),0)</f>
        <v>0</v>
      </c>
      <c r="K211">
        <f>IFERROR(VLOOKUP(A211,库龄!B:L,10,0),0)</f>
        <v>4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4</v>
      </c>
    </row>
    <row r="212" spans="1:14">
      <c r="A212" s="3" t="s">
        <v>714</v>
      </c>
      <c r="B212">
        <f>IFERROR(VLOOKUP(A212,管理亚马逊库存!A:K,11,0),"")</f>
        <v>4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0</v>
      </c>
      <c r="H212">
        <f>IFERROR(VLOOKUP(A212,预留库存!A:H,8,0),0)</f>
        <v>0</v>
      </c>
      <c r="I212">
        <f>IFERROR(VLOOKUP(A212,预留库存!A:F,6,0),0)</f>
        <v>0</v>
      </c>
      <c r="J212">
        <f>IFERROR(VLOOKUP(A212,库龄!B:K,9,0),0)</f>
        <v>4</v>
      </c>
      <c r="K212">
        <f>IFERROR(VLOOKUP(A212,库龄!B:L,10,0),0)</f>
        <v>0</v>
      </c>
      <c r="L212">
        <f>IFERROR(VLOOKUP(A212,库龄!B:M,11,0),0)</f>
        <v>0</v>
      </c>
      <c r="M212">
        <f>IFERROR(VLOOKUP(A212,库龄!B:N,12,0),0)</f>
        <v>0</v>
      </c>
      <c r="N212">
        <f t="shared" si="8"/>
        <v>4</v>
      </c>
    </row>
    <row r="213" spans="1:14">
      <c r="A213" s="3" t="s">
        <v>718</v>
      </c>
      <c r="B213">
        <f>IFERROR(VLOOKUP(A213,管理亚马逊库存!A:K,11,0),"")</f>
        <v>5</v>
      </c>
      <c r="C213">
        <f>IFERROR(VLOOKUP(A213,管理亚马逊库存!A:L,12,0),"")</f>
        <v>0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0</v>
      </c>
      <c r="H213">
        <f>IFERROR(VLOOKUP(A213,预留库存!A:H,8,0),0)</f>
        <v>0</v>
      </c>
      <c r="I213">
        <f>IFERROR(VLOOKUP(A213,预留库存!A:F,6,0),0)</f>
        <v>0</v>
      </c>
      <c r="J213">
        <f>IFERROR(VLOOKUP(A213,库龄!B:K,9,0),0)</f>
        <v>0</v>
      </c>
      <c r="K213">
        <f>IFERROR(VLOOKUP(A213,库龄!B:L,10,0),0)</f>
        <v>5</v>
      </c>
      <c r="L213">
        <f>IFERROR(VLOOKUP(A213,库龄!B:M,11,0),0)</f>
        <v>0</v>
      </c>
      <c r="M213">
        <f>IFERROR(VLOOKUP(A213,库龄!B:N,12,0),0)</f>
        <v>0</v>
      </c>
      <c r="N213">
        <f t="shared" si="8"/>
        <v>5</v>
      </c>
    </row>
    <row r="214" spans="1:14">
      <c r="A214" s="3" t="s">
        <v>721</v>
      </c>
      <c r="B214">
        <f>IFERROR(VLOOKUP(A214,管理亚马逊库存!A:K,11,0),"")</f>
        <v>31</v>
      </c>
      <c r="C214">
        <f>IFERROR(VLOOKUP(A214,管理亚马逊库存!A:L,12,0),"")</f>
        <v>0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0</v>
      </c>
      <c r="I214">
        <f>IFERROR(VLOOKUP(A214,预留库存!A:F,6,0),0)</f>
        <v>0</v>
      </c>
      <c r="J214">
        <f>IFERROR(VLOOKUP(A214,库龄!B:K,9,0),0)</f>
        <v>0</v>
      </c>
      <c r="K214">
        <f>IFERROR(VLOOKUP(A214,库龄!B:L,10,0),0)</f>
        <v>0</v>
      </c>
      <c r="L214">
        <f>IFERROR(VLOOKUP(A214,库龄!B:M,11,0),0)</f>
        <v>0</v>
      </c>
      <c r="M214">
        <f>IFERROR(VLOOKUP(A214,库龄!B:N,12,0),0)</f>
        <v>0</v>
      </c>
      <c r="N214">
        <f t="shared" si="8"/>
        <v>0</v>
      </c>
    </row>
    <row r="215" spans="1:14">
      <c r="A215" s="3" t="s">
        <v>722</v>
      </c>
      <c r="B215">
        <f>IFERROR(VLOOKUP(A215,管理亚马逊库存!A:K,11,0),"")</f>
        <v>2</v>
      </c>
      <c r="C215">
        <f>IFERROR(VLOOKUP(A215,管理亚马逊库存!A:L,12,0),"")</f>
        <v>0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0</v>
      </c>
      <c r="I215">
        <f>IFERROR(VLOOKUP(A215,预留库存!A:F,6,0),0)</f>
        <v>0</v>
      </c>
      <c r="J215">
        <f>IFERROR(VLOOKUP(A215,库龄!B:K,9,0),0)</f>
        <v>2</v>
      </c>
      <c r="K215">
        <f>IFERROR(VLOOKUP(A215,库龄!B:L,10,0),0)</f>
        <v>0</v>
      </c>
      <c r="L215">
        <f>IFERROR(VLOOKUP(A215,库龄!B:M,11,0),0)</f>
        <v>0</v>
      </c>
      <c r="M215">
        <f>IFERROR(VLOOKUP(A215,库龄!B:N,12,0),0)</f>
        <v>0</v>
      </c>
      <c r="N215">
        <f t="shared" si="8"/>
        <v>2</v>
      </c>
    </row>
    <row r="216" spans="1:14">
      <c r="A216" s="3" t="s">
        <v>725</v>
      </c>
      <c r="B216">
        <f>IFERROR(VLOOKUP(A216,管理亚马逊库存!A:K,11,0),"")</f>
        <v>13</v>
      </c>
      <c r="C216">
        <f>IFERROR(VLOOKUP(A216,管理亚马逊库存!A:L,12,0),"")</f>
        <v>0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0</v>
      </c>
      <c r="H216">
        <f>IFERROR(VLOOKUP(A216,预留库存!A:H,8,0),0)</f>
        <v>0</v>
      </c>
      <c r="I216">
        <f>IFERROR(VLOOKUP(A216,预留库存!A:F,6,0),0)</f>
        <v>0</v>
      </c>
      <c r="J216">
        <f>IFERROR(VLOOKUP(A216,库龄!B:K,9,0),0)</f>
        <v>0</v>
      </c>
      <c r="K216">
        <f>IFERROR(VLOOKUP(A216,库龄!B:L,10,0),0)</f>
        <v>0</v>
      </c>
      <c r="L216">
        <f>IFERROR(VLOOKUP(A216,库龄!B:M,11,0),0)</f>
        <v>13</v>
      </c>
      <c r="M216">
        <f>IFERROR(VLOOKUP(A216,库龄!B:N,12,0),0)</f>
        <v>0</v>
      </c>
      <c r="N216">
        <f t="shared" si="8"/>
        <v>13</v>
      </c>
    </row>
    <row r="217" spans="1:14">
      <c r="A217" s="3" t="s">
        <v>728</v>
      </c>
      <c r="B217">
        <f>IFERROR(VLOOKUP(A217,管理亚马逊库存!A:K,11,0),"")</f>
        <v>4</v>
      </c>
      <c r="C217">
        <f>IFERROR(VLOOKUP(A217,管理亚马逊库存!A:L,12,0),"")</f>
        <v>0</v>
      </c>
      <c r="D217">
        <f>IFERROR(VLOOKUP(A217,管理亚马逊库存!A:Q,17,0),"")</f>
        <v>0</v>
      </c>
      <c r="E217">
        <f>IFERROR(VLOOKUP(A217,管理亚马逊库存!A:R,18,0),"")</f>
        <v>0</v>
      </c>
      <c r="F217">
        <f t="shared" si="7"/>
        <v>0</v>
      </c>
      <c r="G217">
        <f>IFERROR(VLOOKUP(A217,预留库存!A:G,7,0),0)</f>
        <v>0</v>
      </c>
      <c r="H217">
        <f>IFERROR(VLOOKUP(A217,预留库存!A:H,8,0),0)</f>
        <v>0</v>
      </c>
      <c r="I217">
        <f>IFERROR(VLOOKUP(A217,预留库存!A:F,6,0),0)</f>
        <v>0</v>
      </c>
      <c r="J217">
        <f>IFERROR(VLOOKUP(A217,库龄!B:K,9,0),0)</f>
        <v>4</v>
      </c>
      <c r="K217">
        <f>IFERROR(VLOOKUP(A217,库龄!B:L,10,0),0)</f>
        <v>0</v>
      </c>
      <c r="L217">
        <f>IFERROR(VLOOKUP(A217,库龄!B:M,11,0),0)</f>
        <v>0</v>
      </c>
      <c r="M217">
        <f>IFERROR(VLOOKUP(A217,库龄!B:N,12,0),0)</f>
        <v>0</v>
      </c>
      <c r="N217">
        <f t="shared" si="8"/>
        <v>4</v>
      </c>
    </row>
    <row r="218" spans="1:14">
      <c r="A218" s="3" t="s">
        <v>731</v>
      </c>
      <c r="B218">
        <f>IFERROR(VLOOKUP(A218,管理亚马逊库存!A:K,11,0),"")</f>
        <v>3</v>
      </c>
      <c r="C218">
        <f>IFERROR(VLOOKUP(A218,管理亚马逊库存!A:L,12,0),"")</f>
        <v>0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0</v>
      </c>
      <c r="H218">
        <f>IFERROR(VLOOKUP(A218,预留库存!A:H,8,0),0)</f>
        <v>0</v>
      </c>
      <c r="I218">
        <f>IFERROR(VLOOKUP(A218,预留库存!A:F,6,0),0)</f>
        <v>0</v>
      </c>
      <c r="J218">
        <f>IFERROR(VLOOKUP(A218,库龄!B:K,9,0),0)</f>
        <v>1</v>
      </c>
      <c r="K218">
        <f>IFERROR(VLOOKUP(A218,库龄!B:L,10,0),0)</f>
        <v>2</v>
      </c>
      <c r="L218">
        <f>IFERROR(VLOOKUP(A218,库龄!B:M,11,0),0)</f>
        <v>0</v>
      </c>
      <c r="M218">
        <f>IFERROR(VLOOKUP(A218,库龄!B:N,12,0),0)</f>
        <v>0</v>
      </c>
      <c r="N218">
        <f t="shared" si="8"/>
        <v>3</v>
      </c>
    </row>
    <row r="219" spans="1:14">
      <c r="A219" s="3" t="s">
        <v>733</v>
      </c>
      <c r="B219">
        <f>IFERROR(VLOOKUP(A219,管理亚马逊库存!A:K,11,0),"")</f>
        <v>3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0</v>
      </c>
      <c r="I219">
        <f>IFERROR(VLOOKUP(A219,预留库存!A:F,6,0),0)</f>
        <v>0</v>
      </c>
      <c r="J219">
        <f>IFERROR(VLOOKUP(A219,库龄!B:K,9,0),0)</f>
        <v>0</v>
      </c>
      <c r="K219">
        <f>IFERROR(VLOOKUP(A219,库龄!B:L,10,0),0)</f>
        <v>0</v>
      </c>
      <c r="L219">
        <f>IFERROR(VLOOKUP(A219,库龄!B:M,11,0),0)</f>
        <v>0</v>
      </c>
      <c r="M219">
        <f>IFERROR(VLOOKUP(A219,库龄!B:N,12,0),0)</f>
        <v>0</v>
      </c>
      <c r="N219">
        <f t="shared" si="8"/>
        <v>0</v>
      </c>
    </row>
    <row r="220" spans="1:14">
      <c r="A220" s="3" t="s">
        <v>736</v>
      </c>
      <c r="B220">
        <f>IFERROR(VLOOKUP(A220,管理亚马逊库存!A:K,11,0),"")</f>
        <v>7</v>
      </c>
      <c r="C220">
        <f>IFERROR(VLOOKUP(A220,管理亚马逊库存!A:L,12,0),"")</f>
        <v>0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0</v>
      </c>
      <c r="I220">
        <f>IFERROR(VLOOKUP(A220,预留库存!A:F,6,0),0)</f>
        <v>0</v>
      </c>
      <c r="J220">
        <f>IFERROR(VLOOKUP(A220,库龄!B:K,9,0),0)</f>
        <v>0</v>
      </c>
      <c r="K220">
        <f>IFERROR(VLOOKUP(A220,库龄!B:L,10,0),0)</f>
        <v>5</v>
      </c>
      <c r="L220">
        <f>IFERROR(VLOOKUP(A220,库龄!B:M,11,0),0)</f>
        <v>1</v>
      </c>
      <c r="M220">
        <f>IFERROR(VLOOKUP(A220,库龄!B:N,12,0),0)</f>
        <v>0</v>
      </c>
      <c r="N220">
        <f t="shared" si="8"/>
        <v>6</v>
      </c>
    </row>
    <row r="221" spans="1:14">
      <c r="A221" s="3" t="s">
        <v>738</v>
      </c>
      <c r="B221">
        <f>IFERROR(VLOOKUP(A221,管理亚马逊库存!A:K,11,0),"")</f>
        <v>4</v>
      </c>
      <c r="C221">
        <f>IFERROR(VLOOKUP(A221,管理亚马逊库存!A:L,12,0),"")</f>
        <v>0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0</v>
      </c>
      <c r="H221">
        <f>IFERROR(VLOOKUP(A221,预留库存!A:H,8,0),0)</f>
        <v>0</v>
      </c>
      <c r="I221">
        <f>IFERROR(VLOOKUP(A221,预留库存!A:F,6,0),0)</f>
        <v>0</v>
      </c>
      <c r="J221">
        <f>IFERROR(VLOOKUP(A221,库龄!B:K,9,0),0)</f>
        <v>4</v>
      </c>
      <c r="K221">
        <f>IFERROR(VLOOKUP(A221,库龄!B:L,10,0),0)</f>
        <v>0</v>
      </c>
      <c r="L221">
        <f>IFERROR(VLOOKUP(A221,库龄!B:M,11,0),0)</f>
        <v>0</v>
      </c>
      <c r="M221">
        <f>IFERROR(VLOOKUP(A221,库龄!B:N,12,0),0)</f>
        <v>0</v>
      </c>
      <c r="N221">
        <f t="shared" si="8"/>
        <v>4</v>
      </c>
    </row>
    <row r="222" spans="1:14">
      <c r="A222" s="3" t="s">
        <v>741</v>
      </c>
      <c r="B222">
        <f>IFERROR(VLOOKUP(A222,管理亚马逊库存!A:K,11,0),"")</f>
        <v>4</v>
      </c>
      <c r="C222">
        <f>IFERROR(VLOOKUP(A222,管理亚马逊库存!A:L,12,0),"")</f>
        <v>0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0</v>
      </c>
      <c r="H222">
        <f>IFERROR(VLOOKUP(A222,预留库存!A:H,8,0),0)</f>
        <v>0</v>
      </c>
      <c r="I222">
        <f>IFERROR(VLOOKUP(A222,预留库存!A:F,6,0),0)</f>
        <v>0</v>
      </c>
      <c r="J222">
        <f>IFERROR(VLOOKUP(A222,库龄!B:K,9,0),0)</f>
        <v>4</v>
      </c>
      <c r="K222">
        <f>IFERROR(VLOOKUP(A222,库龄!B:L,10,0),0)</f>
        <v>0</v>
      </c>
      <c r="L222">
        <f>IFERROR(VLOOKUP(A222,库龄!B:M,11,0),0)</f>
        <v>0</v>
      </c>
      <c r="M222">
        <f>IFERROR(VLOOKUP(A222,库龄!B:N,12,0),0)</f>
        <v>0</v>
      </c>
      <c r="N222">
        <f t="shared" si="8"/>
        <v>4</v>
      </c>
    </row>
    <row r="223" spans="1:14">
      <c r="A223" s="3" t="s">
        <v>745</v>
      </c>
      <c r="B223">
        <f>IFERROR(VLOOKUP(A223,管理亚马逊库存!A:K,11,0),"")</f>
        <v>18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0</v>
      </c>
      <c r="H223">
        <f>IFERROR(VLOOKUP(A223,预留库存!A:H,8,0),0)</f>
        <v>0</v>
      </c>
      <c r="I223">
        <f>IFERROR(VLOOKUP(A223,预留库存!A:F,6,0),0)</f>
        <v>0</v>
      </c>
      <c r="J223">
        <f>IFERROR(VLOOKUP(A223,库龄!B:K,9,0),0)</f>
        <v>0</v>
      </c>
      <c r="K223">
        <f>IFERROR(VLOOKUP(A223,库龄!B:L,10,0),0)</f>
        <v>0</v>
      </c>
      <c r="L223">
        <f>IFERROR(VLOOKUP(A223,库龄!B:M,11,0),0)</f>
        <v>18</v>
      </c>
      <c r="M223">
        <f>IFERROR(VLOOKUP(A223,库龄!B:N,12,0),0)</f>
        <v>0</v>
      </c>
      <c r="N223">
        <f t="shared" si="8"/>
        <v>18</v>
      </c>
    </row>
    <row r="224" spans="1:14">
      <c r="A224" s="3" t="s">
        <v>748</v>
      </c>
      <c r="B224">
        <f>IFERROR(VLOOKUP(A224,管理亚马逊库存!A:K,11,0),"")</f>
        <v>21</v>
      </c>
      <c r="C224">
        <f>IFERROR(VLOOKUP(A224,管理亚马逊库存!A:L,12,0),"")</f>
        <v>0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0</v>
      </c>
      <c r="I224">
        <f>IFERROR(VLOOKUP(A224,预留库存!A:F,6,0),0)</f>
        <v>0</v>
      </c>
      <c r="J224">
        <f>IFERROR(VLOOKUP(A224,库龄!B:K,9,0),0)</f>
        <v>0</v>
      </c>
      <c r="K224">
        <f>IFERROR(VLOOKUP(A224,库龄!B:L,10,0),0)</f>
        <v>0</v>
      </c>
      <c r="L224">
        <f>IFERROR(VLOOKUP(A224,库龄!B:M,11,0),0)</f>
        <v>0</v>
      </c>
      <c r="M224">
        <f>IFERROR(VLOOKUP(A224,库龄!B:N,12,0),0)</f>
        <v>0</v>
      </c>
      <c r="N224">
        <f t="shared" si="8"/>
        <v>0</v>
      </c>
    </row>
    <row r="225" spans="1:14">
      <c r="A225" s="3" t="s">
        <v>750</v>
      </c>
      <c r="B225">
        <f>IFERROR(VLOOKUP(A225,管理亚马逊库存!A:K,11,0),"")</f>
        <v>3</v>
      </c>
      <c r="C225">
        <f>IFERROR(VLOOKUP(A225,管理亚马逊库存!A:L,12,0),"")</f>
        <v>0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0</v>
      </c>
      <c r="H225">
        <f>IFERROR(VLOOKUP(A225,预留库存!A:H,8,0),0)</f>
        <v>0</v>
      </c>
      <c r="I225">
        <f>IFERROR(VLOOKUP(A225,预留库存!A:F,6,0),0)</f>
        <v>0</v>
      </c>
      <c r="J225">
        <f>IFERROR(VLOOKUP(A225,库龄!B:K,9,0),0)</f>
        <v>3</v>
      </c>
      <c r="K225">
        <f>IFERROR(VLOOKUP(A225,库龄!B:L,10,0),0)</f>
        <v>0</v>
      </c>
      <c r="L225">
        <f>IFERROR(VLOOKUP(A225,库龄!B:M,11,0),0)</f>
        <v>0</v>
      </c>
      <c r="M225">
        <f>IFERROR(VLOOKUP(A225,库龄!B:N,12,0),0)</f>
        <v>0</v>
      </c>
      <c r="N225">
        <f t="shared" si="8"/>
        <v>3</v>
      </c>
    </row>
    <row r="226" spans="1:14">
      <c r="A226" s="3" t="s">
        <v>753</v>
      </c>
      <c r="B226">
        <f>IFERROR(VLOOKUP(A226,管理亚马逊库存!A:K,11,0),"")</f>
        <v>6</v>
      </c>
      <c r="C226">
        <f>IFERROR(VLOOKUP(A226,管理亚马逊库存!A:L,12,0),"")</f>
        <v>0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0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IFERROR(VLOOKUP(A226,库龄!B:K,9,0),0)</f>
        <v>0</v>
      </c>
      <c r="K226">
        <f>IFERROR(VLOOKUP(A226,库龄!B:L,10,0),0)</f>
        <v>4</v>
      </c>
      <c r="L226">
        <f>IFERROR(VLOOKUP(A226,库龄!B:M,11,0),0)</f>
        <v>2</v>
      </c>
      <c r="M226">
        <f>IFERROR(VLOOKUP(A226,库龄!B:N,12,0),0)</f>
        <v>0</v>
      </c>
      <c r="N226">
        <f t="shared" si="8"/>
        <v>6</v>
      </c>
    </row>
    <row r="227" spans="1:14">
      <c r="A227" s="3" t="s">
        <v>755</v>
      </c>
      <c r="B227">
        <f>IFERROR(VLOOKUP(A227,管理亚马逊库存!A:K,11,0),"")</f>
        <v>3</v>
      </c>
      <c r="C227">
        <f>IFERROR(VLOOKUP(A227,管理亚马逊库存!A:L,12,0),"")</f>
        <v>0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0</v>
      </c>
      <c r="H227">
        <f>IFERROR(VLOOKUP(A227,预留库存!A:H,8,0),0)</f>
        <v>0</v>
      </c>
      <c r="I227">
        <f>IFERROR(VLOOKUP(A227,预留库存!A:F,6,0),0)</f>
        <v>0</v>
      </c>
      <c r="J227">
        <f>IFERROR(VLOOKUP(A227,库龄!B:K,9,0),0)</f>
        <v>0</v>
      </c>
      <c r="K227">
        <f>IFERROR(VLOOKUP(A227,库龄!B:L,10,0),0)</f>
        <v>3</v>
      </c>
      <c r="L227">
        <f>IFERROR(VLOOKUP(A227,库龄!B:M,11,0),0)</f>
        <v>0</v>
      </c>
      <c r="M227">
        <f>IFERROR(VLOOKUP(A227,库龄!B:N,12,0),0)</f>
        <v>0</v>
      </c>
      <c r="N227">
        <f t="shared" si="8"/>
        <v>3</v>
      </c>
    </row>
    <row r="228" spans="1:14">
      <c r="A228" s="3" t="s">
        <v>757</v>
      </c>
      <c r="B228">
        <f>IFERROR(VLOOKUP(A228,管理亚马逊库存!A:K,11,0),"")</f>
        <v>18</v>
      </c>
      <c r="C228">
        <f>IFERROR(VLOOKUP(A228,管理亚马逊库存!A:L,12,0),"")</f>
        <v>0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0</v>
      </c>
      <c r="H228">
        <f>IFERROR(VLOOKUP(A228,预留库存!A:H,8,0),0)</f>
        <v>0</v>
      </c>
      <c r="I228">
        <f>IFERROR(VLOOKUP(A228,预留库存!A:F,6,0),0)</f>
        <v>0</v>
      </c>
      <c r="J228">
        <f>IFERROR(VLOOKUP(A228,库龄!B:K,9,0),0)</f>
        <v>0</v>
      </c>
      <c r="K228">
        <f>IFERROR(VLOOKUP(A228,库龄!B:L,10,0),0)</f>
        <v>0</v>
      </c>
      <c r="L228">
        <f>IFERROR(VLOOKUP(A228,库龄!B:M,11,0),0)</f>
        <v>18</v>
      </c>
      <c r="M228">
        <f>IFERROR(VLOOKUP(A228,库龄!B:N,12,0),0)</f>
        <v>0</v>
      </c>
      <c r="N228">
        <f t="shared" si="8"/>
        <v>18</v>
      </c>
    </row>
    <row r="229" spans="1:14">
      <c r="A229" s="3" t="s">
        <v>760</v>
      </c>
      <c r="B229">
        <f>IFERROR(VLOOKUP(A229,管理亚马逊库存!A:K,11,0),"")</f>
        <v>18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0</v>
      </c>
      <c r="F229">
        <f t="shared" si="7"/>
        <v>0</v>
      </c>
      <c r="G229">
        <f>IFERROR(VLOOKUP(A229,预留库存!A:G,7,0),0)</f>
        <v>0</v>
      </c>
      <c r="H229">
        <f>IFERROR(VLOOKUP(A229,预留库存!A:H,8,0),0)</f>
        <v>0</v>
      </c>
      <c r="I229">
        <f>IFERROR(VLOOKUP(A229,预留库存!A:F,6,0),0)</f>
        <v>0</v>
      </c>
      <c r="J229">
        <f>IFERROR(VLOOKUP(A229,库龄!B:K,9,0),0)</f>
        <v>0</v>
      </c>
      <c r="K229">
        <f>IFERROR(VLOOKUP(A229,库龄!B:L,10,0),0)</f>
        <v>0</v>
      </c>
      <c r="L229">
        <f>IFERROR(VLOOKUP(A229,库龄!B:M,11,0),0)</f>
        <v>18</v>
      </c>
      <c r="M229">
        <f>IFERROR(VLOOKUP(A229,库龄!B:N,12,0),0)</f>
        <v>0</v>
      </c>
      <c r="N229">
        <f t="shared" si="8"/>
        <v>18</v>
      </c>
    </row>
    <row r="230" spans="1:14">
      <c r="A230" s="3" t="s">
        <v>763</v>
      </c>
      <c r="B230">
        <f>IFERROR(VLOOKUP(A230,管理亚马逊库存!A:K,11,0),"")</f>
        <v>1</v>
      </c>
      <c r="C230">
        <f>IFERROR(VLOOKUP(A230,管理亚马逊库存!A:L,12,0),"")</f>
        <v>0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0</v>
      </c>
      <c r="H230">
        <f>IFERROR(VLOOKUP(A230,预留库存!A:H,8,0),0)</f>
        <v>0</v>
      </c>
      <c r="I230">
        <f>IFERROR(VLOOKUP(A230,预留库存!A:F,6,0),0)</f>
        <v>0</v>
      </c>
      <c r="J230">
        <f>IFERROR(VLOOKUP(A230,库龄!B:K,9,0),0)</f>
        <v>0</v>
      </c>
      <c r="K230">
        <f>IFERROR(VLOOKUP(A230,库龄!B:L,10,0),0)</f>
        <v>0</v>
      </c>
      <c r="L230">
        <f>IFERROR(VLOOKUP(A230,库龄!B:M,11,0),0)</f>
        <v>0</v>
      </c>
      <c r="M230">
        <f>IFERROR(VLOOKUP(A230,库龄!B:N,12,0),0)</f>
        <v>0</v>
      </c>
      <c r="N230">
        <f t="shared" si="8"/>
        <v>0</v>
      </c>
    </row>
    <row r="231" spans="1:14">
      <c r="A231" s="3" t="s">
        <v>767</v>
      </c>
      <c r="B231">
        <f>IFERROR(VLOOKUP(A231,管理亚马逊库存!A:K,11,0),"")</f>
        <v>3</v>
      </c>
      <c r="C231">
        <f>IFERROR(VLOOKUP(A231,管理亚马逊库存!A:L,12,0),"")</f>
        <v>0</v>
      </c>
      <c r="D231">
        <f>IFERROR(VLOOKUP(A231,管理亚马逊库存!A:Q,17,0),"")</f>
        <v>0</v>
      </c>
      <c r="E231">
        <f>IFERROR(VLOOKUP(A231,管理亚马逊库存!A:R,18,0),"")</f>
        <v>0</v>
      </c>
      <c r="F231">
        <f t="shared" si="7"/>
        <v>0</v>
      </c>
      <c r="G231">
        <f>IFERROR(VLOOKUP(A231,预留库存!A:G,7,0),0)</f>
        <v>0</v>
      </c>
      <c r="H231">
        <f>IFERROR(VLOOKUP(A231,预留库存!A:H,8,0),0)</f>
        <v>0</v>
      </c>
      <c r="I231">
        <f>IFERROR(VLOOKUP(A231,预留库存!A:F,6,0),0)</f>
        <v>0</v>
      </c>
      <c r="J231">
        <f>IFERROR(VLOOKUP(A231,库龄!B:K,9,0),0)</f>
        <v>0</v>
      </c>
      <c r="K231">
        <f>IFERROR(VLOOKUP(A231,库龄!B:L,10,0),0)</f>
        <v>0</v>
      </c>
      <c r="L231">
        <f>IFERROR(VLOOKUP(A231,库龄!B:M,11,0),0)</f>
        <v>3</v>
      </c>
      <c r="M231">
        <f>IFERROR(VLOOKUP(A231,库龄!B:N,12,0),0)</f>
        <v>0</v>
      </c>
      <c r="N231">
        <f t="shared" si="8"/>
        <v>3</v>
      </c>
    </row>
    <row r="232" spans="1:14">
      <c r="A232" s="3" t="s">
        <v>771</v>
      </c>
      <c r="B232">
        <f>IFERROR(VLOOKUP(A232,管理亚马逊库存!A:K,11,0),"")</f>
        <v>4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0</v>
      </c>
      <c r="I232">
        <f>IFERROR(VLOOKUP(A232,预留库存!A:F,6,0),0)</f>
        <v>0</v>
      </c>
      <c r="J232">
        <f>IFERROR(VLOOKUP(A232,库龄!B:K,9,0),0)</f>
        <v>4</v>
      </c>
      <c r="K232">
        <f>IFERROR(VLOOKUP(A232,库龄!B:L,10,0),0)</f>
        <v>0</v>
      </c>
      <c r="L232">
        <f>IFERROR(VLOOKUP(A232,库龄!B:M,11,0),0)</f>
        <v>0</v>
      </c>
      <c r="M232">
        <f>IFERROR(VLOOKUP(A232,库龄!B:N,12,0),0)</f>
        <v>0</v>
      </c>
      <c r="N232">
        <f t="shared" si="8"/>
        <v>4</v>
      </c>
    </row>
    <row r="233" spans="1:14">
      <c r="A233" s="3" t="s">
        <v>774</v>
      </c>
      <c r="B233">
        <f>IFERROR(VLOOKUP(A233,管理亚马逊库存!A:K,11,0),"")</f>
        <v>3</v>
      </c>
      <c r="C233">
        <f>IFERROR(VLOOKUP(A233,管理亚马逊库存!A:L,12,0),"")</f>
        <v>0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0</v>
      </c>
      <c r="H233">
        <f>IFERROR(VLOOKUP(A233,预留库存!A:H,8,0),0)</f>
        <v>0</v>
      </c>
      <c r="I233">
        <f>IFERROR(VLOOKUP(A233,预留库存!A:F,6,0),0)</f>
        <v>0</v>
      </c>
      <c r="J233">
        <f>IFERROR(VLOOKUP(A233,库龄!B:K,9,0),0)</f>
        <v>0</v>
      </c>
      <c r="K233">
        <f>IFERROR(VLOOKUP(A233,库龄!B:L,10,0),0)</f>
        <v>2</v>
      </c>
      <c r="L233">
        <f>IFERROR(VLOOKUP(A233,库龄!B:M,11,0),0)</f>
        <v>0</v>
      </c>
      <c r="M233">
        <f>IFERROR(VLOOKUP(A233,库龄!B:N,12,0),0)</f>
        <v>0</v>
      </c>
      <c r="N233">
        <f t="shared" si="8"/>
        <v>2</v>
      </c>
    </row>
    <row r="234" spans="1:14">
      <c r="A234" s="3" t="s">
        <v>776</v>
      </c>
      <c r="B234">
        <f>IFERROR(VLOOKUP(A234,管理亚马逊库存!A:K,11,0),"")</f>
        <v>17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0</v>
      </c>
      <c r="J234">
        <f>IFERROR(VLOOKUP(A234,库龄!B:K,9,0),0)</f>
        <v>0</v>
      </c>
      <c r="K234">
        <f>IFERROR(VLOOKUP(A234,库龄!B:L,10,0),0)</f>
        <v>0</v>
      </c>
      <c r="L234">
        <f>IFERROR(VLOOKUP(A234,库龄!B:M,11,0),0)</f>
        <v>0</v>
      </c>
      <c r="M234">
        <f>IFERROR(VLOOKUP(A234,库龄!B:N,12,0),0)</f>
        <v>0</v>
      </c>
      <c r="N234">
        <f t="shared" si="8"/>
        <v>0</v>
      </c>
    </row>
    <row r="235" spans="1:14">
      <c r="A235" s="3" t="s">
        <v>780</v>
      </c>
      <c r="B235">
        <f>IFERROR(VLOOKUP(A235,管理亚马逊库存!A:K,11,0),"")</f>
        <v>6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0</v>
      </c>
      <c r="I235">
        <f>IFERROR(VLOOKUP(A235,预留库存!A:F,6,0),0)</f>
        <v>0</v>
      </c>
      <c r="J235">
        <f>IFERROR(VLOOKUP(A235,库龄!B:K,9,0),0)</f>
        <v>0</v>
      </c>
      <c r="K235">
        <f>IFERROR(VLOOKUP(A235,库龄!B:L,10,0),0)</f>
        <v>0</v>
      </c>
      <c r="L235">
        <f>IFERROR(VLOOKUP(A235,库龄!B:M,11,0),0)</f>
        <v>0</v>
      </c>
      <c r="M235">
        <f>IFERROR(VLOOKUP(A235,库龄!B:N,12,0),0)</f>
        <v>0</v>
      </c>
      <c r="N235">
        <f t="shared" si="8"/>
        <v>0</v>
      </c>
    </row>
    <row r="236" spans="1:14">
      <c r="A236" s="3" t="s">
        <v>782</v>
      </c>
      <c r="B236">
        <f>IFERROR(VLOOKUP(A236,管理亚马逊库存!A:K,11,0),"")</f>
        <v>4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0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IFERROR(VLOOKUP(A236,库龄!B:K,9,0),0)</f>
        <v>0</v>
      </c>
      <c r="K236">
        <f>IFERROR(VLOOKUP(A236,库龄!B:L,10,0),0)</f>
        <v>0</v>
      </c>
      <c r="L236">
        <f>IFERROR(VLOOKUP(A236,库龄!B:M,11,0),0)</f>
        <v>0</v>
      </c>
      <c r="M236">
        <f>IFERROR(VLOOKUP(A236,库龄!B:N,12,0),0)</f>
        <v>0</v>
      </c>
      <c r="N236">
        <f t="shared" si="8"/>
        <v>0</v>
      </c>
    </row>
    <row r="237" spans="1:14">
      <c r="A237" s="3" t="s">
        <v>784</v>
      </c>
      <c r="B237">
        <f>IFERROR(VLOOKUP(A237,管理亚马逊库存!A:K,11,0),"")</f>
        <v>4</v>
      </c>
      <c r="C237">
        <f>IFERROR(VLOOKUP(A237,管理亚马逊库存!A:L,12,0),"")</f>
        <v>0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0</v>
      </c>
      <c r="H237">
        <f>IFERROR(VLOOKUP(A237,预留库存!A:H,8,0),0)</f>
        <v>0</v>
      </c>
      <c r="I237">
        <f>IFERROR(VLOOKUP(A237,预留库存!A:F,6,0),0)</f>
        <v>0</v>
      </c>
      <c r="J237">
        <f>IFERROR(VLOOKUP(A237,库龄!B:K,9,0),0)</f>
        <v>0</v>
      </c>
      <c r="K237">
        <f>IFERROR(VLOOKUP(A237,库龄!B:L,10,0),0)</f>
        <v>4</v>
      </c>
      <c r="L237">
        <f>IFERROR(VLOOKUP(A237,库龄!B:M,11,0),0)</f>
        <v>0</v>
      </c>
      <c r="M237">
        <f>IFERROR(VLOOKUP(A237,库龄!B:N,12,0),0)</f>
        <v>0</v>
      </c>
      <c r="N237">
        <f t="shared" si="8"/>
        <v>4</v>
      </c>
    </row>
    <row r="238" spans="1:14">
      <c r="A238" s="3" t="s">
        <v>787</v>
      </c>
      <c r="B238">
        <f>IFERROR(VLOOKUP(A238,管理亚马逊库存!A:K,11,0),"")</f>
        <v>7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0</v>
      </c>
      <c r="I238">
        <f>IFERROR(VLOOKUP(A238,预留库存!A:F,6,0),0)</f>
        <v>0</v>
      </c>
      <c r="J238">
        <f>IFERROR(VLOOKUP(A238,库龄!B:K,9,0),0)</f>
        <v>0</v>
      </c>
      <c r="K238">
        <f>IFERROR(VLOOKUP(A238,库龄!B:L,10,0),0)</f>
        <v>4</v>
      </c>
      <c r="L238">
        <f>IFERROR(VLOOKUP(A238,库龄!B:M,11,0),0)</f>
        <v>3</v>
      </c>
      <c r="M238">
        <f>IFERROR(VLOOKUP(A238,库龄!B:N,12,0),0)</f>
        <v>0</v>
      </c>
      <c r="N238">
        <f t="shared" si="8"/>
        <v>7</v>
      </c>
    </row>
    <row r="239" spans="1:14">
      <c r="A239" s="3" t="s">
        <v>789</v>
      </c>
      <c r="B239">
        <f>IFERROR(VLOOKUP(A239,管理亚马逊库存!A:K,11,0),"")</f>
        <v>5</v>
      </c>
      <c r="C239">
        <f>IFERROR(VLOOKUP(A239,管理亚马逊库存!A:L,12,0),"")</f>
        <v>0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0</v>
      </c>
      <c r="I239">
        <f>IFERROR(VLOOKUP(A239,预留库存!A:F,6,0),0)</f>
        <v>0</v>
      </c>
      <c r="J239">
        <f>IFERROR(VLOOKUP(A239,库龄!B:K,9,0),0)</f>
        <v>0</v>
      </c>
      <c r="K239">
        <f>IFERROR(VLOOKUP(A239,库龄!B:L,10,0),0)</f>
        <v>5</v>
      </c>
      <c r="L239">
        <f>IFERROR(VLOOKUP(A239,库龄!B:M,11,0),0)</f>
        <v>0</v>
      </c>
      <c r="M239">
        <f>IFERROR(VLOOKUP(A239,库龄!B:N,12,0),0)</f>
        <v>0</v>
      </c>
      <c r="N239">
        <f t="shared" si="8"/>
        <v>5</v>
      </c>
    </row>
    <row r="240" spans="1:14">
      <c r="A240" s="3" t="s">
        <v>793</v>
      </c>
      <c r="B240">
        <f>IFERROR(VLOOKUP(A240,管理亚马逊库存!A:K,11,0),"")</f>
        <v>4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0</v>
      </c>
      <c r="I240">
        <f>IFERROR(VLOOKUP(A240,预留库存!A:F,6,0),0)</f>
        <v>0</v>
      </c>
      <c r="J240">
        <f>IFERROR(VLOOKUP(A240,库龄!B:K,9,0),0)</f>
        <v>4</v>
      </c>
      <c r="K240">
        <f>IFERROR(VLOOKUP(A240,库龄!B:L,10,0),0)</f>
        <v>0</v>
      </c>
      <c r="L240">
        <f>IFERROR(VLOOKUP(A240,库龄!B:M,11,0),0)</f>
        <v>0</v>
      </c>
      <c r="M240">
        <f>IFERROR(VLOOKUP(A240,库龄!B:N,12,0),0)</f>
        <v>0</v>
      </c>
      <c r="N240">
        <f t="shared" si="8"/>
        <v>4</v>
      </c>
    </row>
    <row r="241" spans="1:14">
      <c r="A241" s="3" t="s">
        <v>796</v>
      </c>
      <c r="B241">
        <f>IFERROR(VLOOKUP(A241,管理亚马逊库存!A:K,11,0),"")</f>
        <v>15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0</v>
      </c>
      <c r="I241">
        <f>IFERROR(VLOOKUP(A241,预留库存!A:F,6,0),0)</f>
        <v>0</v>
      </c>
      <c r="J241">
        <f>IFERROR(VLOOKUP(A241,库龄!B:K,9,0),0)</f>
        <v>0</v>
      </c>
      <c r="K241">
        <f>IFERROR(VLOOKUP(A241,库龄!B:L,10,0),0)</f>
        <v>0</v>
      </c>
      <c r="L241">
        <f>IFERROR(VLOOKUP(A241,库龄!B:M,11,0),0)</f>
        <v>0</v>
      </c>
      <c r="M241">
        <f>IFERROR(VLOOKUP(A241,库龄!B:N,12,0),0)</f>
        <v>0</v>
      </c>
      <c r="N241">
        <f t="shared" si="8"/>
        <v>0</v>
      </c>
    </row>
    <row r="242" spans="1:14">
      <c r="A242" s="3" t="s">
        <v>797</v>
      </c>
      <c r="B242">
        <f>IFERROR(VLOOKUP(A242,管理亚马逊库存!A:K,11,0),"")</f>
        <v>1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0</v>
      </c>
      <c r="H242">
        <f>IFERROR(VLOOKUP(A242,预留库存!A:H,8,0),0)</f>
        <v>0</v>
      </c>
      <c r="I242">
        <f>IFERROR(VLOOKUP(A242,预留库存!A:F,6,0),0)</f>
        <v>0</v>
      </c>
      <c r="J242">
        <f>IFERROR(VLOOKUP(A242,库龄!B:K,9,0),0)</f>
        <v>0</v>
      </c>
      <c r="K242">
        <f>IFERROR(VLOOKUP(A242,库龄!B:L,10,0),0)</f>
        <v>0</v>
      </c>
      <c r="L242">
        <f>IFERROR(VLOOKUP(A242,库龄!B:M,11,0),0)</f>
        <v>0</v>
      </c>
      <c r="M242">
        <f>IFERROR(VLOOKUP(A242,库龄!B:N,12,0),0)</f>
        <v>0</v>
      </c>
      <c r="N242">
        <f t="shared" si="8"/>
        <v>0</v>
      </c>
    </row>
    <row r="243" spans="1:14">
      <c r="A243" s="3" t="s">
        <v>800</v>
      </c>
      <c r="B243">
        <f>IFERROR(VLOOKUP(A243,管理亚马逊库存!A:K,11,0),"")</f>
        <v>4</v>
      </c>
      <c r="C243">
        <f>IFERROR(VLOOKUP(A243,管理亚马逊库存!A:L,12,0),"")</f>
        <v>0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>
        <f>IFERROR(VLOOKUP(A243,预留库存!A:G,7,0),0)</f>
        <v>0</v>
      </c>
      <c r="H243">
        <f>IFERROR(VLOOKUP(A243,预留库存!A:H,8,0),0)</f>
        <v>0</v>
      </c>
      <c r="I243">
        <f>IFERROR(VLOOKUP(A243,预留库存!A:F,6,0),0)</f>
        <v>0</v>
      </c>
      <c r="J243">
        <f>IFERROR(VLOOKUP(A243,库龄!B:K,9,0),0)</f>
        <v>4</v>
      </c>
      <c r="K243">
        <f>IFERROR(VLOOKUP(A243,库龄!B:L,10,0),0)</f>
        <v>0</v>
      </c>
      <c r="L243">
        <f>IFERROR(VLOOKUP(A243,库龄!B:M,11,0),0)</f>
        <v>0</v>
      </c>
      <c r="M243">
        <f>IFERROR(VLOOKUP(A243,库龄!B:N,12,0),0)</f>
        <v>0</v>
      </c>
      <c r="N243">
        <f t="shared" si="8"/>
        <v>4</v>
      </c>
    </row>
    <row r="244" spans="1:14">
      <c r="A244" s="3" t="s">
        <v>804</v>
      </c>
      <c r="B244">
        <f>IFERROR(VLOOKUP(A244,管理亚马逊库存!A:K,11,0),"")</f>
        <v>5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0</v>
      </c>
      <c r="I244">
        <f>IFERROR(VLOOKUP(A244,预留库存!A:F,6,0),0)</f>
        <v>0</v>
      </c>
      <c r="J244">
        <f>IFERROR(VLOOKUP(A244,库龄!B:K,9,0),0)</f>
        <v>1</v>
      </c>
      <c r="K244">
        <f>IFERROR(VLOOKUP(A244,库龄!B:L,10,0),0)</f>
        <v>4</v>
      </c>
      <c r="L244">
        <f>IFERROR(VLOOKUP(A244,库龄!B:M,11,0),0)</f>
        <v>0</v>
      </c>
      <c r="M244">
        <f>IFERROR(VLOOKUP(A244,库龄!B:N,12,0),0)</f>
        <v>0</v>
      </c>
      <c r="N244">
        <f t="shared" si="8"/>
        <v>5</v>
      </c>
    </row>
    <row r="245" spans="1:14">
      <c r="A245" s="3" t="s">
        <v>807</v>
      </c>
      <c r="B245">
        <f>IFERROR(VLOOKUP(A245,管理亚马逊库存!A:K,11,0),"")</f>
        <v>9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0</v>
      </c>
      <c r="I245">
        <f>IFERROR(VLOOKUP(A245,预留库存!A:F,6,0),0)</f>
        <v>0</v>
      </c>
      <c r="J245">
        <f>IFERROR(VLOOKUP(A245,库龄!B:K,9,0),0)</f>
        <v>4</v>
      </c>
      <c r="K245">
        <f>IFERROR(VLOOKUP(A245,库龄!B:L,10,0),0)</f>
        <v>0</v>
      </c>
      <c r="L245">
        <f>IFERROR(VLOOKUP(A245,库龄!B:M,11,0),0)</f>
        <v>0</v>
      </c>
      <c r="M245">
        <f>IFERROR(VLOOKUP(A245,库龄!B:N,12,0),0)</f>
        <v>0</v>
      </c>
      <c r="N245">
        <f t="shared" si="8"/>
        <v>4</v>
      </c>
    </row>
    <row r="246" spans="1:14">
      <c r="A246" s="3" t="s">
        <v>809</v>
      </c>
      <c r="B246">
        <f>IFERROR(VLOOKUP(A246,管理亚马逊库存!A:K,11,0),"")</f>
        <v>1</v>
      </c>
      <c r="C246">
        <f>IFERROR(VLOOKUP(A246,管理亚马逊库存!A:L,12,0),"")</f>
        <v>0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>
        <f>IFERROR(VLOOKUP(A246,预留库存!A:G,7,0),0)</f>
        <v>0</v>
      </c>
      <c r="H246">
        <f>IFERROR(VLOOKUP(A246,预留库存!A:H,8,0),0)</f>
        <v>0</v>
      </c>
      <c r="I246">
        <f>IFERROR(VLOOKUP(A246,预留库存!A:F,6,0),0)</f>
        <v>0</v>
      </c>
      <c r="J246">
        <f>IFERROR(VLOOKUP(A246,库龄!B:K,9,0),0)</f>
        <v>1</v>
      </c>
      <c r="K246">
        <f>IFERROR(VLOOKUP(A246,库龄!B:L,10,0),0)</f>
        <v>0</v>
      </c>
      <c r="L246">
        <f>IFERROR(VLOOKUP(A246,库龄!B:M,11,0),0)</f>
        <v>0</v>
      </c>
      <c r="M246">
        <f>IFERROR(VLOOKUP(A246,库龄!B:N,12,0),0)</f>
        <v>0</v>
      </c>
      <c r="N246">
        <f t="shared" si="8"/>
        <v>1</v>
      </c>
    </row>
    <row r="247" spans="1:14">
      <c r="A247" s="3" t="s">
        <v>813</v>
      </c>
      <c r="B247">
        <f>IFERROR(VLOOKUP(A247,管理亚马逊库存!A:K,11,0),"")</f>
        <v>6</v>
      </c>
      <c r="C247">
        <f>IFERROR(VLOOKUP(A247,管理亚马逊库存!A:L,12,0),"")</f>
        <v>0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0</v>
      </c>
      <c r="H247">
        <f>IFERROR(VLOOKUP(A247,预留库存!A:H,8,0),0)</f>
        <v>0</v>
      </c>
      <c r="I247">
        <f>IFERROR(VLOOKUP(A247,预留库存!A:F,6,0),0)</f>
        <v>0</v>
      </c>
      <c r="J247">
        <f>IFERROR(VLOOKUP(A247,库龄!B:K,9,0),0)</f>
        <v>0</v>
      </c>
      <c r="K247">
        <f>IFERROR(VLOOKUP(A247,库龄!B:L,10,0),0)</f>
        <v>4</v>
      </c>
      <c r="L247">
        <f>IFERROR(VLOOKUP(A247,库龄!B:M,11,0),0)</f>
        <v>2</v>
      </c>
      <c r="M247">
        <f>IFERROR(VLOOKUP(A247,库龄!B:N,12,0),0)</f>
        <v>0</v>
      </c>
      <c r="N247">
        <f t="shared" si="8"/>
        <v>6</v>
      </c>
    </row>
    <row r="248" spans="1:14">
      <c r="A248" s="3" t="s">
        <v>815</v>
      </c>
      <c r="B248">
        <f>IFERROR(VLOOKUP(A248,管理亚马逊库存!A:K,11,0),"")</f>
        <v>5</v>
      </c>
      <c r="C248">
        <f>IFERROR(VLOOKUP(A248,管理亚马逊库存!A:L,12,0),"")</f>
        <v>0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0</v>
      </c>
      <c r="H248">
        <f>IFERROR(VLOOKUP(A248,预留库存!A:H,8,0),0)</f>
        <v>0</v>
      </c>
      <c r="I248">
        <f>IFERROR(VLOOKUP(A248,预留库存!A:F,6,0),0)</f>
        <v>0</v>
      </c>
      <c r="J248">
        <f>IFERROR(VLOOKUP(A248,库龄!B:K,9,0),0)</f>
        <v>5</v>
      </c>
      <c r="K248">
        <f>IFERROR(VLOOKUP(A248,库龄!B:L,10,0),0)</f>
        <v>0</v>
      </c>
      <c r="L248">
        <f>IFERROR(VLOOKUP(A248,库龄!B:M,11,0),0)</f>
        <v>0</v>
      </c>
      <c r="M248">
        <f>IFERROR(VLOOKUP(A248,库龄!B:N,12,0),0)</f>
        <v>0</v>
      </c>
      <c r="N248">
        <f t="shared" si="8"/>
        <v>5</v>
      </c>
    </row>
    <row r="249" spans="1:14">
      <c r="A249" s="3" t="s">
        <v>818</v>
      </c>
      <c r="B249">
        <f>IFERROR(VLOOKUP(A249,管理亚马逊库存!A:K,11,0),"")</f>
        <v>6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0</v>
      </c>
      <c r="I249">
        <f>IFERROR(VLOOKUP(A249,预留库存!A:F,6,0),0)</f>
        <v>0</v>
      </c>
      <c r="J249">
        <f>IFERROR(VLOOKUP(A249,库龄!B:K,9,0),0)</f>
        <v>0</v>
      </c>
      <c r="K249">
        <f>IFERROR(VLOOKUP(A249,库龄!B:L,10,0),0)</f>
        <v>0</v>
      </c>
      <c r="L249">
        <f>IFERROR(VLOOKUP(A249,库龄!B:M,11,0),0)</f>
        <v>0</v>
      </c>
      <c r="M249">
        <f>IFERROR(VLOOKUP(A249,库龄!B:N,12,0),0)</f>
        <v>0</v>
      </c>
      <c r="N249">
        <f t="shared" si="8"/>
        <v>0</v>
      </c>
    </row>
    <row r="250" spans="1:14">
      <c r="A250" s="3" t="s">
        <v>821</v>
      </c>
      <c r="B250">
        <f>IFERROR(VLOOKUP(A250,管理亚马逊库存!A:K,11,0),"")</f>
        <v>2</v>
      </c>
      <c r="C250">
        <f>IFERROR(VLOOKUP(A250,管理亚马逊库存!A:L,12,0),"")</f>
        <v>0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0</v>
      </c>
      <c r="H250">
        <f>IFERROR(VLOOKUP(A250,预留库存!A:H,8,0),0)</f>
        <v>0</v>
      </c>
      <c r="I250">
        <f>IFERROR(VLOOKUP(A250,预留库存!A:F,6,0),0)</f>
        <v>0</v>
      </c>
      <c r="J250">
        <f>IFERROR(VLOOKUP(A250,库龄!B:K,9,0),0)</f>
        <v>0</v>
      </c>
      <c r="K250">
        <f>IFERROR(VLOOKUP(A250,库龄!B:L,10,0),0)</f>
        <v>2</v>
      </c>
      <c r="L250">
        <f>IFERROR(VLOOKUP(A250,库龄!B:M,11,0),0)</f>
        <v>0</v>
      </c>
      <c r="M250">
        <f>IFERROR(VLOOKUP(A250,库龄!B:N,12,0),0)</f>
        <v>0</v>
      </c>
      <c r="N250">
        <f t="shared" si="8"/>
        <v>2</v>
      </c>
    </row>
    <row r="251" spans="1:14">
      <c r="A251" s="3" t="s">
        <v>823</v>
      </c>
      <c r="B251">
        <f>IFERROR(VLOOKUP(A251,管理亚马逊库存!A:K,11,0),"")</f>
        <v>2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0</v>
      </c>
      <c r="H251">
        <f>IFERROR(VLOOKUP(A251,预留库存!A:H,8,0),0)</f>
        <v>0</v>
      </c>
      <c r="I251">
        <f>IFERROR(VLOOKUP(A251,预留库存!A:F,6,0),0)</f>
        <v>0</v>
      </c>
      <c r="J251">
        <f>IFERROR(VLOOKUP(A251,库龄!B:K,9,0),0)</f>
        <v>0</v>
      </c>
      <c r="K251">
        <f>IFERROR(VLOOKUP(A251,库龄!B:L,10,0),0)</f>
        <v>2</v>
      </c>
      <c r="L251">
        <f>IFERROR(VLOOKUP(A251,库龄!B:M,11,0),0)</f>
        <v>0</v>
      </c>
      <c r="M251">
        <f>IFERROR(VLOOKUP(A251,库龄!B:N,12,0),0)</f>
        <v>0</v>
      </c>
      <c r="N251">
        <f t="shared" si="8"/>
        <v>2</v>
      </c>
    </row>
    <row r="252" spans="1:14">
      <c r="A252" s="3" t="s">
        <v>825</v>
      </c>
      <c r="B252">
        <f>IFERROR(VLOOKUP(A252,管理亚马逊库存!A:K,11,0),"")</f>
        <v>3</v>
      </c>
      <c r="C252">
        <f>IFERROR(VLOOKUP(A252,管理亚马逊库存!A:L,12,0),"")</f>
        <v>0</v>
      </c>
      <c r="D252">
        <f>IFERROR(VLOOKUP(A252,管理亚马逊库存!A:Q,17,0),"")</f>
        <v>0</v>
      </c>
      <c r="E252">
        <f>IFERROR(VLOOKUP(A252,管理亚马逊库存!A:R,18,0),"")</f>
        <v>0</v>
      </c>
      <c r="F252">
        <f t="shared" si="7"/>
        <v>0</v>
      </c>
      <c r="G252">
        <f>IFERROR(VLOOKUP(A252,预留库存!A:G,7,0),0)</f>
        <v>0</v>
      </c>
      <c r="H252">
        <f>IFERROR(VLOOKUP(A252,预留库存!A:H,8,0),0)</f>
        <v>0</v>
      </c>
      <c r="I252">
        <f>IFERROR(VLOOKUP(A252,预留库存!A:F,6,0),0)</f>
        <v>0</v>
      </c>
      <c r="J252">
        <f>IFERROR(VLOOKUP(A252,库龄!B:K,9,0),0)</f>
        <v>0</v>
      </c>
      <c r="K252">
        <f>IFERROR(VLOOKUP(A252,库龄!B:L,10,0),0)</f>
        <v>3</v>
      </c>
      <c r="L252">
        <f>IFERROR(VLOOKUP(A252,库龄!B:M,11,0),0)</f>
        <v>0</v>
      </c>
      <c r="M252">
        <f>IFERROR(VLOOKUP(A252,库龄!B:N,12,0),0)</f>
        <v>0</v>
      </c>
      <c r="N252">
        <f t="shared" si="8"/>
        <v>3</v>
      </c>
    </row>
    <row r="253" spans="1:14">
      <c r="A253" s="3" t="s">
        <v>827</v>
      </c>
      <c r="B253">
        <f>IFERROR(VLOOKUP(A253,管理亚马逊库存!A:K,11,0),"")</f>
        <v>2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0</v>
      </c>
      <c r="H253">
        <f>IFERROR(VLOOKUP(A253,预留库存!A:H,8,0),0)</f>
        <v>0</v>
      </c>
      <c r="I253">
        <f>IFERROR(VLOOKUP(A253,预留库存!A:F,6,0),0)</f>
        <v>0</v>
      </c>
      <c r="J253">
        <f>IFERROR(VLOOKUP(A253,库龄!B:K,9,0),0)</f>
        <v>0</v>
      </c>
      <c r="K253">
        <f>IFERROR(VLOOKUP(A253,库龄!B:L,10,0),0)</f>
        <v>1</v>
      </c>
      <c r="L253">
        <f>IFERROR(VLOOKUP(A253,库龄!B:M,11,0),0)</f>
        <v>0</v>
      </c>
      <c r="M253">
        <f>IFERROR(VLOOKUP(A253,库龄!B:N,12,0),0)</f>
        <v>0</v>
      </c>
      <c r="N253">
        <f t="shared" si="8"/>
        <v>1</v>
      </c>
    </row>
    <row r="254" spans="1:14">
      <c r="A254" s="3" t="s">
        <v>829</v>
      </c>
      <c r="B254">
        <f>IFERROR(VLOOKUP(A254,管理亚马逊库存!A:K,11,0),"")</f>
        <v>8</v>
      </c>
      <c r="C254">
        <f>IFERROR(VLOOKUP(A254,管理亚马逊库存!A:L,12,0),"")</f>
        <v>0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>
        <f>IFERROR(VLOOKUP(A254,预留库存!A:G,7,0),0)</f>
        <v>0</v>
      </c>
      <c r="H254">
        <f>IFERROR(VLOOKUP(A254,预留库存!A:H,8,0),0)</f>
        <v>0</v>
      </c>
      <c r="I254">
        <f>IFERROR(VLOOKUP(A254,预留库存!A:F,6,0),0)</f>
        <v>0</v>
      </c>
      <c r="J254">
        <f>IFERROR(VLOOKUP(A254,库龄!B:K,9,0),0)</f>
        <v>1</v>
      </c>
      <c r="K254">
        <f>IFERROR(VLOOKUP(A254,库龄!B:L,10,0),0)</f>
        <v>0</v>
      </c>
      <c r="L254">
        <f>IFERROR(VLOOKUP(A254,库龄!B:M,11,0),0)</f>
        <v>7</v>
      </c>
      <c r="M254">
        <f>IFERROR(VLOOKUP(A254,库龄!B:N,12,0),0)</f>
        <v>0</v>
      </c>
      <c r="N254">
        <f t="shared" si="8"/>
        <v>8</v>
      </c>
    </row>
    <row r="255" spans="1:14">
      <c r="A255" s="3" t="s">
        <v>832</v>
      </c>
      <c r="B255">
        <f>IFERROR(VLOOKUP(A255,管理亚马逊库存!A:K,11,0),"")</f>
        <v>2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0</v>
      </c>
      <c r="I255">
        <f>IFERROR(VLOOKUP(A255,预留库存!A:F,6,0),0)</f>
        <v>0</v>
      </c>
      <c r="J255">
        <f>IFERROR(VLOOKUP(A255,库龄!B:K,9,0),0)</f>
        <v>0</v>
      </c>
      <c r="K255">
        <f>IFERROR(VLOOKUP(A255,库龄!B:L,10,0),0)</f>
        <v>0</v>
      </c>
      <c r="L255">
        <f>IFERROR(VLOOKUP(A255,库龄!B:M,11,0),0)</f>
        <v>0</v>
      </c>
      <c r="M255">
        <f>IFERROR(VLOOKUP(A255,库龄!B:N,12,0),0)</f>
        <v>0</v>
      </c>
      <c r="N255">
        <f t="shared" si="8"/>
        <v>0</v>
      </c>
    </row>
    <row r="256" spans="1:14">
      <c r="A256" s="3" t="s">
        <v>837</v>
      </c>
      <c r="B256">
        <f>IFERROR(VLOOKUP(A256,管理亚马逊库存!A:K,11,0),"")</f>
        <v>7</v>
      </c>
      <c r="C256">
        <f>IFERROR(VLOOKUP(A256,管理亚马逊库存!A:L,12,0),"")</f>
        <v>0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0</v>
      </c>
      <c r="H256">
        <f>IFERROR(VLOOKUP(A256,预留库存!A:H,8,0),0)</f>
        <v>0</v>
      </c>
      <c r="I256">
        <f>IFERROR(VLOOKUP(A256,预留库存!A:F,6,0),0)</f>
        <v>0</v>
      </c>
      <c r="J256">
        <f>IFERROR(VLOOKUP(A256,库龄!B:K,9,0),0)</f>
        <v>0</v>
      </c>
      <c r="K256">
        <f>IFERROR(VLOOKUP(A256,库龄!B:L,10,0),0)</f>
        <v>0</v>
      </c>
      <c r="L256">
        <f>IFERROR(VLOOKUP(A256,库龄!B:M,11,0),0)</f>
        <v>7</v>
      </c>
      <c r="M256">
        <f>IFERROR(VLOOKUP(A256,库龄!B:N,12,0),0)</f>
        <v>0</v>
      </c>
      <c r="N256">
        <f t="shared" si="8"/>
        <v>7</v>
      </c>
    </row>
    <row r="257" spans="1:14">
      <c r="A257" s="3" t="s">
        <v>840</v>
      </c>
      <c r="B257">
        <f>IFERROR(VLOOKUP(A257,管理亚马逊库存!A:K,11,0),"")</f>
        <v>12</v>
      </c>
      <c r="C257">
        <f>IFERROR(VLOOKUP(A257,管理亚马逊库存!A:L,12,0),"")</f>
        <v>0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0</v>
      </c>
      <c r="I257">
        <f>IFERROR(VLOOKUP(A257,预留库存!A:F,6,0),0)</f>
        <v>0</v>
      </c>
      <c r="J257">
        <f>IFERROR(VLOOKUP(A257,库龄!B:K,9,0),0)</f>
        <v>6</v>
      </c>
      <c r="K257">
        <f>IFERROR(VLOOKUP(A257,库龄!B:L,10,0),0)</f>
        <v>0</v>
      </c>
      <c r="L257">
        <f>IFERROR(VLOOKUP(A257,库龄!B:M,11,0),0)</f>
        <v>0</v>
      </c>
      <c r="M257">
        <f>IFERROR(VLOOKUP(A257,库龄!B:N,12,0),0)</f>
        <v>0</v>
      </c>
      <c r="N257">
        <f t="shared" si="8"/>
        <v>6</v>
      </c>
    </row>
    <row r="258" spans="1:14">
      <c r="A258" s="3" t="s">
        <v>842</v>
      </c>
      <c r="B258">
        <f>IFERROR(VLOOKUP(A258,管理亚马逊库存!A:K,11,0),"")</f>
        <v>20</v>
      </c>
      <c r="C258">
        <f>IFERROR(VLOOKUP(A258,管理亚马逊库存!A:L,12,0),"")</f>
        <v>0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>
        <f>IFERROR(VLOOKUP(A258,预留库存!A:G,7,0),0)</f>
        <v>0</v>
      </c>
      <c r="H258">
        <f>IFERROR(VLOOKUP(A258,预留库存!A:H,8,0),0)</f>
        <v>0</v>
      </c>
      <c r="I258">
        <f>IFERROR(VLOOKUP(A258,预留库存!A:F,6,0),0)</f>
        <v>0</v>
      </c>
      <c r="J258">
        <f>IFERROR(VLOOKUP(A258,库龄!B:K,9,0),0)</f>
        <v>0</v>
      </c>
      <c r="K258">
        <f>IFERROR(VLOOKUP(A258,库龄!B:L,10,0),0)</f>
        <v>0</v>
      </c>
      <c r="L258">
        <f>IFERROR(VLOOKUP(A258,库龄!B:M,11,0),0)</f>
        <v>0</v>
      </c>
      <c r="M258">
        <f>IFERROR(VLOOKUP(A258,库龄!B:N,12,0),0)</f>
        <v>0</v>
      </c>
      <c r="N258">
        <f t="shared" si="8"/>
        <v>0</v>
      </c>
    </row>
    <row r="259" spans="1:14">
      <c r="A259" s="3" t="s">
        <v>845</v>
      </c>
      <c r="B259">
        <f>IFERROR(VLOOKUP(A259,管理亚马逊库存!A:K,11,0),"")</f>
        <v>7</v>
      </c>
      <c r="C259">
        <f>IFERROR(VLOOKUP(A259,管理亚马逊库存!A:L,12,0),"")</f>
        <v>0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>
        <f>IFERROR(VLOOKUP(A259,预留库存!A:G,7,0),0)</f>
        <v>0</v>
      </c>
      <c r="H259">
        <f>IFERROR(VLOOKUP(A259,预留库存!A:H,8,0),0)</f>
        <v>0</v>
      </c>
      <c r="I259">
        <f>IFERROR(VLOOKUP(A259,预留库存!A:F,6,0),0)</f>
        <v>0</v>
      </c>
      <c r="J259">
        <f>IFERROR(VLOOKUP(A259,库龄!B:K,9,0),0)</f>
        <v>0</v>
      </c>
      <c r="K259">
        <f>IFERROR(VLOOKUP(A259,库龄!B:L,10,0),0)</f>
        <v>4</v>
      </c>
      <c r="L259">
        <f>IFERROR(VLOOKUP(A259,库龄!B:M,11,0),0)</f>
        <v>3</v>
      </c>
      <c r="M259">
        <f>IFERROR(VLOOKUP(A259,库龄!B:N,12,0),0)</f>
        <v>0</v>
      </c>
      <c r="N259">
        <f t="shared" ref="N259:N322" si="10">SUM(J259:M259)</f>
        <v>7</v>
      </c>
    </row>
    <row r="260" spans="1:14">
      <c r="A260" s="3" t="s">
        <v>847</v>
      </c>
      <c r="B260">
        <f>IFERROR(VLOOKUP(A260,管理亚马逊库存!A:K,11,0),"")</f>
        <v>3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0</v>
      </c>
      <c r="I260">
        <f>IFERROR(VLOOKUP(A260,预留库存!A:F,6,0),0)</f>
        <v>0</v>
      </c>
      <c r="J260">
        <f>IFERROR(VLOOKUP(A260,库龄!B:K,9,0),0)</f>
        <v>0</v>
      </c>
      <c r="K260">
        <f>IFERROR(VLOOKUP(A260,库龄!B:L,10,0),0)</f>
        <v>3</v>
      </c>
      <c r="L260">
        <f>IFERROR(VLOOKUP(A260,库龄!B:M,11,0),0)</f>
        <v>0</v>
      </c>
      <c r="M260">
        <f>IFERROR(VLOOKUP(A260,库龄!B:N,12,0),0)</f>
        <v>0</v>
      </c>
      <c r="N260">
        <f t="shared" si="10"/>
        <v>3</v>
      </c>
    </row>
    <row r="261" spans="1:14">
      <c r="A261" s="3" t="s">
        <v>849</v>
      </c>
      <c r="B261">
        <f>IFERROR(VLOOKUP(A261,管理亚马逊库存!A:K,11,0),"")</f>
        <v>2</v>
      </c>
      <c r="C261">
        <f>IFERROR(VLOOKUP(A261,管理亚马逊库存!A:L,12,0),"")</f>
        <v>0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0</v>
      </c>
      <c r="I261">
        <f>IFERROR(VLOOKUP(A261,预留库存!A:F,6,0),0)</f>
        <v>0</v>
      </c>
      <c r="J261">
        <f>IFERROR(VLOOKUP(A261,库龄!B:K,9,0),0)</f>
        <v>0</v>
      </c>
      <c r="K261">
        <f>IFERROR(VLOOKUP(A261,库龄!B:L,10,0),0)</f>
        <v>2</v>
      </c>
      <c r="L261">
        <f>IFERROR(VLOOKUP(A261,库龄!B:M,11,0),0)</f>
        <v>0</v>
      </c>
      <c r="M261">
        <f>IFERROR(VLOOKUP(A261,库龄!B:N,12,0),0)</f>
        <v>0</v>
      </c>
      <c r="N261">
        <f t="shared" si="10"/>
        <v>2</v>
      </c>
    </row>
    <row r="262" spans="1:14">
      <c r="A262" s="3" t="s">
        <v>851</v>
      </c>
      <c r="B262">
        <f>IFERROR(VLOOKUP(A262,管理亚马逊库存!A:K,11,0),"")</f>
        <v>8</v>
      </c>
      <c r="C262">
        <f>IFERROR(VLOOKUP(A262,管理亚马逊库存!A:L,12,0),"")</f>
        <v>0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0</v>
      </c>
      <c r="I262">
        <f>IFERROR(VLOOKUP(A262,预留库存!A:F,6,0),0)</f>
        <v>0</v>
      </c>
      <c r="J262">
        <f>IFERROR(VLOOKUP(A262,库龄!B:K,9,0),0)</f>
        <v>0</v>
      </c>
      <c r="K262">
        <f>IFERROR(VLOOKUP(A262,库龄!B:L,10,0),0)</f>
        <v>0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0</v>
      </c>
    </row>
    <row r="263" spans="1:14">
      <c r="A263" s="3" t="s">
        <v>855</v>
      </c>
      <c r="B263">
        <f>IFERROR(VLOOKUP(A263,管理亚马逊库存!A:K,11,0),"")</f>
        <v>13</v>
      </c>
      <c r="C263">
        <f>IFERROR(VLOOKUP(A263,管理亚马逊库存!A:L,12,0),"")</f>
        <v>0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>
        <f>IFERROR(VLOOKUP(A263,预留库存!A:G,7,0),0)</f>
        <v>0</v>
      </c>
      <c r="H263">
        <f>IFERROR(VLOOKUP(A263,预留库存!A:H,8,0),0)</f>
        <v>0</v>
      </c>
      <c r="I263">
        <f>IFERROR(VLOOKUP(A263,预留库存!A:F,6,0),0)</f>
        <v>0</v>
      </c>
      <c r="J263">
        <f>IFERROR(VLOOKUP(A263,库龄!B:K,9,0),0)</f>
        <v>0</v>
      </c>
      <c r="K263">
        <f>IFERROR(VLOOKUP(A263,库龄!B:L,10,0),0)</f>
        <v>0</v>
      </c>
      <c r="L263">
        <f>IFERROR(VLOOKUP(A263,库龄!B:M,11,0),0)</f>
        <v>0</v>
      </c>
      <c r="M263">
        <f>IFERROR(VLOOKUP(A263,库龄!B:N,12,0),0)</f>
        <v>0</v>
      </c>
      <c r="N263">
        <f t="shared" si="10"/>
        <v>0</v>
      </c>
    </row>
    <row r="264" spans="1:14">
      <c r="A264" s="3" t="s">
        <v>856</v>
      </c>
      <c r="B264">
        <f>IFERROR(VLOOKUP(A264,管理亚马逊库存!A:K,11,0),"")</f>
        <v>5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0</v>
      </c>
      <c r="I264">
        <f>IFERROR(VLOOKUP(A264,预留库存!A:F,6,0),0)</f>
        <v>0</v>
      </c>
      <c r="J264">
        <f>IFERROR(VLOOKUP(A264,库龄!B:K,9,0),0)</f>
        <v>0</v>
      </c>
      <c r="K264">
        <f>IFERROR(VLOOKUP(A264,库龄!B:L,10,0),0)</f>
        <v>1</v>
      </c>
      <c r="L264">
        <f>IFERROR(VLOOKUP(A264,库龄!B:M,11,0),0)</f>
        <v>4</v>
      </c>
      <c r="M264">
        <f>IFERROR(VLOOKUP(A264,库龄!B:N,12,0),0)</f>
        <v>0</v>
      </c>
      <c r="N264">
        <f t="shared" si="10"/>
        <v>5</v>
      </c>
    </row>
    <row r="265" spans="1:14">
      <c r="A265" s="3" t="s">
        <v>859</v>
      </c>
      <c r="B265">
        <f>IFERROR(VLOOKUP(A265,管理亚马逊库存!A:K,11,0),"")</f>
        <v>6</v>
      </c>
      <c r="C265">
        <f>IFERROR(VLOOKUP(A265,管理亚马逊库存!A:L,12,0),"")</f>
        <v>0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0</v>
      </c>
      <c r="H265">
        <f>IFERROR(VLOOKUP(A265,预留库存!A:H,8,0),0)</f>
        <v>0</v>
      </c>
      <c r="I265">
        <f>IFERROR(VLOOKUP(A265,预留库存!A:F,6,0),0)</f>
        <v>0</v>
      </c>
      <c r="J265">
        <f>IFERROR(VLOOKUP(A265,库龄!B:K,9,0),0)</f>
        <v>0</v>
      </c>
      <c r="K265">
        <f>IFERROR(VLOOKUP(A265,库龄!B:L,10,0),0)</f>
        <v>4</v>
      </c>
      <c r="L265">
        <f>IFERROR(VLOOKUP(A265,库龄!B:M,11,0),0)</f>
        <v>2</v>
      </c>
      <c r="M265">
        <f>IFERROR(VLOOKUP(A265,库龄!B:N,12,0),0)</f>
        <v>0</v>
      </c>
      <c r="N265">
        <f t="shared" si="10"/>
        <v>6</v>
      </c>
    </row>
    <row r="266" spans="1:14">
      <c r="A266" s="3" t="s">
        <v>861</v>
      </c>
      <c r="B266">
        <f>IFERROR(VLOOKUP(A266,管理亚马逊库存!A:K,11,0),"")</f>
        <v>19</v>
      </c>
      <c r="C266">
        <f>IFERROR(VLOOKUP(A266,管理亚马逊库存!A:L,12,0),"")</f>
        <v>0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0</v>
      </c>
      <c r="I266">
        <f>IFERROR(VLOOKUP(A266,预留库存!A:F,6,0),0)</f>
        <v>0</v>
      </c>
      <c r="J266">
        <f>IFERROR(VLOOKUP(A266,库龄!B:K,9,0),0)</f>
        <v>0</v>
      </c>
      <c r="K266">
        <f>IFERROR(VLOOKUP(A266,库龄!B:L,10,0),0)</f>
        <v>0</v>
      </c>
      <c r="L266">
        <f>IFERROR(VLOOKUP(A266,库龄!B:M,11,0),0)</f>
        <v>19</v>
      </c>
      <c r="M266">
        <f>IFERROR(VLOOKUP(A266,库龄!B:N,12,0),0)</f>
        <v>0</v>
      </c>
      <c r="N266">
        <f t="shared" si="10"/>
        <v>19</v>
      </c>
    </row>
    <row r="267" spans="1:14">
      <c r="A267" s="3" t="s">
        <v>864</v>
      </c>
      <c r="B267">
        <f>IFERROR(VLOOKUP(A267,管理亚马逊库存!A:K,11,0),"")</f>
        <v>4</v>
      </c>
      <c r="C267">
        <f>IFERROR(VLOOKUP(A267,管理亚马逊库存!A:L,12,0),"")</f>
        <v>0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>
        <f>IFERROR(VLOOKUP(A267,预留库存!A:G,7,0),0)</f>
        <v>0</v>
      </c>
      <c r="H267">
        <f>IFERROR(VLOOKUP(A267,预留库存!A:H,8,0),0)</f>
        <v>0</v>
      </c>
      <c r="I267">
        <f>IFERROR(VLOOKUP(A267,预留库存!A:F,6,0),0)</f>
        <v>0</v>
      </c>
      <c r="J267">
        <f>IFERROR(VLOOKUP(A267,库龄!B:K,9,0),0)</f>
        <v>4</v>
      </c>
      <c r="K267">
        <f>IFERROR(VLOOKUP(A267,库龄!B:L,10,0),0)</f>
        <v>0</v>
      </c>
      <c r="L267">
        <f>IFERROR(VLOOKUP(A267,库龄!B:M,11,0),0)</f>
        <v>0</v>
      </c>
      <c r="M267">
        <f>IFERROR(VLOOKUP(A267,库龄!B:N,12,0),0)</f>
        <v>0</v>
      </c>
      <c r="N267">
        <f t="shared" si="10"/>
        <v>4</v>
      </c>
    </row>
    <row r="268" spans="1:14">
      <c r="A268" s="3" t="s">
        <v>868</v>
      </c>
      <c r="B268">
        <f>IFERROR(VLOOKUP(A268,管理亚马逊库存!A:K,11,0),"")</f>
        <v>1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0</v>
      </c>
      <c r="I268">
        <f>IFERROR(VLOOKUP(A268,预留库存!A:F,6,0),0)</f>
        <v>0</v>
      </c>
      <c r="J268">
        <f>IFERROR(VLOOKUP(A268,库龄!B:K,9,0),0)</f>
        <v>1</v>
      </c>
      <c r="K268">
        <f>IFERROR(VLOOKUP(A268,库龄!B:L,10,0),0)</f>
        <v>0</v>
      </c>
      <c r="L268">
        <f>IFERROR(VLOOKUP(A268,库龄!B:M,11,0),0)</f>
        <v>0</v>
      </c>
      <c r="M268">
        <f>IFERROR(VLOOKUP(A268,库龄!B:N,12,0),0)</f>
        <v>0</v>
      </c>
      <c r="N268">
        <f t="shared" si="10"/>
        <v>1</v>
      </c>
    </row>
    <row r="269" spans="1:14">
      <c r="A269" s="3" t="s">
        <v>871</v>
      </c>
      <c r="B269">
        <f>IFERROR(VLOOKUP(A269,管理亚马逊库存!A:K,11,0),"")</f>
        <v>8</v>
      </c>
      <c r="C269">
        <f>IFERROR(VLOOKUP(A269,管理亚马逊库存!A:L,12,0),"")</f>
        <v>0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0</v>
      </c>
      <c r="I269">
        <f>IFERROR(VLOOKUP(A269,预留库存!A:F,6,0),0)</f>
        <v>0</v>
      </c>
      <c r="J269">
        <f>IFERROR(VLOOKUP(A269,库龄!B:K,9,0),0)</f>
        <v>0</v>
      </c>
      <c r="K269">
        <f>IFERROR(VLOOKUP(A269,库龄!B:L,10,0),0)</f>
        <v>0</v>
      </c>
      <c r="L269">
        <f>IFERROR(VLOOKUP(A269,库龄!B:M,11,0),0)</f>
        <v>0</v>
      </c>
      <c r="M269">
        <f>IFERROR(VLOOKUP(A269,库龄!B:N,12,0),0)</f>
        <v>0</v>
      </c>
      <c r="N269">
        <f t="shared" si="10"/>
        <v>0</v>
      </c>
    </row>
    <row r="270" spans="1:14">
      <c r="A270" s="3" t="s">
        <v>874</v>
      </c>
      <c r="B270">
        <f>IFERROR(VLOOKUP(A270,管理亚马逊库存!A:K,11,0),"")</f>
        <v>3</v>
      </c>
      <c r="C270">
        <f>IFERROR(VLOOKUP(A270,管理亚马逊库存!A:L,12,0),"")</f>
        <v>0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0</v>
      </c>
      <c r="I270">
        <f>IFERROR(VLOOKUP(A270,预留库存!A:F,6,0),0)</f>
        <v>0</v>
      </c>
      <c r="J270">
        <f>IFERROR(VLOOKUP(A270,库龄!B:K,9,0),0)</f>
        <v>3</v>
      </c>
      <c r="K270">
        <f>IFERROR(VLOOKUP(A270,库龄!B:L,10,0),0)</f>
        <v>0</v>
      </c>
      <c r="L270">
        <f>IFERROR(VLOOKUP(A270,库龄!B:M,11,0),0)</f>
        <v>0</v>
      </c>
      <c r="M270">
        <f>IFERROR(VLOOKUP(A270,库龄!B:N,12,0),0)</f>
        <v>0</v>
      </c>
      <c r="N270">
        <f t="shared" si="10"/>
        <v>3</v>
      </c>
    </row>
    <row r="271" spans="1:14">
      <c r="A271" s="3" t="s">
        <v>877</v>
      </c>
      <c r="B271">
        <f>IFERROR(VLOOKUP(A271,管理亚马逊库存!A:K,11,0),"")</f>
        <v>3</v>
      </c>
      <c r="C271">
        <f>IFERROR(VLOOKUP(A271,管理亚马逊库存!A:L,12,0),"")</f>
        <v>0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0</v>
      </c>
      <c r="H271">
        <f>IFERROR(VLOOKUP(A271,预留库存!A:H,8,0),0)</f>
        <v>0</v>
      </c>
      <c r="I271">
        <f>IFERROR(VLOOKUP(A271,预留库存!A:F,6,0),0)</f>
        <v>0</v>
      </c>
      <c r="J271">
        <f>IFERROR(VLOOKUP(A271,库龄!B:K,9,0),0)</f>
        <v>0</v>
      </c>
      <c r="K271">
        <f>IFERROR(VLOOKUP(A271,库龄!B:L,10,0),0)</f>
        <v>3</v>
      </c>
      <c r="L271">
        <f>IFERROR(VLOOKUP(A271,库龄!B:M,11,0),0)</f>
        <v>0</v>
      </c>
      <c r="M271">
        <f>IFERROR(VLOOKUP(A271,库龄!B:N,12,0),0)</f>
        <v>0</v>
      </c>
      <c r="N271">
        <f t="shared" si="10"/>
        <v>3</v>
      </c>
    </row>
    <row r="272" spans="1:14">
      <c r="A272" s="3" t="s">
        <v>880</v>
      </c>
      <c r="B272">
        <f>IFERROR(VLOOKUP(A272,管理亚马逊库存!A:K,11,0),"")</f>
        <v>3</v>
      </c>
      <c r="C272">
        <f>IFERROR(VLOOKUP(A272,管理亚马逊库存!A:L,12,0),"")</f>
        <v>0</v>
      </c>
      <c r="D272">
        <f>IFERROR(VLOOKUP(A272,管理亚马逊库存!A:Q,17,0),"")</f>
        <v>0</v>
      </c>
      <c r="E272">
        <f>IFERROR(VLOOKUP(A272,管理亚马逊库存!A:R,18,0),"")</f>
        <v>0</v>
      </c>
      <c r="F272">
        <f t="shared" si="9"/>
        <v>0</v>
      </c>
      <c r="G272">
        <f>IFERROR(VLOOKUP(A272,预留库存!A:G,7,0),0)</f>
        <v>0</v>
      </c>
      <c r="H272">
        <f>IFERROR(VLOOKUP(A272,预留库存!A:H,8,0),0)</f>
        <v>0</v>
      </c>
      <c r="I272">
        <f>IFERROR(VLOOKUP(A272,预留库存!A:F,6,0),0)</f>
        <v>0</v>
      </c>
      <c r="J272">
        <f>IFERROR(VLOOKUP(A272,库龄!B:K,9,0),0)</f>
        <v>0</v>
      </c>
      <c r="K272">
        <f>IFERROR(VLOOKUP(A272,库龄!B:L,10,0),0)</f>
        <v>0</v>
      </c>
      <c r="L272">
        <f>IFERROR(VLOOKUP(A272,库龄!B:M,11,0),0)</f>
        <v>0</v>
      </c>
      <c r="M272">
        <f>IFERROR(VLOOKUP(A272,库龄!B:N,12,0),0)</f>
        <v>0</v>
      </c>
      <c r="N272">
        <f t="shared" si="10"/>
        <v>0</v>
      </c>
    </row>
    <row r="273" spans="1:14">
      <c r="A273" s="3" t="s">
        <v>884</v>
      </c>
      <c r="B273">
        <f>IFERROR(VLOOKUP(A273,管理亚马逊库存!A:K,11,0),"")</f>
        <v>5</v>
      </c>
      <c r="C273">
        <f>IFERROR(VLOOKUP(A273,管理亚马逊库存!A:L,12,0),"")</f>
        <v>0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>
        <f>IFERROR(VLOOKUP(A273,预留库存!A:G,7,0),0)</f>
        <v>0</v>
      </c>
      <c r="H273">
        <f>IFERROR(VLOOKUP(A273,预留库存!A:H,8,0),0)</f>
        <v>0</v>
      </c>
      <c r="I273">
        <f>IFERROR(VLOOKUP(A273,预留库存!A:F,6,0),0)</f>
        <v>0</v>
      </c>
      <c r="J273">
        <f>IFERROR(VLOOKUP(A273,库龄!B:K,9,0),0)</f>
        <v>0</v>
      </c>
      <c r="K273">
        <f>IFERROR(VLOOKUP(A273,库龄!B:L,10,0),0)</f>
        <v>5</v>
      </c>
      <c r="L273">
        <f>IFERROR(VLOOKUP(A273,库龄!B:M,11,0),0)</f>
        <v>0</v>
      </c>
      <c r="M273">
        <f>IFERROR(VLOOKUP(A273,库龄!B:N,12,0),0)</f>
        <v>0</v>
      </c>
      <c r="N273">
        <f t="shared" si="10"/>
        <v>5</v>
      </c>
    </row>
    <row r="274" spans="1:14">
      <c r="A274" s="3" t="s">
        <v>887</v>
      </c>
      <c r="B274">
        <f>IFERROR(VLOOKUP(A274,管理亚马逊库存!A:K,11,0),"")</f>
        <v>15</v>
      </c>
      <c r="C274">
        <f>IFERROR(VLOOKUP(A274,管理亚马逊库存!A:L,12,0),"")</f>
        <v>0</v>
      </c>
      <c r="D274">
        <f>IFERROR(VLOOKUP(A274,管理亚马逊库存!A:Q,17,0),"")</f>
        <v>0</v>
      </c>
      <c r="E274">
        <f>IFERROR(VLOOKUP(A274,管理亚马逊库存!A:R,18,0),"")</f>
        <v>0</v>
      </c>
      <c r="F274">
        <f t="shared" si="9"/>
        <v>0</v>
      </c>
      <c r="G274">
        <f>IFERROR(VLOOKUP(A274,预留库存!A:G,7,0),0)</f>
        <v>0</v>
      </c>
      <c r="H274">
        <f>IFERROR(VLOOKUP(A274,预留库存!A:H,8,0),0)</f>
        <v>0</v>
      </c>
      <c r="I274">
        <f>IFERROR(VLOOKUP(A274,预留库存!A:F,6,0),0)</f>
        <v>0</v>
      </c>
      <c r="J274">
        <f>IFERROR(VLOOKUP(A274,库龄!B:K,9,0),0)</f>
        <v>0</v>
      </c>
      <c r="K274">
        <f>IFERROR(VLOOKUP(A274,库龄!B:L,10,0),0)</f>
        <v>0</v>
      </c>
      <c r="L274">
        <f>IFERROR(VLOOKUP(A274,库龄!B:M,11,0),0)</f>
        <v>15</v>
      </c>
      <c r="M274">
        <f>IFERROR(VLOOKUP(A274,库龄!B:N,12,0),0)</f>
        <v>0</v>
      </c>
      <c r="N274">
        <f t="shared" si="10"/>
        <v>15</v>
      </c>
    </row>
    <row r="275" spans="1:14">
      <c r="A275" s="3" t="s">
        <v>890</v>
      </c>
      <c r="B275">
        <f>IFERROR(VLOOKUP(A275,管理亚马逊库存!A:K,11,0),"")</f>
        <v>8</v>
      </c>
      <c r="C275">
        <f>IFERROR(VLOOKUP(A275,管理亚马逊库存!A:L,12,0),"")</f>
        <v>0</v>
      </c>
      <c r="D275">
        <f>IFERROR(VLOOKUP(A275,管理亚马逊库存!A:Q,17,0),"")</f>
        <v>0</v>
      </c>
      <c r="E275">
        <f>IFERROR(VLOOKUP(A275,管理亚马逊库存!A:R,18,0),"")</f>
        <v>0</v>
      </c>
      <c r="F275">
        <f t="shared" si="9"/>
        <v>0</v>
      </c>
      <c r="G275">
        <f>IFERROR(VLOOKUP(A275,预留库存!A:G,7,0),0)</f>
        <v>0</v>
      </c>
      <c r="H275">
        <f>IFERROR(VLOOKUP(A275,预留库存!A:H,8,0),0)</f>
        <v>0</v>
      </c>
      <c r="I275">
        <f>IFERROR(VLOOKUP(A275,预留库存!A:F,6,0),0)</f>
        <v>0</v>
      </c>
      <c r="J275">
        <f>IFERROR(VLOOKUP(A275,库龄!B:K,9,0),0)</f>
        <v>3</v>
      </c>
      <c r="K275">
        <f>IFERROR(VLOOKUP(A275,库龄!B:L,10,0),0)</f>
        <v>0</v>
      </c>
      <c r="L275">
        <f>IFERROR(VLOOKUP(A275,库龄!B:M,11,0),0)</f>
        <v>0</v>
      </c>
      <c r="M275">
        <f>IFERROR(VLOOKUP(A275,库龄!B:N,12,0),0)</f>
        <v>0</v>
      </c>
      <c r="N275">
        <f t="shared" si="10"/>
        <v>3</v>
      </c>
    </row>
    <row r="276" spans="1:14">
      <c r="A276" s="3" t="s">
        <v>893</v>
      </c>
      <c r="B276">
        <f>IFERROR(VLOOKUP(A276,管理亚马逊库存!A:K,11,0),"")</f>
        <v>1</v>
      </c>
      <c r="C276">
        <f>IFERROR(VLOOKUP(A276,管理亚马逊库存!A:L,12,0),"")</f>
        <v>0</v>
      </c>
      <c r="D276">
        <f>IFERROR(VLOOKUP(A276,管理亚马逊库存!A:Q,17,0),"")</f>
        <v>0</v>
      </c>
      <c r="E276">
        <f>IFERROR(VLOOKUP(A276,管理亚马逊库存!A:R,18,0),"")</f>
        <v>0</v>
      </c>
      <c r="F276">
        <f t="shared" si="9"/>
        <v>0</v>
      </c>
      <c r="G276">
        <f>IFERROR(VLOOKUP(A276,预留库存!A:G,7,0),0)</f>
        <v>0</v>
      </c>
      <c r="H276">
        <f>IFERROR(VLOOKUP(A276,预留库存!A:H,8,0),0)</f>
        <v>0</v>
      </c>
      <c r="I276">
        <f>IFERROR(VLOOKUP(A276,预留库存!A:F,6,0),0)</f>
        <v>0</v>
      </c>
      <c r="J276">
        <f>IFERROR(VLOOKUP(A276,库龄!B:K,9,0),0)</f>
        <v>1</v>
      </c>
      <c r="K276">
        <f>IFERROR(VLOOKUP(A276,库龄!B:L,10,0),0)</f>
        <v>0</v>
      </c>
      <c r="L276">
        <f>IFERROR(VLOOKUP(A276,库龄!B:M,11,0),0)</f>
        <v>0</v>
      </c>
      <c r="M276">
        <f>IFERROR(VLOOKUP(A276,库龄!B:N,12,0),0)</f>
        <v>0</v>
      </c>
      <c r="N276">
        <f t="shared" si="10"/>
        <v>1</v>
      </c>
    </row>
    <row r="277" spans="1:14">
      <c r="A277" s="3" t="s">
        <v>895</v>
      </c>
      <c r="B277">
        <f>IFERROR(VLOOKUP(A277,管理亚马逊库存!A:K,11,0),"")</f>
        <v>5</v>
      </c>
      <c r="C277">
        <f>IFERROR(VLOOKUP(A277,管理亚马逊库存!A:L,12,0),"")</f>
        <v>0</v>
      </c>
      <c r="D277">
        <f>IFERROR(VLOOKUP(A277,管理亚马逊库存!A:Q,17,0),"")</f>
        <v>0</v>
      </c>
      <c r="E277">
        <f>IFERROR(VLOOKUP(A277,管理亚马逊库存!A:R,18,0),"")</f>
        <v>0</v>
      </c>
      <c r="F277">
        <f t="shared" si="9"/>
        <v>0</v>
      </c>
      <c r="G277">
        <f>IFERROR(VLOOKUP(A277,预留库存!A:G,7,0),0)</f>
        <v>0</v>
      </c>
      <c r="H277">
        <f>IFERROR(VLOOKUP(A277,预留库存!A:H,8,0),0)</f>
        <v>0</v>
      </c>
      <c r="I277">
        <f>IFERROR(VLOOKUP(A277,预留库存!A:F,6,0),0)</f>
        <v>0</v>
      </c>
      <c r="J277">
        <f>IFERROR(VLOOKUP(A277,库龄!B:K,9,0),0)</f>
        <v>0</v>
      </c>
      <c r="K277">
        <f>IFERROR(VLOOKUP(A277,库龄!B:L,10,0),0)</f>
        <v>0</v>
      </c>
      <c r="L277">
        <f>IFERROR(VLOOKUP(A277,库龄!B:M,11,0),0)</f>
        <v>0</v>
      </c>
      <c r="M277">
        <f>IFERROR(VLOOKUP(A277,库龄!B:N,12,0),0)</f>
        <v>0</v>
      </c>
      <c r="N277">
        <f t="shared" si="10"/>
        <v>0</v>
      </c>
    </row>
    <row r="278" spans="1:14">
      <c r="A278" s="3" t="s">
        <v>897</v>
      </c>
      <c r="B278">
        <f>IFERROR(VLOOKUP(A278,管理亚马逊库存!A:K,11,0),"")</f>
        <v>110</v>
      </c>
      <c r="C278">
        <f>IFERROR(VLOOKUP(A278,管理亚马逊库存!A:L,12,0),"")</f>
        <v>0</v>
      </c>
      <c r="D278">
        <f>IFERROR(VLOOKUP(A278,管理亚马逊库存!A:Q,17,0),"")</f>
        <v>0</v>
      </c>
      <c r="E278">
        <f>IFERROR(VLOOKUP(A278,管理亚马逊库存!A:R,18,0),"")</f>
        <v>0</v>
      </c>
      <c r="F278">
        <f t="shared" si="9"/>
        <v>0</v>
      </c>
      <c r="G278">
        <f>IFERROR(VLOOKUP(A278,预留库存!A:G,7,0),0)</f>
        <v>0</v>
      </c>
      <c r="H278">
        <f>IFERROR(VLOOKUP(A278,预留库存!A:H,8,0),0)</f>
        <v>0</v>
      </c>
      <c r="I278">
        <f>IFERROR(VLOOKUP(A278,预留库存!A:F,6,0),0)</f>
        <v>0</v>
      </c>
      <c r="J278">
        <f>IFERROR(VLOOKUP(A278,库龄!B:K,9,0),0)</f>
        <v>0</v>
      </c>
      <c r="K278">
        <f>IFERROR(VLOOKUP(A278,库龄!B:L,10,0),0)</f>
        <v>0</v>
      </c>
      <c r="L278">
        <f>IFERROR(VLOOKUP(A278,库龄!B:M,11,0),0)</f>
        <v>0</v>
      </c>
      <c r="M278">
        <f>IFERROR(VLOOKUP(A278,库龄!B:N,12,0),0)</f>
        <v>0</v>
      </c>
      <c r="N278">
        <f t="shared" si="10"/>
        <v>0</v>
      </c>
    </row>
    <row r="279" spans="1:14">
      <c r="A279" s="3" t="s">
        <v>899</v>
      </c>
      <c r="B279">
        <f>IFERROR(VLOOKUP(A279,管理亚马逊库存!A:K,11,0),"")</f>
        <v>5</v>
      </c>
      <c r="C279">
        <f>IFERROR(VLOOKUP(A279,管理亚马逊库存!A:L,12,0),"")</f>
        <v>0</v>
      </c>
      <c r="D279">
        <f>IFERROR(VLOOKUP(A279,管理亚马逊库存!A:Q,17,0),"")</f>
        <v>0</v>
      </c>
      <c r="E279">
        <f>IFERROR(VLOOKUP(A279,管理亚马逊库存!A:R,18,0),"")</f>
        <v>0</v>
      </c>
      <c r="F279">
        <f t="shared" si="9"/>
        <v>0</v>
      </c>
      <c r="G279">
        <f>IFERROR(VLOOKUP(A279,预留库存!A:G,7,0),0)</f>
        <v>0</v>
      </c>
      <c r="H279">
        <f>IFERROR(VLOOKUP(A279,预留库存!A:H,8,0),0)</f>
        <v>0</v>
      </c>
      <c r="I279">
        <f>IFERROR(VLOOKUP(A279,预留库存!A:F,6,0),0)</f>
        <v>0</v>
      </c>
      <c r="J279">
        <f>IFERROR(VLOOKUP(A279,库龄!B:K,9,0),0)</f>
        <v>1</v>
      </c>
      <c r="K279">
        <f>IFERROR(VLOOKUP(A279,库龄!B:L,10,0),0)</f>
        <v>0</v>
      </c>
      <c r="L279">
        <f>IFERROR(VLOOKUP(A279,库龄!B:M,11,0),0)</f>
        <v>4</v>
      </c>
      <c r="M279">
        <f>IFERROR(VLOOKUP(A279,库龄!B:N,12,0),0)</f>
        <v>0</v>
      </c>
      <c r="N279">
        <f t="shared" si="10"/>
        <v>5</v>
      </c>
    </row>
    <row r="280" spans="1:14">
      <c r="A280" s="3" t="s">
        <v>902</v>
      </c>
      <c r="B280">
        <f>IFERROR(VLOOKUP(A280,管理亚马逊库存!A:K,11,0),"")</f>
        <v>4</v>
      </c>
      <c r="C280">
        <f>IFERROR(VLOOKUP(A280,管理亚马逊库存!A:L,12,0),"")</f>
        <v>0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>
        <f>IFERROR(VLOOKUP(A280,预留库存!A:G,7,0),0)</f>
        <v>0</v>
      </c>
      <c r="H280">
        <f>IFERROR(VLOOKUP(A280,预留库存!A:H,8,0),0)</f>
        <v>0</v>
      </c>
      <c r="I280">
        <f>IFERROR(VLOOKUP(A280,预留库存!A:F,6,0),0)</f>
        <v>0</v>
      </c>
      <c r="J280">
        <f>IFERROR(VLOOKUP(A280,库龄!B:K,9,0),0)</f>
        <v>4</v>
      </c>
      <c r="K280">
        <f>IFERROR(VLOOKUP(A280,库龄!B:L,10,0),0)</f>
        <v>0</v>
      </c>
      <c r="L280">
        <f>IFERROR(VLOOKUP(A280,库龄!B:M,11,0),0)</f>
        <v>0</v>
      </c>
      <c r="M280">
        <f>IFERROR(VLOOKUP(A280,库龄!B:N,12,0),0)</f>
        <v>0</v>
      </c>
      <c r="N280">
        <f t="shared" si="10"/>
        <v>4</v>
      </c>
    </row>
    <row r="281" spans="1:14">
      <c r="A281" s="3" t="s">
        <v>905</v>
      </c>
      <c r="B281">
        <f>IFERROR(VLOOKUP(A281,管理亚马逊库存!A:K,11,0),"")</f>
        <v>2</v>
      </c>
      <c r="C281">
        <f>IFERROR(VLOOKUP(A281,管理亚马逊库存!A:L,12,0),"")</f>
        <v>0</v>
      </c>
      <c r="D281">
        <f>IFERROR(VLOOKUP(A281,管理亚马逊库存!A:Q,17,0),"")</f>
        <v>0</v>
      </c>
      <c r="E281">
        <f>IFERROR(VLOOKUP(A281,管理亚马逊库存!A:R,18,0),"")</f>
        <v>0</v>
      </c>
      <c r="F281">
        <f t="shared" si="9"/>
        <v>0</v>
      </c>
      <c r="G281">
        <f>IFERROR(VLOOKUP(A281,预留库存!A:G,7,0),0)</f>
        <v>0</v>
      </c>
      <c r="H281">
        <f>IFERROR(VLOOKUP(A281,预留库存!A:H,8,0),0)</f>
        <v>0</v>
      </c>
      <c r="I281">
        <f>IFERROR(VLOOKUP(A281,预留库存!A:F,6,0),0)</f>
        <v>0</v>
      </c>
      <c r="J281">
        <f>IFERROR(VLOOKUP(A281,库龄!B:K,9,0),0)</f>
        <v>1</v>
      </c>
      <c r="K281">
        <f>IFERROR(VLOOKUP(A281,库龄!B:L,10,0),0)</f>
        <v>0</v>
      </c>
      <c r="L281">
        <f>IFERROR(VLOOKUP(A281,库龄!B:M,11,0),0)</f>
        <v>1</v>
      </c>
      <c r="M281">
        <f>IFERROR(VLOOKUP(A281,库龄!B:N,12,0),0)</f>
        <v>0</v>
      </c>
      <c r="N281">
        <f t="shared" si="10"/>
        <v>2</v>
      </c>
    </row>
    <row r="282" spans="1:14">
      <c r="A282" s="3" t="s">
        <v>907</v>
      </c>
      <c r="B282">
        <f>IFERROR(VLOOKUP(A282,管理亚马逊库存!A:K,11,0),"")</f>
        <v>4</v>
      </c>
      <c r="C282">
        <f>IFERROR(VLOOKUP(A282,管理亚马逊库存!A:L,12,0),"")</f>
        <v>0</v>
      </c>
      <c r="D282">
        <f>IFERROR(VLOOKUP(A282,管理亚马逊库存!A:Q,17,0),"")</f>
        <v>0</v>
      </c>
      <c r="E282">
        <f>IFERROR(VLOOKUP(A282,管理亚马逊库存!A:R,18,0),"")</f>
        <v>0</v>
      </c>
      <c r="F282">
        <f t="shared" si="9"/>
        <v>0</v>
      </c>
      <c r="G282">
        <f>IFERROR(VLOOKUP(A282,预留库存!A:G,7,0),0)</f>
        <v>0</v>
      </c>
      <c r="H282">
        <f>IFERROR(VLOOKUP(A282,预留库存!A:H,8,0),0)</f>
        <v>0</v>
      </c>
      <c r="I282">
        <f>IFERROR(VLOOKUP(A282,预留库存!A:F,6,0),0)</f>
        <v>0</v>
      </c>
      <c r="J282">
        <f>IFERROR(VLOOKUP(A282,库龄!B:K,9,0),0)</f>
        <v>0</v>
      </c>
      <c r="K282">
        <f>IFERROR(VLOOKUP(A282,库龄!B:L,10,0),0)</f>
        <v>0</v>
      </c>
      <c r="L282">
        <f>IFERROR(VLOOKUP(A282,库龄!B:M,11,0),0)</f>
        <v>0</v>
      </c>
      <c r="M282">
        <f>IFERROR(VLOOKUP(A282,库龄!B:N,12,0),0)</f>
        <v>0</v>
      </c>
      <c r="N282">
        <f t="shared" si="10"/>
        <v>0</v>
      </c>
    </row>
    <row r="283" spans="1:14">
      <c r="A283" s="3" t="s">
        <v>911</v>
      </c>
      <c r="B283">
        <f>IFERROR(VLOOKUP(A283,管理亚马逊库存!A:K,11,0),"")</f>
        <v>1</v>
      </c>
      <c r="C283">
        <f>IFERROR(VLOOKUP(A283,管理亚马逊库存!A:L,12,0),"")</f>
        <v>0</v>
      </c>
      <c r="D283">
        <f>IFERROR(VLOOKUP(A283,管理亚马逊库存!A:Q,17,0),"")</f>
        <v>0</v>
      </c>
      <c r="E283">
        <f>IFERROR(VLOOKUP(A283,管理亚马逊库存!A:R,18,0),"")</f>
        <v>0</v>
      </c>
      <c r="F283">
        <f t="shared" si="9"/>
        <v>0</v>
      </c>
      <c r="G283">
        <f>IFERROR(VLOOKUP(A283,预留库存!A:G,7,0),0)</f>
        <v>0</v>
      </c>
      <c r="H283">
        <f>IFERROR(VLOOKUP(A283,预留库存!A:H,8,0),0)</f>
        <v>0</v>
      </c>
      <c r="I283">
        <f>IFERROR(VLOOKUP(A283,预留库存!A:F,6,0),0)</f>
        <v>0</v>
      </c>
      <c r="J283">
        <f>IFERROR(VLOOKUP(A283,库龄!B:K,9,0),0)</f>
        <v>0</v>
      </c>
      <c r="K283">
        <f>IFERROR(VLOOKUP(A283,库龄!B:L,10,0),0)</f>
        <v>1</v>
      </c>
      <c r="L283">
        <f>IFERROR(VLOOKUP(A283,库龄!B:M,11,0),0)</f>
        <v>0</v>
      </c>
      <c r="M283">
        <f>IFERROR(VLOOKUP(A283,库龄!B:N,12,0),0)</f>
        <v>0</v>
      </c>
      <c r="N283">
        <f t="shared" si="10"/>
        <v>1</v>
      </c>
    </row>
    <row r="284" spans="1:14">
      <c r="A284" s="3" t="s">
        <v>914</v>
      </c>
      <c r="B284">
        <f>IFERROR(VLOOKUP(A284,管理亚马逊库存!A:K,11,0),"")</f>
        <v>7</v>
      </c>
      <c r="C284">
        <f>IFERROR(VLOOKUP(A284,管理亚马逊库存!A:L,12,0),"")</f>
        <v>0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>
        <f>IFERROR(VLOOKUP(A284,预留库存!A:G,7,0),0)</f>
        <v>0</v>
      </c>
      <c r="H284">
        <f>IFERROR(VLOOKUP(A284,预留库存!A:H,8,0),0)</f>
        <v>0</v>
      </c>
      <c r="I284">
        <f>IFERROR(VLOOKUP(A284,预留库存!A:F,6,0),0)</f>
        <v>0</v>
      </c>
      <c r="J284">
        <f>IFERROR(VLOOKUP(A284,库龄!B:K,9,0),0)</f>
        <v>0</v>
      </c>
      <c r="K284">
        <f>IFERROR(VLOOKUP(A284,库龄!B:L,10,0),0)</f>
        <v>4</v>
      </c>
      <c r="L284">
        <f>IFERROR(VLOOKUP(A284,库龄!B:M,11,0),0)</f>
        <v>3</v>
      </c>
      <c r="M284">
        <f>IFERROR(VLOOKUP(A284,库龄!B:N,12,0),0)</f>
        <v>0</v>
      </c>
      <c r="N284">
        <f t="shared" si="10"/>
        <v>7</v>
      </c>
    </row>
    <row r="285" spans="1:14">
      <c r="A285" s="3" t="s">
        <v>916</v>
      </c>
      <c r="B285">
        <f>IFERROR(VLOOKUP(A285,管理亚马逊库存!A:K,11,0),"")</f>
        <v>4</v>
      </c>
      <c r="C285">
        <f>IFERROR(VLOOKUP(A285,管理亚马逊库存!A:L,12,0),"")</f>
        <v>0</v>
      </c>
      <c r="D285">
        <f>IFERROR(VLOOKUP(A285,管理亚马逊库存!A:Q,17,0),"")</f>
        <v>0</v>
      </c>
      <c r="E285">
        <f>IFERROR(VLOOKUP(A285,管理亚马逊库存!A:R,18,0),"")</f>
        <v>0</v>
      </c>
      <c r="F285">
        <f t="shared" si="9"/>
        <v>0</v>
      </c>
      <c r="G285">
        <f>IFERROR(VLOOKUP(A285,预留库存!A:G,7,0),0)</f>
        <v>0</v>
      </c>
      <c r="H285">
        <f>IFERROR(VLOOKUP(A285,预留库存!A:H,8,0),0)</f>
        <v>0</v>
      </c>
      <c r="I285">
        <f>IFERROR(VLOOKUP(A285,预留库存!A:F,6,0),0)</f>
        <v>0</v>
      </c>
      <c r="J285">
        <f>IFERROR(VLOOKUP(A285,库龄!B:K,9,0),0)</f>
        <v>4</v>
      </c>
      <c r="K285">
        <f>IFERROR(VLOOKUP(A285,库龄!B:L,10,0),0)</f>
        <v>0</v>
      </c>
      <c r="L285">
        <f>IFERROR(VLOOKUP(A285,库龄!B:M,11,0),0)</f>
        <v>0</v>
      </c>
      <c r="M285">
        <f>IFERROR(VLOOKUP(A285,库龄!B:N,12,0),0)</f>
        <v>0</v>
      </c>
      <c r="N285">
        <f t="shared" si="10"/>
        <v>4</v>
      </c>
    </row>
    <row r="286" spans="1:14">
      <c r="A286" s="3" t="s">
        <v>919</v>
      </c>
      <c r="B286">
        <f>IFERROR(VLOOKUP(A286,管理亚马逊库存!A:K,11,0),"")</f>
        <v>80</v>
      </c>
      <c r="C286">
        <f>IFERROR(VLOOKUP(A286,管理亚马逊库存!A:L,12,0),"")</f>
        <v>0</v>
      </c>
      <c r="D286">
        <f>IFERROR(VLOOKUP(A286,管理亚马逊库存!A:Q,17,0),"")</f>
        <v>315</v>
      </c>
      <c r="E286">
        <f>IFERROR(VLOOKUP(A286,管理亚马逊库存!A:R,18,0),"")</f>
        <v>0</v>
      </c>
      <c r="F286">
        <f t="shared" si="9"/>
        <v>315</v>
      </c>
      <c r="G286">
        <f>IFERROR(VLOOKUP(A286,预留库存!A:G,7,0),0)</f>
        <v>0</v>
      </c>
      <c r="H286">
        <f>IFERROR(VLOOKUP(A286,预留库存!A:H,8,0),0)</f>
        <v>0</v>
      </c>
      <c r="I286">
        <f>IFERROR(VLOOKUP(A286,预留库存!A:F,6,0),0)</f>
        <v>0</v>
      </c>
      <c r="J286">
        <f>IFERROR(VLOOKUP(A286,库龄!B:K,9,0),0)</f>
        <v>0</v>
      </c>
      <c r="K286">
        <f>IFERROR(VLOOKUP(A286,库龄!B:L,10,0),0)</f>
        <v>0</v>
      </c>
      <c r="L286">
        <f>IFERROR(VLOOKUP(A286,库龄!B:M,11,0),0)</f>
        <v>0</v>
      </c>
      <c r="M286">
        <f>IFERROR(VLOOKUP(A286,库龄!B:N,12,0),0)</f>
        <v>0</v>
      </c>
      <c r="N286">
        <f t="shared" si="10"/>
        <v>0</v>
      </c>
    </row>
    <row r="287" spans="1:14">
      <c r="A287" s="3" t="s">
        <v>924</v>
      </c>
      <c r="B287">
        <f>IFERROR(VLOOKUP(A287,管理亚马逊库存!A:K,11,0),"")</f>
        <v>2</v>
      </c>
      <c r="C287">
        <f>IFERROR(VLOOKUP(A287,管理亚马逊库存!A:L,12,0),"")</f>
        <v>0</v>
      </c>
      <c r="D287">
        <f>IFERROR(VLOOKUP(A287,管理亚马逊库存!A:Q,17,0),"")</f>
        <v>0</v>
      </c>
      <c r="E287">
        <f>IFERROR(VLOOKUP(A287,管理亚马逊库存!A:R,18,0),"")</f>
        <v>0</v>
      </c>
      <c r="F287">
        <f t="shared" si="9"/>
        <v>0</v>
      </c>
      <c r="G287">
        <f>IFERROR(VLOOKUP(A287,预留库存!A:G,7,0),0)</f>
        <v>0</v>
      </c>
      <c r="H287">
        <f>IFERROR(VLOOKUP(A287,预留库存!A:H,8,0),0)</f>
        <v>0</v>
      </c>
      <c r="I287">
        <f>IFERROR(VLOOKUP(A287,预留库存!A:F,6,0),0)</f>
        <v>0</v>
      </c>
      <c r="J287">
        <f>IFERROR(VLOOKUP(A287,库龄!B:K,9,0),0)</f>
        <v>2</v>
      </c>
      <c r="K287">
        <f>IFERROR(VLOOKUP(A287,库龄!B:L,10,0),0)</f>
        <v>0</v>
      </c>
      <c r="L287">
        <f>IFERROR(VLOOKUP(A287,库龄!B:M,11,0),0)</f>
        <v>0</v>
      </c>
      <c r="M287">
        <f>IFERROR(VLOOKUP(A287,库龄!B:N,12,0),0)</f>
        <v>0</v>
      </c>
      <c r="N287">
        <f t="shared" si="10"/>
        <v>2</v>
      </c>
    </row>
    <row r="288" spans="1:14">
      <c r="A288" s="3" t="s">
        <v>926</v>
      </c>
      <c r="B288">
        <f>IFERROR(VLOOKUP(A288,管理亚马逊库存!A:K,11,0),"")</f>
        <v>5</v>
      </c>
      <c r="C288">
        <f>IFERROR(VLOOKUP(A288,管理亚马逊库存!A:L,12,0),"")</f>
        <v>0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0</v>
      </c>
      <c r="H288">
        <f>IFERROR(VLOOKUP(A288,预留库存!A:H,8,0),0)</f>
        <v>0</v>
      </c>
      <c r="I288">
        <f>IFERROR(VLOOKUP(A288,预留库存!A:F,6,0),0)</f>
        <v>0</v>
      </c>
      <c r="J288">
        <f>IFERROR(VLOOKUP(A288,库龄!B:K,9,0),0)</f>
        <v>0</v>
      </c>
      <c r="K288">
        <f>IFERROR(VLOOKUP(A288,库龄!B:L,10,0),0)</f>
        <v>4</v>
      </c>
      <c r="L288">
        <f>IFERROR(VLOOKUP(A288,库龄!B:M,11,0),0)</f>
        <v>1</v>
      </c>
      <c r="M288">
        <f>IFERROR(VLOOKUP(A288,库龄!B:N,12,0),0)</f>
        <v>0</v>
      </c>
      <c r="N288">
        <f t="shared" si="10"/>
        <v>5</v>
      </c>
    </row>
    <row r="289" spans="1:14">
      <c r="A289" s="3" t="s">
        <v>929</v>
      </c>
      <c r="B289">
        <f>IFERROR(VLOOKUP(A289,管理亚马逊库存!A:K,11,0),"")</f>
        <v>5</v>
      </c>
      <c r="C289">
        <f>IFERROR(VLOOKUP(A289,管理亚马逊库存!A:L,12,0),"")</f>
        <v>0</v>
      </c>
      <c r="D289">
        <f>IFERROR(VLOOKUP(A289,管理亚马逊库存!A:Q,17,0),"")</f>
        <v>0</v>
      </c>
      <c r="E289">
        <f>IFERROR(VLOOKUP(A289,管理亚马逊库存!A:R,18,0),"")</f>
        <v>0</v>
      </c>
      <c r="F289">
        <f t="shared" si="9"/>
        <v>0</v>
      </c>
      <c r="G289">
        <f>IFERROR(VLOOKUP(A289,预留库存!A:G,7,0),0)</f>
        <v>0</v>
      </c>
      <c r="H289">
        <f>IFERROR(VLOOKUP(A289,预留库存!A:H,8,0),0)</f>
        <v>0</v>
      </c>
      <c r="I289">
        <f>IFERROR(VLOOKUP(A289,预留库存!A:F,6,0),0)</f>
        <v>0</v>
      </c>
      <c r="J289">
        <f>IFERROR(VLOOKUP(A289,库龄!B:K,9,0),0)</f>
        <v>0</v>
      </c>
      <c r="K289">
        <f>IFERROR(VLOOKUP(A289,库龄!B:L,10,0),0)</f>
        <v>5</v>
      </c>
      <c r="L289">
        <f>IFERROR(VLOOKUP(A289,库龄!B:M,11,0),0)</f>
        <v>0</v>
      </c>
      <c r="M289">
        <f>IFERROR(VLOOKUP(A289,库龄!B:N,12,0),0)</f>
        <v>0</v>
      </c>
      <c r="N289">
        <f t="shared" si="10"/>
        <v>5</v>
      </c>
    </row>
    <row r="290" spans="1:14">
      <c r="A290" s="3" t="s">
        <v>932</v>
      </c>
      <c r="B290">
        <f>IFERROR(VLOOKUP(A290,管理亚马逊库存!A:K,11,0),"")</f>
        <v>6</v>
      </c>
      <c r="C290">
        <f>IFERROR(VLOOKUP(A290,管理亚马逊库存!A:L,12,0),"")</f>
        <v>0</v>
      </c>
      <c r="D290">
        <f>IFERROR(VLOOKUP(A290,管理亚马逊库存!A:Q,17,0),"")</f>
        <v>0</v>
      </c>
      <c r="E290">
        <f>IFERROR(VLOOKUP(A290,管理亚马逊库存!A:R,18,0),"")</f>
        <v>0</v>
      </c>
      <c r="F290">
        <f t="shared" si="9"/>
        <v>0</v>
      </c>
      <c r="G290">
        <f>IFERROR(VLOOKUP(A290,预留库存!A:G,7,0),0)</f>
        <v>0</v>
      </c>
      <c r="H290">
        <f>IFERROR(VLOOKUP(A290,预留库存!A:H,8,0),0)</f>
        <v>0</v>
      </c>
      <c r="I290">
        <f>IFERROR(VLOOKUP(A290,预留库存!A:F,6,0),0)</f>
        <v>0</v>
      </c>
      <c r="J290">
        <f>IFERROR(VLOOKUP(A290,库龄!B:K,9,0),0)</f>
        <v>0</v>
      </c>
      <c r="K290">
        <f>IFERROR(VLOOKUP(A290,库龄!B:L,10,0),0)</f>
        <v>0</v>
      </c>
      <c r="L290">
        <f>IFERROR(VLOOKUP(A290,库龄!B:M,11,0),0)</f>
        <v>6</v>
      </c>
      <c r="M290">
        <f>IFERROR(VLOOKUP(A290,库龄!B:N,12,0),0)</f>
        <v>0</v>
      </c>
      <c r="N290">
        <f t="shared" si="10"/>
        <v>6</v>
      </c>
    </row>
    <row r="291" spans="1:14">
      <c r="A291" s="3" t="s">
        <v>935</v>
      </c>
      <c r="B291">
        <f>IFERROR(VLOOKUP(A291,管理亚马逊库存!A:K,11,0),"")</f>
        <v>3</v>
      </c>
      <c r="C291">
        <f>IFERROR(VLOOKUP(A291,管理亚马逊库存!A:L,12,0),"")</f>
        <v>0</v>
      </c>
      <c r="D291">
        <f>IFERROR(VLOOKUP(A291,管理亚马逊库存!A:Q,17,0),"")</f>
        <v>0</v>
      </c>
      <c r="E291">
        <f>IFERROR(VLOOKUP(A291,管理亚马逊库存!A:R,18,0),"")</f>
        <v>0</v>
      </c>
      <c r="F291">
        <f t="shared" si="9"/>
        <v>0</v>
      </c>
      <c r="G291">
        <f>IFERROR(VLOOKUP(A291,预留库存!A:G,7,0),0)</f>
        <v>0</v>
      </c>
      <c r="H291">
        <f>IFERROR(VLOOKUP(A291,预留库存!A:H,8,0),0)</f>
        <v>0</v>
      </c>
      <c r="I291">
        <f>IFERROR(VLOOKUP(A291,预留库存!A:F,6,0),0)</f>
        <v>0</v>
      </c>
      <c r="J291">
        <f>IFERROR(VLOOKUP(A291,库龄!B:K,9,0),0)</f>
        <v>3</v>
      </c>
      <c r="K291">
        <f>IFERROR(VLOOKUP(A291,库龄!B:L,10,0),0)</f>
        <v>0</v>
      </c>
      <c r="L291">
        <f>IFERROR(VLOOKUP(A291,库龄!B:M,11,0),0)</f>
        <v>0</v>
      </c>
      <c r="M291">
        <f>IFERROR(VLOOKUP(A291,库龄!B:N,12,0),0)</f>
        <v>0</v>
      </c>
      <c r="N291">
        <f t="shared" si="10"/>
        <v>3</v>
      </c>
    </row>
    <row r="292" spans="1:14">
      <c r="A292" s="3" t="s">
        <v>940</v>
      </c>
      <c r="B292">
        <f>IFERROR(VLOOKUP(A292,管理亚马逊库存!A:K,11,0),"")</f>
        <v>1</v>
      </c>
      <c r="C292">
        <f>IFERROR(VLOOKUP(A292,管理亚马逊库存!A:L,12,0),"")</f>
        <v>0</v>
      </c>
      <c r="D292">
        <f>IFERROR(VLOOKUP(A292,管理亚马逊库存!A:Q,17,0),"")</f>
        <v>0</v>
      </c>
      <c r="E292">
        <f>IFERROR(VLOOKUP(A292,管理亚马逊库存!A:R,18,0),"")</f>
        <v>0</v>
      </c>
      <c r="F292">
        <f t="shared" si="9"/>
        <v>0</v>
      </c>
      <c r="G292">
        <f>IFERROR(VLOOKUP(A292,预留库存!A:G,7,0),0)</f>
        <v>0</v>
      </c>
      <c r="H292">
        <f>IFERROR(VLOOKUP(A292,预留库存!A:H,8,0),0)</f>
        <v>0</v>
      </c>
      <c r="I292">
        <f>IFERROR(VLOOKUP(A292,预留库存!A:F,6,0),0)</f>
        <v>0</v>
      </c>
      <c r="J292">
        <f>IFERROR(VLOOKUP(A292,库龄!B:K,9,0),0)</f>
        <v>1</v>
      </c>
      <c r="K292">
        <f>IFERROR(VLOOKUP(A292,库龄!B:L,10,0),0)</f>
        <v>0</v>
      </c>
      <c r="L292">
        <f>IFERROR(VLOOKUP(A292,库龄!B:M,11,0),0)</f>
        <v>0</v>
      </c>
      <c r="M292">
        <f>IFERROR(VLOOKUP(A292,库龄!B:N,12,0),0)</f>
        <v>0</v>
      </c>
      <c r="N292">
        <f t="shared" si="10"/>
        <v>1</v>
      </c>
    </row>
    <row r="293" spans="1:14">
      <c r="A293" s="3" t="s">
        <v>942</v>
      </c>
      <c r="B293">
        <f>IFERROR(VLOOKUP(A293,管理亚马逊库存!A:K,11,0),"")</f>
        <v>0</v>
      </c>
      <c r="C293">
        <f>IFERROR(VLOOKUP(A293,管理亚马逊库存!A:L,12,0),"")</f>
        <v>1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>
        <f>IFERROR(VLOOKUP(A293,预留库存!A:G,7,0),0)</f>
        <v>0</v>
      </c>
      <c r="H293">
        <f>IFERROR(VLOOKUP(A293,预留库存!A:H,8,0),0)</f>
        <v>0</v>
      </c>
      <c r="I293">
        <f>IFERROR(VLOOKUP(A293,预留库存!A:F,6,0),0)</f>
        <v>0</v>
      </c>
      <c r="J293">
        <f>IFERROR(VLOOKUP(A293,库龄!B:K,9,0),0)</f>
        <v>0</v>
      </c>
      <c r="K293">
        <f>IFERROR(VLOOKUP(A293,库龄!B:L,10,0),0)</f>
        <v>0</v>
      </c>
      <c r="L293">
        <f>IFERROR(VLOOKUP(A293,库龄!B:M,11,0),0)</f>
        <v>0</v>
      </c>
      <c r="M293">
        <f>IFERROR(VLOOKUP(A293,库龄!B:N,12,0),0)</f>
        <v>0</v>
      </c>
      <c r="N293">
        <f t="shared" si="10"/>
        <v>0</v>
      </c>
    </row>
    <row r="294" spans="1:14">
      <c r="A294" s="3" t="s">
        <v>945</v>
      </c>
      <c r="B294">
        <f>IFERROR(VLOOKUP(A294,管理亚马逊库存!A:K,11,0),"")</f>
        <v>9</v>
      </c>
      <c r="C294">
        <f>IFERROR(VLOOKUP(A294,管理亚马逊库存!A:L,12,0),"")</f>
        <v>0</v>
      </c>
      <c r="D294">
        <f>IFERROR(VLOOKUP(A294,管理亚马逊库存!A:Q,17,0),"")</f>
        <v>0</v>
      </c>
      <c r="E294">
        <f>IFERROR(VLOOKUP(A294,管理亚马逊库存!A:R,18,0),"")</f>
        <v>0</v>
      </c>
      <c r="F294">
        <f t="shared" si="9"/>
        <v>0</v>
      </c>
      <c r="G294">
        <f>IFERROR(VLOOKUP(A294,预留库存!A:G,7,0),0)</f>
        <v>0</v>
      </c>
      <c r="H294">
        <f>IFERROR(VLOOKUP(A294,预留库存!A:H,8,0),0)</f>
        <v>0</v>
      </c>
      <c r="I294">
        <f>IFERROR(VLOOKUP(A294,预留库存!A:F,6,0),0)</f>
        <v>0</v>
      </c>
      <c r="J294">
        <f>IFERROR(VLOOKUP(A294,库龄!B:K,9,0),0)</f>
        <v>7</v>
      </c>
      <c r="K294">
        <f>IFERROR(VLOOKUP(A294,库龄!B:L,10,0),0)</f>
        <v>0</v>
      </c>
      <c r="L294">
        <f>IFERROR(VLOOKUP(A294,库龄!B:M,11,0),0)</f>
        <v>2</v>
      </c>
      <c r="M294">
        <f>IFERROR(VLOOKUP(A294,库龄!B:N,12,0),0)</f>
        <v>0</v>
      </c>
      <c r="N294">
        <f t="shared" si="10"/>
        <v>9</v>
      </c>
    </row>
    <row r="295" spans="1:14">
      <c r="A295" s="3" t="s">
        <v>950</v>
      </c>
      <c r="B295">
        <f>IFERROR(VLOOKUP(A295,管理亚马逊库存!A:K,11,0),"")</f>
        <v>13</v>
      </c>
      <c r="C295">
        <f>IFERROR(VLOOKUP(A295,管理亚马逊库存!A:L,12,0),"")</f>
        <v>0</v>
      </c>
      <c r="D295">
        <f>IFERROR(VLOOKUP(A295,管理亚马逊库存!A:Q,17,0),"")</f>
        <v>0</v>
      </c>
      <c r="E295">
        <f>IFERROR(VLOOKUP(A295,管理亚马逊库存!A:R,18,0),"")</f>
        <v>0</v>
      </c>
      <c r="F295">
        <f t="shared" si="9"/>
        <v>0</v>
      </c>
      <c r="G295">
        <f>IFERROR(VLOOKUP(A295,预留库存!A:G,7,0),0)</f>
        <v>0</v>
      </c>
      <c r="H295">
        <f>IFERROR(VLOOKUP(A295,预留库存!A:H,8,0),0)</f>
        <v>0</v>
      </c>
      <c r="I295">
        <f>IFERROR(VLOOKUP(A295,预留库存!A:F,6,0),0)</f>
        <v>0</v>
      </c>
      <c r="J295">
        <f>IFERROR(VLOOKUP(A295,库龄!B:K,9,0),0)</f>
        <v>0</v>
      </c>
      <c r="K295">
        <f>IFERROR(VLOOKUP(A295,库龄!B:L,10,0),0)</f>
        <v>0</v>
      </c>
      <c r="L295">
        <f>IFERROR(VLOOKUP(A295,库龄!B:M,11,0),0)</f>
        <v>13</v>
      </c>
      <c r="M295">
        <f>IFERROR(VLOOKUP(A295,库龄!B:N,12,0),0)</f>
        <v>0</v>
      </c>
      <c r="N295">
        <f t="shared" si="10"/>
        <v>13</v>
      </c>
    </row>
    <row r="296" spans="1:14">
      <c r="A296" s="3" t="s">
        <v>953</v>
      </c>
      <c r="B296">
        <f>IFERROR(VLOOKUP(A296,管理亚马逊库存!A:K,11,0),"")</f>
        <v>3</v>
      </c>
      <c r="C296">
        <f>IFERROR(VLOOKUP(A296,管理亚马逊库存!A:L,12,0),"")</f>
        <v>0</v>
      </c>
      <c r="D296">
        <f>IFERROR(VLOOKUP(A296,管理亚马逊库存!A:Q,17,0),"")</f>
        <v>0</v>
      </c>
      <c r="E296">
        <f>IFERROR(VLOOKUP(A296,管理亚马逊库存!A:R,18,0),"")</f>
        <v>0</v>
      </c>
      <c r="F296">
        <f t="shared" si="9"/>
        <v>0</v>
      </c>
      <c r="G296">
        <f>IFERROR(VLOOKUP(A296,预留库存!A:G,7,0),0)</f>
        <v>0</v>
      </c>
      <c r="H296">
        <f>IFERROR(VLOOKUP(A296,预留库存!A:H,8,0),0)</f>
        <v>0</v>
      </c>
      <c r="I296">
        <f>IFERROR(VLOOKUP(A296,预留库存!A:F,6,0),0)</f>
        <v>0</v>
      </c>
      <c r="J296">
        <f>IFERROR(VLOOKUP(A296,库龄!B:K,9,0),0)</f>
        <v>0</v>
      </c>
      <c r="K296">
        <f>IFERROR(VLOOKUP(A296,库龄!B:L,10,0),0)</f>
        <v>2</v>
      </c>
      <c r="L296">
        <f>IFERROR(VLOOKUP(A296,库龄!B:M,11,0),0)</f>
        <v>0</v>
      </c>
      <c r="M296">
        <f>IFERROR(VLOOKUP(A296,库龄!B:N,12,0),0)</f>
        <v>0</v>
      </c>
      <c r="N296">
        <f t="shared" si="10"/>
        <v>2</v>
      </c>
    </row>
    <row r="297" spans="1:14">
      <c r="A297" s="3" t="s">
        <v>955</v>
      </c>
      <c r="B297">
        <f>IFERROR(VLOOKUP(A297,管理亚马逊库存!A:K,11,0),"")</f>
        <v>9</v>
      </c>
      <c r="C297">
        <f>IFERROR(VLOOKUP(A297,管理亚马逊库存!A:L,12,0),"")</f>
        <v>0</v>
      </c>
      <c r="D297">
        <f>IFERROR(VLOOKUP(A297,管理亚马逊库存!A:Q,17,0),"")</f>
        <v>0</v>
      </c>
      <c r="E297">
        <f>IFERROR(VLOOKUP(A297,管理亚马逊库存!A:R,18,0),"")</f>
        <v>0</v>
      </c>
      <c r="F297">
        <f t="shared" si="9"/>
        <v>0</v>
      </c>
      <c r="G297">
        <f>IFERROR(VLOOKUP(A297,预留库存!A:G,7,0),0)</f>
        <v>0</v>
      </c>
      <c r="H297">
        <f>IFERROR(VLOOKUP(A297,预留库存!A:H,8,0),0)</f>
        <v>0</v>
      </c>
      <c r="I297">
        <f>IFERROR(VLOOKUP(A297,预留库存!A:F,6,0),0)</f>
        <v>0</v>
      </c>
      <c r="J297">
        <f>IFERROR(VLOOKUP(A297,库龄!B:K,9,0),0)</f>
        <v>0</v>
      </c>
      <c r="K297">
        <f>IFERROR(VLOOKUP(A297,库龄!B:L,10,0),0)</f>
        <v>1</v>
      </c>
      <c r="L297">
        <f>IFERROR(VLOOKUP(A297,库龄!B:M,11,0),0)</f>
        <v>8</v>
      </c>
      <c r="M297">
        <f>IFERROR(VLOOKUP(A297,库龄!B:N,12,0),0)</f>
        <v>0</v>
      </c>
      <c r="N297">
        <f t="shared" si="10"/>
        <v>9</v>
      </c>
    </row>
    <row r="298" spans="1:14">
      <c r="A298" s="3" t="s">
        <v>958</v>
      </c>
      <c r="B298">
        <f>IFERROR(VLOOKUP(A298,管理亚马逊库存!A:K,11,0),"")</f>
        <v>10</v>
      </c>
      <c r="C298">
        <f>IFERROR(VLOOKUP(A298,管理亚马逊库存!A:L,12,0),"")</f>
        <v>0</v>
      </c>
      <c r="D298">
        <f>IFERROR(VLOOKUP(A298,管理亚马逊库存!A:Q,17,0),"")</f>
        <v>0</v>
      </c>
      <c r="E298">
        <f>IFERROR(VLOOKUP(A298,管理亚马逊库存!A:R,18,0),"")</f>
        <v>0</v>
      </c>
      <c r="F298">
        <f t="shared" si="9"/>
        <v>0</v>
      </c>
      <c r="G298">
        <f>IFERROR(VLOOKUP(A298,预留库存!A:G,7,0),0)</f>
        <v>0</v>
      </c>
      <c r="H298">
        <f>IFERROR(VLOOKUP(A298,预留库存!A:H,8,0),0)</f>
        <v>0</v>
      </c>
      <c r="I298">
        <f>IFERROR(VLOOKUP(A298,预留库存!A:F,6,0),0)</f>
        <v>0</v>
      </c>
      <c r="J298">
        <f>IFERROR(VLOOKUP(A298,库龄!B:K,9,0),0)</f>
        <v>0</v>
      </c>
      <c r="K298">
        <f>IFERROR(VLOOKUP(A298,库龄!B:L,10,0),0)</f>
        <v>0</v>
      </c>
      <c r="L298">
        <f>IFERROR(VLOOKUP(A298,库龄!B:M,11,0),0)</f>
        <v>0</v>
      </c>
      <c r="M298">
        <f>IFERROR(VLOOKUP(A298,库龄!B:N,12,0),0)</f>
        <v>0</v>
      </c>
      <c r="N298">
        <f t="shared" si="10"/>
        <v>0</v>
      </c>
    </row>
    <row r="299" spans="1:14">
      <c r="A299" s="3" t="s">
        <v>960</v>
      </c>
      <c r="B299">
        <f>IFERROR(VLOOKUP(A299,管理亚马逊库存!A:K,11,0),"")</f>
        <v>4</v>
      </c>
      <c r="C299">
        <f>IFERROR(VLOOKUP(A299,管理亚马逊库存!A:L,12,0),"")</f>
        <v>0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>
        <f>IFERROR(VLOOKUP(A299,预留库存!A:G,7,0),0)</f>
        <v>0</v>
      </c>
      <c r="H299">
        <f>IFERROR(VLOOKUP(A299,预留库存!A:H,8,0),0)</f>
        <v>0</v>
      </c>
      <c r="I299">
        <f>IFERROR(VLOOKUP(A299,预留库存!A:F,6,0),0)</f>
        <v>0</v>
      </c>
      <c r="J299">
        <f>IFERROR(VLOOKUP(A299,库龄!B:K,9,0),0)</f>
        <v>4</v>
      </c>
      <c r="K299">
        <f>IFERROR(VLOOKUP(A299,库龄!B:L,10,0),0)</f>
        <v>0</v>
      </c>
      <c r="L299">
        <f>IFERROR(VLOOKUP(A299,库龄!B:M,11,0),0)</f>
        <v>0</v>
      </c>
      <c r="M299">
        <f>IFERROR(VLOOKUP(A299,库龄!B:N,12,0),0)</f>
        <v>0</v>
      </c>
      <c r="N299">
        <f t="shared" si="10"/>
        <v>4</v>
      </c>
    </row>
    <row r="300" spans="1:14">
      <c r="A300" s="3" t="s">
        <v>963</v>
      </c>
      <c r="B300">
        <f>IFERROR(VLOOKUP(A300,管理亚马逊库存!A:K,11,0),"")</f>
        <v>3</v>
      </c>
      <c r="C300">
        <f>IFERROR(VLOOKUP(A300,管理亚马逊库存!A:L,12,0),"")</f>
        <v>0</v>
      </c>
      <c r="D300">
        <f>IFERROR(VLOOKUP(A300,管理亚马逊库存!A:Q,17,0),"")</f>
        <v>0</v>
      </c>
      <c r="E300">
        <f>IFERROR(VLOOKUP(A300,管理亚马逊库存!A:R,18,0),"")</f>
        <v>0</v>
      </c>
      <c r="F300">
        <f t="shared" si="9"/>
        <v>0</v>
      </c>
      <c r="G300">
        <f>IFERROR(VLOOKUP(A300,预留库存!A:G,7,0),0)</f>
        <v>0</v>
      </c>
      <c r="H300">
        <f>IFERROR(VLOOKUP(A300,预留库存!A:H,8,0),0)</f>
        <v>0</v>
      </c>
      <c r="I300">
        <f>IFERROR(VLOOKUP(A300,预留库存!A:F,6,0),0)</f>
        <v>0</v>
      </c>
      <c r="J300">
        <f>IFERROR(VLOOKUP(A300,库龄!B:K,9,0),0)</f>
        <v>0</v>
      </c>
      <c r="K300">
        <f>IFERROR(VLOOKUP(A300,库龄!B:L,10,0),0)</f>
        <v>3</v>
      </c>
      <c r="L300">
        <f>IFERROR(VLOOKUP(A300,库龄!B:M,11,0),0)</f>
        <v>0</v>
      </c>
      <c r="M300">
        <f>IFERROR(VLOOKUP(A300,库龄!B:N,12,0),0)</f>
        <v>0</v>
      </c>
      <c r="N300">
        <f t="shared" si="10"/>
        <v>3</v>
      </c>
    </row>
    <row r="301" spans="1:14">
      <c r="A301" s="3" t="s">
        <v>965</v>
      </c>
      <c r="B301">
        <f>IFERROR(VLOOKUP(A301,管理亚马逊库存!A:K,11,0),"")</f>
        <v>12</v>
      </c>
      <c r="C301">
        <f>IFERROR(VLOOKUP(A301,管理亚马逊库存!A:L,12,0),"")</f>
        <v>0</v>
      </c>
      <c r="D301">
        <f>IFERROR(VLOOKUP(A301,管理亚马逊库存!A:Q,17,0),"")</f>
        <v>0</v>
      </c>
      <c r="E301">
        <f>IFERROR(VLOOKUP(A301,管理亚马逊库存!A:R,18,0),"")</f>
        <v>0</v>
      </c>
      <c r="F301">
        <f t="shared" si="9"/>
        <v>0</v>
      </c>
      <c r="G301">
        <f>IFERROR(VLOOKUP(A301,预留库存!A:G,7,0),0)</f>
        <v>0</v>
      </c>
      <c r="H301">
        <f>IFERROR(VLOOKUP(A301,预留库存!A:H,8,0),0)</f>
        <v>0</v>
      </c>
      <c r="I301">
        <f>IFERROR(VLOOKUP(A301,预留库存!A:F,6,0),0)</f>
        <v>0</v>
      </c>
      <c r="J301">
        <f>IFERROR(VLOOKUP(A301,库龄!B:K,9,0),0)</f>
        <v>0</v>
      </c>
      <c r="K301">
        <f>IFERROR(VLOOKUP(A301,库龄!B:L,10,0),0)</f>
        <v>0</v>
      </c>
      <c r="L301">
        <f>IFERROR(VLOOKUP(A301,库龄!B:M,11,0),0)</f>
        <v>12</v>
      </c>
      <c r="M301">
        <f>IFERROR(VLOOKUP(A301,库龄!B:N,12,0),0)</f>
        <v>0</v>
      </c>
      <c r="N301">
        <f t="shared" si="10"/>
        <v>12</v>
      </c>
    </row>
    <row r="302" spans="1:14">
      <c r="A302" s="3" t="s">
        <v>968</v>
      </c>
      <c r="B302">
        <f>IFERROR(VLOOKUP(A302,管理亚马逊库存!A:K,11,0),"")</f>
        <v>1</v>
      </c>
      <c r="C302">
        <f>IFERROR(VLOOKUP(A302,管理亚马逊库存!A:L,12,0),"")</f>
        <v>0</v>
      </c>
      <c r="D302">
        <f>IFERROR(VLOOKUP(A302,管理亚马逊库存!A:Q,17,0),"")</f>
        <v>0</v>
      </c>
      <c r="E302">
        <f>IFERROR(VLOOKUP(A302,管理亚马逊库存!A:R,18,0),"")</f>
        <v>0</v>
      </c>
      <c r="F302">
        <f t="shared" si="9"/>
        <v>0</v>
      </c>
      <c r="G302">
        <f>IFERROR(VLOOKUP(A302,预留库存!A:G,7,0),0)</f>
        <v>0</v>
      </c>
      <c r="H302">
        <f>IFERROR(VLOOKUP(A302,预留库存!A:H,8,0),0)</f>
        <v>0</v>
      </c>
      <c r="I302">
        <f>IFERROR(VLOOKUP(A302,预留库存!A:F,6,0),0)</f>
        <v>0</v>
      </c>
      <c r="J302">
        <f>IFERROR(VLOOKUP(A302,库龄!B:K,9,0),0)</f>
        <v>0</v>
      </c>
      <c r="K302">
        <f>IFERROR(VLOOKUP(A302,库龄!B:L,10,0),0)</f>
        <v>1</v>
      </c>
      <c r="L302">
        <f>IFERROR(VLOOKUP(A302,库龄!B:M,11,0),0)</f>
        <v>0</v>
      </c>
      <c r="M302">
        <f>IFERROR(VLOOKUP(A302,库龄!B:N,12,0),0)</f>
        <v>0</v>
      </c>
      <c r="N302">
        <f t="shared" si="10"/>
        <v>1</v>
      </c>
    </row>
    <row r="303" spans="1:14">
      <c r="A303" s="3" t="s">
        <v>970</v>
      </c>
      <c r="B303">
        <f>IFERROR(VLOOKUP(A303,管理亚马逊库存!A:K,11,0),"")</f>
        <v>6</v>
      </c>
      <c r="C303">
        <f>IFERROR(VLOOKUP(A303,管理亚马逊库存!A:L,12,0),"")</f>
        <v>0</v>
      </c>
      <c r="D303">
        <f>IFERROR(VLOOKUP(A303,管理亚马逊库存!A:Q,17,0),"")</f>
        <v>0</v>
      </c>
      <c r="E303">
        <f>IFERROR(VLOOKUP(A303,管理亚马逊库存!A:R,18,0),"")</f>
        <v>0</v>
      </c>
      <c r="F303">
        <f t="shared" si="9"/>
        <v>0</v>
      </c>
      <c r="G303">
        <f>IFERROR(VLOOKUP(A303,预留库存!A:G,7,0),0)</f>
        <v>0</v>
      </c>
      <c r="H303">
        <f>IFERROR(VLOOKUP(A303,预留库存!A:H,8,0),0)</f>
        <v>0</v>
      </c>
      <c r="I303">
        <f>IFERROR(VLOOKUP(A303,预留库存!A:F,6,0),0)</f>
        <v>0</v>
      </c>
      <c r="J303">
        <f>IFERROR(VLOOKUP(A303,库龄!B:K,9,0),0)</f>
        <v>1</v>
      </c>
      <c r="K303">
        <f>IFERROR(VLOOKUP(A303,库龄!B:L,10,0),0)</f>
        <v>2</v>
      </c>
      <c r="L303">
        <f>IFERROR(VLOOKUP(A303,库龄!B:M,11,0),0)</f>
        <v>3</v>
      </c>
      <c r="M303">
        <f>IFERROR(VLOOKUP(A303,库龄!B:N,12,0),0)</f>
        <v>0</v>
      </c>
      <c r="N303">
        <f t="shared" si="10"/>
        <v>6</v>
      </c>
    </row>
    <row r="304" spans="1:14">
      <c r="A304" s="3" t="s">
        <v>973</v>
      </c>
      <c r="B304">
        <f>IFERROR(VLOOKUP(A304,管理亚马逊库存!A:K,11,0),"")</f>
        <v>3</v>
      </c>
      <c r="C304">
        <f>IFERROR(VLOOKUP(A304,管理亚马逊库存!A:L,12,0),"")</f>
        <v>0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0</v>
      </c>
      <c r="I304">
        <f>IFERROR(VLOOKUP(A304,预留库存!A:F,6,0),0)</f>
        <v>0</v>
      </c>
      <c r="J304">
        <f>IFERROR(VLOOKUP(A304,库龄!B:K,9,0),0)</f>
        <v>0</v>
      </c>
      <c r="K304">
        <f>IFERROR(VLOOKUP(A304,库龄!B:L,10,0),0)</f>
        <v>3</v>
      </c>
      <c r="L304">
        <f>IFERROR(VLOOKUP(A304,库龄!B:M,11,0),0)</f>
        <v>0</v>
      </c>
      <c r="M304">
        <f>IFERROR(VLOOKUP(A304,库龄!B:N,12,0),0)</f>
        <v>0</v>
      </c>
      <c r="N304">
        <f t="shared" si="10"/>
        <v>3</v>
      </c>
    </row>
    <row r="305" spans="1:14">
      <c r="A305" s="3" t="s">
        <v>975</v>
      </c>
      <c r="B305">
        <f>IFERROR(VLOOKUP(A305,管理亚马逊库存!A:K,11,0),"")</f>
        <v>52</v>
      </c>
      <c r="C305">
        <f>IFERROR(VLOOKUP(A305,管理亚马逊库存!A:L,12,0),"")</f>
        <v>0</v>
      </c>
      <c r="D305">
        <f>IFERROR(VLOOKUP(A305,管理亚马逊库存!A:Q,17,0),"")</f>
        <v>40</v>
      </c>
      <c r="E305">
        <f>IFERROR(VLOOKUP(A305,管理亚马逊库存!A:R,18,0),"")</f>
        <v>8</v>
      </c>
      <c r="F305">
        <f t="shared" si="9"/>
        <v>48</v>
      </c>
      <c r="G305">
        <f>IFERROR(VLOOKUP(A305,预留库存!A:G,7,0),0)</f>
        <v>0</v>
      </c>
      <c r="H305">
        <f>IFERROR(VLOOKUP(A305,预留库存!A:H,8,0),0)</f>
        <v>0</v>
      </c>
      <c r="I305">
        <f>IFERROR(VLOOKUP(A305,预留库存!A:F,6,0),0)</f>
        <v>0</v>
      </c>
      <c r="J305">
        <f>IFERROR(VLOOKUP(A305,库龄!B:K,9,0),0)</f>
        <v>0</v>
      </c>
      <c r="K305">
        <f>IFERROR(VLOOKUP(A305,库龄!B:L,10,0),0)</f>
        <v>0</v>
      </c>
      <c r="L305">
        <f>IFERROR(VLOOKUP(A305,库龄!B:M,11,0),0)</f>
        <v>0</v>
      </c>
      <c r="M305">
        <f>IFERROR(VLOOKUP(A305,库龄!B:N,12,0),0)</f>
        <v>0</v>
      </c>
      <c r="N305">
        <f t="shared" si="10"/>
        <v>0</v>
      </c>
    </row>
    <row r="306" spans="1:14">
      <c r="A306" s="3" t="s">
        <v>977</v>
      </c>
      <c r="B306">
        <f>IFERROR(VLOOKUP(A306,管理亚马逊库存!A:K,11,0),"")</f>
        <v>1</v>
      </c>
      <c r="C306">
        <f>IFERROR(VLOOKUP(A306,管理亚马逊库存!A:L,12,0),"")</f>
        <v>0</v>
      </c>
      <c r="D306">
        <f>IFERROR(VLOOKUP(A306,管理亚马逊库存!A:Q,17,0),"")</f>
        <v>0</v>
      </c>
      <c r="E306">
        <f>IFERROR(VLOOKUP(A306,管理亚马逊库存!A:R,18,0),"")</f>
        <v>0</v>
      </c>
      <c r="F306">
        <f t="shared" si="9"/>
        <v>0</v>
      </c>
      <c r="G306">
        <f>IFERROR(VLOOKUP(A306,预留库存!A:G,7,0),0)</f>
        <v>0</v>
      </c>
      <c r="H306">
        <f>IFERROR(VLOOKUP(A306,预留库存!A:H,8,0),0)</f>
        <v>0</v>
      </c>
      <c r="I306">
        <f>IFERROR(VLOOKUP(A306,预留库存!A:F,6,0),0)</f>
        <v>0</v>
      </c>
      <c r="J306">
        <f>IFERROR(VLOOKUP(A306,库龄!B:K,9,0),0)</f>
        <v>1</v>
      </c>
      <c r="K306">
        <f>IFERROR(VLOOKUP(A306,库龄!B:L,10,0),0)</f>
        <v>0</v>
      </c>
      <c r="L306">
        <f>IFERROR(VLOOKUP(A306,库龄!B:M,11,0),0)</f>
        <v>0</v>
      </c>
      <c r="M306">
        <f>IFERROR(VLOOKUP(A306,库龄!B:N,12,0),0)</f>
        <v>0</v>
      </c>
      <c r="N306">
        <f t="shared" si="10"/>
        <v>1</v>
      </c>
    </row>
    <row r="307" spans="1:14">
      <c r="A307" s="3" t="s">
        <v>981</v>
      </c>
      <c r="B307">
        <f>IFERROR(VLOOKUP(A307,管理亚马逊库存!A:K,11,0),"")</f>
        <v>2</v>
      </c>
      <c r="C307">
        <f>IFERROR(VLOOKUP(A307,管理亚马逊库存!A:L,12,0),"")</f>
        <v>0</v>
      </c>
      <c r="D307">
        <f>IFERROR(VLOOKUP(A307,管理亚马逊库存!A:Q,17,0),"")</f>
        <v>0</v>
      </c>
      <c r="E307">
        <f>IFERROR(VLOOKUP(A307,管理亚马逊库存!A:R,18,0),"")</f>
        <v>0</v>
      </c>
      <c r="F307">
        <f t="shared" si="9"/>
        <v>0</v>
      </c>
      <c r="G307">
        <f>IFERROR(VLOOKUP(A307,预留库存!A:G,7,0),0)</f>
        <v>0</v>
      </c>
      <c r="H307">
        <f>IFERROR(VLOOKUP(A307,预留库存!A:H,8,0),0)</f>
        <v>0</v>
      </c>
      <c r="I307">
        <f>IFERROR(VLOOKUP(A307,预留库存!A:F,6,0),0)</f>
        <v>0</v>
      </c>
      <c r="J307">
        <f>IFERROR(VLOOKUP(A307,库龄!B:K,9,0),0)</f>
        <v>0</v>
      </c>
      <c r="K307">
        <f>IFERROR(VLOOKUP(A307,库龄!B:L,10,0),0)</f>
        <v>1</v>
      </c>
      <c r="L307">
        <f>IFERROR(VLOOKUP(A307,库龄!B:M,11,0),0)</f>
        <v>1</v>
      </c>
      <c r="M307">
        <f>IFERROR(VLOOKUP(A307,库龄!B:N,12,0),0)</f>
        <v>0</v>
      </c>
      <c r="N307">
        <f t="shared" si="10"/>
        <v>2</v>
      </c>
    </row>
    <row r="308" spans="1:14">
      <c r="A308" s="3" t="s">
        <v>983</v>
      </c>
      <c r="B308">
        <f>IFERROR(VLOOKUP(A308,管理亚马逊库存!A:K,11,0),"")</f>
        <v>2</v>
      </c>
      <c r="C308">
        <f>IFERROR(VLOOKUP(A308,管理亚马逊库存!A:L,12,0),"")</f>
        <v>0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>
        <f>IFERROR(VLOOKUP(A308,预留库存!A:G,7,0),0)</f>
        <v>0</v>
      </c>
      <c r="H308">
        <f>IFERROR(VLOOKUP(A308,预留库存!A:H,8,0),0)</f>
        <v>0</v>
      </c>
      <c r="I308">
        <f>IFERROR(VLOOKUP(A308,预留库存!A:F,6,0),0)</f>
        <v>0</v>
      </c>
      <c r="J308">
        <f>IFERROR(VLOOKUP(A308,库龄!B:K,9,0),0)</f>
        <v>0</v>
      </c>
      <c r="K308">
        <f>IFERROR(VLOOKUP(A308,库龄!B:L,10,0),0)</f>
        <v>2</v>
      </c>
      <c r="L308">
        <f>IFERROR(VLOOKUP(A308,库龄!B:M,11,0),0)</f>
        <v>0</v>
      </c>
      <c r="M308">
        <f>IFERROR(VLOOKUP(A308,库龄!B:N,12,0),0)</f>
        <v>0</v>
      </c>
      <c r="N308">
        <f t="shared" si="10"/>
        <v>2</v>
      </c>
    </row>
    <row r="309" spans="1:14">
      <c r="A309" s="3" t="s">
        <v>999</v>
      </c>
      <c r="B309">
        <f>IFERROR(VLOOKUP(A309,管理亚马逊库存!A:K,11,0),"")</f>
        <v>0</v>
      </c>
      <c r="C309">
        <f>IFERROR(VLOOKUP(A309,管理亚马逊库存!A:L,12,0),"")</f>
        <v>0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>
        <f>IFERROR(VLOOKUP(A309,预留库存!A:G,7,0),0)</f>
        <v>0</v>
      </c>
      <c r="H309">
        <f>IFERROR(VLOOKUP(A309,预留库存!A:H,8,0),0)</f>
        <v>0</v>
      </c>
      <c r="I309">
        <f>IFERROR(VLOOKUP(A309,预留库存!A:F,6,0),0)</f>
        <v>0</v>
      </c>
      <c r="J309">
        <f>IFERROR(VLOOKUP(A309,库龄!B:K,9,0),0)</f>
        <v>0</v>
      </c>
      <c r="K309">
        <f>IFERROR(VLOOKUP(A309,库龄!B:L,10,0),0)</f>
        <v>0</v>
      </c>
      <c r="L309">
        <f>IFERROR(VLOOKUP(A309,库龄!B:M,11,0),0)</f>
        <v>0</v>
      </c>
      <c r="M309">
        <f>IFERROR(VLOOKUP(A309,库龄!B:N,12,0),0)</f>
        <v>0</v>
      </c>
      <c r="N309">
        <f t="shared" si="10"/>
        <v>0</v>
      </c>
    </row>
    <row r="310" spans="1:14">
      <c r="A310" s="3" t="s">
        <v>1002</v>
      </c>
      <c r="B310">
        <f>IFERROR(VLOOKUP(A310,管理亚马逊库存!A:K,11,0),"")</f>
        <v>0</v>
      </c>
      <c r="C310">
        <f>IFERROR(VLOOKUP(A310,管理亚马逊库存!A:L,12,0),"")</f>
        <v>0</v>
      </c>
      <c r="D310">
        <f>IFERROR(VLOOKUP(A310,管理亚马逊库存!A:Q,17,0),"")</f>
        <v>0</v>
      </c>
      <c r="E310">
        <f>IFERROR(VLOOKUP(A310,管理亚马逊库存!A:R,18,0),"")</f>
        <v>0</v>
      </c>
      <c r="F310">
        <f t="shared" si="9"/>
        <v>0</v>
      </c>
      <c r="G310">
        <f>IFERROR(VLOOKUP(A310,预留库存!A:G,7,0),0)</f>
        <v>0</v>
      </c>
      <c r="H310">
        <f>IFERROR(VLOOKUP(A310,预留库存!A:H,8,0),0)</f>
        <v>0</v>
      </c>
      <c r="I310">
        <f>IFERROR(VLOOKUP(A310,预留库存!A:F,6,0),0)</f>
        <v>0</v>
      </c>
      <c r="J310">
        <f>IFERROR(VLOOKUP(A310,库龄!B:K,9,0),0)</f>
        <v>0</v>
      </c>
      <c r="K310">
        <f>IFERROR(VLOOKUP(A310,库龄!B:L,10,0),0)</f>
        <v>0</v>
      </c>
      <c r="L310">
        <f>IFERROR(VLOOKUP(A310,库龄!B:M,11,0),0)</f>
        <v>0</v>
      </c>
      <c r="M310">
        <f>IFERROR(VLOOKUP(A310,库龄!B:N,12,0),0)</f>
        <v>0</v>
      </c>
      <c r="N310">
        <f t="shared" si="10"/>
        <v>0</v>
      </c>
    </row>
    <row r="311" spans="1:14">
      <c r="A311" s="3" t="s">
        <v>1005</v>
      </c>
      <c r="B311">
        <f>IFERROR(VLOOKUP(A311,管理亚马逊库存!A:K,11,0),"")</f>
        <v>0</v>
      </c>
      <c r="C311">
        <f>IFERROR(VLOOKUP(A311,管理亚马逊库存!A:L,12,0),"")</f>
        <v>0</v>
      </c>
      <c r="D311">
        <f>IFERROR(VLOOKUP(A311,管理亚马逊库存!A:Q,17,0),"")</f>
        <v>0</v>
      </c>
      <c r="E311">
        <f>IFERROR(VLOOKUP(A311,管理亚马逊库存!A:R,18,0),"")</f>
        <v>0</v>
      </c>
      <c r="F311">
        <f t="shared" si="9"/>
        <v>0</v>
      </c>
      <c r="G311">
        <f>IFERROR(VLOOKUP(A311,预留库存!A:G,7,0),0)</f>
        <v>0</v>
      </c>
      <c r="H311">
        <f>IFERROR(VLOOKUP(A311,预留库存!A:H,8,0),0)</f>
        <v>0</v>
      </c>
      <c r="I311">
        <f>IFERROR(VLOOKUP(A311,预留库存!A:F,6,0),0)</f>
        <v>0</v>
      </c>
      <c r="J311">
        <f>IFERROR(VLOOKUP(A311,库龄!B:K,9,0),0)</f>
        <v>0</v>
      </c>
      <c r="K311">
        <f>IFERROR(VLOOKUP(A311,库龄!B:L,10,0),0)</f>
        <v>0</v>
      </c>
      <c r="L311">
        <f>IFERROR(VLOOKUP(A311,库龄!B:M,11,0),0)</f>
        <v>0</v>
      </c>
      <c r="M311">
        <f>IFERROR(VLOOKUP(A311,库龄!B:N,12,0),0)</f>
        <v>0</v>
      </c>
      <c r="N311">
        <f t="shared" si="10"/>
        <v>0</v>
      </c>
    </row>
    <row r="312" spans="1:14">
      <c r="A312" s="3" t="s">
        <v>1008</v>
      </c>
      <c r="B312">
        <f>IFERROR(VLOOKUP(A312,管理亚马逊库存!A:K,11,0),"")</f>
        <v>0</v>
      </c>
      <c r="C312">
        <f>IFERROR(VLOOKUP(A312,管理亚马逊库存!A:L,12,0),"")</f>
        <v>1</v>
      </c>
      <c r="D312">
        <f>IFERROR(VLOOKUP(A312,管理亚马逊库存!A:Q,17,0),"")</f>
        <v>0</v>
      </c>
      <c r="E312">
        <f>IFERROR(VLOOKUP(A312,管理亚马逊库存!A:R,18,0),"")</f>
        <v>0</v>
      </c>
      <c r="F312">
        <f t="shared" si="9"/>
        <v>0</v>
      </c>
      <c r="G312">
        <f>IFERROR(VLOOKUP(A312,预留库存!A:G,7,0),0)</f>
        <v>0</v>
      </c>
      <c r="H312">
        <f>IFERROR(VLOOKUP(A312,预留库存!A:H,8,0),0)</f>
        <v>0</v>
      </c>
      <c r="I312">
        <f>IFERROR(VLOOKUP(A312,预留库存!A:F,6,0),0)</f>
        <v>0</v>
      </c>
      <c r="J312">
        <f>IFERROR(VLOOKUP(A312,库龄!B:K,9,0),0)</f>
        <v>0</v>
      </c>
      <c r="K312">
        <f>IFERROR(VLOOKUP(A312,库龄!B:L,10,0),0)</f>
        <v>0</v>
      </c>
      <c r="L312">
        <f>IFERROR(VLOOKUP(A312,库龄!B:M,11,0),0)</f>
        <v>0</v>
      </c>
      <c r="M312">
        <f>IFERROR(VLOOKUP(A312,库龄!B:N,12,0),0)</f>
        <v>0</v>
      </c>
      <c r="N312">
        <f t="shared" si="10"/>
        <v>0</v>
      </c>
    </row>
    <row r="313" spans="1:14">
      <c r="A313" s="3" t="s">
        <v>1011</v>
      </c>
      <c r="B313">
        <f>IFERROR(VLOOKUP(A313,管理亚马逊库存!A:K,11,0),"")</f>
        <v>0</v>
      </c>
      <c r="C313">
        <f>IFERROR(VLOOKUP(A313,管理亚马逊库存!A:L,12,0),"")</f>
        <v>0</v>
      </c>
      <c r="D313">
        <f>IFERROR(VLOOKUP(A313,管理亚马逊库存!A:Q,17,0),"")</f>
        <v>0</v>
      </c>
      <c r="E313">
        <f>IFERROR(VLOOKUP(A313,管理亚马逊库存!A:R,18,0),"")</f>
        <v>0</v>
      </c>
      <c r="F313">
        <f t="shared" si="9"/>
        <v>0</v>
      </c>
      <c r="G313">
        <f>IFERROR(VLOOKUP(A313,预留库存!A:G,7,0),0)</f>
        <v>0</v>
      </c>
      <c r="H313">
        <f>IFERROR(VLOOKUP(A313,预留库存!A:H,8,0),0)</f>
        <v>0</v>
      </c>
      <c r="I313">
        <f>IFERROR(VLOOKUP(A313,预留库存!A:F,6,0),0)</f>
        <v>0</v>
      </c>
      <c r="J313">
        <f>IFERROR(VLOOKUP(A313,库龄!B:K,9,0),0)</f>
        <v>0</v>
      </c>
      <c r="K313">
        <f>IFERROR(VLOOKUP(A313,库龄!B:L,10,0),0)</f>
        <v>0</v>
      </c>
      <c r="L313">
        <f>IFERROR(VLOOKUP(A313,库龄!B:M,11,0),0)</f>
        <v>0</v>
      </c>
      <c r="M313">
        <f>IFERROR(VLOOKUP(A313,库龄!B:N,12,0),0)</f>
        <v>0</v>
      </c>
      <c r="N313">
        <f t="shared" si="10"/>
        <v>0</v>
      </c>
    </row>
    <row r="314" spans="1:14">
      <c r="A314" s="3" t="s">
        <v>1012</v>
      </c>
      <c r="B314">
        <f>IFERROR(VLOOKUP(A314,管理亚马逊库存!A:K,11,0),"")</f>
        <v>0</v>
      </c>
      <c r="C314">
        <f>IFERROR(VLOOKUP(A314,管理亚马逊库存!A:L,12,0),"")</f>
        <v>0</v>
      </c>
      <c r="D314">
        <f>IFERROR(VLOOKUP(A314,管理亚马逊库存!A:Q,17,0),"")</f>
        <v>0</v>
      </c>
      <c r="E314">
        <f>IFERROR(VLOOKUP(A314,管理亚马逊库存!A:R,18,0),"")</f>
        <v>0</v>
      </c>
      <c r="F314">
        <f t="shared" si="9"/>
        <v>0</v>
      </c>
      <c r="G314">
        <f>IFERROR(VLOOKUP(A314,预留库存!A:G,7,0),0)</f>
        <v>0</v>
      </c>
      <c r="H314">
        <f>IFERROR(VLOOKUP(A314,预留库存!A:H,8,0),0)</f>
        <v>0</v>
      </c>
      <c r="I314">
        <f>IFERROR(VLOOKUP(A314,预留库存!A:F,6,0),0)</f>
        <v>0</v>
      </c>
      <c r="J314">
        <f>IFERROR(VLOOKUP(A314,库龄!B:K,9,0),0)</f>
        <v>0</v>
      </c>
      <c r="K314">
        <f>IFERROR(VLOOKUP(A314,库龄!B:L,10,0),0)</f>
        <v>0</v>
      </c>
      <c r="L314">
        <f>IFERROR(VLOOKUP(A314,库龄!B:M,11,0),0)</f>
        <v>0</v>
      </c>
      <c r="M314">
        <f>IFERROR(VLOOKUP(A314,库龄!B:N,12,0),0)</f>
        <v>0</v>
      </c>
      <c r="N314">
        <f t="shared" si="10"/>
        <v>0</v>
      </c>
    </row>
    <row r="315" spans="1:14">
      <c r="A315" s="3" t="s">
        <v>1015</v>
      </c>
      <c r="B315">
        <f>IFERROR(VLOOKUP(A315,管理亚马逊库存!A:K,11,0),"")</f>
        <v>0</v>
      </c>
      <c r="C315">
        <f>IFERROR(VLOOKUP(A315,管理亚马逊库存!A:L,12,0),"")</f>
        <v>0</v>
      </c>
      <c r="D315">
        <f>IFERROR(VLOOKUP(A315,管理亚马逊库存!A:Q,17,0),"")</f>
        <v>0</v>
      </c>
      <c r="E315">
        <f>IFERROR(VLOOKUP(A315,管理亚马逊库存!A:R,18,0),"")</f>
        <v>0</v>
      </c>
      <c r="F315">
        <f t="shared" si="9"/>
        <v>0</v>
      </c>
      <c r="G315">
        <f>IFERROR(VLOOKUP(A315,预留库存!A:G,7,0),0)</f>
        <v>0</v>
      </c>
      <c r="H315">
        <f>IFERROR(VLOOKUP(A315,预留库存!A:H,8,0),0)</f>
        <v>0</v>
      </c>
      <c r="I315">
        <f>IFERROR(VLOOKUP(A315,预留库存!A:F,6,0),0)</f>
        <v>0</v>
      </c>
      <c r="J315">
        <f>IFERROR(VLOOKUP(A315,库龄!B:K,9,0),0)</f>
        <v>0</v>
      </c>
      <c r="K315">
        <f>IFERROR(VLOOKUP(A315,库龄!B:L,10,0),0)</f>
        <v>0</v>
      </c>
      <c r="L315">
        <f>IFERROR(VLOOKUP(A315,库龄!B:M,11,0),0)</f>
        <v>0</v>
      </c>
      <c r="M315">
        <f>IFERROR(VLOOKUP(A315,库龄!B:N,12,0),0)</f>
        <v>0</v>
      </c>
      <c r="N315">
        <f t="shared" si="10"/>
        <v>0</v>
      </c>
    </row>
    <row r="316" spans="1:14">
      <c r="A316" s="3" t="s">
        <v>1018</v>
      </c>
      <c r="B316">
        <f>IFERROR(VLOOKUP(A316,管理亚马逊库存!A:K,11,0),"")</f>
        <v>0</v>
      </c>
      <c r="C316">
        <f>IFERROR(VLOOKUP(A316,管理亚马逊库存!A:L,12,0),"")</f>
        <v>0</v>
      </c>
      <c r="D316">
        <f>IFERROR(VLOOKUP(A316,管理亚马逊库存!A:Q,17,0),"")</f>
        <v>0</v>
      </c>
      <c r="E316">
        <f>IFERROR(VLOOKUP(A316,管理亚马逊库存!A:R,18,0),"")</f>
        <v>0</v>
      </c>
      <c r="F316">
        <f t="shared" si="9"/>
        <v>0</v>
      </c>
      <c r="G316">
        <f>IFERROR(VLOOKUP(A316,预留库存!A:G,7,0),0)</f>
        <v>0</v>
      </c>
      <c r="H316">
        <f>IFERROR(VLOOKUP(A316,预留库存!A:H,8,0),0)</f>
        <v>0</v>
      </c>
      <c r="I316">
        <f>IFERROR(VLOOKUP(A316,预留库存!A:F,6,0),0)</f>
        <v>0</v>
      </c>
      <c r="J316">
        <f>IFERROR(VLOOKUP(A316,库龄!B:K,9,0),0)</f>
        <v>0</v>
      </c>
      <c r="K316">
        <f>IFERROR(VLOOKUP(A316,库龄!B:L,10,0),0)</f>
        <v>0</v>
      </c>
      <c r="L316">
        <f>IFERROR(VLOOKUP(A316,库龄!B:M,11,0),0)</f>
        <v>0</v>
      </c>
      <c r="M316">
        <f>IFERROR(VLOOKUP(A316,库龄!B:N,12,0),0)</f>
        <v>0</v>
      </c>
      <c r="N316">
        <f t="shared" si="10"/>
        <v>0</v>
      </c>
    </row>
    <row r="317" spans="1:14">
      <c r="A317" s="3" t="s">
        <v>1022</v>
      </c>
      <c r="B317">
        <f>IFERROR(VLOOKUP(A317,管理亚马逊库存!A:K,11,0),"")</f>
        <v>0</v>
      </c>
      <c r="C317">
        <f>IFERROR(VLOOKUP(A317,管理亚马逊库存!A:L,12,0),"")</f>
        <v>0</v>
      </c>
      <c r="D317">
        <f>IFERROR(VLOOKUP(A317,管理亚马逊库存!A:Q,17,0),"")</f>
        <v>0</v>
      </c>
      <c r="E317">
        <f>IFERROR(VLOOKUP(A317,管理亚马逊库存!A:R,18,0),"")</f>
        <v>0</v>
      </c>
      <c r="F317">
        <f t="shared" si="9"/>
        <v>0</v>
      </c>
      <c r="G317">
        <f>IFERROR(VLOOKUP(A317,预留库存!A:G,7,0),0)</f>
        <v>0</v>
      </c>
      <c r="H317">
        <f>IFERROR(VLOOKUP(A317,预留库存!A:H,8,0),0)</f>
        <v>0</v>
      </c>
      <c r="I317">
        <f>IFERROR(VLOOKUP(A317,预留库存!A:F,6,0),0)</f>
        <v>0</v>
      </c>
      <c r="J317">
        <f>IFERROR(VLOOKUP(A317,库龄!B:K,9,0),0)</f>
        <v>0</v>
      </c>
      <c r="K317">
        <f>IFERROR(VLOOKUP(A317,库龄!B:L,10,0),0)</f>
        <v>0</v>
      </c>
      <c r="L317">
        <f>IFERROR(VLOOKUP(A317,库龄!B:M,11,0),0)</f>
        <v>0</v>
      </c>
      <c r="M317">
        <f>IFERROR(VLOOKUP(A317,库龄!B:N,12,0),0)</f>
        <v>0</v>
      </c>
      <c r="N317">
        <f t="shared" si="10"/>
        <v>0</v>
      </c>
    </row>
    <row r="318" spans="1:14">
      <c r="A318" s="3" t="s">
        <v>1025</v>
      </c>
      <c r="B318">
        <f>IFERROR(VLOOKUP(A318,管理亚马逊库存!A:K,11,0),"")</f>
        <v>0</v>
      </c>
      <c r="C318">
        <f>IFERROR(VLOOKUP(A318,管理亚马逊库存!A:L,12,0),"")</f>
        <v>0</v>
      </c>
      <c r="D318">
        <f>IFERROR(VLOOKUP(A318,管理亚马逊库存!A:Q,17,0),"")</f>
        <v>0</v>
      </c>
      <c r="E318">
        <f>IFERROR(VLOOKUP(A318,管理亚马逊库存!A:R,18,0),"")</f>
        <v>0</v>
      </c>
      <c r="F318">
        <f t="shared" si="9"/>
        <v>0</v>
      </c>
      <c r="G318">
        <f>IFERROR(VLOOKUP(A318,预留库存!A:G,7,0),0)</f>
        <v>0</v>
      </c>
      <c r="H318">
        <f>IFERROR(VLOOKUP(A318,预留库存!A:H,8,0),0)</f>
        <v>0</v>
      </c>
      <c r="I318">
        <f>IFERROR(VLOOKUP(A318,预留库存!A:F,6,0),0)</f>
        <v>0</v>
      </c>
      <c r="J318">
        <f>IFERROR(VLOOKUP(A318,库龄!B:K,9,0),0)</f>
        <v>0</v>
      </c>
      <c r="K318">
        <f>IFERROR(VLOOKUP(A318,库龄!B:L,10,0),0)</f>
        <v>0</v>
      </c>
      <c r="L318">
        <f>IFERROR(VLOOKUP(A318,库龄!B:M,11,0),0)</f>
        <v>0</v>
      </c>
      <c r="M318">
        <f>IFERROR(VLOOKUP(A318,库龄!B:N,12,0),0)</f>
        <v>0</v>
      </c>
      <c r="N318">
        <f t="shared" si="10"/>
        <v>0</v>
      </c>
    </row>
    <row r="319" spans="1:14">
      <c r="A319" s="3" t="s">
        <v>1028</v>
      </c>
      <c r="B319">
        <f>IFERROR(VLOOKUP(A319,管理亚马逊库存!A:K,11,0),"")</f>
        <v>0</v>
      </c>
      <c r="C319">
        <f>IFERROR(VLOOKUP(A319,管理亚马逊库存!A:L,12,0),"")</f>
        <v>0</v>
      </c>
      <c r="D319">
        <f>IFERROR(VLOOKUP(A319,管理亚马逊库存!A:Q,17,0),"")</f>
        <v>0</v>
      </c>
      <c r="E319">
        <f>IFERROR(VLOOKUP(A319,管理亚马逊库存!A:R,18,0),"")</f>
        <v>0</v>
      </c>
      <c r="F319">
        <f t="shared" si="9"/>
        <v>0</v>
      </c>
      <c r="G319">
        <f>IFERROR(VLOOKUP(A319,预留库存!A:G,7,0),0)</f>
        <v>0</v>
      </c>
      <c r="H319">
        <f>IFERROR(VLOOKUP(A319,预留库存!A:H,8,0),0)</f>
        <v>0</v>
      </c>
      <c r="I319">
        <f>IFERROR(VLOOKUP(A319,预留库存!A:F,6,0),0)</f>
        <v>0</v>
      </c>
      <c r="J319">
        <f>IFERROR(VLOOKUP(A319,库龄!B:K,9,0),0)</f>
        <v>0</v>
      </c>
      <c r="K319">
        <f>IFERROR(VLOOKUP(A319,库龄!B:L,10,0),0)</f>
        <v>0</v>
      </c>
      <c r="L319">
        <f>IFERROR(VLOOKUP(A319,库龄!B:M,11,0),0)</f>
        <v>0</v>
      </c>
      <c r="M319">
        <f>IFERROR(VLOOKUP(A319,库龄!B:N,12,0),0)</f>
        <v>0</v>
      </c>
      <c r="N319">
        <f t="shared" si="10"/>
        <v>0</v>
      </c>
    </row>
    <row r="320" spans="1:14">
      <c r="A320" s="3" t="s">
        <v>1031</v>
      </c>
      <c r="B320">
        <f>IFERROR(VLOOKUP(A320,管理亚马逊库存!A:K,11,0),"")</f>
        <v>0</v>
      </c>
      <c r="C320">
        <f>IFERROR(VLOOKUP(A320,管理亚马逊库存!A:L,12,0),"")</f>
        <v>0</v>
      </c>
      <c r="D320">
        <f>IFERROR(VLOOKUP(A320,管理亚马逊库存!A:Q,17,0),"")</f>
        <v>0</v>
      </c>
      <c r="E320">
        <f>IFERROR(VLOOKUP(A320,管理亚马逊库存!A:R,18,0),"")</f>
        <v>0</v>
      </c>
      <c r="F320">
        <f t="shared" si="9"/>
        <v>0</v>
      </c>
      <c r="G320">
        <f>IFERROR(VLOOKUP(A320,预留库存!A:G,7,0),0)</f>
        <v>0</v>
      </c>
      <c r="H320">
        <f>IFERROR(VLOOKUP(A320,预留库存!A:H,8,0),0)</f>
        <v>0</v>
      </c>
      <c r="I320">
        <f>IFERROR(VLOOKUP(A320,预留库存!A:F,6,0),0)</f>
        <v>0</v>
      </c>
      <c r="J320">
        <f>IFERROR(VLOOKUP(A320,库龄!B:K,9,0),0)</f>
        <v>0</v>
      </c>
      <c r="K320">
        <f>IFERROR(VLOOKUP(A320,库龄!B:L,10,0),0)</f>
        <v>0</v>
      </c>
      <c r="L320">
        <f>IFERROR(VLOOKUP(A320,库龄!B:M,11,0),0)</f>
        <v>0</v>
      </c>
      <c r="M320">
        <f>IFERROR(VLOOKUP(A320,库龄!B:N,12,0),0)</f>
        <v>0</v>
      </c>
      <c r="N320">
        <f t="shared" si="10"/>
        <v>0</v>
      </c>
    </row>
    <row r="321" spans="1:14">
      <c r="A321" s="3" t="s">
        <v>1034</v>
      </c>
      <c r="B321">
        <f>IFERROR(VLOOKUP(A321,管理亚马逊库存!A:K,11,0),"")</f>
        <v>0</v>
      </c>
      <c r="C321">
        <f>IFERROR(VLOOKUP(A321,管理亚马逊库存!A:L,12,0),"")</f>
        <v>0</v>
      </c>
      <c r="D321">
        <f>IFERROR(VLOOKUP(A321,管理亚马逊库存!A:Q,17,0),"")</f>
        <v>0</v>
      </c>
      <c r="E321">
        <f>IFERROR(VLOOKUP(A321,管理亚马逊库存!A:R,18,0),"")</f>
        <v>0</v>
      </c>
      <c r="F321">
        <f t="shared" si="9"/>
        <v>0</v>
      </c>
      <c r="G321">
        <f>IFERROR(VLOOKUP(A321,预留库存!A:G,7,0),0)</f>
        <v>0</v>
      </c>
      <c r="H321">
        <f>IFERROR(VLOOKUP(A321,预留库存!A:H,8,0),0)</f>
        <v>0</v>
      </c>
      <c r="I321">
        <f>IFERROR(VLOOKUP(A321,预留库存!A:F,6,0),0)</f>
        <v>0</v>
      </c>
      <c r="J321">
        <f>IFERROR(VLOOKUP(A321,库龄!B:K,9,0),0)</f>
        <v>0</v>
      </c>
      <c r="K321">
        <f>IFERROR(VLOOKUP(A321,库龄!B:L,10,0),0)</f>
        <v>0</v>
      </c>
      <c r="L321">
        <f>IFERROR(VLOOKUP(A321,库龄!B:M,11,0),0)</f>
        <v>0</v>
      </c>
      <c r="M321">
        <f>IFERROR(VLOOKUP(A321,库龄!B:N,12,0),0)</f>
        <v>0</v>
      </c>
      <c r="N321">
        <f t="shared" si="10"/>
        <v>0</v>
      </c>
    </row>
    <row r="322" spans="1:14">
      <c r="A322" s="3" t="s">
        <v>1037</v>
      </c>
      <c r="B322">
        <f>IFERROR(VLOOKUP(A322,管理亚马逊库存!A:K,11,0),"")</f>
        <v>0</v>
      </c>
      <c r="C322">
        <f>IFERROR(VLOOKUP(A322,管理亚马逊库存!A:L,12,0),"")</f>
        <v>0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>
        <f>IFERROR(VLOOKUP(A322,预留库存!A:G,7,0),0)</f>
        <v>0</v>
      </c>
      <c r="H322">
        <f>IFERROR(VLOOKUP(A322,预留库存!A:H,8,0),0)</f>
        <v>0</v>
      </c>
      <c r="I322">
        <f>IFERROR(VLOOKUP(A322,预留库存!A:F,6,0),0)</f>
        <v>0</v>
      </c>
      <c r="J322">
        <f>IFERROR(VLOOKUP(A322,库龄!B:K,9,0),0)</f>
        <v>0</v>
      </c>
      <c r="K322">
        <f>IFERROR(VLOOKUP(A322,库龄!B:L,10,0),0)</f>
        <v>0</v>
      </c>
      <c r="L322">
        <f>IFERROR(VLOOKUP(A322,库龄!B:M,11,0),0)</f>
        <v>0</v>
      </c>
      <c r="M322">
        <f>IFERROR(VLOOKUP(A322,库龄!B:N,12,0),0)</f>
        <v>0</v>
      </c>
      <c r="N322">
        <f t="shared" si="10"/>
        <v>0</v>
      </c>
    </row>
    <row r="323" spans="1:14">
      <c r="A323" s="3" t="s">
        <v>1040</v>
      </c>
      <c r="B323">
        <f>IFERROR(VLOOKUP(A323,管理亚马逊库存!A:K,11,0),"")</f>
        <v>0</v>
      </c>
      <c r="C323">
        <f>IFERROR(VLOOKUP(A323,管理亚马逊库存!A:L,12,0),"")</f>
        <v>0</v>
      </c>
      <c r="D323">
        <f>IFERROR(VLOOKUP(A323,管理亚马逊库存!A:Q,17,0),"")</f>
        <v>0</v>
      </c>
      <c r="E323">
        <f>IFERROR(VLOOKUP(A323,管理亚马逊库存!A:R,18,0),"")</f>
        <v>0</v>
      </c>
      <c r="F323">
        <f t="shared" ref="F323:F386" si="11">SUM(D323:E323)</f>
        <v>0</v>
      </c>
      <c r="G323">
        <f>IFERROR(VLOOKUP(A323,预留库存!A:G,7,0),0)</f>
        <v>0</v>
      </c>
      <c r="H323">
        <f>IFERROR(VLOOKUP(A323,预留库存!A:H,8,0),0)</f>
        <v>0</v>
      </c>
      <c r="I323">
        <f>IFERROR(VLOOKUP(A323,预留库存!A:F,6,0),0)</f>
        <v>0</v>
      </c>
      <c r="J323">
        <f>IFERROR(VLOOKUP(A323,库龄!B:K,9,0),0)</f>
        <v>0</v>
      </c>
      <c r="K323">
        <f>IFERROR(VLOOKUP(A323,库龄!B:L,10,0),0)</f>
        <v>0</v>
      </c>
      <c r="L323">
        <f>IFERROR(VLOOKUP(A323,库龄!B:M,11,0),0)</f>
        <v>0</v>
      </c>
      <c r="M323">
        <f>IFERROR(VLOOKUP(A323,库龄!B:N,12,0),0)</f>
        <v>0</v>
      </c>
      <c r="N323">
        <f t="shared" ref="N323:N386" si="12">SUM(J323:M323)</f>
        <v>0</v>
      </c>
    </row>
    <row r="324" spans="1:14">
      <c r="A324" s="3" t="s">
        <v>1043</v>
      </c>
      <c r="B324">
        <f>IFERROR(VLOOKUP(A324,管理亚马逊库存!A:K,11,0),"")</f>
        <v>0</v>
      </c>
      <c r="C324">
        <f>IFERROR(VLOOKUP(A324,管理亚马逊库存!A:L,12,0),"")</f>
        <v>0</v>
      </c>
      <c r="D324">
        <f>IFERROR(VLOOKUP(A324,管理亚马逊库存!A:Q,17,0),"")</f>
        <v>0</v>
      </c>
      <c r="E324">
        <f>IFERROR(VLOOKUP(A324,管理亚马逊库存!A:R,18,0),"")</f>
        <v>0</v>
      </c>
      <c r="F324">
        <f t="shared" si="11"/>
        <v>0</v>
      </c>
      <c r="G324">
        <f>IFERROR(VLOOKUP(A324,预留库存!A:G,7,0),0)</f>
        <v>0</v>
      </c>
      <c r="H324">
        <f>IFERROR(VLOOKUP(A324,预留库存!A:H,8,0),0)</f>
        <v>0</v>
      </c>
      <c r="I324">
        <f>IFERROR(VLOOKUP(A324,预留库存!A:F,6,0),0)</f>
        <v>0</v>
      </c>
      <c r="J324">
        <f>IFERROR(VLOOKUP(A324,库龄!B:K,9,0),0)</f>
        <v>0</v>
      </c>
      <c r="K324">
        <f>IFERROR(VLOOKUP(A324,库龄!B:L,10,0),0)</f>
        <v>0</v>
      </c>
      <c r="L324">
        <f>IFERROR(VLOOKUP(A324,库龄!B:M,11,0),0)</f>
        <v>0</v>
      </c>
      <c r="M324">
        <f>IFERROR(VLOOKUP(A324,库龄!B:N,12,0),0)</f>
        <v>0</v>
      </c>
      <c r="N324">
        <f t="shared" si="12"/>
        <v>0</v>
      </c>
    </row>
    <row r="325" spans="1:14">
      <c r="A325" s="3" t="s">
        <v>1046</v>
      </c>
      <c r="B325">
        <f>IFERROR(VLOOKUP(A325,管理亚马逊库存!A:K,11,0),"")</f>
        <v>0</v>
      </c>
      <c r="C325">
        <f>IFERROR(VLOOKUP(A325,管理亚马逊库存!A:L,12,0),"")</f>
        <v>0</v>
      </c>
      <c r="D325">
        <f>IFERROR(VLOOKUP(A325,管理亚马逊库存!A:Q,17,0),"")</f>
        <v>0</v>
      </c>
      <c r="E325">
        <f>IFERROR(VLOOKUP(A325,管理亚马逊库存!A:R,18,0),"")</f>
        <v>0</v>
      </c>
      <c r="F325">
        <f t="shared" si="11"/>
        <v>0</v>
      </c>
      <c r="G325">
        <f>IFERROR(VLOOKUP(A325,预留库存!A:G,7,0),0)</f>
        <v>0</v>
      </c>
      <c r="H325">
        <f>IFERROR(VLOOKUP(A325,预留库存!A:H,8,0),0)</f>
        <v>0</v>
      </c>
      <c r="I325">
        <f>IFERROR(VLOOKUP(A325,预留库存!A:F,6,0),0)</f>
        <v>0</v>
      </c>
      <c r="J325">
        <f>IFERROR(VLOOKUP(A325,库龄!B:K,9,0),0)</f>
        <v>0</v>
      </c>
      <c r="K325">
        <f>IFERROR(VLOOKUP(A325,库龄!B:L,10,0),0)</f>
        <v>0</v>
      </c>
      <c r="L325">
        <f>IFERROR(VLOOKUP(A325,库龄!B:M,11,0),0)</f>
        <v>0</v>
      </c>
      <c r="M325">
        <f>IFERROR(VLOOKUP(A325,库龄!B:N,12,0),0)</f>
        <v>0</v>
      </c>
      <c r="N325">
        <f t="shared" si="12"/>
        <v>0</v>
      </c>
    </row>
    <row r="326" spans="1:14">
      <c r="A326" s="3" t="s">
        <v>1049</v>
      </c>
      <c r="B326">
        <f>IFERROR(VLOOKUP(A326,管理亚马逊库存!A:K,11,0),"")</f>
        <v>0</v>
      </c>
      <c r="C326">
        <f>IFERROR(VLOOKUP(A326,管理亚马逊库存!A:L,12,0),"")</f>
        <v>0</v>
      </c>
      <c r="D326">
        <f>IFERROR(VLOOKUP(A326,管理亚马逊库存!A:Q,17,0),"")</f>
        <v>0</v>
      </c>
      <c r="E326">
        <f>IFERROR(VLOOKUP(A326,管理亚马逊库存!A:R,18,0),"")</f>
        <v>0</v>
      </c>
      <c r="F326">
        <f t="shared" si="11"/>
        <v>0</v>
      </c>
      <c r="G326">
        <f>IFERROR(VLOOKUP(A326,预留库存!A:G,7,0),0)</f>
        <v>0</v>
      </c>
      <c r="H326">
        <f>IFERROR(VLOOKUP(A326,预留库存!A:H,8,0),0)</f>
        <v>0</v>
      </c>
      <c r="I326">
        <f>IFERROR(VLOOKUP(A326,预留库存!A:F,6,0),0)</f>
        <v>0</v>
      </c>
      <c r="J326">
        <f>IFERROR(VLOOKUP(A326,库龄!B:K,9,0),0)</f>
        <v>0</v>
      </c>
      <c r="K326">
        <f>IFERROR(VLOOKUP(A326,库龄!B:L,10,0),0)</f>
        <v>0</v>
      </c>
      <c r="L326">
        <f>IFERROR(VLOOKUP(A326,库龄!B:M,11,0),0)</f>
        <v>0</v>
      </c>
      <c r="M326">
        <f>IFERROR(VLOOKUP(A326,库龄!B:N,12,0),0)</f>
        <v>0</v>
      </c>
      <c r="N326">
        <f t="shared" si="12"/>
        <v>0</v>
      </c>
    </row>
    <row r="327" spans="1:14">
      <c r="A327" s="3" t="s">
        <v>1052</v>
      </c>
      <c r="B327">
        <f>IFERROR(VLOOKUP(A327,管理亚马逊库存!A:K,11,0),"")</f>
        <v>0</v>
      </c>
      <c r="C327">
        <f>IFERROR(VLOOKUP(A327,管理亚马逊库存!A:L,12,0),"")</f>
        <v>0</v>
      </c>
      <c r="D327">
        <f>IFERROR(VLOOKUP(A327,管理亚马逊库存!A:Q,17,0),"")</f>
        <v>0</v>
      </c>
      <c r="E327">
        <f>IFERROR(VLOOKUP(A327,管理亚马逊库存!A:R,18,0),"")</f>
        <v>0</v>
      </c>
      <c r="F327">
        <f t="shared" si="11"/>
        <v>0</v>
      </c>
      <c r="G327">
        <f>IFERROR(VLOOKUP(A327,预留库存!A:G,7,0),0)</f>
        <v>0</v>
      </c>
      <c r="H327">
        <f>IFERROR(VLOOKUP(A327,预留库存!A:H,8,0),0)</f>
        <v>0</v>
      </c>
      <c r="I327">
        <f>IFERROR(VLOOKUP(A327,预留库存!A:F,6,0),0)</f>
        <v>0</v>
      </c>
      <c r="J327">
        <f>IFERROR(VLOOKUP(A327,库龄!B:K,9,0),0)</f>
        <v>0</v>
      </c>
      <c r="K327">
        <f>IFERROR(VLOOKUP(A327,库龄!B:L,10,0),0)</f>
        <v>0</v>
      </c>
      <c r="L327">
        <f>IFERROR(VLOOKUP(A327,库龄!B:M,11,0),0)</f>
        <v>0</v>
      </c>
      <c r="M327">
        <f>IFERROR(VLOOKUP(A327,库龄!B:N,12,0),0)</f>
        <v>0</v>
      </c>
      <c r="N327">
        <f t="shared" si="12"/>
        <v>0</v>
      </c>
    </row>
    <row r="328" spans="1:14">
      <c r="A328" s="3" t="s">
        <v>1055</v>
      </c>
      <c r="B328">
        <f>IFERROR(VLOOKUP(A328,管理亚马逊库存!A:K,11,0),"")</f>
        <v>0</v>
      </c>
      <c r="C328">
        <f>IFERROR(VLOOKUP(A328,管理亚马逊库存!A:L,12,0),"")</f>
        <v>0</v>
      </c>
      <c r="D328">
        <f>IFERROR(VLOOKUP(A328,管理亚马逊库存!A:Q,17,0),"")</f>
        <v>0</v>
      </c>
      <c r="E328">
        <f>IFERROR(VLOOKUP(A328,管理亚马逊库存!A:R,18,0),"")</f>
        <v>0</v>
      </c>
      <c r="F328">
        <f t="shared" si="11"/>
        <v>0</v>
      </c>
      <c r="G328">
        <f>IFERROR(VLOOKUP(A328,预留库存!A:G,7,0),0)</f>
        <v>0</v>
      </c>
      <c r="H328">
        <f>IFERROR(VLOOKUP(A328,预留库存!A:H,8,0),0)</f>
        <v>0</v>
      </c>
      <c r="I328">
        <f>IFERROR(VLOOKUP(A328,预留库存!A:F,6,0),0)</f>
        <v>0</v>
      </c>
      <c r="J328">
        <f>IFERROR(VLOOKUP(A328,库龄!B:K,9,0),0)</f>
        <v>0</v>
      </c>
      <c r="K328">
        <f>IFERROR(VLOOKUP(A328,库龄!B:L,10,0),0)</f>
        <v>0</v>
      </c>
      <c r="L328">
        <f>IFERROR(VLOOKUP(A328,库龄!B:M,11,0),0)</f>
        <v>0</v>
      </c>
      <c r="M328">
        <f>IFERROR(VLOOKUP(A328,库龄!B:N,12,0),0)</f>
        <v>0</v>
      </c>
      <c r="N328">
        <f t="shared" si="12"/>
        <v>0</v>
      </c>
    </row>
    <row r="329" spans="1:14">
      <c r="A329" s="3" t="s">
        <v>1058</v>
      </c>
      <c r="B329">
        <f>IFERROR(VLOOKUP(A329,管理亚马逊库存!A:K,11,0),"")</f>
        <v>0</v>
      </c>
      <c r="C329">
        <f>IFERROR(VLOOKUP(A329,管理亚马逊库存!A:L,12,0),"")</f>
        <v>0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>
        <f>IFERROR(VLOOKUP(A329,预留库存!A:G,7,0),0)</f>
        <v>0</v>
      </c>
      <c r="H329">
        <f>IFERROR(VLOOKUP(A329,预留库存!A:H,8,0),0)</f>
        <v>0</v>
      </c>
      <c r="I329">
        <f>IFERROR(VLOOKUP(A329,预留库存!A:F,6,0),0)</f>
        <v>0</v>
      </c>
      <c r="J329">
        <f>IFERROR(VLOOKUP(A329,库龄!B:K,9,0),0)</f>
        <v>0</v>
      </c>
      <c r="K329">
        <f>IFERROR(VLOOKUP(A329,库龄!B:L,10,0),0)</f>
        <v>0</v>
      </c>
      <c r="L329">
        <f>IFERROR(VLOOKUP(A329,库龄!B:M,11,0),0)</f>
        <v>0</v>
      </c>
      <c r="M329">
        <f>IFERROR(VLOOKUP(A329,库龄!B:N,12,0),0)</f>
        <v>0</v>
      </c>
      <c r="N329">
        <f t="shared" si="12"/>
        <v>0</v>
      </c>
    </row>
    <row r="330" spans="1:14">
      <c r="A330" s="3" t="s">
        <v>1061</v>
      </c>
      <c r="B330">
        <f>IFERROR(VLOOKUP(A330,管理亚马逊库存!A:K,11,0),"")</f>
        <v>0</v>
      </c>
      <c r="C330">
        <f>IFERROR(VLOOKUP(A330,管理亚马逊库存!A:L,12,0),"")</f>
        <v>0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>
        <f>IFERROR(VLOOKUP(A330,预留库存!A:G,7,0),0)</f>
        <v>0</v>
      </c>
      <c r="H330">
        <f>IFERROR(VLOOKUP(A330,预留库存!A:H,8,0),0)</f>
        <v>0</v>
      </c>
      <c r="I330">
        <f>IFERROR(VLOOKUP(A330,预留库存!A:F,6,0),0)</f>
        <v>0</v>
      </c>
      <c r="J330">
        <f>IFERROR(VLOOKUP(A330,库龄!B:K,9,0),0)</f>
        <v>0</v>
      </c>
      <c r="K330">
        <f>IFERROR(VLOOKUP(A330,库龄!B:L,10,0),0)</f>
        <v>0</v>
      </c>
      <c r="L330">
        <f>IFERROR(VLOOKUP(A330,库龄!B:M,11,0),0)</f>
        <v>0</v>
      </c>
      <c r="M330">
        <f>IFERROR(VLOOKUP(A330,库龄!B:N,12,0),0)</f>
        <v>0</v>
      </c>
      <c r="N330">
        <f t="shared" si="12"/>
        <v>0</v>
      </c>
    </row>
    <row r="331" spans="1:14">
      <c r="A331" s="3" t="s">
        <v>1064</v>
      </c>
      <c r="B331">
        <f>IFERROR(VLOOKUP(A331,管理亚马逊库存!A:K,11,0),"")</f>
        <v>0</v>
      </c>
      <c r="C331">
        <f>IFERROR(VLOOKUP(A331,管理亚马逊库存!A:L,12,0),"")</f>
        <v>0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>
        <f>IFERROR(VLOOKUP(A331,预留库存!A:G,7,0),0)</f>
        <v>0</v>
      </c>
      <c r="H331">
        <f>IFERROR(VLOOKUP(A331,预留库存!A:H,8,0),0)</f>
        <v>0</v>
      </c>
      <c r="I331">
        <f>IFERROR(VLOOKUP(A331,预留库存!A:F,6,0),0)</f>
        <v>0</v>
      </c>
      <c r="J331">
        <f>IFERROR(VLOOKUP(A331,库龄!B:K,9,0),0)</f>
        <v>0</v>
      </c>
      <c r="K331">
        <f>IFERROR(VLOOKUP(A331,库龄!B:L,10,0),0)</f>
        <v>0</v>
      </c>
      <c r="L331">
        <f>IFERROR(VLOOKUP(A331,库龄!B:M,11,0),0)</f>
        <v>0</v>
      </c>
      <c r="M331">
        <f>IFERROR(VLOOKUP(A331,库龄!B:N,12,0),0)</f>
        <v>0</v>
      </c>
      <c r="N331">
        <f t="shared" si="12"/>
        <v>0</v>
      </c>
    </row>
    <row r="332" spans="1:14">
      <c r="A332" s="3" t="s">
        <v>1067</v>
      </c>
      <c r="B332">
        <f>IFERROR(VLOOKUP(A332,管理亚马逊库存!A:K,11,0),"")</f>
        <v>0</v>
      </c>
      <c r="C332">
        <f>IFERROR(VLOOKUP(A332,管理亚马逊库存!A:L,12,0),"")</f>
        <v>0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>
        <f>IFERROR(VLOOKUP(A332,预留库存!A:G,7,0),0)</f>
        <v>0</v>
      </c>
      <c r="H332">
        <f>IFERROR(VLOOKUP(A332,预留库存!A:H,8,0),0)</f>
        <v>0</v>
      </c>
      <c r="I332">
        <f>IFERROR(VLOOKUP(A332,预留库存!A:F,6,0),0)</f>
        <v>0</v>
      </c>
      <c r="J332">
        <f>IFERROR(VLOOKUP(A332,库龄!B:K,9,0),0)</f>
        <v>0</v>
      </c>
      <c r="K332">
        <f>IFERROR(VLOOKUP(A332,库龄!B:L,10,0),0)</f>
        <v>0</v>
      </c>
      <c r="L332">
        <f>IFERROR(VLOOKUP(A332,库龄!B:M,11,0),0)</f>
        <v>0</v>
      </c>
      <c r="M332">
        <f>IFERROR(VLOOKUP(A332,库龄!B:N,12,0),0)</f>
        <v>0</v>
      </c>
      <c r="N332">
        <f t="shared" si="12"/>
        <v>0</v>
      </c>
    </row>
    <row r="333" spans="1:14">
      <c r="A333" s="3" t="s">
        <v>1071</v>
      </c>
      <c r="B333">
        <f>IFERROR(VLOOKUP(A333,管理亚马逊库存!A:K,11,0),"")</f>
        <v>0</v>
      </c>
      <c r="C333">
        <f>IFERROR(VLOOKUP(A333,管理亚马逊库存!A:L,12,0),"")</f>
        <v>0</v>
      </c>
      <c r="D333">
        <f>IFERROR(VLOOKUP(A333,管理亚马逊库存!A:Q,17,0),"")</f>
        <v>0</v>
      </c>
      <c r="E333">
        <f>IFERROR(VLOOKUP(A333,管理亚马逊库存!A:R,18,0),"")</f>
        <v>0</v>
      </c>
      <c r="F333">
        <f t="shared" si="11"/>
        <v>0</v>
      </c>
      <c r="G333">
        <f>IFERROR(VLOOKUP(A333,预留库存!A:G,7,0),0)</f>
        <v>0</v>
      </c>
      <c r="H333">
        <f>IFERROR(VLOOKUP(A333,预留库存!A:H,8,0),0)</f>
        <v>0</v>
      </c>
      <c r="I333">
        <f>IFERROR(VLOOKUP(A333,预留库存!A:F,6,0),0)</f>
        <v>0</v>
      </c>
      <c r="J333">
        <f>IFERROR(VLOOKUP(A333,库龄!B:K,9,0),0)</f>
        <v>0</v>
      </c>
      <c r="K333">
        <f>IFERROR(VLOOKUP(A333,库龄!B:L,10,0),0)</f>
        <v>0</v>
      </c>
      <c r="L333">
        <f>IFERROR(VLOOKUP(A333,库龄!B:M,11,0),0)</f>
        <v>0</v>
      </c>
      <c r="M333">
        <f>IFERROR(VLOOKUP(A333,库龄!B:N,12,0),0)</f>
        <v>0</v>
      </c>
      <c r="N333">
        <f t="shared" si="12"/>
        <v>0</v>
      </c>
    </row>
    <row r="334" spans="1:14">
      <c r="A334" s="3" t="s">
        <v>1075</v>
      </c>
      <c r="B334">
        <f>IFERROR(VLOOKUP(A334,管理亚马逊库存!A:K,11,0),"")</f>
        <v>0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0</v>
      </c>
      <c r="H334">
        <f>IFERROR(VLOOKUP(A334,预留库存!A:H,8,0),0)</f>
        <v>0</v>
      </c>
      <c r="I334">
        <f>IFERROR(VLOOKUP(A334,预留库存!A:F,6,0),0)</f>
        <v>0</v>
      </c>
      <c r="J334">
        <f>IFERROR(VLOOKUP(A334,库龄!B:K,9,0),0)</f>
        <v>0</v>
      </c>
      <c r="K334">
        <f>IFERROR(VLOOKUP(A334,库龄!B:L,10,0),0)</f>
        <v>0</v>
      </c>
      <c r="L334">
        <f>IFERROR(VLOOKUP(A334,库龄!B:M,11,0),0)</f>
        <v>0</v>
      </c>
      <c r="M334">
        <f>IFERROR(VLOOKUP(A334,库龄!B:N,12,0),0)</f>
        <v>0</v>
      </c>
      <c r="N334">
        <f t="shared" si="12"/>
        <v>0</v>
      </c>
    </row>
    <row r="335" spans="1:14">
      <c r="A335" s="3" t="s">
        <v>1079</v>
      </c>
      <c r="B335">
        <f>IFERROR(VLOOKUP(A335,管理亚马逊库存!A:K,11,0),"")</f>
        <v>0</v>
      </c>
      <c r="C335">
        <f>IFERROR(VLOOKUP(A335,管理亚马逊库存!A:L,12,0),"")</f>
        <v>0</v>
      </c>
      <c r="D335">
        <f>IFERROR(VLOOKUP(A335,管理亚马逊库存!A:Q,17,0),"")</f>
        <v>0</v>
      </c>
      <c r="E335">
        <f>IFERROR(VLOOKUP(A335,管理亚马逊库存!A:R,18,0),"")</f>
        <v>0</v>
      </c>
      <c r="F335">
        <f t="shared" si="11"/>
        <v>0</v>
      </c>
      <c r="G335">
        <f>IFERROR(VLOOKUP(A335,预留库存!A:G,7,0),0)</f>
        <v>0</v>
      </c>
      <c r="H335">
        <f>IFERROR(VLOOKUP(A335,预留库存!A:H,8,0),0)</f>
        <v>0</v>
      </c>
      <c r="I335">
        <f>IFERROR(VLOOKUP(A335,预留库存!A:F,6,0),0)</f>
        <v>0</v>
      </c>
      <c r="J335">
        <f>IFERROR(VLOOKUP(A335,库龄!B:K,9,0),0)</f>
        <v>0</v>
      </c>
      <c r="K335">
        <f>IFERROR(VLOOKUP(A335,库龄!B:L,10,0),0)</f>
        <v>0</v>
      </c>
      <c r="L335">
        <f>IFERROR(VLOOKUP(A335,库龄!B:M,11,0),0)</f>
        <v>0</v>
      </c>
      <c r="M335">
        <f>IFERROR(VLOOKUP(A335,库龄!B:N,12,0),0)</f>
        <v>0</v>
      </c>
      <c r="N335">
        <f t="shared" si="12"/>
        <v>0</v>
      </c>
    </row>
    <row r="336" spans="1:14">
      <c r="A336" s="3" t="s">
        <v>1083</v>
      </c>
      <c r="B336">
        <f>IFERROR(VLOOKUP(A336,管理亚马逊库存!A:K,11,0),"")</f>
        <v>0</v>
      </c>
      <c r="C336">
        <f>IFERROR(VLOOKUP(A336,管理亚马逊库存!A:L,12,0),"")</f>
        <v>0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>
        <f>IFERROR(VLOOKUP(A336,预留库存!A:G,7,0),0)</f>
        <v>0</v>
      </c>
      <c r="H336">
        <f>IFERROR(VLOOKUP(A336,预留库存!A:H,8,0),0)</f>
        <v>0</v>
      </c>
      <c r="I336">
        <f>IFERROR(VLOOKUP(A336,预留库存!A:F,6,0),0)</f>
        <v>0</v>
      </c>
      <c r="J336">
        <f>IFERROR(VLOOKUP(A336,库龄!B:K,9,0),0)</f>
        <v>0</v>
      </c>
      <c r="K336">
        <f>IFERROR(VLOOKUP(A336,库龄!B:L,10,0),0)</f>
        <v>0</v>
      </c>
      <c r="L336">
        <f>IFERROR(VLOOKUP(A336,库龄!B:M,11,0),0)</f>
        <v>0</v>
      </c>
      <c r="M336">
        <f>IFERROR(VLOOKUP(A336,库龄!B:N,12,0),0)</f>
        <v>0</v>
      </c>
      <c r="N336">
        <f t="shared" si="12"/>
        <v>0</v>
      </c>
    </row>
    <row r="337" spans="1:14">
      <c r="A337" s="3" t="s">
        <v>1087</v>
      </c>
      <c r="B337">
        <f>IFERROR(VLOOKUP(A337,管理亚马逊库存!A:K,11,0),"")</f>
        <v>0</v>
      </c>
      <c r="C337">
        <f>IFERROR(VLOOKUP(A337,管理亚马逊库存!A:L,12,0),"")</f>
        <v>0</v>
      </c>
      <c r="D337">
        <f>IFERROR(VLOOKUP(A337,管理亚马逊库存!A:Q,17,0),"")</f>
        <v>0</v>
      </c>
      <c r="E337">
        <f>IFERROR(VLOOKUP(A337,管理亚马逊库存!A:R,18,0),"")</f>
        <v>0</v>
      </c>
      <c r="F337">
        <f t="shared" si="11"/>
        <v>0</v>
      </c>
      <c r="G337">
        <f>IFERROR(VLOOKUP(A337,预留库存!A:G,7,0),0)</f>
        <v>0</v>
      </c>
      <c r="H337">
        <f>IFERROR(VLOOKUP(A337,预留库存!A:H,8,0),0)</f>
        <v>0</v>
      </c>
      <c r="I337">
        <f>IFERROR(VLOOKUP(A337,预留库存!A:F,6,0),0)</f>
        <v>0</v>
      </c>
      <c r="J337">
        <f>IFERROR(VLOOKUP(A337,库龄!B:K,9,0),0)</f>
        <v>0</v>
      </c>
      <c r="K337">
        <f>IFERROR(VLOOKUP(A337,库龄!B:L,10,0),0)</f>
        <v>0</v>
      </c>
      <c r="L337">
        <f>IFERROR(VLOOKUP(A337,库龄!B:M,11,0),0)</f>
        <v>0</v>
      </c>
      <c r="M337">
        <f>IFERROR(VLOOKUP(A337,库龄!B:N,12,0),0)</f>
        <v>0</v>
      </c>
      <c r="N337">
        <f t="shared" si="12"/>
        <v>0</v>
      </c>
    </row>
    <row r="338" spans="1:14">
      <c r="A338" s="3" t="s">
        <v>1091</v>
      </c>
      <c r="B338">
        <f>IFERROR(VLOOKUP(A338,管理亚马逊库存!A:K,11,0),"")</f>
        <v>0</v>
      </c>
      <c r="C338">
        <f>IFERROR(VLOOKUP(A338,管理亚马逊库存!A:L,12,0),"")</f>
        <v>0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>
        <f>IFERROR(VLOOKUP(A338,预留库存!A:G,7,0),0)</f>
        <v>0</v>
      </c>
      <c r="H338">
        <f>IFERROR(VLOOKUP(A338,预留库存!A:H,8,0),0)</f>
        <v>0</v>
      </c>
      <c r="I338">
        <f>IFERROR(VLOOKUP(A338,预留库存!A:F,6,0),0)</f>
        <v>0</v>
      </c>
      <c r="J338">
        <f>IFERROR(VLOOKUP(A338,库龄!B:K,9,0),0)</f>
        <v>0</v>
      </c>
      <c r="K338">
        <f>IFERROR(VLOOKUP(A338,库龄!B:L,10,0),0)</f>
        <v>0</v>
      </c>
      <c r="L338">
        <f>IFERROR(VLOOKUP(A338,库龄!B:M,11,0),0)</f>
        <v>0</v>
      </c>
      <c r="M338">
        <f>IFERROR(VLOOKUP(A338,库龄!B:N,12,0),0)</f>
        <v>0</v>
      </c>
      <c r="N338">
        <f t="shared" si="12"/>
        <v>0</v>
      </c>
    </row>
    <row r="339" spans="1:14">
      <c r="A339" s="3" t="s">
        <v>1095</v>
      </c>
      <c r="B339">
        <f>IFERROR(VLOOKUP(A339,管理亚马逊库存!A:K,11,0),"")</f>
        <v>0</v>
      </c>
      <c r="C339">
        <f>IFERROR(VLOOKUP(A339,管理亚马逊库存!A:L,12,0),"")</f>
        <v>0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>
        <f>IFERROR(VLOOKUP(A339,预留库存!A:G,7,0),0)</f>
        <v>0</v>
      </c>
      <c r="H339">
        <f>IFERROR(VLOOKUP(A339,预留库存!A:H,8,0),0)</f>
        <v>0</v>
      </c>
      <c r="I339">
        <f>IFERROR(VLOOKUP(A339,预留库存!A:F,6,0),0)</f>
        <v>0</v>
      </c>
      <c r="J339">
        <f>IFERROR(VLOOKUP(A339,库龄!B:K,9,0),0)</f>
        <v>0</v>
      </c>
      <c r="K339">
        <f>IFERROR(VLOOKUP(A339,库龄!B:L,10,0),0)</f>
        <v>0</v>
      </c>
      <c r="L339">
        <f>IFERROR(VLOOKUP(A339,库龄!B:M,11,0),0)</f>
        <v>0</v>
      </c>
      <c r="M339">
        <f>IFERROR(VLOOKUP(A339,库龄!B:N,12,0),0)</f>
        <v>0</v>
      </c>
      <c r="N339">
        <f t="shared" si="12"/>
        <v>0</v>
      </c>
    </row>
    <row r="340" spans="1:14">
      <c r="A340" s="3" t="s">
        <v>1099</v>
      </c>
      <c r="B340">
        <f>IFERROR(VLOOKUP(A340,管理亚马逊库存!A:K,11,0),"")</f>
        <v>0</v>
      </c>
      <c r="C340">
        <f>IFERROR(VLOOKUP(A340,管理亚马逊库存!A:L,12,0),"")</f>
        <v>0</v>
      </c>
      <c r="D340">
        <f>IFERROR(VLOOKUP(A340,管理亚马逊库存!A:Q,17,0),"")</f>
        <v>0</v>
      </c>
      <c r="E340">
        <f>IFERROR(VLOOKUP(A340,管理亚马逊库存!A:R,18,0),"")</f>
        <v>0</v>
      </c>
      <c r="F340">
        <f t="shared" si="11"/>
        <v>0</v>
      </c>
      <c r="G340">
        <f>IFERROR(VLOOKUP(A340,预留库存!A:G,7,0),0)</f>
        <v>0</v>
      </c>
      <c r="H340">
        <f>IFERROR(VLOOKUP(A340,预留库存!A:H,8,0),0)</f>
        <v>0</v>
      </c>
      <c r="I340">
        <f>IFERROR(VLOOKUP(A340,预留库存!A:F,6,0),0)</f>
        <v>0</v>
      </c>
      <c r="J340">
        <f>IFERROR(VLOOKUP(A340,库龄!B:K,9,0),0)</f>
        <v>0</v>
      </c>
      <c r="K340">
        <f>IFERROR(VLOOKUP(A340,库龄!B:L,10,0),0)</f>
        <v>0</v>
      </c>
      <c r="L340">
        <f>IFERROR(VLOOKUP(A340,库龄!B:M,11,0),0)</f>
        <v>0</v>
      </c>
      <c r="M340">
        <f>IFERROR(VLOOKUP(A340,库龄!B:N,12,0),0)</f>
        <v>0</v>
      </c>
      <c r="N340">
        <f t="shared" si="12"/>
        <v>0</v>
      </c>
    </row>
    <row r="341" spans="1:14">
      <c r="A341" s="3" t="s">
        <v>1103</v>
      </c>
      <c r="B341">
        <f>IFERROR(VLOOKUP(A341,管理亚马逊库存!A:K,11,0),"")</f>
        <v>0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0</v>
      </c>
      <c r="I341">
        <f>IFERROR(VLOOKUP(A341,预留库存!A:F,6,0),0)</f>
        <v>0</v>
      </c>
      <c r="J341">
        <f>IFERROR(VLOOKUP(A341,库龄!B:K,9,0),0)</f>
        <v>0</v>
      </c>
      <c r="K341">
        <f>IFERROR(VLOOKUP(A341,库龄!B:L,10,0),0)</f>
        <v>0</v>
      </c>
      <c r="L341">
        <f>IFERROR(VLOOKUP(A341,库龄!B:M,11,0),0)</f>
        <v>0</v>
      </c>
      <c r="M341">
        <f>IFERROR(VLOOKUP(A341,库龄!B:N,12,0),0)</f>
        <v>0</v>
      </c>
      <c r="N341">
        <f t="shared" si="12"/>
        <v>0</v>
      </c>
    </row>
    <row r="342" spans="1:14">
      <c r="A342" s="3" t="s">
        <v>1107</v>
      </c>
      <c r="B342">
        <f>IFERROR(VLOOKUP(A342,管理亚马逊库存!A:K,11,0),"")</f>
        <v>0</v>
      </c>
      <c r="C342">
        <f>IFERROR(VLOOKUP(A342,管理亚马逊库存!A:L,12,0),"")</f>
        <v>0</v>
      </c>
      <c r="D342">
        <f>IFERROR(VLOOKUP(A342,管理亚马逊库存!A:Q,17,0),"")</f>
        <v>0</v>
      </c>
      <c r="E342">
        <f>IFERROR(VLOOKUP(A342,管理亚马逊库存!A:R,18,0),"")</f>
        <v>0</v>
      </c>
      <c r="F342">
        <f t="shared" si="11"/>
        <v>0</v>
      </c>
      <c r="G342">
        <f>IFERROR(VLOOKUP(A342,预留库存!A:G,7,0),0)</f>
        <v>0</v>
      </c>
      <c r="H342">
        <f>IFERROR(VLOOKUP(A342,预留库存!A:H,8,0),0)</f>
        <v>0</v>
      </c>
      <c r="I342">
        <f>IFERROR(VLOOKUP(A342,预留库存!A:F,6,0),0)</f>
        <v>0</v>
      </c>
      <c r="J342">
        <f>IFERROR(VLOOKUP(A342,库龄!B:K,9,0),0)</f>
        <v>0</v>
      </c>
      <c r="K342">
        <f>IFERROR(VLOOKUP(A342,库龄!B:L,10,0),0)</f>
        <v>0</v>
      </c>
      <c r="L342">
        <f>IFERROR(VLOOKUP(A342,库龄!B:M,11,0),0)</f>
        <v>0</v>
      </c>
      <c r="M342">
        <f>IFERROR(VLOOKUP(A342,库龄!B:N,12,0),0)</f>
        <v>0</v>
      </c>
      <c r="N342">
        <f t="shared" si="12"/>
        <v>0</v>
      </c>
    </row>
    <row r="343" spans="1:14">
      <c r="A343" s="3" t="s">
        <v>1111</v>
      </c>
      <c r="B343">
        <f>IFERROR(VLOOKUP(A343,管理亚马逊库存!A:K,11,0),"")</f>
        <v>0</v>
      </c>
      <c r="C343">
        <f>IFERROR(VLOOKUP(A343,管理亚马逊库存!A:L,12,0),"")</f>
        <v>0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0</v>
      </c>
      <c r="J343">
        <f>IFERROR(VLOOKUP(A343,库龄!B:K,9,0),0)</f>
        <v>0</v>
      </c>
      <c r="K343">
        <f>IFERROR(VLOOKUP(A343,库龄!B:L,10,0),0)</f>
        <v>0</v>
      </c>
      <c r="L343">
        <f>IFERROR(VLOOKUP(A343,库龄!B:M,11,0),0)</f>
        <v>0</v>
      </c>
      <c r="M343">
        <f>IFERROR(VLOOKUP(A343,库龄!B:N,12,0),0)</f>
        <v>0</v>
      </c>
      <c r="N343">
        <f t="shared" si="12"/>
        <v>0</v>
      </c>
    </row>
    <row r="344" spans="1:14">
      <c r="A344" s="3" t="s">
        <v>1115</v>
      </c>
      <c r="B344">
        <f>IFERROR(VLOOKUP(A344,管理亚马逊库存!A:K,11,0),"")</f>
        <v>0</v>
      </c>
      <c r="C344">
        <f>IFERROR(VLOOKUP(A344,管理亚马逊库存!A:L,12,0),"")</f>
        <v>0</v>
      </c>
      <c r="D344">
        <f>IFERROR(VLOOKUP(A344,管理亚马逊库存!A:Q,17,0),"")</f>
        <v>0</v>
      </c>
      <c r="E344">
        <f>IFERROR(VLOOKUP(A344,管理亚马逊库存!A:R,18,0),"")</f>
        <v>0</v>
      </c>
      <c r="F344">
        <f t="shared" si="11"/>
        <v>0</v>
      </c>
      <c r="G344">
        <f>IFERROR(VLOOKUP(A344,预留库存!A:G,7,0),0)</f>
        <v>0</v>
      </c>
      <c r="H344">
        <f>IFERROR(VLOOKUP(A344,预留库存!A:H,8,0),0)</f>
        <v>0</v>
      </c>
      <c r="I344">
        <f>IFERROR(VLOOKUP(A344,预留库存!A:F,6,0),0)</f>
        <v>0</v>
      </c>
      <c r="J344">
        <f>IFERROR(VLOOKUP(A344,库龄!B:K,9,0),0)</f>
        <v>0</v>
      </c>
      <c r="K344">
        <f>IFERROR(VLOOKUP(A344,库龄!B:L,10,0),0)</f>
        <v>0</v>
      </c>
      <c r="L344">
        <f>IFERROR(VLOOKUP(A344,库龄!B:M,11,0),0)</f>
        <v>0</v>
      </c>
      <c r="M344">
        <f>IFERROR(VLOOKUP(A344,库龄!B:N,12,0),0)</f>
        <v>0</v>
      </c>
      <c r="N344">
        <f t="shared" si="12"/>
        <v>0</v>
      </c>
    </row>
    <row r="345" spans="1:14">
      <c r="A345" s="3" t="s">
        <v>1119</v>
      </c>
      <c r="B345">
        <f>IFERROR(VLOOKUP(A345,管理亚马逊库存!A:K,11,0),"")</f>
        <v>0</v>
      </c>
      <c r="C345">
        <f>IFERROR(VLOOKUP(A345,管理亚马逊库存!A:L,12,0),"")</f>
        <v>0</v>
      </c>
      <c r="D345">
        <f>IFERROR(VLOOKUP(A345,管理亚马逊库存!A:Q,17,0),"")</f>
        <v>0</v>
      </c>
      <c r="E345">
        <f>IFERROR(VLOOKUP(A345,管理亚马逊库存!A:R,18,0),"")</f>
        <v>0</v>
      </c>
      <c r="F345">
        <f t="shared" si="11"/>
        <v>0</v>
      </c>
      <c r="G345">
        <f>IFERROR(VLOOKUP(A345,预留库存!A:G,7,0),0)</f>
        <v>0</v>
      </c>
      <c r="H345">
        <f>IFERROR(VLOOKUP(A345,预留库存!A:H,8,0),0)</f>
        <v>0</v>
      </c>
      <c r="I345">
        <f>IFERROR(VLOOKUP(A345,预留库存!A:F,6,0),0)</f>
        <v>0</v>
      </c>
      <c r="J345">
        <f>IFERROR(VLOOKUP(A345,库龄!B:K,9,0),0)</f>
        <v>0</v>
      </c>
      <c r="K345">
        <f>IFERROR(VLOOKUP(A345,库龄!B:L,10,0),0)</f>
        <v>0</v>
      </c>
      <c r="L345">
        <f>IFERROR(VLOOKUP(A345,库龄!B:M,11,0),0)</f>
        <v>0</v>
      </c>
      <c r="M345">
        <f>IFERROR(VLOOKUP(A345,库龄!B:N,12,0),0)</f>
        <v>0</v>
      </c>
      <c r="N345">
        <f t="shared" si="12"/>
        <v>0</v>
      </c>
    </row>
    <row r="346" spans="1:14">
      <c r="A346" s="3" t="s">
        <v>1123</v>
      </c>
      <c r="B346">
        <f>IFERROR(VLOOKUP(A346,管理亚马逊库存!A:K,11,0),"")</f>
        <v>0</v>
      </c>
      <c r="C346">
        <f>IFERROR(VLOOKUP(A346,管理亚马逊库存!A:L,12,0),"")</f>
        <v>0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0</v>
      </c>
      <c r="I346">
        <f>IFERROR(VLOOKUP(A346,预留库存!A:F,6,0),0)</f>
        <v>0</v>
      </c>
      <c r="J346">
        <f>IFERROR(VLOOKUP(A346,库龄!B:K,9,0),0)</f>
        <v>0</v>
      </c>
      <c r="K346">
        <f>IFERROR(VLOOKUP(A346,库龄!B:L,10,0),0)</f>
        <v>0</v>
      </c>
      <c r="L346">
        <f>IFERROR(VLOOKUP(A346,库龄!B:M,11,0),0)</f>
        <v>0</v>
      </c>
      <c r="M346">
        <f>IFERROR(VLOOKUP(A346,库龄!B:N,12,0),0)</f>
        <v>0</v>
      </c>
      <c r="N346">
        <f t="shared" si="12"/>
        <v>0</v>
      </c>
    </row>
    <row r="347" spans="1:14">
      <c r="A347" s="3" t="s">
        <v>1127</v>
      </c>
      <c r="B347">
        <f>IFERROR(VLOOKUP(A347,管理亚马逊库存!A:K,11,0),"")</f>
        <v>0</v>
      </c>
      <c r="C347">
        <f>IFERROR(VLOOKUP(A347,管理亚马逊库存!A:L,12,0),"")</f>
        <v>0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0</v>
      </c>
      <c r="I347">
        <f>IFERROR(VLOOKUP(A347,预留库存!A:F,6,0),0)</f>
        <v>0</v>
      </c>
      <c r="J347">
        <f>IFERROR(VLOOKUP(A347,库龄!B:K,9,0),0)</f>
        <v>0</v>
      </c>
      <c r="K347">
        <f>IFERROR(VLOOKUP(A347,库龄!B:L,10,0),0)</f>
        <v>0</v>
      </c>
      <c r="L347">
        <f>IFERROR(VLOOKUP(A347,库龄!B:M,11,0),0)</f>
        <v>0</v>
      </c>
      <c r="M347">
        <f>IFERROR(VLOOKUP(A347,库龄!B:N,12,0),0)</f>
        <v>0</v>
      </c>
      <c r="N347">
        <f t="shared" si="12"/>
        <v>0</v>
      </c>
    </row>
    <row r="348" spans="1:14">
      <c r="A348" s="3" t="s">
        <v>1131</v>
      </c>
      <c r="B348">
        <f>IFERROR(VLOOKUP(A348,管理亚马逊库存!A:K,11,0),"")</f>
        <v>0</v>
      </c>
      <c r="C348">
        <f>IFERROR(VLOOKUP(A348,管理亚马逊库存!A:L,12,0),"")</f>
        <v>0</v>
      </c>
      <c r="D348">
        <f>IFERROR(VLOOKUP(A348,管理亚马逊库存!A:Q,17,0),"")</f>
        <v>0</v>
      </c>
      <c r="E348">
        <f>IFERROR(VLOOKUP(A348,管理亚马逊库存!A:R,18,0),"")</f>
        <v>0</v>
      </c>
      <c r="F348">
        <f t="shared" si="11"/>
        <v>0</v>
      </c>
      <c r="G348">
        <f>IFERROR(VLOOKUP(A348,预留库存!A:G,7,0),0)</f>
        <v>0</v>
      </c>
      <c r="H348">
        <f>IFERROR(VLOOKUP(A348,预留库存!A:H,8,0),0)</f>
        <v>0</v>
      </c>
      <c r="I348">
        <f>IFERROR(VLOOKUP(A348,预留库存!A:F,6,0),0)</f>
        <v>0</v>
      </c>
      <c r="J348">
        <f>IFERROR(VLOOKUP(A348,库龄!B:K,9,0),0)</f>
        <v>0</v>
      </c>
      <c r="K348">
        <f>IFERROR(VLOOKUP(A348,库龄!B:L,10,0),0)</f>
        <v>0</v>
      </c>
      <c r="L348">
        <f>IFERROR(VLOOKUP(A348,库龄!B:M,11,0),0)</f>
        <v>0</v>
      </c>
      <c r="M348">
        <f>IFERROR(VLOOKUP(A348,库龄!B:N,12,0),0)</f>
        <v>0</v>
      </c>
      <c r="N348">
        <f t="shared" si="12"/>
        <v>0</v>
      </c>
    </row>
    <row r="349" spans="1:14">
      <c r="A349" s="3" t="s">
        <v>1135</v>
      </c>
      <c r="B349">
        <f>IFERROR(VLOOKUP(A349,管理亚马逊库存!A:K,11,0),"")</f>
        <v>0</v>
      </c>
      <c r="C349">
        <f>IFERROR(VLOOKUP(A349,管理亚马逊库存!A:L,12,0),"")</f>
        <v>0</v>
      </c>
      <c r="D349">
        <f>IFERROR(VLOOKUP(A349,管理亚马逊库存!A:Q,17,0),"")</f>
        <v>0</v>
      </c>
      <c r="E349">
        <f>IFERROR(VLOOKUP(A349,管理亚马逊库存!A:R,18,0),"")</f>
        <v>0</v>
      </c>
      <c r="F349">
        <f t="shared" si="11"/>
        <v>0</v>
      </c>
      <c r="G349">
        <f>IFERROR(VLOOKUP(A349,预留库存!A:G,7,0),0)</f>
        <v>0</v>
      </c>
      <c r="H349">
        <f>IFERROR(VLOOKUP(A349,预留库存!A:H,8,0),0)</f>
        <v>0</v>
      </c>
      <c r="I349">
        <f>IFERROR(VLOOKUP(A349,预留库存!A:F,6,0),0)</f>
        <v>0</v>
      </c>
      <c r="J349">
        <f>IFERROR(VLOOKUP(A349,库龄!B:K,9,0),0)</f>
        <v>0</v>
      </c>
      <c r="K349">
        <f>IFERROR(VLOOKUP(A349,库龄!B:L,10,0),0)</f>
        <v>0</v>
      </c>
      <c r="L349">
        <f>IFERROR(VLOOKUP(A349,库龄!B:M,11,0),0)</f>
        <v>0</v>
      </c>
      <c r="M349">
        <f>IFERROR(VLOOKUP(A349,库龄!B:N,12,0),0)</f>
        <v>0</v>
      </c>
      <c r="N349">
        <f t="shared" si="12"/>
        <v>0</v>
      </c>
    </row>
    <row r="350" spans="1:14">
      <c r="A350" s="3" t="s">
        <v>1139</v>
      </c>
      <c r="B350">
        <f>IFERROR(VLOOKUP(A350,管理亚马逊库存!A:K,11,0),"")</f>
        <v>0</v>
      </c>
      <c r="C350">
        <f>IFERROR(VLOOKUP(A350,管理亚马逊库存!A:L,12,0),"")</f>
        <v>0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0</v>
      </c>
      <c r="I350">
        <f>IFERROR(VLOOKUP(A350,预留库存!A:F,6,0),0)</f>
        <v>0</v>
      </c>
      <c r="J350">
        <f>IFERROR(VLOOKUP(A350,库龄!B:K,9,0),0)</f>
        <v>0</v>
      </c>
      <c r="K350">
        <f>IFERROR(VLOOKUP(A350,库龄!B:L,10,0),0)</f>
        <v>0</v>
      </c>
      <c r="L350">
        <f>IFERROR(VLOOKUP(A350,库龄!B:M,11,0),0)</f>
        <v>0</v>
      </c>
      <c r="M350">
        <f>IFERROR(VLOOKUP(A350,库龄!B:N,12,0),0)</f>
        <v>0</v>
      </c>
      <c r="N350">
        <f t="shared" si="12"/>
        <v>0</v>
      </c>
    </row>
    <row r="351" spans="1:14">
      <c r="A351" s="3" t="s">
        <v>1143</v>
      </c>
      <c r="B351">
        <f>IFERROR(VLOOKUP(A351,管理亚马逊库存!A:K,11,0),"")</f>
        <v>0</v>
      </c>
      <c r="C351">
        <f>IFERROR(VLOOKUP(A351,管理亚马逊库存!A:L,12,0),"")</f>
        <v>0</v>
      </c>
      <c r="D351">
        <f>IFERROR(VLOOKUP(A351,管理亚马逊库存!A:Q,17,0),"")</f>
        <v>0</v>
      </c>
      <c r="E351">
        <f>IFERROR(VLOOKUP(A351,管理亚马逊库存!A:R,18,0),"")</f>
        <v>0</v>
      </c>
      <c r="F351">
        <f t="shared" si="11"/>
        <v>0</v>
      </c>
      <c r="G351">
        <f>IFERROR(VLOOKUP(A351,预留库存!A:G,7,0),0)</f>
        <v>0</v>
      </c>
      <c r="H351">
        <f>IFERROR(VLOOKUP(A351,预留库存!A:H,8,0),0)</f>
        <v>0</v>
      </c>
      <c r="I351">
        <f>IFERROR(VLOOKUP(A351,预留库存!A:F,6,0),0)</f>
        <v>0</v>
      </c>
      <c r="J351">
        <f>IFERROR(VLOOKUP(A351,库龄!B:K,9,0),0)</f>
        <v>0</v>
      </c>
      <c r="K351">
        <f>IFERROR(VLOOKUP(A351,库龄!B:L,10,0),0)</f>
        <v>0</v>
      </c>
      <c r="L351">
        <f>IFERROR(VLOOKUP(A351,库龄!B:M,11,0),0)</f>
        <v>0</v>
      </c>
      <c r="M351">
        <f>IFERROR(VLOOKUP(A351,库龄!B:N,12,0),0)</f>
        <v>0</v>
      </c>
      <c r="N351">
        <f t="shared" si="12"/>
        <v>0</v>
      </c>
    </row>
    <row r="352" spans="1:14">
      <c r="A352" s="3" t="s">
        <v>1147</v>
      </c>
      <c r="B352">
        <f>IFERROR(VLOOKUP(A352,管理亚马逊库存!A:K,11,0),"")</f>
        <v>0</v>
      </c>
      <c r="C352">
        <f>IFERROR(VLOOKUP(A352,管理亚马逊库存!A:L,12,0),"")</f>
        <v>0</v>
      </c>
      <c r="D352">
        <f>IFERROR(VLOOKUP(A352,管理亚马逊库存!A:Q,17,0),"")</f>
        <v>0</v>
      </c>
      <c r="E352">
        <f>IFERROR(VLOOKUP(A352,管理亚马逊库存!A:R,18,0),"")</f>
        <v>0</v>
      </c>
      <c r="F352">
        <f t="shared" si="11"/>
        <v>0</v>
      </c>
      <c r="G352">
        <f>IFERROR(VLOOKUP(A352,预留库存!A:G,7,0),0)</f>
        <v>0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IFERROR(VLOOKUP(A352,库龄!B:K,9,0),0)</f>
        <v>0</v>
      </c>
      <c r="K352">
        <f>IFERROR(VLOOKUP(A352,库龄!B:L,10,0),0)</f>
        <v>0</v>
      </c>
      <c r="L352">
        <f>IFERROR(VLOOKUP(A352,库龄!B:M,11,0),0)</f>
        <v>0</v>
      </c>
      <c r="M352">
        <f>IFERROR(VLOOKUP(A352,库龄!B:N,12,0),0)</f>
        <v>0</v>
      </c>
      <c r="N352">
        <f t="shared" si="12"/>
        <v>0</v>
      </c>
    </row>
    <row r="353" spans="1:14">
      <c r="A353" s="3" t="s">
        <v>1151</v>
      </c>
      <c r="B353">
        <f>IFERROR(VLOOKUP(A353,管理亚马逊库存!A:K,11,0),"")</f>
        <v>0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0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IFERROR(VLOOKUP(A353,库龄!B:K,9,0),0)</f>
        <v>0</v>
      </c>
      <c r="K353">
        <f>IFERROR(VLOOKUP(A353,库龄!B:L,10,0),0)</f>
        <v>0</v>
      </c>
      <c r="L353">
        <f>IFERROR(VLOOKUP(A353,库龄!B:M,11,0),0)</f>
        <v>0</v>
      </c>
      <c r="M353">
        <f>IFERROR(VLOOKUP(A353,库龄!B:N,12,0),0)</f>
        <v>0</v>
      </c>
      <c r="N353">
        <f t="shared" si="12"/>
        <v>0</v>
      </c>
    </row>
    <row r="354" spans="1:14">
      <c r="A354" s="3" t="s">
        <v>1155</v>
      </c>
      <c r="B354">
        <f>IFERROR(VLOOKUP(A354,管理亚马逊库存!A:K,11,0),"")</f>
        <v>0</v>
      </c>
      <c r="C354">
        <f>IFERROR(VLOOKUP(A354,管理亚马逊库存!A:L,12,0),"")</f>
        <v>0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0</v>
      </c>
      <c r="I354">
        <f>IFERROR(VLOOKUP(A354,预留库存!A:F,6,0),0)</f>
        <v>0</v>
      </c>
      <c r="J354">
        <f>IFERROR(VLOOKUP(A354,库龄!B:K,9,0),0)</f>
        <v>0</v>
      </c>
      <c r="K354">
        <f>IFERROR(VLOOKUP(A354,库龄!B:L,10,0),0)</f>
        <v>0</v>
      </c>
      <c r="L354">
        <f>IFERROR(VLOOKUP(A354,库龄!B:M,11,0),0)</f>
        <v>0</v>
      </c>
      <c r="M354">
        <f>IFERROR(VLOOKUP(A354,库龄!B:N,12,0),0)</f>
        <v>0</v>
      </c>
      <c r="N354">
        <f t="shared" si="12"/>
        <v>0</v>
      </c>
    </row>
    <row r="355" spans="1:14">
      <c r="A355" s="3" t="s">
        <v>1159</v>
      </c>
      <c r="B355">
        <f>IFERROR(VLOOKUP(A355,管理亚马逊库存!A:K,11,0),"")</f>
        <v>0</v>
      </c>
      <c r="C355">
        <f>IFERROR(VLOOKUP(A355,管理亚马逊库存!A:L,12,0),"")</f>
        <v>0</v>
      </c>
      <c r="D355">
        <f>IFERROR(VLOOKUP(A355,管理亚马逊库存!A:Q,17,0),"")</f>
        <v>0</v>
      </c>
      <c r="E355">
        <f>IFERROR(VLOOKUP(A355,管理亚马逊库存!A:R,18,0),"")</f>
        <v>0</v>
      </c>
      <c r="F355">
        <f t="shared" si="11"/>
        <v>0</v>
      </c>
      <c r="G355">
        <f>IFERROR(VLOOKUP(A355,预留库存!A:G,7,0),0)</f>
        <v>0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IFERROR(VLOOKUP(A355,库龄!B:K,9,0),0)</f>
        <v>0</v>
      </c>
      <c r="K355">
        <f>IFERROR(VLOOKUP(A355,库龄!B:L,10,0),0)</f>
        <v>0</v>
      </c>
      <c r="L355">
        <f>IFERROR(VLOOKUP(A355,库龄!B:M,11,0),0)</f>
        <v>0</v>
      </c>
      <c r="M355">
        <f>IFERROR(VLOOKUP(A355,库龄!B:N,12,0),0)</f>
        <v>0</v>
      </c>
      <c r="N355">
        <f t="shared" si="12"/>
        <v>0</v>
      </c>
    </row>
    <row r="356" spans="1:14">
      <c r="A356" s="3" t="s">
        <v>1163</v>
      </c>
      <c r="B356">
        <f>IFERROR(VLOOKUP(A356,管理亚马逊库存!A:K,11,0),"")</f>
        <v>0</v>
      </c>
      <c r="C356">
        <f>IFERROR(VLOOKUP(A356,管理亚马逊库存!A:L,12,0),"")</f>
        <v>0</v>
      </c>
      <c r="D356">
        <f>IFERROR(VLOOKUP(A356,管理亚马逊库存!A:Q,17,0),"")</f>
        <v>0</v>
      </c>
      <c r="E356">
        <f>IFERROR(VLOOKUP(A356,管理亚马逊库存!A:R,18,0),"")</f>
        <v>0</v>
      </c>
      <c r="F356">
        <f t="shared" si="11"/>
        <v>0</v>
      </c>
      <c r="G356">
        <f>IFERROR(VLOOKUP(A356,预留库存!A:G,7,0),0)</f>
        <v>0</v>
      </c>
      <c r="H356">
        <f>IFERROR(VLOOKUP(A356,预留库存!A:H,8,0),0)</f>
        <v>0</v>
      </c>
      <c r="I356">
        <f>IFERROR(VLOOKUP(A356,预留库存!A:F,6,0),0)</f>
        <v>0</v>
      </c>
      <c r="J356">
        <f>IFERROR(VLOOKUP(A356,库龄!B:K,9,0),0)</f>
        <v>0</v>
      </c>
      <c r="K356">
        <f>IFERROR(VLOOKUP(A356,库龄!B:L,10,0),0)</f>
        <v>0</v>
      </c>
      <c r="L356">
        <f>IFERROR(VLOOKUP(A356,库龄!B:M,11,0),0)</f>
        <v>0</v>
      </c>
      <c r="M356">
        <f>IFERROR(VLOOKUP(A356,库龄!B:N,12,0),0)</f>
        <v>0</v>
      </c>
      <c r="N356">
        <f t="shared" si="12"/>
        <v>0</v>
      </c>
    </row>
    <row r="357" spans="1:14">
      <c r="A357" s="3" t="s">
        <v>1167</v>
      </c>
      <c r="B357">
        <f>IFERROR(VLOOKUP(A357,管理亚马逊库存!A:K,11,0),"")</f>
        <v>0</v>
      </c>
      <c r="C357">
        <f>IFERROR(VLOOKUP(A357,管理亚马逊库存!A:L,12,0),"")</f>
        <v>0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0</v>
      </c>
      <c r="J357">
        <f>IFERROR(VLOOKUP(A357,库龄!B:K,9,0),0)</f>
        <v>0</v>
      </c>
      <c r="K357">
        <f>IFERROR(VLOOKUP(A357,库龄!B:L,10,0),0)</f>
        <v>0</v>
      </c>
      <c r="L357">
        <f>IFERROR(VLOOKUP(A357,库龄!B:M,11,0),0)</f>
        <v>0</v>
      </c>
      <c r="M357">
        <f>IFERROR(VLOOKUP(A357,库龄!B:N,12,0),0)</f>
        <v>0</v>
      </c>
      <c r="N357">
        <f t="shared" si="12"/>
        <v>0</v>
      </c>
    </row>
    <row r="358" spans="1:14">
      <c r="A358" s="3" t="s">
        <v>1171</v>
      </c>
      <c r="B358">
        <f>IFERROR(VLOOKUP(A358,管理亚马逊库存!A:K,11,0),"")</f>
        <v>0</v>
      </c>
      <c r="C358">
        <f>IFERROR(VLOOKUP(A358,管理亚马逊库存!A:L,12,0),"")</f>
        <v>0</v>
      </c>
      <c r="D358">
        <f>IFERROR(VLOOKUP(A358,管理亚马逊库存!A:Q,17,0),"")</f>
        <v>0</v>
      </c>
      <c r="E358">
        <f>IFERROR(VLOOKUP(A358,管理亚马逊库存!A:R,18,0),"")</f>
        <v>0</v>
      </c>
      <c r="F358">
        <f t="shared" si="11"/>
        <v>0</v>
      </c>
      <c r="G358">
        <f>IFERROR(VLOOKUP(A358,预留库存!A:G,7,0),0)</f>
        <v>0</v>
      </c>
      <c r="H358">
        <f>IFERROR(VLOOKUP(A358,预留库存!A:H,8,0),0)</f>
        <v>0</v>
      </c>
      <c r="I358">
        <f>IFERROR(VLOOKUP(A358,预留库存!A:F,6,0),0)</f>
        <v>0</v>
      </c>
      <c r="J358">
        <f>IFERROR(VLOOKUP(A358,库龄!B:K,9,0),0)</f>
        <v>0</v>
      </c>
      <c r="K358">
        <f>IFERROR(VLOOKUP(A358,库龄!B:L,10,0),0)</f>
        <v>0</v>
      </c>
      <c r="L358">
        <f>IFERROR(VLOOKUP(A358,库龄!B:M,11,0),0)</f>
        <v>0</v>
      </c>
      <c r="M358">
        <f>IFERROR(VLOOKUP(A358,库龄!B:N,12,0),0)</f>
        <v>0</v>
      </c>
      <c r="N358">
        <f t="shared" si="12"/>
        <v>0</v>
      </c>
    </row>
    <row r="359" spans="1:14">
      <c r="A359" s="3" t="s">
        <v>1175</v>
      </c>
      <c r="B359">
        <f>IFERROR(VLOOKUP(A359,管理亚马逊库存!A:K,11,0),"")</f>
        <v>0</v>
      </c>
      <c r="C359">
        <f>IFERROR(VLOOKUP(A359,管理亚马逊库存!A:L,12,0),"")</f>
        <v>0</v>
      </c>
      <c r="D359">
        <f>IFERROR(VLOOKUP(A359,管理亚马逊库存!A:Q,17,0),"")</f>
        <v>0</v>
      </c>
      <c r="E359">
        <f>IFERROR(VLOOKUP(A359,管理亚马逊库存!A:R,18,0),"")</f>
        <v>0</v>
      </c>
      <c r="F359">
        <f t="shared" si="11"/>
        <v>0</v>
      </c>
      <c r="G359">
        <f>IFERROR(VLOOKUP(A359,预留库存!A:G,7,0),0)</f>
        <v>0</v>
      </c>
      <c r="H359">
        <f>IFERROR(VLOOKUP(A359,预留库存!A:H,8,0),0)</f>
        <v>0</v>
      </c>
      <c r="I359">
        <f>IFERROR(VLOOKUP(A359,预留库存!A:F,6,0),0)</f>
        <v>0</v>
      </c>
      <c r="J359">
        <f>IFERROR(VLOOKUP(A359,库龄!B:K,9,0),0)</f>
        <v>0</v>
      </c>
      <c r="K359">
        <f>IFERROR(VLOOKUP(A359,库龄!B:L,10,0),0)</f>
        <v>0</v>
      </c>
      <c r="L359">
        <f>IFERROR(VLOOKUP(A359,库龄!B:M,11,0),0)</f>
        <v>0</v>
      </c>
      <c r="M359">
        <f>IFERROR(VLOOKUP(A359,库龄!B:N,12,0),0)</f>
        <v>0</v>
      </c>
      <c r="N359">
        <f t="shared" si="12"/>
        <v>0</v>
      </c>
    </row>
    <row r="360" spans="1:14">
      <c r="A360" s="3" t="s">
        <v>1179</v>
      </c>
      <c r="B360">
        <f>IFERROR(VLOOKUP(A360,管理亚马逊库存!A:K,11,0),"")</f>
        <v>0</v>
      </c>
      <c r="C360">
        <f>IFERROR(VLOOKUP(A360,管理亚马逊库存!A:L,12,0),"")</f>
        <v>0</v>
      </c>
      <c r="D360">
        <f>IFERROR(VLOOKUP(A360,管理亚马逊库存!A:Q,17,0),"")</f>
        <v>0</v>
      </c>
      <c r="E360">
        <f>IFERROR(VLOOKUP(A360,管理亚马逊库存!A:R,18,0),"")</f>
        <v>0</v>
      </c>
      <c r="F360">
        <f t="shared" si="11"/>
        <v>0</v>
      </c>
      <c r="G360">
        <f>IFERROR(VLOOKUP(A360,预留库存!A:G,7,0),0)</f>
        <v>0</v>
      </c>
      <c r="H360">
        <f>IFERROR(VLOOKUP(A360,预留库存!A:H,8,0),0)</f>
        <v>0</v>
      </c>
      <c r="I360">
        <f>IFERROR(VLOOKUP(A360,预留库存!A:F,6,0),0)</f>
        <v>0</v>
      </c>
      <c r="J360">
        <f>IFERROR(VLOOKUP(A360,库龄!B:K,9,0),0)</f>
        <v>0</v>
      </c>
      <c r="K360">
        <f>IFERROR(VLOOKUP(A360,库龄!B:L,10,0),0)</f>
        <v>0</v>
      </c>
      <c r="L360">
        <f>IFERROR(VLOOKUP(A360,库龄!B:M,11,0),0)</f>
        <v>0</v>
      </c>
      <c r="M360">
        <f>IFERROR(VLOOKUP(A360,库龄!B:N,12,0),0)</f>
        <v>0</v>
      </c>
      <c r="N360">
        <f t="shared" si="12"/>
        <v>0</v>
      </c>
    </row>
    <row r="361" spans="1:14">
      <c r="A361" s="3" t="s">
        <v>1183</v>
      </c>
      <c r="B361">
        <f>IFERROR(VLOOKUP(A361,管理亚马逊库存!A:K,11,0),"")</f>
        <v>0</v>
      </c>
      <c r="C361">
        <f>IFERROR(VLOOKUP(A361,管理亚马逊库存!A:L,12,0),"")</f>
        <v>0</v>
      </c>
      <c r="D361">
        <f>IFERROR(VLOOKUP(A361,管理亚马逊库存!A:Q,17,0),"")</f>
        <v>0</v>
      </c>
      <c r="E361">
        <f>IFERROR(VLOOKUP(A361,管理亚马逊库存!A:R,18,0),"")</f>
        <v>0</v>
      </c>
      <c r="F361">
        <f t="shared" si="11"/>
        <v>0</v>
      </c>
      <c r="G361">
        <f>IFERROR(VLOOKUP(A361,预留库存!A:G,7,0),0)</f>
        <v>0</v>
      </c>
      <c r="H361">
        <f>IFERROR(VLOOKUP(A361,预留库存!A:H,8,0),0)</f>
        <v>0</v>
      </c>
      <c r="I361">
        <f>IFERROR(VLOOKUP(A361,预留库存!A:F,6,0),0)</f>
        <v>0</v>
      </c>
      <c r="J361">
        <f>IFERROR(VLOOKUP(A361,库龄!B:K,9,0),0)</f>
        <v>0</v>
      </c>
      <c r="K361">
        <f>IFERROR(VLOOKUP(A361,库龄!B:L,10,0),0)</f>
        <v>0</v>
      </c>
      <c r="L361">
        <f>IFERROR(VLOOKUP(A361,库龄!B:M,11,0),0)</f>
        <v>0</v>
      </c>
      <c r="M361">
        <f>IFERROR(VLOOKUP(A361,库龄!B:N,12,0),0)</f>
        <v>0</v>
      </c>
      <c r="N361">
        <f t="shared" si="12"/>
        <v>0</v>
      </c>
    </row>
    <row r="362" spans="1:14">
      <c r="A362" s="3" t="s">
        <v>1187</v>
      </c>
      <c r="B362">
        <f>IFERROR(VLOOKUP(A362,管理亚马逊库存!A:K,11,0),"")</f>
        <v>0</v>
      </c>
      <c r="C362">
        <f>IFERROR(VLOOKUP(A362,管理亚马逊库存!A:L,12,0),"")</f>
        <v>0</v>
      </c>
      <c r="D362">
        <f>IFERROR(VLOOKUP(A362,管理亚马逊库存!A:Q,17,0),"")</f>
        <v>0</v>
      </c>
      <c r="E362">
        <f>IFERROR(VLOOKUP(A362,管理亚马逊库存!A:R,18,0),"")</f>
        <v>0</v>
      </c>
      <c r="F362">
        <f t="shared" si="11"/>
        <v>0</v>
      </c>
      <c r="G362">
        <f>IFERROR(VLOOKUP(A362,预留库存!A:G,7,0),0)</f>
        <v>0</v>
      </c>
      <c r="H362">
        <f>IFERROR(VLOOKUP(A362,预留库存!A:H,8,0),0)</f>
        <v>0</v>
      </c>
      <c r="I362">
        <f>IFERROR(VLOOKUP(A362,预留库存!A:F,6,0),0)</f>
        <v>0</v>
      </c>
      <c r="J362">
        <f>IFERROR(VLOOKUP(A362,库龄!B:K,9,0),0)</f>
        <v>0</v>
      </c>
      <c r="K362">
        <f>IFERROR(VLOOKUP(A362,库龄!B:L,10,0),0)</f>
        <v>0</v>
      </c>
      <c r="L362">
        <f>IFERROR(VLOOKUP(A362,库龄!B:M,11,0),0)</f>
        <v>0</v>
      </c>
      <c r="M362">
        <f>IFERROR(VLOOKUP(A362,库龄!B:N,12,0),0)</f>
        <v>0</v>
      </c>
      <c r="N362">
        <f t="shared" si="12"/>
        <v>0</v>
      </c>
    </row>
    <row r="363" spans="1:14">
      <c r="A363" s="3" t="s">
        <v>1191</v>
      </c>
      <c r="B363">
        <f>IFERROR(VLOOKUP(A363,管理亚马逊库存!A:K,11,0),"")</f>
        <v>0</v>
      </c>
      <c r="C363">
        <f>IFERROR(VLOOKUP(A363,管理亚马逊库存!A:L,12,0),"")</f>
        <v>0</v>
      </c>
      <c r="D363">
        <f>IFERROR(VLOOKUP(A363,管理亚马逊库存!A:Q,17,0),"")</f>
        <v>0</v>
      </c>
      <c r="E363">
        <f>IFERROR(VLOOKUP(A363,管理亚马逊库存!A:R,18,0),"")</f>
        <v>0</v>
      </c>
      <c r="F363">
        <f t="shared" si="11"/>
        <v>0</v>
      </c>
      <c r="G363">
        <f>IFERROR(VLOOKUP(A363,预留库存!A:G,7,0),0)</f>
        <v>0</v>
      </c>
      <c r="H363">
        <f>IFERROR(VLOOKUP(A363,预留库存!A:H,8,0),0)</f>
        <v>0</v>
      </c>
      <c r="I363">
        <f>IFERROR(VLOOKUP(A363,预留库存!A:F,6,0),0)</f>
        <v>0</v>
      </c>
      <c r="J363">
        <f>IFERROR(VLOOKUP(A363,库龄!B:K,9,0),0)</f>
        <v>0</v>
      </c>
      <c r="K363">
        <f>IFERROR(VLOOKUP(A363,库龄!B:L,10,0),0)</f>
        <v>0</v>
      </c>
      <c r="L363">
        <f>IFERROR(VLOOKUP(A363,库龄!B:M,11,0),0)</f>
        <v>0</v>
      </c>
      <c r="M363">
        <f>IFERROR(VLOOKUP(A363,库龄!B:N,12,0),0)</f>
        <v>0</v>
      </c>
      <c r="N363">
        <f t="shared" si="12"/>
        <v>0</v>
      </c>
    </row>
    <row r="364" spans="1:14">
      <c r="A364" s="3" t="s">
        <v>1195</v>
      </c>
      <c r="B364">
        <f>IFERROR(VLOOKUP(A364,管理亚马逊库存!A:K,11,0),"")</f>
        <v>0</v>
      </c>
      <c r="C364">
        <f>IFERROR(VLOOKUP(A364,管理亚马逊库存!A:L,12,0),"")</f>
        <v>0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0</v>
      </c>
      <c r="H364">
        <f>IFERROR(VLOOKUP(A364,预留库存!A:H,8,0),0)</f>
        <v>0</v>
      </c>
      <c r="I364">
        <f>IFERROR(VLOOKUP(A364,预留库存!A:F,6,0),0)</f>
        <v>0</v>
      </c>
      <c r="J364">
        <f>IFERROR(VLOOKUP(A364,库龄!B:K,9,0),0)</f>
        <v>0</v>
      </c>
      <c r="K364">
        <f>IFERROR(VLOOKUP(A364,库龄!B:L,10,0),0)</f>
        <v>0</v>
      </c>
      <c r="L364">
        <f>IFERROR(VLOOKUP(A364,库龄!B:M,11,0),0)</f>
        <v>0</v>
      </c>
      <c r="M364">
        <f>IFERROR(VLOOKUP(A364,库龄!B:N,12,0),0)</f>
        <v>0</v>
      </c>
      <c r="N364">
        <f t="shared" si="12"/>
        <v>0</v>
      </c>
    </row>
    <row r="365" spans="1:14">
      <c r="A365" s="3" t="s">
        <v>1199</v>
      </c>
      <c r="B365">
        <f>IFERROR(VLOOKUP(A365,管理亚马逊库存!A:K,11,0),"")</f>
        <v>0</v>
      </c>
      <c r="C365">
        <f>IFERROR(VLOOKUP(A365,管理亚马逊库存!A:L,12,0),"")</f>
        <v>0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0</v>
      </c>
      <c r="H365">
        <f>IFERROR(VLOOKUP(A365,预留库存!A:H,8,0),0)</f>
        <v>0</v>
      </c>
      <c r="I365">
        <f>IFERROR(VLOOKUP(A365,预留库存!A:F,6,0),0)</f>
        <v>0</v>
      </c>
      <c r="J365">
        <f>IFERROR(VLOOKUP(A365,库龄!B:K,9,0),0)</f>
        <v>0</v>
      </c>
      <c r="K365">
        <f>IFERROR(VLOOKUP(A365,库龄!B:L,10,0),0)</f>
        <v>0</v>
      </c>
      <c r="L365">
        <f>IFERROR(VLOOKUP(A365,库龄!B:M,11,0),0)</f>
        <v>0</v>
      </c>
      <c r="M365">
        <f>IFERROR(VLOOKUP(A365,库龄!B:N,12,0),0)</f>
        <v>0</v>
      </c>
      <c r="N365">
        <f t="shared" si="12"/>
        <v>0</v>
      </c>
    </row>
    <row r="366" spans="1:14">
      <c r="A366" s="3" t="s">
        <v>1203</v>
      </c>
      <c r="B366">
        <f>IFERROR(VLOOKUP(A366,管理亚马逊库存!A:K,11,0),"")</f>
        <v>0</v>
      </c>
      <c r="C366">
        <f>IFERROR(VLOOKUP(A366,管理亚马逊库存!A:L,12,0),"")</f>
        <v>0</v>
      </c>
      <c r="D366">
        <f>IFERROR(VLOOKUP(A366,管理亚马逊库存!A:Q,17,0),"")</f>
        <v>0</v>
      </c>
      <c r="E366">
        <f>IFERROR(VLOOKUP(A366,管理亚马逊库存!A:R,18,0),"")</f>
        <v>0</v>
      </c>
      <c r="F366">
        <f t="shared" si="11"/>
        <v>0</v>
      </c>
      <c r="G366">
        <f>IFERROR(VLOOKUP(A366,预留库存!A:G,7,0),0)</f>
        <v>0</v>
      </c>
      <c r="H366">
        <f>IFERROR(VLOOKUP(A366,预留库存!A:H,8,0),0)</f>
        <v>0</v>
      </c>
      <c r="I366">
        <f>IFERROR(VLOOKUP(A366,预留库存!A:F,6,0),0)</f>
        <v>0</v>
      </c>
      <c r="J366">
        <f>IFERROR(VLOOKUP(A366,库龄!B:K,9,0),0)</f>
        <v>0</v>
      </c>
      <c r="K366">
        <f>IFERROR(VLOOKUP(A366,库龄!B:L,10,0),0)</f>
        <v>0</v>
      </c>
      <c r="L366">
        <f>IFERROR(VLOOKUP(A366,库龄!B:M,11,0),0)</f>
        <v>0</v>
      </c>
      <c r="M366">
        <f>IFERROR(VLOOKUP(A366,库龄!B:N,12,0),0)</f>
        <v>0</v>
      </c>
      <c r="N366">
        <f t="shared" si="12"/>
        <v>0</v>
      </c>
    </row>
    <row r="367" spans="1:14">
      <c r="A367" s="3" t="s">
        <v>1207</v>
      </c>
      <c r="B367">
        <f>IFERROR(VLOOKUP(A367,管理亚马逊库存!A:K,11,0),"")</f>
        <v>0</v>
      </c>
      <c r="C367">
        <f>IFERROR(VLOOKUP(A367,管理亚马逊库存!A:L,12,0),"")</f>
        <v>0</v>
      </c>
      <c r="D367">
        <f>IFERROR(VLOOKUP(A367,管理亚马逊库存!A:Q,17,0),"")</f>
        <v>0</v>
      </c>
      <c r="E367">
        <f>IFERROR(VLOOKUP(A367,管理亚马逊库存!A:R,18,0),"")</f>
        <v>0</v>
      </c>
      <c r="F367">
        <f t="shared" si="11"/>
        <v>0</v>
      </c>
      <c r="G367">
        <f>IFERROR(VLOOKUP(A367,预留库存!A:G,7,0),0)</f>
        <v>0</v>
      </c>
      <c r="H367">
        <f>IFERROR(VLOOKUP(A367,预留库存!A:H,8,0),0)</f>
        <v>0</v>
      </c>
      <c r="I367">
        <f>IFERROR(VLOOKUP(A367,预留库存!A:F,6,0),0)</f>
        <v>0</v>
      </c>
      <c r="J367">
        <f>IFERROR(VLOOKUP(A367,库龄!B:K,9,0),0)</f>
        <v>0</v>
      </c>
      <c r="K367">
        <f>IFERROR(VLOOKUP(A367,库龄!B:L,10,0),0)</f>
        <v>0</v>
      </c>
      <c r="L367">
        <f>IFERROR(VLOOKUP(A367,库龄!B:M,11,0),0)</f>
        <v>0</v>
      </c>
      <c r="M367">
        <f>IFERROR(VLOOKUP(A367,库龄!B:N,12,0),0)</f>
        <v>0</v>
      </c>
      <c r="N367">
        <f t="shared" si="12"/>
        <v>0</v>
      </c>
    </row>
    <row r="368" spans="1:14">
      <c r="A368" s="3" t="s">
        <v>1211</v>
      </c>
      <c r="B368">
        <f>IFERROR(VLOOKUP(A368,管理亚马逊库存!A:K,11,0),"")</f>
        <v>0</v>
      </c>
      <c r="C368">
        <f>IFERROR(VLOOKUP(A368,管理亚马逊库存!A:L,12,0),"")</f>
        <v>0</v>
      </c>
      <c r="D368">
        <f>IFERROR(VLOOKUP(A368,管理亚马逊库存!A:Q,17,0),"")</f>
        <v>0</v>
      </c>
      <c r="E368">
        <f>IFERROR(VLOOKUP(A368,管理亚马逊库存!A:R,18,0),"")</f>
        <v>0</v>
      </c>
      <c r="F368">
        <f t="shared" si="11"/>
        <v>0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0</v>
      </c>
      <c r="J368">
        <f>IFERROR(VLOOKUP(A368,库龄!B:K,9,0),0)</f>
        <v>0</v>
      </c>
      <c r="K368">
        <f>IFERROR(VLOOKUP(A368,库龄!B:L,10,0),0)</f>
        <v>0</v>
      </c>
      <c r="L368">
        <f>IFERROR(VLOOKUP(A368,库龄!B:M,11,0),0)</f>
        <v>0</v>
      </c>
      <c r="M368">
        <f>IFERROR(VLOOKUP(A368,库龄!B:N,12,0),0)</f>
        <v>0</v>
      </c>
      <c r="N368">
        <f t="shared" si="12"/>
        <v>0</v>
      </c>
    </row>
    <row r="369" spans="1:14">
      <c r="A369" s="3" t="s">
        <v>1215</v>
      </c>
      <c r="B369">
        <f>IFERROR(VLOOKUP(A369,管理亚马逊库存!A:K,11,0),"")</f>
        <v>0</v>
      </c>
      <c r="C369">
        <f>IFERROR(VLOOKUP(A369,管理亚马逊库存!A:L,12,0),"")</f>
        <v>0</v>
      </c>
      <c r="D369">
        <f>IFERROR(VLOOKUP(A369,管理亚马逊库存!A:Q,17,0),"")</f>
        <v>0</v>
      </c>
      <c r="E369">
        <f>IFERROR(VLOOKUP(A369,管理亚马逊库存!A:R,18,0),"")</f>
        <v>0</v>
      </c>
      <c r="F369">
        <f t="shared" si="11"/>
        <v>0</v>
      </c>
      <c r="G369">
        <f>IFERROR(VLOOKUP(A369,预留库存!A:G,7,0),0)</f>
        <v>0</v>
      </c>
      <c r="H369">
        <f>IFERROR(VLOOKUP(A369,预留库存!A:H,8,0),0)</f>
        <v>0</v>
      </c>
      <c r="I369">
        <f>IFERROR(VLOOKUP(A369,预留库存!A:F,6,0),0)</f>
        <v>0</v>
      </c>
      <c r="J369">
        <f>IFERROR(VLOOKUP(A369,库龄!B:K,9,0),0)</f>
        <v>0</v>
      </c>
      <c r="K369">
        <f>IFERROR(VLOOKUP(A369,库龄!B:L,10,0),0)</f>
        <v>0</v>
      </c>
      <c r="L369">
        <f>IFERROR(VLOOKUP(A369,库龄!B:M,11,0),0)</f>
        <v>0</v>
      </c>
      <c r="M369">
        <f>IFERROR(VLOOKUP(A369,库龄!B:N,12,0),0)</f>
        <v>0</v>
      </c>
      <c r="N369">
        <f t="shared" si="12"/>
        <v>0</v>
      </c>
    </row>
    <row r="370" spans="1:14">
      <c r="A370" s="3" t="s">
        <v>1219</v>
      </c>
      <c r="B370">
        <f>IFERROR(VLOOKUP(A370,管理亚马逊库存!A:K,11,0),"")</f>
        <v>0</v>
      </c>
      <c r="C370">
        <f>IFERROR(VLOOKUP(A370,管理亚马逊库存!A:L,12,0),"")</f>
        <v>0</v>
      </c>
      <c r="D370">
        <f>IFERROR(VLOOKUP(A370,管理亚马逊库存!A:Q,17,0),"")</f>
        <v>0</v>
      </c>
      <c r="E370">
        <f>IFERROR(VLOOKUP(A370,管理亚马逊库存!A:R,18,0),"")</f>
        <v>0</v>
      </c>
      <c r="F370">
        <f t="shared" si="11"/>
        <v>0</v>
      </c>
      <c r="G370">
        <f>IFERROR(VLOOKUP(A370,预留库存!A:G,7,0),0)</f>
        <v>0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IFERROR(VLOOKUP(A370,库龄!B:K,9,0),0)</f>
        <v>0</v>
      </c>
      <c r="K370">
        <f>IFERROR(VLOOKUP(A370,库龄!B:L,10,0),0)</f>
        <v>0</v>
      </c>
      <c r="L370">
        <f>IFERROR(VLOOKUP(A370,库龄!B:M,11,0),0)</f>
        <v>0</v>
      </c>
      <c r="M370">
        <f>IFERROR(VLOOKUP(A370,库龄!B:N,12,0),0)</f>
        <v>0</v>
      </c>
      <c r="N370">
        <f t="shared" si="12"/>
        <v>0</v>
      </c>
    </row>
    <row r="371" spans="1:14">
      <c r="A371" s="3" t="s">
        <v>1223</v>
      </c>
      <c r="B371">
        <f>IFERROR(VLOOKUP(A371,管理亚马逊库存!A:K,11,0),"")</f>
        <v>0</v>
      </c>
      <c r="C371">
        <f>IFERROR(VLOOKUP(A371,管理亚马逊库存!A:L,12,0),"")</f>
        <v>0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0</v>
      </c>
      <c r="I371">
        <f>IFERROR(VLOOKUP(A371,预留库存!A:F,6,0),0)</f>
        <v>0</v>
      </c>
      <c r="J371">
        <f>IFERROR(VLOOKUP(A371,库龄!B:K,9,0),0)</f>
        <v>0</v>
      </c>
      <c r="K371">
        <f>IFERROR(VLOOKUP(A371,库龄!B:L,10,0),0)</f>
        <v>0</v>
      </c>
      <c r="L371">
        <f>IFERROR(VLOOKUP(A371,库龄!B:M,11,0),0)</f>
        <v>0</v>
      </c>
      <c r="M371">
        <f>IFERROR(VLOOKUP(A371,库龄!B:N,12,0),0)</f>
        <v>0</v>
      </c>
      <c r="N371">
        <f t="shared" si="12"/>
        <v>0</v>
      </c>
    </row>
    <row r="372" spans="1:14">
      <c r="A372" s="3" t="s">
        <v>1227</v>
      </c>
      <c r="B372">
        <f>IFERROR(VLOOKUP(A372,管理亚马逊库存!A:K,11,0),"")</f>
        <v>0</v>
      </c>
      <c r="C372">
        <f>IFERROR(VLOOKUP(A372,管理亚马逊库存!A:L,12,0),"")</f>
        <v>0</v>
      </c>
      <c r="D372">
        <f>IFERROR(VLOOKUP(A372,管理亚马逊库存!A:Q,17,0),"")</f>
        <v>0</v>
      </c>
      <c r="E372">
        <f>IFERROR(VLOOKUP(A372,管理亚马逊库存!A:R,18,0),"")</f>
        <v>0</v>
      </c>
      <c r="F372">
        <f t="shared" si="11"/>
        <v>0</v>
      </c>
      <c r="G372">
        <f>IFERROR(VLOOKUP(A372,预留库存!A:G,7,0),0)</f>
        <v>0</v>
      </c>
      <c r="H372">
        <f>IFERROR(VLOOKUP(A372,预留库存!A:H,8,0),0)</f>
        <v>0</v>
      </c>
      <c r="I372">
        <f>IFERROR(VLOOKUP(A372,预留库存!A:F,6,0),0)</f>
        <v>0</v>
      </c>
      <c r="J372">
        <f>IFERROR(VLOOKUP(A372,库龄!B:K,9,0),0)</f>
        <v>0</v>
      </c>
      <c r="K372">
        <f>IFERROR(VLOOKUP(A372,库龄!B:L,10,0),0)</f>
        <v>0</v>
      </c>
      <c r="L372">
        <f>IFERROR(VLOOKUP(A372,库龄!B:M,11,0),0)</f>
        <v>0</v>
      </c>
      <c r="M372">
        <f>IFERROR(VLOOKUP(A372,库龄!B:N,12,0),0)</f>
        <v>0</v>
      </c>
      <c r="N372">
        <f t="shared" si="12"/>
        <v>0</v>
      </c>
    </row>
    <row r="373" spans="1:14">
      <c r="A373" s="3" t="s">
        <v>1231</v>
      </c>
      <c r="B373">
        <f>IFERROR(VLOOKUP(A373,管理亚马逊库存!A:K,11,0),"")</f>
        <v>0</v>
      </c>
      <c r="C373">
        <f>IFERROR(VLOOKUP(A373,管理亚马逊库存!A:L,12,0),"")</f>
        <v>0</v>
      </c>
      <c r="D373">
        <f>IFERROR(VLOOKUP(A373,管理亚马逊库存!A:Q,17,0),"")</f>
        <v>0</v>
      </c>
      <c r="E373">
        <f>IFERROR(VLOOKUP(A373,管理亚马逊库存!A:R,18,0),"")</f>
        <v>0</v>
      </c>
      <c r="F373">
        <f t="shared" si="11"/>
        <v>0</v>
      </c>
      <c r="G373">
        <f>IFERROR(VLOOKUP(A373,预留库存!A:G,7,0),0)</f>
        <v>0</v>
      </c>
      <c r="H373">
        <f>IFERROR(VLOOKUP(A373,预留库存!A:H,8,0),0)</f>
        <v>0</v>
      </c>
      <c r="I373">
        <f>IFERROR(VLOOKUP(A373,预留库存!A:F,6,0),0)</f>
        <v>0</v>
      </c>
      <c r="J373">
        <f>IFERROR(VLOOKUP(A373,库龄!B:K,9,0),0)</f>
        <v>0</v>
      </c>
      <c r="K373">
        <f>IFERROR(VLOOKUP(A373,库龄!B:L,10,0),0)</f>
        <v>0</v>
      </c>
      <c r="L373">
        <f>IFERROR(VLOOKUP(A373,库龄!B:M,11,0),0)</f>
        <v>0</v>
      </c>
      <c r="M373">
        <f>IFERROR(VLOOKUP(A373,库龄!B:N,12,0),0)</f>
        <v>0</v>
      </c>
      <c r="N373">
        <f t="shared" si="12"/>
        <v>0</v>
      </c>
    </row>
    <row r="374" spans="1:14">
      <c r="A374" s="3" t="s">
        <v>1235</v>
      </c>
      <c r="B374">
        <f>IFERROR(VLOOKUP(A374,管理亚马逊库存!A:K,11,0),"")</f>
        <v>0</v>
      </c>
      <c r="C374">
        <f>IFERROR(VLOOKUP(A374,管理亚马逊库存!A:L,12,0),"")</f>
        <v>0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0</v>
      </c>
      <c r="I374">
        <f>IFERROR(VLOOKUP(A374,预留库存!A:F,6,0),0)</f>
        <v>0</v>
      </c>
      <c r="J374">
        <f>IFERROR(VLOOKUP(A374,库龄!B:K,9,0),0)</f>
        <v>0</v>
      </c>
      <c r="K374">
        <f>IFERROR(VLOOKUP(A374,库龄!B:L,10,0),0)</f>
        <v>0</v>
      </c>
      <c r="L374">
        <f>IFERROR(VLOOKUP(A374,库龄!B:M,11,0),0)</f>
        <v>0</v>
      </c>
      <c r="M374">
        <f>IFERROR(VLOOKUP(A374,库龄!B:N,12,0),0)</f>
        <v>0</v>
      </c>
      <c r="N374">
        <f t="shared" si="12"/>
        <v>0</v>
      </c>
    </row>
    <row r="375" spans="1:14">
      <c r="A375" s="3" t="s">
        <v>1239</v>
      </c>
      <c r="B375">
        <f>IFERROR(VLOOKUP(A375,管理亚马逊库存!A:K,11,0),"")</f>
        <v>0</v>
      </c>
      <c r="C375">
        <f>IFERROR(VLOOKUP(A375,管理亚马逊库存!A:L,12,0),"")</f>
        <v>0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0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IFERROR(VLOOKUP(A375,库龄!B:K,9,0),0)</f>
        <v>0</v>
      </c>
      <c r="K375">
        <f>IFERROR(VLOOKUP(A375,库龄!B:L,10,0),0)</f>
        <v>0</v>
      </c>
      <c r="L375">
        <f>IFERROR(VLOOKUP(A375,库龄!B:M,11,0),0)</f>
        <v>0</v>
      </c>
      <c r="M375">
        <f>IFERROR(VLOOKUP(A375,库龄!B:N,12,0),0)</f>
        <v>0</v>
      </c>
      <c r="N375">
        <f t="shared" si="12"/>
        <v>0</v>
      </c>
    </row>
    <row r="376" spans="1:14">
      <c r="A376" s="3" t="s">
        <v>1243</v>
      </c>
      <c r="B376">
        <f>IFERROR(VLOOKUP(A376,管理亚马逊库存!A:K,11,0),"")</f>
        <v>0</v>
      </c>
      <c r="C376">
        <f>IFERROR(VLOOKUP(A376,管理亚马逊库存!A:L,12,0),"")</f>
        <v>0</v>
      </c>
      <c r="D376">
        <f>IFERROR(VLOOKUP(A376,管理亚马逊库存!A:Q,17,0),"")</f>
        <v>0</v>
      </c>
      <c r="E376">
        <f>IFERROR(VLOOKUP(A376,管理亚马逊库存!A:R,18,0),"")</f>
        <v>0</v>
      </c>
      <c r="F376">
        <f t="shared" si="11"/>
        <v>0</v>
      </c>
      <c r="G376">
        <f>IFERROR(VLOOKUP(A376,预留库存!A:G,7,0),0)</f>
        <v>0</v>
      </c>
      <c r="H376">
        <f>IFERROR(VLOOKUP(A376,预留库存!A:H,8,0),0)</f>
        <v>0</v>
      </c>
      <c r="I376">
        <f>IFERROR(VLOOKUP(A376,预留库存!A:F,6,0),0)</f>
        <v>0</v>
      </c>
      <c r="J376">
        <f>IFERROR(VLOOKUP(A376,库龄!B:K,9,0),0)</f>
        <v>0</v>
      </c>
      <c r="K376">
        <f>IFERROR(VLOOKUP(A376,库龄!B:L,10,0),0)</f>
        <v>0</v>
      </c>
      <c r="L376">
        <f>IFERROR(VLOOKUP(A376,库龄!B:M,11,0),0)</f>
        <v>0</v>
      </c>
      <c r="M376">
        <f>IFERROR(VLOOKUP(A376,库龄!B:N,12,0),0)</f>
        <v>0</v>
      </c>
      <c r="N376">
        <f t="shared" si="12"/>
        <v>0</v>
      </c>
    </row>
    <row r="377" spans="1:14">
      <c r="A377" s="3" t="s">
        <v>1247</v>
      </c>
      <c r="B377">
        <f>IFERROR(VLOOKUP(A377,管理亚马逊库存!A:K,11,0),"")</f>
        <v>0</v>
      </c>
      <c r="C377">
        <f>IFERROR(VLOOKUP(A377,管理亚马逊库存!A:L,12,0),"")</f>
        <v>0</v>
      </c>
      <c r="D377">
        <f>IFERROR(VLOOKUP(A377,管理亚马逊库存!A:Q,17,0),"")</f>
        <v>0</v>
      </c>
      <c r="E377">
        <f>IFERROR(VLOOKUP(A377,管理亚马逊库存!A:R,18,0),"")</f>
        <v>0</v>
      </c>
      <c r="F377">
        <f t="shared" si="11"/>
        <v>0</v>
      </c>
      <c r="G377">
        <f>IFERROR(VLOOKUP(A377,预留库存!A:G,7,0),0)</f>
        <v>0</v>
      </c>
      <c r="H377">
        <f>IFERROR(VLOOKUP(A377,预留库存!A:H,8,0),0)</f>
        <v>0</v>
      </c>
      <c r="I377">
        <f>IFERROR(VLOOKUP(A377,预留库存!A:F,6,0),0)</f>
        <v>0</v>
      </c>
      <c r="J377">
        <f>IFERROR(VLOOKUP(A377,库龄!B:K,9,0),0)</f>
        <v>0</v>
      </c>
      <c r="K377">
        <f>IFERROR(VLOOKUP(A377,库龄!B:L,10,0),0)</f>
        <v>0</v>
      </c>
      <c r="L377">
        <f>IFERROR(VLOOKUP(A377,库龄!B:M,11,0),0)</f>
        <v>0</v>
      </c>
      <c r="M377">
        <f>IFERROR(VLOOKUP(A377,库龄!B:N,12,0),0)</f>
        <v>0</v>
      </c>
      <c r="N377">
        <f t="shared" si="12"/>
        <v>0</v>
      </c>
    </row>
    <row r="378" spans="1:14">
      <c r="A378" s="3" t="s">
        <v>1251</v>
      </c>
      <c r="B378">
        <f>IFERROR(VLOOKUP(A378,管理亚马逊库存!A:K,11,0),"")</f>
        <v>0</v>
      </c>
      <c r="C378">
        <f>IFERROR(VLOOKUP(A378,管理亚马逊库存!A:L,12,0),"")</f>
        <v>0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0</v>
      </c>
      <c r="J378">
        <f>IFERROR(VLOOKUP(A378,库龄!B:K,9,0),0)</f>
        <v>0</v>
      </c>
      <c r="K378">
        <f>IFERROR(VLOOKUP(A378,库龄!B:L,10,0),0)</f>
        <v>0</v>
      </c>
      <c r="L378">
        <f>IFERROR(VLOOKUP(A378,库龄!B:M,11,0),0)</f>
        <v>0</v>
      </c>
      <c r="M378">
        <f>IFERROR(VLOOKUP(A378,库龄!B:N,12,0),0)</f>
        <v>0</v>
      </c>
      <c r="N378">
        <f t="shared" si="12"/>
        <v>0</v>
      </c>
    </row>
    <row r="379" spans="1:14">
      <c r="A379" s="3" t="s">
        <v>1255</v>
      </c>
      <c r="B379">
        <f>IFERROR(VLOOKUP(A379,管理亚马逊库存!A:K,11,0),"")</f>
        <v>0</v>
      </c>
      <c r="C379">
        <f>IFERROR(VLOOKUP(A379,管理亚马逊库存!A:L,12,0),"")</f>
        <v>0</v>
      </c>
      <c r="D379">
        <f>IFERROR(VLOOKUP(A379,管理亚马逊库存!A:Q,17,0),"")</f>
        <v>0</v>
      </c>
      <c r="E379">
        <f>IFERROR(VLOOKUP(A379,管理亚马逊库存!A:R,18,0),"")</f>
        <v>0</v>
      </c>
      <c r="F379">
        <f t="shared" si="11"/>
        <v>0</v>
      </c>
      <c r="G379">
        <f>IFERROR(VLOOKUP(A379,预留库存!A:G,7,0),0)</f>
        <v>0</v>
      </c>
      <c r="H379">
        <f>IFERROR(VLOOKUP(A379,预留库存!A:H,8,0),0)</f>
        <v>0</v>
      </c>
      <c r="I379">
        <f>IFERROR(VLOOKUP(A379,预留库存!A:F,6,0),0)</f>
        <v>0</v>
      </c>
      <c r="J379">
        <f>IFERROR(VLOOKUP(A379,库龄!B:K,9,0),0)</f>
        <v>0</v>
      </c>
      <c r="K379">
        <f>IFERROR(VLOOKUP(A379,库龄!B:L,10,0),0)</f>
        <v>0</v>
      </c>
      <c r="L379">
        <f>IFERROR(VLOOKUP(A379,库龄!B:M,11,0),0)</f>
        <v>0</v>
      </c>
      <c r="M379">
        <f>IFERROR(VLOOKUP(A379,库龄!B:N,12,0),0)</f>
        <v>0</v>
      </c>
      <c r="N379">
        <f t="shared" si="12"/>
        <v>0</v>
      </c>
    </row>
    <row r="380" spans="1:14">
      <c r="A380" s="3" t="s">
        <v>1259</v>
      </c>
      <c r="B380">
        <f>IFERROR(VLOOKUP(A380,管理亚马逊库存!A:K,11,0),"")</f>
        <v>0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0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IFERROR(VLOOKUP(A380,库龄!B:K,9,0),0)</f>
        <v>0</v>
      </c>
      <c r="K380">
        <f>IFERROR(VLOOKUP(A380,库龄!B:L,10,0),0)</f>
        <v>0</v>
      </c>
      <c r="L380">
        <f>IFERROR(VLOOKUP(A380,库龄!B:M,11,0),0)</f>
        <v>0</v>
      </c>
      <c r="M380">
        <f>IFERROR(VLOOKUP(A380,库龄!B:N,12,0),0)</f>
        <v>0</v>
      </c>
      <c r="N380">
        <f t="shared" si="12"/>
        <v>0</v>
      </c>
    </row>
    <row r="381" spans="1:14">
      <c r="A381" s="3" t="s">
        <v>1263</v>
      </c>
      <c r="B381">
        <f>IFERROR(VLOOKUP(A381,管理亚马逊库存!A:K,11,0),"")</f>
        <v>0</v>
      </c>
      <c r="C381">
        <f>IFERROR(VLOOKUP(A381,管理亚马逊库存!A:L,12,0),"")</f>
        <v>0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0</v>
      </c>
      <c r="H381">
        <f>IFERROR(VLOOKUP(A381,预留库存!A:H,8,0),0)</f>
        <v>0</v>
      </c>
      <c r="I381">
        <f>IFERROR(VLOOKUP(A381,预留库存!A:F,6,0),0)</f>
        <v>0</v>
      </c>
      <c r="J381">
        <f>IFERROR(VLOOKUP(A381,库龄!B:K,9,0),0)</f>
        <v>0</v>
      </c>
      <c r="K381">
        <f>IFERROR(VLOOKUP(A381,库龄!B:L,10,0),0)</f>
        <v>0</v>
      </c>
      <c r="L381">
        <f>IFERROR(VLOOKUP(A381,库龄!B:M,11,0),0)</f>
        <v>0</v>
      </c>
      <c r="M381">
        <f>IFERROR(VLOOKUP(A381,库龄!B:N,12,0),0)</f>
        <v>0</v>
      </c>
      <c r="N381">
        <f t="shared" si="12"/>
        <v>0</v>
      </c>
    </row>
    <row r="382" spans="1:14">
      <c r="A382" s="3" t="s">
        <v>1267</v>
      </c>
      <c r="B382">
        <f>IFERROR(VLOOKUP(A382,管理亚马逊库存!A:K,11,0),"")</f>
        <v>0</v>
      </c>
      <c r="C382">
        <f>IFERROR(VLOOKUP(A382,管理亚马逊库存!A:L,12,0),"")</f>
        <v>0</v>
      </c>
      <c r="D382">
        <f>IFERROR(VLOOKUP(A382,管理亚马逊库存!A:Q,17,0),"")</f>
        <v>0</v>
      </c>
      <c r="E382">
        <f>IFERROR(VLOOKUP(A382,管理亚马逊库存!A:R,18,0),"")</f>
        <v>0</v>
      </c>
      <c r="F382">
        <f t="shared" si="11"/>
        <v>0</v>
      </c>
      <c r="G382">
        <f>IFERROR(VLOOKUP(A382,预留库存!A:G,7,0),0)</f>
        <v>0</v>
      </c>
      <c r="H382">
        <f>IFERROR(VLOOKUP(A382,预留库存!A:H,8,0),0)</f>
        <v>0</v>
      </c>
      <c r="I382">
        <f>IFERROR(VLOOKUP(A382,预留库存!A:F,6,0),0)</f>
        <v>0</v>
      </c>
      <c r="J382">
        <f>IFERROR(VLOOKUP(A382,库龄!B:K,9,0),0)</f>
        <v>0</v>
      </c>
      <c r="K382">
        <f>IFERROR(VLOOKUP(A382,库龄!B:L,10,0),0)</f>
        <v>0</v>
      </c>
      <c r="L382">
        <f>IFERROR(VLOOKUP(A382,库龄!B:M,11,0),0)</f>
        <v>0</v>
      </c>
      <c r="M382">
        <f>IFERROR(VLOOKUP(A382,库龄!B:N,12,0),0)</f>
        <v>0</v>
      </c>
      <c r="N382">
        <f t="shared" si="12"/>
        <v>0</v>
      </c>
    </row>
    <row r="383" spans="1:14">
      <c r="A383" s="3" t="s">
        <v>1271</v>
      </c>
      <c r="B383">
        <f>IFERROR(VLOOKUP(A383,管理亚马逊库存!A:K,11,0),"")</f>
        <v>0</v>
      </c>
      <c r="C383">
        <f>IFERROR(VLOOKUP(A383,管理亚马逊库存!A:L,12,0),"")</f>
        <v>0</v>
      </c>
      <c r="D383">
        <f>IFERROR(VLOOKUP(A383,管理亚马逊库存!A:Q,17,0),"")</f>
        <v>0</v>
      </c>
      <c r="E383">
        <f>IFERROR(VLOOKUP(A383,管理亚马逊库存!A:R,18,0),"")</f>
        <v>0</v>
      </c>
      <c r="F383">
        <f t="shared" si="11"/>
        <v>0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0</v>
      </c>
      <c r="J383">
        <f>IFERROR(VLOOKUP(A383,库龄!B:K,9,0),0)</f>
        <v>0</v>
      </c>
      <c r="K383">
        <f>IFERROR(VLOOKUP(A383,库龄!B:L,10,0),0)</f>
        <v>0</v>
      </c>
      <c r="L383">
        <f>IFERROR(VLOOKUP(A383,库龄!B:M,11,0),0)</f>
        <v>0</v>
      </c>
      <c r="M383">
        <f>IFERROR(VLOOKUP(A383,库龄!B:N,12,0),0)</f>
        <v>0</v>
      </c>
      <c r="N383">
        <f t="shared" si="12"/>
        <v>0</v>
      </c>
    </row>
    <row r="384" spans="1:14">
      <c r="A384" s="3" t="s">
        <v>1275</v>
      </c>
      <c r="B384">
        <f>IFERROR(VLOOKUP(A384,管理亚马逊库存!A:K,11,0),"")</f>
        <v>0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0</v>
      </c>
      <c r="J384">
        <f>IFERROR(VLOOKUP(A384,库龄!B:K,9,0),0)</f>
        <v>0</v>
      </c>
      <c r="K384">
        <f>IFERROR(VLOOKUP(A384,库龄!B:L,10,0),0)</f>
        <v>0</v>
      </c>
      <c r="L384">
        <f>IFERROR(VLOOKUP(A384,库龄!B:M,11,0),0)</f>
        <v>0</v>
      </c>
      <c r="M384">
        <f>IFERROR(VLOOKUP(A384,库龄!B:N,12,0),0)</f>
        <v>0</v>
      </c>
      <c r="N384">
        <f t="shared" si="12"/>
        <v>0</v>
      </c>
    </row>
    <row r="385" spans="1:14">
      <c r="A385" s="3" t="s">
        <v>1279</v>
      </c>
      <c r="B385">
        <f>IFERROR(VLOOKUP(A385,管理亚马逊库存!A:K,11,0),"")</f>
        <v>0</v>
      </c>
      <c r="C385">
        <f>IFERROR(VLOOKUP(A385,管理亚马逊库存!A:L,12,0),"")</f>
        <v>0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0</v>
      </c>
      <c r="H385">
        <f>IFERROR(VLOOKUP(A385,预留库存!A:H,8,0),0)</f>
        <v>0</v>
      </c>
      <c r="I385">
        <f>IFERROR(VLOOKUP(A385,预留库存!A:F,6,0),0)</f>
        <v>0</v>
      </c>
      <c r="J385">
        <f>IFERROR(VLOOKUP(A385,库龄!B:K,9,0),0)</f>
        <v>0</v>
      </c>
      <c r="K385">
        <f>IFERROR(VLOOKUP(A385,库龄!B:L,10,0),0)</f>
        <v>0</v>
      </c>
      <c r="L385">
        <f>IFERROR(VLOOKUP(A385,库龄!B:M,11,0),0)</f>
        <v>0</v>
      </c>
      <c r="M385">
        <f>IFERROR(VLOOKUP(A385,库龄!B:N,12,0),0)</f>
        <v>0</v>
      </c>
      <c r="N385">
        <f t="shared" si="12"/>
        <v>0</v>
      </c>
    </row>
    <row r="386" spans="1:14">
      <c r="A386" s="3" t="s">
        <v>1283</v>
      </c>
      <c r="B386">
        <f>IFERROR(VLOOKUP(A386,管理亚马逊库存!A:K,11,0),"")</f>
        <v>0</v>
      </c>
      <c r="C386">
        <f>IFERROR(VLOOKUP(A386,管理亚马逊库存!A:L,12,0),"")</f>
        <v>0</v>
      </c>
      <c r="D386">
        <f>IFERROR(VLOOKUP(A386,管理亚马逊库存!A:Q,17,0),"")</f>
        <v>0</v>
      </c>
      <c r="E386">
        <f>IFERROR(VLOOKUP(A386,管理亚马逊库存!A:R,18,0),"")</f>
        <v>0</v>
      </c>
      <c r="F386">
        <f t="shared" si="11"/>
        <v>0</v>
      </c>
      <c r="G386">
        <f>IFERROR(VLOOKUP(A386,预留库存!A:G,7,0),0)</f>
        <v>0</v>
      </c>
      <c r="H386">
        <f>IFERROR(VLOOKUP(A386,预留库存!A:H,8,0),0)</f>
        <v>0</v>
      </c>
      <c r="I386">
        <f>IFERROR(VLOOKUP(A386,预留库存!A:F,6,0),0)</f>
        <v>0</v>
      </c>
      <c r="J386">
        <f>IFERROR(VLOOKUP(A386,库龄!B:K,9,0),0)</f>
        <v>0</v>
      </c>
      <c r="K386">
        <f>IFERROR(VLOOKUP(A386,库龄!B:L,10,0),0)</f>
        <v>0</v>
      </c>
      <c r="L386">
        <f>IFERROR(VLOOKUP(A386,库龄!B:M,11,0),0)</f>
        <v>0</v>
      </c>
      <c r="M386">
        <f>IFERROR(VLOOKUP(A386,库龄!B:N,12,0),0)</f>
        <v>0</v>
      </c>
      <c r="N386">
        <f t="shared" si="12"/>
        <v>0</v>
      </c>
    </row>
    <row r="387" spans="1:14">
      <c r="A387" s="3" t="s">
        <v>1287</v>
      </c>
      <c r="B387">
        <f>IFERROR(VLOOKUP(A387,管理亚马逊库存!A:K,11,0),"")</f>
        <v>0</v>
      </c>
      <c r="C387">
        <f>IFERROR(VLOOKUP(A387,管理亚马逊库存!A:L,12,0),"")</f>
        <v>0</v>
      </c>
      <c r="D387">
        <f>IFERROR(VLOOKUP(A387,管理亚马逊库存!A:Q,17,0),"")</f>
        <v>0</v>
      </c>
      <c r="E387">
        <f>IFERROR(VLOOKUP(A387,管理亚马逊库存!A:R,18,0),"")</f>
        <v>0</v>
      </c>
      <c r="F387">
        <f t="shared" ref="F387:F450" si="13">SUM(D387:E387)</f>
        <v>0</v>
      </c>
      <c r="G387">
        <f>IFERROR(VLOOKUP(A387,预留库存!A:G,7,0),0)</f>
        <v>0</v>
      </c>
      <c r="H387">
        <f>IFERROR(VLOOKUP(A387,预留库存!A:H,8,0),0)</f>
        <v>0</v>
      </c>
      <c r="I387">
        <f>IFERROR(VLOOKUP(A387,预留库存!A:F,6,0),0)</f>
        <v>0</v>
      </c>
      <c r="J387">
        <f>IFERROR(VLOOKUP(A387,库龄!B:K,9,0),0)</f>
        <v>0</v>
      </c>
      <c r="K387">
        <f>IFERROR(VLOOKUP(A387,库龄!B:L,10,0),0)</f>
        <v>0</v>
      </c>
      <c r="L387">
        <f>IFERROR(VLOOKUP(A387,库龄!B:M,11,0),0)</f>
        <v>0</v>
      </c>
      <c r="M387">
        <f>IFERROR(VLOOKUP(A387,库龄!B:N,12,0),0)</f>
        <v>0</v>
      </c>
      <c r="N387">
        <f t="shared" ref="N387:N450" si="14">SUM(J387:M387)</f>
        <v>0</v>
      </c>
    </row>
    <row r="388" spans="1:14">
      <c r="A388" s="3" t="s">
        <v>1289</v>
      </c>
      <c r="B388">
        <f>IFERROR(VLOOKUP(A388,管理亚马逊库存!A:K,11,0),"")</f>
        <v>0</v>
      </c>
      <c r="C388">
        <f>IFERROR(VLOOKUP(A388,管理亚马逊库存!A:L,12,0),"")</f>
        <v>0</v>
      </c>
      <c r="D388">
        <f>IFERROR(VLOOKUP(A388,管理亚马逊库存!A:Q,17,0),"")</f>
        <v>0</v>
      </c>
      <c r="E388">
        <f>IFERROR(VLOOKUP(A388,管理亚马逊库存!A:R,18,0),"")</f>
        <v>0</v>
      </c>
      <c r="F388">
        <f t="shared" si="13"/>
        <v>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0</v>
      </c>
      <c r="J388">
        <f>IFERROR(VLOOKUP(A388,库龄!B:K,9,0),0)</f>
        <v>0</v>
      </c>
      <c r="K388">
        <f>IFERROR(VLOOKUP(A388,库龄!B:L,10,0),0)</f>
        <v>0</v>
      </c>
      <c r="L388">
        <f>IFERROR(VLOOKUP(A388,库龄!B:M,11,0),0)</f>
        <v>0</v>
      </c>
      <c r="M388">
        <f>IFERROR(VLOOKUP(A388,库龄!B:N,12,0),0)</f>
        <v>0</v>
      </c>
      <c r="N388">
        <f t="shared" si="14"/>
        <v>0</v>
      </c>
    </row>
    <row r="389" spans="1:14">
      <c r="A389" s="3" t="s">
        <v>1291</v>
      </c>
      <c r="B389">
        <f>IFERROR(VLOOKUP(A389,管理亚马逊库存!A:K,11,0),"")</f>
        <v>0</v>
      </c>
      <c r="C389">
        <f>IFERROR(VLOOKUP(A389,管理亚马逊库存!A:L,12,0),"")</f>
        <v>0</v>
      </c>
      <c r="D389">
        <f>IFERROR(VLOOKUP(A389,管理亚马逊库存!A:Q,17,0),"")</f>
        <v>0</v>
      </c>
      <c r="E389">
        <f>IFERROR(VLOOKUP(A389,管理亚马逊库存!A:R,18,0),"")</f>
        <v>0</v>
      </c>
      <c r="F389">
        <f t="shared" si="13"/>
        <v>0</v>
      </c>
      <c r="G389">
        <f>IFERROR(VLOOKUP(A389,预留库存!A:G,7,0),0)</f>
        <v>0</v>
      </c>
      <c r="H389">
        <f>IFERROR(VLOOKUP(A389,预留库存!A:H,8,0),0)</f>
        <v>0</v>
      </c>
      <c r="I389">
        <f>IFERROR(VLOOKUP(A389,预留库存!A:F,6,0),0)</f>
        <v>0</v>
      </c>
      <c r="J389">
        <f>IFERROR(VLOOKUP(A389,库龄!B:K,9,0),0)</f>
        <v>0</v>
      </c>
      <c r="K389">
        <f>IFERROR(VLOOKUP(A389,库龄!B:L,10,0),0)</f>
        <v>0</v>
      </c>
      <c r="L389">
        <f>IFERROR(VLOOKUP(A389,库龄!B:M,11,0),0)</f>
        <v>0</v>
      </c>
      <c r="M389">
        <f>IFERROR(VLOOKUP(A389,库龄!B:N,12,0),0)</f>
        <v>0</v>
      </c>
      <c r="N389">
        <f t="shared" si="14"/>
        <v>0</v>
      </c>
    </row>
    <row r="390" spans="1:14">
      <c r="A390" s="3" t="s">
        <v>1293</v>
      </c>
      <c r="B390">
        <f>IFERROR(VLOOKUP(A390,管理亚马逊库存!A:K,11,0),"")</f>
        <v>0</v>
      </c>
      <c r="C390">
        <f>IFERROR(VLOOKUP(A390,管理亚马逊库存!A:L,12,0),"")</f>
        <v>0</v>
      </c>
      <c r="D390">
        <f>IFERROR(VLOOKUP(A390,管理亚马逊库存!A:Q,17,0),"")</f>
        <v>0</v>
      </c>
      <c r="E390">
        <f>IFERROR(VLOOKUP(A390,管理亚马逊库存!A:R,18,0),"")</f>
        <v>0</v>
      </c>
      <c r="F390">
        <f t="shared" si="13"/>
        <v>0</v>
      </c>
      <c r="G390">
        <f>IFERROR(VLOOKUP(A390,预留库存!A:G,7,0),0)</f>
        <v>0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IFERROR(VLOOKUP(A390,库龄!B:K,9,0),0)</f>
        <v>0</v>
      </c>
      <c r="K390">
        <f>IFERROR(VLOOKUP(A390,库龄!B:L,10,0),0)</f>
        <v>0</v>
      </c>
      <c r="L390">
        <f>IFERROR(VLOOKUP(A390,库龄!B:M,11,0),0)</f>
        <v>0</v>
      </c>
      <c r="M390">
        <f>IFERROR(VLOOKUP(A390,库龄!B:N,12,0),0)</f>
        <v>0</v>
      </c>
      <c r="N390">
        <f t="shared" si="14"/>
        <v>0</v>
      </c>
    </row>
    <row r="391" spans="1:14">
      <c r="A391" s="3" t="s">
        <v>1297</v>
      </c>
      <c r="B391">
        <f>IFERROR(VLOOKUP(A391,管理亚马逊库存!A:K,11,0),"")</f>
        <v>0</v>
      </c>
      <c r="C391">
        <f>IFERROR(VLOOKUP(A391,管理亚马逊库存!A:L,12,0),"")</f>
        <v>0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0</v>
      </c>
      <c r="H391">
        <f>IFERROR(VLOOKUP(A391,预留库存!A:H,8,0),0)</f>
        <v>0</v>
      </c>
      <c r="I391">
        <f>IFERROR(VLOOKUP(A391,预留库存!A:F,6,0),0)</f>
        <v>0</v>
      </c>
      <c r="J391">
        <f>IFERROR(VLOOKUP(A391,库龄!B:K,9,0),0)</f>
        <v>0</v>
      </c>
      <c r="K391">
        <f>IFERROR(VLOOKUP(A391,库龄!B:L,10,0),0)</f>
        <v>0</v>
      </c>
      <c r="L391">
        <f>IFERROR(VLOOKUP(A391,库龄!B:M,11,0),0)</f>
        <v>0</v>
      </c>
      <c r="M391">
        <f>IFERROR(VLOOKUP(A391,库龄!B:N,12,0),0)</f>
        <v>0</v>
      </c>
      <c r="N391">
        <f t="shared" si="14"/>
        <v>0</v>
      </c>
    </row>
    <row r="392" spans="1:14">
      <c r="A392" s="3" t="s">
        <v>1300</v>
      </c>
      <c r="B392">
        <f>IFERROR(VLOOKUP(A392,管理亚马逊库存!A:K,11,0),"")</f>
        <v>0</v>
      </c>
      <c r="C392">
        <f>IFERROR(VLOOKUP(A392,管理亚马逊库存!A:L,12,0),"")</f>
        <v>0</v>
      </c>
      <c r="D392">
        <f>IFERROR(VLOOKUP(A392,管理亚马逊库存!A:Q,17,0),"")</f>
        <v>0</v>
      </c>
      <c r="E392">
        <f>IFERROR(VLOOKUP(A392,管理亚马逊库存!A:R,18,0),"")</f>
        <v>0</v>
      </c>
      <c r="F392">
        <f t="shared" si="13"/>
        <v>0</v>
      </c>
      <c r="G392">
        <f>IFERROR(VLOOKUP(A392,预留库存!A:G,7,0),0)</f>
        <v>0</v>
      </c>
      <c r="H392">
        <f>IFERROR(VLOOKUP(A392,预留库存!A:H,8,0),0)</f>
        <v>0</v>
      </c>
      <c r="I392">
        <f>IFERROR(VLOOKUP(A392,预留库存!A:F,6,0),0)</f>
        <v>0</v>
      </c>
      <c r="J392">
        <f>IFERROR(VLOOKUP(A392,库龄!B:K,9,0),0)</f>
        <v>0</v>
      </c>
      <c r="K392">
        <f>IFERROR(VLOOKUP(A392,库龄!B:L,10,0),0)</f>
        <v>0</v>
      </c>
      <c r="L392">
        <f>IFERROR(VLOOKUP(A392,库龄!B:M,11,0),0)</f>
        <v>0</v>
      </c>
      <c r="M392">
        <f>IFERROR(VLOOKUP(A392,库龄!B:N,12,0),0)</f>
        <v>0</v>
      </c>
      <c r="N392">
        <f t="shared" si="14"/>
        <v>0</v>
      </c>
    </row>
    <row r="393" spans="1:14">
      <c r="A393" s="3" t="s">
        <v>1303</v>
      </c>
      <c r="B393">
        <f>IFERROR(VLOOKUP(A393,管理亚马逊库存!A:K,11,0),"")</f>
        <v>0</v>
      </c>
      <c r="C393">
        <f>IFERROR(VLOOKUP(A393,管理亚马逊库存!A:L,12,0),"")</f>
        <v>0</v>
      </c>
      <c r="D393">
        <f>IFERROR(VLOOKUP(A393,管理亚马逊库存!A:Q,17,0),"")</f>
        <v>0</v>
      </c>
      <c r="E393">
        <f>IFERROR(VLOOKUP(A393,管理亚马逊库存!A:R,18,0),"")</f>
        <v>0</v>
      </c>
      <c r="F393">
        <f t="shared" si="13"/>
        <v>0</v>
      </c>
      <c r="G393">
        <f>IFERROR(VLOOKUP(A393,预留库存!A:G,7,0),0)</f>
        <v>0</v>
      </c>
      <c r="H393">
        <f>IFERROR(VLOOKUP(A393,预留库存!A:H,8,0),0)</f>
        <v>0</v>
      </c>
      <c r="I393">
        <f>IFERROR(VLOOKUP(A393,预留库存!A:F,6,0),0)</f>
        <v>0</v>
      </c>
      <c r="J393">
        <f>IFERROR(VLOOKUP(A393,库龄!B:K,9,0),0)</f>
        <v>0</v>
      </c>
      <c r="K393">
        <f>IFERROR(VLOOKUP(A393,库龄!B:L,10,0),0)</f>
        <v>0</v>
      </c>
      <c r="L393">
        <f>IFERROR(VLOOKUP(A393,库龄!B:M,11,0),0)</f>
        <v>0</v>
      </c>
      <c r="M393">
        <f>IFERROR(VLOOKUP(A393,库龄!B:N,12,0),0)</f>
        <v>0</v>
      </c>
      <c r="N393">
        <f t="shared" si="14"/>
        <v>0</v>
      </c>
    </row>
    <row r="394" spans="1:14">
      <c r="A394" s="3" t="s">
        <v>1306</v>
      </c>
      <c r="B394">
        <f>IFERROR(VLOOKUP(A394,管理亚马逊库存!A:K,11,0),"")</f>
        <v>0</v>
      </c>
      <c r="C394">
        <f>IFERROR(VLOOKUP(A394,管理亚马逊库存!A:L,12,0),"")</f>
        <v>0</v>
      </c>
      <c r="D394">
        <f>IFERROR(VLOOKUP(A394,管理亚马逊库存!A:Q,17,0),"")</f>
        <v>0</v>
      </c>
      <c r="E394">
        <f>IFERROR(VLOOKUP(A394,管理亚马逊库存!A:R,18,0),"")</f>
        <v>0</v>
      </c>
      <c r="F394">
        <f t="shared" si="13"/>
        <v>0</v>
      </c>
      <c r="G394">
        <f>IFERROR(VLOOKUP(A394,预留库存!A:G,7,0),0)</f>
        <v>0</v>
      </c>
      <c r="H394">
        <f>IFERROR(VLOOKUP(A394,预留库存!A:H,8,0),0)</f>
        <v>0</v>
      </c>
      <c r="I394">
        <f>IFERROR(VLOOKUP(A394,预留库存!A:F,6,0),0)</f>
        <v>0</v>
      </c>
      <c r="J394">
        <f>IFERROR(VLOOKUP(A394,库龄!B:K,9,0),0)</f>
        <v>0</v>
      </c>
      <c r="K394">
        <f>IFERROR(VLOOKUP(A394,库龄!B:L,10,0),0)</f>
        <v>0</v>
      </c>
      <c r="L394">
        <f>IFERROR(VLOOKUP(A394,库龄!B:M,11,0),0)</f>
        <v>0</v>
      </c>
      <c r="M394">
        <f>IFERROR(VLOOKUP(A394,库龄!B:N,12,0),0)</f>
        <v>0</v>
      </c>
      <c r="N394">
        <f t="shared" si="14"/>
        <v>0</v>
      </c>
    </row>
    <row r="395" spans="1:14">
      <c r="A395" s="3" t="s">
        <v>1309</v>
      </c>
      <c r="B395">
        <f>IFERROR(VLOOKUP(A395,管理亚马逊库存!A:K,11,0),"")</f>
        <v>0</v>
      </c>
      <c r="C395">
        <f>IFERROR(VLOOKUP(A395,管理亚马逊库存!A:L,12,0),"")</f>
        <v>0</v>
      </c>
      <c r="D395">
        <f>IFERROR(VLOOKUP(A395,管理亚马逊库存!A:Q,17,0),"")</f>
        <v>0</v>
      </c>
      <c r="E395">
        <f>IFERROR(VLOOKUP(A395,管理亚马逊库存!A:R,18,0),"")</f>
        <v>0</v>
      </c>
      <c r="F395">
        <f t="shared" si="13"/>
        <v>0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IFERROR(VLOOKUP(A395,库龄!B:K,9,0),0)</f>
        <v>0</v>
      </c>
      <c r="K395">
        <f>IFERROR(VLOOKUP(A395,库龄!B:L,10,0),0)</f>
        <v>0</v>
      </c>
      <c r="L395">
        <f>IFERROR(VLOOKUP(A395,库龄!B:M,11,0),0)</f>
        <v>0</v>
      </c>
      <c r="M395">
        <f>IFERROR(VLOOKUP(A395,库龄!B:N,12,0),0)</f>
        <v>0</v>
      </c>
      <c r="N395">
        <f t="shared" si="14"/>
        <v>0</v>
      </c>
    </row>
    <row r="396" spans="1:14">
      <c r="A396" s="3" t="s">
        <v>1312</v>
      </c>
      <c r="B396">
        <f>IFERROR(VLOOKUP(A396,管理亚马逊库存!A:K,11,0),"")</f>
        <v>0</v>
      </c>
      <c r="C396">
        <f>IFERROR(VLOOKUP(A396,管理亚马逊库存!A:L,12,0),"")</f>
        <v>0</v>
      </c>
      <c r="D396">
        <f>IFERROR(VLOOKUP(A396,管理亚马逊库存!A:Q,17,0),"")</f>
        <v>0</v>
      </c>
      <c r="E396">
        <f>IFERROR(VLOOKUP(A396,管理亚马逊库存!A:R,18,0),"")</f>
        <v>0</v>
      </c>
      <c r="F396">
        <f t="shared" si="13"/>
        <v>0</v>
      </c>
      <c r="G396">
        <f>IFERROR(VLOOKUP(A396,预留库存!A:G,7,0),0)</f>
        <v>0</v>
      </c>
      <c r="H396">
        <f>IFERROR(VLOOKUP(A396,预留库存!A:H,8,0),0)</f>
        <v>0</v>
      </c>
      <c r="I396">
        <f>IFERROR(VLOOKUP(A396,预留库存!A:F,6,0),0)</f>
        <v>0</v>
      </c>
      <c r="J396">
        <f>IFERROR(VLOOKUP(A396,库龄!B:K,9,0),0)</f>
        <v>0</v>
      </c>
      <c r="K396">
        <f>IFERROR(VLOOKUP(A396,库龄!B:L,10,0),0)</f>
        <v>0</v>
      </c>
      <c r="L396">
        <f>IFERROR(VLOOKUP(A396,库龄!B:M,11,0),0)</f>
        <v>0</v>
      </c>
      <c r="M396">
        <f>IFERROR(VLOOKUP(A396,库龄!B:N,12,0),0)</f>
        <v>0</v>
      </c>
      <c r="N396">
        <f t="shared" si="14"/>
        <v>0</v>
      </c>
    </row>
    <row r="397" spans="1:14">
      <c r="A397" s="3" t="s">
        <v>1315</v>
      </c>
      <c r="B397">
        <f>IFERROR(VLOOKUP(A397,管理亚马逊库存!A:K,11,0),"")</f>
        <v>0</v>
      </c>
      <c r="C397">
        <f>IFERROR(VLOOKUP(A397,管理亚马逊库存!A:L,12,0),"")</f>
        <v>0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0</v>
      </c>
      <c r="H397">
        <f>IFERROR(VLOOKUP(A397,预留库存!A:H,8,0),0)</f>
        <v>0</v>
      </c>
      <c r="I397">
        <f>IFERROR(VLOOKUP(A397,预留库存!A:F,6,0),0)</f>
        <v>0</v>
      </c>
      <c r="J397">
        <f>IFERROR(VLOOKUP(A397,库龄!B:K,9,0),0)</f>
        <v>0</v>
      </c>
      <c r="K397">
        <f>IFERROR(VLOOKUP(A397,库龄!B:L,10,0),0)</f>
        <v>0</v>
      </c>
      <c r="L397">
        <f>IFERROR(VLOOKUP(A397,库龄!B:M,11,0),0)</f>
        <v>0</v>
      </c>
      <c r="M397">
        <f>IFERROR(VLOOKUP(A397,库龄!B:N,12,0),0)</f>
        <v>0</v>
      </c>
      <c r="N397">
        <f t="shared" si="14"/>
        <v>0</v>
      </c>
    </row>
    <row r="398" spans="1:14">
      <c r="A398" s="3" t="s">
        <v>1318</v>
      </c>
      <c r="B398">
        <f>IFERROR(VLOOKUP(A398,管理亚马逊库存!A:K,11,0),"")</f>
        <v>0</v>
      </c>
      <c r="C398">
        <f>IFERROR(VLOOKUP(A398,管理亚马逊库存!A:L,12,0),"")</f>
        <v>0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0</v>
      </c>
      <c r="H398">
        <f>IFERROR(VLOOKUP(A398,预留库存!A:H,8,0),0)</f>
        <v>0</v>
      </c>
      <c r="I398">
        <f>IFERROR(VLOOKUP(A398,预留库存!A:F,6,0),0)</f>
        <v>0</v>
      </c>
      <c r="J398">
        <f>IFERROR(VLOOKUP(A398,库龄!B:K,9,0),0)</f>
        <v>0</v>
      </c>
      <c r="K398">
        <f>IFERROR(VLOOKUP(A398,库龄!B:L,10,0),0)</f>
        <v>0</v>
      </c>
      <c r="L398">
        <f>IFERROR(VLOOKUP(A398,库龄!B:M,11,0),0)</f>
        <v>0</v>
      </c>
      <c r="M398">
        <f>IFERROR(VLOOKUP(A398,库龄!B:N,12,0),0)</f>
        <v>0</v>
      </c>
      <c r="N398">
        <f t="shared" si="14"/>
        <v>0</v>
      </c>
    </row>
    <row r="399" spans="1:14">
      <c r="A399" s="3" t="s">
        <v>1321</v>
      </c>
      <c r="B399">
        <f>IFERROR(VLOOKUP(A399,管理亚马逊库存!A:K,11,0),"")</f>
        <v>0</v>
      </c>
      <c r="C399">
        <f>IFERROR(VLOOKUP(A399,管理亚马逊库存!A:L,12,0),"")</f>
        <v>0</v>
      </c>
      <c r="D399">
        <f>IFERROR(VLOOKUP(A399,管理亚马逊库存!A:Q,17,0),"")</f>
        <v>0</v>
      </c>
      <c r="E399">
        <f>IFERROR(VLOOKUP(A399,管理亚马逊库存!A:R,18,0),"")</f>
        <v>0</v>
      </c>
      <c r="F399">
        <f t="shared" si="13"/>
        <v>0</v>
      </c>
      <c r="G399">
        <f>IFERROR(VLOOKUP(A399,预留库存!A:G,7,0),0)</f>
        <v>0</v>
      </c>
      <c r="H399">
        <f>IFERROR(VLOOKUP(A399,预留库存!A:H,8,0),0)</f>
        <v>0</v>
      </c>
      <c r="I399">
        <f>IFERROR(VLOOKUP(A399,预留库存!A:F,6,0),0)</f>
        <v>0</v>
      </c>
      <c r="J399">
        <f>IFERROR(VLOOKUP(A399,库龄!B:K,9,0),0)</f>
        <v>0</v>
      </c>
      <c r="K399">
        <f>IFERROR(VLOOKUP(A399,库龄!B:L,10,0),0)</f>
        <v>0</v>
      </c>
      <c r="L399">
        <f>IFERROR(VLOOKUP(A399,库龄!B:M,11,0),0)</f>
        <v>0</v>
      </c>
      <c r="M399">
        <f>IFERROR(VLOOKUP(A399,库龄!B:N,12,0),0)</f>
        <v>0</v>
      </c>
      <c r="N399">
        <f t="shared" si="14"/>
        <v>0</v>
      </c>
    </row>
    <row r="400" spans="1:14">
      <c r="A400" s="3" t="s">
        <v>1324</v>
      </c>
      <c r="B400">
        <f>IFERROR(VLOOKUP(A400,管理亚马逊库存!A:K,11,0),"")</f>
        <v>0</v>
      </c>
      <c r="C400">
        <f>IFERROR(VLOOKUP(A400,管理亚马逊库存!A:L,12,0),"")</f>
        <v>0</v>
      </c>
      <c r="D400">
        <f>IFERROR(VLOOKUP(A400,管理亚马逊库存!A:Q,17,0),"")</f>
        <v>0</v>
      </c>
      <c r="E400">
        <f>IFERROR(VLOOKUP(A400,管理亚马逊库存!A:R,18,0),"")</f>
        <v>0</v>
      </c>
      <c r="F400">
        <f t="shared" si="13"/>
        <v>0</v>
      </c>
      <c r="G400">
        <f>IFERROR(VLOOKUP(A400,预留库存!A:G,7,0),0)</f>
        <v>0</v>
      </c>
      <c r="H400">
        <f>IFERROR(VLOOKUP(A400,预留库存!A:H,8,0),0)</f>
        <v>0</v>
      </c>
      <c r="I400">
        <f>IFERROR(VLOOKUP(A400,预留库存!A:F,6,0),0)</f>
        <v>0</v>
      </c>
      <c r="J400">
        <f>IFERROR(VLOOKUP(A400,库龄!B:K,9,0),0)</f>
        <v>0</v>
      </c>
      <c r="K400">
        <f>IFERROR(VLOOKUP(A400,库龄!B:L,10,0),0)</f>
        <v>0</v>
      </c>
      <c r="L400">
        <f>IFERROR(VLOOKUP(A400,库龄!B:M,11,0),0)</f>
        <v>0</v>
      </c>
      <c r="M400">
        <f>IFERROR(VLOOKUP(A400,库龄!B:N,12,0),0)</f>
        <v>0</v>
      </c>
      <c r="N400">
        <f t="shared" si="14"/>
        <v>0</v>
      </c>
    </row>
    <row r="401" spans="1:14">
      <c r="A401" s="3" t="s">
        <v>1327</v>
      </c>
      <c r="B401">
        <f>IFERROR(VLOOKUP(A401,管理亚马逊库存!A:K,11,0),"")</f>
        <v>0</v>
      </c>
      <c r="C401">
        <f>IFERROR(VLOOKUP(A401,管理亚马逊库存!A:L,12,0),"")</f>
        <v>0</v>
      </c>
      <c r="D401">
        <f>IFERROR(VLOOKUP(A401,管理亚马逊库存!A:Q,17,0),"")</f>
        <v>0</v>
      </c>
      <c r="E401">
        <f>IFERROR(VLOOKUP(A401,管理亚马逊库存!A:R,18,0),"")</f>
        <v>0</v>
      </c>
      <c r="F401">
        <f t="shared" si="13"/>
        <v>0</v>
      </c>
      <c r="G401">
        <f>IFERROR(VLOOKUP(A401,预留库存!A:G,7,0),0)</f>
        <v>0</v>
      </c>
      <c r="H401">
        <f>IFERROR(VLOOKUP(A401,预留库存!A:H,8,0),0)</f>
        <v>0</v>
      </c>
      <c r="I401">
        <f>IFERROR(VLOOKUP(A401,预留库存!A:F,6,0),0)</f>
        <v>0</v>
      </c>
      <c r="J401">
        <f>IFERROR(VLOOKUP(A401,库龄!B:K,9,0),0)</f>
        <v>0</v>
      </c>
      <c r="K401">
        <f>IFERROR(VLOOKUP(A401,库龄!B:L,10,0),0)</f>
        <v>0</v>
      </c>
      <c r="L401">
        <f>IFERROR(VLOOKUP(A401,库龄!B:M,11,0),0)</f>
        <v>0</v>
      </c>
      <c r="M401">
        <f>IFERROR(VLOOKUP(A401,库龄!B:N,12,0),0)</f>
        <v>0</v>
      </c>
      <c r="N401">
        <f t="shared" si="14"/>
        <v>0</v>
      </c>
    </row>
    <row r="402" spans="1:14">
      <c r="A402" s="3" t="s">
        <v>1330</v>
      </c>
      <c r="B402">
        <f>IFERROR(VLOOKUP(A402,管理亚马逊库存!A:K,11,0),"")</f>
        <v>0</v>
      </c>
      <c r="C402">
        <f>IFERROR(VLOOKUP(A402,管理亚马逊库存!A:L,12,0),"")</f>
        <v>0</v>
      </c>
      <c r="D402">
        <f>IFERROR(VLOOKUP(A402,管理亚马逊库存!A:Q,17,0),"")</f>
        <v>0</v>
      </c>
      <c r="E402">
        <f>IFERROR(VLOOKUP(A402,管理亚马逊库存!A:R,18,0),"")</f>
        <v>0</v>
      </c>
      <c r="F402">
        <f t="shared" si="13"/>
        <v>0</v>
      </c>
      <c r="G402">
        <f>IFERROR(VLOOKUP(A402,预留库存!A:G,7,0),0)</f>
        <v>0</v>
      </c>
      <c r="H402">
        <f>IFERROR(VLOOKUP(A402,预留库存!A:H,8,0),0)</f>
        <v>0</v>
      </c>
      <c r="I402">
        <f>IFERROR(VLOOKUP(A402,预留库存!A:F,6,0),0)</f>
        <v>0</v>
      </c>
      <c r="J402">
        <f>IFERROR(VLOOKUP(A402,库龄!B:K,9,0),0)</f>
        <v>0</v>
      </c>
      <c r="K402">
        <f>IFERROR(VLOOKUP(A402,库龄!B:L,10,0),0)</f>
        <v>0</v>
      </c>
      <c r="L402">
        <f>IFERROR(VLOOKUP(A402,库龄!B:M,11,0),0)</f>
        <v>0</v>
      </c>
      <c r="M402">
        <f>IFERROR(VLOOKUP(A402,库龄!B:N,12,0),0)</f>
        <v>0</v>
      </c>
      <c r="N402">
        <f t="shared" si="14"/>
        <v>0</v>
      </c>
    </row>
    <row r="403" spans="1:14">
      <c r="A403" s="3" t="s">
        <v>1332</v>
      </c>
      <c r="B403">
        <f>IFERROR(VLOOKUP(A403,管理亚马逊库存!A:K,11,0),"")</f>
        <v>0</v>
      </c>
      <c r="C403">
        <f>IFERROR(VLOOKUP(A403,管理亚马逊库存!A:L,12,0),"")</f>
        <v>0</v>
      </c>
      <c r="D403">
        <f>IFERROR(VLOOKUP(A403,管理亚马逊库存!A:Q,17,0),"")</f>
        <v>0</v>
      </c>
      <c r="E403">
        <f>IFERROR(VLOOKUP(A403,管理亚马逊库存!A:R,18,0),"")</f>
        <v>0</v>
      </c>
      <c r="F403">
        <f t="shared" si="13"/>
        <v>0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0</v>
      </c>
      <c r="J403">
        <f>IFERROR(VLOOKUP(A403,库龄!B:K,9,0),0)</f>
        <v>0</v>
      </c>
      <c r="K403">
        <f>IFERROR(VLOOKUP(A403,库龄!B:L,10,0),0)</f>
        <v>0</v>
      </c>
      <c r="L403">
        <f>IFERROR(VLOOKUP(A403,库龄!B:M,11,0),0)</f>
        <v>0</v>
      </c>
      <c r="M403">
        <f>IFERROR(VLOOKUP(A403,库龄!B:N,12,0),0)</f>
        <v>0</v>
      </c>
      <c r="N403">
        <f t="shared" si="14"/>
        <v>0</v>
      </c>
    </row>
    <row r="404" spans="1:14">
      <c r="A404" s="3" t="s">
        <v>1334</v>
      </c>
      <c r="B404">
        <f>IFERROR(VLOOKUP(A404,管理亚马逊库存!A:K,11,0),"")</f>
        <v>0</v>
      </c>
      <c r="C404">
        <f>IFERROR(VLOOKUP(A404,管理亚马逊库存!A:L,12,0),"")</f>
        <v>0</v>
      </c>
      <c r="D404">
        <f>IFERROR(VLOOKUP(A404,管理亚马逊库存!A:Q,17,0),"")</f>
        <v>0</v>
      </c>
      <c r="E404">
        <f>IFERROR(VLOOKUP(A404,管理亚马逊库存!A:R,18,0),"")</f>
        <v>0</v>
      </c>
      <c r="F404">
        <f t="shared" si="13"/>
        <v>0</v>
      </c>
      <c r="G404">
        <f>IFERROR(VLOOKUP(A404,预留库存!A:G,7,0),0)</f>
        <v>0</v>
      </c>
      <c r="H404">
        <f>IFERROR(VLOOKUP(A404,预留库存!A:H,8,0),0)</f>
        <v>0</v>
      </c>
      <c r="I404">
        <f>IFERROR(VLOOKUP(A404,预留库存!A:F,6,0),0)</f>
        <v>0</v>
      </c>
      <c r="J404">
        <f>IFERROR(VLOOKUP(A404,库龄!B:K,9,0),0)</f>
        <v>0</v>
      </c>
      <c r="K404">
        <f>IFERROR(VLOOKUP(A404,库龄!B:L,10,0),0)</f>
        <v>0</v>
      </c>
      <c r="L404">
        <f>IFERROR(VLOOKUP(A404,库龄!B:M,11,0),0)</f>
        <v>0</v>
      </c>
      <c r="M404">
        <f>IFERROR(VLOOKUP(A404,库龄!B:N,12,0),0)</f>
        <v>0</v>
      </c>
      <c r="N404">
        <f t="shared" si="14"/>
        <v>0</v>
      </c>
    </row>
    <row r="405" spans="1:14">
      <c r="A405" s="3" t="s">
        <v>1337</v>
      </c>
      <c r="B405">
        <f>IFERROR(VLOOKUP(A405,管理亚马逊库存!A:K,11,0),"")</f>
        <v>0</v>
      </c>
      <c r="C405">
        <f>IFERROR(VLOOKUP(A405,管理亚马逊库存!A:L,12,0),"")</f>
        <v>0</v>
      </c>
      <c r="D405">
        <f>IFERROR(VLOOKUP(A405,管理亚马逊库存!A:Q,17,0),"")</f>
        <v>0</v>
      </c>
      <c r="E405">
        <f>IFERROR(VLOOKUP(A405,管理亚马逊库存!A:R,18,0),"")</f>
        <v>0</v>
      </c>
      <c r="F405">
        <f t="shared" si="13"/>
        <v>0</v>
      </c>
      <c r="G405">
        <f>IFERROR(VLOOKUP(A405,预留库存!A:G,7,0),0)</f>
        <v>0</v>
      </c>
      <c r="H405">
        <f>IFERROR(VLOOKUP(A405,预留库存!A:H,8,0),0)</f>
        <v>0</v>
      </c>
      <c r="I405">
        <f>IFERROR(VLOOKUP(A405,预留库存!A:F,6,0),0)</f>
        <v>0</v>
      </c>
      <c r="J405">
        <f>IFERROR(VLOOKUP(A405,库龄!B:K,9,0),0)</f>
        <v>0</v>
      </c>
      <c r="K405">
        <f>IFERROR(VLOOKUP(A405,库龄!B:L,10,0),0)</f>
        <v>0</v>
      </c>
      <c r="L405">
        <f>IFERROR(VLOOKUP(A405,库龄!B:M,11,0),0)</f>
        <v>0</v>
      </c>
      <c r="M405">
        <f>IFERROR(VLOOKUP(A405,库龄!B:N,12,0),0)</f>
        <v>0</v>
      </c>
      <c r="N405">
        <f t="shared" si="14"/>
        <v>0</v>
      </c>
    </row>
    <row r="406" spans="1:14">
      <c r="A406" s="3" t="s">
        <v>1340</v>
      </c>
      <c r="B406">
        <f>IFERROR(VLOOKUP(A406,管理亚马逊库存!A:K,11,0),"")</f>
        <v>0</v>
      </c>
      <c r="C406">
        <f>IFERROR(VLOOKUP(A406,管理亚马逊库存!A:L,12,0),"")</f>
        <v>0</v>
      </c>
      <c r="D406">
        <f>IFERROR(VLOOKUP(A406,管理亚马逊库存!A:Q,17,0),"")</f>
        <v>0</v>
      </c>
      <c r="E406">
        <f>IFERROR(VLOOKUP(A406,管理亚马逊库存!A:R,18,0),"")</f>
        <v>0</v>
      </c>
      <c r="F406">
        <f t="shared" si="13"/>
        <v>0</v>
      </c>
      <c r="G406">
        <f>IFERROR(VLOOKUP(A406,预留库存!A:G,7,0),0)</f>
        <v>0</v>
      </c>
      <c r="H406">
        <f>IFERROR(VLOOKUP(A406,预留库存!A:H,8,0),0)</f>
        <v>0</v>
      </c>
      <c r="I406">
        <f>IFERROR(VLOOKUP(A406,预留库存!A:F,6,0),0)</f>
        <v>0</v>
      </c>
      <c r="J406">
        <f>IFERROR(VLOOKUP(A406,库龄!B:K,9,0),0)</f>
        <v>0</v>
      </c>
      <c r="K406">
        <f>IFERROR(VLOOKUP(A406,库龄!B:L,10,0),0)</f>
        <v>0</v>
      </c>
      <c r="L406">
        <f>IFERROR(VLOOKUP(A406,库龄!B:M,11,0),0)</f>
        <v>0</v>
      </c>
      <c r="M406">
        <f>IFERROR(VLOOKUP(A406,库龄!B:N,12,0),0)</f>
        <v>0</v>
      </c>
      <c r="N406">
        <f t="shared" si="14"/>
        <v>0</v>
      </c>
    </row>
    <row r="407" spans="1:14">
      <c r="A407" s="3" t="s">
        <v>1344</v>
      </c>
      <c r="B407">
        <f>IFERROR(VLOOKUP(A407,管理亚马逊库存!A:K,11,0),"")</f>
        <v>0</v>
      </c>
      <c r="C407">
        <f>IFERROR(VLOOKUP(A407,管理亚马逊库存!A:L,12,0),"")</f>
        <v>0</v>
      </c>
      <c r="D407">
        <f>IFERROR(VLOOKUP(A407,管理亚马逊库存!A:Q,17,0),"")</f>
        <v>0</v>
      </c>
      <c r="E407">
        <f>IFERROR(VLOOKUP(A407,管理亚马逊库存!A:R,18,0),"")</f>
        <v>0</v>
      </c>
      <c r="F407">
        <f t="shared" si="13"/>
        <v>0</v>
      </c>
      <c r="G407">
        <f>IFERROR(VLOOKUP(A407,预留库存!A:G,7,0),0)</f>
        <v>0</v>
      </c>
      <c r="H407">
        <f>IFERROR(VLOOKUP(A407,预留库存!A:H,8,0),0)</f>
        <v>0</v>
      </c>
      <c r="I407">
        <f>IFERROR(VLOOKUP(A407,预留库存!A:F,6,0),0)</f>
        <v>0</v>
      </c>
      <c r="J407">
        <f>IFERROR(VLOOKUP(A407,库龄!B:K,9,0),0)</f>
        <v>0</v>
      </c>
      <c r="K407">
        <f>IFERROR(VLOOKUP(A407,库龄!B:L,10,0),0)</f>
        <v>0</v>
      </c>
      <c r="L407">
        <f>IFERROR(VLOOKUP(A407,库龄!B:M,11,0),0)</f>
        <v>0</v>
      </c>
      <c r="M407">
        <f>IFERROR(VLOOKUP(A407,库龄!B:N,12,0),0)</f>
        <v>0</v>
      </c>
      <c r="N407">
        <f t="shared" si="14"/>
        <v>0</v>
      </c>
    </row>
    <row r="408" spans="1:14">
      <c r="A408" s="3" t="s">
        <v>1347</v>
      </c>
      <c r="B408">
        <f>IFERROR(VLOOKUP(A408,管理亚马逊库存!A:K,11,0),"")</f>
        <v>0</v>
      </c>
      <c r="C408">
        <f>IFERROR(VLOOKUP(A408,管理亚马逊库存!A:L,12,0),"")</f>
        <v>0</v>
      </c>
      <c r="D408">
        <f>IFERROR(VLOOKUP(A408,管理亚马逊库存!A:Q,17,0),"")</f>
        <v>0</v>
      </c>
      <c r="E408">
        <f>IFERROR(VLOOKUP(A408,管理亚马逊库存!A:R,18,0),"")</f>
        <v>0</v>
      </c>
      <c r="F408">
        <f t="shared" si="13"/>
        <v>0</v>
      </c>
      <c r="G408">
        <f>IFERROR(VLOOKUP(A408,预留库存!A:G,7,0),0)</f>
        <v>0</v>
      </c>
      <c r="H408">
        <f>IFERROR(VLOOKUP(A408,预留库存!A:H,8,0),0)</f>
        <v>0</v>
      </c>
      <c r="I408">
        <f>IFERROR(VLOOKUP(A408,预留库存!A:F,6,0),0)</f>
        <v>0</v>
      </c>
      <c r="J408">
        <f>IFERROR(VLOOKUP(A408,库龄!B:K,9,0),0)</f>
        <v>0</v>
      </c>
      <c r="K408">
        <f>IFERROR(VLOOKUP(A408,库龄!B:L,10,0),0)</f>
        <v>0</v>
      </c>
      <c r="L408">
        <f>IFERROR(VLOOKUP(A408,库龄!B:M,11,0),0)</f>
        <v>0</v>
      </c>
      <c r="M408">
        <f>IFERROR(VLOOKUP(A408,库龄!B:N,12,0),0)</f>
        <v>0</v>
      </c>
      <c r="N408">
        <f t="shared" si="14"/>
        <v>0</v>
      </c>
    </row>
    <row r="409" spans="1:14">
      <c r="A409" s="3" t="s">
        <v>1350</v>
      </c>
      <c r="B409">
        <f>IFERROR(VLOOKUP(A409,管理亚马逊库存!A:K,11,0),"")</f>
        <v>0</v>
      </c>
      <c r="C409">
        <f>IFERROR(VLOOKUP(A409,管理亚马逊库存!A:L,12,0),"")</f>
        <v>0</v>
      </c>
      <c r="D409">
        <f>IFERROR(VLOOKUP(A409,管理亚马逊库存!A:Q,17,0),"")</f>
        <v>0</v>
      </c>
      <c r="E409">
        <f>IFERROR(VLOOKUP(A409,管理亚马逊库存!A:R,18,0),"")</f>
        <v>0</v>
      </c>
      <c r="F409">
        <f t="shared" si="13"/>
        <v>0</v>
      </c>
      <c r="G409">
        <f>IFERROR(VLOOKUP(A409,预留库存!A:G,7,0),0)</f>
        <v>0</v>
      </c>
      <c r="H409">
        <f>IFERROR(VLOOKUP(A409,预留库存!A:H,8,0),0)</f>
        <v>0</v>
      </c>
      <c r="I409">
        <f>IFERROR(VLOOKUP(A409,预留库存!A:F,6,0),0)</f>
        <v>0</v>
      </c>
      <c r="J409">
        <f>IFERROR(VLOOKUP(A409,库龄!B:K,9,0),0)</f>
        <v>0</v>
      </c>
      <c r="K409">
        <f>IFERROR(VLOOKUP(A409,库龄!B:L,10,0),0)</f>
        <v>0</v>
      </c>
      <c r="L409">
        <f>IFERROR(VLOOKUP(A409,库龄!B:M,11,0),0)</f>
        <v>0</v>
      </c>
      <c r="M409">
        <f>IFERROR(VLOOKUP(A409,库龄!B:N,12,0),0)</f>
        <v>0</v>
      </c>
      <c r="N409">
        <f t="shared" si="14"/>
        <v>0</v>
      </c>
    </row>
    <row r="410" spans="1:14">
      <c r="A410" s="3" t="s">
        <v>1353</v>
      </c>
      <c r="B410">
        <f>IFERROR(VLOOKUP(A410,管理亚马逊库存!A:K,11,0),"")</f>
        <v>0</v>
      </c>
      <c r="C410">
        <f>IFERROR(VLOOKUP(A410,管理亚马逊库存!A:L,12,0),"")</f>
        <v>0</v>
      </c>
      <c r="D410">
        <f>IFERROR(VLOOKUP(A410,管理亚马逊库存!A:Q,17,0),"")</f>
        <v>0</v>
      </c>
      <c r="E410">
        <f>IFERROR(VLOOKUP(A410,管理亚马逊库存!A:R,18,0),"")</f>
        <v>0</v>
      </c>
      <c r="F410">
        <f t="shared" si="13"/>
        <v>0</v>
      </c>
      <c r="G410">
        <f>IFERROR(VLOOKUP(A410,预留库存!A:G,7,0),0)</f>
        <v>0</v>
      </c>
      <c r="H410">
        <f>IFERROR(VLOOKUP(A410,预留库存!A:H,8,0),0)</f>
        <v>0</v>
      </c>
      <c r="I410">
        <f>IFERROR(VLOOKUP(A410,预留库存!A:F,6,0),0)</f>
        <v>0</v>
      </c>
      <c r="J410">
        <f>IFERROR(VLOOKUP(A410,库龄!B:K,9,0),0)</f>
        <v>0</v>
      </c>
      <c r="K410">
        <f>IFERROR(VLOOKUP(A410,库龄!B:L,10,0),0)</f>
        <v>0</v>
      </c>
      <c r="L410">
        <f>IFERROR(VLOOKUP(A410,库龄!B:M,11,0),0)</f>
        <v>0</v>
      </c>
      <c r="M410">
        <f>IFERROR(VLOOKUP(A410,库龄!B:N,12,0),0)</f>
        <v>0</v>
      </c>
      <c r="N410">
        <f t="shared" si="14"/>
        <v>0</v>
      </c>
    </row>
    <row r="411" spans="1:14">
      <c r="A411" s="3" t="s">
        <v>1356</v>
      </c>
      <c r="B411">
        <f>IFERROR(VLOOKUP(A411,管理亚马逊库存!A:K,11,0),"")</f>
        <v>0</v>
      </c>
      <c r="C411">
        <f>IFERROR(VLOOKUP(A411,管理亚马逊库存!A:L,12,0),"")</f>
        <v>0</v>
      </c>
      <c r="D411">
        <f>IFERROR(VLOOKUP(A411,管理亚马逊库存!A:Q,17,0),"")</f>
        <v>0</v>
      </c>
      <c r="E411">
        <f>IFERROR(VLOOKUP(A411,管理亚马逊库存!A:R,18,0),"")</f>
        <v>0</v>
      </c>
      <c r="F411">
        <f t="shared" si="13"/>
        <v>0</v>
      </c>
      <c r="G411">
        <f>IFERROR(VLOOKUP(A411,预留库存!A:G,7,0),0)</f>
        <v>0</v>
      </c>
      <c r="H411">
        <f>IFERROR(VLOOKUP(A411,预留库存!A:H,8,0),0)</f>
        <v>0</v>
      </c>
      <c r="I411">
        <f>IFERROR(VLOOKUP(A411,预留库存!A:F,6,0),0)</f>
        <v>0</v>
      </c>
      <c r="J411">
        <f>IFERROR(VLOOKUP(A411,库龄!B:K,9,0),0)</f>
        <v>0</v>
      </c>
      <c r="K411">
        <f>IFERROR(VLOOKUP(A411,库龄!B:L,10,0),0)</f>
        <v>0</v>
      </c>
      <c r="L411">
        <f>IFERROR(VLOOKUP(A411,库龄!B:M,11,0),0)</f>
        <v>0</v>
      </c>
      <c r="M411">
        <f>IFERROR(VLOOKUP(A411,库龄!B:N,12,0),0)</f>
        <v>0</v>
      </c>
      <c r="N411">
        <f t="shared" si="14"/>
        <v>0</v>
      </c>
    </row>
    <row r="412" spans="1:14">
      <c r="A412" s="3" t="s">
        <v>1359</v>
      </c>
      <c r="B412">
        <f>IFERROR(VLOOKUP(A412,管理亚马逊库存!A:K,11,0),"")</f>
        <v>0</v>
      </c>
      <c r="C412">
        <f>IFERROR(VLOOKUP(A412,管理亚马逊库存!A:L,12,0),"")</f>
        <v>0</v>
      </c>
      <c r="D412">
        <f>IFERROR(VLOOKUP(A412,管理亚马逊库存!A:Q,17,0),"")</f>
        <v>0</v>
      </c>
      <c r="E412">
        <f>IFERROR(VLOOKUP(A412,管理亚马逊库存!A:R,18,0),"")</f>
        <v>0</v>
      </c>
      <c r="F412">
        <f t="shared" si="13"/>
        <v>0</v>
      </c>
      <c r="G412">
        <f>IFERROR(VLOOKUP(A412,预留库存!A:G,7,0),0)</f>
        <v>0</v>
      </c>
      <c r="H412">
        <f>IFERROR(VLOOKUP(A412,预留库存!A:H,8,0),0)</f>
        <v>0</v>
      </c>
      <c r="I412">
        <f>IFERROR(VLOOKUP(A412,预留库存!A:F,6,0),0)</f>
        <v>0</v>
      </c>
      <c r="J412">
        <f>IFERROR(VLOOKUP(A412,库龄!B:K,9,0),0)</f>
        <v>0</v>
      </c>
      <c r="K412">
        <f>IFERROR(VLOOKUP(A412,库龄!B:L,10,0),0)</f>
        <v>0</v>
      </c>
      <c r="L412">
        <f>IFERROR(VLOOKUP(A412,库龄!B:M,11,0),0)</f>
        <v>0</v>
      </c>
      <c r="M412">
        <f>IFERROR(VLOOKUP(A412,库龄!B:N,12,0),0)</f>
        <v>0</v>
      </c>
      <c r="N412">
        <f t="shared" si="14"/>
        <v>0</v>
      </c>
    </row>
    <row r="413" spans="1:14">
      <c r="A413" s="3" t="s">
        <v>1362</v>
      </c>
      <c r="B413">
        <f>IFERROR(VLOOKUP(A413,管理亚马逊库存!A:K,11,0),"")</f>
        <v>0</v>
      </c>
      <c r="C413">
        <f>IFERROR(VLOOKUP(A413,管理亚马逊库存!A:L,12,0),"")</f>
        <v>0</v>
      </c>
      <c r="D413">
        <f>IFERROR(VLOOKUP(A413,管理亚马逊库存!A:Q,17,0),"")</f>
        <v>0</v>
      </c>
      <c r="E413">
        <f>IFERROR(VLOOKUP(A413,管理亚马逊库存!A:R,18,0),"")</f>
        <v>0</v>
      </c>
      <c r="F413">
        <f t="shared" si="13"/>
        <v>0</v>
      </c>
      <c r="G413">
        <f>IFERROR(VLOOKUP(A413,预留库存!A:G,7,0),0)</f>
        <v>0</v>
      </c>
      <c r="H413">
        <f>IFERROR(VLOOKUP(A413,预留库存!A:H,8,0),0)</f>
        <v>0</v>
      </c>
      <c r="I413">
        <f>IFERROR(VLOOKUP(A413,预留库存!A:F,6,0),0)</f>
        <v>0</v>
      </c>
      <c r="J413">
        <f>IFERROR(VLOOKUP(A413,库龄!B:K,9,0),0)</f>
        <v>0</v>
      </c>
      <c r="K413">
        <f>IFERROR(VLOOKUP(A413,库龄!B:L,10,0),0)</f>
        <v>0</v>
      </c>
      <c r="L413">
        <f>IFERROR(VLOOKUP(A413,库龄!B:M,11,0),0)</f>
        <v>0</v>
      </c>
      <c r="M413">
        <f>IFERROR(VLOOKUP(A413,库龄!B:N,12,0),0)</f>
        <v>0</v>
      </c>
      <c r="N413">
        <f t="shared" si="14"/>
        <v>0</v>
      </c>
    </row>
    <row r="414" spans="1:14">
      <c r="A414" s="3" t="s">
        <v>1365</v>
      </c>
      <c r="B414">
        <f>IFERROR(VLOOKUP(A414,管理亚马逊库存!A:K,11,0),"")</f>
        <v>0</v>
      </c>
      <c r="C414">
        <f>IFERROR(VLOOKUP(A414,管理亚马逊库存!A:L,12,0),"")</f>
        <v>0</v>
      </c>
      <c r="D414">
        <f>IFERROR(VLOOKUP(A414,管理亚马逊库存!A:Q,17,0),"")</f>
        <v>0</v>
      </c>
      <c r="E414">
        <f>IFERROR(VLOOKUP(A414,管理亚马逊库存!A:R,18,0),"")</f>
        <v>0</v>
      </c>
      <c r="F414">
        <f t="shared" si="13"/>
        <v>0</v>
      </c>
      <c r="G414">
        <f>IFERROR(VLOOKUP(A414,预留库存!A:G,7,0),0)</f>
        <v>0</v>
      </c>
      <c r="H414">
        <f>IFERROR(VLOOKUP(A414,预留库存!A:H,8,0),0)</f>
        <v>0</v>
      </c>
      <c r="I414">
        <f>IFERROR(VLOOKUP(A414,预留库存!A:F,6,0),0)</f>
        <v>0</v>
      </c>
      <c r="J414">
        <f>IFERROR(VLOOKUP(A414,库龄!B:K,9,0),0)</f>
        <v>0</v>
      </c>
      <c r="K414">
        <f>IFERROR(VLOOKUP(A414,库龄!B:L,10,0),0)</f>
        <v>0</v>
      </c>
      <c r="L414">
        <f>IFERROR(VLOOKUP(A414,库龄!B:M,11,0),0)</f>
        <v>0</v>
      </c>
      <c r="M414">
        <f>IFERROR(VLOOKUP(A414,库龄!B:N,12,0),0)</f>
        <v>0</v>
      </c>
      <c r="N414">
        <f t="shared" si="14"/>
        <v>0</v>
      </c>
    </row>
    <row r="415" spans="1:14">
      <c r="A415" s="3" t="s">
        <v>1368</v>
      </c>
      <c r="B415">
        <f>IFERROR(VLOOKUP(A415,管理亚马逊库存!A:K,11,0),"")</f>
        <v>0</v>
      </c>
      <c r="C415">
        <f>IFERROR(VLOOKUP(A415,管理亚马逊库存!A:L,12,0),"")</f>
        <v>0</v>
      </c>
      <c r="D415">
        <f>IFERROR(VLOOKUP(A415,管理亚马逊库存!A:Q,17,0),"")</f>
        <v>0</v>
      </c>
      <c r="E415">
        <f>IFERROR(VLOOKUP(A415,管理亚马逊库存!A:R,18,0),"")</f>
        <v>0</v>
      </c>
      <c r="F415">
        <f t="shared" si="13"/>
        <v>0</v>
      </c>
      <c r="G415">
        <f>IFERROR(VLOOKUP(A415,预留库存!A:G,7,0),0)</f>
        <v>0</v>
      </c>
      <c r="H415">
        <f>IFERROR(VLOOKUP(A415,预留库存!A:H,8,0),0)</f>
        <v>0</v>
      </c>
      <c r="I415">
        <f>IFERROR(VLOOKUP(A415,预留库存!A:F,6,0),0)</f>
        <v>0</v>
      </c>
      <c r="J415">
        <f>IFERROR(VLOOKUP(A415,库龄!B:K,9,0),0)</f>
        <v>0</v>
      </c>
      <c r="K415">
        <f>IFERROR(VLOOKUP(A415,库龄!B:L,10,0),0)</f>
        <v>0</v>
      </c>
      <c r="L415">
        <f>IFERROR(VLOOKUP(A415,库龄!B:M,11,0),0)</f>
        <v>0</v>
      </c>
      <c r="M415">
        <f>IFERROR(VLOOKUP(A415,库龄!B:N,12,0),0)</f>
        <v>0</v>
      </c>
      <c r="N415">
        <f t="shared" si="14"/>
        <v>0</v>
      </c>
    </row>
    <row r="416" spans="1:14">
      <c r="A416" s="3" t="s">
        <v>1371</v>
      </c>
      <c r="B416">
        <f>IFERROR(VLOOKUP(A416,管理亚马逊库存!A:K,11,0),"")</f>
        <v>0</v>
      </c>
      <c r="C416">
        <f>IFERROR(VLOOKUP(A416,管理亚马逊库存!A:L,12,0),"")</f>
        <v>0</v>
      </c>
      <c r="D416">
        <f>IFERROR(VLOOKUP(A416,管理亚马逊库存!A:Q,17,0),"")</f>
        <v>0</v>
      </c>
      <c r="E416">
        <f>IFERROR(VLOOKUP(A416,管理亚马逊库存!A:R,18,0),"")</f>
        <v>0</v>
      </c>
      <c r="F416">
        <f t="shared" si="13"/>
        <v>0</v>
      </c>
      <c r="G416">
        <f>IFERROR(VLOOKUP(A416,预留库存!A:G,7,0),0)</f>
        <v>0</v>
      </c>
      <c r="H416">
        <f>IFERROR(VLOOKUP(A416,预留库存!A:H,8,0),0)</f>
        <v>0</v>
      </c>
      <c r="I416">
        <f>IFERROR(VLOOKUP(A416,预留库存!A:F,6,0),0)</f>
        <v>0</v>
      </c>
      <c r="J416">
        <f>IFERROR(VLOOKUP(A416,库龄!B:K,9,0),0)</f>
        <v>0</v>
      </c>
      <c r="K416">
        <f>IFERROR(VLOOKUP(A416,库龄!B:L,10,0),0)</f>
        <v>0</v>
      </c>
      <c r="L416">
        <f>IFERROR(VLOOKUP(A416,库龄!B:M,11,0),0)</f>
        <v>0</v>
      </c>
      <c r="M416">
        <f>IFERROR(VLOOKUP(A416,库龄!B:N,12,0),0)</f>
        <v>0</v>
      </c>
      <c r="N416">
        <f t="shared" si="14"/>
        <v>0</v>
      </c>
    </row>
    <row r="417" spans="1:14">
      <c r="A417" s="3" t="s">
        <v>1374</v>
      </c>
      <c r="B417">
        <f>IFERROR(VLOOKUP(A417,管理亚马逊库存!A:K,11,0),"")</f>
        <v>0</v>
      </c>
      <c r="C417">
        <f>IFERROR(VLOOKUP(A417,管理亚马逊库存!A:L,12,0),"")</f>
        <v>0</v>
      </c>
      <c r="D417">
        <f>IFERROR(VLOOKUP(A417,管理亚马逊库存!A:Q,17,0),"")</f>
        <v>0</v>
      </c>
      <c r="E417">
        <f>IFERROR(VLOOKUP(A417,管理亚马逊库存!A:R,18,0),"")</f>
        <v>0</v>
      </c>
      <c r="F417">
        <f t="shared" si="13"/>
        <v>0</v>
      </c>
      <c r="G417">
        <f>IFERROR(VLOOKUP(A417,预留库存!A:G,7,0),0)</f>
        <v>0</v>
      </c>
      <c r="H417">
        <f>IFERROR(VLOOKUP(A417,预留库存!A:H,8,0),0)</f>
        <v>0</v>
      </c>
      <c r="I417">
        <f>IFERROR(VLOOKUP(A417,预留库存!A:F,6,0),0)</f>
        <v>0</v>
      </c>
      <c r="J417">
        <f>IFERROR(VLOOKUP(A417,库龄!B:K,9,0),0)</f>
        <v>0</v>
      </c>
      <c r="K417">
        <f>IFERROR(VLOOKUP(A417,库龄!B:L,10,0),0)</f>
        <v>0</v>
      </c>
      <c r="L417">
        <f>IFERROR(VLOOKUP(A417,库龄!B:M,11,0),0)</f>
        <v>0</v>
      </c>
      <c r="M417">
        <f>IFERROR(VLOOKUP(A417,库龄!B:N,12,0),0)</f>
        <v>0</v>
      </c>
      <c r="N417">
        <f t="shared" si="14"/>
        <v>0</v>
      </c>
    </row>
    <row r="418" spans="1:14">
      <c r="A418" s="3" t="s">
        <v>1377</v>
      </c>
      <c r="B418">
        <f>IFERROR(VLOOKUP(A418,管理亚马逊库存!A:K,11,0),"")</f>
        <v>0</v>
      </c>
      <c r="C418">
        <f>IFERROR(VLOOKUP(A418,管理亚马逊库存!A:L,12,0),"")</f>
        <v>0</v>
      </c>
      <c r="D418">
        <f>IFERROR(VLOOKUP(A418,管理亚马逊库存!A:Q,17,0),"")</f>
        <v>0</v>
      </c>
      <c r="E418">
        <f>IFERROR(VLOOKUP(A418,管理亚马逊库存!A:R,18,0),"")</f>
        <v>0</v>
      </c>
      <c r="F418">
        <f t="shared" si="13"/>
        <v>0</v>
      </c>
      <c r="G418">
        <f>IFERROR(VLOOKUP(A418,预留库存!A:G,7,0),0)</f>
        <v>0</v>
      </c>
      <c r="H418">
        <f>IFERROR(VLOOKUP(A418,预留库存!A:H,8,0),0)</f>
        <v>0</v>
      </c>
      <c r="I418">
        <f>IFERROR(VLOOKUP(A418,预留库存!A:F,6,0),0)</f>
        <v>0</v>
      </c>
      <c r="J418">
        <f>IFERROR(VLOOKUP(A418,库龄!B:K,9,0),0)</f>
        <v>0</v>
      </c>
      <c r="K418">
        <f>IFERROR(VLOOKUP(A418,库龄!B:L,10,0),0)</f>
        <v>0</v>
      </c>
      <c r="L418">
        <f>IFERROR(VLOOKUP(A418,库龄!B:M,11,0),0)</f>
        <v>0</v>
      </c>
      <c r="M418">
        <f>IFERROR(VLOOKUP(A418,库龄!B:N,12,0),0)</f>
        <v>0</v>
      </c>
      <c r="N418">
        <f t="shared" si="14"/>
        <v>0</v>
      </c>
    </row>
    <row r="419" spans="1:14">
      <c r="A419" s="3" t="s">
        <v>1380</v>
      </c>
      <c r="B419">
        <f>IFERROR(VLOOKUP(A419,管理亚马逊库存!A:K,11,0),"")</f>
        <v>0</v>
      </c>
      <c r="C419">
        <f>IFERROR(VLOOKUP(A419,管理亚马逊库存!A:L,12,0),"")</f>
        <v>0</v>
      </c>
      <c r="D419">
        <f>IFERROR(VLOOKUP(A419,管理亚马逊库存!A:Q,17,0),"")</f>
        <v>0</v>
      </c>
      <c r="E419">
        <f>IFERROR(VLOOKUP(A419,管理亚马逊库存!A:R,18,0),"")</f>
        <v>0</v>
      </c>
      <c r="F419">
        <f t="shared" si="13"/>
        <v>0</v>
      </c>
      <c r="G419">
        <f>IFERROR(VLOOKUP(A419,预留库存!A:G,7,0),0)</f>
        <v>0</v>
      </c>
      <c r="H419">
        <f>IFERROR(VLOOKUP(A419,预留库存!A:H,8,0),0)</f>
        <v>0</v>
      </c>
      <c r="I419">
        <f>IFERROR(VLOOKUP(A419,预留库存!A:F,6,0),0)</f>
        <v>0</v>
      </c>
      <c r="J419">
        <f>IFERROR(VLOOKUP(A419,库龄!B:K,9,0),0)</f>
        <v>0</v>
      </c>
      <c r="K419">
        <f>IFERROR(VLOOKUP(A419,库龄!B:L,10,0),0)</f>
        <v>0</v>
      </c>
      <c r="L419">
        <f>IFERROR(VLOOKUP(A419,库龄!B:M,11,0),0)</f>
        <v>0</v>
      </c>
      <c r="M419">
        <f>IFERROR(VLOOKUP(A419,库龄!B:N,12,0),0)</f>
        <v>0</v>
      </c>
      <c r="N419">
        <f t="shared" si="14"/>
        <v>0</v>
      </c>
    </row>
    <row r="420" spans="1:14">
      <c r="A420" s="3" t="s">
        <v>1383</v>
      </c>
      <c r="B420">
        <f>IFERROR(VLOOKUP(A420,管理亚马逊库存!A:K,11,0),"")</f>
        <v>0</v>
      </c>
      <c r="C420">
        <f>IFERROR(VLOOKUP(A420,管理亚马逊库存!A:L,12,0),"")</f>
        <v>0</v>
      </c>
      <c r="D420">
        <f>IFERROR(VLOOKUP(A420,管理亚马逊库存!A:Q,17,0),"")</f>
        <v>0</v>
      </c>
      <c r="E420">
        <f>IFERROR(VLOOKUP(A420,管理亚马逊库存!A:R,18,0),"")</f>
        <v>0</v>
      </c>
      <c r="F420">
        <f t="shared" si="13"/>
        <v>0</v>
      </c>
      <c r="G420">
        <f>IFERROR(VLOOKUP(A420,预留库存!A:G,7,0),0)</f>
        <v>0</v>
      </c>
      <c r="H420">
        <f>IFERROR(VLOOKUP(A420,预留库存!A:H,8,0),0)</f>
        <v>0</v>
      </c>
      <c r="I420">
        <f>IFERROR(VLOOKUP(A420,预留库存!A:F,6,0),0)</f>
        <v>0</v>
      </c>
      <c r="J420">
        <f>IFERROR(VLOOKUP(A420,库龄!B:K,9,0),0)</f>
        <v>0</v>
      </c>
      <c r="K420">
        <f>IFERROR(VLOOKUP(A420,库龄!B:L,10,0),0)</f>
        <v>0</v>
      </c>
      <c r="L420">
        <f>IFERROR(VLOOKUP(A420,库龄!B:M,11,0),0)</f>
        <v>0</v>
      </c>
      <c r="M420">
        <f>IFERROR(VLOOKUP(A420,库龄!B:N,12,0),0)</f>
        <v>0</v>
      </c>
      <c r="N420">
        <f t="shared" si="14"/>
        <v>0</v>
      </c>
    </row>
    <row r="421" spans="1:14">
      <c r="A421" s="3" t="s">
        <v>1386</v>
      </c>
      <c r="B421">
        <f>IFERROR(VLOOKUP(A421,管理亚马逊库存!A:K,11,0),"")</f>
        <v>0</v>
      </c>
      <c r="C421">
        <f>IFERROR(VLOOKUP(A421,管理亚马逊库存!A:L,12,0),"")</f>
        <v>0</v>
      </c>
      <c r="D421">
        <f>IFERROR(VLOOKUP(A421,管理亚马逊库存!A:Q,17,0),"")</f>
        <v>0</v>
      </c>
      <c r="E421">
        <f>IFERROR(VLOOKUP(A421,管理亚马逊库存!A:R,18,0),"")</f>
        <v>0</v>
      </c>
      <c r="F421">
        <f t="shared" si="13"/>
        <v>0</v>
      </c>
      <c r="G421">
        <f>IFERROR(VLOOKUP(A421,预留库存!A:G,7,0),0)</f>
        <v>0</v>
      </c>
      <c r="H421">
        <f>IFERROR(VLOOKUP(A421,预留库存!A:H,8,0),0)</f>
        <v>0</v>
      </c>
      <c r="I421">
        <f>IFERROR(VLOOKUP(A421,预留库存!A:F,6,0),0)</f>
        <v>0</v>
      </c>
      <c r="J421">
        <f>IFERROR(VLOOKUP(A421,库龄!B:K,9,0),0)</f>
        <v>0</v>
      </c>
      <c r="K421">
        <f>IFERROR(VLOOKUP(A421,库龄!B:L,10,0),0)</f>
        <v>0</v>
      </c>
      <c r="L421">
        <f>IFERROR(VLOOKUP(A421,库龄!B:M,11,0),0)</f>
        <v>0</v>
      </c>
      <c r="M421">
        <f>IFERROR(VLOOKUP(A421,库龄!B:N,12,0),0)</f>
        <v>0</v>
      </c>
      <c r="N421">
        <f t="shared" si="14"/>
        <v>0</v>
      </c>
    </row>
    <row r="422" spans="1:14">
      <c r="A422" s="3" t="s">
        <v>1389</v>
      </c>
      <c r="B422">
        <f>IFERROR(VLOOKUP(A422,管理亚马逊库存!A:K,11,0),"")</f>
        <v>0</v>
      </c>
      <c r="C422">
        <f>IFERROR(VLOOKUP(A422,管理亚马逊库存!A:L,12,0),"")</f>
        <v>0</v>
      </c>
      <c r="D422">
        <f>IFERROR(VLOOKUP(A422,管理亚马逊库存!A:Q,17,0),"")</f>
        <v>0</v>
      </c>
      <c r="E422">
        <f>IFERROR(VLOOKUP(A422,管理亚马逊库存!A:R,18,0),"")</f>
        <v>0</v>
      </c>
      <c r="F422">
        <f t="shared" si="13"/>
        <v>0</v>
      </c>
      <c r="G422">
        <f>IFERROR(VLOOKUP(A422,预留库存!A:G,7,0),0)</f>
        <v>0</v>
      </c>
      <c r="H422">
        <f>IFERROR(VLOOKUP(A422,预留库存!A:H,8,0),0)</f>
        <v>0</v>
      </c>
      <c r="I422">
        <f>IFERROR(VLOOKUP(A422,预留库存!A:F,6,0),0)</f>
        <v>0</v>
      </c>
      <c r="J422">
        <f>IFERROR(VLOOKUP(A422,库龄!B:K,9,0),0)</f>
        <v>0</v>
      </c>
      <c r="K422">
        <f>IFERROR(VLOOKUP(A422,库龄!B:L,10,0),0)</f>
        <v>0</v>
      </c>
      <c r="L422">
        <f>IFERROR(VLOOKUP(A422,库龄!B:M,11,0),0)</f>
        <v>0</v>
      </c>
      <c r="M422">
        <f>IFERROR(VLOOKUP(A422,库龄!B:N,12,0),0)</f>
        <v>0</v>
      </c>
      <c r="N422">
        <f t="shared" si="14"/>
        <v>0</v>
      </c>
    </row>
    <row r="423" spans="1:14">
      <c r="A423" s="3" t="s">
        <v>1392</v>
      </c>
      <c r="B423">
        <f>IFERROR(VLOOKUP(A423,管理亚马逊库存!A:K,11,0),"")</f>
        <v>0</v>
      </c>
      <c r="C423">
        <f>IFERROR(VLOOKUP(A423,管理亚马逊库存!A:L,12,0),"")</f>
        <v>0</v>
      </c>
      <c r="D423">
        <f>IFERROR(VLOOKUP(A423,管理亚马逊库存!A:Q,17,0),"")</f>
        <v>0</v>
      </c>
      <c r="E423">
        <f>IFERROR(VLOOKUP(A423,管理亚马逊库存!A:R,18,0),"")</f>
        <v>0</v>
      </c>
      <c r="F423">
        <f t="shared" si="13"/>
        <v>0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0</v>
      </c>
      <c r="J423">
        <f>IFERROR(VLOOKUP(A423,库龄!B:K,9,0),0)</f>
        <v>0</v>
      </c>
      <c r="K423">
        <f>IFERROR(VLOOKUP(A423,库龄!B:L,10,0),0)</f>
        <v>0</v>
      </c>
      <c r="L423">
        <f>IFERROR(VLOOKUP(A423,库龄!B:M,11,0),0)</f>
        <v>0</v>
      </c>
      <c r="M423">
        <f>IFERROR(VLOOKUP(A423,库龄!B:N,12,0),0)</f>
        <v>0</v>
      </c>
      <c r="N423">
        <f t="shared" si="14"/>
        <v>0</v>
      </c>
    </row>
    <row r="424" spans="1:14">
      <c r="A424" s="3" t="s">
        <v>1395</v>
      </c>
      <c r="B424">
        <f>IFERROR(VLOOKUP(A424,管理亚马逊库存!A:K,11,0),"")</f>
        <v>0</v>
      </c>
      <c r="C424">
        <f>IFERROR(VLOOKUP(A424,管理亚马逊库存!A:L,12,0),"")</f>
        <v>0</v>
      </c>
      <c r="D424">
        <f>IFERROR(VLOOKUP(A424,管理亚马逊库存!A:Q,17,0),"")</f>
        <v>0</v>
      </c>
      <c r="E424">
        <f>IFERROR(VLOOKUP(A424,管理亚马逊库存!A:R,18,0),"")</f>
        <v>0</v>
      </c>
      <c r="F424">
        <f t="shared" si="13"/>
        <v>0</v>
      </c>
      <c r="G424">
        <f>IFERROR(VLOOKUP(A424,预留库存!A:G,7,0),0)</f>
        <v>0</v>
      </c>
      <c r="H424">
        <f>IFERROR(VLOOKUP(A424,预留库存!A:H,8,0),0)</f>
        <v>0</v>
      </c>
      <c r="I424">
        <f>IFERROR(VLOOKUP(A424,预留库存!A:F,6,0),0)</f>
        <v>0</v>
      </c>
      <c r="J424">
        <f>IFERROR(VLOOKUP(A424,库龄!B:K,9,0),0)</f>
        <v>0</v>
      </c>
      <c r="K424">
        <f>IFERROR(VLOOKUP(A424,库龄!B:L,10,0),0)</f>
        <v>0</v>
      </c>
      <c r="L424">
        <f>IFERROR(VLOOKUP(A424,库龄!B:M,11,0),0)</f>
        <v>0</v>
      </c>
      <c r="M424">
        <f>IFERROR(VLOOKUP(A424,库龄!B:N,12,0),0)</f>
        <v>0</v>
      </c>
      <c r="N424">
        <f t="shared" si="14"/>
        <v>0</v>
      </c>
    </row>
    <row r="425" spans="1:14">
      <c r="A425" s="3" t="s">
        <v>1398</v>
      </c>
      <c r="B425">
        <f>IFERROR(VLOOKUP(A425,管理亚马逊库存!A:K,11,0),"")</f>
        <v>0</v>
      </c>
      <c r="C425">
        <f>IFERROR(VLOOKUP(A425,管理亚马逊库存!A:L,12,0),"")</f>
        <v>0</v>
      </c>
      <c r="D425">
        <f>IFERROR(VLOOKUP(A425,管理亚马逊库存!A:Q,17,0),"")</f>
        <v>0</v>
      </c>
      <c r="E425">
        <f>IFERROR(VLOOKUP(A425,管理亚马逊库存!A:R,18,0),"")</f>
        <v>0</v>
      </c>
      <c r="F425">
        <f t="shared" si="13"/>
        <v>0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0</v>
      </c>
      <c r="J425">
        <f>IFERROR(VLOOKUP(A425,库龄!B:K,9,0),0)</f>
        <v>0</v>
      </c>
      <c r="K425">
        <f>IFERROR(VLOOKUP(A425,库龄!B:L,10,0),0)</f>
        <v>0</v>
      </c>
      <c r="L425">
        <f>IFERROR(VLOOKUP(A425,库龄!B:M,11,0),0)</f>
        <v>0</v>
      </c>
      <c r="M425">
        <f>IFERROR(VLOOKUP(A425,库龄!B:N,12,0),0)</f>
        <v>0</v>
      </c>
      <c r="N425">
        <f t="shared" si="14"/>
        <v>0</v>
      </c>
    </row>
    <row r="426" spans="1:14">
      <c r="A426" s="3" t="s">
        <v>1401</v>
      </c>
      <c r="B426">
        <f>IFERROR(VLOOKUP(A426,管理亚马逊库存!A:K,11,0),"")</f>
        <v>0</v>
      </c>
      <c r="C426">
        <f>IFERROR(VLOOKUP(A426,管理亚马逊库存!A:L,12,0),"")</f>
        <v>0</v>
      </c>
      <c r="D426">
        <f>IFERROR(VLOOKUP(A426,管理亚马逊库存!A:Q,17,0),"")</f>
        <v>0</v>
      </c>
      <c r="E426">
        <f>IFERROR(VLOOKUP(A426,管理亚马逊库存!A:R,18,0),"")</f>
        <v>0</v>
      </c>
      <c r="F426">
        <f t="shared" si="13"/>
        <v>0</v>
      </c>
      <c r="G426">
        <f>IFERROR(VLOOKUP(A426,预留库存!A:G,7,0),0)</f>
        <v>0</v>
      </c>
      <c r="H426">
        <f>IFERROR(VLOOKUP(A426,预留库存!A:H,8,0),0)</f>
        <v>0</v>
      </c>
      <c r="I426">
        <f>IFERROR(VLOOKUP(A426,预留库存!A:F,6,0),0)</f>
        <v>0</v>
      </c>
      <c r="J426">
        <f>IFERROR(VLOOKUP(A426,库龄!B:K,9,0),0)</f>
        <v>0</v>
      </c>
      <c r="K426">
        <f>IFERROR(VLOOKUP(A426,库龄!B:L,10,0),0)</f>
        <v>0</v>
      </c>
      <c r="L426">
        <f>IFERROR(VLOOKUP(A426,库龄!B:M,11,0),0)</f>
        <v>0</v>
      </c>
      <c r="M426">
        <f>IFERROR(VLOOKUP(A426,库龄!B:N,12,0),0)</f>
        <v>0</v>
      </c>
      <c r="N426">
        <f t="shared" si="14"/>
        <v>0</v>
      </c>
    </row>
    <row r="427" spans="1:14">
      <c r="A427" s="3" t="s">
        <v>1404</v>
      </c>
      <c r="B427">
        <f>IFERROR(VLOOKUP(A427,管理亚马逊库存!A:K,11,0),"")</f>
        <v>0</v>
      </c>
      <c r="C427">
        <f>IFERROR(VLOOKUP(A427,管理亚马逊库存!A:L,12,0),"")</f>
        <v>0</v>
      </c>
      <c r="D427">
        <f>IFERROR(VLOOKUP(A427,管理亚马逊库存!A:Q,17,0),"")</f>
        <v>0</v>
      </c>
      <c r="E427">
        <f>IFERROR(VLOOKUP(A427,管理亚马逊库存!A:R,18,0),"")</f>
        <v>0</v>
      </c>
      <c r="F427">
        <f t="shared" si="13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IFERROR(VLOOKUP(A427,库龄!B:K,9,0),0)</f>
        <v>0</v>
      </c>
      <c r="K427">
        <f>IFERROR(VLOOKUP(A427,库龄!B:L,10,0),0)</f>
        <v>0</v>
      </c>
      <c r="L427">
        <f>IFERROR(VLOOKUP(A427,库龄!B:M,11,0),0)</f>
        <v>0</v>
      </c>
      <c r="M427">
        <f>IFERROR(VLOOKUP(A427,库龄!B:N,12,0),0)</f>
        <v>0</v>
      </c>
      <c r="N427">
        <f t="shared" si="14"/>
        <v>0</v>
      </c>
    </row>
    <row r="428" spans="1:14">
      <c r="A428" s="3" t="s">
        <v>1407</v>
      </c>
      <c r="B428">
        <f>IFERROR(VLOOKUP(A428,管理亚马逊库存!A:K,11,0),"")</f>
        <v>0</v>
      </c>
      <c r="C428">
        <f>IFERROR(VLOOKUP(A428,管理亚马逊库存!A:L,12,0),"")</f>
        <v>0</v>
      </c>
      <c r="D428">
        <f>IFERROR(VLOOKUP(A428,管理亚马逊库存!A:Q,17,0),"")</f>
        <v>0</v>
      </c>
      <c r="E428">
        <f>IFERROR(VLOOKUP(A428,管理亚马逊库存!A:R,18,0),"")</f>
        <v>0</v>
      </c>
      <c r="F428">
        <f t="shared" si="13"/>
        <v>0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IFERROR(VLOOKUP(A428,库龄!B:K,9,0),0)</f>
        <v>0</v>
      </c>
      <c r="K428">
        <f>IFERROR(VLOOKUP(A428,库龄!B:L,10,0),0)</f>
        <v>0</v>
      </c>
      <c r="L428">
        <f>IFERROR(VLOOKUP(A428,库龄!B:M,11,0),0)</f>
        <v>0</v>
      </c>
      <c r="M428">
        <f>IFERROR(VLOOKUP(A428,库龄!B:N,12,0),0)</f>
        <v>0</v>
      </c>
      <c r="N428">
        <f t="shared" si="14"/>
        <v>0</v>
      </c>
    </row>
    <row r="429" spans="1:14">
      <c r="A429" s="3" t="s">
        <v>1410</v>
      </c>
      <c r="B429">
        <f>IFERROR(VLOOKUP(A429,管理亚马逊库存!A:K,11,0),"")</f>
        <v>0</v>
      </c>
      <c r="C429">
        <f>IFERROR(VLOOKUP(A429,管理亚马逊库存!A:L,12,0),"")</f>
        <v>0</v>
      </c>
      <c r="D429">
        <f>IFERROR(VLOOKUP(A429,管理亚马逊库存!A:Q,17,0),"")</f>
        <v>0</v>
      </c>
      <c r="E429">
        <f>IFERROR(VLOOKUP(A429,管理亚马逊库存!A:R,18,0),"")</f>
        <v>0</v>
      </c>
      <c r="F429">
        <f t="shared" si="13"/>
        <v>0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IFERROR(VLOOKUP(A429,库龄!B:K,9,0),0)</f>
        <v>0</v>
      </c>
      <c r="K429">
        <f>IFERROR(VLOOKUP(A429,库龄!B:L,10,0),0)</f>
        <v>0</v>
      </c>
      <c r="L429">
        <f>IFERROR(VLOOKUP(A429,库龄!B:M,11,0),0)</f>
        <v>0</v>
      </c>
      <c r="M429">
        <f>IFERROR(VLOOKUP(A429,库龄!B:N,12,0),0)</f>
        <v>0</v>
      </c>
      <c r="N429">
        <f t="shared" si="14"/>
        <v>0</v>
      </c>
    </row>
    <row r="430" spans="1:14">
      <c r="A430" s="3" t="s">
        <v>1413</v>
      </c>
      <c r="B430">
        <f>IFERROR(VLOOKUP(A430,管理亚马逊库存!A:K,11,0),"")</f>
        <v>0</v>
      </c>
      <c r="C430">
        <f>IFERROR(VLOOKUP(A430,管理亚马逊库存!A:L,12,0),"")</f>
        <v>0</v>
      </c>
      <c r="D430">
        <f>IFERROR(VLOOKUP(A430,管理亚马逊库存!A:Q,17,0),"")</f>
        <v>0</v>
      </c>
      <c r="E430">
        <f>IFERROR(VLOOKUP(A430,管理亚马逊库存!A:R,18,0),"")</f>
        <v>0</v>
      </c>
      <c r="F430">
        <f t="shared" si="13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IFERROR(VLOOKUP(A430,库龄!B:K,9,0),0)</f>
        <v>0</v>
      </c>
      <c r="K430">
        <f>IFERROR(VLOOKUP(A430,库龄!B:L,10,0),0)</f>
        <v>0</v>
      </c>
      <c r="L430">
        <f>IFERROR(VLOOKUP(A430,库龄!B:M,11,0),0)</f>
        <v>0</v>
      </c>
      <c r="M430">
        <f>IFERROR(VLOOKUP(A430,库龄!B:N,12,0),0)</f>
        <v>0</v>
      </c>
      <c r="N430">
        <f t="shared" si="14"/>
        <v>0</v>
      </c>
    </row>
    <row r="431" spans="1:14">
      <c r="A431" s="3" t="s">
        <v>1417</v>
      </c>
      <c r="B431">
        <f>IFERROR(VLOOKUP(A431,管理亚马逊库存!A:K,11,0),"")</f>
        <v>0</v>
      </c>
      <c r="C431">
        <f>IFERROR(VLOOKUP(A431,管理亚马逊库存!A:L,12,0),"")</f>
        <v>0</v>
      </c>
      <c r="D431">
        <f>IFERROR(VLOOKUP(A431,管理亚马逊库存!A:Q,17,0),"")</f>
        <v>0</v>
      </c>
      <c r="E431">
        <f>IFERROR(VLOOKUP(A431,管理亚马逊库存!A:R,18,0),"")</f>
        <v>0</v>
      </c>
      <c r="F431">
        <f t="shared" si="13"/>
        <v>0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IFERROR(VLOOKUP(A431,库龄!B:K,9,0),0)</f>
        <v>0</v>
      </c>
      <c r="K431">
        <f>IFERROR(VLOOKUP(A431,库龄!B:L,10,0),0)</f>
        <v>0</v>
      </c>
      <c r="L431">
        <f>IFERROR(VLOOKUP(A431,库龄!B:M,11,0),0)</f>
        <v>0</v>
      </c>
      <c r="M431">
        <f>IFERROR(VLOOKUP(A431,库龄!B:N,12,0),0)</f>
        <v>0</v>
      </c>
      <c r="N431">
        <f t="shared" si="14"/>
        <v>0</v>
      </c>
    </row>
    <row r="432" spans="1:14">
      <c r="A432" s="3" t="s">
        <v>1420</v>
      </c>
      <c r="B432">
        <f>IFERROR(VLOOKUP(A432,管理亚马逊库存!A:K,11,0),"")</f>
        <v>0</v>
      </c>
      <c r="C432">
        <f>IFERROR(VLOOKUP(A432,管理亚马逊库存!A:L,12,0),"")</f>
        <v>0</v>
      </c>
      <c r="D432">
        <f>IFERROR(VLOOKUP(A432,管理亚马逊库存!A:Q,17,0),"")</f>
        <v>0</v>
      </c>
      <c r="E432">
        <f>IFERROR(VLOOKUP(A432,管理亚马逊库存!A:R,18,0),"")</f>
        <v>0</v>
      </c>
      <c r="F432">
        <f t="shared" si="13"/>
        <v>0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IFERROR(VLOOKUP(A432,库龄!B:K,9,0),0)</f>
        <v>0</v>
      </c>
      <c r="K432">
        <f>IFERROR(VLOOKUP(A432,库龄!B:L,10,0),0)</f>
        <v>0</v>
      </c>
      <c r="L432">
        <f>IFERROR(VLOOKUP(A432,库龄!B:M,11,0),0)</f>
        <v>0</v>
      </c>
      <c r="M432">
        <f>IFERROR(VLOOKUP(A432,库龄!B:N,12,0),0)</f>
        <v>0</v>
      </c>
      <c r="N432">
        <f t="shared" si="14"/>
        <v>0</v>
      </c>
    </row>
    <row r="433" spans="1:14">
      <c r="A433" s="3" t="s">
        <v>1423</v>
      </c>
      <c r="B433">
        <f>IFERROR(VLOOKUP(A433,管理亚马逊库存!A:K,11,0),"")</f>
        <v>0</v>
      </c>
      <c r="C433">
        <f>IFERROR(VLOOKUP(A433,管理亚马逊库存!A:L,12,0),"")</f>
        <v>0</v>
      </c>
      <c r="D433">
        <f>IFERROR(VLOOKUP(A433,管理亚马逊库存!A:Q,17,0),"")</f>
        <v>0</v>
      </c>
      <c r="E433">
        <f>IFERROR(VLOOKUP(A433,管理亚马逊库存!A:R,18,0),"")</f>
        <v>0</v>
      </c>
      <c r="F433">
        <f t="shared" si="13"/>
        <v>0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IFERROR(VLOOKUP(A433,库龄!B:K,9,0),0)</f>
        <v>0</v>
      </c>
      <c r="K433">
        <f>IFERROR(VLOOKUP(A433,库龄!B:L,10,0),0)</f>
        <v>0</v>
      </c>
      <c r="L433">
        <f>IFERROR(VLOOKUP(A433,库龄!B:M,11,0),0)</f>
        <v>0</v>
      </c>
      <c r="M433">
        <f>IFERROR(VLOOKUP(A433,库龄!B:N,12,0),0)</f>
        <v>0</v>
      </c>
      <c r="N433">
        <f t="shared" si="14"/>
        <v>0</v>
      </c>
    </row>
    <row r="434" spans="1:14">
      <c r="A434" s="3" t="s">
        <v>1426</v>
      </c>
      <c r="B434">
        <f>IFERROR(VLOOKUP(A434,管理亚马逊库存!A:K,11,0),"")</f>
        <v>0</v>
      </c>
      <c r="C434">
        <f>IFERROR(VLOOKUP(A434,管理亚马逊库存!A:L,12,0),"")</f>
        <v>0</v>
      </c>
      <c r="D434">
        <f>IFERROR(VLOOKUP(A434,管理亚马逊库存!A:Q,17,0),"")</f>
        <v>0</v>
      </c>
      <c r="E434">
        <f>IFERROR(VLOOKUP(A434,管理亚马逊库存!A:R,18,0),"")</f>
        <v>0</v>
      </c>
      <c r="F434">
        <f t="shared" si="13"/>
        <v>0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IFERROR(VLOOKUP(A434,库龄!B:K,9,0),0)</f>
        <v>0</v>
      </c>
      <c r="K434">
        <f>IFERROR(VLOOKUP(A434,库龄!B:L,10,0),0)</f>
        <v>0</v>
      </c>
      <c r="L434">
        <f>IFERROR(VLOOKUP(A434,库龄!B:M,11,0),0)</f>
        <v>0</v>
      </c>
      <c r="M434">
        <f>IFERROR(VLOOKUP(A434,库龄!B:N,12,0),0)</f>
        <v>0</v>
      </c>
      <c r="N434">
        <f t="shared" si="14"/>
        <v>0</v>
      </c>
    </row>
    <row r="435" spans="1:14">
      <c r="A435" s="3" t="s">
        <v>1429</v>
      </c>
      <c r="B435">
        <f>IFERROR(VLOOKUP(A435,管理亚马逊库存!A:K,11,0),"")</f>
        <v>0</v>
      </c>
      <c r="C435">
        <f>IFERROR(VLOOKUP(A435,管理亚马逊库存!A:L,12,0),"")</f>
        <v>0</v>
      </c>
      <c r="D435">
        <f>IFERROR(VLOOKUP(A435,管理亚马逊库存!A:Q,17,0),"")</f>
        <v>0</v>
      </c>
      <c r="E435">
        <f>IFERROR(VLOOKUP(A435,管理亚马逊库存!A:R,18,0),"")</f>
        <v>0</v>
      </c>
      <c r="F435">
        <f t="shared" si="13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IFERROR(VLOOKUP(A435,库龄!B:K,9,0),0)</f>
        <v>0</v>
      </c>
      <c r="K435">
        <f>IFERROR(VLOOKUP(A435,库龄!B:L,10,0),0)</f>
        <v>0</v>
      </c>
      <c r="L435">
        <f>IFERROR(VLOOKUP(A435,库龄!B:M,11,0),0)</f>
        <v>0</v>
      </c>
      <c r="M435">
        <f>IFERROR(VLOOKUP(A435,库龄!B:N,12,0),0)</f>
        <v>0</v>
      </c>
      <c r="N435">
        <f t="shared" si="14"/>
        <v>0</v>
      </c>
    </row>
    <row r="436" spans="1:14">
      <c r="A436" s="3" t="s">
        <v>1432</v>
      </c>
      <c r="B436">
        <f>IFERROR(VLOOKUP(A436,管理亚马逊库存!A:K,11,0),"")</f>
        <v>0</v>
      </c>
      <c r="C436">
        <f>IFERROR(VLOOKUP(A436,管理亚马逊库存!A:L,12,0),"")</f>
        <v>0</v>
      </c>
      <c r="D436">
        <f>IFERROR(VLOOKUP(A436,管理亚马逊库存!A:Q,17,0),"")</f>
        <v>0</v>
      </c>
      <c r="E436">
        <f>IFERROR(VLOOKUP(A436,管理亚马逊库存!A:R,18,0),"")</f>
        <v>0</v>
      </c>
      <c r="F436">
        <f t="shared" si="13"/>
        <v>0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IFERROR(VLOOKUP(A436,库龄!B:K,9,0),0)</f>
        <v>0</v>
      </c>
      <c r="K436">
        <f>IFERROR(VLOOKUP(A436,库龄!B:L,10,0),0)</f>
        <v>0</v>
      </c>
      <c r="L436">
        <f>IFERROR(VLOOKUP(A436,库龄!B:M,11,0),0)</f>
        <v>0</v>
      </c>
      <c r="M436">
        <f>IFERROR(VLOOKUP(A436,库龄!B:N,12,0),0)</f>
        <v>0</v>
      </c>
      <c r="N436">
        <f t="shared" si="14"/>
        <v>0</v>
      </c>
    </row>
    <row r="437" spans="1:14">
      <c r="A437" s="3" t="s">
        <v>1435</v>
      </c>
      <c r="B437">
        <f>IFERROR(VLOOKUP(A437,管理亚马逊库存!A:K,11,0),"")</f>
        <v>0</v>
      </c>
      <c r="C437">
        <f>IFERROR(VLOOKUP(A437,管理亚马逊库存!A:L,12,0),"")</f>
        <v>0</v>
      </c>
      <c r="D437">
        <f>IFERROR(VLOOKUP(A437,管理亚马逊库存!A:Q,17,0),"")</f>
        <v>0</v>
      </c>
      <c r="E437">
        <f>IFERROR(VLOOKUP(A437,管理亚马逊库存!A:R,18,0),"")</f>
        <v>0</v>
      </c>
      <c r="F437">
        <f t="shared" si="13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IFERROR(VLOOKUP(A437,库龄!B:K,9,0),0)</f>
        <v>0</v>
      </c>
      <c r="K437">
        <f>IFERROR(VLOOKUP(A437,库龄!B:L,10,0),0)</f>
        <v>0</v>
      </c>
      <c r="L437">
        <f>IFERROR(VLOOKUP(A437,库龄!B:M,11,0),0)</f>
        <v>0</v>
      </c>
      <c r="M437">
        <f>IFERROR(VLOOKUP(A437,库龄!B:N,12,0),0)</f>
        <v>0</v>
      </c>
      <c r="N437">
        <f t="shared" si="14"/>
        <v>0</v>
      </c>
    </row>
    <row r="438" spans="1:14">
      <c r="A438" s="3" t="s">
        <v>1438</v>
      </c>
      <c r="B438">
        <f>IFERROR(VLOOKUP(A438,管理亚马逊库存!A:K,11,0),"")</f>
        <v>0</v>
      </c>
      <c r="C438">
        <f>IFERROR(VLOOKUP(A438,管理亚马逊库存!A:L,12,0),"")</f>
        <v>0</v>
      </c>
      <c r="D438">
        <f>IFERROR(VLOOKUP(A438,管理亚马逊库存!A:Q,17,0),"")</f>
        <v>0</v>
      </c>
      <c r="E438">
        <f>IFERROR(VLOOKUP(A438,管理亚马逊库存!A:R,18,0),"")</f>
        <v>0</v>
      </c>
      <c r="F438">
        <f t="shared" si="13"/>
        <v>0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IFERROR(VLOOKUP(A438,库龄!B:K,9,0),0)</f>
        <v>0</v>
      </c>
      <c r="K438">
        <f>IFERROR(VLOOKUP(A438,库龄!B:L,10,0),0)</f>
        <v>0</v>
      </c>
      <c r="L438">
        <f>IFERROR(VLOOKUP(A438,库龄!B:M,11,0),0)</f>
        <v>0</v>
      </c>
      <c r="M438">
        <f>IFERROR(VLOOKUP(A438,库龄!B:N,12,0),0)</f>
        <v>0</v>
      </c>
      <c r="N438">
        <f t="shared" si="14"/>
        <v>0</v>
      </c>
    </row>
    <row r="439" spans="1:14">
      <c r="A439" s="3" t="s">
        <v>1441</v>
      </c>
      <c r="B439">
        <f>IFERROR(VLOOKUP(A439,管理亚马逊库存!A:K,11,0),"")</f>
        <v>0</v>
      </c>
      <c r="C439">
        <f>IFERROR(VLOOKUP(A439,管理亚马逊库存!A:L,12,0),"")</f>
        <v>0</v>
      </c>
      <c r="D439">
        <f>IFERROR(VLOOKUP(A439,管理亚马逊库存!A:Q,17,0),"")</f>
        <v>0</v>
      </c>
      <c r="E439">
        <f>IFERROR(VLOOKUP(A439,管理亚马逊库存!A:R,18,0),"")</f>
        <v>0</v>
      </c>
      <c r="F439">
        <f t="shared" si="13"/>
        <v>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IFERROR(VLOOKUP(A439,库龄!B:K,9,0),0)</f>
        <v>0</v>
      </c>
      <c r="K439">
        <f>IFERROR(VLOOKUP(A439,库龄!B:L,10,0),0)</f>
        <v>0</v>
      </c>
      <c r="L439">
        <f>IFERROR(VLOOKUP(A439,库龄!B:M,11,0),0)</f>
        <v>0</v>
      </c>
      <c r="M439">
        <f>IFERROR(VLOOKUP(A439,库龄!B:N,12,0),0)</f>
        <v>0</v>
      </c>
      <c r="N439">
        <f t="shared" si="14"/>
        <v>0</v>
      </c>
    </row>
    <row r="440" spans="1:14">
      <c r="A440" s="3" t="s">
        <v>1444</v>
      </c>
      <c r="B440">
        <f>IFERROR(VLOOKUP(A440,管理亚马逊库存!A:K,11,0),"")</f>
        <v>0</v>
      </c>
      <c r="C440">
        <f>IFERROR(VLOOKUP(A440,管理亚马逊库存!A:L,12,0),"")</f>
        <v>0</v>
      </c>
      <c r="D440">
        <f>IFERROR(VLOOKUP(A440,管理亚马逊库存!A:Q,17,0),"")</f>
        <v>0</v>
      </c>
      <c r="E440">
        <f>IFERROR(VLOOKUP(A440,管理亚马逊库存!A:R,18,0),"")</f>
        <v>0</v>
      </c>
      <c r="F440">
        <f t="shared" si="13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IFERROR(VLOOKUP(A440,库龄!B:K,9,0),0)</f>
        <v>0</v>
      </c>
      <c r="K440">
        <f>IFERROR(VLOOKUP(A440,库龄!B:L,10,0),0)</f>
        <v>0</v>
      </c>
      <c r="L440">
        <f>IFERROR(VLOOKUP(A440,库龄!B:M,11,0),0)</f>
        <v>0</v>
      </c>
      <c r="M440">
        <f>IFERROR(VLOOKUP(A440,库龄!B:N,12,0),0)</f>
        <v>0</v>
      </c>
      <c r="N440">
        <f t="shared" si="14"/>
        <v>0</v>
      </c>
    </row>
    <row r="441" spans="1:14">
      <c r="A441" s="3" t="s">
        <v>1447</v>
      </c>
      <c r="B441">
        <f>IFERROR(VLOOKUP(A441,管理亚马逊库存!A:K,11,0),"")</f>
        <v>0</v>
      </c>
      <c r="C441">
        <f>IFERROR(VLOOKUP(A441,管理亚马逊库存!A:L,12,0),"")</f>
        <v>0</v>
      </c>
      <c r="D441">
        <f>IFERROR(VLOOKUP(A441,管理亚马逊库存!A:Q,17,0),"")</f>
        <v>0</v>
      </c>
      <c r="E441">
        <f>IFERROR(VLOOKUP(A441,管理亚马逊库存!A:R,18,0),"")</f>
        <v>0</v>
      </c>
      <c r="F441">
        <f t="shared" si="13"/>
        <v>0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IFERROR(VLOOKUP(A441,库龄!B:K,9,0),0)</f>
        <v>0</v>
      </c>
      <c r="K441">
        <f>IFERROR(VLOOKUP(A441,库龄!B:L,10,0),0)</f>
        <v>0</v>
      </c>
      <c r="L441">
        <f>IFERROR(VLOOKUP(A441,库龄!B:M,11,0),0)</f>
        <v>0</v>
      </c>
      <c r="M441">
        <f>IFERROR(VLOOKUP(A441,库龄!B:N,12,0),0)</f>
        <v>0</v>
      </c>
      <c r="N441">
        <f t="shared" si="14"/>
        <v>0</v>
      </c>
    </row>
    <row r="442" spans="1:14">
      <c r="A442" s="3" t="s">
        <v>1450</v>
      </c>
      <c r="B442">
        <f>IFERROR(VLOOKUP(A442,管理亚马逊库存!A:K,11,0),"")</f>
        <v>0</v>
      </c>
      <c r="C442">
        <f>IFERROR(VLOOKUP(A442,管理亚马逊库存!A:L,12,0),"")</f>
        <v>0</v>
      </c>
      <c r="D442">
        <f>IFERROR(VLOOKUP(A442,管理亚马逊库存!A:Q,17,0),"")</f>
        <v>0</v>
      </c>
      <c r="E442">
        <f>IFERROR(VLOOKUP(A442,管理亚马逊库存!A:R,18,0),"")</f>
        <v>0</v>
      </c>
      <c r="F442">
        <f t="shared" si="13"/>
        <v>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IFERROR(VLOOKUP(A442,库龄!B:K,9,0),0)</f>
        <v>0</v>
      </c>
      <c r="K442">
        <f>IFERROR(VLOOKUP(A442,库龄!B:L,10,0),0)</f>
        <v>0</v>
      </c>
      <c r="L442">
        <f>IFERROR(VLOOKUP(A442,库龄!B:M,11,0),0)</f>
        <v>0</v>
      </c>
      <c r="M442">
        <f>IFERROR(VLOOKUP(A442,库龄!B:N,12,0),0)</f>
        <v>0</v>
      </c>
      <c r="N442">
        <f t="shared" si="14"/>
        <v>0</v>
      </c>
    </row>
    <row r="443" spans="1:14">
      <c r="A443" s="3" t="s">
        <v>1453</v>
      </c>
      <c r="B443">
        <f>IFERROR(VLOOKUP(A443,管理亚马逊库存!A:K,11,0),"")</f>
        <v>0</v>
      </c>
      <c r="C443">
        <f>IFERROR(VLOOKUP(A443,管理亚马逊库存!A:L,12,0),"")</f>
        <v>0</v>
      </c>
      <c r="D443">
        <f>IFERROR(VLOOKUP(A443,管理亚马逊库存!A:Q,17,0),"")</f>
        <v>0</v>
      </c>
      <c r="E443">
        <f>IFERROR(VLOOKUP(A443,管理亚马逊库存!A:R,18,0),"")</f>
        <v>0</v>
      </c>
      <c r="F443">
        <f t="shared" si="13"/>
        <v>0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IFERROR(VLOOKUP(A443,库龄!B:K,9,0),0)</f>
        <v>0</v>
      </c>
      <c r="K443">
        <f>IFERROR(VLOOKUP(A443,库龄!B:L,10,0),0)</f>
        <v>0</v>
      </c>
      <c r="L443">
        <f>IFERROR(VLOOKUP(A443,库龄!B:M,11,0),0)</f>
        <v>0</v>
      </c>
      <c r="M443">
        <f>IFERROR(VLOOKUP(A443,库龄!B:N,12,0),0)</f>
        <v>0</v>
      </c>
      <c r="N443">
        <f t="shared" si="14"/>
        <v>0</v>
      </c>
    </row>
    <row r="444" spans="1:14">
      <c r="A444" s="3" t="s">
        <v>1456</v>
      </c>
      <c r="B444">
        <f>IFERROR(VLOOKUP(A444,管理亚马逊库存!A:K,11,0),"")</f>
        <v>0</v>
      </c>
      <c r="C444">
        <f>IFERROR(VLOOKUP(A444,管理亚马逊库存!A:L,12,0),"")</f>
        <v>0</v>
      </c>
      <c r="D444">
        <f>IFERROR(VLOOKUP(A444,管理亚马逊库存!A:Q,17,0),"")</f>
        <v>0</v>
      </c>
      <c r="E444">
        <f>IFERROR(VLOOKUP(A444,管理亚马逊库存!A:R,18,0),"")</f>
        <v>0</v>
      </c>
      <c r="F444">
        <f t="shared" si="13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IFERROR(VLOOKUP(A444,库龄!B:K,9,0),0)</f>
        <v>0</v>
      </c>
      <c r="K444">
        <f>IFERROR(VLOOKUP(A444,库龄!B:L,10,0),0)</f>
        <v>0</v>
      </c>
      <c r="L444">
        <f>IFERROR(VLOOKUP(A444,库龄!B:M,11,0),0)</f>
        <v>0</v>
      </c>
      <c r="M444">
        <f>IFERROR(VLOOKUP(A444,库龄!B:N,12,0),0)</f>
        <v>0</v>
      </c>
      <c r="N444">
        <f t="shared" si="14"/>
        <v>0</v>
      </c>
    </row>
    <row r="445" spans="1:14">
      <c r="A445" s="3" t="s">
        <v>1459</v>
      </c>
      <c r="B445">
        <f>IFERROR(VLOOKUP(A445,管理亚马逊库存!A:K,11,0),"")</f>
        <v>0</v>
      </c>
      <c r="C445">
        <f>IFERROR(VLOOKUP(A445,管理亚马逊库存!A:L,12,0),"")</f>
        <v>0</v>
      </c>
      <c r="D445">
        <f>IFERROR(VLOOKUP(A445,管理亚马逊库存!A:Q,17,0),"")</f>
        <v>0</v>
      </c>
      <c r="E445">
        <f>IFERROR(VLOOKUP(A445,管理亚马逊库存!A:R,18,0),"")</f>
        <v>0</v>
      </c>
      <c r="F445">
        <f t="shared" si="13"/>
        <v>0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IFERROR(VLOOKUP(A445,库龄!B:K,9,0),0)</f>
        <v>0</v>
      </c>
      <c r="K445">
        <f>IFERROR(VLOOKUP(A445,库龄!B:L,10,0),0)</f>
        <v>0</v>
      </c>
      <c r="L445">
        <f>IFERROR(VLOOKUP(A445,库龄!B:M,11,0),0)</f>
        <v>0</v>
      </c>
      <c r="M445">
        <f>IFERROR(VLOOKUP(A445,库龄!B:N,12,0),0)</f>
        <v>0</v>
      </c>
      <c r="N445">
        <f t="shared" si="14"/>
        <v>0</v>
      </c>
    </row>
    <row r="446" spans="1:14">
      <c r="A446" s="3" t="s">
        <v>1462</v>
      </c>
      <c r="B446">
        <f>IFERROR(VLOOKUP(A446,管理亚马逊库存!A:K,11,0),"")</f>
        <v>0</v>
      </c>
      <c r="C446">
        <f>IFERROR(VLOOKUP(A446,管理亚马逊库存!A:L,12,0),"")</f>
        <v>0</v>
      </c>
      <c r="D446">
        <f>IFERROR(VLOOKUP(A446,管理亚马逊库存!A:Q,17,0),"")</f>
        <v>0</v>
      </c>
      <c r="E446">
        <f>IFERROR(VLOOKUP(A446,管理亚马逊库存!A:R,18,0),"")</f>
        <v>0</v>
      </c>
      <c r="F446">
        <f t="shared" si="13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IFERROR(VLOOKUP(A446,库龄!B:K,9,0),0)</f>
        <v>0</v>
      </c>
      <c r="K446">
        <f>IFERROR(VLOOKUP(A446,库龄!B:L,10,0),0)</f>
        <v>0</v>
      </c>
      <c r="L446">
        <f>IFERROR(VLOOKUP(A446,库龄!B:M,11,0),0)</f>
        <v>0</v>
      </c>
      <c r="M446">
        <f>IFERROR(VLOOKUP(A446,库龄!B:N,12,0),0)</f>
        <v>0</v>
      </c>
      <c r="N446">
        <f t="shared" si="14"/>
        <v>0</v>
      </c>
    </row>
    <row r="447" spans="1:14">
      <c r="A447" s="3" t="s">
        <v>1465</v>
      </c>
      <c r="B447">
        <f>IFERROR(VLOOKUP(A447,管理亚马逊库存!A:K,11,0),"")</f>
        <v>0</v>
      </c>
      <c r="C447">
        <f>IFERROR(VLOOKUP(A447,管理亚马逊库存!A:L,12,0),"")</f>
        <v>0</v>
      </c>
      <c r="D447">
        <f>IFERROR(VLOOKUP(A447,管理亚马逊库存!A:Q,17,0),"")</f>
        <v>0</v>
      </c>
      <c r="E447">
        <f>IFERROR(VLOOKUP(A447,管理亚马逊库存!A:R,18,0),"")</f>
        <v>0</v>
      </c>
      <c r="F447">
        <f t="shared" si="13"/>
        <v>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IFERROR(VLOOKUP(A447,库龄!B:K,9,0),0)</f>
        <v>0</v>
      </c>
      <c r="K447">
        <f>IFERROR(VLOOKUP(A447,库龄!B:L,10,0),0)</f>
        <v>0</v>
      </c>
      <c r="L447">
        <f>IFERROR(VLOOKUP(A447,库龄!B:M,11,0),0)</f>
        <v>0</v>
      </c>
      <c r="M447">
        <f>IFERROR(VLOOKUP(A447,库龄!B:N,12,0),0)</f>
        <v>0</v>
      </c>
      <c r="N447">
        <f t="shared" si="14"/>
        <v>0</v>
      </c>
    </row>
    <row r="448" spans="1:14">
      <c r="A448" s="3" t="s">
        <v>1468</v>
      </c>
      <c r="B448">
        <f>IFERROR(VLOOKUP(A448,管理亚马逊库存!A:K,11,0),"")</f>
        <v>0</v>
      </c>
      <c r="C448">
        <f>IFERROR(VLOOKUP(A448,管理亚马逊库存!A:L,12,0),"")</f>
        <v>0</v>
      </c>
      <c r="D448">
        <f>IFERROR(VLOOKUP(A448,管理亚马逊库存!A:Q,17,0),"")</f>
        <v>0</v>
      </c>
      <c r="E448">
        <f>IFERROR(VLOOKUP(A448,管理亚马逊库存!A:R,18,0),"")</f>
        <v>0</v>
      </c>
      <c r="F448">
        <f t="shared" si="13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IFERROR(VLOOKUP(A448,库龄!B:K,9,0),0)</f>
        <v>0</v>
      </c>
      <c r="K448">
        <f>IFERROR(VLOOKUP(A448,库龄!B:L,10,0),0)</f>
        <v>0</v>
      </c>
      <c r="L448">
        <f>IFERROR(VLOOKUP(A448,库龄!B:M,11,0),0)</f>
        <v>0</v>
      </c>
      <c r="M448">
        <f>IFERROR(VLOOKUP(A448,库龄!B:N,12,0),0)</f>
        <v>0</v>
      </c>
      <c r="N448">
        <f t="shared" si="14"/>
        <v>0</v>
      </c>
    </row>
    <row r="449" spans="1:14">
      <c r="A449" s="3" t="s">
        <v>1471</v>
      </c>
      <c r="B449">
        <f>IFERROR(VLOOKUP(A449,管理亚马逊库存!A:K,11,0),"")</f>
        <v>0</v>
      </c>
      <c r="C449">
        <f>IFERROR(VLOOKUP(A449,管理亚马逊库存!A:L,12,0),"")</f>
        <v>0</v>
      </c>
      <c r="D449">
        <f>IFERROR(VLOOKUP(A449,管理亚马逊库存!A:Q,17,0),"")</f>
        <v>0</v>
      </c>
      <c r="E449">
        <f>IFERROR(VLOOKUP(A449,管理亚马逊库存!A:R,18,0),"")</f>
        <v>0</v>
      </c>
      <c r="F449">
        <f t="shared" si="13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IFERROR(VLOOKUP(A449,库龄!B:K,9,0),0)</f>
        <v>0</v>
      </c>
      <c r="K449">
        <f>IFERROR(VLOOKUP(A449,库龄!B:L,10,0),0)</f>
        <v>0</v>
      </c>
      <c r="L449">
        <f>IFERROR(VLOOKUP(A449,库龄!B:M,11,0),0)</f>
        <v>0</v>
      </c>
      <c r="M449">
        <f>IFERROR(VLOOKUP(A449,库龄!B:N,12,0),0)</f>
        <v>0</v>
      </c>
      <c r="N449">
        <f t="shared" si="14"/>
        <v>0</v>
      </c>
    </row>
    <row r="450" spans="1:14">
      <c r="A450" s="3" t="s">
        <v>1474</v>
      </c>
      <c r="B450">
        <f>IFERROR(VLOOKUP(A450,管理亚马逊库存!A:K,11,0),"")</f>
        <v>0</v>
      </c>
      <c r="C450">
        <f>IFERROR(VLOOKUP(A450,管理亚马逊库存!A:L,12,0),"")</f>
        <v>2</v>
      </c>
      <c r="D450">
        <f>IFERROR(VLOOKUP(A450,管理亚马逊库存!A:Q,17,0),"")</f>
        <v>0</v>
      </c>
      <c r="E450">
        <f>IFERROR(VLOOKUP(A450,管理亚马逊库存!A:R,18,0),"")</f>
        <v>0</v>
      </c>
      <c r="F450">
        <f t="shared" si="13"/>
        <v>0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IFERROR(VLOOKUP(A450,库龄!B:K,9,0),0)</f>
        <v>0</v>
      </c>
      <c r="K450">
        <f>IFERROR(VLOOKUP(A450,库龄!B:L,10,0),0)</f>
        <v>0</v>
      </c>
      <c r="L450">
        <f>IFERROR(VLOOKUP(A450,库龄!B:M,11,0),0)</f>
        <v>0</v>
      </c>
      <c r="M450">
        <f>IFERROR(VLOOKUP(A450,库龄!B:N,12,0),0)</f>
        <v>0</v>
      </c>
      <c r="N450">
        <f t="shared" si="14"/>
        <v>0</v>
      </c>
    </row>
    <row r="451" spans="1:14">
      <c r="A451" s="3" t="s">
        <v>1476</v>
      </c>
      <c r="B451">
        <f>IFERROR(VLOOKUP(A451,管理亚马逊库存!A:K,11,0),"")</f>
        <v>0</v>
      </c>
      <c r="C451">
        <f>IFERROR(VLOOKUP(A451,管理亚马逊库存!A:L,12,0),"")</f>
        <v>0</v>
      </c>
      <c r="D451">
        <f>IFERROR(VLOOKUP(A451,管理亚马逊库存!A:Q,17,0),"")</f>
        <v>0</v>
      </c>
      <c r="E451">
        <f>IFERROR(VLOOKUP(A451,管理亚马逊库存!A:R,18,0),"")</f>
        <v>0</v>
      </c>
      <c r="F451">
        <f t="shared" ref="F451:F514" si="15">SUM(D451:E451)</f>
        <v>0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IFERROR(VLOOKUP(A451,库龄!B:K,9,0),0)</f>
        <v>0</v>
      </c>
      <c r="K451">
        <f>IFERROR(VLOOKUP(A451,库龄!B:L,10,0),0)</f>
        <v>0</v>
      </c>
      <c r="L451">
        <f>IFERROR(VLOOKUP(A451,库龄!B:M,11,0),0)</f>
        <v>0</v>
      </c>
      <c r="M451">
        <f>IFERROR(VLOOKUP(A451,库龄!B:N,12,0),0)</f>
        <v>0</v>
      </c>
      <c r="N451">
        <f t="shared" ref="N451:N514" si="16">SUM(J451:M451)</f>
        <v>0</v>
      </c>
    </row>
    <row r="452" spans="1:14">
      <c r="A452" s="3" t="s">
        <v>1478</v>
      </c>
      <c r="B452">
        <f>IFERROR(VLOOKUP(A452,管理亚马逊库存!A:K,11,0),"")</f>
        <v>0</v>
      </c>
      <c r="C452">
        <f>IFERROR(VLOOKUP(A452,管理亚马逊库存!A:L,12,0),"")</f>
        <v>0</v>
      </c>
      <c r="D452">
        <f>IFERROR(VLOOKUP(A452,管理亚马逊库存!A:Q,17,0),"")</f>
        <v>0</v>
      </c>
      <c r="E452">
        <f>IFERROR(VLOOKUP(A452,管理亚马逊库存!A:R,18,0),"")</f>
        <v>0</v>
      </c>
      <c r="F452">
        <f t="shared" si="15"/>
        <v>0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IFERROR(VLOOKUP(A452,库龄!B:K,9,0),0)</f>
        <v>0</v>
      </c>
      <c r="K452">
        <f>IFERROR(VLOOKUP(A452,库龄!B:L,10,0),0)</f>
        <v>0</v>
      </c>
      <c r="L452">
        <f>IFERROR(VLOOKUP(A452,库龄!B:M,11,0),0)</f>
        <v>0</v>
      </c>
      <c r="M452">
        <f>IFERROR(VLOOKUP(A452,库龄!B:N,12,0),0)</f>
        <v>0</v>
      </c>
      <c r="N452">
        <f t="shared" si="16"/>
        <v>0</v>
      </c>
    </row>
    <row r="453" spans="1:14">
      <c r="A453" s="3" t="s">
        <v>1480</v>
      </c>
      <c r="B453">
        <f>IFERROR(VLOOKUP(A453,管理亚马逊库存!A:K,11,0),"")</f>
        <v>0</v>
      </c>
      <c r="C453">
        <f>IFERROR(VLOOKUP(A453,管理亚马逊库存!A:L,12,0),"")</f>
        <v>1</v>
      </c>
      <c r="D453">
        <f>IFERROR(VLOOKUP(A453,管理亚马逊库存!A:Q,17,0),"")</f>
        <v>0</v>
      </c>
      <c r="E453">
        <f>IFERROR(VLOOKUP(A453,管理亚马逊库存!A:R,18,0),"")</f>
        <v>0</v>
      </c>
      <c r="F453">
        <f t="shared" si="15"/>
        <v>0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IFERROR(VLOOKUP(A453,库龄!B:K,9,0),0)</f>
        <v>0</v>
      </c>
      <c r="K453">
        <f>IFERROR(VLOOKUP(A453,库龄!B:L,10,0),0)</f>
        <v>0</v>
      </c>
      <c r="L453">
        <f>IFERROR(VLOOKUP(A453,库龄!B:M,11,0),0)</f>
        <v>0</v>
      </c>
      <c r="M453">
        <f>IFERROR(VLOOKUP(A453,库龄!B:N,12,0),0)</f>
        <v>0</v>
      </c>
      <c r="N453">
        <f t="shared" si="16"/>
        <v>0</v>
      </c>
    </row>
    <row r="454" spans="1:14">
      <c r="A454" s="3" t="s">
        <v>1482</v>
      </c>
      <c r="B454">
        <f>IFERROR(VLOOKUP(A454,管理亚马逊库存!A:K,11,0),"")</f>
        <v>0</v>
      </c>
      <c r="C454">
        <f>IFERROR(VLOOKUP(A454,管理亚马逊库存!A:L,12,0),"")</f>
        <v>0</v>
      </c>
      <c r="D454">
        <f>IFERROR(VLOOKUP(A454,管理亚马逊库存!A:Q,17,0),"")</f>
        <v>0</v>
      </c>
      <c r="E454">
        <f>IFERROR(VLOOKUP(A454,管理亚马逊库存!A:R,18,0),"")</f>
        <v>0</v>
      </c>
      <c r="F454">
        <f t="shared" si="15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IFERROR(VLOOKUP(A454,库龄!B:K,9,0),0)</f>
        <v>0</v>
      </c>
      <c r="K454">
        <f>IFERROR(VLOOKUP(A454,库龄!B:L,10,0),0)</f>
        <v>0</v>
      </c>
      <c r="L454">
        <f>IFERROR(VLOOKUP(A454,库龄!B:M,11,0),0)</f>
        <v>0</v>
      </c>
      <c r="M454">
        <f>IFERROR(VLOOKUP(A454,库龄!B:N,12,0),0)</f>
        <v>0</v>
      </c>
      <c r="N454">
        <f t="shared" si="16"/>
        <v>0</v>
      </c>
    </row>
    <row r="455" spans="1:14">
      <c r="A455" s="3" t="s">
        <v>1484</v>
      </c>
      <c r="B455">
        <f>IFERROR(VLOOKUP(A455,管理亚马逊库存!A:K,11,0),"")</f>
        <v>0</v>
      </c>
      <c r="C455">
        <f>IFERROR(VLOOKUP(A455,管理亚马逊库存!A:L,12,0),"")</f>
        <v>0</v>
      </c>
      <c r="D455">
        <f>IFERROR(VLOOKUP(A455,管理亚马逊库存!A:Q,17,0),"")</f>
        <v>0</v>
      </c>
      <c r="E455">
        <f>IFERROR(VLOOKUP(A455,管理亚马逊库存!A:R,18,0),"")</f>
        <v>0</v>
      </c>
      <c r="F455">
        <f t="shared" si="15"/>
        <v>0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IFERROR(VLOOKUP(A455,库龄!B:K,9,0),0)</f>
        <v>0</v>
      </c>
      <c r="K455">
        <f>IFERROR(VLOOKUP(A455,库龄!B:L,10,0),0)</f>
        <v>0</v>
      </c>
      <c r="L455">
        <f>IFERROR(VLOOKUP(A455,库龄!B:M,11,0),0)</f>
        <v>0</v>
      </c>
      <c r="M455">
        <f>IFERROR(VLOOKUP(A455,库龄!B:N,12,0),0)</f>
        <v>0</v>
      </c>
      <c r="N455">
        <f t="shared" si="16"/>
        <v>0</v>
      </c>
    </row>
    <row r="456" spans="1:14">
      <c r="A456" s="3" t="s">
        <v>1486</v>
      </c>
      <c r="B456">
        <f>IFERROR(VLOOKUP(A456,管理亚马逊库存!A:K,11,0),"")</f>
        <v>0</v>
      </c>
      <c r="C456">
        <f>IFERROR(VLOOKUP(A456,管理亚马逊库存!A:L,12,0),"")</f>
        <v>0</v>
      </c>
      <c r="D456">
        <f>IFERROR(VLOOKUP(A456,管理亚马逊库存!A:Q,17,0),"")</f>
        <v>0</v>
      </c>
      <c r="E456">
        <f>IFERROR(VLOOKUP(A456,管理亚马逊库存!A:R,18,0),"")</f>
        <v>0</v>
      </c>
      <c r="F456">
        <f t="shared" si="15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IFERROR(VLOOKUP(A456,库龄!B:K,9,0),0)</f>
        <v>0</v>
      </c>
      <c r="K456">
        <f>IFERROR(VLOOKUP(A456,库龄!B:L,10,0),0)</f>
        <v>0</v>
      </c>
      <c r="L456">
        <f>IFERROR(VLOOKUP(A456,库龄!B:M,11,0),0)</f>
        <v>0</v>
      </c>
      <c r="M456">
        <f>IFERROR(VLOOKUP(A456,库龄!B:N,12,0),0)</f>
        <v>0</v>
      </c>
      <c r="N456">
        <f t="shared" si="16"/>
        <v>0</v>
      </c>
    </row>
    <row r="457" spans="1:14">
      <c r="A457" s="3" t="s">
        <v>1488</v>
      </c>
      <c r="B457">
        <f>IFERROR(VLOOKUP(A457,管理亚马逊库存!A:K,11,0),"")</f>
        <v>0</v>
      </c>
      <c r="C457">
        <f>IFERROR(VLOOKUP(A457,管理亚马逊库存!A:L,12,0),"")</f>
        <v>0</v>
      </c>
      <c r="D457">
        <f>IFERROR(VLOOKUP(A457,管理亚马逊库存!A:Q,17,0),"")</f>
        <v>0</v>
      </c>
      <c r="E457">
        <f>IFERROR(VLOOKUP(A457,管理亚马逊库存!A:R,18,0),"")</f>
        <v>0</v>
      </c>
      <c r="F457">
        <f t="shared" si="15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IFERROR(VLOOKUP(A457,库龄!B:K,9,0),0)</f>
        <v>0</v>
      </c>
      <c r="K457">
        <f>IFERROR(VLOOKUP(A457,库龄!B:L,10,0),0)</f>
        <v>0</v>
      </c>
      <c r="L457">
        <f>IFERROR(VLOOKUP(A457,库龄!B:M,11,0),0)</f>
        <v>0</v>
      </c>
      <c r="M457">
        <f>IFERROR(VLOOKUP(A457,库龄!B:N,12,0),0)</f>
        <v>0</v>
      </c>
      <c r="N457">
        <f t="shared" si="16"/>
        <v>0</v>
      </c>
    </row>
    <row r="458" spans="1:14">
      <c r="A458" s="3" t="s">
        <v>1490</v>
      </c>
      <c r="B458">
        <f>IFERROR(VLOOKUP(A458,管理亚马逊库存!A:K,11,0),"")</f>
        <v>0</v>
      </c>
      <c r="C458">
        <f>IFERROR(VLOOKUP(A458,管理亚马逊库存!A:L,12,0),"")</f>
        <v>0</v>
      </c>
      <c r="D458">
        <f>IFERROR(VLOOKUP(A458,管理亚马逊库存!A:Q,17,0),"")</f>
        <v>0</v>
      </c>
      <c r="E458">
        <f>IFERROR(VLOOKUP(A458,管理亚马逊库存!A:R,18,0),"")</f>
        <v>0</v>
      </c>
      <c r="F458">
        <f t="shared" si="15"/>
        <v>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IFERROR(VLOOKUP(A458,库龄!B:K,9,0),0)</f>
        <v>0</v>
      </c>
      <c r="K458">
        <f>IFERROR(VLOOKUP(A458,库龄!B:L,10,0),0)</f>
        <v>0</v>
      </c>
      <c r="L458">
        <f>IFERROR(VLOOKUP(A458,库龄!B:M,11,0),0)</f>
        <v>0</v>
      </c>
      <c r="M458">
        <f>IFERROR(VLOOKUP(A458,库龄!B:N,12,0),0)</f>
        <v>0</v>
      </c>
      <c r="N458">
        <f t="shared" si="16"/>
        <v>0</v>
      </c>
    </row>
    <row r="459" spans="1:14">
      <c r="A459" s="3" t="s">
        <v>1492</v>
      </c>
      <c r="B459">
        <f>IFERROR(VLOOKUP(A459,管理亚马逊库存!A:K,11,0),"")</f>
        <v>0</v>
      </c>
      <c r="C459">
        <f>IFERROR(VLOOKUP(A459,管理亚马逊库存!A:L,12,0),"")</f>
        <v>2</v>
      </c>
      <c r="D459">
        <f>IFERROR(VLOOKUP(A459,管理亚马逊库存!A:Q,17,0),"")</f>
        <v>0</v>
      </c>
      <c r="E459">
        <f>IFERROR(VLOOKUP(A459,管理亚马逊库存!A:R,18,0),"")</f>
        <v>0</v>
      </c>
      <c r="F459">
        <f t="shared" si="15"/>
        <v>0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IFERROR(VLOOKUP(A459,库龄!B:K,9,0),0)</f>
        <v>0</v>
      </c>
      <c r="K459">
        <f>IFERROR(VLOOKUP(A459,库龄!B:L,10,0),0)</f>
        <v>0</v>
      </c>
      <c r="L459">
        <f>IFERROR(VLOOKUP(A459,库龄!B:M,11,0),0)</f>
        <v>0</v>
      </c>
      <c r="M459">
        <f>IFERROR(VLOOKUP(A459,库龄!B:N,12,0),0)</f>
        <v>0</v>
      </c>
      <c r="N459">
        <f t="shared" si="16"/>
        <v>0</v>
      </c>
    </row>
    <row r="460" spans="1:14">
      <c r="A460" s="3" t="s">
        <v>1494</v>
      </c>
      <c r="B460">
        <f>IFERROR(VLOOKUP(A460,管理亚马逊库存!A:K,11,0),"")</f>
        <v>0</v>
      </c>
      <c r="C460">
        <f>IFERROR(VLOOKUP(A460,管理亚马逊库存!A:L,12,0),"")</f>
        <v>0</v>
      </c>
      <c r="D460">
        <f>IFERROR(VLOOKUP(A460,管理亚马逊库存!A:Q,17,0),"")</f>
        <v>0</v>
      </c>
      <c r="E460">
        <f>IFERROR(VLOOKUP(A460,管理亚马逊库存!A:R,18,0),"")</f>
        <v>0</v>
      </c>
      <c r="F460">
        <f t="shared" si="15"/>
        <v>0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IFERROR(VLOOKUP(A460,库龄!B:K,9,0),0)</f>
        <v>0</v>
      </c>
      <c r="K460">
        <f>IFERROR(VLOOKUP(A460,库龄!B:L,10,0),0)</f>
        <v>0</v>
      </c>
      <c r="L460">
        <f>IFERROR(VLOOKUP(A460,库龄!B:M,11,0),0)</f>
        <v>0</v>
      </c>
      <c r="M460">
        <f>IFERROR(VLOOKUP(A460,库龄!B:N,12,0),0)</f>
        <v>0</v>
      </c>
      <c r="N460">
        <f t="shared" si="16"/>
        <v>0</v>
      </c>
    </row>
    <row r="461" spans="1:14">
      <c r="A461" s="3" t="s">
        <v>1498</v>
      </c>
      <c r="B461">
        <f>IFERROR(VLOOKUP(A461,管理亚马逊库存!A:K,11,0),"")</f>
        <v>0</v>
      </c>
      <c r="C461">
        <f>IFERROR(VLOOKUP(A461,管理亚马逊库存!A:L,12,0),"")</f>
        <v>0</v>
      </c>
      <c r="D461">
        <f>IFERROR(VLOOKUP(A461,管理亚马逊库存!A:Q,17,0),"")</f>
        <v>0</v>
      </c>
      <c r="E461">
        <f>IFERROR(VLOOKUP(A461,管理亚马逊库存!A:R,18,0),"")</f>
        <v>0</v>
      </c>
      <c r="F461">
        <f t="shared" si="15"/>
        <v>0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IFERROR(VLOOKUP(A461,库龄!B:K,9,0),0)</f>
        <v>0</v>
      </c>
      <c r="K461">
        <f>IFERROR(VLOOKUP(A461,库龄!B:L,10,0),0)</f>
        <v>0</v>
      </c>
      <c r="L461">
        <f>IFERROR(VLOOKUP(A461,库龄!B:M,11,0),0)</f>
        <v>0</v>
      </c>
      <c r="M461">
        <f>IFERROR(VLOOKUP(A461,库龄!B:N,12,0),0)</f>
        <v>0</v>
      </c>
      <c r="N461">
        <f t="shared" si="16"/>
        <v>0</v>
      </c>
    </row>
    <row r="462" spans="1:14">
      <c r="A462" s="3" t="s">
        <v>1501</v>
      </c>
      <c r="B462">
        <f>IFERROR(VLOOKUP(A462,管理亚马逊库存!A:K,11,0),"")</f>
        <v>0</v>
      </c>
      <c r="C462">
        <f>IFERROR(VLOOKUP(A462,管理亚马逊库存!A:L,12,0),"")</f>
        <v>0</v>
      </c>
      <c r="D462">
        <f>IFERROR(VLOOKUP(A462,管理亚马逊库存!A:Q,17,0),"")</f>
        <v>0</v>
      </c>
      <c r="E462">
        <f>IFERROR(VLOOKUP(A462,管理亚马逊库存!A:R,18,0),"")</f>
        <v>0</v>
      </c>
      <c r="F462">
        <f t="shared" si="15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IFERROR(VLOOKUP(A462,库龄!B:K,9,0),0)</f>
        <v>0</v>
      </c>
      <c r="K462">
        <f>IFERROR(VLOOKUP(A462,库龄!B:L,10,0),0)</f>
        <v>0</v>
      </c>
      <c r="L462">
        <f>IFERROR(VLOOKUP(A462,库龄!B:M,11,0),0)</f>
        <v>0</v>
      </c>
      <c r="M462">
        <f>IFERROR(VLOOKUP(A462,库龄!B:N,12,0),0)</f>
        <v>0</v>
      </c>
      <c r="N462">
        <f t="shared" si="16"/>
        <v>0</v>
      </c>
    </row>
    <row r="463" spans="1:14">
      <c r="A463" s="3" t="s">
        <v>1504</v>
      </c>
      <c r="B463">
        <f>IFERROR(VLOOKUP(A463,管理亚马逊库存!A:K,11,0),"")</f>
        <v>0</v>
      </c>
      <c r="C463">
        <f>IFERROR(VLOOKUP(A463,管理亚马逊库存!A:L,12,0),"")</f>
        <v>0</v>
      </c>
      <c r="D463">
        <f>IFERROR(VLOOKUP(A463,管理亚马逊库存!A:Q,17,0),"")</f>
        <v>0</v>
      </c>
      <c r="E463">
        <f>IFERROR(VLOOKUP(A463,管理亚马逊库存!A:R,18,0),"")</f>
        <v>0</v>
      </c>
      <c r="F463">
        <f t="shared" si="15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IFERROR(VLOOKUP(A463,库龄!B:K,9,0),0)</f>
        <v>0</v>
      </c>
      <c r="K463">
        <f>IFERROR(VLOOKUP(A463,库龄!B:L,10,0),0)</f>
        <v>0</v>
      </c>
      <c r="L463">
        <f>IFERROR(VLOOKUP(A463,库龄!B:M,11,0),0)</f>
        <v>0</v>
      </c>
      <c r="M463">
        <f>IFERROR(VLOOKUP(A463,库龄!B:N,12,0),0)</f>
        <v>0</v>
      </c>
      <c r="N463">
        <f t="shared" si="16"/>
        <v>0</v>
      </c>
    </row>
    <row r="464" spans="1:14">
      <c r="A464" s="3" t="s">
        <v>1507</v>
      </c>
      <c r="B464">
        <f>IFERROR(VLOOKUP(A464,管理亚马逊库存!A:K,11,0),"")</f>
        <v>0</v>
      </c>
      <c r="C464">
        <f>IFERROR(VLOOKUP(A464,管理亚马逊库存!A:L,12,0),"")</f>
        <v>0</v>
      </c>
      <c r="D464">
        <f>IFERROR(VLOOKUP(A464,管理亚马逊库存!A:Q,17,0),"")</f>
        <v>0</v>
      </c>
      <c r="E464">
        <f>IFERROR(VLOOKUP(A464,管理亚马逊库存!A:R,18,0),"")</f>
        <v>0</v>
      </c>
      <c r="F464">
        <f t="shared" si="15"/>
        <v>0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IFERROR(VLOOKUP(A464,库龄!B:K,9,0),0)</f>
        <v>0</v>
      </c>
      <c r="K464">
        <f>IFERROR(VLOOKUP(A464,库龄!B:L,10,0),0)</f>
        <v>0</v>
      </c>
      <c r="L464">
        <f>IFERROR(VLOOKUP(A464,库龄!B:M,11,0),0)</f>
        <v>0</v>
      </c>
      <c r="M464">
        <f>IFERROR(VLOOKUP(A464,库龄!B:N,12,0),0)</f>
        <v>0</v>
      </c>
      <c r="N464">
        <f t="shared" si="16"/>
        <v>0</v>
      </c>
    </row>
    <row r="465" spans="1:14">
      <c r="A465" s="3" t="s">
        <v>1510</v>
      </c>
      <c r="B465">
        <f>IFERROR(VLOOKUP(A465,管理亚马逊库存!A:K,11,0),"")</f>
        <v>0</v>
      </c>
      <c r="C465">
        <f>IFERROR(VLOOKUP(A465,管理亚马逊库存!A:L,12,0),"")</f>
        <v>0</v>
      </c>
      <c r="D465">
        <f>IFERROR(VLOOKUP(A465,管理亚马逊库存!A:Q,17,0),"")</f>
        <v>0</v>
      </c>
      <c r="E465">
        <f>IFERROR(VLOOKUP(A465,管理亚马逊库存!A:R,18,0),"")</f>
        <v>0</v>
      </c>
      <c r="F465">
        <f t="shared" si="15"/>
        <v>0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IFERROR(VLOOKUP(A465,库龄!B:K,9,0),0)</f>
        <v>0</v>
      </c>
      <c r="K465">
        <f>IFERROR(VLOOKUP(A465,库龄!B:L,10,0),0)</f>
        <v>0</v>
      </c>
      <c r="L465">
        <f>IFERROR(VLOOKUP(A465,库龄!B:M,11,0),0)</f>
        <v>0</v>
      </c>
      <c r="M465">
        <f>IFERROR(VLOOKUP(A465,库龄!B:N,12,0),0)</f>
        <v>0</v>
      </c>
      <c r="N465">
        <f t="shared" si="16"/>
        <v>0</v>
      </c>
    </row>
    <row r="466" spans="1:14">
      <c r="A466" s="3" t="s">
        <v>1514</v>
      </c>
      <c r="B466">
        <f>IFERROR(VLOOKUP(A466,管理亚马逊库存!A:K,11,0),"")</f>
        <v>0</v>
      </c>
      <c r="C466">
        <f>IFERROR(VLOOKUP(A466,管理亚马逊库存!A:L,12,0),"")</f>
        <v>0</v>
      </c>
      <c r="D466">
        <f>IFERROR(VLOOKUP(A466,管理亚马逊库存!A:Q,17,0),"")</f>
        <v>0</v>
      </c>
      <c r="E466">
        <f>IFERROR(VLOOKUP(A466,管理亚马逊库存!A:R,18,0),"")</f>
        <v>0</v>
      </c>
      <c r="F466">
        <f t="shared" si="15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IFERROR(VLOOKUP(A466,库龄!B:K,9,0),0)</f>
        <v>0</v>
      </c>
      <c r="K466">
        <f>IFERROR(VLOOKUP(A466,库龄!B:L,10,0),0)</f>
        <v>0</v>
      </c>
      <c r="L466">
        <f>IFERROR(VLOOKUP(A466,库龄!B:M,11,0),0)</f>
        <v>0</v>
      </c>
      <c r="M466">
        <f>IFERROR(VLOOKUP(A466,库龄!B:N,12,0),0)</f>
        <v>0</v>
      </c>
      <c r="N466">
        <f t="shared" si="16"/>
        <v>0</v>
      </c>
    </row>
    <row r="467" spans="1:14">
      <c r="A467" s="3" t="s">
        <v>1518</v>
      </c>
      <c r="B467">
        <f>IFERROR(VLOOKUP(A467,管理亚马逊库存!A:K,11,0),"")</f>
        <v>0</v>
      </c>
      <c r="C467">
        <f>IFERROR(VLOOKUP(A467,管理亚马逊库存!A:L,12,0),"")</f>
        <v>0</v>
      </c>
      <c r="D467">
        <f>IFERROR(VLOOKUP(A467,管理亚马逊库存!A:Q,17,0),"")</f>
        <v>0</v>
      </c>
      <c r="E467">
        <f>IFERROR(VLOOKUP(A467,管理亚马逊库存!A:R,18,0),"")</f>
        <v>0</v>
      </c>
      <c r="F467">
        <f t="shared" si="15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IFERROR(VLOOKUP(A467,库龄!B:K,9,0),0)</f>
        <v>0</v>
      </c>
      <c r="K467">
        <f>IFERROR(VLOOKUP(A467,库龄!B:L,10,0),0)</f>
        <v>0</v>
      </c>
      <c r="L467">
        <f>IFERROR(VLOOKUP(A467,库龄!B:M,11,0),0)</f>
        <v>0</v>
      </c>
      <c r="M467">
        <f>IFERROR(VLOOKUP(A467,库龄!B:N,12,0),0)</f>
        <v>0</v>
      </c>
      <c r="N467">
        <f t="shared" si="16"/>
        <v>0</v>
      </c>
    </row>
    <row r="468" spans="1:14">
      <c r="A468" s="3" t="s">
        <v>1522</v>
      </c>
      <c r="B468">
        <f>IFERROR(VLOOKUP(A468,管理亚马逊库存!A:K,11,0),"")</f>
        <v>0</v>
      </c>
      <c r="C468">
        <f>IFERROR(VLOOKUP(A468,管理亚马逊库存!A:L,12,0),"")</f>
        <v>0</v>
      </c>
      <c r="D468">
        <f>IFERROR(VLOOKUP(A468,管理亚马逊库存!A:Q,17,0),"")</f>
        <v>0</v>
      </c>
      <c r="E468">
        <f>IFERROR(VLOOKUP(A468,管理亚马逊库存!A:R,18,0),"")</f>
        <v>0</v>
      </c>
      <c r="F468">
        <f t="shared" si="15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IFERROR(VLOOKUP(A468,库龄!B:K,9,0),0)</f>
        <v>0</v>
      </c>
      <c r="K468">
        <f>IFERROR(VLOOKUP(A468,库龄!B:L,10,0),0)</f>
        <v>0</v>
      </c>
      <c r="L468">
        <f>IFERROR(VLOOKUP(A468,库龄!B:M,11,0),0)</f>
        <v>0</v>
      </c>
      <c r="M468">
        <f>IFERROR(VLOOKUP(A468,库龄!B:N,12,0),0)</f>
        <v>0</v>
      </c>
      <c r="N468">
        <f t="shared" si="16"/>
        <v>0</v>
      </c>
    </row>
    <row r="469" spans="1:14">
      <c r="A469" s="3" t="s">
        <v>1526</v>
      </c>
      <c r="B469">
        <f>IFERROR(VLOOKUP(A469,管理亚马逊库存!A:K,11,0),"")</f>
        <v>0</v>
      </c>
      <c r="C469">
        <f>IFERROR(VLOOKUP(A469,管理亚马逊库存!A:L,12,0),"")</f>
        <v>0</v>
      </c>
      <c r="D469">
        <f>IFERROR(VLOOKUP(A469,管理亚马逊库存!A:Q,17,0),"")</f>
        <v>0</v>
      </c>
      <c r="E469">
        <f>IFERROR(VLOOKUP(A469,管理亚马逊库存!A:R,18,0),"")</f>
        <v>0</v>
      </c>
      <c r="F469">
        <f t="shared" si="15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IFERROR(VLOOKUP(A469,库龄!B:K,9,0),0)</f>
        <v>0</v>
      </c>
      <c r="K469">
        <f>IFERROR(VLOOKUP(A469,库龄!B:L,10,0),0)</f>
        <v>0</v>
      </c>
      <c r="L469">
        <f>IFERROR(VLOOKUP(A469,库龄!B:M,11,0),0)</f>
        <v>0</v>
      </c>
      <c r="M469">
        <f>IFERROR(VLOOKUP(A469,库龄!B:N,12,0),0)</f>
        <v>0</v>
      </c>
      <c r="N469">
        <f t="shared" si="16"/>
        <v>0</v>
      </c>
    </row>
    <row r="470" spans="1:14">
      <c r="A470" s="3" t="s">
        <v>1530</v>
      </c>
      <c r="B470">
        <f>IFERROR(VLOOKUP(A470,管理亚马逊库存!A:K,11,0),"")</f>
        <v>0</v>
      </c>
      <c r="C470">
        <f>IFERROR(VLOOKUP(A470,管理亚马逊库存!A:L,12,0),"")</f>
        <v>0</v>
      </c>
      <c r="D470">
        <f>IFERROR(VLOOKUP(A470,管理亚马逊库存!A:Q,17,0),"")</f>
        <v>0</v>
      </c>
      <c r="E470">
        <f>IFERROR(VLOOKUP(A470,管理亚马逊库存!A:R,18,0),"")</f>
        <v>0</v>
      </c>
      <c r="F470">
        <f t="shared" si="15"/>
        <v>0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IFERROR(VLOOKUP(A470,库龄!B:K,9,0),0)</f>
        <v>0</v>
      </c>
      <c r="K470">
        <f>IFERROR(VLOOKUP(A470,库龄!B:L,10,0),0)</f>
        <v>0</v>
      </c>
      <c r="L470">
        <f>IFERROR(VLOOKUP(A470,库龄!B:M,11,0),0)</f>
        <v>0</v>
      </c>
      <c r="M470">
        <f>IFERROR(VLOOKUP(A470,库龄!B:N,12,0),0)</f>
        <v>0</v>
      </c>
      <c r="N470">
        <f t="shared" si="16"/>
        <v>0</v>
      </c>
    </row>
    <row r="471" spans="1:14">
      <c r="A471" s="3" t="s">
        <v>1534</v>
      </c>
      <c r="B471">
        <f>IFERROR(VLOOKUP(A471,管理亚马逊库存!A:K,11,0),"")</f>
        <v>0</v>
      </c>
      <c r="C471">
        <f>IFERROR(VLOOKUP(A471,管理亚马逊库存!A:L,12,0),"")</f>
        <v>0</v>
      </c>
      <c r="D471">
        <f>IFERROR(VLOOKUP(A471,管理亚马逊库存!A:Q,17,0),"")</f>
        <v>0</v>
      </c>
      <c r="E471">
        <f>IFERROR(VLOOKUP(A471,管理亚马逊库存!A:R,18,0),"")</f>
        <v>0</v>
      </c>
      <c r="F471">
        <f t="shared" si="15"/>
        <v>0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IFERROR(VLOOKUP(A471,库龄!B:K,9,0),0)</f>
        <v>0</v>
      </c>
      <c r="K471">
        <f>IFERROR(VLOOKUP(A471,库龄!B:L,10,0),0)</f>
        <v>0</v>
      </c>
      <c r="L471">
        <f>IFERROR(VLOOKUP(A471,库龄!B:M,11,0),0)</f>
        <v>0</v>
      </c>
      <c r="M471">
        <f>IFERROR(VLOOKUP(A471,库龄!B:N,12,0),0)</f>
        <v>0</v>
      </c>
      <c r="N471">
        <f t="shared" si="16"/>
        <v>0</v>
      </c>
    </row>
    <row r="472" spans="1:14">
      <c r="A472" s="3" t="s">
        <v>1538</v>
      </c>
      <c r="B472">
        <f>IFERROR(VLOOKUP(A472,管理亚马逊库存!A:K,11,0),"")</f>
        <v>0</v>
      </c>
      <c r="C472">
        <f>IFERROR(VLOOKUP(A472,管理亚马逊库存!A:L,12,0),"")</f>
        <v>0</v>
      </c>
      <c r="D472">
        <f>IFERROR(VLOOKUP(A472,管理亚马逊库存!A:Q,17,0),"")</f>
        <v>0</v>
      </c>
      <c r="E472">
        <f>IFERROR(VLOOKUP(A472,管理亚马逊库存!A:R,18,0),"")</f>
        <v>0</v>
      </c>
      <c r="F472">
        <f t="shared" si="15"/>
        <v>0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IFERROR(VLOOKUP(A472,库龄!B:K,9,0),0)</f>
        <v>0</v>
      </c>
      <c r="K472">
        <f>IFERROR(VLOOKUP(A472,库龄!B:L,10,0),0)</f>
        <v>0</v>
      </c>
      <c r="L472">
        <f>IFERROR(VLOOKUP(A472,库龄!B:M,11,0),0)</f>
        <v>0</v>
      </c>
      <c r="M472">
        <f>IFERROR(VLOOKUP(A472,库龄!B:N,12,0),0)</f>
        <v>0</v>
      </c>
      <c r="N472">
        <f t="shared" si="16"/>
        <v>0</v>
      </c>
    </row>
    <row r="473" spans="1:14">
      <c r="A473" s="3" t="s">
        <v>1542</v>
      </c>
      <c r="B473">
        <f>IFERROR(VLOOKUP(A473,管理亚马逊库存!A:K,11,0),"")</f>
        <v>0</v>
      </c>
      <c r="C473">
        <f>IFERROR(VLOOKUP(A473,管理亚马逊库存!A:L,12,0),"")</f>
        <v>0</v>
      </c>
      <c r="D473">
        <f>IFERROR(VLOOKUP(A473,管理亚马逊库存!A:Q,17,0),"")</f>
        <v>0</v>
      </c>
      <c r="E473">
        <f>IFERROR(VLOOKUP(A473,管理亚马逊库存!A:R,18,0),"")</f>
        <v>0</v>
      </c>
      <c r="F473">
        <f t="shared" si="15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IFERROR(VLOOKUP(A473,库龄!B:K,9,0),0)</f>
        <v>0</v>
      </c>
      <c r="K473">
        <f>IFERROR(VLOOKUP(A473,库龄!B:L,10,0),0)</f>
        <v>0</v>
      </c>
      <c r="L473">
        <f>IFERROR(VLOOKUP(A473,库龄!B:M,11,0),0)</f>
        <v>0</v>
      </c>
      <c r="M473">
        <f>IFERROR(VLOOKUP(A473,库龄!B:N,12,0),0)</f>
        <v>0</v>
      </c>
      <c r="N473">
        <f t="shared" si="16"/>
        <v>0</v>
      </c>
    </row>
    <row r="474" spans="1:14">
      <c r="A474" s="3" t="s">
        <v>1546</v>
      </c>
      <c r="B474">
        <f>IFERROR(VLOOKUP(A474,管理亚马逊库存!A:K,11,0),"")</f>
        <v>0</v>
      </c>
      <c r="C474">
        <f>IFERROR(VLOOKUP(A474,管理亚马逊库存!A:L,12,0),"")</f>
        <v>0</v>
      </c>
      <c r="D474">
        <f>IFERROR(VLOOKUP(A474,管理亚马逊库存!A:Q,17,0),"")</f>
        <v>0</v>
      </c>
      <c r="E474">
        <f>IFERROR(VLOOKUP(A474,管理亚马逊库存!A:R,18,0),"")</f>
        <v>0</v>
      </c>
      <c r="F474">
        <f t="shared" si="15"/>
        <v>0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IFERROR(VLOOKUP(A474,库龄!B:K,9,0),0)</f>
        <v>0</v>
      </c>
      <c r="K474">
        <f>IFERROR(VLOOKUP(A474,库龄!B:L,10,0),0)</f>
        <v>0</v>
      </c>
      <c r="L474">
        <f>IFERROR(VLOOKUP(A474,库龄!B:M,11,0),0)</f>
        <v>0</v>
      </c>
      <c r="M474">
        <f>IFERROR(VLOOKUP(A474,库龄!B:N,12,0),0)</f>
        <v>0</v>
      </c>
      <c r="N474">
        <f t="shared" si="16"/>
        <v>0</v>
      </c>
    </row>
    <row r="475" spans="1:14">
      <c r="A475" s="3" t="s">
        <v>1550</v>
      </c>
      <c r="B475">
        <f>IFERROR(VLOOKUP(A475,管理亚马逊库存!A:K,11,0),"")</f>
        <v>0</v>
      </c>
      <c r="C475">
        <f>IFERROR(VLOOKUP(A475,管理亚马逊库存!A:L,12,0),"")</f>
        <v>0</v>
      </c>
      <c r="D475">
        <f>IFERROR(VLOOKUP(A475,管理亚马逊库存!A:Q,17,0),"")</f>
        <v>0</v>
      </c>
      <c r="E475">
        <f>IFERROR(VLOOKUP(A475,管理亚马逊库存!A:R,18,0),"")</f>
        <v>0</v>
      </c>
      <c r="F475">
        <f t="shared" si="15"/>
        <v>0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IFERROR(VLOOKUP(A475,库龄!B:K,9,0),0)</f>
        <v>0</v>
      </c>
      <c r="K475">
        <f>IFERROR(VLOOKUP(A475,库龄!B:L,10,0),0)</f>
        <v>0</v>
      </c>
      <c r="L475">
        <f>IFERROR(VLOOKUP(A475,库龄!B:M,11,0),0)</f>
        <v>0</v>
      </c>
      <c r="M475">
        <f>IFERROR(VLOOKUP(A475,库龄!B:N,12,0),0)</f>
        <v>0</v>
      </c>
      <c r="N475">
        <f t="shared" si="16"/>
        <v>0</v>
      </c>
    </row>
    <row r="476" spans="1:14">
      <c r="A476" s="3" t="s">
        <v>1552</v>
      </c>
      <c r="B476">
        <f>IFERROR(VLOOKUP(A476,管理亚马逊库存!A:K,11,0),"")</f>
        <v>0</v>
      </c>
      <c r="C476">
        <f>IFERROR(VLOOKUP(A476,管理亚马逊库存!A:L,12,0),"")</f>
        <v>0</v>
      </c>
      <c r="D476">
        <f>IFERROR(VLOOKUP(A476,管理亚马逊库存!A:Q,17,0),"")</f>
        <v>0</v>
      </c>
      <c r="E476">
        <f>IFERROR(VLOOKUP(A476,管理亚马逊库存!A:R,18,0),"")</f>
        <v>0</v>
      </c>
      <c r="F476">
        <f t="shared" si="15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IFERROR(VLOOKUP(A476,库龄!B:K,9,0),0)</f>
        <v>0</v>
      </c>
      <c r="K476">
        <f>IFERROR(VLOOKUP(A476,库龄!B:L,10,0),0)</f>
        <v>0</v>
      </c>
      <c r="L476">
        <f>IFERROR(VLOOKUP(A476,库龄!B:M,11,0),0)</f>
        <v>0</v>
      </c>
      <c r="M476">
        <f>IFERROR(VLOOKUP(A476,库龄!B:N,12,0),0)</f>
        <v>0</v>
      </c>
      <c r="N476">
        <f t="shared" si="16"/>
        <v>0</v>
      </c>
    </row>
    <row r="477" spans="1:14">
      <c r="A477" s="3" t="s">
        <v>1554</v>
      </c>
      <c r="B477">
        <f>IFERROR(VLOOKUP(A477,管理亚马逊库存!A:K,11,0),"")</f>
        <v>0</v>
      </c>
      <c r="C477">
        <f>IFERROR(VLOOKUP(A477,管理亚马逊库存!A:L,12,0),"")</f>
        <v>0</v>
      </c>
      <c r="D477">
        <f>IFERROR(VLOOKUP(A477,管理亚马逊库存!A:Q,17,0),"")</f>
        <v>0</v>
      </c>
      <c r="E477">
        <f>IFERROR(VLOOKUP(A477,管理亚马逊库存!A:R,18,0),"")</f>
        <v>0</v>
      </c>
      <c r="F477">
        <f t="shared" si="15"/>
        <v>0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IFERROR(VLOOKUP(A477,库龄!B:K,9,0),0)</f>
        <v>0</v>
      </c>
      <c r="K477">
        <f>IFERROR(VLOOKUP(A477,库龄!B:L,10,0),0)</f>
        <v>0</v>
      </c>
      <c r="L477">
        <f>IFERROR(VLOOKUP(A477,库龄!B:M,11,0),0)</f>
        <v>0</v>
      </c>
      <c r="M477">
        <f>IFERROR(VLOOKUP(A477,库龄!B:N,12,0),0)</f>
        <v>0</v>
      </c>
      <c r="N477">
        <f t="shared" si="16"/>
        <v>0</v>
      </c>
    </row>
    <row r="478" spans="1:14">
      <c r="A478" s="3" t="s">
        <v>1556</v>
      </c>
      <c r="B478">
        <f>IFERROR(VLOOKUP(A478,管理亚马逊库存!A:K,11,0),"")</f>
        <v>0</v>
      </c>
      <c r="C478">
        <f>IFERROR(VLOOKUP(A478,管理亚马逊库存!A:L,12,0),"")</f>
        <v>0</v>
      </c>
      <c r="D478">
        <f>IFERROR(VLOOKUP(A478,管理亚马逊库存!A:Q,17,0),"")</f>
        <v>0</v>
      </c>
      <c r="E478">
        <f>IFERROR(VLOOKUP(A478,管理亚马逊库存!A:R,18,0),"")</f>
        <v>0</v>
      </c>
      <c r="F478">
        <f t="shared" si="15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IFERROR(VLOOKUP(A478,库龄!B:K,9,0),0)</f>
        <v>0</v>
      </c>
      <c r="K478">
        <f>IFERROR(VLOOKUP(A478,库龄!B:L,10,0),0)</f>
        <v>0</v>
      </c>
      <c r="L478">
        <f>IFERROR(VLOOKUP(A478,库龄!B:M,11,0),0)</f>
        <v>0</v>
      </c>
      <c r="M478">
        <f>IFERROR(VLOOKUP(A478,库龄!B:N,12,0),0)</f>
        <v>0</v>
      </c>
      <c r="N478">
        <f t="shared" si="16"/>
        <v>0</v>
      </c>
    </row>
    <row r="479" spans="1:14">
      <c r="A479" s="3" t="s">
        <v>1558</v>
      </c>
      <c r="B479">
        <f>IFERROR(VLOOKUP(A479,管理亚马逊库存!A:K,11,0),"")</f>
        <v>0</v>
      </c>
      <c r="C479">
        <f>IFERROR(VLOOKUP(A479,管理亚马逊库存!A:L,12,0),"")</f>
        <v>0</v>
      </c>
      <c r="D479">
        <f>IFERROR(VLOOKUP(A479,管理亚马逊库存!A:Q,17,0),"")</f>
        <v>0</v>
      </c>
      <c r="E479">
        <f>IFERROR(VLOOKUP(A479,管理亚马逊库存!A:R,18,0),"")</f>
        <v>0</v>
      </c>
      <c r="F479">
        <f t="shared" si="15"/>
        <v>0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IFERROR(VLOOKUP(A479,库龄!B:K,9,0),0)</f>
        <v>0</v>
      </c>
      <c r="K479">
        <f>IFERROR(VLOOKUP(A479,库龄!B:L,10,0),0)</f>
        <v>0</v>
      </c>
      <c r="L479">
        <f>IFERROR(VLOOKUP(A479,库龄!B:M,11,0),0)</f>
        <v>0</v>
      </c>
      <c r="M479">
        <f>IFERROR(VLOOKUP(A479,库龄!B:N,12,0),0)</f>
        <v>0</v>
      </c>
      <c r="N479">
        <f t="shared" si="16"/>
        <v>0</v>
      </c>
    </row>
    <row r="480" spans="1:14">
      <c r="A480" s="3" t="s">
        <v>1560</v>
      </c>
      <c r="B480">
        <f>IFERROR(VLOOKUP(A480,管理亚马逊库存!A:K,11,0),"")</f>
        <v>0</v>
      </c>
      <c r="C480">
        <f>IFERROR(VLOOKUP(A480,管理亚马逊库存!A:L,12,0),"")</f>
        <v>0</v>
      </c>
      <c r="D480">
        <f>IFERROR(VLOOKUP(A480,管理亚马逊库存!A:Q,17,0),"")</f>
        <v>0</v>
      </c>
      <c r="E480">
        <f>IFERROR(VLOOKUP(A480,管理亚马逊库存!A:R,18,0),"")</f>
        <v>0</v>
      </c>
      <c r="F480">
        <f t="shared" si="15"/>
        <v>0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IFERROR(VLOOKUP(A480,库龄!B:K,9,0),0)</f>
        <v>0</v>
      </c>
      <c r="K480">
        <f>IFERROR(VLOOKUP(A480,库龄!B:L,10,0),0)</f>
        <v>0</v>
      </c>
      <c r="L480">
        <f>IFERROR(VLOOKUP(A480,库龄!B:M,11,0),0)</f>
        <v>0</v>
      </c>
      <c r="M480">
        <f>IFERROR(VLOOKUP(A480,库龄!B:N,12,0),0)</f>
        <v>0</v>
      </c>
      <c r="N480">
        <f t="shared" si="16"/>
        <v>0</v>
      </c>
    </row>
    <row r="481" spans="1:14">
      <c r="A481" s="3" t="s">
        <v>1562</v>
      </c>
      <c r="B481">
        <f>IFERROR(VLOOKUP(A481,管理亚马逊库存!A:K,11,0),"")</f>
        <v>0</v>
      </c>
      <c r="C481">
        <f>IFERROR(VLOOKUP(A481,管理亚马逊库存!A:L,12,0),"")</f>
        <v>0</v>
      </c>
      <c r="D481">
        <f>IFERROR(VLOOKUP(A481,管理亚马逊库存!A:Q,17,0),"")</f>
        <v>0</v>
      </c>
      <c r="E481">
        <f>IFERROR(VLOOKUP(A481,管理亚马逊库存!A:R,18,0),"")</f>
        <v>0</v>
      </c>
      <c r="F481">
        <f t="shared" si="15"/>
        <v>0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IFERROR(VLOOKUP(A481,库龄!B:K,9,0),0)</f>
        <v>0</v>
      </c>
      <c r="K481">
        <f>IFERROR(VLOOKUP(A481,库龄!B:L,10,0),0)</f>
        <v>0</v>
      </c>
      <c r="L481">
        <f>IFERROR(VLOOKUP(A481,库龄!B:M,11,0),0)</f>
        <v>0</v>
      </c>
      <c r="M481">
        <f>IFERROR(VLOOKUP(A481,库龄!B:N,12,0),0)</f>
        <v>0</v>
      </c>
      <c r="N481">
        <f t="shared" si="16"/>
        <v>0</v>
      </c>
    </row>
    <row r="482" spans="1:14">
      <c r="A482" s="3" t="s">
        <v>1564</v>
      </c>
      <c r="B482">
        <f>IFERROR(VLOOKUP(A482,管理亚马逊库存!A:K,11,0),"")</f>
        <v>0</v>
      </c>
      <c r="C482">
        <f>IFERROR(VLOOKUP(A482,管理亚马逊库存!A:L,12,0),"")</f>
        <v>0</v>
      </c>
      <c r="D482">
        <f>IFERROR(VLOOKUP(A482,管理亚马逊库存!A:Q,17,0),"")</f>
        <v>0</v>
      </c>
      <c r="E482">
        <f>IFERROR(VLOOKUP(A482,管理亚马逊库存!A:R,18,0),"")</f>
        <v>0</v>
      </c>
      <c r="F482">
        <f t="shared" si="15"/>
        <v>0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IFERROR(VLOOKUP(A482,库龄!B:K,9,0),0)</f>
        <v>0</v>
      </c>
      <c r="K482">
        <f>IFERROR(VLOOKUP(A482,库龄!B:L,10,0),0)</f>
        <v>0</v>
      </c>
      <c r="L482">
        <f>IFERROR(VLOOKUP(A482,库龄!B:M,11,0),0)</f>
        <v>0</v>
      </c>
      <c r="M482">
        <f>IFERROR(VLOOKUP(A482,库龄!B:N,12,0),0)</f>
        <v>0</v>
      </c>
      <c r="N482">
        <f t="shared" si="16"/>
        <v>0</v>
      </c>
    </row>
    <row r="483" spans="1:14">
      <c r="A483" s="3" t="s">
        <v>1567</v>
      </c>
      <c r="B483">
        <f>IFERROR(VLOOKUP(A483,管理亚马逊库存!A:K,11,0),"")</f>
        <v>0</v>
      </c>
      <c r="C483">
        <f>IFERROR(VLOOKUP(A483,管理亚马逊库存!A:L,12,0),"")</f>
        <v>0</v>
      </c>
      <c r="D483">
        <f>IFERROR(VLOOKUP(A483,管理亚马逊库存!A:Q,17,0),"")</f>
        <v>0</v>
      </c>
      <c r="E483">
        <f>IFERROR(VLOOKUP(A483,管理亚马逊库存!A:R,18,0),"")</f>
        <v>0</v>
      </c>
      <c r="F483">
        <f t="shared" si="15"/>
        <v>0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IFERROR(VLOOKUP(A483,库龄!B:K,9,0),0)</f>
        <v>0</v>
      </c>
      <c r="K483">
        <f>IFERROR(VLOOKUP(A483,库龄!B:L,10,0),0)</f>
        <v>0</v>
      </c>
      <c r="L483">
        <f>IFERROR(VLOOKUP(A483,库龄!B:M,11,0),0)</f>
        <v>0</v>
      </c>
      <c r="M483">
        <f>IFERROR(VLOOKUP(A483,库龄!B:N,12,0),0)</f>
        <v>0</v>
      </c>
      <c r="N483">
        <f t="shared" si="16"/>
        <v>0</v>
      </c>
    </row>
    <row r="484" spans="1:14">
      <c r="A484" s="3" t="s">
        <v>1569</v>
      </c>
      <c r="B484">
        <f>IFERROR(VLOOKUP(A484,管理亚马逊库存!A:K,11,0),"")</f>
        <v>0</v>
      </c>
      <c r="C484">
        <f>IFERROR(VLOOKUP(A484,管理亚马逊库存!A:L,12,0),"")</f>
        <v>0</v>
      </c>
      <c r="D484">
        <f>IFERROR(VLOOKUP(A484,管理亚马逊库存!A:Q,17,0),"")</f>
        <v>0</v>
      </c>
      <c r="E484">
        <f>IFERROR(VLOOKUP(A484,管理亚马逊库存!A:R,18,0),"")</f>
        <v>0</v>
      </c>
      <c r="F484">
        <f t="shared" si="15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IFERROR(VLOOKUP(A484,库龄!B:K,9,0),0)</f>
        <v>0</v>
      </c>
      <c r="K484">
        <f>IFERROR(VLOOKUP(A484,库龄!B:L,10,0),0)</f>
        <v>0</v>
      </c>
      <c r="L484">
        <f>IFERROR(VLOOKUP(A484,库龄!B:M,11,0),0)</f>
        <v>0</v>
      </c>
      <c r="M484">
        <f>IFERROR(VLOOKUP(A484,库龄!B:N,12,0),0)</f>
        <v>0</v>
      </c>
      <c r="N484">
        <f t="shared" si="16"/>
        <v>0</v>
      </c>
    </row>
    <row r="485" spans="1:14">
      <c r="A485" s="3" t="s">
        <v>1571</v>
      </c>
      <c r="B485">
        <f>IFERROR(VLOOKUP(A485,管理亚马逊库存!A:K,11,0),"")</f>
        <v>0</v>
      </c>
      <c r="C485">
        <f>IFERROR(VLOOKUP(A485,管理亚马逊库存!A:L,12,0),"")</f>
        <v>0</v>
      </c>
      <c r="D485">
        <f>IFERROR(VLOOKUP(A485,管理亚马逊库存!A:Q,17,0),"")</f>
        <v>0</v>
      </c>
      <c r="E485">
        <f>IFERROR(VLOOKUP(A485,管理亚马逊库存!A:R,18,0),"")</f>
        <v>0</v>
      </c>
      <c r="F485">
        <f t="shared" si="15"/>
        <v>0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IFERROR(VLOOKUP(A485,库龄!B:K,9,0),0)</f>
        <v>0</v>
      </c>
      <c r="K485">
        <f>IFERROR(VLOOKUP(A485,库龄!B:L,10,0),0)</f>
        <v>0</v>
      </c>
      <c r="L485">
        <f>IFERROR(VLOOKUP(A485,库龄!B:M,11,0),0)</f>
        <v>0</v>
      </c>
      <c r="M485">
        <f>IFERROR(VLOOKUP(A485,库龄!B:N,12,0),0)</f>
        <v>0</v>
      </c>
      <c r="N485">
        <f t="shared" si="16"/>
        <v>0</v>
      </c>
    </row>
    <row r="486" spans="1:14">
      <c r="A486" s="3" t="s">
        <v>1574</v>
      </c>
      <c r="B486">
        <f>IFERROR(VLOOKUP(A486,管理亚马逊库存!A:K,11,0),"")</f>
        <v>0</v>
      </c>
      <c r="C486">
        <f>IFERROR(VLOOKUP(A486,管理亚马逊库存!A:L,12,0),"")</f>
        <v>0</v>
      </c>
      <c r="D486">
        <f>IFERROR(VLOOKUP(A486,管理亚马逊库存!A:Q,17,0),"")</f>
        <v>0</v>
      </c>
      <c r="E486">
        <f>IFERROR(VLOOKUP(A486,管理亚马逊库存!A:R,18,0),"")</f>
        <v>0</v>
      </c>
      <c r="F486">
        <f t="shared" si="15"/>
        <v>0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IFERROR(VLOOKUP(A486,库龄!B:K,9,0),0)</f>
        <v>0</v>
      </c>
      <c r="K486">
        <f>IFERROR(VLOOKUP(A486,库龄!B:L,10,0),0)</f>
        <v>0</v>
      </c>
      <c r="L486">
        <f>IFERROR(VLOOKUP(A486,库龄!B:M,11,0),0)</f>
        <v>0</v>
      </c>
      <c r="M486">
        <f>IFERROR(VLOOKUP(A486,库龄!B:N,12,0),0)</f>
        <v>0</v>
      </c>
      <c r="N486">
        <f t="shared" si="16"/>
        <v>0</v>
      </c>
    </row>
    <row r="487" spans="1:14">
      <c r="A487" s="3" t="s">
        <v>1577</v>
      </c>
      <c r="B487">
        <f>IFERROR(VLOOKUP(A487,管理亚马逊库存!A:K,11,0),"")</f>
        <v>0</v>
      </c>
      <c r="C487">
        <f>IFERROR(VLOOKUP(A487,管理亚马逊库存!A:L,12,0),"")</f>
        <v>0</v>
      </c>
      <c r="D487">
        <f>IFERROR(VLOOKUP(A487,管理亚马逊库存!A:Q,17,0),"")</f>
        <v>0</v>
      </c>
      <c r="E487">
        <f>IFERROR(VLOOKUP(A487,管理亚马逊库存!A:R,18,0),"")</f>
        <v>0</v>
      </c>
      <c r="F487">
        <f t="shared" si="15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IFERROR(VLOOKUP(A487,库龄!B:K,9,0),0)</f>
        <v>0</v>
      </c>
      <c r="K487">
        <f>IFERROR(VLOOKUP(A487,库龄!B:L,10,0),0)</f>
        <v>0</v>
      </c>
      <c r="L487">
        <f>IFERROR(VLOOKUP(A487,库龄!B:M,11,0),0)</f>
        <v>0</v>
      </c>
      <c r="M487">
        <f>IFERROR(VLOOKUP(A487,库龄!B:N,12,0),0)</f>
        <v>0</v>
      </c>
      <c r="N487">
        <f t="shared" si="16"/>
        <v>0</v>
      </c>
    </row>
    <row r="488" spans="1:14">
      <c r="A488" s="3" t="s">
        <v>1579</v>
      </c>
      <c r="B488">
        <f>IFERROR(VLOOKUP(A488,管理亚马逊库存!A:K,11,0),"")</f>
        <v>0</v>
      </c>
      <c r="C488">
        <f>IFERROR(VLOOKUP(A488,管理亚马逊库存!A:L,12,0),"")</f>
        <v>0</v>
      </c>
      <c r="D488">
        <f>IFERROR(VLOOKUP(A488,管理亚马逊库存!A:Q,17,0),"")</f>
        <v>0</v>
      </c>
      <c r="E488">
        <f>IFERROR(VLOOKUP(A488,管理亚马逊库存!A:R,18,0),"")</f>
        <v>0</v>
      </c>
      <c r="F488">
        <f t="shared" si="15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IFERROR(VLOOKUP(A488,库龄!B:K,9,0),0)</f>
        <v>0</v>
      </c>
      <c r="K488">
        <f>IFERROR(VLOOKUP(A488,库龄!B:L,10,0),0)</f>
        <v>0</v>
      </c>
      <c r="L488">
        <f>IFERROR(VLOOKUP(A488,库龄!B:M,11,0),0)</f>
        <v>0</v>
      </c>
      <c r="M488">
        <f>IFERROR(VLOOKUP(A488,库龄!B:N,12,0),0)</f>
        <v>0</v>
      </c>
      <c r="N488">
        <f t="shared" si="16"/>
        <v>0</v>
      </c>
    </row>
    <row r="489" spans="1:14">
      <c r="A489" s="3" t="s">
        <v>1581</v>
      </c>
      <c r="B489">
        <f>IFERROR(VLOOKUP(A489,管理亚马逊库存!A:K,11,0),"")</f>
        <v>0</v>
      </c>
      <c r="C489">
        <f>IFERROR(VLOOKUP(A489,管理亚马逊库存!A:L,12,0),"")</f>
        <v>0</v>
      </c>
      <c r="D489">
        <f>IFERROR(VLOOKUP(A489,管理亚马逊库存!A:Q,17,0),"")</f>
        <v>0</v>
      </c>
      <c r="E489">
        <f>IFERROR(VLOOKUP(A489,管理亚马逊库存!A:R,18,0),"")</f>
        <v>0</v>
      </c>
      <c r="F489">
        <f t="shared" si="15"/>
        <v>0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IFERROR(VLOOKUP(A489,库龄!B:K,9,0),0)</f>
        <v>0</v>
      </c>
      <c r="K489">
        <f>IFERROR(VLOOKUP(A489,库龄!B:L,10,0),0)</f>
        <v>0</v>
      </c>
      <c r="L489">
        <f>IFERROR(VLOOKUP(A489,库龄!B:M,11,0),0)</f>
        <v>0</v>
      </c>
      <c r="M489">
        <f>IFERROR(VLOOKUP(A489,库龄!B:N,12,0),0)</f>
        <v>0</v>
      </c>
      <c r="N489">
        <f t="shared" si="16"/>
        <v>0</v>
      </c>
    </row>
    <row r="490" spans="1:14">
      <c r="A490" s="3" t="s">
        <v>1583</v>
      </c>
      <c r="B490">
        <f>IFERROR(VLOOKUP(A490,管理亚马逊库存!A:K,11,0),"")</f>
        <v>0</v>
      </c>
      <c r="C490">
        <f>IFERROR(VLOOKUP(A490,管理亚马逊库存!A:L,12,0),"")</f>
        <v>0</v>
      </c>
      <c r="D490">
        <f>IFERROR(VLOOKUP(A490,管理亚马逊库存!A:Q,17,0),"")</f>
        <v>0</v>
      </c>
      <c r="E490">
        <f>IFERROR(VLOOKUP(A490,管理亚马逊库存!A:R,18,0),"")</f>
        <v>0</v>
      </c>
      <c r="F490">
        <f t="shared" si="15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IFERROR(VLOOKUP(A490,库龄!B:K,9,0),0)</f>
        <v>0</v>
      </c>
      <c r="K490">
        <f>IFERROR(VLOOKUP(A490,库龄!B:L,10,0),0)</f>
        <v>0</v>
      </c>
      <c r="L490">
        <f>IFERROR(VLOOKUP(A490,库龄!B:M,11,0),0)</f>
        <v>0</v>
      </c>
      <c r="M490">
        <f>IFERROR(VLOOKUP(A490,库龄!B:N,12,0),0)</f>
        <v>0</v>
      </c>
      <c r="N490">
        <f t="shared" si="16"/>
        <v>0</v>
      </c>
    </row>
    <row r="491" spans="1:14">
      <c r="A491" s="3" t="s">
        <v>1586</v>
      </c>
      <c r="B491">
        <f>IFERROR(VLOOKUP(A491,管理亚马逊库存!A:K,11,0),"")</f>
        <v>0</v>
      </c>
      <c r="C491">
        <f>IFERROR(VLOOKUP(A491,管理亚马逊库存!A:L,12,0),"")</f>
        <v>0</v>
      </c>
      <c r="D491">
        <f>IFERROR(VLOOKUP(A491,管理亚马逊库存!A:Q,17,0),"")</f>
        <v>0</v>
      </c>
      <c r="E491">
        <f>IFERROR(VLOOKUP(A491,管理亚马逊库存!A:R,18,0),"")</f>
        <v>0</v>
      </c>
      <c r="F491">
        <f t="shared" si="15"/>
        <v>0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IFERROR(VLOOKUP(A491,库龄!B:K,9,0),0)</f>
        <v>0</v>
      </c>
      <c r="K491">
        <f>IFERROR(VLOOKUP(A491,库龄!B:L,10,0),0)</f>
        <v>0</v>
      </c>
      <c r="L491">
        <f>IFERROR(VLOOKUP(A491,库龄!B:M,11,0),0)</f>
        <v>0</v>
      </c>
      <c r="M491">
        <f>IFERROR(VLOOKUP(A491,库龄!B:N,12,0),0)</f>
        <v>0</v>
      </c>
      <c r="N491">
        <f t="shared" si="16"/>
        <v>0</v>
      </c>
    </row>
    <row r="492" spans="1:14">
      <c r="A492" s="3" t="s">
        <v>1589</v>
      </c>
      <c r="B492">
        <f>IFERROR(VLOOKUP(A492,管理亚马逊库存!A:K,11,0),"")</f>
        <v>0</v>
      </c>
      <c r="C492">
        <f>IFERROR(VLOOKUP(A492,管理亚马逊库存!A:L,12,0),"")</f>
        <v>0</v>
      </c>
      <c r="D492">
        <f>IFERROR(VLOOKUP(A492,管理亚马逊库存!A:Q,17,0),"")</f>
        <v>0</v>
      </c>
      <c r="E492">
        <f>IFERROR(VLOOKUP(A492,管理亚马逊库存!A:R,18,0),"")</f>
        <v>0</v>
      </c>
      <c r="F492">
        <f t="shared" si="15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IFERROR(VLOOKUP(A492,库龄!B:K,9,0),0)</f>
        <v>0</v>
      </c>
      <c r="K492">
        <f>IFERROR(VLOOKUP(A492,库龄!B:L,10,0),0)</f>
        <v>0</v>
      </c>
      <c r="L492">
        <f>IFERROR(VLOOKUP(A492,库龄!B:M,11,0),0)</f>
        <v>0</v>
      </c>
      <c r="M492">
        <f>IFERROR(VLOOKUP(A492,库龄!B:N,12,0),0)</f>
        <v>0</v>
      </c>
      <c r="N492">
        <f t="shared" si="16"/>
        <v>0</v>
      </c>
    </row>
    <row r="493" spans="1:14">
      <c r="A493" s="3" t="s">
        <v>1592</v>
      </c>
      <c r="B493">
        <f>IFERROR(VLOOKUP(A493,管理亚马逊库存!A:K,11,0),"")</f>
        <v>0</v>
      </c>
      <c r="C493">
        <f>IFERROR(VLOOKUP(A493,管理亚马逊库存!A:L,12,0),"")</f>
        <v>0</v>
      </c>
      <c r="D493">
        <f>IFERROR(VLOOKUP(A493,管理亚马逊库存!A:Q,17,0),"")</f>
        <v>0</v>
      </c>
      <c r="E493">
        <f>IFERROR(VLOOKUP(A493,管理亚马逊库存!A:R,18,0),"")</f>
        <v>0</v>
      </c>
      <c r="F493">
        <f t="shared" si="15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IFERROR(VLOOKUP(A493,库龄!B:K,9,0),0)</f>
        <v>0</v>
      </c>
      <c r="K493">
        <f>IFERROR(VLOOKUP(A493,库龄!B:L,10,0),0)</f>
        <v>0</v>
      </c>
      <c r="L493">
        <f>IFERROR(VLOOKUP(A493,库龄!B:M,11,0),0)</f>
        <v>0</v>
      </c>
      <c r="M493">
        <f>IFERROR(VLOOKUP(A493,库龄!B:N,12,0),0)</f>
        <v>0</v>
      </c>
      <c r="N493">
        <f t="shared" si="16"/>
        <v>0</v>
      </c>
    </row>
    <row r="494" spans="1:14">
      <c r="A494" s="3" t="s">
        <v>1595</v>
      </c>
      <c r="B494">
        <f>IFERROR(VLOOKUP(A494,管理亚马逊库存!A:K,11,0),"")</f>
        <v>0</v>
      </c>
      <c r="C494">
        <f>IFERROR(VLOOKUP(A494,管理亚马逊库存!A:L,12,0),"")</f>
        <v>0</v>
      </c>
      <c r="D494">
        <f>IFERROR(VLOOKUP(A494,管理亚马逊库存!A:Q,17,0),"")</f>
        <v>0</v>
      </c>
      <c r="E494">
        <f>IFERROR(VLOOKUP(A494,管理亚马逊库存!A:R,18,0),"")</f>
        <v>0</v>
      </c>
      <c r="F494">
        <f t="shared" si="15"/>
        <v>0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IFERROR(VLOOKUP(A494,库龄!B:K,9,0),0)</f>
        <v>0</v>
      </c>
      <c r="K494">
        <f>IFERROR(VLOOKUP(A494,库龄!B:L,10,0),0)</f>
        <v>0</v>
      </c>
      <c r="L494">
        <f>IFERROR(VLOOKUP(A494,库龄!B:M,11,0),0)</f>
        <v>0</v>
      </c>
      <c r="M494">
        <f>IFERROR(VLOOKUP(A494,库龄!B:N,12,0),0)</f>
        <v>0</v>
      </c>
      <c r="N494">
        <f t="shared" si="16"/>
        <v>0</v>
      </c>
    </row>
    <row r="495" spans="1:14">
      <c r="A495" s="3" t="s">
        <v>1597</v>
      </c>
      <c r="B495">
        <f>IFERROR(VLOOKUP(A495,管理亚马逊库存!A:K,11,0),"")</f>
        <v>0</v>
      </c>
      <c r="C495">
        <f>IFERROR(VLOOKUP(A495,管理亚马逊库存!A:L,12,0),"")</f>
        <v>0</v>
      </c>
      <c r="D495">
        <f>IFERROR(VLOOKUP(A495,管理亚马逊库存!A:Q,17,0),"")</f>
        <v>0</v>
      </c>
      <c r="E495">
        <f>IFERROR(VLOOKUP(A495,管理亚马逊库存!A:R,18,0),"")</f>
        <v>0</v>
      </c>
      <c r="F495">
        <f t="shared" si="15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IFERROR(VLOOKUP(A495,库龄!B:K,9,0),0)</f>
        <v>0</v>
      </c>
      <c r="K495">
        <f>IFERROR(VLOOKUP(A495,库龄!B:L,10,0),0)</f>
        <v>0</v>
      </c>
      <c r="L495">
        <f>IFERROR(VLOOKUP(A495,库龄!B:M,11,0),0)</f>
        <v>0</v>
      </c>
      <c r="M495">
        <f>IFERROR(VLOOKUP(A495,库龄!B:N,12,0),0)</f>
        <v>0</v>
      </c>
      <c r="N495">
        <f t="shared" si="16"/>
        <v>0</v>
      </c>
    </row>
    <row r="496" spans="1:14">
      <c r="A496" s="3" t="s">
        <v>1599</v>
      </c>
      <c r="B496">
        <f>IFERROR(VLOOKUP(A496,管理亚马逊库存!A:K,11,0),"")</f>
        <v>0</v>
      </c>
      <c r="C496">
        <f>IFERROR(VLOOKUP(A496,管理亚马逊库存!A:L,12,0),"")</f>
        <v>0</v>
      </c>
      <c r="D496">
        <f>IFERROR(VLOOKUP(A496,管理亚马逊库存!A:Q,17,0),"")</f>
        <v>0</v>
      </c>
      <c r="E496">
        <f>IFERROR(VLOOKUP(A496,管理亚马逊库存!A:R,18,0),"")</f>
        <v>0</v>
      </c>
      <c r="F496">
        <f t="shared" si="15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IFERROR(VLOOKUP(A496,库龄!B:K,9,0),0)</f>
        <v>0</v>
      </c>
      <c r="K496">
        <f>IFERROR(VLOOKUP(A496,库龄!B:L,10,0),0)</f>
        <v>0</v>
      </c>
      <c r="L496">
        <f>IFERROR(VLOOKUP(A496,库龄!B:M,11,0),0)</f>
        <v>0</v>
      </c>
      <c r="M496">
        <f>IFERROR(VLOOKUP(A496,库龄!B:N,12,0),0)</f>
        <v>0</v>
      </c>
      <c r="N496">
        <f t="shared" si="16"/>
        <v>0</v>
      </c>
    </row>
    <row r="497" spans="1:14">
      <c r="A497" s="3" t="s">
        <v>1602</v>
      </c>
      <c r="B497">
        <f>IFERROR(VLOOKUP(A497,管理亚马逊库存!A:K,11,0),"")</f>
        <v>0</v>
      </c>
      <c r="C497">
        <f>IFERROR(VLOOKUP(A497,管理亚马逊库存!A:L,12,0),"")</f>
        <v>0</v>
      </c>
      <c r="D497">
        <f>IFERROR(VLOOKUP(A497,管理亚马逊库存!A:Q,17,0),"")</f>
        <v>0</v>
      </c>
      <c r="E497">
        <f>IFERROR(VLOOKUP(A497,管理亚马逊库存!A:R,18,0),"")</f>
        <v>0</v>
      </c>
      <c r="F497">
        <f t="shared" si="15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IFERROR(VLOOKUP(A497,库龄!B:K,9,0),0)</f>
        <v>0</v>
      </c>
      <c r="K497">
        <f>IFERROR(VLOOKUP(A497,库龄!B:L,10,0),0)</f>
        <v>0</v>
      </c>
      <c r="L497">
        <f>IFERROR(VLOOKUP(A497,库龄!B:M,11,0),0)</f>
        <v>0</v>
      </c>
      <c r="M497">
        <f>IFERROR(VLOOKUP(A497,库龄!B:N,12,0),0)</f>
        <v>0</v>
      </c>
      <c r="N497">
        <f t="shared" si="16"/>
        <v>0</v>
      </c>
    </row>
    <row r="498" spans="1:14">
      <c r="A498" s="3" t="s">
        <v>1604</v>
      </c>
      <c r="B498">
        <f>IFERROR(VLOOKUP(A498,管理亚马逊库存!A:K,11,0),"")</f>
        <v>0</v>
      </c>
      <c r="C498">
        <f>IFERROR(VLOOKUP(A498,管理亚马逊库存!A:L,12,0),"")</f>
        <v>0</v>
      </c>
      <c r="D498">
        <f>IFERROR(VLOOKUP(A498,管理亚马逊库存!A:Q,17,0),"")</f>
        <v>0</v>
      </c>
      <c r="E498">
        <f>IFERROR(VLOOKUP(A498,管理亚马逊库存!A:R,18,0),"")</f>
        <v>0</v>
      </c>
      <c r="F498">
        <f t="shared" si="15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IFERROR(VLOOKUP(A498,库龄!B:K,9,0),0)</f>
        <v>0</v>
      </c>
      <c r="K498">
        <f>IFERROR(VLOOKUP(A498,库龄!B:L,10,0),0)</f>
        <v>0</v>
      </c>
      <c r="L498">
        <f>IFERROR(VLOOKUP(A498,库龄!B:M,11,0),0)</f>
        <v>0</v>
      </c>
      <c r="M498">
        <f>IFERROR(VLOOKUP(A498,库龄!B:N,12,0),0)</f>
        <v>0</v>
      </c>
      <c r="N498">
        <f t="shared" si="16"/>
        <v>0</v>
      </c>
    </row>
    <row r="499" spans="1:14">
      <c r="A499" s="3" t="s">
        <v>1606</v>
      </c>
      <c r="B499">
        <f>IFERROR(VLOOKUP(A499,管理亚马逊库存!A:K,11,0),"")</f>
        <v>0</v>
      </c>
      <c r="C499">
        <f>IFERROR(VLOOKUP(A499,管理亚马逊库存!A:L,12,0),"")</f>
        <v>0</v>
      </c>
      <c r="D499">
        <f>IFERROR(VLOOKUP(A499,管理亚马逊库存!A:Q,17,0),"")</f>
        <v>0</v>
      </c>
      <c r="E499">
        <f>IFERROR(VLOOKUP(A499,管理亚马逊库存!A:R,18,0),"")</f>
        <v>0</v>
      </c>
      <c r="F499">
        <f t="shared" si="15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IFERROR(VLOOKUP(A499,库龄!B:K,9,0),0)</f>
        <v>0</v>
      </c>
      <c r="K499">
        <f>IFERROR(VLOOKUP(A499,库龄!B:L,10,0),0)</f>
        <v>0</v>
      </c>
      <c r="L499">
        <f>IFERROR(VLOOKUP(A499,库龄!B:M,11,0),0)</f>
        <v>0</v>
      </c>
      <c r="M499">
        <f>IFERROR(VLOOKUP(A499,库龄!B:N,12,0),0)</f>
        <v>0</v>
      </c>
      <c r="N499">
        <f t="shared" si="16"/>
        <v>0</v>
      </c>
    </row>
    <row r="500" spans="1:14">
      <c r="A500" s="3" t="s">
        <v>1608</v>
      </c>
      <c r="B500">
        <f>IFERROR(VLOOKUP(A500,管理亚马逊库存!A:K,11,0),"")</f>
        <v>0</v>
      </c>
      <c r="C500">
        <f>IFERROR(VLOOKUP(A500,管理亚马逊库存!A:L,12,0),"")</f>
        <v>0</v>
      </c>
      <c r="D500">
        <f>IFERROR(VLOOKUP(A500,管理亚马逊库存!A:Q,17,0),"")</f>
        <v>0</v>
      </c>
      <c r="E500">
        <f>IFERROR(VLOOKUP(A500,管理亚马逊库存!A:R,18,0),"")</f>
        <v>0</v>
      </c>
      <c r="F500">
        <f t="shared" si="15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IFERROR(VLOOKUP(A500,库龄!B:K,9,0),0)</f>
        <v>0</v>
      </c>
      <c r="K500">
        <f>IFERROR(VLOOKUP(A500,库龄!B:L,10,0),0)</f>
        <v>0</v>
      </c>
      <c r="L500">
        <f>IFERROR(VLOOKUP(A500,库龄!B:M,11,0),0)</f>
        <v>0</v>
      </c>
      <c r="M500">
        <f>IFERROR(VLOOKUP(A500,库龄!B:N,12,0),0)</f>
        <v>0</v>
      </c>
      <c r="N500">
        <f t="shared" si="16"/>
        <v>0</v>
      </c>
    </row>
    <row r="501" spans="1:14">
      <c r="A501" s="3" t="s">
        <v>1610</v>
      </c>
      <c r="B501">
        <f>IFERROR(VLOOKUP(A501,管理亚马逊库存!A:K,11,0),"")</f>
        <v>0</v>
      </c>
      <c r="C501">
        <f>IFERROR(VLOOKUP(A501,管理亚马逊库存!A:L,12,0),"")</f>
        <v>0</v>
      </c>
      <c r="D501">
        <f>IFERROR(VLOOKUP(A501,管理亚马逊库存!A:Q,17,0),"")</f>
        <v>0</v>
      </c>
      <c r="E501">
        <f>IFERROR(VLOOKUP(A501,管理亚马逊库存!A:R,18,0),"")</f>
        <v>0</v>
      </c>
      <c r="F501">
        <f t="shared" si="15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IFERROR(VLOOKUP(A501,库龄!B:K,9,0),0)</f>
        <v>0</v>
      </c>
      <c r="K501">
        <f>IFERROR(VLOOKUP(A501,库龄!B:L,10,0),0)</f>
        <v>0</v>
      </c>
      <c r="L501">
        <f>IFERROR(VLOOKUP(A501,库龄!B:M,11,0),0)</f>
        <v>0</v>
      </c>
      <c r="M501">
        <f>IFERROR(VLOOKUP(A501,库龄!B:N,12,0),0)</f>
        <v>0</v>
      </c>
      <c r="N501">
        <f t="shared" si="16"/>
        <v>0</v>
      </c>
    </row>
    <row r="502" spans="1:14">
      <c r="A502" s="3" t="s">
        <v>1613</v>
      </c>
      <c r="B502">
        <f>IFERROR(VLOOKUP(A502,管理亚马逊库存!A:K,11,0),"")</f>
        <v>0</v>
      </c>
      <c r="C502">
        <f>IFERROR(VLOOKUP(A502,管理亚马逊库存!A:L,12,0),"")</f>
        <v>0</v>
      </c>
      <c r="D502">
        <f>IFERROR(VLOOKUP(A502,管理亚马逊库存!A:Q,17,0),"")</f>
        <v>0</v>
      </c>
      <c r="E502">
        <f>IFERROR(VLOOKUP(A502,管理亚马逊库存!A:R,18,0),"")</f>
        <v>0</v>
      </c>
      <c r="F502">
        <f t="shared" si="15"/>
        <v>0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IFERROR(VLOOKUP(A502,库龄!B:K,9,0),0)</f>
        <v>0</v>
      </c>
      <c r="K502">
        <f>IFERROR(VLOOKUP(A502,库龄!B:L,10,0),0)</f>
        <v>0</v>
      </c>
      <c r="L502">
        <f>IFERROR(VLOOKUP(A502,库龄!B:M,11,0),0)</f>
        <v>0</v>
      </c>
      <c r="M502">
        <f>IFERROR(VLOOKUP(A502,库龄!B:N,12,0),0)</f>
        <v>0</v>
      </c>
      <c r="N502">
        <f t="shared" si="16"/>
        <v>0</v>
      </c>
    </row>
    <row r="503" spans="1:14">
      <c r="A503" s="3" t="s">
        <v>1615</v>
      </c>
      <c r="B503">
        <f>IFERROR(VLOOKUP(A503,管理亚马逊库存!A:K,11,0),"")</f>
        <v>0</v>
      </c>
      <c r="C503">
        <f>IFERROR(VLOOKUP(A503,管理亚马逊库存!A:L,12,0),"")</f>
        <v>0</v>
      </c>
      <c r="D503">
        <f>IFERROR(VLOOKUP(A503,管理亚马逊库存!A:Q,17,0),"")</f>
        <v>0</v>
      </c>
      <c r="E503">
        <f>IFERROR(VLOOKUP(A503,管理亚马逊库存!A:R,18,0),"")</f>
        <v>0</v>
      </c>
      <c r="F503">
        <f t="shared" si="15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IFERROR(VLOOKUP(A503,库龄!B:K,9,0),0)</f>
        <v>0</v>
      </c>
      <c r="K503">
        <f>IFERROR(VLOOKUP(A503,库龄!B:L,10,0),0)</f>
        <v>0</v>
      </c>
      <c r="L503">
        <f>IFERROR(VLOOKUP(A503,库龄!B:M,11,0),0)</f>
        <v>0</v>
      </c>
      <c r="M503">
        <f>IFERROR(VLOOKUP(A503,库龄!B:N,12,0),0)</f>
        <v>0</v>
      </c>
      <c r="N503">
        <f t="shared" si="16"/>
        <v>0</v>
      </c>
    </row>
    <row r="504" spans="1:14">
      <c r="A504" s="3" t="s">
        <v>1617</v>
      </c>
      <c r="B504">
        <f>IFERROR(VLOOKUP(A504,管理亚马逊库存!A:K,11,0),"")</f>
        <v>0</v>
      </c>
      <c r="C504">
        <f>IFERROR(VLOOKUP(A504,管理亚马逊库存!A:L,12,0),"")</f>
        <v>0</v>
      </c>
      <c r="D504">
        <f>IFERROR(VLOOKUP(A504,管理亚马逊库存!A:Q,17,0),"")</f>
        <v>0</v>
      </c>
      <c r="E504">
        <f>IFERROR(VLOOKUP(A504,管理亚马逊库存!A:R,18,0),"")</f>
        <v>0</v>
      </c>
      <c r="F504">
        <f t="shared" si="15"/>
        <v>0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IFERROR(VLOOKUP(A504,库龄!B:K,9,0),0)</f>
        <v>0</v>
      </c>
      <c r="K504">
        <f>IFERROR(VLOOKUP(A504,库龄!B:L,10,0),0)</f>
        <v>0</v>
      </c>
      <c r="L504">
        <f>IFERROR(VLOOKUP(A504,库龄!B:M,11,0),0)</f>
        <v>0</v>
      </c>
      <c r="M504">
        <f>IFERROR(VLOOKUP(A504,库龄!B:N,12,0),0)</f>
        <v>0</v>
      </c>
      <c r="N504">
        <f t="shared" si="16"/>
        <v>0</v>
      </c>
    </row>
    <row r="505" spans="1:14">
      <c r="A505" s="3" t="s">
        <v>1620</v>
      </c>
      <c r="B505">
        <f>IFERROR(VLOOKUP(A505,管理亚马逊库存!A:K,11,0),"")</f>
        <v>0</v>
      </c>
      <c r="C505">
        <f>IFERROR(VLOOKUP(A505,管理亚马逊库存!A:L,12,0),"")</f>
        <v>0</v>
      </c>
      <c r="D505">
        <f>IFERROR(VLOOKUP(A505,管理亚马逊库存!A:Q,17,0),"")</f>
        <v>0</v>
      </c>
      <c r="E505">
        <f>IFERROR(VLOOKUP(A505,管理亚马逊库存!A:R,18,0),"")</f>
        <v>0</v>
      </c>
      <c r="F505">
        <f t="shared" si="15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IFERROR(VLOOKUP(A505,库龄!B:K,9,0),0)</f>
        <v>0</v>
      </c>
      <c r="K505">
        <f>IFERROR(VLOOKUP(A505,库龄!B:L,10,0),0)</f>
        <v>0</v>
      </c>
      <c r="L505">
        <f>IFERROR(VLOOKUP(A505,库龄!B:M,11,0),0)</f>
        <v>0</v>
      </c>
      <c r="M505">
        <f>IFERROR(VLOOKUP(A505,库龄!B:N,12,0),0)</f>
        <v>0</v>
      </c>
      <c r="N505">
        <f t="shared" si="16"/>
        <v>0</v>
      </c>
    </row>
    <row r="506" spans="1:14">
      <c r="A506" s="3" t="s">
        <v>1622</v>
      </c>
      <c r="B506">
        <f>IFERROR(VLOOKUP(A506,管理亚马逊库存!A:K,11,0),"")</f>
        <v>0</v>
      </c>
      <c r="C506">
        <f>IFERROR(VLOOKUP(A506,管理亚马逊库存!A:L,12,0),"")</f>
        <v>0</v>
      </c>
      <c r="D506">
        <f>IFERROR(VLOOKUP(A506,管理亚马逊库存!A:Q,17,0),"")</f>
        <v>0</v>
      </c>
      <c r="E506">
        <f>IFERROR(VLOOKUP(A506,管理亚马逊库存!A:R,18,0),"")</f>
        <v>0</v>
      </c>
      <c r="F506">
        <f t="shared" si="15"/>
        <v>0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IFERROR(VLOOKUP(A506,库龄!B:K,9,0),0)</f>
        <v>0</v>
      </c>
      <c r="K506">
        <f>IFERROR(VLOOKUP(A506,库龄!B:L,10,0),0)</f>
        <v>0</v>
      </c>
      <c r="L506">
        <f>IFERROR(VLOOKUP(A506,库龄!B:M,11,0),0)</f>
        <v>0</v>
      </c>
      <c r="M506">
        <f>IFERROR(VLOOKUP(A506,库龄!B:N,12,0),0)</f>
        <v>0</v>
      </c>
      <c r="N506">
        <f t="shared" si="16"/>
        <v>0</v>
      </c>
    </row>
    <row r="507" spans="1:14">
      <c r="A507" s="3" t="s">
        <v>1624</v>
      </c>
      <c r="B507">
        <f>IFERROR(VLOOKUP(A507,管理亚马逊库存!A:K,11,0),"")</f>
        <v>0</v>
      </c>
      <c r="C507">
        <f>IFERROR(VLOOKUP(A507,管理亚马逊库存!A:L,12,0),"")</f>
        <v>0</v>
      </c>
      <c r="D507">
        <f>IFERROR(VLOOKUP(A507,管理亚马逊库存!A:Q,17,0),"")</f>
        <v>0</v>
      </c>
      <c r="E507">
        <f>IFERROR(VLOOKUP(A507,管理亚马逊库存!A:R,18,0),"")</f>
        <v>0</v>
      </c>
      <c r="F507">
        <f t="shared" si="15"/>
        <v>0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IFERROR(VLOOKUP(A507,库龄!B:K,9,0),0)</f>
        <v>0</v>
      </c>
      <c r="K507">
        <f>IFERROR(VLOOKUP(A507,库龄!B:L,10,0),0)</f>
        <v>0</v>
      </c>
      <c r="L507">
        <f>IFERROR(VLOOKUP(A507,库龄!B:M,11,0),0)</f>
        <v>0</v>
      </c>
      <c r="M507">
        <f>IFERROR(VLOOKUP(A507,库龄!B:N,12,0),0)</f>
        <v>0</v>
      </c>
      <c r="N507">
        <f t="shared" si="16"/>
        <v>0</v>
      </c>
    </row>
    <row r="508" spans="1:14">
      <c r="A508" s="3" t="s">
        <v>1626</v>
      </c>
      <c r="B508">
        <f>IFERROR(VLOOKUP(A508,管理亚马逊库存!A:K,11,0),"")</f>
        <v>0</v>
      </c>
      <c r="C508">
        <f>IFERROR(VLOOKUP(A508,管理亚马逊库存!A:L,12,0),"")</f>
        <v>0</v>
      </c>
      <c r="D508">
        <f>IFERROR(VLOOKUP(A508,管理亚马逊库存!A:Q,17,0),"")</f>
        <v>0</v>
      </c>
      <c r="E508">
        <f>IFERROR(VLOOKUP(A508,管理亚马逊库存!A:R,18,0),"")</f>
        <v>0</v>
      </c>
      <c r="F508">
        <f t="shared" si="15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IFERROR(VLOOKUP(A508,库龄!B:K,9,0),0)</f>
        <v>0</v>
      </c>
      <c r="K508">
        <f>IFERROR(VLOOKUP(A508,库龄!B:L,10,0),0)</f>
        <v>0</v>
      </c>
      <c r="L508">
        <f>IFERROR(VLOOKUP(A508,库龄!B:M,11,0),0)</f>
        <v>0</v>
      </c>
      <c r="M508">
        <f>IFERROR(VLOOKUP(A508,库龄!B:N,12,0),0)</f>
        <v>0</v>
      </c>
      <c r="N508">
        <f t="shared" si="16"/>
        <v>0</v>
      </c>
    </row>
    <row r="509" spans="1:14">
      <c r="A509" s="3" t="s">
        <v>1628</v>
      </c>
      <c r="B509">
        <f>IFERROR(VLOOKUP(A509,管理亚马逊库存!A:K,11,0),"")</f>
        <v>0</v>
      </c>
      <c r="C509">
        <f>IFERROR(VLOOKUP(A509,管理亚马逊库存!A:L,12,0),"")</f>
        <v>0</v>
      </c>
      <c r="D509">
        <f>IFERROR(VLOOKUP(A509,管理亚马逊库存!A:Q,17,0),"")</f>
        <v>0</v>
      </c>
      <c r="E509">
        <f>IFERROR(VLOOKUP(A509,管理亚马逊库存!A:R,18,0),"")</f>
        <v>0</v>
      </c>
      <c r="F509">
        <f t="shared" si="15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IFERROR(VLOOKUP(A509,库龄!B:K,9,0),0)</f>
        <v>0</v>
      </c>
      <c r="K509">
        <f>IFERROR(VLOOKUP(A509,库龄!B:L,10,0),0)</f>
        <v>0</v>
      </c>
      <c r="L509">
        <f>IFERROR(VLOOKUP(A509,库龄!B:M,11,0),0)</f>
        <v>0</v>
      </c>
      <c r="M509">
        <f>IFERROR(VLOOKUP(A509,库龄!B:N,12,0),0)</f>
        <v>0</v>
      </c>
      <c r="N509">
        <f t="shared" si="16"/>
        <v>0</v>
      </c>
    </row>
    <row r="510" spans="1:14">
      <c r="A510" s="3" t="s">
        <v>1630</v>
      </c>
      <c r="B510">
        <f>IFERROR(VLOOKUP(A510,管理亚马逊库存!A:K,11,0),"")</f>
        <v>0</v>
      </c>
      <c r="C510">
        <f>IFERROR(VLOOKUP(A510,管理亚马逊库存!A:L,12,0),"")</f>
        <v>0</v>
      </c>
      <c r="D510">
        <f>IFERROR(VLOOKUP(A510,管理亚马逊库存!A:Q,17,0),"")</f>
        <v>0</v>
      </c>
      <c r="E510">
        <f>IFERROR(VLOOKUP(A510,管理亚马逊库存!A:R,18,0),"")</f>
        <v>0</v>
      </c>
      <c r="F510">
        <f t="shared" si="15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IFERROR(VLOOKUP(A510,库龄!B:K,9,0),0)</f>
        <v>0</v>
      </c>
      <c r="K510">
        <f>IFERROR(VLOOKUP(A510,库龄!B:L,10,0),0)</f>
        <v>0</v>
      </c>
      <c r="L510">
        <f>IFERROR(VLOOKUP(A510,库龄!B:M,11,0),0)</f>
        <v>0</v>
      </c>
      <c r="M510">
        <f>IFERROR(VLOOKUP(A510,库龄!B:N,12,0),0)</f>
        <v>0</v>
      </c>
      <c r="N510">
        <f t="shared" si="16"/>
        <v>0</v>
      </c>
    </row>
    <row r="511" spans="1:14">
      <c r="A511" s="3" t="s">
        <v>1632</v>
      </c>
      <c r="B511">
        <f>IFERROR(VLOOKUP(A511,管理亚马逊库存!A:K,11,0),"")</f>
        <v>0</v>
      </c>
      <c r="C511">
        <f>IFERROR(VLOOKUP(A511,管理亚马逊库存!A:L,12,0),"")</f>
        <v>0</v>
      </c>
      <c r="D511">
        <f>IFERROR(VLOOKUP(A511,管理亚马逊库存!A:Q,17,0),"")</f>
        <v>0</v>
      </c>
      <c r="E511">
        <f>IFERROR(VLOOKUP(A511,管理亚马逊库存!A:R,18,0),"")</f>
        <v>0</v>
      </c>
      <c r="F511">
        <f t="shared" si="15"/>
        <v>0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IFERROR(VLOOKUP(A511,库龄!B:K,9,0),0)</f>
        <v>0</v>
      </c>
      <c r="K511">
        <f>IFERROR(VLOOKUP(A511,库龄!B:L,10,0),0)</f>
        <v>0</v>
      </c>
      <c r="L511">
        <f>IFERROR(VLOOKUP(A511,库龄!B:M,11,0),0)</f>
        <v>0</v>
      </c>
      <c r="M511">
        <f>IFERROR(VLOOKUP(A511,库龄!B:N,12,0),0)</f>
        <v>0</v>
      </c>
      <c r="N511">
        <f t="shared" si="16"/>
        <v>0</v>
      </c>
    </row>
    <row r="512" spans="1:14">
      <c r="A512" s="3" t="s">
        <v>1634</v>
      </c>
      <c r="B512">
        <f>IFERROR(VLOOKUP(A512,管理亚马逊库存!A:K,11,0),"")</f>
        <v>0</v>
      </c>
      <c r="C512">
        <f>IFERROR(VLOOKUP(A512,管理亚马逊库存!A:L,12,0),"")</f>
        <v>0</v>
      </c>
      <c r="D512">
        <f>IFERROR(VLOOKUP(A512,管理亚马逊库存!A:Q,17,0),"")</f>
        <v>0</v>
      </c>
      <c r="E512">
        <f>IFERROR(VLOOKUP(A512,管理亚马逊库存!A:R,18,0),"")</f>
        <v>0</v>
      </c>
      <c r="F512">
        <f t="shared" si="15"/>
        <v>0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IFERROR(VLOOKUP(A512,库龄!B:K,9,0),0)</f>
        <v>0</v>
      </c>
      <c r="K512">
        <f>IFERROR(VLOOKUP(A512,库龄!B:L,10,0),0)</f>
        <v>0</v>
      </c>
      <c r="L512">
        <f>IFERROR(VLOOKUP(A512,库龄!B:M,11,0),0)</f>
        <v>0</v>
      </c>
      <c r="M512">
        <f>IFERROR(VLOOKUP(A512,库龄!B:N,12,0),0)</f>
        <v>0</v>
      </c>
      <c r="N512">
        <f t="shared" si="16"/>
        <v>0</v>
      </c>
    </row>
    <row r="513" spans="1:14">
      <c r="A513" s="3" t="s">
        <v>1636</v>
      </c>
      <c r="B513">
        <f>IFERROR(VLOOKUP(A513,管理亚马逊库存!A:K,11,0),"")</f>
        <v>0</v>
      </c>
      <c r="C513">
        <f>IFERROR(VLOOKUP(A513,管理亚马逊库存!A:L,12,0),"")</f>
        <v>0</v>
      </c>
      <c r="D513">
        <f>IFERROR(VLOOKUP(A513,管理亚马逊库存!A:Q,17,0),"")</f>
        <v>0</v>
      </c>
      <c r="E513">
        <f>IFERROR(VLOOKUP(A513,管理亚马逊库存!A:R,18,0),"")</f>
        <v>0</v>
      </c>
      <c r="F513">
        <f t="shared" si="15"/>
        <v>0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IFERROR(VLOOKUP(A513,库龄!B:K,9,0),0)</f>
        <v>0</v>
      </c>
      <c r="K513">
        <f>IFERROR(VLOOKUP(A513,库龄!B:L,10,0),0)</f>
        <v>0</v>
      </c>
      <c r="L513">
        <f>IFERROR(VLOOKUP(A513,库龄!B:M,11,0),0)</f>
        <v>0</v>
      </c>
      <c r="M513">
        <f>IFERROR(VLOOKUP(A513,库龄!B:N,12,0),0)</f>
        <v>0</v>
      </c>
      <c r="N513">
        <f t="shared" si="16"/>
        <v>0</v>
      </c>
    </row>
    <row r="514" spans="1:14">
      <c r="A514" s="3" t="s">
        <v>1638</v>
      </c>
      <c r="B514">
        <f>IFERROR(VLOOKUP(A514,管理亚马逊库存!A:K,11,0),"")</f>
        <v>0</v>
      </c>
      <c r="C514">
        <f>IFERROR(VLOOKUP(A514,管理亚马逊库存!A:L,12,0),"")</f>
        <v>0</v>
      </c>
      <c r="D514">
        <f>IFERROR(VLOOKUP(A514,管理亚马逊库存!A:Q,17,0),"")</f>
        <v>0</v>
      </c>
      <c r="E514">
        <f>IFERROR(VLOOKUP(A514,管理亚马逊库存!A:R,18,0),"")</f>
        <v>0</v>
      </c>
      <c r="F514">
        <f t="shared" si="15"/>
        <v>0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IFERROR(VLOOKUP(A514,库龄!B:K,9,0),0)</f>
        <v>0</v>
      </c>
      <c r="K514">
        <f>IFERROR(VLOOKUP(A514,库龄!B:L,10,0),0)</f>
        <v>0</v>
      </c>
      <c r="L514">
        <f>IFERROR(VLOOKUP(A514,库龄!B:M,11,0),0)</f>
        <v>0</v>
      </c>
      <c r="M514">
        <f>IFERROR(VLOOKUP(A514,库龄!B:N,12,0),0)</f>
        <v>0</v>
      </c>
      <c r="N514">
        <f t="shared" si="16"/>
        <v>0</v>
      </c>
    </row>
    <row r="515" spans="1:14">
      <c r="A515" s="3" t="s">
        <v>1641</v>
      </c>
      <c r="B515">
        <f>IFERROR(VLOOKUP(A515,管理亚马逊库存!A:K,11,0),"")</f>
        <v>0</v>
      </c>
      <c r="C515">
        <f>IFERROR(VLOOKUP(A515,管理亚马逊库存!A:L,12,0),"")</f>
        <v>0</v>
      </c>
      <c r="D515">
        <f>IFERROR(VLOOKUP(A515,管理亚马逊库存!A:Q,17,0),"")</f>
        <v>0</v>
      </c>
      <c r="E515">
        <f>IFERROR(VLOOKUP(A515,管理亚马逊库存!A:R,18,0),"")</f>
        <v>0</v>
      </c>
      <c r="F515">
        <f t="shared" ref="F515:F578" si="17">SUM(D515:E515)</f>
        <v>0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IFERROR(VLOOKUP(A515,库龄!B:K,9,0),0)</f>
        <v>0</v>
      </c>
      <c r="K515">
        <f>IFERROR(VLOOKUP(A515,库龄!B:L,10,0),0)</f>
        <v>0</v>
      </c>
      <c r="L515">
        <f>IFERROR(VLOOKUP(A515,库龄!B:M,11,0),0)</f>
        <v>0</v>
      </c>
      <c r="M515">
        <f>IFERROR(VLOOKUP(A515,库龄!B:N,12,0),0)</f>
        <v>0</v>
      </c>
      <c r="N515">
        <f t="shared" ref="N515:N578" si="18">SUM(J515:M515)</f>
        <v>0</v>
      </c>
    </row>
    <row r="516" spans="1:14">
      <c r="A516" s="3" t="s">
        <v>1644</v>
      </c>
      <c r="B516">
        <f>IFERROR(VLOOKUP(A516,管理亚马逊库存!A:K,11,0),"")</f>
        <v>0</v>
      </c>
      <c r="C516">
        <f>IFERROR(VLOOKUP(A516,管理亚马逊库存!A:L,12,0),"")</f>
        <v>0</v>
      </c>
      <c r="D516">
        <f>IFERROR(VLOOKUP(A516,管理亚马逊库存!A:Q,17,0),"")</f>
        <v>0</v>
      </c>
      <c r="E516">
        <f>IFERROR(VLOOKUP(A516,管理亚马逊库存!A:R,18,0),"")</f>
        <v>0</v>
      </c>
      <c r="F516">
        <f t="shared" si="17"/>
        <v>0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IFERROR(VLOOKUP(A516,库龄!B:K,9,0),0)</f>
        <v>0</v>
      </c>
      <c r="K516">
        <f>IFERROR(VLOOKUP(A516,库龄!B:L,10,0),0)</f>
        <v>0</v>
      </c>
      <c r="L516">
        <f>IFERROR(VLOOKUP(A516,库龄!B:M,11,0),0)</f>
        <v>0</v>
      </c>
      <c r="M516">
        <f>IFERROR(VLOOKUP(A516,库龄!B:N,12,0),0)</f>
        <v>0</v>
      </c>
      <c r="N516">
        <f t="shared" si="18"/>
        <v>0</v>
      </c>
    </row>
    <row r="517" spans="1:14">
      <c r="A517" s="3" t="s">
        <v>1647</v>
      </c>
      <c r="B517">
        <f>IFERROR(VLOOKUP(A517,管理亚马逊库存!A:K,11,0),"")</f>
        <v>0</v>
      </c>
      <c r="C517">
        <f>IFERROR(VLOOKUP(A517,管理亚马逊库存!A:L,12,0),"")</f>
        <v>0</v>
      </c>
      <c r="D517">
        <f>IFERROR(VLOOKUP(A517,管理亚马逊库存!A:Q,17,0),"")</f>
        <v>0</v>
      </c>
      <c r="E517">
        <f>IFERROR(VLOOKUP(A517,管理亚马逊库存!A:R,18,0),"")</f>
        <v>0</v>
      </c>
      <c r="F517">
        <f t="shared" si="17"/>
        <v>0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IFERROR(VLOOKUP(A517,库龄!B:K,9,0),0)</f>
        <v>0</v>
      </c>
      <c r="K517">
        <f>IFERROR(VLOOKUP(A517,库龄!B:L,10,0),0)</f>
        <v>0</v>
      </c>
      <c r="L517">
        <f>IFERROR(VLOOKUP(A517,库龄!B:M,11,0),0)</f>
        <v>0</v>
      </c>
      <c r="M517">
        <f>IFERROR(VLOOKUP(A517,库龄!B:N,12,0),0)</f>
        <v>0</v>
      </c>
      <c r="N517">
        <f t="shared" si="18"/>
        <v>0</v>
      </c>
    </row>
    <row r="518" spans="1:14">
      <c r="A518" s="3" t="s">
        <v>1649</v>
      </c>
      <c r="B518">
        <f>IFERROR(VLOOKUP(A518,管理亚马逊库存!A:K,11,0),"")</f>
        <v>0</v>
      </c>
      <c r="C518">
        <f>IFERROR(VLOOKUP(A518,管理亚马逊库存!A:L,12,0),"")</f>
        <v>0</v>
      </c>
      <c r="D518">
        <f>IFERROR(VLOOKUP(A518,管理亚马逊库存!A:Q,17,0),"")</f>
        <v>0</v>
      </c>
      <c r="E518">
        <f>IFERROR(VLOOKUP(A518,管理亚马逊库存!A:R,18,0),"")</f>
        <v>0</v>
      </c>
      <c r="F518">
        <f t="shared" si="17"/>
        <v>0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IFERROR(VLOOKUP(A518,库龄!B:K,9,0),0)</f>
        <v>0</v>
      </c>
      <c r="K518">
        <f>IFERROR(VLOOKUP(A518,库龄!B:L,10,0),0)</f>
        <v>0</v>
      </c>
      <c r="L518">
        <f>IFERROR(VLOOKUP(A518,库龄!B:M,11,0),0)</f>
        <v>0</v>
      </c>
      <c r="M518">
        <f>IFERROR(VLOOKUP(A518,库龄!B:N,12,0),0)</f>
        <v>0</v>
      </c>
      <c r="N518">
        <f t="shared" si="18"/>
        <v>0</v>
      </c>
    </row>
    <row r="519" spans="1:14">
      <c r="A519" s="3" t="s">
        <v>1651</v>
      </c>
      <c r="B519">
        <f>IFERROR(VLOOKUP(A519,管理亚马逊库存!A:K,11,0),"")</f>
        <v>0</v>
      </c>
      <c r="C519">
        <f>IFERROR(VLOOKUP(A519,管理亚马逊库存!A:L,12,0),"")</f>
        <v>0</v>
      </c>
      <c r="D519">
        <f>IFERROR(VLOOKUP(A519,管理亚马逊库存!A:Q,17,0),"")</f>
        <v>0</v>
      </c>
      <c r="E519">
        <f>IFERROR(VLOOKUP(A519,管理亚马逊库存!A:R,18,0),"")</f>
        <v>0</v>
      </c>
      <c r="F519">
        <f t="shared" si="17"/>
        <v>0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IFERROR(VLOOKUP(A519,库龄!B:K,9,0),0)</f>
        <v>0</v>
      </c>
      <c r="K519">
        <f>IFERROR(VLOOKUP(A519,库龄!B:L,10,0),0)</f>
        <v>0</v>
      </c>
      <c r="L519">
        <f>IFERROR(VLOOKUP(A519,库龄!B:M,11,0),0)</f>
        <v>0</v>
      </c>
      <c r="M519">
        <f>IFERROR(VLOOKUP(A519,库龄!B:N,12,0),0)</f>
        <v>0</v>
      </c>
      <c r="N519">
        <f t="shared" si="18"/>
        <v>0</v>
      </c>
    </row>
    <row r="520" spans="1:14">
      <c r="A520" s="3" t="s">
        <v>1653</v>
      </c>
      <c r="B520">
        <f>IFERROR(VLOOKUP(A520,管理亚马逊库存!A:K,11,0),"")</f>
        <v>0</v>
      </c>
      <c r="C520">
        <f>IFERROR(VLOOKUP(A520,管理亚马逊库存!A:L,12,0),"")</f>
        <v>0</v>
      </c>
      <c r="D520">
        <f>IFERROR(VLOOKUP(A520,管理亚马逊库存!A:Q,17,0),"")</f>
        <v>0</v>
      </c>
      <c r="E520">
        <f>IFERROR(VLOOKUP(A520,管理亚马逊库存!A:R,18,0),"")</f>
        <v>0</v>
      </c>
      <c r="F520">
        <f t="shared" si="17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IFERROR(VLOOKUP(A520,库龄!B:K,9,0),0)</f>
        <v>0</v>
      </c>
      <c r="K520">
        <f>IFERROR(VLOOKUP(A520,库龄!B:L,10,0),0)</f>
        <v>0</v>
      </c>
      <c r="L520">
        <f>IFERROR(VLOOKUP(A520,库龄!B:M,11,0),0)</f>
        <v>0</v>
      </c>
      <c r="M520">
        <f>IFERROR(VLOOKUP(A520,库龄!B:N,12,0),0)</f>
        <v>0</v>
      </c>
      <c r="N520">
        <f t="shared" si="18"/>
        <v>0</v>
      </c>
    </row>
    <row r="521" spans="1:14">
      <c r="A521" s="3" t="s">
        <v>1655</v>
      </c>
      <c r="B521">
        <f>IFERROR(VLOOKUP(A521,管理亚马逊库存!A:K,11,0),"")</f>
        <v>0</v>
      </c>
      <c r="C521">
        <f>IFERROR(VLOOKUP(A521,管理亚马逊库存!A:L,12,0),"")</f>
        <v>2</v>
      </c>
      <c r="D521">
        <f>IFERROR(VLOOKUP(A521,管理亚马逊库存!A:Q,17,0),"")</f>
        <v>0</v>
      </c>
      <c r="E521">
        <f>IFERROR(VLOOKUP(A521,管理亚马逊库存!A:R,18,0),"")</f>
        <v>0</v>
      </c>
      <c r="F521">
        <f t="shared" si="17"/>
        <v>0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IFERROR(VLOOKUP(A521,库龄!B:K,9,0),0)</f>
        <v>0</v>
      </c>
      <c r="K521">
        <f>IFERROR(VLOOKUP(A521,库龄!B:L,10,0),0)</f>
        <v>0</v>
      </c>
      <c r="L521">
        <f>IFERROR(VLOOKUP(A521,库龄!B:M,11,0),0)</f>
        <v>0</v>
      </c>
      <c r="M521">
        <f>IFERROR(VLOOKUP(A521,库龄!B:N,12,0),0)</f>
        <v>0</v>
      </c>
      <c r="N521">
        <f t="shared" si="18"/>
        <v>0</v>
      </c>
    </row>
    <row r="522" spans="1:14">
      <c r="A522" s="3" t="s">
        <v>1658</v>
      </c>
      <c r="B522">
        <f>IFERROR(VLOOKUP(A522,管理亚马逊库存!A:K,11,0),"")</f>
        <v>0</v>
      </c>
      <c r="C522">
        <f>IFERROR(VLOOKUP(A522,管理亚马逊库存!A:L,12,0),"")</f>
        <v>0</v>
      </c>
      <c r="D522">
        <f>IFERROR(VLOOKUP(A522,管理亚马逊库存!A:Q,17,0),"")</f>
        <v>0</v>
      </c>
      <c r="E522">
        <f>IFERROR(VLOOKUP(A522,管理亚马逊库存!A:R,18,0),"")</f>
        <v>0</v>
      </c>
      <c r="F522">
        <f t="shared" si="17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IFERROR(VLOOKUP(A522,库龄!B:K,9,0),0)</f>
        <v>0</v>
      </c>
      <c r="K522">
        <f>IFERROR(VLOOKUP(A522,库龄!B:L,10,0),0)</f>
        <v>0</v>
      </c>
      <c r="L522">
        <f>IFERROR(VLOOKUP(A522,库龄!B:M,11,0),0)</f>
        <v>0</v>
      </c>
      <c r="M522">
        <f>IFERROR(VLOOKUP(A522,库龄!B:N,12,0),0)</f>
        <v>0</v>
      </c>
      <c r="N522">
        <f t="shared" si="18"/>
        <v>0</v>
      </c>
    </row>
    <row r="523" spans="1:14">
      <c r="A523" s="3" t="s">
        <v>1660</v>
      </c>
      <c r="B523">
        <f>IFERROR(VLOOKUP(A523,管理亚马逊库存!A:K,11,0),"")</f>
        <v>0</v>
      </c>
      <c r="C523">
        <f>IFERROR(VLOOKUP(A523,管理亚马逊库存!A:L,12,0),"")</f>
        <v>0</v>
      </c>
      <c r="D523">
        <f>IFERROR(VLOOKUP(A523,管理亚马逊库存!A:Q,17,0),"")</f>
        <v>0</v>
      </c>
      <c r="E523">
        <f>IFERROR(VLOOKUP(A523,管理亚马逊库存!A:R,18,0),"")</f>
        <v>0</v>
      </c>
      <c r="F523">
        <f t="shared" si="17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IFERROR(VLOOKUP(A523,库龄!B:K,9,0),0)</f>
        <v>0</v>
      </c>
      <c r="K523">
        <f>IFERROR(VLOOKUP(A523,库龄!B:L,10,0),0)</f>
        <v>0</v>
      </c>
      <c r="L523">
        <f>IFERROR(VLOOKUP(A523,库龄!B:M,11,0),0)</f>
        <v>0</v>
      </c>
      <c r="M523">
        <f>IFERROR(VLOOKUP(A523,库龄!B:N,12,0),0)</f>
        <v>0</v>
      </c>
      <c r="N523">
        <f t="shared" si="18"/>
        <v>0</v>
      </c>
    </row>
    <row r="524" spans="1:14">
      <c r="A524" s="3" t="s">
        <v>1662</v>
      </c>
      <c r="B524">
        <f>IFERROR(VLOOKUP(A524,管理亚马逊库存!A:K,11,0),"")</f>
        <v>0</v>
      </c>
      <c r="C524">
        <f>IFERROR(VLOOKUP(A524,管理亚马逊库存!A:L,12,0),"")</f>
        <v>0</v>
      </c>
      <c r="D524">
        <f>IFERROR(VLOOKUP(A524,管理亚马逊库存!A:Q,17,0),"")</f>
        <v>0</v>
      </c>
      <c r="E524">
        <f>IFERROR(VLOOKUP(A524,管理亚马逊库存!A:R,18,0),"")</f>
        <v>0</v>
      </c>
      <c r="F524">
        <f t="shared" si="17"/>
        <v>0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IFERROR(VLOOKUP(A524,库龄!B:K,9,0),0)</f>
        <v>0</v>
      </c>
      <c r="K524">
        <f>IFERROR(VLOOKUP(A524,库龄!B:L,10,0),0)</f>
        <v>0</v>
      </c>
      <c r="L524">
        <f>IFERROR(VLOOKUP(A524,库龄!B:M,11,0),0)</f>
        <v>0</v>
      </c>
      <c r="M524">
        <f>IFERROR(VLOOKUP(A524,库龄!B:N,12,0),0)</f>
        <v>0</v>
      </c>
      <c r="N524">
        <f t="shared" si="18"/>
        <v>0</v>
      </c>
    </row>
    <row r="525" spans="1:14">
      <c r="A525" s="3" t="s">
        <v>1664</v>
      </c>
      <c r="B525">
        <f>IFERROR(VLOOKUP(A525,管理亚马逊库存!A:K,11,0),"")</f>
        <v>0</v>
      </c>
      <c r="C525">
        <f>IFERROR(VLOOKUP(A525,管理亚马逊库存!A:L,12,0),"")</f>
        <v>0</v>
      </c>
      <c r="D525">
        <f>IFERROR(VLOOKUP(A525,管理亚马逊库存!A:Q,17,0),"")</f>
        <v>0</v>
      </c>
      <c r="E525">
        <f>IFERROR(VLOOKUP(A525,管理亚马逊库存!A:R,18,0),"")</f>
        <v>0</v>
      </c>
      <c r="F525">
        <f t="shared" si="17"/>
        <v>0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IFERROR(VLOOKUP(A525,库龄!B:K,9,0),0)</f>
        <v>0</v>
      </c>
      <c r="K525">
        <f>IFERROR(VLOOKUP(A525,库龄!B:L,10,0),0)</f>
        <v>0</v>
      </c>
      <c r="L525">
        <f>IFERROR(VLOOKUP(A525,库龄!B:M,11,0),0)</f>
        <v>0</v>
      </c>
      <c r="M525">
        <f>IFERROR(VLOOKUP(A525,库龄!B:N,12,0),0)</f>
        <v>0</v>
      </c>
      <c r="N525">
        <f t="shared" si="18"/>
        <v>0</v>
      </c>
    </row>
    <row r="526" spans="1:14">
      <c r="A526" s="3" t="s">
        <v>1666</v>
      </c>
      <c r="B526">
        <f>IFERROR(VLOOKUP(A526,管理亚马逊库存!A:K,11,0),"")</f>
        <v>0</v>
      </c>
      <c r="C526">
        <f>IFERROR(VLOOKUP(A526,管理亚马逊库存!A:L,12,0),"")</f>
        <v>0</v>
      </c>
      <c r="D526">
        <f>IFERROR(VLOOKUP(A526,管理亚马逊库存!A:Q,17,0),"")</f>
        <v>0</v>
      </c>
      <c r="E526">
        <f>IFERROR(VLOOKUP(A526,管理亚马逊库存!A:R,18,0),"")</f>
        <v>0</v>
      </c>
      <c r="F526">
        <f t="shared" si="17"/>
        <v>0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IFERROR(VLOOKUP(A526,库龄!B:K,9,0),0)</f>
        <v>0</v>
      </c>
      <c r="K526">
        <f>IFERROR(VLOOKUP(A526,库龄!B:L,10,0),0)</f>
        <v>0</v>
      </c>
      <c r="L526">
        <f>IFERROR(VLOOKUP(A526,库龄!B:M,11,0),0)</f>
        <v>0</v>
      </c>
      <c r="M526">
        <f>IFERROR(VLOOKUP(A526,库龄!B:N,12,0),0)</f>
        <v>0</v>
      </c>
      <c r="N526">
        <f t="shared" si="18"/>
        <v>0</v>
      </c>
    </row>
    <row r="527" spans="1:14">
      <c r="A527" s="3" t="s">
        <v>1668</v>
      </c>
      <c r="B527">
        <f>IFERROR(VLOOKUP(A527,管理亚马逊库存!A:K,11,0),"")</f>
        <v>0</v>
      </c>
      <c r="C527">
        <f>IFERROR(VLOOKUP(A527,管理亚马逊库存!A:L,12,0),"")</f>
        <v>0</v>
      </c>
      <c r="D527">
        <f>IFERROR(VLOOKUP(A527,管理亚马逊库存!A:Q,17,0),"")</f>
        <v>0</v>
      </c>
      <c r="E527">
        <f>IFERROR(VLOOKUP(A527,管理亚马逊库存!A:R,18,0),"")</f>
        <v>0</v>
      </c>
      <c r="F527">
        <f t="shared" si="17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IFERROR(VLOOKUP(A527,库龄!B:K,9,0),0)</f>
        <v>0</v>
      </c>
      <c r="K527">
        <f>IFERROR(VLOOKUP(A527,库龄!B:L,10,0),0)</f>
        <v>0</v>
      </c>
      <c r="L527">
        <f>IFERROR(VLOOKUP(A527,库龄!B:M,11,0),0)</f>
        <v>0</v>
      </c>
      <c r="M527">
        <f>IFERROR(VLOOKUP(A527,库龄!B:N,12,0),0)</f>
        <v>0</v>
      </c>
      <c r="N527">
        <f t="shared" si="18"/>
        <v>0</v>
      </c>
    </row>
    <row r="528" spans="1:14">
      <c r="A528" s="3" t="s">
        <v>1671</v>
      </c>
      <c r="B528">
        <f>IFERROR(VLOOKUP(A528,管理亚马逊库存!A:K,11,0),"")</f>
        <v>0</v>
      </c>
      <c r="C528">
        <f>IFERROR(VLOOKUP(A528,管理亚马逊库存!A:L,12,0),"")</f>
        <v>0</v>
      </c>
      <c r="D528">
        <f>IFERROR(VLOOKUP(A528,管理亚马逊库存!A:Q,17,0),"")</f>
        <v>0</v>
      </c>
      <c r="E528">
        <f>IFERROR(VLOOKUP(A528,管理亚马逊库存!A:R,18,0),"")</f>
        <v>0</v>
      </c>
      <c r="F528">
        <f t="shared" si="17"/>
        <v>0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IFERROR(VLOOKUP(A528,库龄!B:K,9,0),0)</f>
        <v>0</v>
      </c>
      <c r="K528">
        <f>IFERROR(VLOOKUP(A528,库龄!B:L,10,0),0)</f>
        <v>0</v>
      </c>
      <c r="L528">
        <f>IFERROR(VLOOKUP(A528,库龄!B:M,11,0),0)</f>
        <v>0</v>
      </c>
      <c r="M528">
        <f>IFERROR(VLOOKUP(A528,库龄!B:N,12,0),0)</f>
        <v>0</v>
      </c>
      <c r="N528">
        <f t="shared" si="18"/>
        <v>0</v>
      </c>
    </row>
    <row r="529" spans="1:14">
      <c r="A529" s="3" t="s">
        <v>1673</v>
      </c>
      <c r="B529">
        <f>IFERROR(VLOOKUP(A529,管理亚马逊库存!A:K,11,0),"")</f>
        <v>0</v>
      </c>
      <c r="C529">
        <f>IFERROR(VLOOKUP(A529,管理亚马逊库存!A:L,12,0),"")</f>
        <v>0</v>
      </c>
      <c r="D529">
        <f>IFERROR(VLOOKUP(A529,管理亚马逊库存!A:Q,17,0),"")</f>
        <v>0</v>
      </c>
      <c r="E529">
        <f>IFERROR(VLOOKUP(A529,管理亚马逊库存!A:R,18,0),"")</f>
        <v>0</v>
      </c>
      <c r="F529">
        <f t="shared" si="17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IFERROR(VLOOKUP(A529,库龄!B:K,9,0),0)</f>
        <v>0</v>
      </c>
      <c r="K529">
        <f>IFERROR(VLOOKUP(A529,库龄!B:L,10,0),0)</f>
        <v>0</v>
      </c>
      <c r="L529">
        <f>IFERROR(VLOOKUP(A529,库龄!B:M,11,0),0)</f>
        <v>0</v>
      </c>
      <c r="M529">
        <f>IFERROR(VLOOKUP(A529,库龄!B:N,12,0),0)</f>
        <v>0</v>
      </c>
      <c r="N529">
        <f t="shared" si="18"/>
        <v>0</v>
      </c>
    </row>
    <row r="530" spans="1:14">
      <c r="A530" s="3" t="s">
        <v>1675</v>
      </c>
      <c r="B530">
        <f>IFERROR(VLOOKUP(A530,管理亚马逊库存!A:K,11,0),"")</f>
        <v>0</v>
      </c>
      <c r="C530">
        <f>IFERROR(VLOOKUP(A530,管理亚马逊库存!A:L,12,0),"")</f>
        <v>0</v>
      </c>
      <c r="D530">
        <f>IFERROR(VLOOKUP(A530,管理亚马逊库存!A:Q,17,0),"")</f>
        <v>0</v>
      </c>
      <c r="E530">
        <f>IFERROR(VLOOKUP(A530,管理亚马逊库存!A:R,18,0),"")</f>
        <v>0</v>
      </c>
      <c r="F530">
        <f t="shared" si="17"/>
        <v>0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IFERROR(VLOOKUP(A530,库龄!B:K,9,0),0)</f>
        <v>0</v>
      </c>
      <c r="K530">
        <f>IFERROR(VLOOKUP(A530,库龄!B:L,10,0),0)</f>
        <v>0</v>
      </c>
      <c r="L530">
        <f>IFERROR(VLOOKUP(A530,库龄!B:M,11,0),0)</f>
        <v>0</v>
      </c>
      <c r="M530">
        <f>IFERROR(VLOOKUP(A530,库龄!B:N,12,0),0)</f>
        <v>0</v>
      </c>
      <c r="N530">
        <f t="shared" si="18"/>
        <v>0</v>
      </c>
    </row>
    <row r="531" spans="1:14">
      <c r="A531" s="3" t="s">
        <v>1677</v>
      </c>
      <c r="B531">
        <f>IFERROR(VLOOKUP(A531,管理亚马逊库存!A:K,11,0),"")</f>
        <v>0</v>
      </c>
      <c r="C531">
        <f>IFERROR(VLOOKUP(A531,管理亚马逊库存!A:L,12,0),"")</f>
        <v>0</v>
      </c>
      <c r="D531">
        <f>IFERROR(VLOOKUP(A531,管理亚马逊库存!A:Q,17,0),"")</f>
        <v>0</v>
      </c>
      <c r="E531">
        <f>IFERROR(VLOOKUP(A531,管理亚马逊库存!A:R,18,0),"")</f>
        <v>0</v>
      </c>
      <c r="F531">
        <f t="shared" si="17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IFERROR(VLOOKUP(A531,库龄!B:K,9,0),0)</f>
        <v>0</v>
      </c>
      <c r="K531">
        <f>IFERROR(VLOOKUP(A531,库龄!B:L,10,0),0)</f>
        <v>0</v>
      </c>
      <c r="L531">
        <f>IFERROR(VLOOKUP(A531,库龄!B:M,11,0),0)</f>
        <v>0</v>
      </c>
      <c r="M531">
        <f>IFERROR(VLOOKUP(A531,库龄!B:N,12,0),0)</f>
        <v>0</v>
      </c>
      <c r="N531">
        <f t="shared" si="18"/>
        <v>0</v>
      </c>
    </row>
    <row r="532" spans="1:14">
      <c r="A532" s="3" t="s">
        <v>1679</v>
      </c>
      <c r="B532">
        <f>IFERROR(VLOOKUP(A532,管理亚马逊库存!A:K,11,0),"")</f>
        <v>0</v>
      </c>
      <c r="C532">
        <f>IFERROR(VLOOKUP(A532,管理亚马逊库存!A:L,12,0),"")</f>
        <v>0</v>
      </c>
      <c r="D532">
        <f>IFERROR(VLOOKUP(A532,管理亚马逊库存!A:Q,17,0),"")</f>
        <v>0</v>
      </c>
      <c r="E532">
        <f>IFERROR(VLOOKUP(A532,管理亚马逊库存!A:R,18,0),"")</f>
        <v>0</v>
      </c>
      <c r="F532">
        <f t="shared" si="17"/>
        <v>0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IFERROR(VLOOKUP(A532,库龄!B:K,9,0),0)</f>
        <v>0</v>
      </c>
      <c r="K532">
        <f>IFERROR(VLOOKUP(A532,库龄!B:L,10,0),0)</f>
        <v>0</v>
      </c>
      <c r="L532">
        <f>IFERROR(VLOOKUP(A532,库龄!B:M,11,0),0)</f>
        <v>0</v>
      </c>
      <c r="M532">
        <f>IFERROR(VLOOKUP(A532,库龄!B:N,12,0),0)</f>
        <v>0</v>
      </c>
      <c r="N532">
        <f t="shared" si="18"/>
        <v>0</v>
      </c>
    </row>
    <row r="533" spans="1:14">
      <c r="A533" s="3" t="s">
        <v>1681</v>
      </c>
      <c r="B533">
        <f>IFERROR(VLOOKUP(A533,管理亚马逊库存!A:K,11,0),"")</f>
        <v>0</v>
      </c>
      <c r="C533">
        <f>IFERROR(VLOOKUP(A533,管理亚马逊库存!A:L,12,0),"")</f>
        <v>0</v>
      </c>
      <c r="D533">
        <f>IFERROR(VLOOKUP(A533,管理亚马逊库存!A:Q,17,0),"")</f>
        <v>0</v>
      </c>
      <c r="E533">
        <f>IFERROR(VLOOKUP(A533,管理亚马逊库存!A:R,18,0),"")</f>
        <v>0</v>
      </c>
      <c r="F533">
        <f t="shared" si="17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IFERROR(VLOOKUP(A533,库龄!B:K,9,0),0)</f>
        <v>0</v>
      </c>
      <c r="K533">
        <f>IFERROR(VLOOKUP(A533,库龄!B:L,10,0),0)</f>
        <v>0</v>
      </c>
      <c r="L533">
        <f>IFERROR(VLOOKUP(A533,库龄!B:M,11,0),0)</f>
        <v>0</v>
      </c>
      <c r="M533">
        <f>IFERROR(VLOOKUP(A533,库龄!B:N,12,0),0)</f>
        <v>0</v>
      </c>
      <c r="N533">
        <f t="shared" si="18"/>
        <v>0</v>
      </c>
    </row>
    <row r="534" spans="1:14">
      <c r="A534" s="3" t="s">
        <v>1683</v>
      </c>
      <c r="B534">
        <f>IFERROR(VLOOKUP(A534,管理亚马逊库存!A:K,11,0),"")</f>
        <v>0</v>
      </c>
      <c r="C534">
        <f>IFERROR(VLOOKUP(A534,管理亚马逊库存!A:L,12,0),"")</f>
        <v>0</v>
      </c>
      <c r="D534">
        <f>IFERROR(VLOOKUP(A534,管理亚马逊库存!A:Q,17,0),"")</f>
        <v>0</v>
      </c>
      <c r="E534">
        <f>IFERROR(VLOOKUP(A534,管理亚马逊库存!A:R,18,0),"")</f>
        <v>0</v>
      </c>
      <c r="F534">
        <f t="shared" si="17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IFERROR(VLOOKUP(A534,库龄!B:K,9,0),0)</f>
        <v>0</v>
      </c>
      <c r="K534">
        <f>IFERROR(VLOOKUP(A534,库龄!B:L,10,0),0)</f>
        <v>0</v>
      </c>
      <c r="L534">
        <f>IFERROR(VLOOKUP(A534,库龄!B:M,11,0),0)</f>
        <v>0</v>
      </c>
      <c r="M534">
        <f>IFERROR(VLOOKUP(A534,库龄!B:N,12,0),0)</f>
        <v>0</v>
      </c>
      <c r="N534">
        <f t="shared" si="18"/>
        <v>0</v>
      </c>
    </row>
    <row r="535" spans="1:14">
      <c r="A535" s="3" t="s">
        <v>1685</v>
      </c>
      <c r="B535">
        <f>IFERROR(VLOOKUP(A535,管理亚马逊库存!A:K,11,0),"")</f>
        <v>0</v>
      </c>
      <c r="C535">
        <f>IFERROR(VLOOKUP(A535,管理亚马逊库存!A:L,12,0),"")</f>
        <v>0</v>
      </c>
      <c r="D535">
        <f>IFERROR(VLOOKUP(A535,管理亚马逊库存!A:Q,17,0),"")</f>
        <v>0</v>
      </c>
      <c r="E535">
        <f>IFERROR(VLOOKUP(A535,管理亚马逊库存!A:R,18,0),"")</f>
        <v>0</v>
      </c>
      <c r="F535">
        <f t="shared" si="17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IFERROR(VLOOKUP(A535,库龄!B:K,9,0),0)</f>
        <v>0</v>
      </c>
      <c r="K535">
        <f>IFERROR(VLOOKUP(A535,库龄!B:L,10,0),0)</f>
        <v>0</v>
      </c>
      <c r="L535">
        <f>IFERROR(VLOOKUP(A535,库龄!B:M,11,0),0)</f>
        <v>0</v>
      </c>
      <c r="M535">
        <f>IFERROR(VLOOKUP(A535,库龄!B:N,12,0),0)</f>
        <v>0</v>
      </c>
      <c r="N535">
        <f t="shared" si="18"/>
        <v>0</v>
      </c>
    </row>
    <row r="536" spans="1:14">
      <c r="A536" s="3" t="s">
        <v>1687</v>
      </c>
      <c r="B536">
        <f>IFERROR(VLOOKUP(A536,管理亚马逊库存!A:K,11,0),"")</f>
        <v>0</v>
      </c>
      <c r="C536">
        <f>IFERROR(VLOOKUP(A536,管理亚马逊库存!A:L,12,0),"")</f>
        <v>0</v>
      </c>
      <c r="D536">
        <f>IFERROR(VLOOKUP(A536,管理亚马逊库存!A:Q,17,0),"")</f>
        <v>0</v>
      </c>
      <c r="E536">
        <f>IFERROR(VLOOKUP(A536,管理亚马逊库存!A:R,18,0),"")</f>
        <v>0</v>
      </c>
      <c r="F536">
        <f t="shared" si="17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IFERROR(VLOOKUP(A536,库龄!B:K,9,0),0)</f>
        <v>0</v>
      </c>
      <c r="K536">
        <f>IFERROR(VLOOKUP(A536,库龄!B:L,10,0),0)</f>
        <v>0</v>
      </c>
      <c r="L536">
        <f>IFERROR(VLOOKUP(A536,库龄!B:M,11,0),0)</f>
        <v>0</v>
      </c>
      <c r="M536">
        <f>IFERROR(VLOOKUP(A536,库龄!B:N,12,0),0)</f>
        <v>0</v>
      </c>
      <c r="N536">
        <f t="shared" si="18"/>
        <v>0</v>
      </c>
    </row>
    <row r="537" spans="1:14">
      <c r="A537" s="3" t="s">
        <v>1690</v>
      </c>
      <c r="B537">
        <f>IFERROR(VLOOKUP(A537,管理亚马逊库存!A:K,11,0),"")</f>
        <v>0</v>
      </c>
      <c r="C537">
        <f>IFERROR(VLOOKUP(A537,管理亚马逊库存!A:L,12,0),"")</f>
        <v>0</v>
      </c>
      <c r="D537">
        <f>IFERROR(VLOOKUP(A537,管理亚马逊库存!A:Q,17,0),"")</f>
        <v>0</v>
      </c>
      <c r="E537">
        <f>IFERROR(VLOOKUP(A537,管理亚马逊库存!A:R,18,0),"")</f>
        <v>0</v>
      </c>
      <c r="F537">
        <f t="shared" si="17"/>
        <v>0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IFERROR(VLOOKUP(A537,库龄!B:K,9,0),0)</f>
        <v>0</v>
      </c>
      <c r="K537">
        <f>IFERROR(VLOOKUP(A537,库龄!B:L,10,0),0)</f>
        <v>0</v>
      </c>
      <c r="L537">
        <f>IFERROR(VLOOKUP(A537,库龄!B:M,11,0),0)</f>
        <v>0</v>
      </c>
      <c r="M537">
        <f>IFERROR(VLOOKUP(A537,库龄!B:N,12,0),0)</f>
        <v>0</v>
      </c>
      <c r="N537">
        <f t="shared" si="18"/>
        <v>0</v>
      </c>
    </row>
    <row r="538" spans="1:14">
      <c r="A538" s="3" t="s">
        <v>1692</v>
      </c>
      <c r="B538">
        <f>IFERROR(VLOOKUP(A538,管理亚马逊库存!A:K,11,0),"")</f>
        <v>0</v>
      </c>
      <c r="C538">
        <f>IFERROR(VLOOKUP(A538,管理亚马逊库存!A:L,12,0),"")</f>
        <v>0</v>
      </c>
      <c r="D538">
        <f>IFERROR(VLOOKUP(A538,管理亚马逊库存!A:Q,17,0),"")</f>
        <v>0</v>
      </c>
      <c r="E538">
        <f>IFERROR(VLOOKUP(A538,管理亚马逊库存!A:R,18,0),"")</f>
        <v>0</v>
      </c>
      <c r="F538">
        <f t="shared" si="17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IFERROR(VLOOKUP(A538,库龄!B:K,9,0),0)</f>
        <v>0</v>
      </c>
      <c r="K538">
        <f>IFERROR(VLOOKUP(A538,库龄!B:L,10,0),0)</f>
        <v>0</v>
      </c>
      <c r="L538">
        <f>IFERROR(VLOOKUP(A538,库龄!B:M,11,0),0)</f>
        <v>0</v>
      </c>
      <c r="M538">
        <f>IFERROR(VLOOKUP(A538,库龄!B:N,12,0),0)</f>
        <v>0</v>
      </c>
      <c r="N538">
        <f t="shared" si="18"/>
        <v>0</v>
      </c>
    </row>
    <row r="539" spans="1:14">
      <c r="A539" s="3" t="s">
        <v>1694</v>
      </c>
      <c r="B539">
        <f>IFERROR(VLOOKUP(A539,管理亚马逊库存!A:K,11,0),"")</f>
        <v>0</v>
      </c>
      <c r="C539">
        <f>IFERROR(VLOOKUP(A539,管理亚马逊库存!A:L,12,0),"")</f>
        <v>0</v>
      </c>
      <c r="D539">
        <f>IFERROR(VLOOKUP(A539,管理亚马逊库存!A:Q,17,0),"")</f>
        <v>0</v>
      </c>
      <c r="E539">
        <f>IFERROR(VLOOKUP(A539,管理亚马逊库存!A:R,18,0),"")</f>
        <v>0</v>
      </c>
      <c r="F539">
        <f t="shared" si="17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IFERROR(VLOOKUP(A539,库龄!B:K,9,0),0)</f>
        <v>0</v>
      </c>
      <c r="K539">
        <f>IFERROR(VLOOKUP(A539,库龄!B:L,10,0),0)</f>
        <v>0</v>
      </c>
      <c r="L539">
        <f>IFERROR(VLOOKUP(A539,库龄!B:M,11,0),0)</f>
        <v>0</v>
      </c>
      <c r="M539">
        <f>IFERROR(VLOOKUP(A539,库龄!B:N,12,0),0)</f>
        <v>0</v>
      </c>
      <c r="N539">
        <f t="shared" si="18"/>
        <v>0</v>
      </c>
    </row>
    <row r="540" spans="1:14">
      <c r="A540" s="3" t="s">
        <v>1696</v>
      </c>
      <c r="B540">
        <f>IFERROR(VLOOKUP(A540,管理亚马逊库存!A:K,11,0),"")</f>
        <v>0</v>
      </c>
      <c r="C540">
        <f>IFERROR(VLOOKUP(A540,管理亚马逊库存!A:L,12,0),"")</f>
        <v>0</v>
      </c>
      <c r="D540">
        <f>IFERROR(VLOOKUP(A540,管理亚马逊库存!A:Q,17,0),"")</f>
        <v>0</v>
      </c>
      <c r="E540">
        <f>IFERROR(VLOOKUP(A540,管理亚马逊库存!A:R,18,0),"")</f>
        <v>0</v>
      </c>
      <c r="F540">
        <f t="shared" si="17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IFERROR(VLOOKUP(A540,库龄!B:K,9,0),0)</f>
        <v>0</v>
      </c>
      <c r="K540">
        <f>IFERROR(VLOOKUP(A540,库龄!B:L,10,0),0)</f>
        <v>0</v>
      </c>
      <c r="L540">
        <f>IFERROR(VLOOKUP(A540,库龄!B:M,11,0),0)</f>
        <v>0</v>
      </c>
      <c r="M540">
        <f>IFERROR(VLOOKUP(A540,库龄!B:N,12,0),0)</f>
        <v>0</v>
      </c>
      <c r="N540">
        <f t="shared" si="18"/>
        <v>0</v>
      </c>
    </row>
    <row r="541" spans="1:14">
      <c r="A541" s="3" t="s">
        <v>1698</v>
      </c>
      <c r="B541">
        <f>IFERROR(VLOOKUP(A541,管理亚马逊库存!A:K,11,0),"")</f>
        <v>0</v>
      </c>
      <c r="C541">
        <f>IFERROR(VLOOKUP(A541,管理亚马逊库存!A:L,12,0),"")</f>
        <v>0</v>
      </c>
      <c r="D541">
        <f>IFERROR(VLOOKUP(A541,管理亚马逊库存!A:Q,17,0),"")</f>
        <v>0</v>
      </c>
      <c r="E541">
        <f>IFERROR(VLOOKUP(A541,管理亚马逊库存!A:R,18,0),"")</f>
        <v>0</v>
      </c>
      <c r="F541">
        <f t="shared" si="17"/>
        <v>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IFERROR(VLOOKUP(A541,库龄!B:K,9,0),0)</f>
        <v>0</v>
      </c>
      <c r="K541">
        <f>IFERROR(VLOOKUP(A541,库龄!B:L,10,0),0)</f>
        <v>0</v>
      </c>
      <c r="L541">
        <f>IFERROR(VLOOKUP(A541,库龄!B:M,11,0),0)</f>
        <v>0</v>
      </c>
      <c r="M541">
        <f>IFERROR(VLOOKUP(A541,库龄!B:N,12,0),0)</f>
        <v>0</v>
      </c>
      <c r="N541">
        <f t="shared" si="18"/>
        <v>0</v>
      </c>
    </row>
    <row r="542" spans="1:14">
      <c r="A542" s="3" t="s">
        <v>1700</v>
      </c>
      <c r="B542">
        <f>IFERROR(VLOOKUP(A542,管理亚马逊库存!A:K,11,0),"")</f>
        <v>0</v>
      </c>
      <c r="C542">
        <f>IFERROR(VLOOKUP(A542,管理亚马逊库存!A:L,12,0),"")</f>
        <v>0</v>
      </c>
      <c r="D542">
        <f>IFERROR(VLOOKUP(A542,管理亚马逊库存!A:Q,17,0),"")</f>
        <v>0</v>
      </c>
      <c r="E542">
        <f>IFERROR(VLOOKUP(A542,管理亚马逊库存!A:R,18,0),"")</f>
        <v>0</v>
      </c>
      <c r="F542">
        <f t="shared" si="17"/>
        <v>0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IFERROR(VLOOKUP(A542,库龄!B:K,9,0),0)</f>
        <v>0</v>
      </c>
      <c r="K542">
        <f>IFERROR(VLOOKUP(A542,库龄!B:L,10,0),0)</f>
        <v>0</v>
      </c>
      <c r="L542">
        <f>IFERROR(VLOOKUP(A542,库龄!B:M,11,0),0)</f>
        <v>0</v>
      </c>
      <c r="M542">
        <f>IFERROR(VLOOKUP(A542,库龄!B:N,12,0),0)</f>
        <v>0</v>
      </c>
      <c r="N542">
        <f t="shared" si="18"/>
        <v>0</v>
      </c>
    </row>
    <row r="543" spans="1:14">
      <c r="A543" s="3" t="s">
        <v>1702</v>
      </c>
      <c r="B543">
        <f>IFERROR(VLOOKUP(A543,管理亚马逊库存!A:K,11,0),"")</f>
        <v>0</v>
      </c>
      <c r="C543">
        <f>IFERROR(VLOOKUP(A543,管理亚马逊库存!A:L,12,0),"")</f>
        <v>0</v>
      </c>
      <c r="D543">
        <f>IFERROR(VLOOKUP(A543,管理亚马逊库存!A:Q,17,0),"")</f>
        <v>0</v>
      </c>
      <c r="E543">
        <f>IFERROR(VLOOKUP(A543,管理亚马逊库存!A:R,18,0),"")</f>
        <v>0</v>
      </c>
      <c r="F543">
        <f t="shared" si="17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IFERROR(VLOOKUP(A543,库龄!B:K,9,0),0)</f>
        <v>0</v>
      </c>
      <c r="K543">
        <f>IFERROR(VLOOKUP(A543,库龄!B:L,10,0),0)</f>
        <v>0</v>
      </c>
      <c r="L543">
        <f>IFERROR(VLOOKUP(A543,库龄!B:M,11,0),0)</f>
        <v>0</v>
      </c>
      <c r="M543">
        <f>IFERROR(VLOOKUP(A543,库龄!B:N,12,0),0)</f>
        <v>0</v>
      </c>
      <c r="N543">
        <f t="shared" si="18"/>
        <v>0</v>
      </c>
    </row>
    <row r="544" spans="1:14">
      <c r="A544" s="3" t="s">
        <v>1704</v>
      </c>
      <c r="B544">
        <f>IFERROR(VLOOKUP(A544,管理亚马逊库存!A:K,11,0),"")</f>
        <v>0</v>
      </c>
      <c r="C544">
        <f>IFERROR(VLOOKUP(A544,管理亚马逊库存!A:L,12,0),"")</f>
        <v>0</v>
      </c>
      <c r="D544">
        <f>IFERROR(VLOOKUP(A544,管理亚马逊库存!A:Q,17,0),"")</f>
        <v>0</v>
      </c>
      <c r="E544">
        <f>IFERROR(VLOOKUP(A544,管理亚马逊库存!A:R,18,0),"")</f>
        <v>0</v>
      </c>
      <c r="F544">
        <f t="shared" si="17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IFERROR(VLOOKUP(A544,库龄!B:K,9,0),0)</f>
        <v>0</v>
      </c>
      <c r="K544">
        <f>IFERROR(VLOOKUP(A544,库龄!B:L,10,0),0)</f>
        <v>0</v>
      </c>
      <c r="L544">
        <f>IFERROR(VLOOKUP(A544,库龄!B:M,11,0),0)</f>
        <v>0</v>
      </c>
      <c r="M544">
        <f>IFERROR(VLOOKUP(A544,库龄!B:N,12,0),0)</f>
        <v>0</v>
      </c>
      <c r="N544">
        <f t="shared" si="18"/>
        <v>0</v>
      </c>
    </row>
    <row r="545" spans="1:14">
      <c r="A545" s="3" t="s">
        <v>1707</v>
      </c>
      <c r="B545">
        <f>IFERROR(VLOOKUP(A545,管理亚马逊库存!A:K,11,0),"")</f>
        <v>0</v>
      </c>
      <c r="C545">
        <f>IFERROR(VLOOKUP(A545,管理亚马逊库存!A:L,12,0),"")</f>
        <v>0</v>
      </c>
      <c r="D545">
        <f>IFERROR(VLOOKUP(A545,管理亚马逊库存!A:Q,17,0),"")</f>
        <v>0</v>
      </c>
      <c r="E545">
        <f>IFERROR(VLOOKUP(A545,管理亚马逊库存!A:R,18,0),"")</f>
        <v>0</v>
      </c>
      <c r="F545">
        <f t="shared" si="17"/>
        <v>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IFERROR(VLOOKUP(A545,库龄!B:K,9,0),0)</f>
        <v>0</v>
      </c>
      <c r="K545">
        <f>IFERROR(VLOOKUP(A545,库龄!B:L,10,0),0)</f>
        <v>0</v>
      </c>
      <c r="L545">
        <f>IFERROR(VLOOKUP(A545,库龄!B:M,11,0),0)</f>
        <v>0</v>
      </c>
      <c r="M545">
        <f>IFERROR(VLOOKUP(A545,库龄!B:N,12,0),0)</f>
        <v>0</v>
      </c>
      <c r="N545">
        <f t="shared" si="18"/>
        <v>0</v>
      </c>
    </row>
    <row r="546" spans="1:14">
      <c r="A546" s="3" t="s">
        <v>1710</v>
      </c>
      <c r="B546">
        <f>IFERROR(VLOOKUP(A546,管理亚马逊库存!A:K,11,0),"")</f>
        <v>0</v>
      </c>
      <c r="C546">
        <f>IFERROR(VLOOKUP(A546,管理亚马逊库存!A:L,12,0),"")</f>
        <v>0</v>
      </c>
      <c r="D546">
        <f>IFERROR(VLOOKUP(A546,管理亚马逊库存!A:Q,17,0),"")</f>
        <v>0</v>
      </c>
      <c r="E546">
        <f>IFERROR(VLOOKUP(A546,管理亚马逊库存!A:R,18,0),"")</f>
        <v>0</v>
      </c>
      <c r="F546">
        <f t="shared" si="17"/>
        <v>0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IFERROR(VLOOKUP(A546,库龄!B:K,9,0),0)</f>
        <v>0</v>
      </c>
      <c r="K546">
        <f>IFERROR(VLOOKUP(A546,库龄!B:L,10,0),0)</f>
        <v>0</v>
      </c>
      <c r="L546">
        <f>IFERROR(VLOOKUP(A546,库龄!B:M,11,0),0)</f>
        <v>0</v>
      </c>
      <c r="M546">
        <f>IFERROR(VLOOKUP(A546,库龄!B:N,12,0),0)</f>
        <v>0</v>
      </c>
      <c r="N546">
        <f t="shared" si="18"/>
        <v>0</v>
      </c>
    </row>
    <row r="547" spans="1:14">
      <c r="A547" s="3" t="s">
        <v>1713</v>
      </c>
      <c r="B547">
        <f>IFERROR(VLOOKUP(A547,管理亚马逊库存!A:K,11,0),"")</f>
        <v>0</v>
      </c>
      <c r="C547">
        <f>IFERROR(VLOOKUP(A547,管理亚马逊库存!A:L,12,0),"")</f>
        <v>0</v>
      </c>
      <c r="D547">
        <f>IFERROR(VLOOKUP(A547,管理亚马逊库存!A:Q,17,0),"")</f>
        <v>0</v>
      </c>
      <c r="E547">
        <f>IFERROR(VLOOKUP(A547,管理亚马逊库存!A:R,18,0),"")</f>
        <v>0</v>
      </c>
      <c r="F547">
        <f t="shared" si="17"/>
        <v>0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IFERROR(VLOOKUP(A547,库龄!B:K,9,0),0)</f>
        <v>0</v>
      </c>
      <c r="K547">
        <f>IFERROR(VLOOKUP(A547,库龄!B:L,10,0),0)</f>
        <v>0</v>
      </c>
      <c r="L547">
        <f>IFERROR(VLOOKUP(A547,库龄!B:M,11,0),0)</f>
        <v>0</v>
      </c>
      <c r="M547">
        <f>IFERROR(VLOOKUP(A547,库龄!B:N,12,0),0)</f>
        <v>0</v>
      </c>
      <c r="N547">
        <f t="shared" si="18"/>
        <v>0</v>
      </c>
    </row>
    <row r="548" spans="1:14">
      <c r="A548" s="3" t="s">
        <v>1715</v>
      </c>
      <c r="B548">
        <f>IFERROR(VLOOKUP(A548,管理亚马逊库存!A:K,11,0),"")</f>
        <v>0</v>
      </c>
      <c r="C548">
        <f>IFERROR(VLOOKUP(A548,管理亚马逊库存!A:L,12,0),"")</f>
        <v>0</v>
      </c>
      <c r="D548">
        <f>IFERROR(VLOOKUP(A548,管理亚马逊库存!A:Q,17,0),"")</f>
        <v>0</v>
      </c>
      <c r="E548">
        <f>IFERROR(VLOOKUP(A548,管理亚马逊库存!A:R,18,0),"")</f>
        <v>0</v>
      </c>
      <c r="F548">
        <f t="shared" si="17"/>
        <v>0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IFERROR(VLOOKUP(A548,库龄!B:K,9,0),0)</f>
        <v>0</v>
      </c>
      <c r="K548">
        <f>IFERROR(VLOOKUP(A548,库龄!B:L,10,0),0)</f>
        <v>0</v>
      </c>
      <c r="L548">
        <f>IFERROR(VLOOKUP(A548,库龄!B:M,11,0),0)</f>
        <v>0</v>
      </c>
      <c r="M548">
        <f>IFERROR(VLOOKUP(A548,库龄!B:N,12,0),0)</f>
        <v>0</v>
      </c>
      <c r="N548">
        <f t="shared" si="18"/>
        <v>0</v>
      </c>
    </row>
    <row r="549" spans="1:14">
      <c r="A549" s="3" t="s">
        <v>1718</v>
      </c>
      <c r="B549">
        <f>IFERROR(VLOOKUP(A549,管理亚马逊库存!A:K,11,0),"")</f>
        <v>0</v>
      </c>
      <c r="C549">
        <f>IFERROR(VLOOKUP(A549,管理亚马逊库存!A:L,12,0),"")</f>
        <v>0</v>
      </c>
      <c r="D549">
        <f>IFERROR(VLOOKUP(A549,管理亚马逊库存!A:Q,17,0),"")</f>
        <v>0</v>
      </c>
      <c r="E549">
        <f>IFERROR(VLOOKUP(A549,管理亚马逊库存!A:R,18,0),"")</f>
        <v>0</v>
      </c>
      <c r="F549">
        <f t="shared" si="17"/>
        <v>0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IFERROR(VLOOKUP(A549,库龄!B:K,9,0),0)</f>
        <v>0</v>
      </c>
      <c r="K549">
        <f>IFERROR(VLOOKUP(A549,库龄!B:L,10,0),0)</f>
        <v>0</v>
      </c>
      <c r="L549">
        <f>IFERROR(VLOOKUP(A549,库龄!B:M,11,0),0)</f>
        <v>0</v>
      </c>
      <c r="M549">
        <f>IFERROR(VLOOKUP(A549,库龄!B:N,12,0),0)</f>
        <v>0</v>
      </c>
      <c r="N549">
        <f t="shared" si="18"/>
        <v>0</v>
      </c>
    </row>
    <row r="550" spans="1:14">
      <c r="A550" s="3" t="s">
        <v>1721</v>
      </c>
      <c r="B550">
        <f>IFERROR(VLOOKUP(A550,管理亚马逊库存!A:K,11,0),"")</f>
        <v>0</v>
      </c>
      <c r="C550">
        <f>IFERROR(VLOOKUP(A550,管理亚马逊库存!A:L,12,0),"")</f>
        <v>0</v>
      </c>
      <c r="D550">
        <f>IFERROR(VLOOKUP(A550,管理亚马逊库存!A:Q,17,0),"")</f>
        <v>0</v>
      </c>
      <c r="E550">
        <f>IFERROR(VLOOKUP(A550,管理亚马逊库存!A:R,18,0),"")</f>
        <v>0</v>
      </c>
      <c r="F550">
        <f t="shared" si="17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IFERROR(VLOOKUP(A550,库龄!B:K,9,0),0)</f>
        <v>0</v>
      </c>
      <c r="K550">
        <f>IFERROR(VLOOKUP(A550,库龄!B:L,10,0),0)</f>
        <v>0</v>
      </c>
      <c r="L550">
        <f>IFERROR(VLOOKUP(A550,库龄!B:M,11,0),0)</f>
        <v>0</v>
      </c>
      <c r="M550">
        <f>IFERROR(VLOOKUP(A550,库龄!B:N,12,0),0)</f>
        <v>0</v>
      </c>
      <c r="N550">
        <f t="shared" si="18"/>
        <v>0</v>
      </c>
    </row>
    <row r="551" spans="1:14">
      <c r="A551" s="3" t="s">
        <v>1724</v>
      </c>
      <c r="B551">
        <f>IFERROR(VLOOKUP(A551,管理亚马逊库存!A:K,11,0),"")</f>
        <v>0</v>
      </c>
      <c r="C551">
        <f>IFERROR(VLOOKUP(A551,管理亚马逊库存!A:L,12,0),"")</f>
        <v>0</v>
      </c>
      <c r="D551">
        <f>IFERROR(VLOOKUP(A551,管理亚马逊库存!A:Q,17,0),"")</f>
        <v>0</v>
      </c>
      <c r="E551">
        <f>IFERROR(VLOOKUP(A551,管理亚马逊库存!A:R,18,0),"")</f>
        <v>0</v>
      </c>
      <c r="F551">
        <f t="shared" si="17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IFERROR(VLOOKUP(A551,库龄!B:K,9,0),0)</f>
        <v>0</v>
      </c>
      <c r="K551">
        <f>IFERROR(VLOOKUP(A551,库龄!B:L,10,0),0)</f>
        <v>0</v>
      </c>
      <c r="L551">
        <f>IFERROR(VLOOKUP(A551,库龄!B:M,11,0),0)</f>
        <v>0</v>
      </c>
      <c r="M551">
        <f>IFERROR(VLOOKUP(A551,库龄!B:N,12,0),0)</f>
        <v>0</v>
      </c>
      <c r="N551">
        <f t="shared" si="18"/>
        <v>0</v>
      </c>
    </row>
    <row r="552" spans="1:14">
      <c r="A552" s="3" t="s">
        <v>1727</v>
      </c>
      <c r="B552">
        <f>IFERROR(VLOOKUP(A552,管理亚马逊库存!A:K,11,0),"")</f>
        <v>0</v>
      </c>
      <c r="C552">
        <f>IFERROR(VLOOKUP(A552,管理亚马逊库存!A:L,12,0),"")</f>
        <v>0</v>
      </c>
      <c r="D552">
        <f>IFERROR(VLOOKUP(A552,管理亚马逊库存!A:Q,17,0),"")</f>
        <v>0</v>
      </c>
      <c r="E552">
        <f>IFERROR(VLOOKUP(A552,管理亚马逊库存!A:R,18,0),"")</f>
        <v>0</v>
      </c>
      <c r="F552">
        <f t="shared" si="17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IFERROR(VLOOKUP(A552,库龄!B:K,9,0),0)</f>
        <v>0</v>
      </c>
      <c r="K552">
        <f>IFERROR(VLOOKUP(A552,库龄!B:L,10,0),0)</f>
        <v>0</v>
      </c>
      <c r="L552">
        <f>IFERROR(VLOOKUP(A552,库龄!B:M,11,0),0)</f>
        <v>0</v>
      </c>
      <c r="M552">
        <f>IFERROR(VLOOKUP(A552,库龄!B:N,12,0),0)</f>
        <v>0</v>
      </c>
      <c r="N552">
        <f t="shared" si="18"/>
        <v>0</v>
      </c>
    </row>
    <row r="553" spans="1:14">
      <c r="A553" s="3" t="s">
        <v>1730</v>
      </c>
      <c r="B553">
        <f>IFERROR(VLOOKUP(A553,管理亚马逊库存!A:K,11,0),"")</f>
        <v>0</v>
      </c>
      <c r="C553">
        <f>IFERROR(VLOOKUP(A553,管理亚马逊库存!A:L,12,0),"")</f>
        <v>0</v>
      </c>
      <c r="D553">
        <f>IFERROR(VLOOKUP(A553,管理亚马逊库存!A:Q,17,0),"")</f>
        <v>0</v>
      </c>
      <c r="E553">
        <f>IFERROR(VLOOKUP(A553,管理亚马逊库存!A:R,18,0),"")</f>
        <v>0</v>
      </c>
      <c r="F553">
        <f t="shared" si="17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IFERROR(VLOOKUP(A553,库龄!B:K,9,0),0)</f>
        <v>0</v>
      </c>
      <c r="K553">
        <f>IFERROR(VLOOKUP(A553,库龄!B:L,10,0),0)</f>
        <v>0</v>
      </c>
      <c r="L553">
        <f>IFERROR(VLOOKUP(A553,库龄!B:M,11,0),0)</f>
        <v>0</v>
      </c>
      <c r="M553">
        <f>IFERROR(VLOOKUP(A553,库龄!B:N,12,0),0)</f>
        <v>0</v>
      </c>
      <c r="N553">
        <f t="shared" si="18"/>
        <v>0</v>
      </c>
    </row>
    <row r="554" spans="1:14">
      <c r="A554" s="3" t="s">
        <v>1733</v>
      </c>
      <c r="B554">
        <f>IFERROR(VLOOKUP(A554,管理亚马逊库存!A:K,11,0),"")</f>
        <v>0</v>
      </c>
      <c r="C554">
        <f>IFERROR(VLOOKUP(A554,管理亚马逊库存!A:L,12,0),"")</f>
        <v>0</v>
      </c>
      <c r="D554">
        <f>IFERROR(VLOOKUP(A554,管理亚马逊库存!A:Q,17,0),"")</f>
        <v>0</v>
      </c>
      <c r="E554">
        <f>IFERROR(VLOOKUP(A554,管理亚马逊库存!A:R,18,0),"")</f>
        <v>0</v>
      </c>
      <c r="F554">
        <f t="shared" si="17"/>
        <v>0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IFERROR(VLOOKUP(A554,库龄!B:K,9,0),0)</f>
        <v>0</v>
      </c>
      <c r="K554">
        <f>IFERROR(VLOOKUP(A554,库龄!B:L,10,0),0)</f>
        <v>0</v>
      </c>
      <c r="L554">
        <f>IFERROR(VLOOKUP(A554,库龄!B:M,11,0),0)</f>
        <v>0</v>
      </c>
      <c r="M554">
        <f>IFERROR(VLOOKUP(A554,库龄!B:N,12,0),0)</f>
        <v>0</v>
      </c>
      <c r="N554">
        <f t="shared" si="18"/>
        <v>0</v>
      </c>
    </row>
    <row r="555" spans="1:14">
      <c r="A555" s="3" t="s">
        <v>1736</v>
      </c>
      <c r="B555">
        <f>IFERROR(VLOOKUP(A555,管理亚马逊库存!A:K,11,0),"")</f>
        <v>0</v>
      </c>
      <c r="C555">
        <f>IFERROR(VLOOKUP(A555,管理亚马逊库存!A:L,12,0),"")</f>
        <v>0</v>
      </c>
      <c r="D555">
        <f>IFERROR(VLOOKUP(A555,管理亚马逊库存!A:Q,17,0),"")</f>
        <v>0</v>
      </c>
      <c r="E555">
        <f>IFERROR(VLOOKUP(A555,管理亚马逊库存!A:R,18,0),"")</f>
        <v>0</v>
      </c>
      <c r="F555">
        <f t="shared" si="17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IFERROR(VLOOKUP(A555,库龄!B:K,9,0),0)</f>
        <v>0</v>
      </c>
      <c r="K555">
        <f>IFERROR(VLOOKUP(A555,库龄!B:L,10,0),0)</f>
        <v>0</v>
      </c>
      <c r="L555">
        <f>IFERROR(VLOOKUP(A555,库龄!B:M,11,0),0)</f>
        <v>0</v>
      </c>
      <c r="M555">
        <f>IFERROR(VLOOKUP(A555,库龄!B:N,12,0),0)</f>
        <v>0</v>
      </c>
      <c r="N555">
        <f t="shared" si="18"/>
        <v>0</v>
      </c>
    </row>
    <row r="556" spans="1:14">
      <c r="A556" s="3" t="s">
        <v>1739</v>
      </c>
      <c r="B556">
        <f>IFERROR(VLOOKUP(A556,管理亚马逊库存!A:K,11,0),"")</f>
        <v>0</v>
      </c>
      <c r="C556">
        <f>IFERROR(VLOOKUP(A556,管理亚马逊库存!A:L,12,0),"")</f>
        <v>0</v>
      </c>
      <c r="D556">
        <f>IFERROR(VLOOKUP(A556,管理亚马逊库存!A:Q,17,0),"")</f>
        <v>0</v>
      </c>
      <c r="E556">
        <f>IFERROR(VLOOKUP(A556,管理亚马逊库存!A:R,18,0),"")</f>
        <v>0</v>
      </c>
      <c r="F556">
        <f t="shared" si="17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IFERROR(VLOOKUP(A556,库龄!B:K,9,0),0)</f>
        <v>0</v>
      </c>
      <c r="K556">
        <f>IFERROR(VLOOKUP(A556,库龄!B:L,10,0),0)</f>
        <v>0</v>
      </c>
      <c r="L556">
        <f>IFERROR(VLOOKUP(A556,库龄!B:M,11,0),0)</f>
        <v>0</v>
      </c>
      <c r="M556">
        <f>IFERROR(VLOOKUP(A556,库龄!B:N,12,0),0)</f>
        <v>0</v>
      </c>
      <c r="N556">
        <f t="shared" si="18"/>
        <v>0</v>
      </c>
    </row>
    <row r="557" spans="1:14">
      <c r="A557" s="3" t="s">
        <v>1742</v>
      </c>
      <c r="B557">
        <f>IFERROR(VLOOKUP(A557,管理亚马逊库存!A:K,11,0),"")</f>
        <v>0</v>
      </c>
      <c r="C557">
        <f>IFERROR(VLOOKUP(A557,管理亚马逊库存!A:L,12,0),"")</f>
        <v>0</v>
      </c>
      <c r="D557">
        <f>IFERROR(VLOOKUP(A557,管理亚马逊库存!A:Q,17,0),"")</f>
        <v>0</v>
      </c>
      <c r="E557">
        <f>IFERROR(VLOOKUP(A557,管理亚马逊库存!A:R,18,0),"")</f>
        <v>0</v>
      </c>
      <c r="F557">
        <f t="shared" si="17"/>
        <v>0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IFERROR(VLOOKUP(A557,库龄!B:K,9,0),0)</f>
        <v>0</v>
      </c>
      <c r="K557">
        <f>IFERROR(VLOOKUP(A557,库龄!B:L,10,0),0)</f>
        <v>0</v>
      </c>
      <c r="L557">
        <f>IFERROR(VLOOKUP(A557,库龄!B:M,11,0),0)</f>
        <v>0</v>
      </c>
      <c r="M557">
        <f>IFERROR(VLOOKUP(A557,库龄!B:N,12,0),0)</f>
        <v>0</v>
      </c>
      <c r="N557">
        <f t="shared" si="18"/>
        <v>0</v>
      </c>
    </row>
    <row r="558" spans="1:14">
      <c r="A558" s="3" t="s">
        <v>1745</v>
      </c>
      <c r="B558">
        <f>IFERROR(VLOOKUP(A558,管理亚马逊库存!A:K,11,0),"")</f>
        <v>0</v>
      </c>
      <c r="C558">
        <f>IFERROR(VLOOKUP(A558,管理亚马逊库存!A:L,12,0),"")</f>
        <v>0</v>
      </c>
      <c r="D558">
        <f>IFERROR(VLOOKUP(A558,管理亚马逊库存!A:Q,17,0),"")</f>
        <v>0</v>
      </c>
      <c r="E558">
        <f>IFERROR(VLOOKUP(A558,管理亚马逊库存!A:R,18,0),"")</f>
        <v>0</v>
      </c>
      <c r="F558">
        <f t="shared" si="17"/>
        <v>0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IFERROR(VLOOKUP(A558,库龄!B:K,9,0),0)</f>
        <v>0</v>
      </c>
      <c r="K558">
        <f>IFERROR(VLOOKUP(A558,库龄!B:L,10,0),0)</f>
        <v>0</v>
      </c>
      <c r="L558">
        <f>IFERROR(VLOOKUP(A558,库龄!B:M,11,0),0)</f>
        <v>0</v>
      </c>
      <c r="M558">
        <f>IFERROR(VLOOKUP(A558,库龄!B:N,12,0),0)</f>
        <v>0</v>
      </c>
      <c r="N558">
        <f t="shared" si="18"/>
        <v>0</v>
      </c>
    </row>
    <row r="559" spans="1:14">
      <c r="A559" s="3" t="s">
        <v>1748</v>
      </c>
      <c r="B559">
        <f>IFERROR(VLOOKUP(A559,管理亚马逊库存!A:K,11,0),"")</f>
        <v>0</v>
      </c>
      <c r="C559">
        <f>IFERROR(VLOOKUP(A559,管理亚马逊库存!A:L,12,0),"")</f>
        <v>0</v>
      </c>
      <c r="D559">
        <f>IFERROR(VLOOKUP(A559,管理亚马逊库存!A:Q,17,0),"")</f>
        <v>0</v>
      </c>
      <c r="E559">
        <f>IFERROR(VLOOKUP(A559,管理亚马逊库存!A:R,18,0),"")</f>
        <v>0</v>
      </c>
      <c r="F559">
        <f t="shared" si="17"/>
        <v>0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IFERROR(VLOOKUP(A559,库龄!B:K,9,0),0)</f>
        <v>0</v>
      </c>
      <c r="K559">
        <f>IFERROR(VLOOKUP(A559,库龄!B:L,10,0),0)</f>
        <v>0</v>
      </c>
      <c r="L559">
        <f>IFERROR(VLOOKUP(A559,库龄!B:M,11,0),0)</f>
        <v>0</v>
      </c>
      <c r="M559">
        <f>IFERROR(VLOOKUP(A559,库龄!B:N,12,0),0)</f>
        <v>0</v>
      </c>
      <c r="N559">
        <f t="shared" si="18"/>
        <v>0</v>
      </c>
    </row>
    <row r="560" spans="1:14">
      <c r="A560" s="3" t="s">
        <v>1751</v>
      </c>
      <c r="B560">
        <f>IFERROR(VLOOKUP(A560,管理亚马逊库存!A:K,11,0),"")</f>
        <v>0</v>
      </c>
      <c r="C560">
        <f>IFERROR(VLOOKUP(A560,管理亚马逊库存!A:L,12,0),"")</f>
        <v>0</v>
      </c>
      <c r="D560">
        <f>IFERROR(VLOOKUP(A560,管理亚马逊库存!A:Q,17,0),"")</f>
        <v>0</v>
      </c>
      <c r="E560">
        <f>IFERROR(VLOOKUP(A560,管理亚马逊库存!A:R,18,0),"")</f>
        <v>0</v>
      </c>
      <c r="F560">
        <f t="shared" si="17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IFERROR(VLOOKUP(A560,库龄!B:K,9,0),0)</f>
        <v>0</v>
      </c>
      <c r="K560">
        <f>IFERROR(VLOOKUP(A560,库龄!B:L,10,0),0)</f>
        <v>0</v>
      </c>
      <c r="L560">
        <f>IFERROR(VLOOKUP(A560,库龄!B:M,11,0),0)</f>
        <v>0</v>
      </c>
      <c r="M560">
        <f>IFERROR(VLOOKUP(A560,库龄!B:N,12,0),0)</f>
        <v>0</v>
      </c>
      <c r="N560">
        <f t="shared" si="18"/>
        <v>0</v>
      </c>
    </row>
    <row r="561" spans="1:14">
      <c r="A561" s="3" t="s">
        <v>1754</v>
      </c>
      <c r="B561">
        <f>IFERROR(VLOOKUP(A561,管理亚马逊库存!A:K,11,0),"")</f>
        <v>0</v>
      </c>
      <c r="C561">
        <f>IFERROR(VLOOKUP(A561,管理亚马逊库存!A:L,12,0),"")</f>
        <v>0</v>
      </c>
      <c r="D561">
        <f>IFERROR(VLOOKUP(A561,管理亚马逊库存!A:Q,17,0),"")</f>
        <v>0</v>
      </c>
      <c r="E561">
        <f>IFERROR(VLOOKUP(A561,管理亚马逊库存!A:R,18,0),"")</f>
        <v>0</v>
      </c>
      <c r="F561">
        <f t="shared" si="17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IFERROR(VLOOKUP(A561,库龄!B:K,9,0),0)</f>
        <v>0</v>
      </c>
      <c r="K561">
        <f>IFERROR(VLOOKUP(A561,库龄!B:L,10,0),0)</f>
        <v>0</v>
      </c>
      <c r="L561">
        <f>IFERROR(VLOOKUP(A561,库龄!B:M,11,0),0)</f>
        <v>0</v>
      </c>
      <c r="M561">
        <f>IFERROR(VLOOKUP(A561,库龄!B:N,12,0),0)</f>
        <v>0</v>
      </c>
      <c r="N561">
        <f t="shared" si="18"/>
        <v>0</v>
      </c>
    </row>
    <row r="562" spans="1:14">
      <c r="A562" s="3" t="s">
        <v>1757</v>
      </c>
      <c r="B562">
        <f>IFERROR(VLOOKUP(A562,管理亚马逊库存!A:K,11,0),"")</f>
        <v>0</v>
      </c>
      <c r="C562">
        <f>IFERROR(VLOOKUP(A562,管理亚马逊库存!A:L,12,0),"")</f>
        <v>0</v>
      </c>
      <c r="D562">
        <f>IFERROR(VLOOKUP(A562,管理亚马逊库存!A:Q,17,0),"")</f>
        <v>0</v>
      </c>
      <c r="E562">
        <f>IFERROR(VLOOKUP(A562,管理亚马逊库存!A:R,18,0),"")</f>
        <v>0</v>
      </c>
      <c r="F562">
        <f t="shared" si="17"/>
        <v>0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IFERROR(VLOOKUP(A562,库龄!B:K,9,0),0)</f>
        <v>0</v>
      </c>
      <c r="K562">
        <f>IFERROR(VLOOKUP(A562,库龄!B:L,10,0),0)</f>
        <v>0</v>
      </c>
      <c r="L562">
        <f>IFERROR(VLOOKUP(A562,库龄!B:M,11,0),0)</f>
        <v>0</v>
      </c>
      <c r="M562">
        <f>IFERROR(VLOOKUP(A562,库龄!B:N,12,0),0)</f>
        <v>0</v>
      </c>
      <c r="N562">
        <f t="shared" si="18"/>
        <v>0</v>
      </c>
    </row>
    <row r="563" spans="1:14">
      <c r="A563" s="3" t="s">
        <v>1760</v>
      </c>
      <c r="B563">
        <f>IFERROR(VLOOKUP(A563,管理亚马逊库存!A:K,11,0),"")</f>
        <v>0</v>
      </c>
      <c r="C563">
        <f>IFERROR(VLOOKUP(A563,管理亚马逊库存!A:L,12,0),"")</f>
        <v>0</v>
      </c>
      <c r="D563">
        <f>IFERROR(VLOOKUP(A563,管理亚马逊库存!A:Q,17,0),"")</f>
        <v>0</v>
      </c>
      <c r="E563">
        <f>IFERROR(VLOOKUP(A563,管理亚马逊库存!A:R,18,0),"")</f>
        <v>0</v>
      </c>
      <c r="F563">
        <f t="shared" si="17"/>
        <v>0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IFERROR(VLOOKUP(A563,库龄!B:K,9,0),0)</f>
        <v>0</v>
      </c>
      <c r="K563">
        <f>IFERROR(VLOOKUP(A563,库龄!B:L,10,0),0)</f>
        <v>0</v>
      </c>
      <c r="L563">
        <f>IFERROR(VLOOKUP(A563,库龄!B:M,11,0),0)</f>
        <v>0</v>
      </c>
      <c r="M563">
        <f>IFERROR(VLOOKUP(A563,库龄!B:N,12,0),0)</f>
        <v>0</v>
      </c>
      <c r="N563">
        <f t="shared" si="18"/>
        <v>0</v>
      </c>
    </row>
    <row r="564" spans="1:14">
      <c r="A564" s="3" t="s">
        <v>1762</v>
      </c>
      <c r="B564">
        <f>IFERROR(VLOOKUP(A564,管理亚马逊库存!A:K,11,0),"")</f>
        <v>0</v>
      </c>
      <c r="C564">
        <f>IFERROR(VLOOKUP(A564,管理亚马逊库存!A:L,12,0),"")</f>
        <v>0</v>
      </c>
      <c r="D564">
        <f>IFERROR(VLOOKUP(A564,管理亚马逊库存!A:Q,17,0),"")</f>
        <v>0</v>
      </c>
      <c r="E564">
        <f>IFERROR(VLOOKUP(A564,管理亚马逊库存!A:R,18,0),"")</f>
        <v>0</v>
      </c>
      <c r="F564">
        <f t="shared" si="17"/>
        <v>0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IFERROR(VLOOKUP(A564,库龄!B:K,9,0),0)</f>
        <v>0</v>
      </c>
      <c r="K564">
        <f>IFERROR(VLOOKUP(A564,库龄!B:L,10,0),0)</f>
        <v>0</v>
      </c>
      <c r="L564">
        <f>IFERROR(VLOOKUP(A564,库龄!B:M,11,0),0)</f>
        <v>0</v>
      </c>
      <c r="M564">
        <f>IFERROR(VLOOKUP(A564,库龄!B:N,12,0),0)</f>
        <v>0</v>
      </c>
      <c r="N564">
        <f t="shared" si="18"/>
        <v>0</v>
      </c>
    </row>
    <row r="565" spans="1:14">
      <c r="A565" s="3" t="s">
        <v>1765</v>
      </c>
      <c r="B565">
        <f>IFERROR(VLOOKUP(A565,管理亚马逊库存!A:K,11,0),"")</f>
        <v>0</v>
      </c>
      <c r="C565">
        <f>IFERROR(VLOOKUP(A565,管理亚马逊库存!A:L,12,0),"")</f>
        <v>0</v>
      </c>
      <c r="D565">
        <f>IFERROR(VLOOKUP(A565,管理亚马逊库存!A:Q,17,0),"")</f>
        <v>0</v>
      </c>
      <c r="E565">
        <f>IFERROR(VLOOKUP(A565,管理亚马逊库存!A:R,18,0),"")</f>
        <v>0</v>
      </c>
      <c r="F565">
        <f t="shared" si="17"/>
        <v>0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IFERROR(VLOOKUP(A565,库龄!B:K,9,0),0)</f>
        <v>0</v>
      </c>
      <c r="K565">
        <f>IFERROR(VLOOKUP(A565,库龄!B:L,10,0),0)</f>
        <v>0</v>
      </c>
      <c r="L565">
        <f>IFERROR(VLOOKUP(A565,库龄!B:M,11,0),0)</f>
        <v>0</v>
      </c>
      <c r="M565">
        <f>IFERROR(VLOOKUP(A565,库龄!B:N,12,0),0)</f>
        <v>0</v>
      </c>
      <c r="N565">
        <f t="shared" si="18"/>
        <v>0</v>
      </c>
    </row>
    <row r="566" spans="1:14">
      <c r="A566" s="3" t="s">
        <v>1766</v>
      </c>
      <c r="B566">
        <f>IFERROR(VLOOKUP(A566,管理亚马逊库存!A:K,11,0),"")</f>
        <v>0</v>
      </c>
      <c r="C566">
        <f>IFERROR(VLOOKUP(A566,管理亚马逊库存!A:L,12,0),"")</f>
        <v>1</v>
      </c>
      <c r="D566">
        <f>IFERROR(VLOOKUP(A566,管理亚马逊库存!A:Q,17,0),"")</f>
        <v>0</v>
      </c>
      <c r="E566">
        <f>IFERROR(VLOOKUP(A566,管理亚马逊库存!A:R,18,0),"")</f>
        <v>0</v>
      </c>
      <c r="F566">
        <f t="shared" si="17"/>
        <v>0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IFERROR(VLOOKUP(A566,库龄!B:K,9,0),0)</f>
        <v>0</v>
      </c>
      <c r="K566">
        <f>IFERROR(VLOOKUP(A566,库龄!B:L,10,0),0)</f>
        <v>0</v>
      </c>
      <c r="L566">
        <f>IFERROR(VLOOKUP(A566,库龄!B:M,11,0),0)</f>
        <v>0</v>
      </c>
      <c r="M566">
        <f>IFERROR(VLOOKUP(A566,库龄!B:N,12,0),0)</f>
        <v>0</v>
      </c>
      <c r="N566">
        <f t="shared" si="18"/>
        <v>0</v>
      </c>
    </row>
    <row r="567" spans="1:14">
      <c r="A567" s="3" t="s">
        <v>1767</v>
      </c>
      <c r="B567">
        <f>IFERROR(VLOOKUP(A567,管理亚马逊库存!A:K,11,0),"")</f>
        <v>0</v>
      </c>
      <c r="C567">
        <f>IFERROR(VLOOKUP(A567,管理亚马逊库存!A:L,12,0),"")</f>
        <v>2</v>
      </c>
      <c r="D567">
        <f>IFERROR(VLOOKUP(A567,管理亚马逊库存!A:Q,17,0),"")</f>
        <v>0</v>
      </c>
      <c r="E567">
        <f>IFERROR(VLOOKUP(A567,管理亚马逊库存!A:R,18,0),"")</f>
        <v>0</v>
      </c>
      <c r="F567">
        <f t="shared" si="17"/>
        <v>0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IFERROR(VLOOKUP(A567,库龄!B:K,9,0),0)</f>
        <v>0</v>
      </c>
      <c r="K567">
        <f>IFERROR(VLOOKUP(A567,库龄!B:L,10,0),0)</f>
        <v>0</v>
      </c>
      <c r="L567">
        <f>IFERROR(VLOOKUP(A567,库龄!B:M,11,0),0)</f>
        <v>0</v>
      </c>
      <c r="M567">
        <f>IFERROR(VLOOKUP(A567,库龄!B:N,12,0),0)</f>
        <v>0</v>
      </c>
      <c r="N567">
        <f t="shared" si="18"/>
        <v>0</v>
      </c>
    </row>
    <row r="568" spans="1:14">
      <c r="A568" s="3" t="s">
        <v>1768</v>
      </c>
      <c r="B568">
        <f>IFERROR(VLOOKUP(A568,管理亚马逊库存!A:K,11,0),"")</f>
        <v>0</v>
      </c>
      <c r="C568">
        <f>IFERROR(VLOOKUP(A568,管理亚马逊库存!A:L,12,0),"")</f>
        <v>0</v>
      </c>
      <c r="D568">
        <f>IFERROR(VLOOKUP(A568,管理亚马逊库存!A:Q,17,0),"")</f>
        <v>0</v>
      </c>
      <c r="E568">
        <f>IFERROR(VLOOKUP(A568,管理亚马逊库存!A:R,18,0),"")</f>
        <v>0</v>
      </c>
      <c r="F568">
        <f t="shared" si="17"/>
        <v>0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IFERROR(VLOOKUP(A568,库龄!B:K,9,0),0)</f>
        <v>0</v>
      </c>
      <c r="K568">
        <f>IFERROR(VLOOKUP(A568,库龄!B:L,10,0),0)</f>
        <v>0</v>
      </c>
      <c r="L568">
        <f>IFERROR(VLOOKUP(A568,库龄!B:M,11,0),0)</f>
        <v>0</v>
      </c>
      <c r="M568">
        <f>IFERROR(VLOOKUP(A568,库龄!B:N,12,0),0)</f>
        <v>0</v>
      </c>
      <c r="N568">
        <f t="shared" si="18"/>
        <v>0</v>
      </c>
    </row>
    <row r="569" spans="1:14">
      <c r="A569" s="3" t="s">
        <v>1769</v>
      </c>
      <c r="B569">
        <f>IFERROR(VLOOKUP(A569,管理亚马逊库存!A:K,11,0),"")</f>
        <v>0</v>
      </c>
      <c r="C569">
        <f>IFERROR(VLOOKUP(A569,管理亚马逊库存!A:L,12,0),"")</f>
        <v>0</v>
      </c>
      <c r="D569">
        <f>IFERROR(VLOOKUP(A569,管理亚马逊库存!A:Q,17,0),"")</f>
        <v>0</v>
      </c>
      <c r="E569">
        <f>IFERROR(VLOOKUP(A569,管理亚马逊库存!A:R,18,0),"")</f>
        <v>0</v>
      </c>
      <c r="F569">
        <f t="shared" si="17"/>
        <v>0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IFERROR(VLOOKUP(A569,库龄!B:K,9,0),0)</f>
        <v>0</v>
      </c>
      <c r="K569">
        <f>IFERROR(VLOOKUP(A569,库龄!B:L,10,0),0)</f>
        <v>0</v>
      </c>
      <c r="L569">
        <f>IFERROR(VLOOKUP(A569,库龄!B:M,11,0),0)</f>
        <v>0</v>
      </c>
      <c r="M569">
        <f>IFERROR(VLOOKUP(A569,库龄!B:N,12,0),0)</f>
        <v>0</v>
      </c>
      <c r="N569">
        <f t="shared" si="18"/>
        <v>0</v>
      </c>
    </row>
    <row r="570" spans="1:14">
      <c r="A570" s="3" t="s">
        <v>1770</v>
      </c>
      <c r="B570">
        <f>IFERROR(VLOOKUP(A570,管理亚马逊库存!A:K,11,0),"")</f>
        <v>0</v>
      </c>
      <c r="C570">
        <f>IFERROR(VLOOKUP(A570,管理亚马逊库存!A:L,12,0),"")</f>
        <v>0</v>
      </c>
      <c r="D570">
        <f>IFERROR(VLOOKUP(A570,管理亚马逊库存!A:Q,17,0),"")</f>
        <v>0</v>
      </c>
      <c r="E570">
        <f>IFERROR(VLOOKUP(A570,管理亚马逊库存!A:R,18,0),"")</f>
        <v>0</v>
      </c>
      <c r="F570">
        <f t="shared" si="17"/>
        <v>0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IFERROR(VLOOKUP(A570,库龄!B:K,9,0),0)</f>
        <v>0</v>
      </c>
      <c r="K570">
        <f>IFERROR(VLOOKUP(A570,库龄!B:L,10,0),0)</f>
        <v>0</v>
      </c>
      <c r="L570">
        <f>IFERROR(VLOOKUP(A570,库龄!B:M,11,0),0)</f>
        <v>0</v>
      </c>
      <c r="M570">
        <f>IFERROR(VLOOKUP(A570,库龄!B:N,12,0),0)</f>
        <v>0</v>
      </c>
      <c r="N570">
        <f t="shared" si="18"/>
        <v>0</v>
      </c>
    </row>
    <row r="571" spans="1:14">
      <c r="A571" s="3" t="s">
        <v>1771</v>
      </c>
      <c r="B571">
        <f>IFERROR(VLOOKUP(A571,管理亚马逊库存!A:K,11,0),"")</f>
        <v>0</v>
      </c>
      <c r="C571">
        <f>IFERROR(VLOOKUP(A571,管理亚马逊库存!A:L,12,0),"")</f>
        <v>0</v>
      </c>
      <c r="D571">
        <f>IFERROR(VLOOKUP(A571,管理亚马逊库存!A:Q,17,0),"")</f>
        <v>82</v>
      </c>
      <c r="E571">
        <f>IFERROR(VLOOKUP(A571,管理亚马逊库存!A:R,18,0),"")</f>
        <v>0</v>
      </c>
      <c r="F571">
        <f t="shared" si="17"/>
        <v>82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IFERROR(VLOOKUP(A571,库龄!B:K,9,0),0)</f>
        <v>0</v>
      </c>
      <c r="K571">
        <f>IFERROR(VLOOKUP(A571,库龄!B:L,10,0),0)</f>
        <v>0</v>
      </c>
      <c r="L571">
        <f>IFERROR(VLOOKUP(A571,库龄!B:M,11,0),0)</f>
        <v>0</v>
      </c>
      <c r="M571">
        <f>IFERROR(VLOOKUP(A571,库龄!B:N,12,0),0)</f>
        <v>0</v>
      </c>
      <c r="N571">
        <f t="shared" si="18"/>
        <v>0</v>
      </c>
    </row>
    <row r="572" spans="1:14">
      <c r="A572" s="3" t="s">
        <v>1775</v>
      </c>
      <c r="B572">
        <f>IFERROR(VLOOKUP(A572,管理亚马逊库存!A:K,11,0),"")</f>
        <v>0</v>
      </c>
      <c r="C572">
        <f>IFERROR(VLOOKUP(A572,管理亚马逊库存!A:L,12,0),"")</f>
        <v>0</v>
      </c>
      <c r="D572">
        <f>IFERROR(VLOOKUP(A572,管理亚马逊库存!A:Q,17,0),"")</f>
        <v>0</v>
      </c>
      <c r="E572">
        <f>IFERROR(VLOOKUP(A572,管理亚马逊库存!A:R,18,0),"")</f>
        <v>0</v>
      </c>
      <c r="F572">
        <f t="shared" si="17"/>
        <v>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IFERROR(VLOOKUP(A572,库龄!B:K,9,0),0)</f>
        <v>0</v>
      </c>
      <c r="K572">
        <f>IFERROR(VLOOKUP(A572,库龄!B:L,10,0),0)</f>
        <v>0</v>
      </c>
      <c r="L572">
        <f>IFERROR(VLOOKUP(A572,库龄!B:M,11,0),0)</f>
        <v>0</v>
      </c>
      <c r="M572">
        <f>IFERROR(VLOOKUP(A572,库龄!B:N,12,0),0)</f>
        <v>0</v>
      </c>
      <c r="N572">
        <f t="shared" si="18"/>
        <v>0</v>
      </c>
    </row>
    <row r="573" spans="1:14">
      <c r="A573" s="3" t="s">
        <v>1776</v>
      </c>
      <c r="B573">
        <f>IFERROR(VLOOKUP(A573,管理亚马逊库存!A:K,11,0),"")</f>
        <v>0</v>
      </c>
      <c r="C573">
        <f>IFERROR(VLOOKUP(A573,管理亚马逊库存!A:L,12,0),"")</f>
        <v>1</v>
      </c>
      <c r="D573">
        <f>IFERROR(VLOOKUP(A573,管理亚马逊库存!A:Q,17,0),"")</f>
        <v>0</v>
      </c>
      <c r="E573">
        <f>IFERROR(VLOOKUP(A573,管理亚马逊库存!A:R,18,0),"")</f>
        <v>0</v>
      </c>
      <c r="F573">
        <f t="shared" si="17"/>
        <v>0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IFERROR(VLOOKUP(A573,库龄!B:K,9,0),0)</f>
        <v>0</v>
      </c>
      <c r="K573">
        <f>IFERROR(VLOOKUP(A573,库龄!B:L,10,0),0)</f>
        <v>0</v>
      </c>
      <c r="L573">
        <f>IFERROR(VLOOKUP(A573,库龄!B:M,11,0),0)</f>
        <v>0</v>
      </c>
      <c r="M573">
        <f>IFERROR(VLOOKUP(A573,库龄!B:N,12,0),0)</f>
        <v>0</v>
      </c>
      <c r="N573">
        <f t="shared" si="18"/>
        <v>0</v>
      </c>
    </row>
    <row r="574" spans="1:14">
      <c r="A574" s="3" t="s">
        <v>1777</v>
      </c>
      <c r="B574">
        <f>IFERROR(VLOOKUP(A574,管理亚马逊库存!A:K,11,0),"")</f>
        <v>0</v>
      </c>
      <c r="C574">
        <f>IFERROR(VLOOKUP(A574,管理亚马逊库存!A:L,12,0),"")</f>
        <v>1</v>
      </c>
      <c r="D574">
        <f>IFERROR(VLOOKUP(A574,管理亚马逊库存!A:Q,17,0),"")</f>
        <v>0</v>
      </c>
      <c r="E574">
        <f>IFERROR(VLOOKUP(A574,管理亚马逊库存!A:R,18,0),"")</f>
        <v>0</v>
      </c>
      <c r="F574">
        <f t="shared" si="17"/>
        <v>0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IFERROR(VLOOKUP(A574,库龄!B:K,9,0),0)</f>
        <v>0</v>
      </c>
      <c r="K574">
        <f>IFERROR(VLOOKUP(A574,库龄!B:L,10,0),0)</f>
        <v>0</v>
      </c>
      <c r="L574">
        <f>IFERROR(VLOOKUP(A574,库龄!B:M,11,0),0)</f>
        <v>0</v>
      </c>
      <c r="M574">
        <f>IFERROR(VLOOKUP(A574,库龄!B:N,12,0),0)</f>
        <v>0</v>
      </c>
      <c r="N574">
        <f t="shared" si="18"/>
        <v>0</v>
      </c>
    </row>
    <row r="575" spans="1:14">
      <c r="A575" s="3" t="s">
        <v>1778</v>
      </c>
      <c r="B575">
        <f>IFERROR(VLOOKUP(A575,管理亚马逊库存!A:K,11,0),"")</f>
        <v>0</v>
      </c>
      <c r="C575">
        <f>IFERROR(VLOOKUP(A575,管理亚马逊库存!A:L,12,0),"")</f>
        <v>2</v>
      </c>
      <c r="D575">
        <f>IFERROR(VLOOKUP(A575,管理亚马逊库存!A:Q,17,0),"")</f>
        <v>0</v>
      </c>
      <c r="E575">
        <f>IFERROR(VLOOKUP(A575,管理亚马逊库存!A:R,18,0),"")</f>
        <v>0</v>
      </c>
      <c r="F575">
        <f t="shared" si="17"/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IFERROR(VLOOKUP(A575,库龄!B:K,9,0),0)</f>
        <v>0</v>
      </c>
      <c r="K575">
        <f>IFERROR(VLOOKUP(A575,库龄!B:L,10,0),0)</f>
        <v>0</v>
      </c>
      <c r="L575">
        <f>IFERROR(VLOOKUP(A575,库龄!B:M,11,0),0)</f>
        <v>0</v>
      </c>
      <c r="M575">
        <f>IFERROR(VLOOKUP(A575,库龄!B:N,12,0),0)</f>
        <v>0</v>
      </c>
      <c r="N575">
        <f t="shared" si="18"/>
        <v>0</v>
      </c>
    </row>
    <row r="576" spans="1:14">
      <c r="A576" s="3" t="s">
        <v>1779</v>
      </c>
      <c r="B576">
        <f>IFERROR(VLOOKUP(A576,管理亚马逊库存!A:K,11,0),"")</f>
        <v>0</v>
      </c>
      <c r="C576">
        <f>IFERROR(VLOOKUP(A576,管理亚马逊库存!A:L,12,0),"")</f>
        <v>3</v>
      </c>
      <c r="D576">
        <f>IFERROR(VLOOKUP(A576,管理亚马逊库存!A:Q,17,0),"")</f>
        <v>0</v>
      </c>
      <c r="E576">
        <f>IFERROR(VLOOKUP(A576,管理亚马逊库存!A:R,18,0),"")</f>
        <v>0</v>
      </c>
      <c r="F576">
        <f t="shared" si="17"/>
        <v>0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IFERROR(VLOOKUP(A576,库龄!B:K,9,0),0)</f>
        <v>0</v>
      </c>
      <c r="K576">
        <f>IFERROR(VLOOKUP(A576,库龄!B:L,10,0),0)</f>
        <v>0</v>
      </c>
      <c r="L576">
        <f>IFERROR(VLOOKUP(A576,库龄!B:M,11,0),0)</f>
        <v>0</v>
      </c>
      <c r="M576">
        <f>IFERROR(VLOOKUP(A576,库龄!B:N,12,0),0)</f>
        <v>0</v>
      </c>
      <c r="N576">
        <f t="shared" si="18"/>
        <v>0</v>
      </c>
    </row>
    <row r="577" spans="1:14">
      <c r="A577" s="3" t="s">
        <v>1780</v>
      </c>
      <c r="B577">
        <f>IFERROR(VLOOKUP(A577,管理亚马逊库存!A:K,11,0),"")</f>
        <v>0</v>
      </c>
      <c r="C577">
        <f>IFERROR(VLOOKUP(A577,管理亚马逊库存!A:L,12,0),"")</f>
        <v>0</v>
      </c>
      <c r="D577">
        <f>IFERROR(VLOOKUP(A577,管理亚马逊库存!A:Q,17,0),"")</f>
        <v>0</v>
      </c>
      <c r="E577">
        <f>IFERROR(VLOOKUP(A577,管理亚马逊库存!A:R,18,0),"")</f>
        <v>0</v>
      </c>
      <c r="F577">
        <f t="shared" si="17"/>
        <v>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IFERROR(VLOOKUP(A577,库龄!B:K,9,0),0)</f>
        <v>0</v>
      </c>
      <c r="K577">
        <f>IFERROR(VLOOKUP(A577,库龄!B:L,10,0),0)</f>
        <v>0</v>
      </c>
      <c r="L577">
        <f>IFERROR(VLOOKUP(A577,库龄!B:M,11,0),0)</f>
        <v>0</v>
      </c>
      <c r="M577">
        <f>IFERROR(VLOOKUP(A577,库龄!B:N,12,0),0)</f>
        <v>0</v>
      </c>
      <c r="N577">
        <f t="shared" si="18"/>
        <v>0</v>
      </c>
    </row>
    <row r="578" spans="1:14">
      <c r="A578" s="3" t="s">
        <v>1781</v>
      </c>
      <c r="B578">
        <f>IFERROR(VLOOKUP(A578,管理亚马逊库存!A:K,11,0),"")</f>
        <v>0</v>
      </c>
      <c r="C578">
        <f>IFERROR(VLOOKUP(A578,管理亚马逊库存!A:L,12,0),"")</f>
        <v>0</v>
      </c>
      <c r="D578">
        <f>IFERROR(VLOOKUP(A578,管理亚马逊库存!A:Q,17,0),"")</f>
        <v>0</v>
      </c>
      <c r="E578">
        <f>IFERROR(VLOOKUP(A578,管理亚马逊库存!A:R,18,0),"")</f>
        <v>0</v>
      </c>
      <c r="F578">
        <f t="shared" si="17"/>
        <v>0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IFERROR(VLOOKUP(A578,库龄!B:K,9,0),0)</f>
        <v>0</v>
      </c>
      <c r="K578">
        <f>IFERROR(VLOOKUP(A578,库龄!B:L,10,0),0)</f>
        <v>0</v>
      </c>
      <c r="L578">
        <f>IFERROR(VLOOKUP(A578,库龄!B:M,11,0),0)</f>
        <v>0</v>
      </c>
      <c r="M578">
        <f>IFERROR(VLOOKUP(A578,库龄!B:N,12,0),0)</f>
        <v>0</v>
      </c>
      <c r="N578">
        <f t="shared" si="18"/>
        <v>0</v>
      </c>
    </row>
    <row r="579" spans="1:14">
      <c r="A579" s="3" t="s">
        <v>1784</v>
      </c>
      <c r="B579">
        <f>IFERROR(VLOOKUP(A579,管理亚马逊库存!A:K,11,0),"")</f>
        <v>0</v>
      </c>
      <c r="C579">
        <f>IFERROR(VLOOKUP(A579,管理亚马逊库存!A:L,12,0),"")</f>
        <v>0</v>
      </c>
      <c r="D579">
        <f>IFERROR(VLOOKUP(A579,管理亚马逊库存!A:Q,17,0),"")</f>
        <v>0</v>
      </c>
      <c r="E579">
        <f>IFERROR(VLOOKUP(A579,管理亚马逊库存!A:R,18,0),"")</f>
        <v>0</v>
      </c>
      <c r="F579">
        <f t="shared" ref="F579:F581" si="19">SUM(D579:E579)</f>
        <v>0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IFERROR(VLOOKUP(A579,库龄!B:K,9,0),0)</f>
        <v>0</v>
      </c>
      <c r="K579">
        <f>IFERROR(VLOOKUP(A579,库龄!B:L,10,0),0)</f>
        <v>0</v>
      </c>
      <c r="L579">
        <f>IFERROR(VLOOKUP(A579,库龄!B:M,11,0),0)</f>
        <v>0</v>
      </c>
      <c r="M579">
        <f>IFERROR(VLOOKUP(A579,库龄!B:N,12,0),0)</f>
        <v>0</v>
      </c>
      <c r="N579">
        <f t="shared" ref="N579:N581" si="20">SUM(J579:M579)</f>
        <v>0</v>
      </c>
    </row>
    <row r="580" spans="1:14">
      <c r="A580" s="3" t="s">
        <v>1787</v>
      </c>
      <c r="B580">
        <f>IFERROR(VLOOKUP(A580,管理亚马逊库存!A:K,11,0),"")</f>
        <v>0</v>
      </c>
      <c r="C580">
        <f>IFERROR(VLOOKUP(A580,管理亚马逊库存!A:L,12,0),"")</f>
        <v>0</v>
      </c>
      <c r="D580">
        <f>IFERROR(VLOOKUP(A580,管理亚马逊库存!A:Q,17,0),"")</f>
        <v>0</v>
      </c>
      <c r="E580">
        <f>IFERROR(VLOOKUP(A580,管理亚马逊库存!A:R,18,0),"")</f>
        <v>0</v>
      </c>
      <c r="F580">
        <f t="shared" si="19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IFERROR(VLOOKUP(A580,库龄!B:K,9,0),0)</f>
        <v>0</v>
      </c>
      <c r="K580">
        <f>IFERROR(VLOOKUP(A580,库龄!B:L,10,0),0)</f>
        <v>0</v>
      </c>
      <c r="L580">
        <f>IFERROR(VLOOKUP(A580,库龄!B:M,11,0),0)</f>
        <v>0</v>
      </c>
      <c r="M580">
        <f>IFERROR(VLOOKUP(A580,库龄!B:N,12,0),0)</f>
        <v>0</v>
      </c>
      <c r="N580">
        <f t="shared" si="20"/>
        <v>0</v>
      </c>
    </row>
    <row r="581" spans="1:14">
      <c r="A581" s="3" t="s">
        <v>1790</v>
      </c>
      <c r="B581">
        <f>IFERROR(VLOOKUP(A581,管理亚马逊库存!A:K,11,0),"")</f>
        <v>0</v>
      </c>
      <c r="C581">
        <f>IFERROR(VLOOKUP(A581,管理亚马逊库存!A:L,12,0),"")</f>
        <v>0</v>
      </c>
      <c r="D581">
        <f>IFERROR(VLOOKUP(A581,管理亚马逊库存!A:Q,17,0),"")</f>
        <v>0</v>
      </c>
      <c r="E581">
        <f>IFERROR(VLOOKUP(A581,管理亚马逊库存!A:R,18,0),"")</f>
        <v>0</v>
      </c>
      <c r="F581">
        <f t="shared" si="19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IFERROR(VLOOKUP(A581,库龄!B:K,9,0),0)</f>
        <v>0</v>
      </c>
      <c r="K581">
        <f>IFERROR(VLOOKUP(A581,库龄!B:L,10,0),0)</f>
        <v>0</v>
      </c>
      <c r="L581">
        <f>IFERROR(VLOOKUP(A581,库龄!B:M,11,0),0)</f>
        <v>0</v>
      </c>
      <c r="M581">
        <f>IFERROR(VLOOKUP(A581,库龄!B:N,12,0),0)</f>
        <v>0</v>
      </c>
      <c r="N581">
        <f t="shared" si="20"/>
        <v>0</v>
      </c>
    </row>
    <row r="582" spans="2:14">
      <c r="B582" t="str">
        <f>IFERROR(VLOOKUP(A582,管理亚马逊库存!A:K,11,0),"")</f>
        <v/>
      </c>
      <c r="C582" t="str">
        <f>IFERROR(VLOOKUP(A582,管理亚马逊库存!A:L,12,0),"")</f>
        <v/>
      </c>
      <c r="D582" t="str">
        <f>IFERROR(VLOOKUP(A582,管理亚马逊库存!A:Q,17,0),"")</f>
        <v/>
      </c>
      <c r="E582" t="str">
        <f>IFERROR(VLOOKUP(A582,管理亚马逊库存!A:R,18,0),"")</f>
        <v/>
      </c>
      <c r="F582">
        <f t="shared" ref="F579:F589" si="21">SUM(D582:E582)</f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IFERROR(VLOOKUP(A582,库龄!B:K,9,0),0)</f>
        <v>0</v>
      </c>
      <c r="K582">
        <f>IFERROR(VLOOKUP(A582,库龄!B:L,10,0),0)</f>
        <v>0</v>
      </c>
      <c r="L582">
        <f>IFERROR(VLOOKUP(A582,库龄!B:M,11,0),0)</f>
        <v>0</v>
      </c>
      <c r="M582">
        <f>IFERROR(VLOOKUP(A582,库龄!B:N,12,0),0)</f>
        <v>0</v>
      </c>
      <c r="N582">
        <f t="shared" ref="N579:N589" si="22">SUM(J582:M582)</f>
        <v>0</v>
      </c>
    </row>
    <row r="583" spans="2:14">
      <c r="B583" t="str">
        <f>IFERROR(VLOOKUP(A583,管理亚马逊库存!A:K,11,0),"")</f>
        <v/>
      </c>
      <c r="C583" t="str">
        <f>IFERROR(VLOOKUP(A583,管理亚马逊库存!A:L,12,0),"")</f>
        <v/>
      </c>
      <c r="D583" t="str">
        <f>IFERROR(VLOOKUP(A583,管理亚马逊库存!A:Q,17,0),"")</f>
        <v/>
      </c>
      <c r="E583" t="str">
        <f>IFERROR(VLOOKUP(A583,管理亚马逊库存!A:R,18,0),"")</f>
        <v/>
      </c>
      <c r="F583">
        <f t="shared" si="21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IFERROR(VLOOKUP(A583,库龄!B:K,9,0),0)</f>
        <v>0</v>
      </c>
      <c r="K583">
        <f>IFERROR(VLOOKUP(A583,库龄!B:L,10,0),0)</f>
        <v>0</v>
      </c>
      <c r="L583">
        <f>IFERROR(VLOOKUP(A583,库龄!B:M,11,0),0)</f>
        <v>0</v>
      </c>
      <c r="M583">
        <f>IFERROR(VLOOKUP(A583,库龄!B:N,12,0),0)</f>
        <v>0</v>
      </c>
      <c r="N583">
        <f t="shared" si="22"/>
        <v>0</v>
      </c>
    </row>
    <row r="584" spans="2:14">
      <c r="B584" t="str">
        <f>IFERROR(VLOOKUP(A584,管理亚马逊库存!A:K,11,0),"")</f>
        <v/>
      </c>
      <c r="C584" t="str">
        <f>IFERROR(VLOOKUP(A584,管理亚马逊库存!A:L,12,0),"")</f>
        <v/>
      </c>
      <c r="D584" t="str">
        <f>IFERROR(VLOOKUP(A584,管理亚马逊库存!A:Q,17,0),"")</f>
        <v/>
      </c>
      <c r="E584" t="str">
        <f>IFERROR(VLOOKUP(A584,管理亚马逊库存!A:R,18,0),"")</f>
        <v/>
      </c>
      <c r="F584">
        <f t="shared" si="21"/>
        <v>0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IFERROR(VLOOKUP(A584,库龄!B:K,9,0),0)</f>
        <v>0</v>
      </c>
      <c r="K584">
        <f>IFERROR(VLOOKUP(A584,库龄!B:L,10,0),0)</f>
        <v>0</v>
      </c>
      <c r="L584">
        <f>IFERROR(VLOOKUP(A584,库龄!B:M,11,0),0)</f>
        <v>0</v>
      </c>
      <c r="M584">
        <f>IFERROR(VLOOKUP(A584,库龄!B:N,12,0),0)</f>
        <v>0</v>
      </c>
      <c r="N584">
        <f t="shared" si="22"/>
        <v>0</v>
      </c>
    </row>
    <row r="585" spans="2:14">
      <c r="B585" t="str">
        <f>IFERROR(VLOOKUP(A585,管理亚马逊库存!A:K,11,0),"")</f>
        <v/>
      </c>
      <c r="C585" t="str">
        <f>IFERROR(VLOOKUP(A585,管理亚马逊库存!A:L,12,0),"")</f>
        <v/>
      </c>
      <c r="D585" t="str">
        <f>IFERROR(VLOOKUP(A585,管理亚马逊库存!A:Q,17,0),"")</f>
        <v/>
      </c>
      <c r="E585" t="str">
        <f>IFERROR(VLOOKUP(A585,管理亚马逊库存!A:R,18,0),"")</f>
        <v/>
      </c>
      <c r="F585">
        <f t="shared" si="21"/>
        <v>0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IFERROR(VLOOKUP(A585,库龄!B:K,9,0),0)</f>
        <v>0</v>
      </c>
      <c r="K585">
        <f>IFERROR(VLOOKUP(A585,库龄!B:L,10,0),0)</f>
        <v>0</v>
      </c>
      <c r="L585">
        <f>IFERROR(VLOOKUP(A585,库龄!B:M,11,0),0)</f>
        <v>0</v>
      </c>
      <c r="M585">
        <f>IFERROR(VLOOKUP(A585,库龄!B:N,12,0),0)</f>
        <v>0</v>
      </c>
      <c r="N585">
        <f t="shared" si="22"/>
        <v>0</v>
      </c>
    </row>
    <row r="586" spans="2:14">
      <c r="B586" t="str">
        <f>IFERROR(VLOOKUP(A586,管理亚马逊库存!A:K,11,0),"")</f>
        <v/>
      </c>
      <c r="C586" t="str">
        <f>IFERROR(VLOOKUP(A586,管理亚马逊库存!A:L,12,0),"")</f>
        <v/>
      </c>
      <c r="D586" t="str">
        <f>IFERROR(VLOOKUP(A586,管理亚马逊库存!A:Q,17,0),"")</f>
        <v/>
      </c>
      <c r="E586" t="str">
        <f>IFERROR(VLOOKUP(A586,管理亚马逊库存!A:R,18,0),"")</f>
        <v/>
      </c>
      <c r="F586">
        <f t="shared" si="21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IFERROR(VLOOKUP(A586,库龄!B:K,9,0),0)</f>
        <v>0</v>
      </c>
      <c r="K586">
        <f>IFERROR(VLOOKUP(A586,库龄!B:L,10,0),0)</f>
        <v>0</v>
      </c>
      <c r="L586">
        <f>IFERROR(VLOOKUP(A586,库龄!B:M,11,0),0)</f>
        <v>0</v>
      </c>
      <c r="M586">
        <f>IFERROR(VLOOKUP(A586,库龄!B:N,12,0),0)</f>
        <v>0</v>
      </c>
      <c r="N586">
        <f t="shared" si="22"/>
        <v>0</v>
      </c>
    </row>
    <row r="587" spans="2:14">
      <c r="B587" t="str">
        <f>IFERROR(VLOOKUP(A587,管理亚马逊库存!A:K,11,0),"")</f>
        <v/>
      </c>
      <c r="C587" t="str">
        <f>IFERROR(VLOOKUP(A587,管理亚马逊库存!A:L,12,0),"")</f>
        <v/>
      </c>
      <c r="D587" t="str">
        <f>IFERROR(VLOOKUP(A587,管理亚马逊库存!A:Q,17,0),"")</f>
        <v/>
      </c>
      <c r="E587" t="str">
        <f>IFERROR(VLOOKUP(A587,管理亚马逊库存!A:R,18,0),"")</f>
        <v/>
      </c>
      <c r="F587">
        <f t="shared" si="21"/>
        <v>0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IFERROR(VLOOKUP(A587,库龄!B:K,9,0),0)</f>
        <v>0</v>
      </c>
      <c r="K587">
        <f>IFERROR(VLOOKUP(A587,库龄!B:L,10,0),0)</f>
        <v>0</v>
      </c>
      <c r="L587">
        <f>IFERROR(VLOOKUP(A587,库龄!B:M,11,0),0)</f>
        <v>0</v>
      </c>
      <c r="M587">
        <f>IFERROR(VLOOKUP(A587,库龄!B:N,12,0),0)</f>
        <v>0</v>
      </c>
      <c r="N587">
        <f t="shared" si="22"/>
        <v>0</v>
      </c>
    </row>
    <row r="588" spans="2:14">
      <c r="B588" t="str">
        <f>IFERROR(VLOOKUP(A588,管理亚马逊库存!A:K,11,0),"")</f>
        <v/>
      </c>
      <c r="C588" t="str">
        <f>IFERROR(VLOOKUP(A588,管理亚马逊库存!A:L,12,0),"")</f>
        <v/>
      </c>
      <c r="D588" t="str">
        <f>IFERROR(VLOOKUP(A588,管理亚马逊库存!A:Q,17,0),"")</f>
        <v/>
      </c>
      <c r="E588" t="str">
        <f>IFERROR(VLOOKUP(A588,管理亚马逊库存!A:R,18,0),"")</f>
        <v/>
      </c>
      <c r="F588">
        <f t="shared" si="21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IFERROR(VLOOKUP(A588,库龄!B:K,9,0),0)</f>
        <v>0</v>
      </c>
      <c r="K588">
        <f>IFERROR(VLOOKUP(A588,库龄!B:L,10,0),0)</f>
        <v>0</v>
      </c>
      <c r="L588">
        <f>IFERROR(VLOOKUP(A588,库龄!B:M,11,0),0)</f>
        <v>0</v>
      </c>
      <c r="M588">
        <f>IFERROR(VLOOKUP(A588,库龄!B:N,12,0),0)</f>
        <v>0</v>
      </c>
      <c r="N588">
        <f t="shared" si="22"/>
        <v>0</v>
      </c>
    </row>
    <row r="589" spans="2:14">
      <c r="B589" t="str">
        <f>IFERROR(VLOOKUP(A589,管理亚马逊库存!A:K,11,0),"")</f>
        <v/>
      </c>
      <c r="C589" t="str">
        <f>IFERROR(VLOOKUP(A589,管理亚马逊库存!A:L,12,0),"")</f>
        <v/>
      </c>
      <c r="D589" t="str">
        <f>IFERROR(VLOOKUP(A589,管理亚马逊库存!A:Q,17,0),"")</f>
        <v/>
      </c>
      <c r="E589" t="str">
        <f>IFERROR(VLOOKUP(A589,管理亚马逊库存!A:R,18,0),"")</f>
        <v/>
      </c>
      <c r="F589">
        <f t="shared" si="21"/>
        <v>0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IFERROR(VLOOKUP(A589,库龄!B:K,9,0),0)</f>
        <v>0</v>
      </c>
      <c r="K589">
        <f>IFERROR(VLOOKUP(A589,库龄!B:L,10,0),0)</f>
        <v>0</v>
      </c>
      <c r="L589">
        <f>IFERROR(VLOOKUP(A589,库龄!B:M,11,0),0)</f>
        <v>0</v>
      </c>
      <c r="M589">
        <f>IFERROR(VLOOKUP(A589,库龄!B:N,12,0),0)</f>
        <v>0</v>
      </c>
      <c r="N589">
        <f t="shared" si="22"/>
        <v>0</v>
      </c>
    </row>
    <row r="590" spans="2:14">
      <c r="B590" t="str">
        <f>IFERROR(VLOOKUP(A590,管理亚马逊库存!A:K,11,0),"")</f>
        <v/>
      </c>
      <c r="C590" t="str">
        <f>IFERROR(VLOOKUP(A590,管理亚马逊库存!A:L,12,0),"")</f>
        <v/>
      </c>
      <c r="D590" t="str">
        <f>IFERROR(VLOOKUP(A590,管理亚马逊库存!A:Q,17,0),"")</f>
        <v/>
      </c>
      <c r="E590" t="str">
        <f>IFERROR(VLOOKUP(A590,管理亚马逊库存!A:R,18,0),"")</f>
        <v/>
      </c>
      <c r="F590">
        <f t="shared" ref="F579:F602" si="23">SUM(D590:E590)</f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IFERROR(VLOOKUP(A590,库龄!B:K,9,0),0)</f>
        <v>0</v>
      </c>
      <c r="K590">
        <f>IFERROR(VLOOKUP(A590,库龄!B:L,10,0),0)</f>
        <v>0</v>
      </c>
      <c r="L590">
        <f>IFERROR(VLOOKUP(A590,库龄!B:M,11,0),0)</f>
        <v>0</v>
      </c>
      <c r="M590">
        <f>IFERROR(VLOOKUP(A590,库龄!B:N,12,0),0)</f>
        <v>0</v>
      </c>
      <c r="N590">
        <f t="shared" ref="N579:N602" si="24">SUM(J590:M590)</f>
        <v>0</v>
      </c>
    </row>
    <row r="591" spans="2:14">
      <c r="B591" t="str">
        <f>IFERROR(VLOOKUP(A591,管理亚马逊库存!A:K,11,0),"")</f>
        <v/>
      </c>
      <c r="C591" t="str">
        <f>IFERROR(VLOOKUP(A591,管理亚马逊库存!A:L,12,0),"")</f>
        <v/>
      </c>
      <c r="D591" t="str">
        <f>IFERROR(VLOOKUP(A591,管理亚马逊库存!A:Q,17,0),"")</f>
        <v/>
      </c>
      <c r="E591" t="str">
        <f>IFERROR(VLOOKUP(A591,管理亚马逊库存!A:R,18,0),"")</f>
        <v/>
      </c>
      <c r="F591">
        <f t="shared" si="23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IFERROR(VLOOKUP(A591,库龄!B:K,9,0),0)</f>
        <v>0</v>
      </c>
      <c r="K591">
        <f>IFERROR(VLOOKUP(A591,库龄!B:L,10,0),0)</f>
        <v>0</v>
      </c>
      <c r="L591">
        <f>IFERROR(VLOOKUP(A591,库龄!B:M,11,0),0)</f>
        <v>0</v>
      </c>
      <c r="M591">
        <f>IFERROR(VLOOKUP(A591,库龄!B:N,12,0),0)</f>
        <v>0</v>
      </c>
      <c r="N591">
        <f t="shared" si="24"/>
        <v>0</v>
      </c>
    </row>
    <row r="592" spans="2:14">
      <c r="B592" t="str">
        <f>IFERROR(VLOOKUP(A592,管理亚马逊库存!A:K,11,0),"")</f>
        <v/>
      </c>
      <c r="C592" t="str">
        <f>IFERROR(VLOOKUP(A592,管理亚马逊库存!A:L,12,0),"")</f>
        <v/>
      </c>
      <c r="D592" t="str">
        <f>IFERROR(VLOOKUP(A592,管理亚马逊库存!A:Q,17,0),"")</f>
        <v/>
      </c>
      <c r="E592" t="str">
        <f>IFERROR(VLOOKUP(A592,管理亚马逊库存!A:R,18,0),"")</f>
        <v/>
      </c>
      <c r="F592">
        <f t="shared" si="23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IFERROR(VLOOKUP(A592,库龄!B:K,9,0),0)</f>
        <v>0</v>
      </c>
      <c r="K592">
        <f>IFERROR(VLOOKUP(A592,库龄!B:L,10,0),0)</f>
        <v>0</v>
      </c>
      <c r="L592">
        <f>IFERROR(VLOOKUP(A592,库龄!B:M,11,0),0)</f>
        <v>0</v>
      </c>
      <c r="M592">
        <f>IFERROR(VLOOKUP(A592,库龄!B:N,12,0),0)</f>
        <v>0</v>
      </c>
      <c r="N592">
        <f t="shared" si="24"/>
        <v>0</v>
      </c>
    </row>
    <row r="593" spans="2:14">
      <c r="B593" t="str">
        <f>IFERROR(VLOOKUP(A593,管理亚马逊库存!A:K,11,0),"")</f>
        <v/>
      </c>
      <c r="C593" t="str">
        <f>IFERROR(VLOOKUP(A593,管理亚马逊库存!A:L,12,0),"")</f>
        <v/>
      </c>
      <c r="D593" t="str">
        <f>IFERROR(VLOOKUP(A593,管理亚马逊库存!A:Q,17,0),"")</f>
        <v/>
      </c>
      <c r="E593" t="str">
        <f>IFERROR(VLOOKUP(A593,管理亚马逊库存!A:R,18,0),"")</f>
        <v/>
      </c>
      <c r="F593">
        <f t="shared" si="23"/>
        <v>0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IFERROR(VLOOKUP(A593,库龄!B:K,9,0),0)</f>
        <v>0</v>
      </c>
      <c r="K593">
        <f>IFERROR(VLOOKUP(A593,库龄!B:L,10,0),0)</f>
        <v>0</v>
      </c>
      <c r="L593">
        <f>IFERROR(VLOOKUP(A593,库龄!B:M,11,0),0)</f>
        <v>0</v>
      </c>
      <c r="M593">
        <f>IFERROR(VLOOKUP(A593,库龄!B:N,12,0),0)</f>
        <v>0</v>
      </c>
      <c r="N593">
        <f t="shared" si="24"/>
        <v>0</v>
      </c>
    </row>
    <row r="594" spans="2:14">
      <c r="B594" t="str">
        <f>IFERROR(VLOOKUP(A594,管理亚马逊库存!A:K,11,0),"")</f>
        <v/>
      </c>
      <c r="C594" t="str">
        <f>IFERROR(VLOOKUP(A594,管理亚马逊库存!A:L,12,0),"")</f>
        <v/>
      </c>
      <c r="D594" t="str">
        <f>IFERROR(VLOOKUP(A594,管理亚马逊库存!A:Q,17,0),"")</f>
        <v/>
      </c>
      <c r="E594" t="str">
        <f>IFERROR(VLOOKUP(A594,管理亚马逊库存!A:R,18,0),"")</f>
        <v/>
      </c>
      <c r="F594">
        <f t="shared" si="23"/>
        <v>0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IFERROR(VLOOKUP(A594,库龄!B:K,9,0),0)</f>
        <v>0</v>
      </c>
      <c r="K594">
        <f>IFERROR(VLOOKUP(A594,库龄!B:L,10,0),0)</f>
        <v>0</v>
      </c>
      <c r="L594">
        <f>IFERROR(VLOOKUP(A594,库龄!B:M,11,0),0)</f>
        <v>0</v>
      </c>
      <c r="M594">
        <f>IFERROR(VLOOKUP(A594,库龄!B:N,12,0),0)</f>
        <v>0</v>
      </c>
      <c r="N594">
        <f t="shared" si="24"/>
        <v>0</v>
      </c>
    </row>
    <row r="595" spans="2:14">
      <c r="B595" t="str">
        <f>IFERROR(VLOOKUP(A595,管理亚马逊库存!A:K,11,0),"")</f>
        <v/>
      </c>
      <c r="C595" t="str">
        <f>IFERROR(VLOOKUP(A595,管理亚马逊库存!A:L,12,0),"")</f>
        <v/>
      </c>
      <c r="D595" t="str">
        <f>IFERROR(VLOOKUP(A595,管理亚马逊库存!A:Q,17,0),"")</f>
        <v/>
      </c>
      <c r="E595" t="str">
        <f>IFERROR(VLOOKUP(A595,管理亚马逊库存!A:R,18,0),"")</f>
        <v/>
      </c>
      <c r="F595">
        <f t="shared" si="23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IFERROR(VLOOKUP(A595,库龄!B:K,9,0),0)</f>
        <v>0</v>
      </c>
      <c r="K595">
        <f>IFERROR(VLOOKUP(A595,库龄!B:L,10,0),0)</f>
        <v>0</v>
      </c>
      <c r="L595">
        <f>IFERROR(VLOOKUP(A595,库龄!B:M,11,0),0)</f>
        <v>0</v>
      </c>
      <c r="M595">
        <f>IFERROR(VLOOKUP(A595,库龄!B:N,12,0),0)</f>
        <v>0</v>
      </c>
      <c r="N595">
        <f t="shared" si="24"/>
        <v>0</v>
      </c>
    </row>
    <row r="596" spans="2:14">
      <c r="B596" t="str">
        <f>IFERROR(VLOOKUP(A596,管理亚马逊库存!A:K,11,0),"")</f>
        <v/>
      </c>
      <c r="C596" t="str">
        <f>IFERROR(VLOOKUP(A596,管理亚马逊库存!A:L,12,0),"")</f>
        <v/>
      </c>
      <c r="D596" t="str">
        <f>IFERROR(VLOOKUP(A596,管理亚马逊库存!A:Q,17,0),"")</f>
        <v/>
      </c>
      <c r="E596" t="str">
        <f>IFERROR(VLOOKUP(A596,管理亚马逊库存!A:R,18,0),"")</f>
        <v/>
      </c>
      <c r="F596">
        <f t="shared" si="23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IFERROR(VLOOKUP(A596,库龄!B:K,9,0),0)</f>
        <v>0</v>
      </c>
      <c r="K596">
        <f>IFERROR(VLOOKUP(A596,库龄!B:L,10,0),0)</f>
        <v>0</v>
      </c>
      <c r="L596">
        <f>IFERROR(VLOOKUP(A596,库龄!B:M,11,0),0)</f>
        <v>0</v>
      </c>
      <c r="M596">
        <f>IFERROR(VLOOKUP(A596,库龄!B:N,12,0),0)</f>
        <v>0</v>
      </c>
      <c r="N596">
        <f t="shared" si="24"/>
        <v>0</v>
      </c>
    </row>
    <row r="597" spans="2:14">
      <c r="B597" t="str">
        <f>IFERROR(VLOOKUP(A597,管理亚马逊库存!A:K,11,0),"")</f>
        <v/>
      </c>
      <c r="C597" t="str">
        <f>IFERROR(VLOOKUP(A597,管理亚马逊库存!A:L,12,0),"")</f>
        <v/>
      </c>
      <c r="D597" t="str">
        <f>IFERROR(VLOOKUP(A597,管理亚马逊库存!A:Q,17,0),"")</f>
        <v/>
      </c>
      <c r="E597" t="str">
        <f>IFERROR(VLOOKUP(A597,管理亚马逊库存!A:R,18,0),"")</f>
        <v/>
      </c>
      <c r="F597">
        <f t="shared" si="23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IFERROR(VLOOKUP(A597,库龄!B:K,9,0),0)</f>
        <v>0</v>
      </c>
      <c r="K597">
        <f>IFERROR(VLOOKUP(A597,库龄!B:L,10,0),0)</f>
        <v>0</v>
      </c>
      <c r="L597">
        <f>IFERROR(VLOOKUP(A597,库龄!B:M,11,0),0)</f>
        <v>0</v>
      </c>
      <c r="M597">
        <f>IFERROR(VLOOKUP(A597,库龄!B:N,12,0),0)</f>
        <v>0</v>
      </c>
      <c r="N597">
        <f t="shared" si="24"/>
        <v>0</v>
      </c>
    </row>
    <row r="598" spans="2:14">
      <c r="B598" t="str">
        <f>IFERROR(VLOOKUP(A598,管理亚马逊库存!A:K,11,0),"")</f>
        <v/>
      </c>
      <c r="C598" t="str">
        <f>IFERROR(VLOOKUP(A598,管理亚马逊库存!A:L,12,0),"")</f>
        <v/>
      </c>
      <c r="D598" t="str">
        <f>IFERROR(VLOOKUP(A598,管理亚马逊库存!A:Q,17,0),"")</f>
        <v/>
      </c>
      <c r="E598" t="str">
        <f>IFERROR(VLOOKUP(A598,管理亚马逊库存!A:R,18,0),"")</f>
        <v/>
      </c>
      <c r="F598">
        <f t="shared" si="23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IFERROR(VLOOKUP(A598,库龄!B:K,9,0),0)</f>
        <v>0</v>
      </c>
      <c r="K598">
        <f>IFERROR(VLOOKUP(A598,库龄!B:L,10,0),0)</f>
        <v>0</v>
      </c>
      <c r="L598">
        <f>IFERROR(VLOOKUP(A598,库龄!B:M,11,0),0)</f>
        <v>0</v>
      </c>
      <c r="M598">
        <f>IFERROR(VLOOKUP(A598,库龄!B:N,12,0),0)</f>
        <v>0</v>
      </c>
      <c r="N598">
        <f t="shared" si="24"/>
        <v>0</v>
      </c>
    </row>
    <row r="599" spans="2:14">
      <c r="B599" t="str">
        <f>IFERROR(VLOOKUP(A599,管理亚马逊库存!A:K,11,0),"")</f>
        <v/>
      </c>
      <c r="C599" t="str">
        <f>IFERROR(VLOOKUP(A599,管理亚马逊库存!A:L,12,0),"")</f>
        <v/>
      </c>
      <c r="D599" t="str">
        <f>IFERROR(VLOOKUP(A599,管理亚马逊库存!A:Q,17,0),"")</f>
        <v/>
      </c>
      <c r="E599" t="str">
        <f>IFERROR(VLOOKUP(A599,管理亚马逊库存!A:R,18,0),"")</f>
        <v/>
      </c>
      <c r="F599">
        <f t="shared" si="23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IFERROR(VLOOKUP(A599,库龄!B:K,9,0),0)</f>
        <v>0</v>
      </c>
      <c r="K599">
        <f>IFERROR(VLOOKUP(A599,库龄!B:L,10,0),0)</f>
        <v>0</v>
      </c>
      <c r="L599">
        <f>IFERROR(VLOOKUP(A599,库龄!B:M,11,0),0)</f>
        <v>0</v>
      </c>
      <c r="M599">
        <f>IFERROR(VLOOKUP(A599,库龄!B:N,12,0),0)</f>
        <v>0</v>
      </c>
      <c r="N599">
        <f t="shared" si="24"/>
        <v>0</v>
      </c>
    </row>
    <row r="600" spans="2:14">
      <c r="B600" t="str">
        <f>IFERROR(VLOOKUP(A600,管理亚马逊库存!A:K,11,0),"")</f>
        <v/>
      </c>
      <c r="C600" t="str">
        <f>IFERROR(VLOOKUP(A600,管理亚马逊库存!A:L,12,0),"")</f>
        <v/>
      </c>
      <c r="D600" t="str">
        <f>IFERROR(VLOOKUP(A600,管理亚马逊库存!A:Q,17,0),"")</f>
        <v/>
      </c>
      <c r="E600" t="str">
        <f>IFERROR(VLOOKUP(A600,管理亚马逊库存!A:R,18,0),"")</f>
        <v/>
      </c>
      <c r="F600">
        <f t="shared" si="23"/>
        <v>0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IFERROR(VLOOKUP(A600,库龄!B:K,9,0),0)</f>
        <v>0</v>
      </c>
      <c r="K600">
        <f>IFERROR(VLOOKUP(A600,库龄!B:L,10,0),0)</f>
        <v>0</v>
      </c>
      <c r="L600">
        <f>IFERROR(VLOOKUP(A600,库龄!B:M,11,0),0)</f>
        <v>0</v>
      </c>
      <c r="M600">
        <f>IFERROR(VLOOKUP(A600,库龄!B:N,12,0),0)</f>
        <v>0</v>
      </c>
      <c r="N600">
        <f t="shared" si="24"/>
        <v>0</v>
      </c>
    </row>
    <row r="601" spans="2:14">
      <c r="B601" t="str">
        <f>IFERROR(VLOOKUP(A601,管理亚马逊库存!A:K,11,0),"")</f>
        <v/>
      </c>
      <c r="C601" t="str">
        <f>IFERROR(VLOOKUP(A601,管理亚马逊库存!A:L,12,0),"")</f>
        <v/>
      </c>
      <c r="D601" t="str">
        <f>IFERROR(VLOOKUP(A601,管理亚马逊库存!A:Q,17,0),"")</f>
        <v/>
      </c>
      <c r="E601" t="str">
        <f>IFERROR(VLOOKUP(A601,管理亚马逊库存!A:R,18,0),"")</f>
        <v/>
      </c>
      <c r="F601">
        <f t="shared" si="23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IFERROR(VLOOKUP(A601,库龄!B:K,9,0),0)</f>
        <v>0</v>
      </c>
      <c r="K601">
        <f>IFERROR(VLOOKUP(A601,库龄!B:L,10,0),0)</f>
        <v>0</v>
      </c>
      <c r="L601">
        <f>IFERROR(VLOOKUP(A601,库龄!B:M,11,0),0)</f>
        <v>0</v>
      </c>
      <c r="M601">
        <f>IFERROR(VLOOKUP(A601,库龄!B:N,12,0),0)</f>
        <v>0</v>
      </c>
      <c r="N601">
        <f t="shared" si="24"/>
        <v>0</v>
      </c>
    </row>
    <row r="602" spans="2:14">
      <c r="B602" t="str">
        <f>IFERROR(VLOOKUP(A602,管理亚马逊库存!A:K,11,0),"")</f>
        <v/>
      </c>
      <c r="C602" t="str">
        <f>IFERROR(VLOOKUP(A602,管理亚马逊库存!A:L,12,0),"")</f>
        <v/>
      </c>
      <c r="D602" t="str">
        <f>IFERROR(VLOOKUP(A602,管理亚马逊库存!A:Q,17,0),"")</f>
        <v/>
      </c>
      <c r="E602" t="str">
        <f>IFERROR(VLOOKUP(A602,管理亚马逊库存!A:R,18,0),"")</f>
        <v/>
      </c>
      <c r="F602">
        <f t="shared" si="23"/>
        <v>0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IFERROR(VLOOKUP(A602,库龄!B:K,9,0),0)</f>
        <v>0</v>
      </c>
      <c r="K602">
        <f>IFERROR(VLOOKUP(A602,库龄!B:L,10,0),0)</f>
        <v>0</v>
      </c>
      <c r="L602">
        <f>IFERROR(VLOOKUP(A602,库龄!B:M,11,0),0)</f>
        <v>0</v>
      </c>
      <c r="M602">
        <f>IFERROR(VLOOKUP(A602,库龄!B:N,12,0),0)</f>
        <v>0</v>
      </c>
      <c r="N602">
        <f t="shared" si="24"/>
        <v>0</v>
      </c>
    </row>
    <row r="603" spans="2:14">
      <c r="B603" t="str">
        <f>IFERROR(VLOOKUP(A603,管理亚马逊库存!A:K,11,0),"")</f>
        <v/>
      </c>
      <c r="C603" t="str">
        <f>IFERROR(VLOOKUP(A603,管理亚马逊库存!A:L,12,0),"")</f>
        <v/>
      </c>
      <c r="D603" t="str">
        <f>IFERROR(VLOOKUP(A603,管理亚马逊库存!A:Q,17,0),"")</f>
        <v/>
      </c>
      <c r="E603" t="str">
        <f>IFERROR(VLOOKUP(A603,管理亚马逊库存!A:R,18,0),"")</f>
        <v/>
      </c>
      <c r="F603">
        <f t="shared" ref="F603:F610" si="25">SUM(D603:E603)</f>
        <v>0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IFERROR(VLOOKUP(A603,库龄!B:K,9,0),0)</f>
        <v>0</v>
      </c>
      <c r="K603">
        <f>IFERROR(VLOOKUP(A603,库龄!B:L,10,0),0)</f>
        <v>0</v>
      </c>
      <c r="L603">
        <f>IFERROR(VLOOKUP(A603,库龄!B:M,11,0),0)</f>
        <v>0</v>
      </c>
      <c r="M603">
        <f>IFERROR(VLOOKUP(A603,库龄!B:N,12,0),0)</f>
        <v>0</v>
      </c>
      <c r="N603">
        <f t="shared" ref="N603:N610" si="26">SUM(J603:M603)</f>
        <v>0</v>
      </c>
    </row>
    <row r="604" spans="2:14">
      <c r="B604" t="str">
        <f>IFERROR(VLOOKUP(A604,管理亚马逊库存!A:K,11,0),"")</f>
        <v/>
      </c>
      <c r="C604" t="str">
        <f>IFERROR(VLOOKUP(A604,管理亚马逊库存!A:L,12,0),"")</f>
        <v/>
      </c>
      <c r="D604" t="str">
        <f>IFERROR(VLOOKUP(A604,管理亚马逊库存!A:Q,17,0),"")</f>
        <v/>
      </c>
      <c r="E604" t="str">
        <f>IFERROR(VLOOKUP(A604,管理亚马逊库存!A:R,18,0),"")</f>
        <v/>
      </c>
      <c r="F604">
        <f t="shared" si="25"/>
        <v>0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IFERROR(VLOOKUP(A604,库龄!B:K,9,0),0)</f>
        <v>0</v>
      </c>
      <c r="K604">
        <f>IFERROR(VLOOKUP(A604,库龄!B:L,10,0),0)</f>
        <v>0</v>
      </c>
      <c r="L604">
        <f>IFERROR(VLOOKUP(A604,库龄!B:M,11,0),0)</f>
        <v>0</v>
      </c>
      <c r="M604">
        <f>IFERROR(VLOOKUP(A604,库龄!B:N,12,0),0)</f>
        <v>0</v>
      </c>
      <c r="N604">
        <f t="shared" si="26"/>
        <v>0</v>
      </c>
    </row>
    <row r="605" spans="2:14">
      <c r="B605" t="str">
        <f>IFERROR(VLOOKUP(A605,管理亚马逊库存!A:K,11,0),"")</f>
        <v/>
      </c>
      <c r="C605" t="str">
        <f>IFERROR(VLOOKUP(A605,管理亚马逊库存!A:L,12,0),"")</f>
        <v/>
      </c>
      <c r="D605" t="str">
        <f>IFERROR(VLOOKUP(A605,管理亚马逊库存!A:Q,17,0),"")</f>
        <v/>
      </c>
      <c r="E605" t="str">
        <f>IFERROR(VLOOKUP(A605,管理亚马逊库存!A:R,18,0),"")</f>
        <v/>
      </c>
      <c r="F605">
        <f t="shared" si="25"/>
        <v>0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IFERROR(VLOOKUP(A605,库龄!B:K,9,0),0)</f>
        <v>0</v>
      </c>
      <c r="K605">
        <f>IFERROR(VLOOKUP(A605,库龄!B:L,10,0),0)</f>
        <v>0</v>
      </c>
      <c r="L605">
        <f>IFERROR(VLOOKUP(A605,库龄!B:M,11,0),0)</f>
        <v>0</v>
      </c>
      <c r="M605">
        <f>IFERROR(VLOOKUP(A605,库龄!B:N,12,0),0)</f>
        <v>0</v>
      </c>
      <c r="N605">
        <f t="shared" si="26"/>
        <v>0</v>
      </c>
    </row>
    <row r="606" spans="2:14">
      <c r="B606" t="str">
        <f>IFERROR(VLOOKUP(A606,管理亚马逊库存!A:K,11,0),"")</f>
        <v/>
      </c>
      <c r="C606" t="str">
        <f>IFERROR(VLOOKUP(A606,管理亚马逊库存!A:L,12,0),"")</f>
        <v/>
      </c>
      <c r="D606" t="str">
        <f>IFERROR(VLOOKUP(A606,管理亚马逊库存!A:Q,17,0),"")</f>
        <v/>
      </c>
      <c r="E606" t="str">
        <f>IFERROR(VLOOKUP(A606,管理亚马逊库存!A:R,18,0),"")</f>
        <v/>
      </c>
      <c r="F606">
        <f t="shared" si="25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IFERROR(VLOOKUP(A606,库龄!B:K,9,0),0)</f>
        <v>0</v>
      </c>
      <c r="K606">
        <f>IFERROR(VLOOKUP(A606,库龄!B:L,10,0),0)</f>
        <v>0</v>
      </c>
      <c r="L606">
        <f>IFERROR(VLOOKUP(A606,库龄!B:M,11,0),0)</f>
        <v>0</v>
      </c>
      <c r="M606">
        <f>IFERROR(VLOOKUP(A606,库龄!B:N,12,0),0)</f>
        <v>0</v>
      </c>
      <c r="N606">
        <f t="shared" si="26"/>
        <v>0</v>
      </c>
    </row>
    <row r="607" spans="2:14">
      <c r="B607" t="str">
        <f>IFERROR(VLOOKUP(A607,管理亚马逊库存!A:K,11,0),"")</f>
        <v/>
      </c>
      <c r="C607" t="str">
        <f>IFERROR(VLOOKUP(A607,管理亚马逊库存!A:L,12,0),"")</f>
        <v/>
      </c>
      <c r="D607" t="str">
        <f>IFERROR(VLOOKUP(A607,管理亚马逊库存!A:Q,17,0),"")</f>
        <v/>
      </c>
      <c r="E607" t="str">
        <f>IFERROR(VLOOKUP(A607,管理亚马逊库存!A:R,18,0),"")</f>
        <v/>
      </c>
      <c r="F607">
        <f t="shared" si="25"/>
        <v>0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IFERROR(VLOOKUP(A607,库龄!B:K,9,0),0)</f>
        <v>0</v>
      </c>
      <c r="K607">
        <f>IFERROR(VLOOKUP(A607,库龄!B:L,10,0),0)</f>
        <v>0</v>
      </c>
      <c r="L607">
        <f>IFERROR(VLOOKUP(A607,库龄!B:M,11,0),0)</f>
        <v>0</v>
      </c>
      <c r="M607">
        <f>IFERROR(VLOOKUP(A607,库龄!B:N,12,0),0)</f>
        <v>0</v>
      </c>
      <c r="N607">
        <f t="shared" si="26"/>
        <v>0</v>
      </c>
    </row>
    <row r="1525" spans="1:1">
      <c r="A1525" s="4"/>
    </row>
    <row r="1526" spans="1:1">
      <c r="A1526" s="4"/>
    </row>
    <row r="1527" spans="1:1">
      <c r="A1527" s="4"/>
    </row>
    <row r="1528" spans="1:1">
      <c r="A1528" s="4"/>
    </row>
    <row r="1529" spans="1:1">
      <c r="A1529" s="4"/>
    </row>
    <row r="1530" spans="1:1">
      <c r="A1530" s="4"/>
    </row>
    <row r="1531" spans="1:1">
      <c r="A1531" s="4"/>
    </row>
    <row r="1532" spans="1:1">
      <c r="A1532" s="4"/>
    </row>
    <row r="1533" spans="1:1">
      <c r="A1533" s="4"/>
    </row>
    <row r="1534" spans="1:1">
      <c r="A1534" s="4"/>
    </row>
    <row r="1535" spans="1:1">
      <c r="A1535" s="4"/>
    </row>
    <row r="1536" spans="1:1">
      <c r="A1536" s="4"/>
    </row>
    <row r="1537" spans="1:1">
      <c r="A1537" s="4"/>
    </row>
    <row r="1538" spans="1:1">
      <c r="A1538" s="4"/>
    </row>
    <row r="1539" spans="1:1">
      <c r="A1539" s="4"/>
    </row>
    <row r="1540" spans="1:1">
      <c r="A1540" s="4"/>
    </row>
    <row r="1541" spans="1:1">
      <c r="A1541" s="4"/>
    </row>
    <row r="1542" spans="1:1">
      <c r="A1542" s="4"/>
    </row>
    <row r="1543" spans="1:1">
      <c r="A1543" s="4"/>
    </row>
    <row r="1544" spans="1:1">
      <c r="A1544" s="4"/>
    </row>
    <row r="1545" spans="1:1">
      <c r="A1545" s="4"/>
    </row>
    <row r="1546" spans="1:1">
      <c r="A1546" s="4"/>
    </row>
    <row r="1547" spans="1:1">
      <c r="A1547" s="4"/>
    </row>
    <row r="1548" spans="1:1">
      <c r="A1548" s="4"/>
    </row>
    <row r="1549" spans="1:1">
      <c r="A1549" s="4"/>
    </row>
    <row r="1550" spans="1:1">
      <c r="A1550" s="4"/>
    </row>
    <row r="1551" spans="1:1">
      <c r="A1551" s="4"/>
    </row>
    <row r="1552" spans="1:1">
      <c r="A1552" s="4"/>
    </row>
    <row r="1553" spans="1:1">
      <c r="A1553" s="4"/>
    </row>
    <row r="1554" spans="1:1">
      <c r="A1554" s="4"/>
    </row>
    <row r="1555" spans="1:1">
      <c r="A1555" s="4"/>
    </row>
    <row r="1556" spans="1:1">
      <c r="A1556" s="4"/>
    </row>
    <row r="1557" spans="1:1">
      <c r="A1557" s="4"/>
    </row>
    <row r="1558" spans="1:1">
      <c r="A1558" s="4"/>
    </row>
    <row r="1559" spans="1:1">
      <c r="A1559" s="4"/>
    </row>
    <row r="1560" spans="1:1">
      <c r="A1560" s="4"/>
    </row>
    <row r="1561" spans="1:1">
      <c r="A1561" s="4"/>
    </row>
    <row r="1562" spans="1:1">
      <c r="A1562" s="4"/>
    </row>
    <row r="1563" spans="1:1">
      <c r="A1563" s="4"/>
    </row>
    <row r="1564" spans="1:1">
      <c r="A1564" s="4"/>
    </row>
    <row r="1565" spans="1:1">
      <c r="A1565" s="4"/>
    </row>
    <row r="1566" spans="1:1">
      <c r="A1566" s="4"/>
    </row>
    <row r="1567" spans="1:1">
      <c r="A1567" s="4"/>
    </row>
    <row r="1568" spans="1:1">
      <c r="A1568" s="4"/>
    </row>
    <row r="1569" spans="1:1">
      <c r="A1569" s="4"/>
    </row>
    <row r="1570" spans="1:1">
      <c r="A1570" s="4"/>
    </row>
    <row r="1571" spans="1:1">
      <c r="A1571" s="4"/>
    </row>
    <row r="1572" spans="1:1">
      <c r="A1572" s="4"/>
    </row>
    <row r="1573" spans="1:1">
      <c r="A1573" s="4"/>
    </row>
    <row r="1574" spans="1:1">
      <c r="A1574" s="4"/>
    </row>
    <row r="1575" spans="1:1">
      <c r="A1575" s="4"/>
    </row>
    <row r="1576" spans="1:1">
      <c r="A1576" s="4"/>
    </row>
    <row r="1577" spans="1:1">
      <c r="A1577" s="4"/>
    </row>
    <row r="1578" spans="1:1">
      <c r="A1578" s="4"/>
    </row>
    <row r="1579" spans="1:1">
      <c r="A1579" s="4"/>
    </row>
    <row r="1580" spans="1:1">
      <c r="A1580" s="4"/>
    </row>
    <row r="1581" spans="1:1">
      <c r="A1581" s="4"/>
    </row>
    <row r="1582" spans="1:1">
      <c r="A1582" s="4"/>
    </row>
    <row r="1583" spans="1:1">
      <c r="A1583" s="4"/>
    </row>
    <row r="1584" spans="1:1">
      <c r="A1584" s="4"/>
    </row>
    <row r="1585" spans="1:1">
      <c r="A1585" s="4"/>
    </row>
    <row r="1586" spans="1:1">
      <c r="A1586" s="4"/>
    </row>
    <row r="1587" spans="1:1">
      <c r="A1587" s="4"/>
    </row>
    <row r="1588" spans="1:1">
      <c r="A1588" s="4"/>
    </row>
    <row r="1589" spans="1:1">
      <c r="A1589" s="4"/>
    </row>
    <row r="1590" spans="1:1">
      <c r="A1590" s="4"/>
    </row>
    <row r="1591" spans="1:1">
      <c r="A1591" s="4"/>
    </row>
    <row r="1592" spans="1:1">
      <c r="A1592" s="4"/>
    </row>
    <row r="1593" spans="1:1">
      <c r="A1593" s="4"/>
    </row>
    <row r="1594" spans="1:1">
      <c r="A1594" s="4"/>
    </row>
    <row r="1595" spans="1:1">
      <c r="A1595" s="4"/>
    </row>
    <row r="1596" spans="1:1">
      <c r="A1596" s="4"/>
    </row>
    <row r="1597" spans="1:1">
      <c r="A1597" s="4"/>
    </row>
    <row r="1598" spans="1:1">
      <c r="A1598" s="4"/>
    </row>
    <row r="1599" spans="1:1">
      <c r="A1599" s="4"/>
    </row>
    <row r="1600" spans="1:1">
      <c r="A1600" s="4"/>
    </row>
    <row r="1601" spans="1:1">
      <c r="A1601" s="4"/>
    </row>
    <row r="1602" spans="1:1">
      <c r="A1602" s="4"/>
    </row>
    <row r="1603" spans="1:1">
      <c r="A1603" s="4"/>
    </row>
    <row r="1604" spans="1:1">
      <c r="A1604" s="4"/>
    </row>
    <row r="1605" spans="1:1">
      <c r="A1605" s="4"/>
    </row>
    <row r="1606" spans="1:1">
      <c r="A1606" s="4"/>
    </row>
    <row r="1607" spans="1:1">
      <c r="A1607" s="4"/>
    </row>
    <row r="1608" spans="1:1">
      <c r="A1608" s="4"/>
    </row>
    <row r="1609" spans="1:1">
      <c r="A1609" s="4"/>
    </row>
    <row r="1610" spans="1:1">
      <c r="A1610" s="4"/>
    </row>
    <row r="1611" spans="1:1">
      <c r="A1611" s="5"/>
    </row>
    <row r="1612" spans="1:1">
      <c r="A1612" s="5"/>
    </row>
    <row r="1613" spans="1:1">
      <c r="A1613" s="5"/>
    </row>
    <row r="1614" spans="1:1">
      <c r="A1614" s="5"/>
    </row>
    <row r="1615" spans="1:1">
      <c r="A1615" s="5"/>
    </row>
    <row r="1616" spans="1:1">
      <c r="A1616" s="5"/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676275</xdr:colOff>
                <xdr:row>1</xdr:row>
                <xdr:rowOff>171450</xdr:rowOff>
              </from>
              <to>
                <xdr:col>16</xdr:col>
                <xdr:colOff>9525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2018-07-10T07:21:29Z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