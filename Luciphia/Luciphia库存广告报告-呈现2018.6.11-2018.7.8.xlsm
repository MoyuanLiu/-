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<sst xmlns="http://schemas.openxmlformats.org/spreadsheetml/2006/main" count="1258">
  <si>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</si>
  <si>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</si>
  <si>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</si>
  <si>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</si>
  <si>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</si>
  <si>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</si>
  <si>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</si>
  <si>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</si>
  <si>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</si>
  <si>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</si>
  <si>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</si>
  <si>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</si>
  <si>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</si>
  <si>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</si>
  <si>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</si>
  <si>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</si>
  <si>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</si>
  <si>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</si>
  <si>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</si>
  <si>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</si>
  <si>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</si>
  <si>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</si>
  <si>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</si>
  <si>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</si>
  <si>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</si>
  <si>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</si>
  <si>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</si>
  <si>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</si>
  <si>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</si>
  <si>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</si>
  <si>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</si>
  <si>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</si>
  <si>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</si>
  <si>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</si>
  <si>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</si>
  <si>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</si>
  <si>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</si>
  <si>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</si>
  <si>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</si>
  <si>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</si>
  <si>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</si>
  <si>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</si>
  <si>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</si>
  <si>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</si>
  <si>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</si>
  <si>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</si>
  <si>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</si>
  <si>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</si>
  <si>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</si>
  <si>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</si>
  <si>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</si>
  <si>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</si>
  <si>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</si>
  <si>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</si>
  <si>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</si>
  <si>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</si>
  <si>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</si>
  <si>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</si>
  <si>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</si>
  <si>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</si>
  <si>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</si>
  <si>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</si>
  <si>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</si>
  <si>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</si>
  <si>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</si>
  <si>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</si>
  <si>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</si>
  <si>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</si>
  <si>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</si>
  <si>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</si>
  <si>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</si>
  <si>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</si>
  <si>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</si>
  <si>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</si>
  <si>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</si>
  <si>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</si>
  <si>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</si>
  <si>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</si>
  <si>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</si>
  <si>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</si>
  <si>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</si>
  <si>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</si>
  <si>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</si>
  <si>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</si>
  <si>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</si>
  <si>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</si>
  <si>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</si>
  <si>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</si>
  <si>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</si>
  <si>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</si>
  <si>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</si>
  <si>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</si>
  <si>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</si>
  <si>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</si>
  <si>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</si>
  <si>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</si>
  <si>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</si>
  <si>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</si>
  <si>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</si>
  <si>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</si>
  <si>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</si>
  <si>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</si>
  <si>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</si>
  <si>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</si>
  <si>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</si>
  <si>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</si>
  <si>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</si>
  <si>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</si>
  <si>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</si>
  <si>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</si>
  <si>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</si>
  <si>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</si>
  <si>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</si>
  <si>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</si>
  <si>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</si>
  <si>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</si>
  <si>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</si>
  <si>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</si>
  <si>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</si>
  <si>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</si>
  <si>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</si>
  <si>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</si>
  <si>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</si>
  <si>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</si>
  <si>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</si>
  <si>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</si>
  <si>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</si>
  <si>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</si>
  <si>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</si>
  <si>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</si>
  <si>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</si>
  <si>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</si>
  <si>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</si>
  <si>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</si>
  <si>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</si>
  <si>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</si>
  <si>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</si>
  <si>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</si>
  <si>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</si>
  <si>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</si>
  <si>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</si>
  <si>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</si>
  <si>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</si>
  <si>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</si>
  <si>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</si>
  <si>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</si>
  <si>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</si>
  <si>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</si>
  <si>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</si>
  <si>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</si>
  <si>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</si>
  <si>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</si>
  <si>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</si>
  <si>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</si>
  <si>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</si>
  <si>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</si>
  <si>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</si>
  <si>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</si>
  <si>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</si>
  <si>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</si>
  <si>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</si>
  <si>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</si>
  <si>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</si>
  <si>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</si>
  <si>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</si>
  <si>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</si>
  <si>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</si>
  <si>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</si>
  <si>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</si>
  <si>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</si>
  <si>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</si>
  <si>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</si>
  <si>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</si>
  <si>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</si>
  <si>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</si>
  <si>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</si>
  <si>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</si>
  <si>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</si>
  <si>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</si>
  <si>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</si>
  <si>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</si>
  <si>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</si>
  <si>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</si>
  <si>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</si>
  <si>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</si>
  <si>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</si>
  <si>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</si>
  <si>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</si>
  <si>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</si>
  <si>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</si>
  <si>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</si>
  <si>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</si>
  <si>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</si>
  <si>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</si>
  <si>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</si>
  <si>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</si>
  <si>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</si>
  <si>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</si>
  <si>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</si>
  <si>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</si>
  <si>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</si>
  <si>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</si>
  <si>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</si>
  <si>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</si>
  <si>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</si>
  <si>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</si>
  <si>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</si>
  <si>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</si>
  <si>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</si>
  <si>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</si>
  <si>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</si>
  <si>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</si>
  <si>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</si>
  <si>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</si>
  <si>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</si>
  <si>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</si>
  <si>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</si>
  <si>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</si>
  <si>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</si>
  <si>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</si>
  <si>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</si>
  <si>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</si>
  <si>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</si>
  <si>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</si>
  <si>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</si>
  <si>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</si>
  <si>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</si>
  <si>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</si>
  <si>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</si>
  <si>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</si>
  <si>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</si>
  <si>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</si>
  <si>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</si>
  <si>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</si>
  <si>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</si>
  <si>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</si>
  <si>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</si>
  <si>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</si>
  <si>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</si>
  <si>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</si>
  <si>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</si>
  <si>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</si>
  <si>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</si>
  <si>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</si>
  <si>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</si>
  <si>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</si>
  <si>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</si>
  <si>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</si>
  <si>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</si>
  <si>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</si>
  <si>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</si>
  <si>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</si>
  <si>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</si>
  <si>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</si>
  <si>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</si>
  <si>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</si>
  <si>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</si>
  <si>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</si>
  <si>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DZ-IUYL210-GR</t>
  </si>
  <si>
    <t>B079JD1T5B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</si>
  <si>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</si>
  <si>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</si>
  <si>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</si>
  <si>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</si>
  <si>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</si>
  <si>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</si>
  <si>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</si>
  <si>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</si>
  <si>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</si>
  <si>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</si>
  <si>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</si>
  <si>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</si>
  <si>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</si>
  <si>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</si>
  <si>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</si>
  <si>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</si>
  <si>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</si>
  <si>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</si>
  <si>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</si>
  <si>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</si>
  <si>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</si>
  <si>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</si>
  <si>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</si>
  <si>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</si>
  <si>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</si>
  <si>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</si>
  <si>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</si>
  <si>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</si>
  <si>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</si>
  <si>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</si>
  <si>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</si>
  <si>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</si>
  <si>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</si>
  <si>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</si>
  <si>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</si>
  <si>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</si>
  <si>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</si>
  <si>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</si>
  <si>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</si>
  <si>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</si>
  <si>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</si>
  <si>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</si>
  <si>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</si>
  <si>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</si>
  <si>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</si>
  <si>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</si>
  <si>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</si>
  <si>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</si>
  <si>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</si>
  <si>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</si>
  <si>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</si>
  <si>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</si>
  <si>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</si>
  <si>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</si>
  <si>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</si>
  <si>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</si>
  <si>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</si>
  <si>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</si>
  <si>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</si>
  <si>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</si>
  <si>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</si>
  <si>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</si>
  <si>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</si>
  <si>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</si>
  <si>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</si>
  <si>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</si>
  <si>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</si>
  <si>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</si>
  <si>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</si>
  <si>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</si>
  <si>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</si>
  <si>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</si>
  <si>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</si>
  <si>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</si>
  <si>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</si>
  <si>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</si>
  <si>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</si>
  <si>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</si>
  <si>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</si>
  <si>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</si>
  <si>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</si>
  <si>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</si>
  <si>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</si>
  <si>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</si>
  <si>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</si>
  <si>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</si>
  <si>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</si>
  <si>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</si>
  <si>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</si>
  <si>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</si>
  <si>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</si>
  <si>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</si>
  <si>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</si>
  <si>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</si>
  <si>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</si>
  <si>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</si>
  <si>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</si>
  <si>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</si>
  <si>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</si>
  <si>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</si>
  <si>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</si>
  <si>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</si>
  <si>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</si>
  <si>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</si>
  <si>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</si>
  <si>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</si>
  <si>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</si>
  <si>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</si>
  <si>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</si>
  <si>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</si>
  <si>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</si>
  <si>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</si>
  <si>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</si>
  <si>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</si>
  <si>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</si>
  <si>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</si>
  <si>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</si>
  <si>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</si>
  <si>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</si>
  <si>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</si>
  <si>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</si>
  <si>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</si>
  <si>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</si>
  <si>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</si>
  <si>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</si>
  <si>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</si>
  <si>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</si>
  <si>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</si>
  <si>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</si>
  <si>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</si>
  <si>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</si>
  <si>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</si>
  <si>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</si>
  <si>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</si>
  <si>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</si>
  <si>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</si>
  <si>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</si>
  <si>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</si>
  <si>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</si>
  <si>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</si>
  <si>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</si>
  <si>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</si>
  <si>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</si>
  <si>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</si>
  <si>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</si>
  <si>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</si>
  <si>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</si>
  <si>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</si>
  <si>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</si>
  <si>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</si>
  <si>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</si>
  <si>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</si>
  <si>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</si>
  <si>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</si>
  <si>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</si>
  <si>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</si>
  <si>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</si>
  <si>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</si>
  <si>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</si>
  <si>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</si>
  <si>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</si>
  <si>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</si>
  <si>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</si>
  <si>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</si>
  <si>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</si>
  <si>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</si>
  <si>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</si>
  <si>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</si>
  <si>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</si>
  <si>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</si>
  <si>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</si>
  <si>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</si>
  <si>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</si>
  <si>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</si>
  <si>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</si>
  <si>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</si>
  <si>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</si>
  <si>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</si>
  <si>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</si>
  <si>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</si>
  <si>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</si>
  <si>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</si>
  <si>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</si>
  <si>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</si>
  <si>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</si>
  <si>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</si>
  <si>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</si>
  <si>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</si>
  <si>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</si>
  <si>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</si>
  <si>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</si>
  <si>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</si>
  <si>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</si>
  <si>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</si>
  <si>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</si>
  <si>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</si>
  <si>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</si>
  <si>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</si>
  <si>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</si>
  <si>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</si>
  <si>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</si>
  <si>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</si>
  <si>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</si>
  <si>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</si>
  <si>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</si>
  <si>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</si>
  <si>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</si>
  <si>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</si>
  <si>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</si>
  <si>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</si>
  <si>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</si>
  <si>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</si>
  <si>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</si>
  <si>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</si>
  <si>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</si>
  <si>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</si>
  <si>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</si>
  <si>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</si>
  <si>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</si>
  <si>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</si>
  <si>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</si>
  <si>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</si>
  <si>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</si>
  <si>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</si>
  <si>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</si>
  <si>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</si>
  <si>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</si>
  <si>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</si>
  <si>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</si>
  <si>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</si>
  <si>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</si>
  <si>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</si>
  <si>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</si>
  <si>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</si>
  <si>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</si>
  <si>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</si>
  <si>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</si>
  <si>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</si>
  <si>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</si>
  <si>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</si>
  <si>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</si>
  <si>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</si>
  <si>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</si>
  <si>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</si>
  <si>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</si>
  <si>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</si>
  <si>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</si>
  <si>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</si>
  <si>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</si>
  <si>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</si>
  <si>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</si>
  <si>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</si>
  <si>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</si>
  <si>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</si>
  <si>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</si>
  <si>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</si>
  <si>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</si>
  <si>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</si>
  <si>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</si>
  <si>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</si>
  <si>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</si>
  <si>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</si>
  <si>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</si>
  <si>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</si>
  <si>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</si>
  <si>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</si>
  <si>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</si>
  <si>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</si>
  <si>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</si>
  <si>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</si>
  <si>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</si>
  <si>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</si>
  <si>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</si>
  <si>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</si>
  <si>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</si>
  <si>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</si>
  <si>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</si>
  <si>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</si>
  <si>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</si>
  <si>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</si>
  <si>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</si>
  <si>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</si>
  <si>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</si>
  <si>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</si>
  <si>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</si>
  <si>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</si>
  <si>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</si>
  <si>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</si>
  <si>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</si>
  <si>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</si>
  <si>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</si>
  <si>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</si>
  <si>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</si>
  <si>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</si>
  <si>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</si>
  <si>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Pajamas-sb001-NY-L</t>
  </si>
  <si>
    <t>B0747KCD4P</t>
  </si>
  <si>
    <t>Pajamas-sb001-NY-M</t>
  </si>
  <si>
    <t>B0747QGRJ7</t>
  </si>
  <si>
    <t>Pajamas-sb001-NY-XL</t>
  </si>
  <si>
    <t>B0747M5Y1K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</si>
  <si>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</si>
  <si>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</si>
  <si>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</si>
  <si>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</si>
  <si>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</si>
  <si>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</si>
  <si>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</si>
  <si>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</si>
  <si>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</si>
  <si>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</si>
  <si>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</si>
  <si>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</si>
  <si>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</si>
  <si>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</si>
  <si>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</si>
  <si>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</si>
  <si>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</si>
  <si>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</si>
  <si>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</si>
  <si>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</si>
  <si>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</si>
  <si>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</si>
  <si>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</si>
  <si>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</si>
  <si>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</si>
  <si>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</si>
  <si>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</si>
  <si>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</si>
  <si>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</si>
  <si>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</si>
  <si>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</si>
  <si>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</si>
  <si>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</si>
  <si>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</si>
  <si>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</si>
  <si>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</si>
  <si>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</si>
  <si>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</si>
  <si>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</si>
  <si>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</si>
  <si>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</si>
  <si>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</si>
  <si>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</si>
  <si>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</si>
  <si>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</si>
  <si>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</si>
  <si>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</si>
  <si>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</si>
  <si>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</si>
  <si>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</si>
  <si>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</si>
  <si>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</si>
  <si>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</si>
  <si>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</si>
  <si>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</si>
  <si>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</si>
  <si>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</si>
  <si>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</si>
  <si>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</si>
  <si>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</si>
  <si>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</si>
  <si>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</si>
  <si>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</si>
  <si>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</si>
  <si>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</si>
  <si>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</si>
  <si>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</si>
  <si>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</si>
  <si>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</si>
  <si>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</si>
  <si>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</si>
  <si>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</si>
  <si>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</si>
  <si>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</si>
  <si>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</si>
  <si>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</si>
  <si>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</si>
  <si>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</si>
  <si>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</si>
  <si>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</si>
  <si>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</si>
  <si>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</si>
  <si>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</si>
  <si>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</si>
  <si>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</si>
  <si>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</si>
  <si>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</si>
  <si>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</si>
  <si>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</si>
  <si>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</si>
  <si>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</si>
  <si>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</si>
  <si>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</si>
  <si>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SCF-C01-002</t>
  </si>
  <si>
    <t>B075WSLPCB</t>
  </si>
  <si>
    <t>SCF-C01</t>
  </si>
  <si>
    <t>SCF-C01-003</t>
  </si>
  <si>
    <t>B075WQNT6B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</si>
  <si>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</si>
  <si>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</si>
  <si>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</si>
  <si>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</si>
  <si>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</si>
  <si>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</si>
  <si>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</si>
  <si>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</si>
  <si>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</si>
  <si>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</si>
  <si>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</si>
  <si>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</si>
  <si>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</si>
  <si>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</si>
  <si>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</si>
  <si>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</si>
  <si>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</si>
  <si>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</si>
  <si>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</si>
  <si>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</si>
  <si>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</si>
  <si>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</si>
  <si>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</si>
  <si>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</si>
  <si>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</si>
  <si>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</si>
  <si>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</si>
  <si>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</si>
  <si>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SCF-C01-020</t>
  </si>
  <si>
    <t>B075WTKCMZ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</si>
  <si>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</si>
  <si>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</si>
  <si>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</si>
  <si>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</si>
  <si>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</si>
  <si>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</si>
  <si>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</si>
  <si>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</si>
  <si>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</si>
  <si>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</si>
  <si>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</si>
  <si>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</si>
  <si>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</si>
  <si>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</si>
  <si>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</si>
  <si>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</si>
  <si>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</si>
  <si>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</si>
  <si>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</si>
  <si>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</si>
  <si>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SCF010-A01</t>
  </si>
  <si>
    <t>B074SH987F</t>
  </si>
  <si>
    <t>SCF010</t>
  </si>
  <si>
    <t>SCF010-A05</t>
  </si>
  <si>
    <t>B074SHT4W7</t>
  </si>
  <si>
    <t>SKS-B334</t>
  </si>
  <si>
    <t>B071ZMLVSV</t>
  </si>
  <si>
    <t>ST-K157-B0-32</t>
  </si>
  <si>
    <t>B073Q1437J</t>
  </si>
  <si>
    <t>ST-K157</t>
  </si>
  <si>
    <t>ST-K157-KQ-32</t>
  </si>
  <si>
    <t>B073PZDYM9</t>
  </si>
  <si>
    <t>ST-K559-KQ-34</t>
  </si>
  <si>
    <t>B073QHBYV3</t>
  </si>
  <si>
    <t>ST-K559</t>
  </si>
  <si>
    <t>ST-K559-KQ-44</t>
  </si>
  <si>
    <t>B073QH2KWY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</si>
  <si>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</si>
  <si>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</si>
  <si>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</si>
  <si>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</si>
  <si>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</si>
  <si>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</si>
  <si>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</si>
  <si>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</si>
  <si>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</si>
  <si>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</si>
  <si>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</si>
  <si>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</si>
  <si>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</si>
  <si>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ST005-RD1-M</t>
  </si>
  <si>
    <t>B074NRHJQL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</si>
  <si>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</si>
  <si>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</si>
  <si>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</si>
  <si>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</si>
  <si>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</si>
  <si>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</si>
  <si>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</si>
  <si>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</si>
  <si>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</si>
  <si>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</si>
  <si>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</si>
  <si>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</si>
  <si>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</si>
  <si>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</si>
  <si>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</si>
  <si>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</si>
  <si>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</si>
  <si>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</si>
  <si>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</si>
  <si>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</si>
  <si>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</si>
  <si>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</si>
  <si>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</si>
  <si>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</si>
  <si>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</si>
  <si>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</si>
  <si>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</si>
  <si>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</si>
  <si>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</si>
  <si>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</si>
  <si>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</si>
  <si>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ST122-N0-2XL</t>
  </si>
  <si>
    <t>B06Y2NBHKP</t>
  </si>
  <si>
    <t>ST122</t>
  </si>
  <si>
    <t>ST122-WR-S</t>
  </si>
  <si>
    <t>B06Y2SFW95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</si>
  <si>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</si>
  <si>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</si>
  <si>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</si>
  <si>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</si>
  <si>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</si>
  <si>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</si>
  <si>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</si>
  <si>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</si>
  <si>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</si>
  <si>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</si>
  <si>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</si>
  <si>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</si>
  <si>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</si>
  <si>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</si>
  <si>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ST166-K33-1-L</t>
  </si>
  <si>
    <t>B072PQ4DG7</t>
  </si>
  <si>
    <t>ST166-K33-1-S</t>
  </si>
  <si>
    <t>B0711XBBFZ</t>
  </si>
  <si>
    <t>ST166-K33-1-XL</t>
  </si>
  <si>
    <t>B072PQ6GGL</t>
  </si>
  <si>
    <t>ST166-K33-1-XXL</t>
  </si>
  <si>
    <t>B072J7L582</t>
  </si>
  <si>
    <t>ST166-K33-4-L</t>
  </si>
  <si>
    <t>B072PQWBGT</t>
  </si>
  <si>
    <t>ST166-K33-4-M</t>
  </si>
  <si>
    <t>B0711XBC78</t>
  </si>
  <si>
    <t>ST166-K33-4-S</t>
  </si>
  <si>
    <t>B07173Q2FN</t>
  </si>
  <si>
    <t>ST168-K77-4-XL</t>
  </si>
  <si>
    <t>B071FQCLMM</t>
  </si>
  <si>
    <t>ST168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</si>
  <si>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</si>
  <si>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</si>
  <si>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</si>
  <si>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</si>
  <si>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</si>
  <si>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</si>
  <si>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</si>
  <si>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</si>
  <si>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</si>
  <si>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</si>
  <si>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</si>
  <si>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</si>
  <si>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</si>
  <si>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</si>
  <si>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</si>
  <si>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</si>
  <si>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</si>
  <si>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</si>
  <si>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</si>
  <si>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</si>
  <si>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</si>
  <si>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</si>
  <si>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</si>
  <si>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</si>
  <si>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</si>
  <si>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</si>
  <si>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</si>
  <si>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</si>
  <si>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</si>
  <si>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</si>
  <si>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</si>
  <si>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</si>
  <si>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</si>
  <si>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</si>
  <si>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</si>
  <si>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</si>
  <si>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</si>
  <si>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</si>
  <si>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</si>
  <si>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ST170-WT-S</t>
  </si>
  <si>
    <t>B073PQ7X4Y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</si>
  <si>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</si>
  <si>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</si>
  <si>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</si>
  <si>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</si>
  <si>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</si>
  <si>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</si>
  <si>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</si>
  <si>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</si>
  <si>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</si>
  <si>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</si>
  <si>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</si>
  <si>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</si>
  <si>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</si>
  <si>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</si>
  <si>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</si>
  <si>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</si>
  <si>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</si>
  <si>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</si>
  <si>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</si>
  <si>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</si>
  <si>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</si>
  <si>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</si>
  <si>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</si>
  <si>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</si>
  <si>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</si>
  <si>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</si>
  <si>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</si>
  <si>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</si>
  <si>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</si>
  <si>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</si>
  <si>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</si>
  <si>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</si>
  <si>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</si>
  <si>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</si>
  <si>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</si>
  <si>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</si>
  <si>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</si>
  <si>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</si>
  <si>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</si>
  <si>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</si>
  <si>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</si>
  <si>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</si>
  <si>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</si>
  <si>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</si>
  <si>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</si>
  <si>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</si>
  <si>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</si>
  <si>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</si>
  <si>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</si>
  <si>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</si>
  <si>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</si>
  <si>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</si>
  <si>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</si>
  <si>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</si>
  <si>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</si>
  <si>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</si>
  <si>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</si>
  <si>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</si>
  <si>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</si>
  <si>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</si>
  <si>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</si>
  <si>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</si>
  <si>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</si>
  <si>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</si>
  <si>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</si>
  <si>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</si>
  <si>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</si>
  <si>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</si>
  <si>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</si>
  <si>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</si>
  <si>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</si>
  <si>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</si>
  <si>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</si>
  <si>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</si>
  <si>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</si>
  <si>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</si>
  <si>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</si>
  <si>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</si>
  <si>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</si>
  <si>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</si>
  <si>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</si>
  <si>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</si>
  <si>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</si>
  <si>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</si>
  <si>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</si>
  <si>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</si>
  <si>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</si>
  <si>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</si>
  <si>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</si>
  <si>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</si>
  <si>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</si>
  <si>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</si>
  <si>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</si>
  <si>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</si>
  <si>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</si>
  <si>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</si>
  <si>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</si>
  <si>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</si>
  <si>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</si>
  <si>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</si>
  <si>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</si>
  <si>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</si>
  <si>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</si>
  <si>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</si>
  <si>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</si>
  <si>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</si>
  <si>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</si>
  <si>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</si>
  <si>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</si>
  <si>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</si>
  <si>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</si>
  <si>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</si>
  <si>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</si>
  <si>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</si>
  <si>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ST173-BK-L</t>
  </si>
  <si>
    <t>B074SM144F</t>
  </si>
  <si>
    <t>ST173</t>
  </si>
  <si>
    <t>ST173-BK-S</t>
  </si>
  <si>
    <t>B074SM5RZS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</si>
  <si>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</si>
  <si>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</si>
  <si>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</si>
  <si>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</si>
  <si>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</si>
  <si>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</si>
  <si>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</si>
  <si>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</si>
  <si>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</si>
  <si>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</si>
  <si>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</si>
  <si>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</si>
  <si>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</si>
  <si>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</si>
  <si>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</si>
  <si>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</si>
  <si>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</si>
  <si>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</si>
  <si>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</si>
  <si>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</si>
  <si>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</si>
  <si>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</si>
  <si>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</si>
  <si>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</si>
  <si>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</si>
  <si>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</si>
  <si>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</si>
  <si>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</si>
  <si>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</si>
  <si>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</si>
  <si>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</si>
  <si>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</si>
  <si>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</si>
  <si>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</si>
  <si>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</si>
  <si>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</si>
  <si>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</si>
  <si>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</si>
  <si>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</si>
  <si>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</si>
  <si>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</si>
  <si>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</si>
  <si>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ST173-PP-L</t>
  </si>
  <si>
    <t>B074SL2ZGP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</si>
  <si>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</si>
  <si>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</si>
  <si>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</si>
  <si>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</si>
  <si>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</si>
  <si>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</si>
  <si>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</si>
  <si>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</si>
  <si>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</si>
  <si>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</si>
  <si>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</si>
  <si>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</si>
  <si>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</si>
  <si>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</si>
  <si>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ST173-WT1-M</t>
  </si>
  <si>
    <t>B074SLG7RS</t>
  </si>
  <si>
    <t>ST173-WT1-S</t>
  </si>
  <si>
    <t>B074SXT853</t>
  </si>
  <si>
    <t>ST173-WT1-XXL</t>
  </si>
  <si>
    <t>B074SLSTCC</t>
  </si>
  <si>
    <t>ST173-WT2-S</t>
  </si>
  <si>
    <t>B074SZQ3FG</t>
  </si>
  <si>
    <t>ST173-WT2-XL</t>
  </si>
  <si>
    <t>B074SXSPPD</t>
  </si>
  <si>
    <t>SZ-IUYL002</t>
  </si>
  <si>
    <t>B079JF8TQM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</si>
  <si>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</si>
  <si>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</si>
  <si>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</si>
  <si>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</si>
  <si>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</si>
  <si>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</si>
  <si>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</si>
  <si>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</si>
  <si>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</si>
  <si>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</si>
  <si>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</si>
  <si>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</si>
  <si>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</si>
  <si>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</si>
  <si>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</si>
  <si>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</si>
  <si>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</si>
  <si>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</si>
  <si>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</si>
  <si>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</si>
  <si>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</si>
  <si>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</si>
  <si>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</si>
  <si>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</si>
  <si>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</si>
  <si>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</si>
  <si>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</si>
  <si>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</si>
  <si>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</si>
  <si>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</si>
  <si>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</si>
  <si>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</si>
  <si>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</si>
  <si>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</si>
  <si>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</si>
  <si>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</si>
  <si>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</si>
  <si>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</si>
  <si>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</si>
  <si>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</si>
  <si>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</si>
  <si>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</si>
  <si>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</si>
  <si>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</si>
  <si>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</si>
  <si>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</si>
  <si>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</si>
  <si>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</si>
  <si>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</si>
  <si>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</si>
  <si>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</si>
  <si>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</si>
  <si>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</si>
  <si>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</si>
  <si>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</si>
  <si>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</si>
  <si>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</si>
  <si>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</si>
  <si>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</si>
  <si>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</si>
  <si>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</si>
  <si>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</si>
  <si>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</si>
  <si>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</si>
  <si>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</si>
  <si>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</si>
  <si>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</si>
  <si>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</si>
  <si>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</si>
  <si>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</si>
  <si>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</si>
  <si>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</si>
  <si>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</si>
  <si>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</si>
  <si>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</si>
  <si>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</si>
  <si>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</si>
  <si>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</si>
  <si>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</si>
  <si>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</si>
  <si>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</si>
  <si>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</si>
  <si>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</si>
  <si>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</si>
  <si>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</si>
  <si>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</si>
  <si>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</si>
  <si>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</si>
  <si>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</si>
  <si>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</si>
  <si>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</si>
  <si>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</si>
  <si>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</si>
  <si>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</si>
  <si>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</si>
  <si>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</si>
  <si>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</si>
  <si>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</si>
  <si>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</si>
  <si>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</si>
  <si>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</si>
  <si>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</si>
  <si>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</si>
  <si>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</si>
  <si>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</si>
  <si>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</si>
  <si>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</si>
  <si>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</si>
  <si>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</si>
  <si>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</si>
  <si>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</si>
  <si>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</si>
  <si>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</si>
  <si>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</si>
  <si>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</si>
  <si>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</si>
  <si>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</si>
  <si>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</si>
  <si>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</si>
  <si>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</si>
  <si>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</si>
  <si>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</si>
  <si>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</si>
  <si>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</si>
  <si>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</si>
  <si>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</si>
  <si>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</si>
  <si>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</si>
  <si>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</si>
  <si>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</si>
  <si>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</si>
  <si>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</si>
  <si>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</si>
  <si>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</si>
  <si>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</si>
  <si>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</si>
  <si>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</si>
  <si>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</si>
  <si>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</si>
  <si>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</si>
  <si>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</si>
  <si>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</si>
  <si>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</si>
  <si>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</si>
  <si>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</si>
  <si>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</si>
  <si>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</si>
  <si>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</si>
  <si>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</si>
  <si>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</si>
  <si>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</si>
  <si>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</si>
  <si>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</si>
  <si>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</si>
  <si>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</si>
  <si>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</si>
  <si>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</si>
  <si>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</si>
  <si>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</si>
  <si>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</si>
  <si>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</si>
  <si>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</si>
  <si>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</si>
  <si>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</si>
  <si>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</si>
  <si>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</si>
  <si>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</si>
  <si>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</si>
  <si>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</si>
  <si>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</si>
  <si>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</si>
  <si>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</si>
  <si>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</si>
  <si>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</si>
  <si>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</si>
  <si>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</si>
  <si>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</si>
  <si>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</si>
  <si>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</si>
  <si>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</si>
  <si>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</si>
  <si>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</si>
  <si>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</si>
  <si>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</si>
  <si>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</si>
  <si>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</si>
  <si>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</si>
  <si>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</si>
  <si>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</si>
  <si>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</si>
  <si>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</si>
  <si>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</si>
  <si>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</si>
  <si>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</si>
  <si>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</si>
  <si>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</si>
  <si>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</si>
  <si>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scarf-0001-Plum</t>
  </si>
  <si>
    <t>B073GYQ88V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</si>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</sst>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0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3" fillId="5" borderId="2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23" fillId="22" borderId="7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3097</v>
          </cell>
          <cell r="C2">
            <v>27</v>
          </cell>
          <cell r="D2">
            <v>2604</v>
          </cell>
          <cell r="E2">
            <v>34</v>
          </cell>
          <cell r="F2">
            <v>2638</v>
          </cell>
          <cell r="G2">
            <v>27</v>
          </cell>
          <cell r="H2">
            <v>56</v>
          </cell>
          <cell r="I2">
            <v>15</v>
          </cell>
          <cell r="J2">
            <v>298</v>
          </cell>
          <cell r="K2">
            <v>355</v>
          </cell>
          <cell r="L2">
            <v>615</v>
          </cell>
          <cell r="M2">
            <v>0</v>
          </cell>
        </row>
        <row r="3">
          <cell r="A3" t="str">
            <v>BBBD-1605A-BL</v>
          </cell>
          <cell r="B3">
            <v>3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LGQ-IUYL100-PK</v>
          </cell>
          <cell r="B4">
            <v>3</v>
          </cell>
          <cell r="C4">
            <v>2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LYQ-WF7125-BO-M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1</v>
          </cell>
          <cell r="L5">
            <v>0</v>
          </cell>
          <cell r="M5">
            <v>0</v>
          </cell>
        </row>
        <row r="6">
          <cell r="A6" t="str">
            <v>DZ-IUYL200-GR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5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Pajamas-sb001-KK-XL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SCF-B01-005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4</v>
          </cell>
          <cell r="L8">
            <v>0</v>
          </cell>
          <cell r="M8">
            <v>0</v>
          </cell>
        </row>
        <row r="9">
          <cell r="A9" t="str">
            <v>SCF-B01-011</v>
          </cell>
          <cell r="B9">
            <v>5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4</v>
          </cell>
          <cell r="L9">
            <v>1</v>
          </cell>
          <cell r="M9">
            <v>0</v>
          </cell>
        </row>
        <row r="10">
          <cell r="A10" t="str">
            <v>SCF-C01-007</v>
          </cell>
          <cell r="B10">
            <v>4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4</v>
          </cell>
          <cell r="L10">
            <v>1</v>
          </cell>
          <cell r="M10">
            <v>0</v>
          </cell>
        </row>
        <row r="11">
          <cell r="A11" t="str">
            <v>ST006-GN-S</v>
          </cell>
          <cell r="B11">
            <v>8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9</v>
          </cell>
          <cell r="L11">
            <v>0</v>
          </cell>
          <cell r="M11">
            <v>0</v>
          </cell>
        </row>
        <row r="12">
          <cell r="A12" t="str">
            <v>ST173-BL-M</v>
          </cell>
          <cell r="B12">
            <v>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1</v>
          </cell>
          <cell r="J12">
            <v>1</v>
          </cell>
          <cell r="K12">
            <v>0</v>
          </cell>
          <cell r="L12">
            <v>2</v>
          </cell>
          <cell r="M12">
            <v>0</v>
          </cell>
        </row>
        <row r="13">
          <cell r="A13" t="str">
            <v>ST172-WT1-S</v>
          </cell>
          <cell r="B13">
            <v>10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9</v>
          </cell>
          <cell r="M13">
            <v>0</v>
          </cell>
        </row>
        <row r="14">
          <cell r="A14" t="str">
            <v>ST173-BL-XXL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ST173-WT2-S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1</v>
          </cell>
          <cell r="M15">
            <v>0</v>
          </cell>
        </row>
        <row r="16">
          <cell r="A16" t="str">
            <v>TZ-IUYL240-BEAR-S</v>
          </cell>
          <cell r="B16">
            <v>1</v>
          </cell>
          <cell r="C16">
            <v>0</v>
          </cell>
          <cell r="D16">
            <v>111</v>
          </cell>
          <cell r="E16">
            <v>0</v>
          </cell>
          <cell r="F16">
            <v>111</v>
          </cell>
          <cell r="G16">
            <v>1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TZ-IUYL240-DOT2-M</v>
          </cell>
          <cell r="B17">
            <v>4</v>
          </cell>
          <cell r="C17">
            <v>0</v>
          </cell>
          <cell r="D17">
            <v>34</v>
          </cell>
          <cell r="E17">
            <v>0</v>
          </cell>
          <cell r="F17">
            <v>34</v>
          </cell>
          <cell r="G17">
            <v>8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TZ-IUYL240-LOVE-M</v>
          </cell>
          <cell r="B18">
            <v>12</v>
          </cell>
          <cell r="C18">
            <v>0</v>
          </cell>
          <cell r="D18">
            <v>30</v>
          </cell>
          <cell r="E18">
            <v>0</v>
          </cell>
          <cell r="F18">
            <v>30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TZ-IUYL240-BEAR-L</v>
          </cell>
          <cell r="B19">
            <v>8</v>
          </cell>
          <cell r="C19">
            <v>0</v>
          </cell>
          <cell r="D19">
            <v>10</v>
          </cell>
          <cell r="E19">
            <v>0</v>
          </cell>
          <cell r="F19">
            <v>10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TZ-IUYL240-RABBIT-L</v>
          </cell>
          <cell r="B20">
            <v>18</v>
          </cell>
          <cell r="C20">
            <v>0</v>
          </cell>
          <cell r="D20">
            <v>10</v>
          </cell>
          <cell r="E20">
            <v>0</v>
          </cell>
          <cell r="F20">
            <v>10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ST173-PK-M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TZ-IUYL240LHY-ELPH-M</v>
          </cell>
          <cell r="B22">
            <v>99</v>
          </cell>
          <cell r="C22">
            <v>0</v>
          </cell>
          <cell r="D22">
            <v>175</v>
          </cell>
          <cell r="E22">
            <v>2</v>
          </cell>
          <cell r="F22">
            <v>177</v>
          </cell>
          <cell r="G22">
            <v>1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XQ-IUYL260-PK-S</v>
          </cell>
          <cell r="B23">
            <v>4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TZ-IUYL240LHY-PAW-S</v>
          </cell>
          <cell r="B24">
            <v>98</v>
          </cell>
          <cell r="C24">
            <v>0</v>
          </cell>
          <cell r="D24">
            <v>203</v>
          </cell>
          <cell r="E24">
            <v>2</v>
          </cell>
          <cell r="F24">
            <v>205</v>
          </cell>
          <cell r="G24">
            <v>1</v>
          </cell>
          <cell r="H24">
            <v>8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XQ-IUYL260-PK-M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TZ-IUYL240LHY-STRAWBERRY-S</v>
          </cell>
          <cell r="B26">
            <v>36</v>
          </cell>
          <cell r="C26">
            <v>0</v>
          </cell>
          <cell r="D26">
            <v>134</v>
          </cell>
          <cell r="E26">
            <v>0</v>
          </cell>
          <cell r="F26">
            <v>134</v>
          </cell>
          <cell r="G26">
            <v>1</v>
          </cell>
          <cell r="H26">
            <v>2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TZ-IUYL240LHY-ELPH-S</v>
          </cell>
          <cell r="B27">
            <v>150</v>
          </cell>
          <cell r="C27">
            <v>0</v>
          </cell>
          <cell r="D27">
            <v>270</v>
          </cell>
          <cell r="E27">
            <v>0</v>
          </cell>
          <cell r="F27">
            <v>270</v>
          </cell>
          <cell r="G27">
            <v>0</v>
          </cell>
          <cell r="H27">
            <v>5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TZ-IUYL240LHY-DOT-S</v>
          </cell>
          <cell r="B28">
            <v>76</v>
          </cell>
          <cell r="C28">
            <v>2</v>
          </cell>
          <cell r="D28">
            <v>255</v>
          </cell>
          <cell r="E28">
            <v>0</v>
          </cell>
          <cell r="F28">
            <v>255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TZ-IUYL240LHY-PAW-M</v>
          </cell>
          <cell r="B29">
            <v>79</v>
          </cell>
          <cell r="C29">
            <v>0</v>
          </cell>
          <cell r="D29">
            <v>232</v>
          </cell>
          <cell r="E29">
            <v>0</v>
          </cell>
          <cell r="F29">
            <v>232</v>
          </cell>
          <cell r="G29">
            <v>7</v>
          </cell>
          <cell r="H29">
            <v>4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TZ-IUYL240LHY-BONE-L</v>
          </cell>
          <cell r="B30">
            <v>60</v>
          </cell>
          <cell r="C30">
            <v>0</v>
          </cell>
          <cell r="D30">
            <v>40</v>
          </cell>
          <cell r="E30">
            <v>2</v>
          </cell>
          <cell r="F30">
            <v>42</v>
          </cell>
          <cell r="G30">
            <v>1</v>
          </cell>
          <cell r="H30">
            <v>1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TZ-IUYL240LHY-ELPH-L</v>
          </cell>
          <cell r="B31">
            <v>73</v>
          </cell>
          <cell r="C31">
            <v>0</v>
          </cell>
          <cell r="D31">
            <v>60</v>
          </cell>
          <cell r="E31">
            <v>20</v>
          </cell>
          <cell r="F31">
            <v>80</v>
          </cell>
          <cell r="G31">
            <v>1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TZ-IUYL240LHY-STRAWBERRY-L</v>
          </cell>
          <cell r="B32">
            <v>18</v>
          </cell>
          <cell r="C32">
            <v>0</v>
          </cell>
          <cell r="D32">
            <v>74</v>
          </cell>
          <cell r="E32">
            <v>0</v>
          </cell>
          <cell r="F32">
            <v>74</v>
          </cell>
          <cell r="G32">
            <v>1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TZ-IUYL240LHY-DOT-M</v>
          </cell>
          <cell r="B33">
            <v>105</v>
          </cell>
          <cell r="C33">
            <v>3</v>
          </cell>
          <cell r="D33">
            <v>60</v>
          </cell>
          <cell r="E33">
            <v>0</v>
          </cell>
          <cell r="F33">
            <v>60</v>
          </cell>
          <cell r="G33">
            <v>1</v>
          </cell>
          <cell r="H33">
            <v>0</v>
          </cell>
          <cell r="I33">
            <v>2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TZ-IUYL240LHY-PAW-L</v>
          </cell>
          <cell r="B34">
            <v>75</v>
          </cell>
          <cell r="C34">
            <v>0</v>
          </cell>
          <cell r="D34">
            <v>40</v>
          </cell>
          <cell r="E34">
            <v>0</v>
          </cell>
          <cell r="F34">
            <v>40</v>
          </cell>
          <cell r="G34">
            <v>2</v>
          </cell>
          <cell r="H34">
            <v>0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TZ-IUYL240LHY-BONE-M</v>
          </cell>
          <cell r="B35">
            <v>54</v>
          </cell>
          <cell r="C35">
            <v>0</v>
          </cell>
          <cell r="D35">
            <v>118</v>
          </cell>
          <cell r="E35">
            <v>0</v>
          </cell>
          <cell r="F35">
            <v>118</v>
          </cell>
          <cell r="G35">
            <v>0</v>
          </cell>
          <cell r="H35">
            <v>13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GW-LULHY-10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MJ-IUYL230-BL-S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4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GW-LULHY-6.2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ST173-BL-L</v>
          </cell>
          <cell r="B39">
            <v>6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6</v>
          </cell>
          <cell r="M39">
            <v>0</v>
          </cell>
        </row>
        <row r="40">
          <cell r="A40" t="str">
            <v>KZ-LY021-GY-34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</v>
          </cell>
          <cell r="L40">
            <v>0</v>
          </cell>
          <cell r="M40">
            <v>0</v>
          </cell>
        </row>
        <row r="41">
          <cell r="A41" t="str">
            <v>XQ-IUYL320-GN-S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AQD-IUYL330-LB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2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XQ-IUYL320-BL-L</v>
          </cell>
          <cell r="B43">
            <v>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4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SCF-D01-006</v>
          </cell>
          <cell r="B44">
            <v>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4</v>
          </cell>
          <cell r="L44">
            <v>1</v>
          </cell>
          <cell r="M44">
            <v>0</v>
          </cell>
        </row>
        <row r="45">
          <cell r="A45" t="str">
            <v>ST172-BK-M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</v>
          </cell>
          <cell r="L45">
            <v>5</v>
          </cell>
          <cell r="M45">
            <v>0</v>
          </cell>
        </row>
        <row r="46">
          <cell r="A46" t="str">
            <v>SCF-B01-014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2</v>
          </cell>
          <cell r="M46">
            <v>0</v>
          </cell>
        </row>
        <row r="47">
          <cell r="A47" t="str">
            <v>HZB-QJTZ-IUYL300310</v>
          </cell>
          <cell r="B47">
            <v>13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13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ST172-PK-L</v>
          </cell>
          <cell r="B48">
            <v>18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18</v>
          </cell>
          <cell r="M48">
            <v>0</v>
          </cell>
        </row>
        <row r="49">
          <cell r="A49" t="str">
            <v>XQ-IUYL320-BK-L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4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ST085-LB916-S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1</v>
          </cell>
          <cell r="K50">
            <v>1</v>
          </cell>
          <cell r="L50">
            <v>0</v>
          </cell>
          <cell r="M50">
            <v>0</v>
          </cell>
        </row>
        <row r="51">
          <cell r="A51" t="str">
            <v>ST172-WT2-L</v>
          </cell>
          <cell r="B51">
            <v>15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14</v>
          </cell>
          <cell r="M51">
            <v>0</v>
          </cell>
        </row>
        <row r="52">
          <cell r="A52" t="str">
            <v>SCF-B01-001</v>
          </cell>
          <cell r="B52">
            <v>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2</v>
          </cell>
          <cell r="M52">
            <v>0</v>
          </cell>
        </row>
        <row r="53">
          <cell r="A53" t="str">
            <v>ST172-WT1-XL</v>
          </cell>
          <cell r="B53">
            <v>17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17</v>
          </cell>
          <cell r="M53">
            <v>0</v>
          </cell>
        </row>
        <row r="54">
          <cell r="A54" t="str">
            <v>SCF-D01-017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</v>
          </cell>
          <cell r="L54">
            <v>0</v>
          </cell>
          <cell r="M54">
            <v>0</v>
          </cell>
        </row>
        <row r="55">
          <cell r="A55" t="str">
            <v>LYQ-WF7125-BO-XL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4</v>
          </cell>
          <cell r="L55">
            <v>0</v>
          </cell>
          <cell r="M55">
            <v>0</v>
          </cell>
        </row>
        <row r="56">
          <cell r="A56" t="str">
            <v>ST172-GR-L</v>
          </cell>
          <cell r="B56">
            <v>18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18</v>
          </cell>
          <cell r="M56">
            <v>0</v>
          </cell>
        </row>
        <row r="57">
          <cell r="A57" t="str">
            <v>KZ-LY021-NY-32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</v>
          </cell>
          <cell r="L57">
            <v>0</v>
          </cell>
          <cell r="M57">
            <v>0</v>
          </cell>
        </row>
        <row r="58">
          <cell r="A58" t="str">
            <v>GS-IUYL280-3</v>
          </cell>
          <cell r="B58">
            <v>3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3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KZ-LY021-GY-32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</row>
        <row r="60">
          <cell r="A60" t="str">
            <v>XQ-IUYL320-PP-S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4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AQD-IUYL340-LP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XQ-IUYL320-RD-L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4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XQ-IUYL320-PP-L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4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XQ-IUYL260-RD-S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MJ-IUYL230-PK-L</v>
          </cell>
          <cell r="B65">
            <v>5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5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SCF-A01-013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4</v>
          </cell>
          <cell r="L66">
            <v>2</v>
          </cell>
          <cell r="M66">
            <v>0</v>
          </cell>
        </row>
        <row r="67">
          <cell r="A67" t="str">
            <v>ST172-PP-S</v>
          </cell>
          <cell r="B67">
            <v>7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5</v>
          </cell>
          <cell r="M67">
            <v>0</v>
          </cell>
        </row>
        <row r="68">
          <cell r="A68" t="str">
            <v>ST005-BK-S</v>
          </cell>
          <cell r="B68">
            <v>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7</v>
          </cell>
          <cell r="K68">
            <v>1</v>
          </cell>
          <cell r="L68">
            <v>0</v>
          </cell>
          <cell r="M68">
            <v>0</v>
          </cell>
        </row>
        <row r="69">
          <cell r="A69" t="str">
            <v>XQ-IUYL320-PK-S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3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ST172-NY-L</v>
          </cell>
          <cell r="B70">
            <v>16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</v>
          </cell>
          <cell r="K70">
            <v>0</v>
          </cell>
          <cell r="L70">
            <v>15</v>
          </cell>
          <cell r="M70">
            <v>0</v>
          </cell>
        </row>
        <row r="71">
          <cell r="A71" t="str">
            <v>ST172-PP-XL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</v>
          </cell>
          <cell r="L71">
            <v>0</v>
          </cell>
          <cell r="M71">
            <v>0</v>
          </cell>
        </row>
        <row r="72">
          <cell r="A72" t="str">
            <v>LYQ-WF7125-PO-S</v>
          </cell>
          <cell r="B72">
            <v>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5</v>
          </cell>
          <cell r="L72">
            <v>0</v>
          </cell>
          <cell r="M72">
            <v>0</v>
          </cell>
        </row>
        <row r="73">
          <cell r="A73" t="str">
            <v>SCF-C01-009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</v>
          </cell>
          <cell r="L73">
            <v>0</v>
          </cell>
          <cell r="M73">
            <v>0</v>
          </cell>
        </row>
        <row r="74">
          <cell r="A74" t="str">
            <v>KZ-LY021-WR-40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3</v>
          </cell>
          <cell r="L74">
            <v>0</v>
          </cell>
          <cell r="M74">
            <v>0</v>
          </cell>
        </row>
        <row r="75">
          <cell r="A75" t="str">
            <v>ST172-WR-L</v>
          </cell>
          <cell r="B75">
            <v>10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10</v>
          </cell>
          <cell r="M75">
            <v>0</v>
          </cell>
        </row>
        <row r="76">
          <cell r="A76" t="str">
            <v>AQD-IUYL330-CF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ST172-GR-XXL</v>
          </cell>
          <cell r="B77">
            <v>14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14</v>
          </cell>
          <cell r="M77">
            <v>0</v>
          </cell>
        </row>
        <row r="78">
          <cell r="A78" t="str">
            <v>XQ-IUYL320-YL-L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SCF-B01-016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4</v>
          </cell>
          <cell r="L79">
            <v>1</v>
          </cell>
          <cell r="M79">
            <v>0</v>
          </cell>
        </row>
        <row r="80">
          <cell r="A80" t="str">
            <v>KZ-LY021-GY-38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2</v>
          </cell>
          <cell r="L80">
            <v>0</v>
          </cell>
          <cell r="M80">
            <v>0</v>
          </cell>
        </row>
        <row r="81">
          <cell r="A81" t="str">
            <v>SCF-C01-003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</v>
          </cell>
          <cell r="K81">
            <v>2</v>
          </cell>
          <cell r="L81">
            <v>1</v>
          </cell>
          <cell r="M81">
            <v>0</v>
          </cell>
        </row>
        <row r="82">
          <cell r="A82" t="str">
            <v>ST166-K33-4-S</v>
          </cell>
          <cell r="B82">
            <v>5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5</v>
          </cell>
          <cell r="M82">
            <v>0</v>
          </cell>
        </row>
        <row r="83">
          <cell r="A83" t="str">
            <v>ST172-WR-M</v>
          </cell>
          <cell r="B83">
            <v>13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12</v>
          </cell>
          <cell r="M83">
            <v>0</v>
          </cell>
        </row>
        <row r="84">
          <cell r="A84" t="str">
            <v>ST172-NY-XXL</v>
          </cell>
          <cell r="B84">
            <v>10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2</v>
          </cell>
          <cell r="K84">
            <v>0</v>
          </cell>
          <cell r="L84">
            <v>6</v>
          </cell>
          <cell r="M84">
            <v>0</v>
          </cell>
        </row>
        <row r="85">
          <cell r="A85" t="str">
            <v>XQ-IUYL320-PK-L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KZ-LY021-GY-40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</row>
        <row r="87">
          <cell r="A87" t="str">
            <v>SCF-C01-016</v>
          </cell>
          <cell r="B87">
            <v>7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4</v>
          </cell>
          <cell r="L87">
            <v>3</v>
          </cell>
          <cell r="M87">
            <v>0</v>
          </cell>
        </row>
        <row r="88">
          <cell r="A88" t="str">
            <v>KZ-LY021-WR-32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</row>
        <row r="89">
          <cell r="A89" t="str">
            <v>AQD-IUYL340-YL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ST173-BK-S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SCF-A01-009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</v>
          </cell>
          <cell r="L91">
            <v>0</v>
          </cell>
          <cell r="M91">
            <v>0</v>
          </cell>
        </row>
        <row r="92">
          <cell r="A92" t="str">
            <v>TZ-IUYL240LHY-DOT-L</v>
          </cell>
          <cell r="B92">
            <v>81</v>
          </cell>
          <cell r="C92">
            <v>0</v>
          </cell>
          <cell r="D92">
            <v>45</v>
          </cell>
          <cell r="E92">
            <v>0</v>
          </cell>
          <cell r="F92">
            <v>45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KZ-LY021-BK-32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3</v>
          </cell>
          <cell r="L93">
            <v>0</v>
          </cell>
          <cell r="M93">
            <v>0</v>
          </cell>
        </row>
        <row r="94">
          <cell r="A94" t="str">
            <v>AQD-IUYL330-YL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ST155-AG-32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ST171-LB916-XXL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2</v>
          </cell>
          <cell r="L96">
            <v>0</v>
          </cell>
          <cell r="M96">
            <v>0</v>
          </cell>
        </row>
        <row r="97">
          <cell r="A97" t="str">
            <v>ST172-GR-M</v>
          </cell>
          <cell r="B97">
            <v>14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14</v>
          </cell>
          <cell r="M97">
            <v>0</v>
          </cell>
        </row>
        <row r="98">
          <cell r="A98" t="str">
            <v>ST173-BL-S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9</v>
          </cell>
          <cell r="M98">
            <v>0</v>
          </cell>
        </row>
        <row r="99">
          <cell r="A99" t="str">
            <v>TZ-IUYL240-DOT2-L</v>
          </cell>
          <cell r="B99">
            <v>4</v>
          </cell>
          <cell r="C99">
            <v>0</v>
          </cell>
          <cell r="D99">
            <v>32</v>
          </cell>
          <cell r="E99">
            <v>0</v>
          </cell>
          <cell r="F99">
            <v>32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ST-K559-KQ-44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</v>
          </cell>
          <cell r="M100">
            <v>0</v>
          </cell>
        </row>
        <row r="101">
          <cell r="A101" t="str">
            <v>LYQ-WF7125-NO-L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2</v>
          </cell>
          <cell r="L101">
            <v>0</v>
          </cell>
          <cell r="M101">
            <v>0</v>
          </cell>
        </row>
        <row r="102">
          <cell r="A102" t="str">
            <v>ST172-BK-S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  <cell r="L102">
            <v>1</v>
          </cell>
          <cell r="M102">
            <v>0</v>
          </cell>
        </row>
        <row r="103">
          <cell r="A103" t="str">
            <v>SCF-B01-017</v>
          </cell>
          <cell r="B103">
            <v>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</v>
          </cell>
          <cell r="L103">
            <v>3</v>
          </cell>
          <cell r="M103">
            <v>0</v>
          </cell>
        </row>
        <row r="104">
          <cell r="A104" t="str">
            <v>LYQ-WF7125-KO-L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3</v>
          </cell>
          <cell r="L104">
            <v>0</v>
          </cell>
          <cell r="M104">
            <v>0</v>
          </cell>
        </row>
        <row r="105">
          <cell r="A105" t="str">
            <v>LYQ-WF7125-WO-2L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3</v>
          </cell>
          <cell r="L105">
            <v>0</v>
          </cell>
          <cell r="M105">
            <v>0</v>
          </cell>
        </row>
        <row r="106">
          <cell r="A106" t="str">
            <v>ST172-NY-S</v>
          </cell>
          <cell r="B106">
            <v>16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16</v>
          </cell>
          <cell r="M106">
            <v>0</v>
          </cell>
        </row>
        <row r="107">
          <cell r="A107" t="str">
            <v>KZ-LY021-KK-32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</v>
          </cell>
          <cell r="L107">
            <v>0</v>
          </cell>
          <cell r="M107">
            <v>0</v>
          </cell>
        </row>
        <row r="108">
          <cell r="A108" t="str">
            <v>TZ-IUYL240LHY-STAR-L</v>
          </cell>
          <cell r="B108">
            <v>88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LYQ-WF7125-BO-S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</row>
        <row r="110">
          <cell r="A110" t="str">
            <v>ST172-PP-M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</v>
          </cell>
          <cell r="L110">
            <v>3</v>
          </cell>
          <cell r="M110">
            <v>0</v>
          </cell>
        </row>
        <row r="111">
          <cell r="A111" t="str">
            <v>SCF-C01-012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3</v>
          </cell>
          <cell r="L111">
            <v>0</v>
          </cell>
          <cell r="M111">
            <v>0</v>
          </cell>
        </row>
        <row r="112">
          <cell r="A112" t="str">
            <v>XQ-IUYL320-CF-L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TZ-IUYL240-RABBIT-M</v>
          </cell>
          <cell r="B113">
            <v>10</v>
          </cell>
          <cell r="C113">
            <v>0</v>
          </cell>
          <cell r="D113">
            <v>30</v>
          </cell>
          <cell r="E113">
            <v>0</v>
          </cell>
          <cell r="F113">
            <v>30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ST172-BL-S</v>
          </cell>
          <cell r="B114">
            <v>14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13</v>
          </cell>
          <cell r="M114">
            <v>0</v>
          </cell>
        </row>
        <row r="115">
          <cell r="A115" t="str">
            <v>LGQ-IUYL100-RD</v>
          </cell>
          <cell r="B115">
            <v>8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ST172-NY-XL</v>
          </cell>
          <cell r="B116">
            <v>16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15</v>
          </cell>
          <cell r="M116">
            <v>0</v>
          </cell>
        </row>
        <row r="117">
          <cell r="A117" t="str">
            <v>ST172-WT2-S</v>
          </cell>
          <cell r="B117">
            <v>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7</v>
          </cell>
          <cell r="M117">
            <v>0</v>
          </cell>
        </row>
        <row r="118">
          <cell r="A118" t="str">
            <v>AQD-IUYL330-GR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4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DZ-IUYL210-BK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XQ-IUYL320-BL-M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4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XQ-IUYL320-DB-M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4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SCF-C01-013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A123" t="str">
            <v>XQ-IUYL320-CF-S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ST172-BL-M</v>
          </cell>
          <cell r="B124">
            <v>15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15</v>
          </cell>
          <cell r="M124">
            <v>0</v>
          </cell>
        </row>
        <row r="125">
          <cell r="A125" t="str">
            <v>SCF-B01-015</v>
          </cell>
          <cell r="B125">
            <v>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2</v>
          </cell>
          <cell r="M125">
            <v>0</v>
          </cell>
        </row>
        <row r="126">
          <cell r="A126" t="str">
            <v>ST172-NY-M</v>
          </cell>
          <cell r="B126">
            <v>14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13</v>
          </cell>
          <cell r="M126">
            <v>0</v>
          </cell>
        </row>
        <row r="127">
          <cell r="A127" t="str">
            <v>ST172-WR-XXL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1</v>
          </cell>
          <cell r="L127">
            <v>10</v>
          </cell>
          <cell r="M127">
            <v>0</v>
          </cell>
        </row>
        <row r="128">
          <cell r="A128" t="str">
            <v>SCF-B01-018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</v>
          </cell>
          <cell r="L128">
            <v>3</v>
          </cell>
          <cell r="M128">
            <v>0</v>
          </cell>
        </row>
        <row r="129">
          <cell r="A129" t="str">
            <v>ST173-GR-S</v>
          </cell>
          <cell r="B129">
            <v>11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11</v>
          </cell>
          <cell r="M129">
            <v>0</v>
          </cell>
        </row>
        <row r="130">
          <cell r="A130" t="str">
            <v>LYQ-WF7125-KO-XL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</v>
          </cell>
          <cell r="L130">
            <v>0</v>
          </cell>
          <cell r="M130">
            <v>0</v>
          </cell>
        </row>
        <row r="131">
          <cell r="A131" t="str">
            <v>SCF-D01-015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</v>
          </cell>
          <cell r="L131">
            <v>0</v>
          </cell>
          <cell r="M131">
            <v>0</v>
          </cell>
        </row>
        <row r="132">
          <cell r="A132" t="str">
            <v>ST173-PK-XXL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SCF-C01-019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KZ-LY021-BL-38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</v>
          </cell>
          <cell r="L134">
            <v>0</v>
          </cell>
          <cell r="M134">
            <v>0</v>
          </cell>
        </row>
        <row r="135">
          <cell r="A135" t="str">
            <v>KZ-LY021-BL-34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</v>
          </cell>
          <cell r="L135">
            <v>0</v>
          </cell>
          <cell r="M135">
            <v>0</v>
          </cell>
        </row>
        <row r="136">
          <cell r="A136" t="str">
            <v>XQ-IUYL260-PP-S</v>
          </cell>
          <cell r="B136">
            <v>6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SCF-C01-008</v>
          </cell>
          <cell r="B137">
            <v>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4</v>
          </cell>
          <cell r="L137">
            <v>0</v>
          </cell>
          <cell r="M137">
            <v>0</v>
          </cell>
        </row>
        <row r="138">
          <cell r="A138" t="str">
            <v>SCF-D01-007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</v>
          </cell>
          <cell r="L138">
            <v>0</v>
          </cell>
          <cell r="M138">
            <v>0</v>
          </cell>
        </row>
        <row r="139">
          <cell r="A139" t="str">
            <v>TZ-IUYL240-LOVE-S</v>
          </cell>
          <cell r="B139">
            <v>13</v>
          </cell>
          <cell r="C139">
            <v>0</v>
          </cell>
          <cell r="D139">
            <v>40</v>
          </cell>
          <cell r="E139">
            <v>0</v>
          </cell>
          <cell r="F139">
            <v>40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ST006-BL-S</v>
          </cell>
          <cell r="B140">
            <v>11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11</v>
          </cell>
          <cell r="L140">
            <v>0</v>
          </cell>
          <cell r="M140">
            <v>0</v>
          </cell>
        </row>
        <row r="141">
          <cell r="A141" t="str">
            <v>LYQ-WF7125-NO-S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</v>
          </cell>
          <cell r="L141">
            <v>0</v>
          </cell>
          <cell r="M141">
            <v>0</v>
          </cell>
        </row>
        <row r="142">
          <cell r="A142" t="str">
            <v>XQ-IUYL320-DB-L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4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ST171-LB916-S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</row>
        <row r="144">
          <cell r="A144" t="str">
            <v>AQD-IUYL330-DB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2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SCF-D01-009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</v>
          </cell>
          <cell r="L145">
            <v>1</v>
          </cell>
          <cell r="M145">
            <v>0</v>
          </cell>
        </row>
        <row r="146">
          <cell r="A146" t="str">
            <v>LYQ-WF7125-PO-2L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</v>
          </cell>
          <cell r="L146">
            <v>0</v>
          </cell>
          <cell r="M146">
            <v>0</v>
          </cell>
        </row>
        <row r="147">
          <cell r="A147" t="str">
            <v>ST172-PK-S</v>
          </cell>
          <cell r="B147">
            <v>18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</v>
          </cell>
          <cell r="L147">
            <v>16</v>
          </cell>
          <cell r="M147">
            <v>0</v>
          </cell>
        </row>
        <row r="148">
          <cell r="A148" t="str">
            <v>AQD-IUYL330-PK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3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XQ-IUYL320-GN-M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XQ-IUYL320-BK-XL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ST173-PK-S</v>
          </cell>
          <cell r="B151">
            <v>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9</v>
          </cell>
          <cell r="M151">
            <v>0</v>
          </cell>
        </row>
        <row r="152">
          <cell r="A152" t="str">
            <v>TZ-IUYL240-LOVE-L</v>
          </cell>
          <cell r="B152">
            <v>19</v>
          </cell>
          <cell r="C152">
            <v>0</v>
          </cell>
          <cell r="D152">
            <v>10</v>
          </cell>
          <cell r="E152">
            <v>0</v>
          </cell>
          <cell r="F152">
            <v>10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XQ-IUYL260-BK-S</v>
          </cell>
          <cell r="B153">
            <v>13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KZ-LY021-BK-36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</v>
          </cell>
          <cell r="L154">
            <v>0</v>
          </cell>
          <cell r="M154">
            <v>0</v>
          </cell>
        </row>
        <row r="155">
          <cell r="A155" t="str">
            <v>SCF-C01-018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KZ-LY021-NY-38</v>
          </cell>
          <cell r="B156">
            <v>3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3</v>
          </cell>
          <cell r="L156">
            <v>0</v>
          </cell>
          <cell r="M156">
            <v>0</v>
          </cell>
        </row>
        <row r="157">
          <cell r="A157" t="str">
            <v>ST172-BL-XXL</v>
          </cell>
          <cell r="B157">
            <v>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4</v>
          </cell>
          <cell r="M157">
            <v>0</v>
          </cell>
        </row>
        <row r="158">
          <cell r="A158" t="str">
            <v>XQ-IUYL320-BL-S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4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ST155-AG-30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2</v>
          </cell>
          <cell r="M159">
            <v>0</v>
          </cell>
        </row>
        <row r="160">
          <cell r="A160" t="str">
            <v>MJ-IUYL230-CF-S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SCF-B01-013</v>
          </cell>
          <cell r="B161">
            <v>6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</v>
          </cell>
          <cell r="L161">
            <v>3</v>
          </cell>
          <cell r="M161">
            <v>0</v>
          </cell>
        </row>
        <row r="162">
          <cell r="A162" t="str">
            <v>AQD-IUYL340-PK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XQ-IUYL260-PP-M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LYQ-WF7125-BO-2X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3</v>
          </cell>
          <cell r="L164">
            <v>0</v>
          </cell>
          <cell r="M164">
            <v>0</v>
          </cell>
        </row>
        <row r="165">
          <cell r="A165" t="str">
            <v>SCF-B01-008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2</v>
          </cell>
          <cell r="M165">
            <v>0</v>
          </cell>
        </row>
        <row r="166">
          <cell r="A166" t="str">
            <v>LYQ-WF7125-PO-XL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</v>
          </cell>
          <cell r="L166">
            <v>0</v>
          </cell>
          <cell r="M166">
            <v>0</v>
          </cell>
        </row>
        <row r="167">
          <cell r="A167" t="str">
            <v>AQD-IUYL330-OR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4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TZ-IUYL240LHY-STRAWBERRY-M</v>
          </cell>
          <cell r="B168">
            <v>50</v>
          </cell>
          <cell r="C168">
            <v>0</v>
          </cell>
          <cell r="D168">
            <v>50</v>
          </cell>
          <cell r="E168">
            <v>0</v>
          </cell>
          <cell r="F168">
            <v>50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KZ-LY021-WR-36</v>
          </cell>
          <cell r="B169">
            <v>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3</v>
          </cell>
          <cell r="L169">
            <v>0</v>
          </cell>
          <cell r="M169">
            <v>0</v>
          </cell>
        </row>
        <row r="170">
          <cell r="A170" t="str">
            <v>ST172-WT1-M</v>
          </cell>
          <cell r="B170">
            <v>16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0</v>
          </cell>
          <cell r="L170">
            <v>15</v>
          </cell>
          <cell r="M170">
            <v>0</v>
          </cell>
        </row>
        <row r="171">
          <cell r="A171" t="str">
            <v>ST006-BL2-S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1</v>
          </cell>
          <cell r="L171">
            <v>0</v>
          </cell>
          <cell r="M171">
            <v>0</v>
          </cell>
        </row>
        <row r="172">
          <cell r="A172" t="str">
            <v>LGQ-IUYL100-WT</v>
          </cell>
          <cell r="B172">
            <v>12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GW-LULHY-4.5</v>
          </cell>
          <cell r="B173">
            <v>8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MJ-IUYL230-PK-S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ST172-BL-XL</v>
          </cell>
          <cell r="B175">
            <v>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5</v>
          </cell>
          <cell r="M175">
            <v>0</v>
          </cell>
        </row>
        <row r="176">
          <cell r="A176" t="str">
            <v>ST172-WR-XL</v>
          </cell>
          <cell r="B176">
            <v>8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  <cell r="L176">
            <v>7</v>
          </cell>
          <cell r="M176">
            <v>0</v>
          </cell>
        </row>
        <row r="177">
          <cell r="A177" t="str">
            <v>LYQ-WF7125-PO-M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A178" t="str">
            <v>SCF-B01-012</v>
          </cell>
          <cell r="B178">
            <v>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</v>
          </cell>
          <cell r="L178">
            <v>0</v>
          </cell>
          <cell r="M178">
            <v>0</v>
          </cell>
        </row>
        <row r="179">
          <cell r="A179" t="str">
            <v>SCF-B01-004</v>
          </cell>
          <cell r="B179">
            <v>10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8</v>
          </cell>
          <cell r="L179">
            <v>2</v>
          </cell>
          <cell r="M179">
            <v>0</v>
          </cell>
        </row>
        <row r="180">
          <cell r="A180" t="str">
            <v>KZ-LY021-WR-38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3</v>
          </cell>
          <cell r="L180">
            <v>0</v>
          </cell>
          <cell r="M180">
            <v>0</v>
          </cell>
        </row>
        <row r="181">
          <cell r="A181" t="str">
            <v>SCF-B01-002</v>
          </cell>
          <cell r="B181">
            <v>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</v>
          </cell>
          <cell r="L181">
            <v>2</v>
          </cell>
          <cell r="M181">
            <v>0</v>
          </cell>
        </row>
        <row r="182">
          <cell r="A182" t="str">
            <v>XQ-IUYL320-GN-L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AQD-IUYL330-RD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TZ-IUYL240-RABBIT-S</v>
          </cell>
          <cell r="B184">
            <v>17</v>
          </cell>
          <cell r="C184">
            <v>0</v>
          </cell>
          <cell r="D184">
            <v>74</v>
          </cell>
          <cell r="E184">
            <v>0</v>
          </cell>
          <cell r="F184">
            <v>74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ST172-WT2-XL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SCF-B01-020</v>
          </cell>
          <cell r="B186">
            <v>6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</v>
          </cell>
          <cell r="L186">
            <v>2</v>
          </cell>
          <cell r="M186">
            <v>0</v>
          </cell>
        </row>
        <row r="187">
          <cell r="A187" t="str">
            <v>XQ-IUYL320-CF-M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TZ-IUYL240-STAR-S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BD-LUHM010</v>
          </cell>
          <cell r="B189">
            <v>20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KZ-LY021-BK-40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2</v>
          </cell>
          <cell r="L190">
            <v>0</v>
          </cell>
          <cell r="M190">
            <v>0</v>
          </cell>
        </row>
        <row r="191">
          <cell r="A191" t="str">
            <v>ST173-PP-S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DZ-IUYL200-BK</v>
          </cell>
          <cell r="B192">
            <v>9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9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GS-IUYL280-2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3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ST172-WR-S</v>
          </cell>
          <cell r="B194">
            <v>14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13</v>
          </cell>
          <cell r="M194">
            <v>0</v>
          </cell>
        </row>
        <row r="195">
          <cell r="A195" t="str">
            <v>KZ-LY021-WR-34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</row>
        <row r="196">
          <cell r="A196" t="str">
            <v>ST173-WT1-S</v>
          </cell>
          <cell r="B196">
            <v>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7</v>
          </cell>
          <cell r="M196">
            <v>0</v>
          </cell>
        </row>
        <row r="197">
          <cell r="A197" t="str">
            <v>XQ-IUYL320-RD-M</v>
          </cell>
          <cell r="B197">
            <v>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4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SCF-B01-003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2</v>
          </cell>
          <cell r="L198">
            <v>0</v>
          </cell>
          <cell r="M198">
            <v>0</v>
          </cell>
        </row>
        <row r="199">
          <cell r="A199" t="str">
            <v>XQ-IUYL320-CF-XL</v>
          </cell>
          <cell r="B199">
            <v>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4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ST172-GR-XL</v>
          </cell>
          <cell r="B200">
            <v>13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13</v>
          </cell>
          <cell r="M200">
            <v>0</v>
          </cell>
        </row>
        <row r="201">
          <cell r="A201" t="str">
            <v>ST006-CF-S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4</v>
          </cell>
          <cell r="L201">
            <v>0</v>
          </cell>
          <cell r="M201">
            <v>0</v>
          </cell>
        </row>
        <row r="202">
          <cell r="A202" t="str">
            <v>XQ-IUYL260-GN-S</v>
          </cell>
          <cell r="B202">
            <v>10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scarf-0001-Peony</v>
          </cell>
          <cell r="B203">
            <v>10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10</v>
          </cell>
          <cell r="L203">
            <v>0</v>
          </cell>
          <cell r="M203">
            <v>0</v>
          </cell>
        </row>
        <row r="204">
          <cell r="A204" t="str">
            <v>ST172-WT1-XXL</v>
          </cell>
          <cell r="B204">
            <v>15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14</v>
          </cell>
          <cell r="M204">
            <v>0</v>
          </cell>
        </row>
        <row r="205">
          <cell r="A205" t="str">
            <v>SCF-B01-009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1</v>
          </cell>
          <cell r="L205">
            <v>2</v>
          </cell>
          <cell r="M205">
            <v>0</v>
          </cell>
        </row>
        <row r="206">
          <cell r="A206" t="str">
            <v>XQ-IUYL320-BK-M</v>
          </cell>
          <cell r="B206">
            <v>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LYQ-WF7125-PO-XS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2</v>
          </cell>
          <cell r="L207">
            <v>0</v>
          </cell>
          <cell r="M207">
            <v>0</v>
          </cell>
        </row>
        <row r="208">
          <cell r="A208" t="str">
            <v>XQ-IUYL260-BL2-M</v>
          </cell>
          <cell r="B208">
            <v>12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7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XQ-IUYL320-YL-XL</v>
          </cell>
          <cell r="B209">
            <v>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TZ-IUYL240-BEAR-M</v>
          </cell>
          <cell r="B210">
            <v>5</v>
          </cell>
          <cell r="C210">
            <v>0</v>
          </cell>
          <cell r="D210">
            <v>30</v>
          </cell>
          <cell r="E210">
            <v>0</v>
          </cell>
          <cell r="F210">
            <v>30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LYQ-WF7125-BO-L</v>
          </cell>
          <cell r="B211">
            <v>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4</v>
          </cell>
          <cell r="L211">
            <v>0</v>
          </cell>
          <cell r="M211">
            <v>0</v>
          </cell>
        </row>
        <row r="212">
          <cell r="A212" t="str">
            <v>XQ-IUYL320-BK-S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LYQ-WF7125-NO-XL</v>
          </cell>
          <cell r="B213">
            <v>5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5</v>
          </cell>
          <cell r="L213">
            <v>0</v>
          </cell>
          <cell r="M213">
            <v>0</v>
          </cell>
        </row>
        <row r="214">
          <cell r="A214" t="str">
            <v>TZ-IUYL240-STRAWBERRY-M</v>
          </cell>
          <cell r="B214">
            <v>31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XQ-IUYL320-PK-M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2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ST171-Sa911-S</v>
          </cell>
          <cell r="B216">
            <v>13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13</v>
          </cell>
          <cell r="M216">
            <v>0</v>
          </cell>
        </row>
        <row r="217">
          <cell r="A217" t="str">
            <v>XQ-IUYL320-DB-S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4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SCF-C01-014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</v>
          </cell>
          <cell r="K218">
            <v>2</v>
          </cell>
          <cell r="L218">
            <v>0</v>
          </cell>
          <cell r="M218">
            <v>0</v>
          </cell>
        </row>
        <row r="219">
          <cell r="A219" t="str">
            <v>XQ-IUYL260-BK-M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SCF-B01-021</v>
          </cell>
          <cell r="B220">
            <v>7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5</v>
          </cell>
          <cell r="L220">
            <v>1</v>
          </cell>
          <cell r="M220">
            <v>0</v>
          </cell>
        </row>
        <row r="221">
          <cell r="A221" t="str">
            <v>XQ-IUYL320-RD-S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XQ-IUYL320-PP-M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ST172-PK-XL</v>
          </cell>
          <cell r="B223">
            <v>18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18</v>
          </cell>
          <cell r="M223">
            <v>0</v>
          </cell>
        </row>
        <row r="224">
          <cell r="A224" t="str">
            <v>TZ-IUYL240-STRAWBERRY-L</v>
          </cell>
          <cell r="B224">
            <v>21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AQD-IUYL340-DP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3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SCF-C01-010</v>
          </cell>
          <cell r="B226">
            <v>6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4</v>
          </cell>
          <cell r="L226">
            <v>2</v>
          </cell>
          <cell r="M226">
            <v>0</v>
          </cell>
        </row>
        <row r="227">
          <cell r="A227" t="str">
            <v>KZ-LY021-NY-40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3</v>
          </cell>
          <cell r="L227">
            <v>0</v>
          </cell>
          <cell r="M227">
            <v>0</v>
          </cell>
        </row>
        <row r="228">
          <cell r="A228" t="str">
            <v>ST172-PK-XXL</v>
          </cell>
          <cell r="B228">
            <v>18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18</v>
          </cell>
          <cell r="M228">
            <v>0</v>
          </cell>
        </row>
        <row r="229">
          <cell r="A229" t="str">
            <v>ST172-PK-M</v>
          </cell>
          <cell r="B229">
            <v>18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18</v>
          </cell>
          <cell r="M229">
            <v>0</v>
          </cell>
        </row>
        <row r="230">
          <cell r="A230" t="str">
            <v>ST170-LB-S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ST172-WT2-M</v>
          </cell>
          <cell r="B231">
            <v>3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3</v>
          </cell>
          <cell r="M231">
            <v>0</v>
          </cell>
        </row>
        <row r="232">
          <cell r="A232" t="str">
            <v>XQ-IUYL320-YL-S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KZ-LY021-NY-34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2</v>
          </cell>
          <cell r="L233">
            <v>0</v>
          </cell>
          <cell r="M233">
            <v>0</v>
          </cell>
        </row>
        <row r="234">
          <cell r="A234" t="str">
            <v>TZ-IUYL240-STAR-M</v>
          </cell>
          <cell r="B234">
            <v>17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XQ-IUYL260-BL1-M</v>
          </cell>
          <cell r="B235">
            <v>6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XQ-IUYL260-YL-M</v>
          </cell>
          <cell r="B236">
            <v>4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LYQ-WF7125-KO-M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4</v>
          </cell>
          <cell r="L237">
            <v>0</v>
          </cell>
          <cell r="M237">
            <v>0</v>
          </cell>
        </row>
        <row r="238">
          <cell r="A238" t="str">
            <v>SCF-C01-011</v>
          </cell>
          <cell r="B238">
            <v>7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</v>
          </cell>
          <cell r="L238">
            <v>3</v>
          </cell>
          <cell r="M238">
            <v>0</v>
          </cell>
        </row>
        <row r="239">
          <cell r="A239" t="str">
            <v>LYQ-WF7125-K0-2L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5</v>
          </cell>
          <cell r="L239">
            <v>0</v>
          </cell>
          <cell r="M239">
            <v>0</v>
          </cell>
        </row>
        <row r="240">
          <cell r="A240" t="str">
            <v>XQ-IUYL320-GN-XL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TZ-IUYL240-PAW-L</v>
          </cell>
          <cell r="B241">
            <v>15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LYQ-WF7125-WO-XS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XQ-IUYL320-BL-XL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4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LYQ-WF7125-KO-S</v>
          </cell>
          <cell r="B244">
            <v>5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4</v>
          </cell>
          <cell r="L244">
            <v>0</v>
          </cell>
          <cell r="M244">
            <v>0</v>
          </cell>
        </row>
        <row r="245">
          <cell r="A245" t="str">
            <v>XQ-IUYL260-BL1-S</v>
          </cell>
          <cell r="B245">
            <v>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4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MJ-IUYL230-BL-L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SCF-A01-010</v>
          </cell>
          <cell r="B247">
            <v>6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4</v>
          </cell>
          <cell r="L247">
            <v>2</v>
          </cell>
          <cell r="M247">
            <v>0</v>
          </cell>
        </row>
        <row r="248">
          <cell r="A248" t="str">
            <v>SZ-IUYL002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XQ-IUYL260-RD-M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SCF-A01-011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A251" t="str">
            <v>KZ-LY021-BL-40</v>
          </cell>
          <cell r="B251">
            <v>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2</v>
          </cell>
          <cell r="L251">
            <v>0</v>
          </cell>
          <cell r="M251">
            <v>0</v>
          </cell>
        </row>
        <row r="252">
          <cell r="A252" t="str">
            <v>KZ-LY021-BL-32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3</v>
          </cell>
          <cell r="L252">
            <v>0</v>
          </cell>
          <cell r="M252">
            <v>0</v>
          </cell>
        </row>
        <row r="253">
          <cell r="A253" t="str">
            <v>SCF-B01-006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A254" t="str">
            <v>ST173-PK-L</v>
          </cell>
          <cell r="B254">
            <v>8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7</v>
          </cell>
          <cell r="M254">
            <v>0</v>
          </cell>
        </row>
        <row r="255">
          <cell r="A255" t="str">
            <v>BBBD-1605A-RD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scarf-001-blueheart</v>
          </cell>
          <cell r="B256">
            <v>7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7</v>
          </cell>
          <cell r="M256">
            <v>0</v>
          </cell>
        </row>
        <row r="257">
          <cell r="A257" t="str">
            <v>XQ-IUYL260-BL2-S</v>
          </cell>
          <cell r="B257">
            <v>12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6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LGQ-IUYL100-YL</v>
          </cell>
          <cell r="B258">
            <v>20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SCF-B01-022</v>
          </cell>
          <cell r="B259">
            <v>7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4</v>
          </cell>
          <cell r="L259">
            <v>3</v>
          </cell>
          <cell r="M259">
            <v>0</v>
          </cell>
        </row>
        <row r="260">
          <cell r="A260" t="str">
            <v>KZ-LY021-KK-40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</v>
          </cell>
          <cell r="L260">
            <v>0</v>
          </cell>
          <cell r="M260">
            <v>0</v>
          </cell>
        </row>
        <row r="261">
          <cell r="A261" t="str">
            <v>KZ-LY021-KK-38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2</v>
          </cell>
          <cell r="L261">
            <v>0</v>
          </cell>
          <cell r="M261">
            <v>0</v>
          </cell>
        </row>
        <row r="262">
          <cell r="A262" t="str">
            <v>GW-LULHY-5.1</v>
          </cell>
          <cell r="B262">
            <v>8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TZ-IUYL240-STAR-L</v>
          </cell>
          <cell r="B263">
            <v>13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ST172-PP-L</v>
          </cell>
          <cell r="B264">
            <v>5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1</v>
          </cell>
          <cell r="L264">
            <v>4</v>
          </cell>
          <cell r="M264">
            <v>0</v>
          </cell>
        </row>
        <row r="265">
          <cell r="A265" t="str">
            <v>SCF-B01-007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4</v>
          </cell>
          <cell r="L265">
            <v>2</v>
          </cell>
          <cell r="M265">
            <v>0</v>
          </cell>
        </row>
        <row r="266">
          <cell r="A266" t="str">
            <v>ST172-GR-S</v>
          </cell>
          <cell r="B266">
            <v>19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19</v>
          </cell>
          <cell r="M266">
            <v>0</v>
          </cell>
        </row>
        <row r="267">
          <cell r="A267" t="str">
            <v>MJ-IUYL230-CF-L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4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XQ-IUYL320-PK-XL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LGQ-IUYL100-BL</v>
          </cell>
          <cell r="B269">
            <v>8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XQ-IUYL320-PP-XL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LYQ-WF7125-NO-XS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3</v>
          </cell>
          <cell r="L271">
            <v>0</v>
          </cell>
          <cell r="M271">
            <v>0</v>
          </cell>
        </row>
        <row r="272">
          <cell r="A272" t="str">
            <v>GW-LULHY-8.8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LYQ-WF7125-NO-2L</v>
          </cell>
          <cell r="B273">
            <v>5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5</v>
          </cell>
          <cell r="L273">
            <v>0</v>
          </cell>
          <cell r="M273">
            <v>0</v>
          </cell>
        </row>
        <row r="274">
          <cell r="A274" t="str">
            <v>ST172-WT1-L</v>
          </cell>
          <cell r="B274">
            <v>15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15</v>
          </cell>
          <cell r="M274">
            <v>0</v>
          </cell>
        </row>
        <row r="275">
          <cell r="A275" t="str">
            <v>LGQ-IUYL100-GN</v>
          </cell>
          <cell r="B275">
            <v>8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3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AQD-IUYL340-OR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XQ-IUYL260-YL-S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TZ-IUYL240LHY-STAR-M</v>
          </cell>
          <cell r="B278">
            <v>110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ST172-BL-L</v>
          </cell>
          <cell r="B279">
            <v>5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4</v>
          </cell>
          <cell r="M279">
            <v>0</v>
          </cell>
        </row>
        <row r="280">
          <cell r="A280" t="str">
            <v>XQ-IUYL320-RD-XL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4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scarf-0001-Blue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1</v>
          </cell>
          <cell r="M281">
            <v>0</v>
          </cell>
        </row>
        <row r="282">
          <cell r="A282" t="str">
            <v>GW-LULHY-7.6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SCF-D01-012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</v>
          </cell>
          <cell r="L283">
            <v>0</v>
          </cell>
          <cell r="M283">
            <v>0</v>
          </cell>
        </row>
        <row r="284">
          <cell r="A284" t="str">
            <v>SCF-B01-019</v>
          </cell>
          <cell r="B284">
            <v>7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4</v>
          </cell>
          <cell r="L284">
            <v>3</v>
          </cell>
          <cell r="M284">
            <v>0</v>
          </cell>
        </row>
        <row r="285">
          <cell r="A285" t="str">
            <v>XQ-IUYL320-YL-M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TZ-IUYL240LHY-BONE-S</v>
          </cell>
          <cell r="B286">
            <v>80</v>
          </cell>
          <cell r="C286">
            <v>0</v>
          </cell>
          <cell r="D286">
            <v>315</v>
          </cell>
          <cell r="E286">
            <v>0</v>
          </cell>
          <cell r="F286">
            <v>315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GS-IUYL270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2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SCF-A01-012</v>
          </cell>
          <cell r="B288">
            <v>5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4</v>
          </cell>
          <cell r="L288">
            <v>1</v>
          </cell>
          <cell r="M288">
            <v>0</v>
          </cell>
        </row>
        <row r="289">
          <cell r="A289" t="str">
            <v>LYQ-WF7125-PO-L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5</v>
          </cell>
          <cell r="L289">
            <v>0</v>
          </cell>
          <cell r="M289">
            <v>0</v>
          </cell>
        </row>
        <row r="290">
          <cell r="A290" t="str">
            <v>ST173-PK-XL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6</v>
          </cell>
          <cell r="M290">
            <v>0</v>
          </cell>
        </row>
        <row r="291">
          <cell r="A291" t="str">
            <v>GS-IUYL280-1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3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SCF-C01-017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BBBD-BUSB1605B-PK</v>
          </cell>
          <cell r="B293">
            <v>0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ST005-BL2-S</v>
          </cell>
          <cell r="B294">
            <v>9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7</v>
          </cell>
          <cell r="K294">
            <v>0</v>
          </cell>
          <cell r="L294">
            <v>2</v>
          </cell>
          <cell r="M294">
            <v>0</v>
          </cell>
        </row>
        <row r="295">
          <cell r="A295" t="str">
            <v>ST173-NY-S</v>
          </cell>
          <cell r="B295">
            <v>13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13</v>
          </cell>
          <cell r="M295">
            <v>0</v>
          </cell>
        </row>
        <row r="296">
          <cell r="A296" t="str">
            <v>KZ-LY021-KK-34</v>
          </cell>
          <cell r="B296">
            <v>3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2</v>
          </cell>
          <cell r="L296">
            <v>0</v>
          </cell>
          <cell r="M296">
            <v>0</v>
          </cell>
        </row>
        <row r="297">
          <cell r="A297" t="str">
            <v>ST173-WR-M</v>
          </cell>
          <cell r="B297">
            <v>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1</v>
          </cell>
          <cell r="L297">
            <v>8</v>
          </cell>
          <cell r="M297">
            <v>0</v>
          </cell>
        </row>
        <row r="298">
          <cell r="A298" t="str">
            <v>XQ-IUYL260-GN-M</v>
          </cell>
          <cell r="B298">
            <v>10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XQ-IUYL320-DB-XL</v>
          </cell>
          <cell r="B299">
            <v>4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4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KZ-LY021-GY-36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3</v>
          </cell>
          <cell r="L300">
            <v>0</v>
          </cell>
          <cell r="M300">
            <v>0</v>
          </cell>
        </row>
        <row r="301">
          <cell r="A301" t="str">
            <v>ST173-WR-S</v>
          </cell>
          <cell r="B301">
            <v>12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12</v>
          </cell>
          <cell r="M301">
            <v>0</v>
          </cell>
        </row>
        <row r="302">
          <cell r="A302" t="str">
            <v>KZ-LY021-NY-36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A303" t="str">
            <v>ST173-WR-L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2</v>
          </cell>
          <cell r="L303">
            <v>3</v>
          </cell>
          <cell r="M303">
            <v>0</v>
          </cell>
        </row>
        <row r="304">
          <cell r="A304" t="str">
            <v>KZ-LY021-BK-34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3</v>
          </cell>
          <cell r="L304">
            <v>0</v>
          </cell>
          <cell r="M304">
            <v>0</v>
          </cell>
        </row>
        <row r="305">
          <cell r="A305" t="str">
            <v>TZ-IUYL240LHY-STAR-S</v>
          </cell>
          <cell r="B305">
            <v>52</v>
          </cell>
          <cell r="C305">
            <v>0</v>
          </cell>
          <cell r="D305">
            <v>40</v>
          </cell>
          <cell r="E305">
            <v>8</v>
          </cell>
          <cell r="F305">
            <v>48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AQD-IUYL330-BK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SCF-C01-005</v>
          </cell>
          <cell r="B307">
            <v>2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1</v>
          </cell>
          <cell r="L307">
            <v>1</v>
          </cell>
          <cell r="M307">
            <v>0</v>
          </cell>
        </row>
        <row r="308">
          <cell r="A308" t="str">
            <v>SCF-D01-004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2</v>
          </cell>
          <cell r="L308">
            <v>0</v>
          </cell>
          <cell r="M308">
            <v>0</v>
          </cell>
        </row>
        <row r="309">
          <cell r="A309" t="str">
            <v>AQD-IUYL330-PP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BBBD-BUSB1605A-BL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BBBD-BUSB1605A-CF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BBBD-BUSB1605A-PK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BBBD-BUSB1605A-RD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BBBD-BUSB1605B-BL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BBBD-BUSB1605B-RD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BD-PUHM101-B0-L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BD-PUHM101-B0-M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BD-PUHM101-B0-S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BD-PUHM101-B0-XL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BD-PUHM101-G0-L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BD-PUHM101-G0-M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BD-PUHM101-G0-S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BD-PUHM101-G0-XL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BD-PUHM101-K0-L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BD-PUHM101-K0-M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BD-PUHM101-K0-S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BD-PUHM101-K0-XL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BD-PUHM101-R0-L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BD-PUHM101-R0-M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BD-PUHM101-R0-S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BD-PUHM101-R0-XL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BX-PUHM000-G0-2XL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BX-PUHM000-G0-3XL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BX-PUHM000-G0-4XL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BX-PUHM000-G0-5XL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BX-PUHM000-G0-L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BX-PUHM000-G0-M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BX-PUHM000-G0-S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BX-PUHM000-G0-XL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BX-PUHM000-OR-2XL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BX-PUHM000-OR-3XL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BX-PUHM000-OR-4XL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BX-PUHM000-OR-5XL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BX-PUHM000-OR-L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BX-PUHM000-OR-M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BX-PUHM000-OR-S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BX-PUHM000-OR-XL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BX-PUHM000-P0-2XL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BX-PUHM000-P0-3XL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BX-PUHM000-P0-4XL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BX-PUHM000-P0-5XL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BX-PUHM000-P0-L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BX-PUHM000-P0-M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BX-PUHM000-P0-S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BX-PUHM000-P0-XL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BX-PUHM000-PI-2XL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BX-PUHM000-PI-3XL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BX-PUHM000-PI-4XL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BX-PUHM000-PI-5XL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BX-PUHM000-PI-L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BX-PUHM000-PI-M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BX-PUHM000-PI-S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BX-PUHM000-PI-XL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BX-PUHM000-R0-2XL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BX-PUHM000-R0-3XL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BX-PUHM000-R0-4XL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BX-PUHM000-R0-5XL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BX-PUHM000-R0-L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BX-PUHM000-R0-M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BX-PUHM000-R0-S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BX-PUHM000-R0-XL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BX-PUHM001-B0-L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BX-PUHM001-B0-M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BX-PUHM001-B0-S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BX-PUHM001-B0-XL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BX-PUHM001-B0-XS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BX-PUHM001-OR-L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BX-PUHM001-OR-M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BX-PUHM001-OR-S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BX-PUHM001-OR-XL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BX-PUHM001-OR-XS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BX-PUHM001-R0-L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BX-PUHM001-R0-M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BX-PUHM001-R0-S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BX-PUHM001-R0-XL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BX-PUHM001-R0-XS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DZ-IUYL210-GR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DZ-IUYL220-BK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DZ-IUYL220-GR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GS-PUHM019-B0-L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GS-PUHM019-B0-M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GS-PUHM019-B0-S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GS-PUHM019-B0-XL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GS-PUHM019-K0-L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GS-PUHM019-K0-M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GS-PUHM019-K0-S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GS-PUHM019-K0-XL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GS-PUHM019-R0-L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GS-PUHM019-R0-M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GS-PUHM019-R0-S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GS-PUHM019-R0-XL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KZ-LY021-BK-38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KZ-LY021-BL-36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LYQ-WF7125-WO-M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LYQ-WF7125-WO-XL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MY-PUHM001-OR-10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MY-PUHM001-OR-12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MY-PUHM001-OR-14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MY-PUHM001-OR-16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MY-PUHM001-OR-20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MY-PUHM001-OR-24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MY-PUHM001-OR-28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MY-PUHM001-OR-8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MY-PUHM001-R0-10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MY-PUHM001-R0-12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MY-PUHM001-R0-14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MY-PUHM001-R0-16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MY-PUHM001-R0-20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MY-PUHM001-R0-24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MY-PUHM001-R0-28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MY-PUHM001-R0-8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MY-PUHM001-ZL-10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MY-PUHM001-ZL-12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MY-PUHM001-ZL-14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MY-PUHM001-ZL-16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MY-PUHM001-ZL-20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MY-PUHM001-ZL-24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MY-PUHM001-ZL-28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MY-PUHM001-ZL-8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MY-PUHM035-R0-L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MY-PUHM035-R0-M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MY-PUHM035-R0-S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MY-PUHM035-R0-XL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MY-PUHM035-R0-XXL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MY-PUHM036-B0-L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MY-PUHM036-B0-M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MY-PUHM036-B0-S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MY-PUHM036-B0-XL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MY-PUHM036-B0-XXL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MY-PUHM582-B0-L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MY-PUHM582-B0-M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MY-PUHM582-B0-S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MY-PUHM582-B0-XL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MY-PUHM582-B0-XS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MY-PUHM582-R0-L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MY-PUHM582-R0-M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MY-PUHM582-R0-S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MY-PUHM582-R0-XL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MY-PUHM582-R0-XS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Pajamas-sb001-GR-L</v>
          </cell>
          <cell r="B450">
            <v>0</v>
          </cell>
          <cell r="C450">
            <v>2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Pajamas-sb001-GR-M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Pajamas-sb001-GR-XL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Pajamas-sb001-KK-L</v>
          </cell>
          <cell r="B453">
            <v>0</v>
          </cell>
          <cell r="C453">
            <v>1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Pajamas-sb001-KK-M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Pajamas-sb001-NY-L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Pajamas-sb001-NY-M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Pajamas-sb001-NY-XL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Pajamas-sb001-WT-M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Pajamas-sb001-WT-XL</v>
          </cell>
          <cell r="B459">
            <v>0</v>
          </cell>
          <cell r="C459">
            <v>2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RY-PUHM716-B0-L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RY-PUHM716-B0-M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RY-PUHM716-B0-S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RY-PUHM716-B0-XL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RY-PUHM716-B0-XXL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RY-PUHM716-KQ-L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RY-PUHM716-KQ-M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RY-PUHM716-KQ-S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RY-PUHM716-KQ-XL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RY-PUHM716-KQ-XXL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RY-PUHM716-PI-L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RY-PUHM716-PI-M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RY-PUHM716-PI-S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RY-PUHM716-PI-XL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RY-PUHM716-PI-XXL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SCF-A01-007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SCF-A01-008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SCF-C01-002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SCF-C01-006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SCF-C01-020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SCF-D01-011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SCF-SJ006-Puzzle-OS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SCF010-A01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SCF010-A05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SKS-B334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ST-K157-B0-32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ST-K157-KQ-32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ST-K559-KQ-34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ST-K559-OR-32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ST005-BL1-L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ST005-GN-S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ST005-RD-S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ST005-RD1-M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ST005-RD1-S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ST006-BK-XL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ST006-CF-M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ST006-GN-M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ST006-RD1-S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ST006-RD2-XL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ST084-H15-S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ST084-H15-XXL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ST085-LB916-M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ST122-N0-2XL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ST122-WR-S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ST155-AG-38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ST166-B28-4-L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ST166-B28-4-S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ST166-B28-4-XXL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ST166-K33-1-L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ST166-K33-1-S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ST166-K33-1-XL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ST166-K33-1-XXL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ST166-K33-4-L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ST166-K33-4-M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ST168-K77-4-XL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ST170-LB-L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ST170-LB-M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ST170-LB-XL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ST170-LB-XXL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ST170-LG-L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ST170-LG-M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ST170-LG-S</v>
          </cell>
          <cell r="B521">
            <v>0</v>
          </cell>
          <cell r="C521">
            <v>2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ST170-LG-XXL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ST170-PK-M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ST170-PK-XL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ST170-PK-XXL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ST170-SA-M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ST170-SA-S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ST170-SA-XXL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ST170-WR-L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ST170-WR-S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ST170-WR-XL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ST170-WT-M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ST170-WT-S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ST170-ZL-L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ST170-ZL-M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ST170-ZL-S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ST170-ZL-XL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ST171-LB916-M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ST171-Sa911-L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ST171-Sa911-M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ST171-Sa911-XL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ST171-W902-M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ST171-W902-XL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ST172-BK-L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ST172-BK-XL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ST172-WT2-XXL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ST173-BK-L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ST173-BK-XL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ST173-BK-XXL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ST173-GR-L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ST173-GR-M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ST173-GR-XL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ST173-GR-XXL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ST173-NY-L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ST173-NY-M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ST173-NY-XL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ST173-NY-XXL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ST173-PP-L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ST173-WR-XL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ST173-WR-XXL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ST173-WT1-L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ST173-WT1-M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ST173-WT1-XXL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ST173-WT2-XL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TZ-IUYL240-BONE-L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TZ-IUYL240-BONE-M</v>
          </cell>
          <cell r="B566">
            <v>0</v>
          </cell>
          <cell r="C566">
            <v>1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TZ-IUYL240-BONE-S</v>
          </cell>
          <cell r="B567">
            <v>0</v>
          </cell>
          <cell r="C567">
            <v>2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TZ-IUYL240-DOT-L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TZ-IUYL240-DOT-M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TZ-IUYL240-DOT-S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TZ-IUYL240-DOT2-S</v>
          </cell>
          <cell r="B571">
            <v>0</v>
          </cell>
          <cell r="C571">
            <v>0</v>
          </cell>
          <cell r="D571">
            <v>82</v>
          </cell>
          <cell r="E571">
            <v>0</v>
          </cell>
          <cell r="F571">
            <v>82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TZ-IUYL240-ELPH-L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TZ-IUYL240-ELPH-M</v>
          </cell>
          <cell r="B573">
            <v>0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TZ-IUYL240-ELPH-S</v>
          </cell>
          <cell r="B574">
            <v>0</v>
          </cell>
          <cell r="C574">
            <v>1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TZ-IUYL240-PAW-M</v>
          </cell>
          <cell r="B575">
            <v>0</v>
          </cell>
          <cell r="C575">
            <v>2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TZ-IUYL240-PAW-S</v>
          </cell>
          <cell r="B576">
            <v>0</v>
          </cell>
          <cell r="C576">
            <v>3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TZ-IUYL240-STRAWBERRY-S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TZ-SY240-BONE-S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TZ-SY240-ELPH-S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TZ-SY240-STRAWBERRY-S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scarf-0001-Plum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287</v>
          </cell>
          <cell r="D2">
            <v>311</v>
          </cell>
          <cell r="E2">
            <v>379</v>
          </cell>
          <cell r="F2">
            <v>346</v>
          </cell>
        </row>
        <row r="3">
          <cell r="A3" t="str">
            <v>ST172-WT2-S</v>
          </cell>
          <cell r="B3" t="str">
            <v>ST172</v>
          </cell>
          <cell r="C3">
            <v>0</v>
          </cell>
          <cell r="D3">
            <v>0</v>
          </cell>
          <cell r="E3">
            <v>1</v>
          </cell>
          <cell r="F3">
            <v>3</v>
          </cell>
        </row>
        <row r="4">
          <cell r="A4" t="str">
            <v>TZ-IUYL240LHY-PAW-M</v>
          </cell>
          <cell r="B4" t="str">
            <v>TZ-IUYL240</v>
          </cell>
          <cell r="C4">
            <v>14</v>
          </cell>
          <cell r="D4">
            <v>27</v>
          </cell>
          <cell r="E4">
            <v>23</v>
          </cell>
          <cell r="F4">
            <v>26</v>
          </cell>
        </row>
        <row r="5">
          <cell r="A5" t="str">
            <v>TZ-IUYL240-DOT2-S</v>
          </cell>
          <cell r="B5" t="str">
            <v>TZ-IUYL240</v>
          </cell>
          <cell r="C5">
            <v>11</v>
          </cell>
          <cell r="D5">
            <v>9</v>
          </cell>
          <cell r="E5">
            <v>6</v>
          </cell>
          <cell r="F5">
            <v>3</v>
          </cell>
        </row>
        <row r="6">
          <cell r="A6" t="str">
            <v>TZ-IUYL240-DOT2-L</v>
          </cell>
          <cell r="B6" t="str">
            <v>TZ-IUYL240</v>
          </cell>
          <cell r="C6">
            <v>1</v>
          </cell>
          <cell r="D6">
            <v>5</v>
          </cell>
          <cell r="E6">
            <v>4</v>
          </cell>
          <cell r="F6">
            <v>2</v>
          </cell>
        </row>
        <row r="7">
          <cell r="A7" t="str">
            <v>TZ-IUYL240LHY-ELPH-S</v>
          </cell>
          <cell r="B7" t="str">
            <v>TZ-IUYL240</v>
          </cell>
          <cell r="C7">
            <v>30</v>
          </cell>
          <cell r="D7">
            <v>15</v>
          </cell>
          <cell r="E7">
            <v>34</v>
          </cell>
          <cell r="F7">
            <v>38</v>
          </cell>
        </row>
        <row r="8">
          <cell r="A8" t="str">
            <v>TZ-IUYL240-STAR-S</v>
          </cell>
          <cell r="B8" t="str">
            <v>TZ-IUYL240</v>
          </cell>
          <cell r="C8">
            <v>3</v>
          </cell>
          <cell r="D8">
            <v>6</v>
          </cell>
          <cell r="E8">
            <v>3</v>
          </cell>
          <cell r="F8">
            <v>7</v>
          </cell>
        </row>
        <row r="9">
          <cell r="A9" t="str">
            <v>ST172-WT1-S</v>
          </cell>
          <cell r="B9" t="str">
            <v>ST172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</row>
        <row r="10">
          <cell r="A10" t="str">
            <v>TZ-IUYL240LHY-PAW-S</v>
          </cell>
          <cell r="B10" t="str">
            <v>TZ-IUYL240</v>
          </cell>
          <cell r="C10">
            <v>24</v>
          </cell>
          <cell r="D10">
            <v>9</v>
          </cell>
          <cell r="E10">
            <v>28</v>
          </cell>
          <cell r="F10">
            <v>18</v>
          </cell>
        </row>
        <row r="11">
          <cell r="A11" t="str">
            <v>TZ-IUYL240LHY-BONE-S</v>
          </cell>
          <cell r="B11" t="str">
            <v>TZ-IUYL240</v>
          </cell>
          <cell r="C11">
            <v>15</v>
          </cell>
          <cell r="D11">
            <v>10</v>
          </cell>
          <cell r="E11">
            <v>23</v>
          </cell>
          <cell r="F11">
            <v>26</v>
          </cell>
        </row>
        <row r="12">
          <cell r="A12" t="str">
            <v>TZ-IUYL240-ELPH-L</v>
          </cell>
          <cell r="B12" t="str">
            <v>TZ-IUYL240</v>
          </cell>
          <cell r="C12">
            <v>0</v>
          </cell>
          <cell r="D12">
            <v>0</v>
          </cell>
          <cell r="E12">
            <v>0</v>
          </cell>
          <cell r="F12">
            <v>10</v>
          </cell>
        </row>
        <row r="13">
          <cell r="A13" t="str">
            <v>TZ-IUYL240LHY-DOT-S</v>
          </cell>
          <cell r="B13" t="str">
            <v>TZ-IUYL240</v>
          </cell>
          <cell r="C13">
            <v>16</v>
          </cell>
          <cell r="D13">
            <v>21</v>
          </cell>
          <cell r="E13">
            <v>35</v>
          </cell>
          <cell r="F13">
            <v>24</v>
          </cell>
        </row>
        <row r="14">
          <cell r="A14" t="str">
            <v>SCF-D01-009</v>
          </cell>
          <cell r="B14" t="str">
            <v>SCF-D01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</row>
        <row r="15">
          <cell r="A15" t="str">
            <v>TZ-IUYL240-PAW-S</v>
          </cell>
          <cell r="B15" t="str">
            <v>TZ-IUYL240</v>
          </cell>
          <cell r="C15">
            <v>0</v>
          </cell>
          <cell r="D15">
            <v>0</v>
          </cell>
          <cell r="E15">
            <v>2</v>
          </cell>
          <cell r="F15">
            <v>3</v>
          </cell>
        </row>
        <row r="16">
          <cell r="A16" t="str">
            <v>HZB-QJTZ-IUYL300310</v>
          </cell>
          <cell r="B16" t="str">
            <v>HZB-QJTZ-IUYL300310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</row>
        <row r="17">
          <cell r="A17" t="str">
            <v>TZ-IUYL240LHY-BONE-M</v>
          </cell>
          <cell r="B17" t="str">
            <v>TZ-IUYL240</v>
          </cell>
          <cell r="C17">
            <v>14</v>
          </cell>
          <cell r="D17">
            <v>16</v>
          </cell>
          <cell r="E17">
            <v>14</v>
          </cell>
          <cell r="F17">
            <v>15</v>
          </cell>
        </row>
        <row r="18">
          <cell r="A18" t="str">
            <v>TZ-IUYL240-RABBIT-S</v>
          </cell>
          <cell r="B18" t="str">
            <v>TZ-IUYL240</v>
          </cell>
          <cell r="C18">
            <v>4</v>
          </cell>
          <cell r="D18">
            <v>1</v>
          </cell>
          <cell r="E18">
            <v>5</v>
          </cell>
          <cell r="F18">
            <v>4</v>
          </cell>
        </row>
        <row r="19">
          <cell r="A19" t="str">
            <v>ST155-AG-38</v>
          </cell>
          <cell r="B19" t="str">
            <v>ST155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TZ-IUYL240LHY-ELPH-M</v>
          </cell>
          <cell r="B20" t="str">
            <v>TZ-IUYL240</v>
          </cell>
          <cell r="C20">
            <v>20</v>
          </cell>
          <cell r="D20">
            <v>21</v>
          </cell>
          <cell r="E20">
            <v>27</v>
          </cell>
          <cell r="F20">
            <v>7</v>
          </cell>
        </row>
        <row r="21">
          <cell r="A21" t="str">
            <v>ST173-PK-M</v>
          </cell>
          <cell r="B21" t="str">
            <v>ST173</v>
          </cell>
          <cell r="C21">
            <v>1</v>
          </cell>
          <cell r="D21">
            <v>0</v>
          </cell>
          <cell r="E21">
            <v>1</v>
          </cell>
          <cell r="F21">
            <v>2</v>
          </cell>
        </row>
        <row r="22">
          <cell r="A22" t="str">
            <v>TZ-IUYL240-STRAWBERRY-M</v>
          </cell>
          <cell r="B22" t="str">
            <v>TZ-IUYL240</v>
          </cell>
          <cell r="C22">
            <v>0</v>
          </cell>
          <cell r="D22">
            <v>2</v>
          </cell>
          <cell r="E22">
            <v>1</v>
          </cell>
          <cell r="F22">
            <v>5</v>
          </cell>
        </row>
        <row r="23">
          <cell r="A23" t="str">
            <v>TZ-IUYL240-DOT-L</v>
          </cell>
          <cell r="B23" t="str">
            <v>TZ-IUYL240</v>
          </cell>
          <cell r="C23">
            <v>0</v>
          </cell>
          <cell r="D23">
            <v>0</v>
          </cell>
          <cell r="E23">
            <v>1</v>
          </cell>
          <cell r="F23">
            <v>12</v>
          </cell>
        </row>
        <row r="24">
          <cell r="A24" t="str">
            <v>TZ-IUYL240-STRAWBERRY-L</v>
          </cell>
          <cell r="B24" t="str">
            <v>TZ-IUYL240</v>
          </cell>
          <cell r="C24">
            <v>1</v>
          </cell>
          <cell r="D24">
            <v>1</v>
          </cell>
          <cell r="E24">
            <v>5</v>
          </cell>
          <cell r="F24">
            <v>8</v>
          </cell>
        </row>
        <row r="25">
          <cell r="A25" t="str">
            <v>TZ-IUYL240-RABBIT-M</v>
          </cell>
          <cell r="B25" t="str">
            <v>TZ-IUYL240</v>
          </cell>
          <cell r="C25">
            <v>3</v>
          </cell>
          <cell r="D25">
            <v>1</v>
          </cell>
          <cell r="E25">
            <v>1</v>
          </cell>
          <cell r="F25">
            <v>2</v>
          </cell>
        </row>
        <row r="26">
          <cell r="A26" t="str">
            <v>TZ-IUYL240-ELPH-M</v>
          </cell>
          <cell r="B26" t="str">
            <v>TZ-IUYL240</v>
          </cell>
          <cell r="C26">
            <v>0</v>
          </cell>
          <cell r="D26">
            <v>0</v>
          </cell>
          <cell r="E26">
            <v>0</v>
          </cell>
          <cell r="F26">
            <v>10</v>
          </cell>
        </row>
        <row r="27">
          <cell r="A27" t="str">
            <v>TZ-IUYL240-STAR-L</v>
          </cell>
          <cell r="B27" t="str">
            <v>TZ-IUYL240</v>
          </cell>
          <cell r="C27">
            <v>0</v>
          </cell>
          <cell r="D27">
            <v>0</v>
          </cell>
          <cell r="E27">
            <v>2</v>
          </cell>
          <cell r="F27">
            <v>4</v>
          </cell>
        </row>
        <row r="28">
          <cell r="A28" t="str">
            <v>ST085-LB916-S</v>
          </cell>
          <cell r="B28" t="str">
            <v>ST085</v>
          </cell>
          <cell r="C28">
            <v>2</v>
          </cell>
          <cell r="D28">
            <v>2</v>
          </cell>
          <cell r="E28">
            <v>2</v>
          </cell>
          <cell r="F28">
            <v>1</v>
          </cell>
        </row>
        <row r="29">
          <cell r="A29" t="str">
            <v>LGQ-IUYL100-RD</v>
          </cell>
          <cell r="B29" t="str">
            <v>LGQ-IUYL100</v>
          </cell>
          <cell r="C29">
            <v>1</v>
          </cell>
          <cell r="D29">
            <v>1</v>
          </cell>
          <cell r="E29">
            <v>0</v>
          </cell>
          <cell r="F29">
            <v>2</v>
          </cell>
        </row>
        <row r="30">
          <cell r="A30" t="str">
            <v>TZ-IUYL240LHY-STAR-M</v>
          </cell>
          <cell r="B30" t="str">
            <v>TZ-IUYL240</v>
          </cell>
          <cell r="C30">
            <v>1</v>
          </cell>
          <cell r="D30">
            <v>0</v>
          </cell>
          <cell r="E30">
            <v>5</v>
          </cell>
          <cell r="F30">
            <v>3</v>
          </cell>
        </row>
        <row r="31">
          <cell r="A31" t="str">
            <v>GW-LULHY-4.5</v>
          </cell>
          <cell r="B31" t="str">
            <v>GW-LULHY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</row>
        <row r="32">
          <cell r="A32" t="str">
            <v>TZ-IUYL240LHY-DOT-M</v>
          </cell>
          <cell r="B32" t="str">
            <v>TZ-IUYL240</v>
          </cell>
          <cell r="C32">
            <v>6</v>
          </cell>
          <cell r="D32">
            <v>14</v>
          </cell>
          <cell r="E32">
            <v>17</v>
          </cell>
          <cell r="F32">
            <v>17</v>
          </cell>
        </row>
        <row r="33">
          <cell r="A33" t="str">
            <v>ST172-WT2-XL</v>
          </cell>
          <cell r="B33" t="str">
            <v>ST172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XQ-IUYL260-PK-M</v>
          </cell>
          <cell r="B34" t="str">
            <v>XQ-IUYL260</v>
          </cell>
          <cell r="C34">
            <v>0</v>
          </cell>
          <cell r="D34">
            <v>3</v>
          </cell>
          <cell r="E34">
            <v>2</v>
          </cell>
          <cell r="F34">
            <v>3</v>
          </cell>
        </row>
        <row r="35">
          <cell r="A35" t="str">
            <v>TZ-IUYL240-STAR-M</v>
          </cell>
          <cell r="B35" t="str">
            <v>TZ-IUYL240</v>
          </cell>
          <cell r="C35">
            <v>1</v>
          </cell>
          <cell r="D35">
            <v>2</v>
          </cell>
          <cell r="E35">
            <v>2</v>
          </cell>
          <cell r="F35">
            <v>3</v>
          </cell>
        </row>
        <row r="36">
          <cell r="A36" t="str">
            <v>XQ-IUYL260-PK-S</v>
          </cell>
          <cell r="B36" t="str">
            <v>XQ-IUYL260</v>
          </cell>
          <cell r="C36">
            <v>0</v>
          </cell>
          <cell r="D36">
            <v>2</v>
          </cell>
          <cell r="E36">
            <v>2</v>
          </cell>
          <cell r="F36">
            <v>1</v>
          </cell>
        </row>
        <row r="37">
          <cell r="A37" t="str">
            <v>TZ-IUYL240-BEAR-S</v>
          </cell>
          <cell r="B37" t="str">
            <v>TZ-IUYL240</v>
          </cell>
          <cell r="C37">
            <v>6</v>
          </cell>
          <cell r="D37">
            <v>8</v>
          </cell>
          <cell r="E37">
            <v>7</v>
          </cell>
          <cell r="F37">
            <v>6</v>
          </cell>
        </row>
        <row r="38">
          <cell r="A38" t="str">
            <v>XQ-IUYL260-BK-M</v>
          </cell>
          <cell r="B38" t="str">
            <v>XQ-IUYL260</v>
          </cell>
          <cell r="C38">
            <v>0</v>
          </cell>
          <cell r="D38">
            <v>1</v>
          </cell>
          <cell r="E38">
            <v>1</v>
          </cell>
          <cell r="F38">
            <v>1</v>
          </cell>
        </row>
        <row r="39">
          <cell r="A39" t="str">
            <v>ST170-LB-S</v>
          </cell>
          <cell r="B39" t="str">
            <v>ST170</v>
          </cell>
          <cell r="C39">
            <v>0</v>
          </cell>
          <cell r="D39">
            <v>0</v>
          </cell>
          <cell r="E39">
            <v>8</v>
          </cell>
          <cell r="F39">
            <v>5</v>
          </cell>
        </row>
        <row r="40">
          <cell r="A40" t="str">
            <v>TZ-IUYL240-ELPH-S</v>
          </cell>
          <cell r="B40" t="str">
            <v>TZ-IUYL240</v>
          </cell>
          <cell r="C40">
            <v>0</v>
          </cell>
          <cell r="D40">
            <v>0</v>
          </cell>
          <cell r="E40">
            <v>2</v>
          </cell>
          <cell r="F40">
            <v>1</v>
          </cell>
        </row>
        <row r="41">
          <cell r="A41" t="str">
            <v>ST172-WT2-XXL</v>
          </cell>
          <cell r="B41" t="str">
            <v>ST172</v>
          </cell>
          <cell r="C41">
            <v>0</v>
          </cell>
          <cell r="D41">
            <v>0</v>
          </cell>
          <cell r="E41">
            <v>2</v>
          </cell>
          <cell r="F41">
            <v>2</v>
          </cell>
        </row>
        <row r="42">
          <cell r="A42" t="str">
            <v>TZ-IUYL240-BONE-L</v>
          </cell>
          <cell r="B42" t="str">
            <v>TZ-IUYL240</v>
          </cell>
          <cell r="C42">
            <v>0</v>
          </cell>
          <cell r="D42">
            <v>0</v>
          </cell>
          <cell r="E42">
            <v>0</v>
          </cell>
          <cell r="F42">
            <v>5</v>
          </cell>
        </row>
        <row r="43">
          <cell r="A43" t="str">
            <v>Pajamas-sb001-KK-L</v>
          </cell>
          <cell r="B43" t="str">
            <v>Pajamas-sb001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</row>
        <row r="44">
          <cell r="A44" t="str">
            <v>ST173-WR-XXL</v>
          </cell>
          <cell r="B44" t="str">
            <v>ST173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ST173-BL-XXL</v>
          </cell>
          <cell r="B45" t="str">
            <v>ST173</v>
          </cell>
          <cell r="C45">
            <v>1</v>
          </cell>
          <cell r="D45">
            <v>1</v>
          </cell>
          <cell r="E45">
            <v>0</v>
          </cell>
          <cell r="F45">
            <v>2</v>
          </cell>
        </row>
        <row r="46">
          <cell r="A46" t="str">
            <v>TZ-IUYL240-PAW-L</v>
          </cell>
          <cell r="B46" t="str">
            <v>TZ-IUYL240</v>
          </cell>
          <cell r="C46">
            <v>1</v>
          </cell>
          <cell r="D46">
            <v>1</v>
          </cell>
          <cell r="E46">
            <v>0</v>
          </cell>
          <cell r="F46">
            <v>1</v>
          </cell>
        </row>
        <row r="47">
          <cell r="A47" t="str">
            <v>TZ-IUYL240LHY-PAW-L</v>
          </cell>
          <cell r="B47" t="str">
            <v>TZ-IUYL240</v>
          </cell>
          <cell r="C47">
            <v>11</v>
          </cell>
          <cell r="D47">
            <v>13</v>
          </cell>
          <cell r="E47">
            <v>6</v>
          </cell>
          <cell r="F47">
            <v>11</v>
          </cell>
        </row>
        <row r="48">
          <cell r="A48" t="str">
            <v>TZ-IUYL240-DOT2-M</v>
          </cell>
          <cell r="B48" t="str">
            <v>TZ-IUYL240</v>
          </cell>
          <cell r="C48">
            <v>4</v>
          </cell>
          <cell r="D48">
            <v>11</v>
          </cell>
          <cell r="E48">
            <v>5</v>
          </cell>
          <cell r="F48">
            <v>1</v>
          </cell>
        </row>
        <row r="49">
          <cell r="A49" t="str">
            <v>LYQ-WF7125-NO-XS</v>
          </cell>
          <cell r="B49" t="str">
            <v>WF7125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SCF-B01-011</v>
          </cell>
          <cell r="B50" t="str">
            <v>SCF-B01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</row>
        <row r="51">
          <cell r="A51" t="str">
            <v>ST173-PK-XL</v>
          </cell>
          <cell r="B51" t="str">
            <v>ST173</v>
          </cell>
          <cell r="C51">
            <v>1</v>
          </cell>
          <cell r="D51">
            <v>1</v>
          </cell>
          <cell r="E51">
            <v>2</v>
          </cell>
          <cell r="F51">
            <v>1</v>
          </cell>
        </row>
        <row r="52">
          <cell r="A52" t="str">
            <v>XQ-IUYL260-YL-M</v>
          </cell>
          <cell r="B52" t="str">
            <v>XQ-IUYL260</v>
          </cell>
          <cell r="C52">
            <v>0</v>
          </cell>
          <cell r="D52">
            <v>1</v>
          </cell>
          <cell r="E52">
            <v>0</v>
          </cell>
          <cell r="F52">
            <v>1</v>
          </cell>
        </row>
        <row r="53">
          <cell r="A53" t="str">
            <v>ST173-PP-S</v>
          </cell>
          <cell r="B53" t="str">
            <v>ST173</v>
          </cell>
          <cell r="C53">
            <v>1</v>
          </cell>
          <cell r="D53">
            <v>1</v>
          </cell>
          <cell r="E53">
            <v>2</v>
          </cell>
          <cell r="F53">
            <v>1</v>
          </cell>
        </row>
        <row r="54">
          <cell r="A54" t="str">
            <v>ST170-LG-S</v>
          </cell>
          <cell r="B54" t="str">
            <v>ST170</v>
          </cell>
          <cell r="C54">
            <v>0</v>
          </cell>
          <cell r="D54">
            <v>1</v>
          </cell>
          <cell r="E54">
            <v>1</v>
          </cell>
          <cell r="F54">
            <v>1</v>
          </cell>
        </row>
        <row r="55">
          <cell r="A55" t="str">
            <v>XQ-IUYL260-YL-S</v>
          </cell>
          <cell r="B55" t="str">
            <v>XQ-IUYL260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</row>
        <row r="56">
          <cell r="A56" t="str">
            <v>XQ-IUYL260-RD-M</v>
          </cell>
          <cell r="B56" t="str">
            <v>XQ-IUYL260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</row>
        <row r="57">
          <cell r="A57" t="str">
            <v>LYQ-WF7125-KO-L</v>
          </cell>
          <cell r="B57" t="str">
            <v>WF7125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</row>
        <row r="58">
          <cell r="A58" t="str">
            <v>ST172-WT2-M</v>
          </cell>
          <cell r="B58" t="str">
            <v>ST172</v>
          </cell>
          <cell r="C58">
            <v>0</v>
          </cell>
          <cell r="D58">
            <v>0</v>
          </cell>
          <cell r="E58">
            <v>1</v>
          </cell>
          <cell r="F58">
            <v>2</v>
          </cell>
        </row>
        <row r="59">
          <cell r="A59" t="str">
            <v>TZ-IUYL240LHY-BONE-L</v>
          </cell>
          <cell r="B59" t="str">
            <v>TZ-IUYL240</v>
          </cell>
          <cell r="C59">
            <v>10</v>
          </cell>
          <cell r="D59">
            <v>12</v>
          </cell>
          <cell r="E59">
            <v>10</v>
          </cell>
          <cell r="F59">
            <v>3</v>
          </cell>
        </row>
        <row r="60">
          <cell r="A60" t="str">
            <v>TZ-IUYL240LHY-STAR-S</v>
          </cell>
          <cell r="B60" t="str">
            <v>TZ-IUYL240</v>
          </cell>
          <cell r="C60">
            <v>0</v>
          </cell>
          <cell r="D60">
            <v>1</v>
          </cell>
          <cell r="E60">
            <v>4</v>
          </cell>
          <cell r="F60">
            <v>2</v>
          </cell>
        </row>
        <row r="61">
          <cell r="A61" t="str">
            <v>Pajamas-sb001-GR-L</v>
          </cell>
          <cell r="B61" t="str">
            <v>Pajamas-sb001</v>
          </cell>
          <cell r="C61">
            <v>1</v>
          </cell>
          <cell r="D61">
            <v>2</v>
          </cell>
          <cell r="E61">
            <v>1</v>
          </cell>
          <cell r="F61">
            <v>4</v>
          </cell>
        </row>
        <row r="62">
          <cell r="A62" t="str">
            <v>ST006-GN-M</v>
          </cell>
          <cell r="B62" t="str">
            <v>ST006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XQ-IUYL260-GN-M</v>
          </cell>
          <cell r="B63" t="str">
            <v>XQ-IUYL260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</row>
        <row r="64">
          <cell r="A64" t="str">
            <v>SCF-B01-002</v>
          </cell>
          <cell r="B64" t="str">
            <v>SCF-B01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TZ-IUYL240LHY-STRAWBERRY-M</v>
          </cell>
          <cell r="B65" t="str">
            <v>TZ-IUYL240</v>
          </cell>
          <cell r="C65">
            <v>2</v>
          </cell>
          <cell r="D65">
            <v>3</v>
          </cell>
          <cell r="E65">
            <v>0</v>
          </cell>
          <cell r="F65">
            <v>3</v>
          </cell>
        </row>
        <row r="66">
          <cell r="A66" t="str">
            <v>XQ-IUYL260-RD-S</v>
          </cell>
          <cell r="B66" t="str">
            <v>XQ-IUYL260</v>
          </cell>
          <cell r="C66">
            <v>0</v>
          </cell>
          <cell r="D66">
            <v>1</v>
          </cell>
          <cell r="E66">
            <v>0</v>
          </cell>
          <cell r="F66">
            <v>2</v>
          </cell>
        </row>
        <row r="67">
          <cell r="A67" t="str">
            <v>SCF-B01-008</v>
          </cell>
          <cell r="B67" t="str">
            <v>SCF-B01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SCF-B01-006</v>
          </cell>
          <cell r="B68" t="str">
            <v>SCF-B01</v>
          </cell>
          <cell r="C68">
            <v>0</v>
          </cell>
          <cell r="D68">
            <v>0</v>
          </cell>
          <cell r="E68">
            <v>2</v>
          </cell>
          <cell r="F68">
            <v>1</v>
          </cell>
        </row>
        <row r="69">
          <cell r="A69" t="str">
            <v>TZ-IUYL240-STRAWBERRY-S</v>
          </cell>
          <cell r="B69" t="str">
            <v>TZ-IUYL240</v>
          </cell>
          <cell r="C69">
            <v>0</v>
          </cell>
          <cell r="D69">
            <v>7</v>
          </cell>
          <cell r="E69">
            <v>11</v>
          </cell>
          <cell r="F69">
            <v>7</v>
          </cell>
        </row>
        <row r="70">
          <cell r="A70" t="str">
            <v>BBBD-BUSB1605B-BL</v>
          </cell>
          <cell r="B70" t="str">
            <v>BBBD-BUSB1605</v>
          </cell>
          <cell r="C70">
            <v>3</v>
          </cell>
          <cell r="D70">
            <v>1</v>
          </cell>
          <cell r="E70">
            <v>0</v>
          </cell>
          <cell r="F70">
            <v>1</v>
          </cell>
        </row>
        <row r="71">
          <cell r="A71" t="str">
            <v>SCF-B01-009</v>
          </cell>
          <cell r="B71" t="str">
            <v>SCF-B01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LYQ-WF7125-WO-M</v>
          </cell>
          <cell r="B72" t="str">
            <v>WF7125</v>
          </cell>
          <cell r="C72">
            <v>1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DZ-IUYL210-BK</v>
          </cell>
          <cell r="B73" t="str">
            <v>DZ-IUYL210</v>
          </cell>
          <cell r="C73">
            <v>1</v>
          </cell>
          <cell r="D73">
            <v>0</v>
          </cell>
          <cell r="E73">
            <v>1</v>
          </cell>
          <cell r="F73">
            <v>0</v>
          </cell>
        </row>
        <row r="74">
          <cell r="A74" t="str">
            <v>ST173-NY-M</v>
          </cell>
          <cell r="B74" t="str">
            <v>ST173</v>
          </cell>
          <cell r="C74">
            <v>2</v>
          </cell>
          <cell r="D74">
            <v>1</v>
          </cell>
          <cell r="E74">
            <v>0</v>
          </cell>
          <cell r="F74">
            <v>1</v>
          </cell>
        </row>
        <row r="75">
          <cell r="A75" t="str">
            <v>LGQ-IUYL100-BL</v>
          </cell>
          <cell r="B75" t="str">
            <v>LGQ-IUYL100</v>
          </cell>
          <cell r="C75">
            <v>0</v>
          </cell>
          <cell r="D75">
            <v>0</v>
          </cell>
          <cell r="E75">
            <v>1</v>
          </cell>
          <cell r="F75">
            <v>1</v>
          </cell>
        </row>
        <row r="76">
          <cell r="A76" t="str">
            <v>GW-LULHY-8.8</v>
          </cell>
          <cell r="B76" t="str">
            <v>GW-LULHY</v>
          </cell>
          <cell r="C76">
            <v>1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BBBD-BUSB1605A-CF</v>
          </cell>
          <cell r="B77" t="str">
            <v>BBBD-BUSB1605</v>
          </cell>
          <cell r="C77">
            <v>0</v>
          </cell>
          <cell r="D77">
            <v>2</v>
          </cell>
          <cell r="E77">
            <v>0</v>
          </cell>
          <cell r="F77">
            <v>1</v>
          </cell>
        </row>
        <row r="78">
          <cell r="A78" t="str">
            <v>BBBD-BUSB1605B-RD</v>
          </cell>
          <cell r="B78" t="str">
            <v>BBBD-BUSB1605</v>
          </cell>
          <cell r="C78">
            <v>1</v>
          </cell>
          <cell r="D78">
            <v>4</v>
          </cell>
          <cell r="E78">
            <v>0</v>
          </cell>
          <cell r="F78">
            <v>0</v>
          </cell>
        </row>
        <row r="79">
          <cell r="A79" t="str">
            <v>ST172-WT2-L</v>
          </cell>
          <cell r="B79" t="str">
            <v>ST172</v>
          </cell>
          <cell r="C79">
            <v>0</v>
          </cell>
          <cell r="D79">
            <v>1</v>
          </cell>
          <cell r="E79">
            <v>1</v>
          </cell>
          <cell r="F79">
            <v>0</v>
          </cell>
        </row>
        <row r="80">
          <cell r="A80" t="str">
            <v>ST172-WT1-L</v>
          </cell>
          <cell r="B80" t="str">
            <v>ST172</v>
          </cell>
          <cell r="C80">
            <v>0</v>
          </cell>
          <cell r="D80">
            <v>0</v>
          </cell>
          <cell r="E80">
            <v>3</v>
          </cell>
          <cell r="F80">
            <v>0</v>
          </cell>
        </row>
        <row r="81">
          <cell r="A81" t="str">
            <v>TZ-IUYL240LHY-DOT-L</v>
          </cell>
          <cell r="B81" t="str">
            <v>TZ-IUYL240</v>
          </cell>
          <cell r="C81">
            <v>9</v>
          </cell>
          <cell r="D81">
            <v>5</v>
          </cell>
          <cell r="E81">
            <v>5</v>
          </cell>
          <cell r="F81">
            <v>0</v>
          </cell>
        </row>
        <row r="82">
          <cell r="A82" t="str">
            <v>TZ-IUYL240-BEAR-M</v>
          </cell>
          <cell r="B82" t="str">
            <v>TZ-IUYL240</v>
          </cell>
          <cell r="C82">
            <v>3</v>
          </cell>
          <cell r="D82">
            <v>6</v>
          </cell>
          <cell r="E82">
            <v>5</v>
          </cell>
          <cell r="F82">
            <v>0</v>
          </cell>
        </row>
        <row r="83">
          <cell r="A83" t="str">
            <v>SCF-B01-005</v>
          </cell>
          <cell r="B83" t="str">
            <v>SCF-B01</v>
          </cell>
          <cell r="C83">
            <v>0</v>
          </cell>
          <cell r="D83">
            <v>0</v>
          </cell>
          <cell r="E83">
            <v>2</v>
          </cell>
          <cell r="F83">
            <v>0</v>
          </cell>
        </row>
        <row r="84">
          <cell r="A84" t="str">
            <v>TZ-IUYL240LHY-ELPH-L</v>
          </cell>
          <cell r="B84" t="str">
            <v>TZ-IUYL240</v>
          </cell>
          <cell r="C84">
            <v>9</v>
          </cell>
          <cell r="D84">
            <v>4</v>
          </cell>
          <cell r="E84">
            <v>11</v>
          </cell>
          <cell r="F84">
            <v>0</v>
          </cell>
        </row>
        <row r="85">
          <cell r="A85" t="str">
            <v>SCF-B01-004</v>
          </cell>
          <cell r="B85" t="str">
            <v>SCF-B01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</row>
        <row r="86">
          <cell r="A86" t="str">
            <v>SCF-B01-007</v>
          </cell>
          <cell r="B86" t="str">
            <v>SCF-B01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</row>
        <row r="87">
          <cell r="A87" t="str">
            <v>LYQ-WF7125-NO-L</v>
          </cell>
          <cell r="B87" t="str">
            <v>WF7125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</row>
        <row r="88">
          <cell r="A88" t="str">
            <v>TZ-IUYL240-BEAR-L</v>
          </cell>
          <cell r="B88" t="str">
            <v>TZ-IUYL240</v>
          </cell>
          <cell r="C88">
            <v>4</v>
          </cell>
          <cell r="D88">
            <v>3</v>
          </cell>
          <cell r="E88">
            <v>4</v>
          </cell>
          <cell r="F88">
            <v>0</v>
          </cell>
        </row>
        <row r="89">
          <cell r="A89" t="str">
            <v>BBBD-1605A-RD</v>
          </cell>
          <cell r="B89" t="str">
            <v>BBBD-1605A</v>
          </cell>
          <cell r="C89">
            <v>1</v>
          </cell>
          <cell r="D89">
            <v>0</v>
          </cell>
          <cell r="E89">
            <v>2</v>
          </cell>
          <cell r="F89">
            <v>0</v>
          </cell>
        </row>
        <row r="90">
          <cell r="A90" t="str">
            <v>XQ-IUYL260-BK-S</v>
          </cell>
          <cell r="B90" t="str">
            <v>XQ-IUYL260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LGQ-IUYL100-YL</v>
          </cell>
          <cell r="B91" t="str">
            <v>LGQ-IUYL100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</row>
        <row r="92">
          <cell r="A92" t="str">
            <v>GW-LULHY-5.1</v>
          </cell>
          <cell r="B92" t="str">
            <v>GW-LULHY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</row>
        <row r="93">
          <cell r="A93" t="str">
            <v>TZ-IUYL240-LOVE-S</v>
          </cell>
          <cell r="B93" t="str">
            <v>TZ-IUYL240</v>
          </cell>
          <cell r="C93">
            <v>3</v>
          </cell>
          <cell r="D93">
            <v>1</v>
          </cell>
          <cell r="E93">
            <v>2</v>
          </cell>
          <cell r="F93">
            <v>0</v>
          </cell>
        </row>
        <row r="94">
          <cell r="A94" t="str">
            <v>ST172-PP-M</v>
          </cell>
          <cell r="B94" t="str">
            <v>ST172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</row>
        <row r="95">
          <cell r="A95" t="str">
            <v>ST172-NY-S</v>
          </cell>
          <cell r="B95" t="str">
            <v>ST172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</row>
        <row r="96">
          <cell r="A96" t="str">
            <v>TZ-IUYL240LHY-STAR-L</v>
          </cell>
          <cell r="B96" t="str">
            <v>TZ-IUYL240</v>
          </cell>
          <cell r="C96">
            <v>3</v>
          </cell>
          <cell r="D96">
            <v>6</v>
          </cell>
          <cell r="E96">
            <v>2</v>
          </cell>
          <cell r="F96">
            <v>0</v>
          </cell>
        </row>
        <row r="97">
          <cell r="A97" t="str">
            <v>GW-LULHY-7.6</v>
          </cell>
          <cell r="B97" t="str">
            <v>GW-LULHY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</row>
        <row r="98">
          <cell r="A98" t="str">
            <v>DZ-IUYL220-GR</v>
          </cell>
          <cell r="B98" t="str">
            <v>DZ-IUYL220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</row>
        <row r="99">
          <cell r="A99" t="str">
            <v>SCF-D01-007</v>
          </cell>
          <cell r="B99" t="str">
            <v>SCF-D01</v>
          </cell>
          <cell r="C99">
            <v>0</v>
          </cell>
          <cell r="D99">
            <v>0</v>
          </cell>
          <cell r="E99">
            <v>2</v>
          </cell>
          <cell r="F99">
            <v>0</v>
          </cell>
        </row>
        <row r="100">
          <cell r="A100" t="str">
            <v>LYQ-WF7125-WO-XS</v>
          </cell>
          <cell r="B100" t="str">
            <v>WF7125</v>
          </cell>
          <cell r="C100">
            <v>1</v>
          </cell>
          <cell r="D100">
            <v>1</v>
          </cell>
          <cell r="E100">
            <v>2</v>
          </cell>
          <cell r="F100">
            <v>0</v>
          </cell>
        </row>
        <row r="101">
          <cell r="A101" t="str">
            <v>TZ-IUYL240-LOVE-M</v>
          </cell>
          <cell r="B101" t="str">
            <v>TZ-IUYL240</v>
          </cell>
          <cell r="C101">
            <v>3</v>
          </cell>
          <cell r="D101">
            <v>3</v>
          </cell>
          <cell r="E101">
            <v>1</v>
          </cell>
          <cell r="F101">
            <v>0</v>
          </cell>
        </row>
        <row r="102">
          <cell r="A102" t="str">
            <v>SCF-B01-016</v>
          </cell>
          <cell r="B102" t="str">
            <v>SCF-B01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</row>
        <row r="103">
          <cell r="A103" t="str">
            <v>ST-K157-KQ-32</v>
          </cell>
          <cell r="B103" t="str">
            <v>ST-K157</v>
          </cell>
          <cell r="C103">
            <v>0</v>
          </cell>
          <cell r="D103">
            <v>0</v>
          </cell>
          <cell r="E103">
            <v>1</v>
          </cell>
          <cell r="F103">
            <v>0</v>
          </cell>
        </row>
        <row r="104">
          <cell r="A104" t="str">
            <v>ST006-BL-S</v>
          </cell>
          <cell r="B104" t="str">
            <v>ST006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</row>
        <row r="105">
          <cell r="A105" t="str">
            <v>ST172-GR-L</v>
          </cell>
          <cell r="B105" t="str">
            <v>ST172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</row>
        <row r="106">
          <cell r="A106" t="str">
            <v>TZ-IUYL240LHY-STRAWBERRY-L</v>
          </cell>
          <cell r="B106" t="str">
            <v>TZ-IUYL240</v>
          </cell>
          <cell r="C106">
            <v>2</v>
          </cell>
          <cell r="D106">
            <v>2</v>
          </cell>
          <cell r="E106">
            <v>2</v>
          </cell>
          <cell r="F106">
            <v>0</v>
          </cell>
        </row>
        <row r="107">
          <cell r="A107" t="str">
            <v>ST171-LB916-S</v>
          </cell>
          <cell r="B107" t="str">
            <v>ST171</v>
          </cell>
          <cell r="C107">
            <v>1</v>
          </cell>
          <cell r="D107">
            <v>2</v>
          </cell>
          <cell r="E107">
            <v>1</v>
          </cell>
          <cell r="F107">
            <v>0</v>
          </cell>
        </row>
        <row r="108">
          <cell r="A108" t="str">
            <v>DZ-IUYL220-BK</v>
          </cell>
          <cell r="B108" t="str">
            <v>DZ-IUYL220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</row>
        <row r="109">
          <cell r="A109" t="str">
            <v>TZ-IUYL240-PAW-M</v>
          </cell>
          <cell r="B109" t="str">
            <v>TZ-IUYL240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</row>
        <row r="110">
          <cell r="A110" t="str">
            <v>DZ-IUYL200-GR</v>
          </cell>
          <cell r="B110" t="str">
            <v>DZ-IUYL200</v>
          </cell>
          <cell r="C110">
            <v>0</v>
          </cell>
          <cell r="D110">
            <v>0</v>
          </cell>
          <cell r="E110">
            <v>1</v>
          </cell>
          <cell r="F110">
            <v>0</v>
          </cell>
        </row>
        <row r="111">
          <cell r="A111" t="str">
            <v>ST172-NY-L</v>
          </cell>
          <cell r="B111" t="str">
            <v>ST172</v>
          </cell>
          <cell r="C111">
            <v>0</v>
          </cell>
          <cell r="D111">
            <v>0</v>
          </cell>
          <cell r="E111">
            <v>1</v>
          </cell>
          <cell r="F111">
            <v>0</v>
          </cell>
        </row>
        <row r="112">
          <cell r="A112" t="str">
            <v>ST172-BL-L</v>
          </cell>
          <cell r="B112" t="str">
            <v>ST172</v>
          </cell>
          <cell r="C112">
            <v>0</v>
          </cell>
          <cell r="D112">
            <v>0</v>
          </cell>
          <cell r="E112">
            <v>1</v>
          </cell>
          <cell r="F112">
            <v>0</v>
          </cell>
        </row>
        <row r="113">
          <cell r="A113" t="str">
            <v>BBBD-BUSB1605B-PK</v>
          </cell>
          <cell r="B113" t="str">
            <v>BBBD-BUSB1605</v>
          </cell>
          <cell r="C113">
            <v>1</v>
          </cell>
          <cell r="D113">
            <v>1</v>
          </cell>
          <cell r="E113">
            <v>1</v>
          </cell>
          <cell r="F113">
            <v>0</v>
          </cell>
        </row>
        <row r="114">
          <cell r="A114" t="str">
            <v>ST173-BK-S</v>
          </cell>
          <cell r="B114" t="str">
            <v>ST173</v>
          </cell>
          <cell r="C114">
            <v>0</v>
          </cell>
          <cell r="D114">
            <v>2</v>
          </cell>
          <cell r="E114">
            <v>0</v>
          </cell>
          <cell r="F114">
            <v>0</v>
          </cell>
        </row>
        <row r="115">
          <cell r="A115" t="str">
            <v>LGQ-IUYL100-GN</v>
          </cell>
          <cell r="B115" t="str">
            <v>LGQ-IUYL100</v>
          </cell>
          <cell r="C115">
            <v>1</v>
          </cell>
          <cell r="D115">
            <v>1</v>
          </cell>
          <cell r="E115">
            <v>0</v>
          </cell>
          <cell r="F115">
            <v>0</v>
          </cell>
        </row>
        <row r="116">
          <cell r="A116" t="str">
            <v>BBBD-1605A-BL</v>
          </cell>
          <cell r="B116" t="str">
            <v>BBBD-1605A</v>
          </cell>
          <cell r="C116">
            <v>2</v>
          </cell>
          <cell r="D116">
            <v>2</v>
          </cell>
          <cell r="E116">
            <v>0</v>
          </cell>
          <cell r="F116">
            <v>0</v>
          </cell>
        </row>
        <row r="117">
          <cell r="A117" t="str">
            <v>LYQ-WF7125-BO-M</v>
          </cell>
          <cell r="B117" t="str">
            <v>WF7125</v>
          </cell>
          <cell r="C117">
            <v>1</v>
          </cell>
          <cell r="D117">
            <v>1</v>
          </cell>
          <cell r="E117">
            <v>0</v>
          </cell>
          <cell r="F117">
            <v>0</v>
          </cell>
        </row>
        <row r="118">
          <cell r="A118" t="str">
            <v>AQD-IUYL330-PP</v>
          </cell>
          <cell r="B118" t="str">
            <v>AQD-IUYL330</v>
          </cell>
          <cell r="C118">
            <v>1</v>
          </cell>
          <cell r="D118">
            <v>1</v>
          </cell>
          <cell r="E118">
            <v>0</v>
          </cell>
          <cell r="F118">
            <v>0</v>
          </cell>
        </row>
        <row r="119">
          <cell r="A119" t="str">
            <v>LYQ-WF7125-BO-XL</v>
          </cell>
          <cell r="B119" t="str">
            <v>WF7125</v>
          </cell>
          <cell r="C119">
            <v>0</v>
          </cell>
          <cell r="D119">
            <v>1</v>
          </cell>
          <cell r="E119">
            <v>0</v>
          </cell>
          <cell r="F119">
            <v>0</v>
          </cell>
        </row>
        <row r="120">
          <cell r="A120" t="str">
            <v>SCF-C01-017</v>
          </cell>
          <cell r="B120" t="str">
            <v>SCF-C01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</row>
        <row r="121">
          <cell r="A121" t="str">
            <v>SCF-D01-006</v>
          </cell>
          <cell r="B121" t="str">
            <v>SCF-D01</v>
          </cell>
          <cell r="C121">
            <v>0</v>
          </cell>
          <cell r="D121">
            <v>1</v>
          </cell>
          <cell r="E121">
            <v>0</v>
          </cell>
          <cell r="F121">
            <v>0</v>
          </cell>
        </row>
        <row r="122">
          <cell r="A122" t="str">
            <v>TZ-IUYL240-DOT-S</v>
          </cell>
          <cell r="B122" t="str">
            <v>TZ-IUYL240</v>
          </cell>
          <cell r="C122">
            <v>0</v>
          </cell>
          <cell r="D122">
            <v>1</v>
          </cell>
          <cell r="E122">
            <v>0</v>
          </cell>
          <cell r="F122">
            <v>0</v>
          </cell>
        </row>
        <row r="123">
          <cell r="A123" t="str">
            <v>ST173-WT2-S</v>
          </cell>
          <cell r="B123" t="str">
            <v>ST173</v>
          </cell>
          <cell r="C123">
            <v>0</v>
          </cell>
          <cell r="D123">
            <v>2</v>
          </cell>
          <cell r="E123">
            <v>0</v>
          </cell>
          <cell r="F123">
            <v>0</v>
          </cell>
        </row>
        <row r="124">
          <cell r="A124" t="str">
            <v>ST173-BL-S</v>
          </cell>
          <cell r="B124" t="str">
            <v>ST173</v>
          </cell>
          <cell r="C124">
            <v>0</v>
          </cell>
          <cell r="D124">
            <v>1</v>
          </cell>
          <cell r="E124">
            <v>0</v>
          </cell>
          <cell r="F124">
            <v>0</v>
          </cell>
        </row>
        <row r="125">
          <cell r="A125" t="str">
            <v>LGQ-IUYL100-WT</v>
          </cell>
          <cell r="B125" t="str">
            <v>LGQ-IUYL100</v>
          </cell>
          <cell r="C125">
            <v>0</v>
          </cell>
          <cell r="D125">
            <v>1</v>
          </cell>
          <cell r="E125">
            <v>0</v>
          </cell>
          <cell r="F125">
            <v>0</v>
          </cell>
        </row>
        <row r="126">
          <cell r="A126" t="str">
            <v>ST173-NY-XL</v>
          </cell>
          <cell r="B126" t="str">
            <v>ST173</v>
          </cell>
          <cell r="C126">
            <v>1</v>
          </cell>
          <cell r="D126">
            <v>2</v>
          </cell>
          <cell r="E126">
            <v>0</v>
          </cell>
          <cell r="F126">
            <v>0</v>
          </cell>
        </row>
        <row r="127">
          <cell r="A127" t="str">
            <v>AQD-IUYL330-YL</v>
          </cell>
          <cell r="B127" t="str">
            <v>AQD-IUYL330</v>
          </cell>
          <cell r="C127">
            <v>0</v>
          </cell>
          <cell r="D127">
            <v>1</v>
          </cell>
          <cell r="E127">
            <v>0</v>
          </cell>
          <cell r="F127">
            <v>0</v>
          </cell>
        </row>
        <row r="128">
          <cell r="A128" t="str">
            <v>LYQ-WF7125-PO-2L</v>
          </cell>
          <cell r="B128" t="str">
            <v>WF7125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</row>
        <row r="129">
          <cell r="A129" t="str">
            <v>XQ-IUYL260-PP-M</v>
          </cell>
          <cell r="B129" t="str">
            <v>XQ-IUYL260</v>
          </cell>
          <cell r="C129">
            <v>1</v>
          </cell>
          <cell r="D129">
            <v>2</v>
          </cell>
          <cell r="E129">
            <v>0</v>
          </cell>
          <cell r="F129">
            <v>0</v>
          </cell>
        </row>
        <row r="130">
          <cell r="A130" t="str">
            <v>TZ-IUYL240LHY-STRAWBERRY-S</v>
          </cell>
          <cell r="B130" t="str">
            <v>TZ-IUYL240</v>
          </cell>
          <cell r="C130">
            <v>5</v>
          </cell>
          <cell r="D130">
            <v>1</v>
          </cell>
          <cell r="E130">
            <v>0</v>
          </cell>
          <cell r="F130">
            <v>0</v>
          </cell>
        </row>
        <row r="131">
          <cell r="A131" t="str">
            <v>TZ-IUYL240-RABBIT-L</v>
          </cell>
          <cell r="B131" t="str">
            <v>TZ-IUYL240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</row>
        <row r="132">
          <cell r="A132" t="str">
            <v>ST173-PK-L</v>
          </cell>
          <cell r="B132" t="str">
            <v>ST173</v>
          </cell>
          <cell r="C132">
            <v>0</v>
          </cell>
          <cell r="D132">
            <v>2</v>
          </cell>
          <cell r="E132">
            <v>0</v>
          </cell>
          <cell r="F132">
            <v>0</v>
          </cell>
        </row>
        <row r="133">
          <cell r="A133" t="str">
            <v>LYQ-WF7125-PO-M</v>
          </cell>
          <cell r="B133" t="str">
            <v>WF7125</v>
          </cell>
          <cell r="C133">
            <v>0</v>
          </cell>
          <cell r="D133">
            <v>1</v>
          </cell>
          <cell r="E133">
            <v>0</v>
          </cell>
          <cell r="F133">
            <v>0</v>
          </cell>
        </row>
        <row r="134">
          <cell r="A134" t="str">
            <v>MJ-IUYL230-PK-S</v>
          </cell>
          <cell r="B134" t="str">
            <v>MJ-IUYL230</v>
          </cell>
          <cell r="C134">
            <v>0</v>
          </cell>
          <cell r="D134">
            <v>1</v>
          </cell>
          <cell r="E134">
            <v>0</v>
          </cell>
          <cell r="F134">
            <v>0</v>
          </cell>
        </row>
        <row r="135">
          <cell r="A135" t="str">
            <v>XQ-IUYL260-GN-S</v>
          </cell>
          <cell r="B135" t="str">
            <v>XQ-IUYL260</v>
          </cell>
          <cell r="C135">
            <v>1</v>
          </cell>
          <cell r="D135">
            <v>1</v>
          </cell>
          <cell r="E135">
            <v>0</v>
          </cell>
          <cell r="F135">
            <v>0</v>
          </cell>
        </row>
        <row r="136">
          <cell r="A136" t="str">
            <v>LGQ-IUYL100-PK</v>
          </cell>
          <cell r="B136" t="str">
            <v>LGQ-IUYL100</v>
          </cell>
          <cell r="C136">
            <v>0</v>
          </cell>
          <cell r="D136">
            <v>1</v>
          </cell>
          <cell r="E136">
            <v>0</v>
          </cell>
          <cell r="F136">
            <v>0</v>
          </cell>
        </row>
        <row r="137">
          <cell r="A137" t="str">
            <v>GW-LULHY-10</v>
          </cell>
          <cell r="B137" t="str">
            <v>GW-LULHY</v>
          </cell>
          <cell r="C137">
            <v>0</v>
          </cell>
          <cell r="D137">
            <v>2</v>
          </cell>
          <cell r="E137">
            <v>0</v>
          </cell>
          <cell r="F137">
            <v>0</v>
          </cell>
        </row>
        <row r="138">
          <cell r="A138" t="str">
            <v>SCF-B01-012</v>
          </cell>
          <cell r="B138" t="str">
            <v>SCF-B01</v>
          </cell>
          <cell r="C138">
            <v>0</v>
          </cell>
          <cell r="D138">
            <v>1</v>
          </cell>
          <cell r="E138">
            <v>0</v>
          </cell>
          <cell r="F138">
            <v>0</v>
          </cell>
        </row>
        <row r="139">
          <cell r="A139" t="str">
            <v>ST006-CF-S</v>
          </cell>
          <cell r="B139" t="str">
            <v>ST006</v>
          </cell>
          <cell r="C139">
            <v>0</v>
          </cell>
          <cell r="D139">
            <v>1</v>
          </cell>
          <cell r="E139">
            <v>0</v>
          </cell>
          <cell r="F139">
            <v>0</v>
          </cell>
        </row>
        <row r="140">
          <cell r="A140" t="str">
            <v>ST173-WR-M</v>
          </cell>
          <cell r="B140" t="str">
            <v>ST173</v>
          </cell>
          <cell r="C140">
            <v>0</v>
          </cell>
          <cell r="D140">
            <v>1</v>
          </cell>
          <cell r="E140">
            <v>0</v>
          </cell>
          <cell r="F140">
            <v>0</v>
          </cell>
        </row>
        <row r="141">
          <cell r="A141" t="str">
            <v>XQ-IUYL260-PP-S</v>
          </cell>
          <cell r="B141" t="str">
            <v>XQ-IUYL260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LYQ-WF7125-KO-XL</v>
          </cell>
          <cell r="B142" t="str">
            <v>WF7125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TZ-IUYL240-LOVE-L</v>
          </cell>
          <cell r="B143" t="str">
            <v>TZ-IUYL240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ST173-PK-XXL</v>
          </cell>
          <cell r="B144" t="str">
            <v>ST173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ST173-BL-M</v>
          </cell>
          <cell r="B145" t="str">
            <v>ST173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XQ-IUYL260-BL1-M</v>
          </cell>
          <cell r="B146" t="str">
            <v>XQ-IUYL260</v>
          </cell>
          <cell r="C146">
            <v>2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ST173-BL-L</v>
          </cell>
          <cell r="B147" t="str">
            <v>ST173</v>
          </cell>
          <cell r="C147">
            <v>2</v>
          </cell>
          <cell r="D147">
            <v>0</v>
          </cell>
          <cell r="E147">
            <v>0</v>
          </cell>
          <cell r="F147">
            <v>0</v>
          </cell>
        </row>
        <row r="148">
          <cell r="A148" t="str">
            <v>LYQ-WF7125-WO-XL</v>
          </cell>
          <cell r="B148" t="str">
            <v>WF7125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</row>
        <row r="149">
          <cell r="A149" t="str">
            <v>LYQ-WF7125-KO-M</v>
          </cell>
          <cell r="B149" t="str">
            <v>WF7125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</row>
        <row r="150">
          <cell r="A150" t="str">
            <v>SCF-C01-007</v>
          </cell>
          <cell r="B150" t="str">
            <v>SCF-C01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</row>
        <row r="151">
          <cell r="A151" t="str">
            <v>SCF-C01-010</v>
          </cell>
          <cell r="B151" t="str">
            <v>SCF-C01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</row>
        <row r="152">
          <cell r="A152" t="str">
            <v>XQ-IUYL260-BL1-S</v>
          </cell>
          <cell r="B152" t="str">
            <v>XQ-IUYL260</v>
          </cell>
          <cell r="C152">
            <v>1</v>
          </cell>
          <cell r="D152">
            <v>0</v>
          </cell>
          <cell r="E152">
            <v>0</v>
          </cell>
          <cell r="F152">
            <v>0</v>
          </cell>
        </row>
        <row r="153">
          <cell r="A153" t="str">
            <v>KZ-LY021-KK-32</v>
          </cell>
          <cell r="B153" t="str">
            <v>KZ-LY021</v>
          </cell>
          <cell r="C153">
            <v>2</v>
          </cell>
          <cell r="D153">
            <v>0</v>
          </cell>
          <cell r="E153">
            <v>0</v>
          </cell>
          <cell r="F153">
            <v>0</v>
          </cell>
        </row>
        <row r="154">
          <cell r="A154" t="str">
            <v>Pajamas-sb001-KK-XL</v>
          </cell>
          <cell r="B154" t="str">
            <v>Pajamas-sb001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 t="str">
            <v>AQD-IUYL330-BK</v>
          </cell>
          <cell r="B155" t="str">
            <v>AQD-IUYL330</v>
          </cell>
          <cell r="C155">
            <v>1</v>
          </cell>
          <cell r="D155">
            <v>0</v>
          </cell>
          <cell r="E155">
            <v>0</v>
          </cell>
          <cell r="F155">
            <v>0</v>
          </cell>
        </row>
        <row r="156">
          <cell r="A156" t="str">
            <v>ST172-WR-M</v>
          </cell>
          <cell r="B156" t="str">
            <v>ST172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</row>
        <row r="157">
          <cell r="A157" t="str">
            <v>ST172-WR-XL</v>
          </cell>
          <cell r="B157" t="str">
            <v>ST172</v>
          </cell>
          <cell r="C157">
            <v>1</v>
          </cell>
          <cell r="D157">
            <v>0</v>
          </cell>
          <cell r="E157">
            <v>0</v>
          </cell>
          <cell r="F157">
            <v>0</v>
          </cell>
        </row>
        <row r="1338">
          <cell r="A1338" t="str">
            <v>TZ-IUYL240LHY-PAW-S</v>
          </cell>
        </row>
        <row r="1373">
          <cell r="A1373" t="str">
            <v>TZ-IUYL240LHY-ELPH-M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ST172</v>
          </cell>
          <cell r="B2">
            <v>14.3016</v>
          </cell>
        </row>
        <row r="3">
          <cell r="A3" t="str">
            <v>TZ-IUYL240</v>
          </cell>
          <cell r="B3">
            <v>17.5333974358974</v>
          </cell>
        </row>
        <row r="4">
          <cell r="A4" t="str">
            <v>SCF-D01</v>
          </cell>
          <cell r="B4">
            <v>15</v>
          </cell>
        </row>
        <row r="5">
          <cell r="A5" t="str">
            <v>HZB-QJTZ-IUYL300310</v>
          </cell>
          <cell r="B5">
            <v>36.99</v>
          </cell>
        </row>
        <row r="6">
          <cell r="A6" t="str">
            <v>ST155</v>
          </cell>
          <cell r="B6">
            <v>24.82</v>
          </cell>
        </row>
        <row r="7">
          <cell r="A7" t="str">
            <v>ST173</v>
          </cell>
          <cell r="B7">
            <v>12.2026315789474</v>
          </cell>
        </row>
        <row r="8">
          <cell r="A8" t="str">
            <v>ST085</v>
          </cell>
          <cell r="B8">
            <v>10</v>
          </cell>
        </row>
        <row r="9">
          <cell r="A9" t="str">
            <v>LGQ-IUYL100</v>
          </cell>
          <cell r="B9">
            <v>17.9290909090909</v>
          </cell>
        </row>
        <row r="10">
          <cell r="A10" t="str">
            <v>GW-LULHY</v>
          </cell>
          <cell r="B10">
            <v>11.2022222222222</v>
          </cell>
        </row>
        <row r="11">
          <cell r="A11" t="str">
            <v>XQ-IUYL260</v>
          </cell>
          <cell r="B11">
            <v>9.9</v>
          </cell>
        </row>
        <row r="12">
          <cell r="A12" t="str">
            <v>ST170</v>
          </cell>
          <cell r="B12">
            <v>16.5425</v>
          </cell>
        </row>
        <row r="13">
          <cell r="A13" t="str">
            <v>Pajamas-sb001</v>
          </cell>
          <cell r="B13">
            <v>10.98</v>
          </cell>
        </row>
        <row r="14">
          <cell r="A14" t="str">
            <v>WF7125</v>
          </cell>
          <cell r="B14">
            <v>12</v>
          </cell>
        </row>
        <row r="15">
          <cell r="A15" t="str">
            <v>SCF-B01</v>
          </cell>
          <cell r="B15">
            <v>20</v>
          </cell>
        </row>
        <row r="16">
          <cell r="A16" t="str">
            <v>ST006</v>
          </cell>
          <cell r="B16">
            <v>15.6466666666667</v>
          </cell>
        </row>
        <row r="17">
          <cell r="A17" t="str">
            <v>BBBD-BUSB1605</v>
          </cell>
          <cell r="B17">
            <v>29.99</v>
          </cell>
        </row>
        <row r="18">
          <cell r="A18" t="str">
            <v>DZ-IUYL210</v>
          </cell>
          <cell r="B18">
            <v>25.99</v>
          </cell>
        </row>
        <row r="19">
          <cell r="A19" t="str">
            <v>BBBD-1605A</v>
          </cell>
          <cell r="B19">
            <v>33.4185714285714</v>
          </cell>
        </row>
        <row r="20">
          <cell r="A20" t="str">
            <v>DZ-IUYL220</v>
          </cell>
          <cell r="B20">
            <v>25.99</v>
          </cell>
        </row>
        <row r="21">
          <cell r="A21" t="str">
            <v>ST-K157</v>
          </cell>
          <cell r="B21">
            <v>18.76</v>
          </cell>
        </row>
        <row r="22">
          <cell r="A22" t="str">
            <v>ST171</v>
          </cell>
          <cell r="B22">
            <v>15.98</v>
          </cell>
        </row>
        <row r="23">
          <cell r="A23" t="str">
            <v>DZ-IUYL200</v>
          </cell>
          <cell r="B23">
            <v>20.99</v>
          </cell>
        </row>
        <row r="24">
          <cell r="A24" t="str">
            <v>AQD-IUYL330</v>
          </cell>
          <cell r="B24">
            <v>8.99</v>
          </cell>
        </row>
        <row r="25">
          <cell r="A25" t="str">
            <v>SCF-C01</v>
          </cell>
          <cell r="B25">
            <v>17.5</v>
          </cell>
        </row>
        <row r="26">
          <cell r="A26" t="str">
            <v>MJ-IUYL230</v>
          </cell>
          <cell r="B26">
            <v>11.99</v>
          </cell>
        </row>
        <row r="27">
          <cell r="A27" t="str">
            <v>KZ-LY021</v>
          </cell>
          <cell r="B27">
            <v>12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537.12</v>
          </cell>
        </row>
        <row r="3">
          <cell r="G3">
            <v>476.68</v>
          </cell>
        </row>
        <row r="3">
          <cell r="J3">
            <v>542.23</v>
          </cell>
        </row>
        <row r="3">
          <cell r="M3">
            <v>636.33</v>
          </cell>
        </row>
        <row r="4">
          <cell r="A4" t="str">
            <v>SCF-C01-003</v>
          </cell>
          <cell r="B4">
            <v>0</v>
          </cell>
          <cell r="C4">
            <v>0</v>
          </cell>
          <cell r="D4">
            <v>0</v>
          </cell>
          <cell r="E4">
            <v>364</v>
          </cell>
          <cell r="F4">
            <v>0</v>
          </cell>
          <cell r="G4">
            <v>0</v>
          </cell>
          <cell r="H4">
            <v>209</v>
          </cell>
          <cell r="I4">
            <v>1</v>
          </cell>
          <cell r="J4">
            <v>0.27</v>
          </cell>
          <cell r="K4">
            <v>173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0</v>
          </cell>
          <cell r="C5">
            <v>0</v>
          </cell>
          <cell r="D5">
            <v>0</v>
          </cell>
          <cell r="E5">
            <v>81</v>
          </cell>
          <cell r="F5">
            <v>0</v>
          </cell>
          <cell r="G5">
            <v>0</v>
          </cell>
          <cell r="H5">
            <v>533</v>
          </cell>
          <cell r="I5">
            <v>1</v>
          </cell>
          <cell r="J5">
            <v>0.31</v>
          </cell>
          <cell r="K5">
            <v>536</v>
          </cell>
          <cell r="L5">
            <v>2</v>
          </cell>
          <cell r="M5">
            <v>0.57</v>
          </cell>
        </row>
        <row r="6">
          <cell r="A6" t="str">
            <v>TZ-IUYL240-STAR-M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MJ-IUYL230-BL-S</v>
          </cell>
          <cell r="B7">
            <v>20</v>
          </cell>
          <cell r="C7">
            <v>0</v>
          </cell>
          <cell r="D7">
            <v>0</v>
          </cell>
          <cell r="E7">
            <v>23</v>
          </cell>
          <cell r="F7">
            <v>0</v>
          </cell>
          <cell r="G7">
            <v>0</v>
          </cell>
          <cell r="H7">
            <v>57</v>
          </cell>
          <cell r="I7">
            <v>1</v>
          </cell>
          <cell r="J7">
            <v>0.3</v>
          </cell>
          <cell r="K7">
            <v>204</v>
          </cell>
          <cell r="L7">
            <v>0</v>
          </cell>
          <cell r="M7">
            <v>0</v>
          </cell>
        </row>
        <row r="8">
          <cell r="A8" t="str">
            <v>MJ-IUYL230-CF-S</v>
          </cell>
          <cell r="B8">
            <v>114</v>
          </cell>
          <cell r="C8">
            <v>0</v>
          </cell>
          <cell r="D8">
            <v>0</v>
          </cell>
          <cell r="E8">
            <v>38</v>
          </cell>
          <cell r="F8">
            <v>0</v>
          </cell>
          <cell r="G8">
            <v>0</v>
          </cell>
          <cell r="H8">
            <v>27</v>
          </cell>
          <cell r="I8">
            <v>0</v>
          </cell>
          <cell r="J8">
            <v>0</v>
          </cell>
          <cell r="K8">
            <v>47</v>
          </cell>
          <cell r="L8">
            <v>0</v>
          </cell>
          <cell r="M8">
            <v>0</v>
          </cell>
        </row>
        <row r="9">
          <cell r="A9" t="str">
            <v>MJ-IUYL230-PK-S</v>
          </cell>
          <cell r="B9">
            <v>132</v>
          </cell>
          <cell r="C9">
            <v>0</v>
          </cell>
          <cell r="D9">
            <v>0</v>
          </cell>
          <cell r="E9">
            <v>443</v>
          </cell>
          <cell r="F9">
            <v>0</v>
          </cell>
          <cell r="G9">
            <v>0</v>
          </cell>
          <cell r="H9">
            <v>970</v>
          </cell>
          <cell r="I9">
            <v>1</v>
          </cell>
          <cell r="J9">
            <v>0.55</v>
          </cell>
          <cell r="K9">
            <v>758</v>
          </cell>
          <cell r="L9">
            <v>0</v>
          </cell>
          <cell r="M9">
            <v>0</v>
          </cell>
        </row>
        <row r="10">
          <cell r="A10" t="str">
            <v>SCF-B01-004</v>
          </cell>
          <cell r="B10">
            <v>257</v>
          </cell>
          <cell r="C10">
            <v>0</v>
          </cell>
          <cell r="D10">
            <v>0</v>
          </cell>
          <cell r="E10">
            <v>836</v>
          </cell>
          <cell r="F10">
            <v>2</v>
          </cell>
          <cell r="G10">
            <v>0.27</v>
          </cell>
          <cell r="H10">
            <v>447</v>
          </cell>
          <cell r="I10">
            <v>1</v>
          </cell>
          <cell r="J10">
            <v>0.36</v>
          </cell>
          <cell r="K10">
            <v>414</v>
          </cell>
          <cell r="L10">
            <v>0</v>
          </cell>
          <cell r="M10">
            <v>0</v>
          </cell>
        </row>
        <row r="11">
          <cell r="A11" t="str">
            <v>TZ-IUYL240-ELPH-S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48</v>
          </cell>
          <cell r="I11">
            <v>0</v>
          </cell>
          <cell r="J11">
            <v>0</v>
          </cell>
          <cell r="K11">
            <v>2324</v>
          </cell>
          <cell r="L11">
            <v>17</v>
          </cell>
          <cell r="M11">
            <v>12.93</v>
          </cell>
        </row>
        <row r="12">
          <cell r="A12" t="str">
            <v>ST172-WR-XXL</v>
          </cell>
          <cell r="B12">
            <v>0</v>
          </cell>
          <cell r="C12">
            <v>0</v>
          </cell>
          <cell r="D12">
            <v>0</v>
          </cell>
          <cell r="E12">
            <v>20</v>
          </cell>
          <cell r="F12">
            <v>1</v>
          </cell>
          <cell r="G12">
            <v>0.28</v>
          </cell>
          <cell r="H12">
            <v>75</v>
          </cell>
          <cell r="I12">
            <v>0</v>
          </cell>
          <cell r="J12">
            <v>0</v>
          </cell>
          <cell r="K12">
            <v>115</v>
          </cell>
          <cell r="L12">
            <v>1</v>
          </cell>
          <cell r="M12">
            <v>0.73</v>
          </cell>
        </row>
        <row r="13">
          <cell r="A13" t="str">
            <v>ST172-WT2-L</v>
          </cell>
          <cell r="B13">
            <v>0</v>
          </cell>
          <cell r="C13">
            <v>0</v>
          </cell>
          <cell r="D13">
            <v>0</v>
          </cell>
          <cell r="E13">
            <v>1469</v>
          </cell>
          <cell r="F13">
            <v>20</v>
          </cell>
          <cell r="G13">
            <v>14.07</v>
          </cell>
          <cell r="H13">
            <v>4450</v>
          </cell>
          <cell r="I13">
            <v>45</v>
          </cell>
          <cell r="J13">
            <v>30.1</v>
          </cell>
          <cell r="K13">
            <v>5058</v>
          </cell>
          <cell r="L13">
            <v>48</v>
          </cell>
          <cell r="M13">
            <v>29.81</v>
          </cell>
        </row>
        <row r="14">
          <cell r="A14" t="str">
            <v>ST172-BL-L</v>
          </cell>
          <cell r="B14">
            <v>246</v>
          </cell>
          <cell r="C14">
            <v>0</v>
          </cell>
          <cell r="D14">
            <v>0</v>
          </cell>
          <cell r="E14">
            <v>227</v>
          </cell>
          <cell r="F14">
            <v>0</v>
          </cell>
          <cell r="G14">
            <v>0</v>
          </cell>
          <cell r="H14">
            <v>148</v>
          </cell>
          <cell r="I14">
            <v>1</v>
          </cell>
          <cell r="J14">
            <v>0.23</v>
          </cell>
          <cell r="K14">
            <v>175</v>
          </cell>
          <cell r="L14">
            <v>0</v>
          </cell>
          <cell r="M14">
            <v>0</v>
          </cell>
        </row>
        <row r="15">
          <cell r="A15" t="str">
            <v>ST172-WR-L</v>
          </cell>
          <cell r="B15">
            <v>778</v>
          </cell>
          <cell r="C15">
            <v>2</v>
          </cell>
          <cell r="D15">
            <v>0.61</v>
          </cell>
          <cell r="E15">
            <v>971</v>
          </cell>
          <cell r="F15">
            <v>1</v>
          </cell>
          <cell r="G15">
            <v>0.35</v>
          </cell>
          <cell r="H15">
            <v>632</v>
          </cell>
          <cell r="I15">
            <v>3</v>
          </cell>
          <cell r="J15">
            <v>0.96</v>
          </cell>
          <cell r="K15">
            <v>680</v>
          </cell>
          <cell r="L15">
            <v>4</v>
          </cell>
          <cell r="M15">
            <v>1.24</v>
          </cell>
        </row>
        <row r="16">
          <cell r="A16" t="str">
            <v>ST172-WT2-M</v>
          </cell>
          <cell r="B16">
            <v>55</v>
          </cell>
          <cell r="C16">
            <v>0</v>
          </cell>
          <cell r="D16">
            <v>0</v>
          </cell>
          <cell r="E16">
            <v>197</v>
          </cell>
          <cell r="F16">
            <v>0</v>
          </cell>
          <cell r="G16">
            <v>0</v>
          </cell>
          <cell r="H16">
            <v>298</v>
          </cell>
          <cell r="I16">
            <v>0</v>
          </cell>
          <cell r="J16">
            <v>0</v>
          </cell>
          <cell r="K16">
            <v>778</v>
          </cell>
          <cell r="L16">
            <v>1</v>
          </cell>
          <cell r="M16">
            <v>0.22</v>
          </cell>
        </row>
        <row r="17">
          <cell r="A17" t="str">
            <v>AQD-IUYL330-BK</v>
          </cell>
          <cell r="B17">
            <v>118</v>
          </cell>
          <cell r="C17">
            <v>0</v>
          </cell>
          <cell r="D17">
            <v>0</v>
          </cell>
          <cell r="E17">
            <v>128</v>
          </cell>
          <cell r="F17">
            <v>0</v>
          </cell>
          <cell r="G17">
            <v>0</v>
          </cell>
          <cell r="H17">
            <v>186</v>
          </cell>
          <cell r="I17">
            <v>0</v>
          </cell>
          <cell r="J17">
            <v>0</v>
          </cell>
          <cell r="K17">
            <v>59</v>
          </cell>
          <cell r="L17">
            <v>0</v>
          </cell>
          <cell r="M17">
            <v>0</v>
          </cell>
        </row>
        <row r="18">
          <cell r="A18" t="str">
            <v>AQD-IUYL330-PP</v>
          </cell>
          <cell r="B18">
            <v>145</v>
          </cell>
          <cell r="C18">
            <v>2</v>
          </cell>
          <cell r="D18">
            <v>0.48</v>
          </cell>
          <cell r="E18">
            <v>270</v>
          </cell>
          <cell r="F18">
            <v>1</v>
          </cell>
          <cell r="G18">
            <v>0.29</v>
          </cell>
          <cell r="H18">
            <v>267</v>
          </cell>
          <cell r="I18">
            <v>1</v>
          </cell>
          <cell r="J18">
            <v>0.48</v>
          </cell>
          <cell r="K18">
            <v>91</v>
          </cell>
          <cell r="L18">
            <v>1</v>
          </cell>
          <cell r="M18">
            <v>0.17</v>
          </cell>
        </row>
        <row r="19">
          <cell r="A19" t="str">
            <v>AQD-IUYL330-RD</v>
          </cell>
          <cell r="B19">
            <v>90</v>
          </cell>
          <cell r="C19">
            <v>0</v>
          </cell>
          <cell r="D19">
            <v>0</v>
          </cell>
          <cell r="E19">
            <v>85</v>
          </cell>
          <cell r="F19">
            <v>0</v>
          </cell>
          <cell r="G19">
            <v>0</v>
          </cell>
          <cell r="H19">
            <v>132</v>
          </cell>
          <cell r="I19">
            <v>0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A20" t="str">
            <v>AQD-IUYL330-YL</v>
          </cell>
          <cell r="B20">
            <v>91</v>
          </cell>
          <cell r="C20">
            <v>0</v>
          </cell>
          <cell r="D20">
            <v>0</v>
          </cell>
          <cell r="E20">
            <v>117</v>
          </cell>
          <cell r="F20">
            <v>0</v>
          </cell>
          <cell r="G20">
            <v>0</v>
          </cell>
          <cell r="H20">
            <v>166</v>
          </cell>
          <cell r="I20">
            <v>0</v>
          </cell>
          <cell r="J20">
            <v>0</v>
          </cell>
          <cell r="K20">
            <v>22</v>
          </cell>
          <cell r="L20">
            <v>0</v>
          </cell>
          <cell r="M20">
            <v>0</v>
          </cell>
        </row>
        <row r="21">
          <cell r="A21" t="str">
            <v>SCF-C01-007</v>
          </cell>
          <cell r="B21">
            <v>0</v>
          </cell>
          <cell r="C21">
            <v>0</v>
          </cell>
          <cell r="D21">
            <v>0</v>
          </cell>
          <cell r="E21">
            <v>818</v>
          </cell>
          <cell r="F21">
            <v>1</v>
          </cell>
          <cell r="G21">
            <v>0.21</v>
          </cell>
          <cell r="H21">
            <v>689</v>
          </cell>
          <cell r="I21">
            <v>1</v>
          </cell>
          <cell r="J21">
            <v>0.61</v>
          </cell>
          <cell r="K21">
            <v>729</v>
          </cell>
          <cell r="L21">
            <v>1</v>
          </cell>
          <cell r="M21">
            <v>0.33</v>
          </cell>
        </row>
        <row r="22">
          <cell r="A22" t="str">
            <v>LGQ-IUYL100-BL</v>
          </cell>
          <cell r="B22">
            <v>45</v>
          </cell>
          <cell r="C22">
            <v>0</v>
          </cell>
          <cell r="D22">
            <v>0</v>
          </cell>
          <cell r="E22">
            <v>188</v>
          </cell>
          <cell r="F22">
            <v>0</v>
          </cell>
          <cell r="G22">
            <v>0</v>
          </cell>
          <cell r="H22">
            <v>492</v>
          </cell>
          <cell r="I22">
            <v>1</v>
          </cell>
          <cell r="J22">
            <v>0.58</v>
          </cell>
          <cell r="K22">
            <v>699</v>
          </cell>
          <cell r="L22">
            <v>3</v>
          </cell>
          <cell r="M22">
            <v>1.66</v>
          </cell>
        </row>
        <row r="23">
          <cell r="A23" t="str">
            <v>XQ-IUYL260-RD-S</v>
          </cell>
          <cell r="B23">
            <v>4628</v>
          </cell>
          <cell r="C23">
            <v>25</v>
          </cell>
          <cell r="D23">
            <v>12.16</v>
          </cell>
          <cell r="E23">
            <v>2090</v>
          </cell>
          <cell r="F23">
            <v>23</v>
          </cell>
          <cell r="G23">
            <v>12.37</v>
          </cell>
          <cell r="H23">
            <v>1661</v>
          </cell>
          <cell r="I23">
            <v>15</v>
          </cell>
          <cell r="J23">
            <v>7.38</v>
          </cell>
          <cell r="K23">
            <v>11686</v>
          </cell>
          <cell r="L23">
            <v>27</v>
          </cell>
          <cell r="M23">
            <v>15.1</v>
          </cell>
        </row>
        <row r="24">
          <cell r="A24" t="str">
            <v>XQ-IUYL260-PK-M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7479</v>
          </cell>
          <cell r="L24">
            <v>18</v>
          </cell>
          <cell r="M24">
            <v>10.11</v>
          </cell>
        </row>
        <row r="25">
          <cell r="A25" t="str">
            <v>LGQ-IUYL100-RD</v>
          </cell>
          <cell r="B25">
            <v>24200</v>
          </cell>
          <cell r="C25">
            <v>22</v>
          </cell>
          <cell r="D25">
            <v>16.07</v>
          </cell>
          <cell r="E25">
            <v>1931</v>
          </cell>
          <cell r="F25">
            <v>10</v>
          </cell>
          <cell r="G25">
            <v>6.94</v>
          </cell>
          <cell r="H25">
            <v>0</v>
          </cell>
          <cell r="I25">
            <v>0</v>
          </cell>
          <cell r="J25">
            <v>0</v>
          </cell>
          <cell r="K25">
            <v>302</v>
          </cell>
          <cell r="L25">
            <v>5</v>
          </cell>
          <cell r="M25">
            <v>3.2</v>
          </cell>
        </row>
        <row r="26">
          <cell r="A26" t="str">
            <v>SCF-B01-020</v>
          </cell>
          <cell r="B26">
            <v>148</v>
          </cell>
          <cell r="C26">
            <v>1</v>
          </cell>
          <cell r="D26">
            <v>0.5</v>
          </cell>
          <cell r="E26">
            <v>671</v>
          </cell>
          <cell r="F26">
            <v>0</v>
          </cell>
          <cell r="G26">
            <v>0</v>
          </cell>
          <cell r="H26">
            <v>50</v>
          </cell>
          <cell r="I26">
            <v>0</v>
          </cell>
          <cell r="J26">
            <v>0</v>
          </cell>
          <cell r="K26">
            <v>169</v>
          </cell>
          <cell r="L26">
            <v>2</v>
          </cell>
          <cell r="M26">
            <v>0.5</v>
          </cell>
        </row>
        <row r="27">
          <cell r="A27" t="str">
            <v>SCF-C01-012</v>
          </cell>
          <cell r="B27">
            <v>1085</v>
          </cell>
          <cell r="C27">
            <v>3</v>
          </cell>
          <cell r="D27">
            <v>0.82</v>
          </cell>
          <cell r="E27">
            <v>1223</v>
          </cell>
          <cell r="F27">
            <v>0</v>
          </cell>
          <cell r="G27">
            <v>0</v>
          </cell>
          <cell r="H27">
            <v>369</v>
          </cell>
          <cell r="I27">
            <v>1</v>
          </cell>
          <cell r="J27">
            <v>0.28</v>
          </cell>
          <cell r="K27">
            <v>619</v>
          </cell>
          <cell r="L27">
            <v>3</v>
          </cell>
          <cell r="M27">
            <v>0.83</v>
          </cell>
        </row>
        <row r="28">
          <cell r="A28" t="str">
            <v>SCF-B01-011</v>
          </cell>
          <cell r="B28">
            <v>119</v>
          </cell>
          <cell r="C28">
            <v>0</v>
          </cell>
          <cell r="D28">
            <v>0</v>
          </cell>
          <cell r="E28">
            <v>448</v>
          </cell>
          <cell r="F28">
            <v>0</v>
          </cell>
          <cell r="G28">
            <v>0</v>
          </cell>
          <cell r="H28">
            <v>51</v>
          </cell>
          <cell r="I28">
            <v>0</v>
          </cell>
          <cell r="J28">
            <v>0</v>
          </cell>
          <cell r="K28">
            <v>90</v>
          </cell>
          <cell r="L28">
            <v>1</v>
          </cell>
          <cell r="M28">
            <v>0.04</v>
          </cell>
        </row>
        <row r="29">
          <cell r="A29" t="str">
            <v>BBBD-BUSB1605B-BL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4750</v>
          </cell>
          <cell r="L29">
            <v>17</v>
          </cell>
          <cell r="M29">
            <v>10.71</v>
          </cell>
        </row>
        <row r="30">
          <cell r="A30" t="str">
            <v>TZ-IUYL240-BONE-S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ST173-BL-XXL</v>
          </cell>
          <cell r="B31">
            <v>394</v>
          </cell>
          <cell r="C31">
            <v>7</v>
          </cell>
          <cell r="D31">
            <v>4.58</v>
          </cell>
          <cell r="E31">
            <v>1111</v>
          </cell>
          <cell r="F31">
            <v>23</v>
          </cell>
          <cell r="G31">
            <v>14.64</v>
          </cell>
          <cell r="H31">
            <v>27</v>
          </cell>
          <cell r="I31">
            <v>3</v>
          </cell>
          <cell r="J31">
            <v>0.99</v>
          </cell>
          <cell r="K31">
            <v>30</v>
          </cell>
          <cell r="L31">
            <v>0</v>
          </cell>
          <cell r="M31">
            <v>0</v>
          </cell>
        </row>
        <row r="32">
          <cell r="A32" t="str">
            <v>ST173-NY-S</v>
          </cell>
          <cell r="B32">
            <v>0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308</v>
          </cell>
          <cell r="I32">
            <v>14</v>
          </cell>
          <cell r="J32">
            <v>8.61</v>
          </cell>
          <cell r="K32">
            <v>249</v>
          </cell>
          <cell r="L32">
            <v>15</v>
          </cell>
          <cell r="M32">
            <v>9.08</v>
          </cell>
        </row>
        <row r="33">
          <cell r="A33" t="str">
            <v>ST173-WT1-S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  <cell r="F33">
            <v>0</v>
          </cell>
          <cell r="G33">
            <v>0</v>
          </cell>
          <cell r="H33">
            <v>199</v>
          </cell>
          <cell r="I33">
            <v>10</v>
          </cell>
          <cell r="J33">
            <v>5.3</v>
          </cell>
          <cell r="K33">
            <v>431</v>
          </cell>
          <cell r="L33">
            <v>9</v>
          </cell>
          <cell r="M33">
            <v>6.92</v>
          </cell>
        </row>
        <row r="34">
          <cell r="A34" t="str">
            <v>SCF-B01-005</v>
          </cell>
          <cell r="B34">
            <v>0</v>
          </cell>
          <cell r="C34">
            <v>0</v>
          </cell>
          <cell r="D34">
            <v>0</v>
          </cell>
          <cell r="E34">
            <v>61</v>
          </cell>
          <cell r="F34">
            <v>0</v>
          </cell>
          <cell r="G34">
            <v>0</v>
          </cell>
          <cell r="H34">
            <v>32422</v>
          </cell>
          <cell r="I34">
            <v>42</v>
          </cell>
          <cell r="J34">
            <v>23.12</v>
          </cell>
          <cell r="K34">
            <v>9426</v>
          </cell>
          <cell r="L34">
            <v>39</v>
          </cell>
          <cell r="M34">
            <v>19.76</v>
          </cell>
        </row>
        <row r="35">
          <cell r="A35" t="str">
            <v>SCF-B01-008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64</v>
          </cell>
          <cell r="L35">
            <v>1</v>
          </cell>
          <cell r="M35">
            <v>0.55</v>
          </cell>
        </row>
        <row r="36">
          <cell r="A36" t="str">
            <v>SCF-B01-009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949</v>
          </cell>
          <cell r="L36">
            <v>6</v>
          </cell>
          <cell r="M36">
            <v>3.5</v>
          </cell>
        </row>
        <row r="37">
          <cell r="A37" t="str">
            <v>TZ-IUYL240-DOT2-S</v>
          </cell>
          <cell r="B37">
            <v>0</v>
          </cell>
          <cell r="C37">
            <v>0</v>
          </cell>
          <cell r="D37">
            <v>0</v>
          </cell>
          <cell r="E37">
            <v>4651</v>
          </cell>
          <cell r="F37">
            <v>37</v>
          </cell>
          <cell r="G37">
            <v>31.19</v>
          </cell>
          <cell r="H37">
            <v>15652</v>
          </cell>
          <cell r="I37">
            <v>117</v>
          </cell>
          <cell r="J37">
            <v>83.93</v>
          </cell>
          <cell r="K37">
            <v>2766</v>
          </cell>
          <cell r="L37">
            <v>52</v>
          </cell>
          <cell r="M37">
            <v>41.08</v>
          </cell>
        </row>
        <row r="38">
          <cell r="A38" t="str">
            <v>TZ-IUYL240-RABBIT-S</v>
          </cell>
          <cell r="B38">
            <v>0</v>
          </cell>
          <cell r="C38">
            <v>0</v>
          </cell>
          <cell r="D38">
            <v>0</v>
          </cell>
          <cell r="E38">
            <v>335</v>
          </cell>
          <cell r="F38">
            <v>7</v>
          </cell>
          <cell r="G38">
            <v>6.25</v>
          </cell>
          <cell r="H38">
            <v>1444</v>
          </cell>
          <cell r="I38">
            <v>15</v>
          </cell>
          <cell r="J38">
            <v>10.83</v>
          </cell>
          <cell r="K38">
            <v>5033</v>
          </cell>
          <cell r="L38">
            <v>46</v>
          </cell>
          <cell r="M38">
            <v>34.49</v>
          </cell>
        </row>
        <row r="39">
          <cell r="A39" t="str">
            <v>TZ-IUYL240-BEAR-S</v>
          </cell>
          <cell r="B39">
            <v>0</v>
          </cell>
          <cell r="C39">
            <v>0</v>
          </cell>
          <cell r="D39">
            <v>0</v>
          </cell>
          <cell r="E39">
            <v>2534</v>
          </cell>
          <cell r="F39">
            <v>40</v>
          </cell>
          <cell r="G39">
            <v>35.1</v>
          </cell>
          <cell r="H39">
            <v>9092</v>
          </cell>
          <cell r="I39">
            <v>97</v>
          </cell>
          <cell r="J39">
            <v>80.46</v>
          </cell>
          <cell r="K39">
            <v>1976</v>
          </cell>
          <cell r="L39">
            <v>37</v>
          </cell>
          <cell r="M39">
            <v>30.57</v>
          </cell>
        </row>
        <row r="40">
          <cell r="A40" t="str">
            <v>TZ-IUYL240LHY-ELPH-S</v>
          </cell>
          <cell r="B40">
            <v>93339</v>
          </cell>
          <cell r="C40">
            <v>596</v>
          </cell>
          <cell r="D40">
            <v>433.06</v>
          </cell>
          <cell r="E40">
            <v>46539</v>
          </cell>
          <cell r="F40">
            <v>342</v>
          </cell>
          <cell r="G40">
            <v>264.91</v>
          </cell>
          <cell r="H40">
            <v>34045</v>
          </cell>
          <cell r="I40">
            <v>310</v>
          </cell>
          <cell r="J40">
            <v>198.67</v>
          </cell>
          <cell r="K40">
            <v>57440</v>
          </cell>
          <cell r="L40">
            <v>458</v>
          </cell>
          <cell r="M40">
            <v>320.87</v>
          </cell>
        </row>
        <row r="41">
          <cell r="A41" t="str">
            <v>TZ-IUYL240LHY-DOT-S</v>
          </cell>
          <cell r="B41">
            <v>1362</v>
          </cell>
          <cell r="C41">
            <v>15</v>
          </cell>
          <cell r="D41">
            <v>9.39</v>
          </cell>
          <cell r="E41">
            <v>1011</v>
          </cell>
          <cell r="F41">
            <v>9</v>
          </cell>
          <cell r="G41">
            <v>4.76</v>
          </cell>
          <cell r="H41">
            <v>0</v>
          </cell>
          <cell r="I41">
            <v>0</v>
          </cell>
          <cell r="J41">
            <v>0</v>
          </cell>
          <cell r="K41">
            <v>327</v>
          </cell>
          <cell r="L41">
            <v>3</v>
          </cell>
          <cell r="M41">
            <v>1.19</v>
          </cell>
        </row>
        <row r="42">
          <cell r="A42" t="str">
            <v>BD-LUHM010</v>
          </cell>
          <cell r="B42">
            <v>4858</v>
          </cell>
          <cell r="C42">
            <v>15</v>
          </cell>
          <cell r="D42">
            <v>15.28</v>
          </cell>
          <cell r="E42">
            <v>1277</v>
          </cell>
          <cell r="F42">
            <v>0</v>
          </cell>
          <cell r="G42">
            <v>0</v>
          </cell>
          <cell r="H42">
            <v>9960</v>
          </cell>
          <cell r="I42">
            <v>19</v>
          </cell>
          <cell r="J42">
            <v>8.82</v>
          </cell>
          <cell r="K42">
            <v>21294</v>
          </cell>
          <cell r="L42">
            <v>48</v>
          </cell>
          <cell r="M42">
            <v>22.13</v>
          </cell>
        </row>
        <row r="43">
          <cell r="A43" t="str">
            <v>SCF-A01-009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177</v>
          </cell>
          <cell r="L43">
            <v>2</v>
          </cell>
          <cell r="M43">
            <v>0.82</v>
          </cell>
        </row>
        <row r="44">
          <cell r="A44" t="str">
            <v>SCF-A01-010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72</v>
          </cell>
          <cell r="L44">
            <v>1</v>
          </cell>
          <cell r="M44">
            <v>0.34</v>
          </cell>
        </row>
        <row r="45">
          <cell r="A45" t="str">
            <v>SCF-A01-011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87</v>
          </cell>
          <cell r="L45">
            <v>0</v>
          </cell>
          <cell r="M45">
            <v>0</v>
          </cell>
        </row>
        <row r="46">
          <cell r="A46" t="str">
            <v>SCF-A01-012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1004</v>
          </cell>
          <cell r="L46">
            <v>2</v>
          </cell>
          <cell r="M46">
            <v>0.86</v>
          </cell>
        </row>
        <row r="47">
          <cell r="A47" t="str">
            <v>SCF-A01-013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7790</v>
          </cell>
          <cell r="L47">
            <v>12</v>
          </cell>
          <cell r="M47">
            <v>5.78</v>
          </cell>
        </row>
        <row r="48">
          <cell r="A48" t="str">
            <v>SCF-B01-001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2605</v>
          </cell>
          <cell r="L48">
            <v>7</v>
          </cell>
          <cell r="M48">
            <v>3.14</v>
          </cell>
        </row>
        <row r="49">
          <cell r="A49" t="str">
            <v>SCF-B01-002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32</v>
          </cell>
          <cell r="L49">
            <v>0</v>
          </cell>
          <cell r="M49">
            <v>0</v>
          </cell>
        </row>
        <row r="50">
          <cell r="A50" t="str">
            <v>SCF-B01-003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721</v>
          </cell>
          <cell r="L50">
            <v>0</v>
          </cell>
          <cell r="M50">
            <v>0</v>
          </cell>
        </row>
        <row r="51">
          <cell r="A51" t="str">
            <v>SCF-B01-006</v>
          </cell>
          <cell r="B51">
            <v>0</v>
          </cell>
          <cell r="C51">
            <v>0</v>
          </cell>
          <cell r="D51">
            <v>0</v>
          </cell>
          <cell r="E51">
            <v>83</v>
          </cell>
          <cell r="F51">
            <v>0</v>
          </cell>
          <cell r="G51">
            <v>0</v>
          </cell>
          <cell r="H51">
            <v>40552</v>
          </cell>
          <cell r="I51">
            <v>85</v>
          </cell>
          <cell r="J51">
            <v>40.05</v>
          </cell>
          <cell r="K51">
            <v>6059</v>
          </cell>
          <cell r="L51">
            <v>30</v>
          </cell>
          <cell r="M51">
            <v>16.54</v>
          </cell>
        </row>
        <row r="52">
          <cell r="A52" t="str">
            <v>SCF-B01-007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12</v>
          </cell>
          <cell r="L52">
            <v>0</v>
          </cell>
          <cell r="M52">
            <v>0</v>
          </cell>
        </row>
        <row r="53">
          <cell r="A53" t="str">
            <v>SCF-B01-012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499</v>
          </cell>
          <cell r="L53">
            <v>2</v>
          </cell>
          <cell r="M53">
            <v>1.29</v>
          </cell>
        </row>
        <row r="54">
          <cell r="A54" t="str">
            <v>SCF-B01-013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24</v>
          </cell>
          <cell r="L54">
            <v>0</v>
          </cell>
          <cell r="M54">
            <v>0</v>
          </cell>
        </row>
        <row r="55">
          <cell r="A55" t="str">
            <v>SCF-B01-014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85</v>
          </cell>
          <cell r="L55">
            <v>1</v>
          </cell>
          <cell r="M55">
            <v>0.55</v>
          </cell>
        </row>
        <row r="56">
          <cell r="A56" t="str">
            <v>SCF-B01-015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145</v>
          </cell>
          <cell r="L56">
            <v>0</v>
          </cell>
          <cell r="M56">
            <v>0</v>
          </cell>
        </row>
        <row r="57">
          <cell r="A57" t="str">
            <v>SCF-B01-016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32</v>
          </cell>
          <cell r="L57">
            <v>0</v>
          </cell>
          <cell r="M57">
            <v>0</v>
          </cell>
        </row>
        <row r="58">
          <cell r="A58" t="str">
            <v>SCF-B01-017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36</v>
          </cell>
          <cell r="L58">
            <v>0</v>
          </cell>
          <cell r="M58">
            <v>0</v>
          </cell>
        </row>
        <row r="59">
          <cell r="A59" t="str">
            <v>SCF-B01-018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142</v>
          </cell>
          <cell r="L59">
            <v>0</v>
          </cell>
          <cell r="M59">
            <v>0</v>
          </cell>
        </row>
        <row r="60">
          <cell r="A60" t="str">
            <v>SCF-B01-019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38</v>
          </cell>
          <cell r="L60">
            <v>0</v>
          </cell>
          <cell r="M60">
            <v>0</v>
          </cell>
        </row>
        <row r="61">
          <cell r="A61" t="str">
            <v>SCF-B01-021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205</v>
          </cell>
          <cell r="L61">
            <v>1</v>
          </cell>
          <cell r="M61">
            <v>0.52</v>
          </cell>
        </row>
        <row r="62">
          <cell r="A62" t="str">
            <v>SCF-B01-022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37</v>
          </cell>
          <cell r="L62">
            <v>0</v>
          </cell>
          <cell r="M62">
            <v>0</v>
          </cell>
        </row>
        <row r="63">
          <cell r="A63" t="str">
            <v>SCF-C01-005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371</v>
          </cell>
          <cell r="L63">
            <v>1</v>
          </cell>
          <cell r="M63">
            <v>0.73</v>
          </cell>
        </row>
        <row r="64">
          <cell r="A64" t="str">
            <v>SCF-C01-008</v>
          </cell>
          <cell r="B64">
            <v>0</v>
          </cell>
          <cell r="C64">
            <v>0</v>
          </cell>
          <cell r="D64">
            <v>0</v>
          </cell>
          <cell r="E64">
            <v>22052</v>
          </cell>
          <cell r="F64">
            <v>30</v>
          </cell>
          <cell r="G64">
            <v>17.95</v>
          </cell>
          <cell r="H64">
            <v>0</v>
          </cell>
          <cell r="I64">
            <v>0</v>
          </cell>
          <cell r="J64">
            <v>0</v>
          </cell>
          <cell r="K64">
            <v>106</v>
          </cell>
          <cell r="L64">
            <v>0</v>
          </cell>
          <cell r="M64">
            <v>0</v>
          </cell>
        </row>
        <row r="65">
          <cell r="A65" t="str">
            <v>SCF-C01-009</v>
          </cell>
          <cell r="B65">
            <v>0</v>
          </cell>
          <cell r="C65">
            <v>0</v>
          </cell>
          <cell r="D65">
            <v>0</v>
          </cell>
          <cell r="E65">
            <v>9112</v>
          </cell>
          <cell r="F65">
            <v>11</v>
          </cell>
          <cell r="G65">
            <v>5.21</v>
          </cell>
          <cell r="H65">
            <v>0</v>
          </cell>
          <cell r="I65">
            <v>0</v>
          </cell>
          <cell r="J65">
            <v>0</v>
          </cell>
          <cell r="K65">
            <v>38</v>
          </cell>
          <cell r="L65">
            <v>1</v>
          </cell>
          <cell r="M65">
            <v>0.7</v>
          </cell>
        </row>
        <row r="66">
          <cell r="A66" t="str">
            <v>SCF-C01-010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</v>
          </cell>
          <cell r="L66">
            <v>0</v>
          </cell>
          <cell r="M66">
            <v>0</v>
          </cell>
        </row>
        <row r="67">
          <cell r="A67" t="str">
            <v>SCF-C01-011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56</v>
          </cell>
          <cell r="L67">
            <v>1</v>
          </cell>
          <cell r="M67">
            <v>0.55</v>
          </cell>
        </row>
        <row r="68">
          <cell r="A68" t="str">
            <v>SCF-C01-013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73</v>
          </cell>
          <cell r="L68">
            <v>0</v>
          </cell>
          <cell r="M68">
            <v>0</v>
          </cell>
        </row>
        <row r="69">
          <cell r="A69" t="str">
            <v>SCF-C01-014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188</v>
          </cell>
          <cell r="L69">
            <v>0</v>
          </cell>
          <cell r="M69">
            <v>0</v>
          </cell>
        </row>
        <row r="70">
          <cell r="A70" t="str">
            <v>SCF-C01-016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367</v>
          </cell>
          <cell r="L70">
            <v>1</v>
          </cell>
          <cell r="M70">
            <v>0.31</v>
          </cell>
        </row>
        <row r="71">
          <cell r="A71" t="str">
            <v>SCF-C01-017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456</v>
          </cell>
          <cell r="L71">
            <v>2</v>
          </cell>
          <cell r="M71">
            <v>0.89</v>
          </cell>
        </row>
        <row r="72">
          <cell r="A72" t="str">
            <v>SCF-C01-018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33</v>
          </cell>
          <cell r="L72">
            <v>0</v>
          </cell>
          <cell r="M72">
            <v>0</v>
          </cell>
        </row>
        <row r="73">
          <cell r="A73" t="str">
            <v>SCF-C01-019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278</v>
          </cell>
          <cell r="L73">
            <v>0</v>
          </cell>
          <cell r="M73">
            <v>0</v>
          </cell>
        </row>
        <row r="74">
          <cell r="A74" t="str">
            <v>SCF-D01-004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265</v>
          </cell>
          <cell r="L74">
            <v>2</v>
          </cell>
          <cell r="M74">
            <v>1.07</v>
          </cell>
        </row>
        <row r="75">
          <cell r="A75" t="str">
            <v>SCF-D01-006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135</v>
          </cell>
          <cell r="L75">
            <v>0</v>
          </cell>
          <cell r="M75">
            <v>0</v>
          </cell>
        </row>
        <row r="76">
          <cell r="A76" t="str">
            <v>SCF-D01-007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125</v>
          </cell>
          <cell r="L76">
            <v>0</v>
          </cell>
          <cell r="M76">
            <v>0</v>
          </cell>
        </row>
        <row r="77">
          <cell r="A77" t="str">
            <v>SCF-D01-009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99</v>
          </cell>
          <cell r="L77">
            <v>0</v>
          </cell>
          <cell r="M77">
            <v>0</v>
          </cell>
        </row>
        <row r="78">
          <cell r="A78" t="str">
            <v>SCF-D01-012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2523</v>
          </cell>
          <cell r="L78">
            <v>7</v>
          </cell>
          <cell r="M78">
            <v>4.22</v>
          </cell>
        </row>
        <row r="79">
          <cell r="A79" t="str">
            <v>SCF-D01-015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104</v>
          </cell>
          <cell r="L79">
            <v>2</v>
          </cell>
          <cell r="M79">
            <v>1.1</v>
          </cell>
        </row>
        <row r="80">
          <cell r="A80" t="str">
            <v>SCF-D01-017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826</v>
          </cell>
          <cell r="L80">
            <v>3</v>
          </cell>
          <cell r="M80">
            <v>1.76</v>
          </cell>
        </row>
        <row r="81">
          <cell r="A81" t="str">
            <v>BBBD-BUSB1605B-RD</v>
          </cell>
          <cell r="B81">
            <v>1977</v>
          </cell>
          <cell r="C81">
            <v>7</v>
          </cell>
          <cell r="D81">
            <v>2.2</v>
          </cell>
          <cell r="E81">
            <v>29825</v>
          </cell>
          <cell r="F81">
            <v>63</v>
          </cell>
          <cell r="G81">
            <v>31.19</v>
          </cell>
          <cell r="H81">
            <v>32643</v>
          </cell>
          <cell r="I81">
            <v>79</v>
          </cell>
          <cell r="J81">
            <v>39.04</v>
          </cell>
          <cell r="K81">
            <v>12360</v>
          </cell>
          <cell r="L81">
            <v>35</v>
          </cell>
          <cell r="M81">
            <v>16.87</v>
          </cell>
        </row>
        <row r="82">
          <cell r="A82" t="str">
            <v>LGQ-IUYL100-PK</v>
          </cell>
          <cell r="B82">
            <v>1511</v>
          </cell>
          <cell r="C82">
            <v>0</v>
          </cell>
          <cell r="D82">
            <v>0</v>
          </cell>
          <cell r="E82">
            <v>558</v>
          </cell>
          <cell r="F82">
            <v>1</v>
          </cell>
          <cell r="G82">
            <v>0.36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TZ-IUYL240-STRAWBERRY-S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GW-LULHY-6.2</v>
          </cell>
          <cell r="B84">
            <v>169</v>
          </cell>
          <cell r="C84">
            <v>2</v>
          </cell>
          <cell r="D84">
            <v>0.69</v>
          </cell>
          <cell r="E84">
            <v>200</v>
          </cell>
          <cell r="F84">
            <v>0</v>
          </cell>
          <cell r="G84">
            <v>0</v>
          </cell>
          <cell r="H84">
            <v>324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TZ-IUYL240-RABBIT-M</v>
          </cell>
          <cell r="B85">
            <v>0</v>
          </cell>
          <cell r="C85">
            <v>0</v>
          </cell>
          <cell r="D85">
            <v>0</v>
          </cell>
          <cell r="E85">
            <v>139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scarf-0001-Peony</v>
          </cell>
          <cell r="B86">
            <v>79</v>
          </cell>
          <cell r="C86">
            <v>2</v>
          </cell>
          <cell r="D86">
            <v>0.17</v>
          </cell>
          <cell r="E86">
            <v>12063</v>
          </cell>
          <cell r="F86">
            <v>13</v>
          </cell>
          <cell r="G86">
            <v>7.95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BBBD-1605A-BL</v>
          </cell>
          <cell r="B87">
            <v>12559</v>
          </cell>
          <cell r="C87">
            <v>44</v>
          </cell>
          <cell r="D87">
            <v>19.34</v>
          </cell>
          <cell r="E87">
            <v>4367</v>
          </cell>
          <cell r="F87">
            <v>12</v>
          </cell>
          <cell r="G87">
            <v>5.61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TZ-IUYL240LHY-PAW-M</v>
          </cell>
          <cell r="B88">
            <v>509</v>
          </cell>
          <cell r="C88">
            <v>6</v>
          </cell>
          <cell r="D88">
            <v>5.19</v>
          </cell>
          <cell r="E88">
            <v>997</v>
          </cell>
          <cell r="F88">
            <v>19</v>
          </cell>
          <cell r="G88">
            <v>16.78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BBBD-1605A-RD</v>
          </cell>
          <cell r="B89">
            <v>1236</v>
          </cell>
          <cell r="C89">
            <v>4</v>
          </cell>
          <cell r="D89">
            <v>1.74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TZ-IUYL240LHY-PAW-S</v>
          </cell>
          <cell r="B90">
            <v>1279</v>
          </cell>
          <cell r="C90">
            <v>14</v>
          </cell>
          <cell r="D90">
            <v>9.66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BBBD-BUSB1605B-PK</v>
          </cell>
          <cell r="B91">
            <v>3078</v>
          </cell>
          <cell r="C91">
            <v>10</v>
          </cell>
          <cell r="D91">
            <v>5.18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B074SZCXH9</v>
          </cell>
          <cell r="B2">
            <v>1</v>
          </cell>
          <cell r="C2">
            <v>3</v>
          </cell>
          <cell r="D2">
            <v>0</v>
          </cell>
          <cell r="E2">
            <v>2</v>
          </cell>
        </row>
        <row r="3">
          <cell r="A3" t="str">
            <v>B079HQW62H</v>
          </cell>
          <cell r="B3">
            <v>83</v>
          </cell>
          <cell r="C3">
            <v>65</v>
          </cell>
          <cell r="D3">
            <v>47</v>
          </cell>
          <cell r="E3">
            <v>73</v>
          </cell>
        </row>
        <row r="4">
          <cell r="A4" t="str">
            <v>B07CBPJCK5</v>
          </cell>
          <cell r="B4">
            <v>45</v>
          </cell>
          <cell r="C4">
            <v>59</v>
          </cell>
          <cell r="D4">
            <v>89</v>
          </cell>
          <cell r="E4">
            <v>45</v>
          </cell>
        </row>
        <row r="5">
          <cell r="A5" t="str">
            <v>B019V6P53K</v>
          </cell>
          <cell r="B5">
            <v>7</v>
          </cell>
          <cell r="C5">
            <v>11</v>
          </cell>
          <cell r="D5">
            <v>14</v>
          </cell>
          <cell r="E5">
            <v>6</v>
          </cell>
        </row>
        <row r="6">
          <cell r="A6" t="str">
            <v>B019V6RKPQ</v>
          </cell>
          <cell r="B6">
            <v>5</v>
          </cell>
          <cell r="C6">
            <v>2</v>
          </cell>
          <cell r="D6">
            <v>3</v>
          </cell>
          <cell r="E6">
            <v>1</v>
          </cell>
        </row>
        <row r="7">
          <cell r="A7" t="str">
            <v>B01M3R3CVA</v>
          </cell>
          <cell r="B7">
            <v>7</v>
          </cell>
          <cell r="C7">
            <v>6</v>
          </cell>
          <cell r="D7">
            <v>5</v>
          </cell>
          <cell r="E7">
            <v>2</v>
          </cell>
        </row>
        <row r="8">
          <cell r="A8" t="str">
            <v>B06XYZF3QP</v>
          </cell>
          <cell r="B8">
            <v>24</v>
          </cell>
          <cell r="C8">
            <v>27</v>
          </cell>
          <cell r="D8">
            <v>14</v>
          </cell>
          <cell r="E8">
            <v>17</v>
          </cell>
        </row>
        <row r="9">
          <cell r="A9" t="str">
            <v>B07173Q2FN</v>
          </cell>
          <cell r="B9">
            <v>5</v>
          </cell>
          <cell r="C9">
            <v>8</v>
          </cell>
          <cell r="D9">
            <v>3</v>
          </cell>
          <cell r="E9">
            <v>1</v>
          </cell>
        </row>
        <row r="10">
          <cell r="A10" t="str">
            <v>B071JY11V7</v>
          </cell>
          <cell r="B10">
            <v>12</v>
          </cell>
          <cell r="C10">
            <v>2</v>
          </cell>
          <cell r="D10">
            <v>5</v>
          </cell>
          <cell r="E10">
            <v>9</v>
          </cell>
        </row>
        <row r="11">
          <cell r="A11" t="str">
            <v>B0721B4X7S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</row>
        <row r="12">
          <cell r="A12" t="str">
            <v>B073GXT1YF</v>
          </cell>
          <cell r="B12">
            <v>2</v>
          </cell>
          <cell r="C12">
            <v>6</v>
          </cell>
          <cell r="D12">
            <v>3</v>
          </cell>
          <cell r="E12">
            <v>3</v>
          </cell>
        </row>
        <row r="13">
          <cell r="A13" t="str">
            <v>B073GY4FL6</v>
          </cell>
          <cell r="B13">
            <v>3</v>
          </cell>
          <cell r="C13">
            <v>4</v>
          </cell>
          <cell r="D13">
            <v>1</v>
          </cell>
          <cell r="E13">
            <v>1</v>
          </cell>
        </row>
        <row r="14">
          <cell r="A14" t="str">
            <v>B073PPFLNM</v>
          </cell>
          <cell r="B14">
            <v>3</v>
          </cell>
          <cell r="C14">
            <v>5</v>
          </cell>
          <cell r="D14">
            <v>10</v>
          </cell>
          <cell r="E14">
            <v>5</v>
          </cell>
        </row>
        <row r="15">
          <cell r="A15" t="str">
            <v>B073PPS7FM</v>
          </cell>
          <cell r="B15">
            <v>16</v>
          </cell>
          <cell r="C15">
            <v>0</v>
          </cell>
          <cell r="D15">
            <v>62</v>
          </cell>
          <cell r="E15">
            <v>82</v>
          </cell>
        </row>
        <row r="16">
          <cell r="A16" t="str">
            <v>B073PPSG6W</v>
          </cell>
          <cell r="B16">
            <v>0</v>
          </cell>
          <cell r="C16">
            <v>19</v>
          </cell>
          <cell r="D16">
            <v>28</v>
          </cell>
          <cell r="E16">
            <v>18</v>
          </cell>
        </row>
        <row r="17">
          <cell r="A17" t="str">
            <v>B073PQ6BZ4</v>
          </cell>
          <cell r="B17">
            <v>10</v>
          </cell>
          <cell r="C17">
            <v>7</v>
          </cell>
          <cell r="D17">
            <v>13</v>
          </cell>
          <cell r="E17">
            <v>10</v>
          </cell>
        </row>
        <row r="18">
          <cell r="A18" t="str">
            <v>B073PQXDQX</v>
          </cell>
          <cell r="B18">
            <v>7</v>
          </cell>
          <cell r="C18">
            <v>11</v>
          </cell>
          <cell r="D18">
            <v>9</v>
          </cell>
          <cell r="E18">
            <v>11</v>
          </cell>
        </row>
        <row r="19">
          <cell r="A19" t="str">
            <v>B073PZDYM9</v>
          </cell>
          <cell r="B19">
            <v>0</v>
          </cell>
          <cell r="C19">
            <v>0</v>
          </cell>
          <cell r="D19">
            <v>2</v>
          </cell>
          <cell r="E19">
            <v>1</v>
          </cell>
        </row>
        <row r="20">
          <cell r="A20" t="str">
            <v>B073ZYMTGH</v>
          </cell>
          <cell r="B20">
            <v>17</v>
          </cell>
          <cell r="C20">
            <v>15</v>
          </cell>
          <cell r="D20">
            <v>5</v>
          </cell>
          <cell r="E20">
            <v>4</v>
          </cell>
        </row>
        <row r="21">
          <cell r="A21" t="str">
            <v>B0747L9WY7</v>
          </cell>
          <cell r="B21">
            <v>11</v>
          </cell>
          <cell r="C21">
            <v>26</v>
          </cell>
          <cell r="D21">
            <v>55</v>
          </cell>
          <cell r="E21">
            <v>27</v>
          </cell>
        </row>
        <row r="22">
          <cell r="A22" t="str">
            <v>B0747N5SR9</v>
          </cell>
          <cell r="B22">
            <v>0</v>
          </cell>
          <cell r="C22">
            <v>0</v>
          </cell>
          <cell r="D22">
            <v>0</v>
          </cell>
          <cell r="E22">
            <v>1</v>
          </cell>
        </row>
        <row r="23">
          <cell r="A23" t="str">
            <v>B074NQZMVQ</v>
          </cell>
          <cell r="B23">
            <v>4</v>
          </cell>
          <cell r="C23">
            <v>3</v>
          </cell>
          <cell r="D23">
            <v>3</v>
          </cell>
          <cell r="E23">
            <v>8</v>
          </cell>
        </row>
        <row r="24">
          <cell r="A24" t="str">
            <v>B074NVH8G2</v>
          </cell>
          <cell r="B24">
            <v>4</v>
          </cell>
          <cell r="C24">
            <v>3</v>
          </cell>
          <cell r="D24">
            <v>7</v>
          </cell>
          <cell r="E24">
            <v>1</v>
          </cell>
        </row>
        <row r="25">
          <cell r="A25" t="str">
            <v>B074NZX79C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</row>
        <row r="26">
          <cell r="A26" t="str">
            <v>B074P1LKV2</v>
          </cell>
          <cell r="B26">
            <v>2</v>
          </cell>
          <cell r="C26">
            <v>8</v>
          </cell>
          <cell r="D26">
            <v>7</v>
          </cell>
          <cell r="E26">
            <v>4</v>
          </cell>
        </row>
        <row r="27">
          <cell r="A27" t="str">
            <v>B074P2B6M8</v>
          </cell>
          <cell r="B27">
            <v>4</v>
          </cell>
          <cell r="C27">
            <v>5</v>
          </cell>
          <cell r="D27">
            <v>4</v>
          </cell>
          <cell r="E27">
            <v>7</v>
          </cell>
        </row>
        <row r="28">
          <cell r="A28" t="str">
            <v>B074P3WK1B</v>
          </cell>
          <cell r="B28">
            <v>16</v>
          </cell>
          <cell r="C28">
            <v>9</v>
          </cell>
          <cell r="D28">
            <v>7</v>
          </cell>
          <cell r="E28">
            <v>3</v>
          </cell>
        </row>
        <row r="29">
          <cell r="A29" t="str">
            <v>B074SKGH3S</v>
          </cell>
          <cell r="B29">
            <v>2</v>
          </cell>
          <cell r="C29">
            <v>3</v>
          </cell>
          <cell r="D29">
            <v>0</v>
          </cell>
          <cell r="E29">
            <v>3</v>
          </cell>
        </row>
        <row r="30">
          <cell r="A30" t="str">
            <v>B074SKGP6T</v>
          </cell>
          <cell r="B30">
            <v>1</v>
          </cell>
          <cell r="C30">
            <v>3</v>
          </cell>
          <cell r="D30">
            <v>1</v>
          </cell>
          <cell r="E30">
            <v>5</v>
          </cell>
        </row>
        <row r="31">
          <cell r="A31" t="str">
            <v>B074SKM7WZ</v>
          </cell>
          <cell r="B31">
            <v>3</v>
          </cell>
          <cell r="C31">
            <v>3</v>
          </cell>
          <cell r="D31">
            <v>1</v>
          </cell>
          <cell r="E31">
            <v>1</v>
          </cell>
        </row>
        <row r="32">
          <cell r="A32" t="str">
            <v>B074SL2P7T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</row>
        <row r="33">
          <cell r="A33" t="str">
            <v>B074SL9T1Y</v>
          </cell>
          <cell r="B33">
            <v>5</v>
          </cell>
          <cell r="C33">
            <v>2</v>
          </cell>
          <cell r="D33">
            <v>3</v>
          </cell>
          <cell r="E33">
            <v>1</v>
          </cell>
        </row>
        <row r="34">
          <cell r="A34" t="str">
            <v>B074SL9Y3C</v>
          </cell>
          <cell r="B34">
            <v>0</v>
          </cell>
          <cell r="C34">
            <v>5</v>
          </cell>
          <cell r="D34">
            <v>7</v>
          </cell>
          <cell r="E34">
            <v>1</v>
          </cell>
        </row>
        <row r="35">
          <cell r="A35" t="str">
            <v>B074SLMBT9</v>
          </cell>
          <cell r="B35">
            <v>5</v>
          </cell>
          <cell r="C35">
            <v>5</v>
          </cell>
          <cell r="D35">
            <v>2</v>
          </cell>
          <cell r="E35">
            <v>2</v>
          </cell>
        </row>
        <row r="36">
          <cell r="A36" t="str">
            <v>B074SLPFD9</v>
          </cell>
          <cell r="B36">
            <v>1</v>
          </cell>
          <cell r="C36">
            <v>4</v>
          </cell>
          <cell r="D36">
            <v>1</v>
          </cell>
          <cell r="E36">
            <v>1</v>
          </cell>
        </row>
        <row r="37">
          <cell r="A37" t="str">
            <v>B074SM3B1W</v>
          </cell>
          <cell r="B37">
            <v>2</v>
          </cell>
          <cell r="C37">
            <v>5</v>
          </cell>
          <cell r="D37">
            <v>2</v>
          </cell>
          <cell r="E37">
            <v>4</v>
          </cell>
        </row>
        <row r="38">
          <cell r="A38" t="str">
            <v>B074SM5RZS</v>
          </cell>
          <cell r="B38">
            <v>4</v>
          </cell>
          <cell r="C38">
            <v>3</v>
          </cell>
          <cell r="D38">
            <v>4</v>
          </cell>
          <cell r="E38">
            <v>1</v>
          </cell>
        </row>
        <row r="39">
          <cell r="A39" t="str">
            <v>B074SMGT88</v>
          </cell>
          <cell r="B39">
            <v>4</v>
          </cell>
          <cell r="C39">
            <v>11</v>
          </cell>
          <cell r="D39">
            <v>2</v>
          </cell>
          <cell r="E39">
            <v>3</v>
          </cell>
        </row>
        <row r="40">
          <cell r="A40" t="str">
            <v>B074SMT9CV</v>
          </cell>
          <cell r="B40">
            <v>3</v>
          </cell>
          <cell r="C40">
            <v>5</v>
          </cell>
          <cell r="D40">
            <v>3</v>
          </cell>
          <cell r="E40">
            <v>2</v>
          </cell>
        </row>
        <row r="41">
          <cell r="A41" t="str">
            <v>B074SN3YQP</v>
          </cell>
          <cell r="B41">
            <v>3</v>
          </cell>
          <cell r="C41">
            <v>7</v>
          </cell>
          <cell r="D41">
            <v>2</v>
          </cell>
          <cell r="E41">
            <v>0</v>
          </cell>
        </row>
        <row r="42">
          <cell r="A42" t="str">
            <v>B074SNF6PC</v>
          </cell>
          <cell r="B42">
            <v>2</v>
          </cell>
          <cell r="C42">
            <v>5</v>
          </cell>
          <cell r="D42">
            <v>13</v>
          </cell>
          <cell r="E42">
            <v>3</v>
          </cell>
        </row>
        <row r="43">
          <cell r="A43" t="str">
            <v>B074SNP44C</v>
          </cell>
          <cell r="B43">
            <v>1</v>
          </cell>
          <cell r="C43">
            <v>2</v>
          </cell>
          <cell r="D43">
            <v>2</v>
          </cell>
          <cell r="E43">
            <v>1</v>
          </cell>
        </row>
        <row r="44">
          <cell r="A44" t="str">
            <v>B074SNVWHH</v>
          </cell>
          <cell r="B44">
            <v>1</v>
          </cell>
          <cell r="C44">
            <v>2</v>
          </cell>
          <cell r="D44">
            <v>3</v>
          </cell>
          <cell r="E44">
            <v>5</v>
          </cell>
        </row>
        <row r="45">
          <cell r="A45" t="str">
            <v>B074SPWGPS</v>
          </cell>
          <cell r="B45">
            <v>1</v>
          </cell>
          <cell r="C45">
            <v>3</v>
          </cell>
          <cell r="D45">
            <v>1</v>
          </cell>
          <cell r="E45">
            <v>1</v>
          </cell>
        </row>
        <row r="46">
          <cell r="A46" t="str">
            <v>B074SQ1FJK</v>
          </cell>
          <cell r="B46">
            <v>0</v>
          </cell>
          <cell r="C46">
            <v>3</v>
          </cell>
          <cell r="D46">
            <v>3</v>
          </cell>
          <cell r="E46">
            <v>1</v>
          </cell>
        </row>
        <row r="47">
          <cell r="A47" t="str">
            <v>B074SQ5NX1</v>
          </cell>
          <cell r="B47">
            <v>0</v>
          </cell>
          <cell r="C47">
            <v>3</v>
          </cell>
          <cell r="D47">
            <v>0</v>
          </cell>
          <cell r="E47">
            <v>2</v>
          </cell>
        </row>
        <row r="48">
          <cell r="A48" t="str">
            <v>B074SQ5R3F</v>
          </cell>
          <cell r="B48">
            <v>0</v>
          </cell>
          <cell r="C48">
            <v>4</v>
          </cell>
          <cell r="D48">
            <v>6</v>
          </cell>
          <cell r="E48">
            <v>1</v>
          </cell>
        </row>
        <row r="49">
          <cell r="A49" t="str">
            <v>B074ST3T2H</v>
          </cell>
          <cell r="B49">
            <v>10</v>
          </cell>
          <cell r="C49">
            <v>19</v>
          </cell>
          <cell r="D49">
            <v>7</v>
          </cell>
          <cell r="E49">
            <v>5</v>
          </cell>
        </row>
        <row r="50">
          <cell r="A50" t="str">
            <v>B074SVP22M</v>
          </cell>
          <cell r="B50">
            <v>4</v>
          </cell>
          <cell r="C50">
            <v>6</v>
          </cell>
          <cell r="D50">
            <v>8</v>
          </cell>
          <cell r="E50">
            <v>2</v>
          </cell>
        </row>
        <row r="51">
          <cell r="A51" t="str">
            <v>B074SVYFJC</v>
          </cell>
          <cell r="B51">
            <v>2</v>
          </cell>
          <cell r="C51">
            <v>4</v>
          </cell>
          <cell r="D51">
            <v>3</v>
          </cell>
          <cell r="E51">
            <v>2</v>
          </cell>
        </row>
        <row r="52">
          <cell r="A52" t="str">
            <v>B074SWFPBG</v>
          </cell>
          <cell r="B52">
            <v>1</v>
          </cell>
          <cell r="C52">
            <v>16</v>
          </cell>
          <cell r="D52">
            <v>19</v>
          </cell>
          <cell r="E52">
            <v>26</v>
          </cell>
        </row>
        <row r="53">
          <cell r="A53" t="str">
            <v>B074SWQY9F</v>
          </cell>
          <cell r="B53">
            <v>1</v>
          </cell>
          <cell r="C53">
            <v>7</v>
          </cell>
          <cell r="D53">
            <v>4</v>
          </cell>
          <cell r="E53">
            <v>1</v>
          </cell>
        </row>
        <row r="54">
          <cell r="A54" t="str">
            <v>B074SWV9C3</v>
          </cell>
          <cell r="B54">
            <v>0</v>
          </cell>
          <cell r="C54">
            <v>0</v>
          </cell>
          <cell r="D54">
            <v>0</v>
          </cell>
          <cell r="E54">
            <v>5</v>
          </cell>
        </row>
        <row r="55">
          <cell r="A55" t="str">
            <v>B074SXQ5MY</v>
          </cell>
          <cell r="B55">
            <v>2</v>
          </cell>
          <cell r="C55">
            <v>4</v>
          </cell>
          <cell r="D55">
            <v>2</v>
          </cell>
          <cell r="E55">
            <v>1</v>
          </cell>
        </row>
        <row r="56">
          <cell r="A56" t="str">
            <v>B074SXT27T</v>
          </cell>
          <cell r="B56">
            <v>5</v>
          </cell>
          <cell r="C56">
            <v>7</v>
          </cell>
          <cell r="D56">
            <v>3</v>
          </cell>
          <cell r="E56">
            <v>1</v>
          </cell>
        </row>
        <row r="57">
          <cell r="A57" t="str">
            <v>B074SXT853</v>
          </cell>
          <cell r="B57">
            <v>5</v>
          </cell>
          <cell r="C57">
            <v>5</v>
          </cell>
          <cell r="D57">
            <v>7</v>
          </cell>
          <cell r="E57">
            <v>7</v>
          </cell>
        </row>
        <row r="58">
          <cell r="A58" t="str">
            <v>B074SYX9RW</v>
          </cell>
          <cell r="B58">
            <v>1</v>
          </cell>
          <cell r="C58">
            <v>6</v>
          </cell>
          <cell r="D58">
            <v>2</v>
          </cell>
          <cell r="E58">
            <v>1</v>
          </cell>
        </row>
        <row r="59">
          <cell r="A59" t="str">
            <v>B074SYXBT8</v>
          </cell>
          <cell r="B59">
            <v>2</v>
          </cell>
          <cell r="C59">
            <v>4</v>
          </cell>
          <cell r="D59">
            <v>1</v>
          </cell>
          <cell r="E59">
            <v>5</v>
          </cell>
        </row>
        <row r="60">
          <cell r="A60" t="str">
            <v>B074SZ4SDW</v>
          </cell>
          <cell r="B60">
            <v>3</v>
          </cell>
          <cell r="C60">
            <v>5</v>
          </cell>
          <cell r="D60">
            <v>2</v>
          </cell>
          <cell r="E60">
            <v>3</v>
          </cell>
        </row>
        <row r="61">
          <cell r="A61" t="str">
            <v>B074SZD1GM</v>
          </cell>
          <cell r="B61">
            <v>3</v>
          </cell>
          <cell r="C61">
            <v>3</v>
          </cell>
          <cell r="D61">
            <v>6</v>
          </cell>
          <cell r="E61">
            <v>4</v>
          </cell>
        </row>
        <row r="62">
          <cell r="A62" t="str">
            <v>B074SZJPSD</v>
          </cell>
          <cell r="B62">
            <v>2</v>
          </cell>
          <cell r="C62">
            <v>2</v>
          </cell>
          <cell r="D62">
            <v>1</v>
          </cell>
          <cell r="E62">
            <v>1</v>
          </cell>
        </row>
        <row r="63">
          <cell r="A63" t="str">
            <v>B074SZKQMT</v>
          </cell>
          <cell r="B63">
            <v>2</v>
          </cell>
          <cell r="C63">
            <v>2</v>
          </cell>
          <cell r="D63">
            <v>1</v>
          </cell>
          <cell r="E63">
            <v>1</v>
          </cell>
        </row>
        <row r="64">
          <cell r="A64" t="str">
            <v>B074SZQ1LP</v>
          </cell>
          <cell r="B64">
            <v>1</v>
          </cell>
          <cell r="C64">
            <v>2</v>
          </cell>
          <cell r="D64">
            <v>1</v>
          </cell>
          <cell r="E64">
            <v>1</v>
          </cell>
        </row>
        <row r="65">
          <cell r="A65" t="str">
            <v>B074SZQ3FG</v>
          </cell>
          <cell r="B65">
            <v>1</v>
          </cell>
          <cell r="C65">
            <v>3</v>
          </cell>
          <cell r="D65">
            <v>3</v>
          </cell>
          <cell r="E65">
            <v>4</v>
          </cell>
        </row>
        <row r="66">
          <cell r="A66" t="str">
            <v>B074SZQ5DF</v>
          </cell>
          <cell r="B66">
            <v>0</v>
          </cell>
          <cell r="C66">
            <v>0</v>
          </cell>
          <cell r="D66">
            <v>2</v>
          </cell>
          <cell r="E66">
            <v>3</v>
          </cell>
        </row>
        <row r="67">
          <cell r="A67" t="str">
            <v>B074T24DYN</v>
          </cell>
          <cell r="B67">
            <v>5</v>
          </cell>
          <cell r="C67">
            <v>3</v>
          </cell>
          <cell r="D67">
            <v>0</v>
          </cell>
          <cell r="E67">
            <v>3</v>
          </cell>
        </row>
        <row r="68">
          <cell r="A68" t="str">
            <v>B074T74SF7</v>
          </cell>
          <cell r="B68">
            <v>9</v>
          </cell>
          <cell r="C68">
            <v>18</v>
          </cell>
          <cell r="D68">
            <v>9</v>
          </cell>
          <cell r="E68">
            <v>14</v>
          </cell>
        </row>
        <row r="69">
          <cell r="A69" t="str">
            <v>B075WPHHKW</v>
          </cell>
          <cell r="B69">
            <v>3</v>
          </cell>
          <cell r="C69">
            <v>3</v>
          </cell>
          <cell r="D69">
            <v>3</v>
          </cell>
          <cell r="E69">
            <v>2</v>
          </cell>
        </row>
        <row r="70">
          <cell r="A70" t="str">
            <v>B075WPSRD1</v>
          </cell>
          <cell r="B70">
            <v>4</v>
          </cell>
          <cell r="C70">
            <v>4</v>
          </cell>
          <cell r="D70">
            <v>0</v>
          </cell>
          <cell r="E70">
            <v>1</v>
          </cell>
        </row>
        <row r="71">
          <cell r="A71" t="str">
            <v>B075WPX32B</v>
          </cell>
          <cell r="B71">
            <v>4</v>
          </cell>
          <cell r="C71">
            <v>5</v>
          </cell>
          <cell r="D71">
            <v>0</v>
          </cell>
          <cell r="E71">
            <v>2</v>
          </cell>
        </row>
        <row r="72">
          <cell r="A72" t="str">
            <v>B075WQQC8L</v>
          </cell>
          <cell r="B72">
            <v>3</v>
          </cell>
          <cell r="C72">
            <v>4</v>
          </cell>
          <cell r="D72">
            <v>1</v>
          </cell>
          <cell r="E72">
            <v>1</v>
          </cell>
        </row>
        <row r="73">
          <cell r="A73" t="str">
            <v>B075WRTSV9</v>
          </cell>
          <cell r="B73">
            <v>4</v>
          </cell>
          <cell r="C73">
            <v>4</v>
          </cell>
          <cell r="D73">
            <v>0</v>
          </cell>
          <cell r="E73">
            <v>1</v>
          </cell>
        </row>
        <row r="74">
          <cell r="A74" t="str">
            <v>B075WRWK44</v>
          </cell>
          <cell r="B74">
            <v>4</v>
          </cell>
          <cell r="C74">
            <v>5</v>
          </cell>
          <cell r="D74">
            <v>1</v>
          </cell>
          <cell r="E74">
            <v>2</v>
          </cell>
        </row>
        <row r="75">
          <cell r="A75" t="str">
            <v>B075WSD44L</v>
          </cell>
          <cell r="B75">
            <v>5</v>
          </cell>
          <cell r="C75">
            <v>5</v>
          </cell>
          <cell r="D75">
            <v>1</v>
          </cell>
          <cell r="E75">
            <v>2</v>
          </cell>
        </row>
        <row r="76">
          <cell r="A76" t="str">
            <v>B075WSXH1N</v>
          </cell>
          <cell r="B76">
            <v>5</v>
          </cell>
          <cell r="C76">
            <v>2</v>
          </cell>
          <cell r="D76">
            <v>1</v>
          </cell>
          <cell r="E76">
            <v>1</v>
          </cell>
        </row>
        <row r="77">
          <cell r="A77" t="str">
            <v>B075WSZF3P</v>
          </cell>
          <cell r="B77">
            <v>3</v>
          </cell>
          <cell r="C77">
            <v>3</v>
          </cell>
          <cell r="D77">
            <v>0</v>
          </cell>
          <cell r="E77">
            <v>2</v>
          </cell>
        </row>
        <row r="78">
          <cell r="A78" t="str">
            <v>B075WT8RQN</v>
          </cell>
          <cell r="B78">
            <v>1</v>
          </cell>
          <cell r="C78">
            <v>4</v>
          </cell>
          <cell r="D78">
            <v>0</v>
          </cell>
          <cell r="E78">
            <v>2</v>
          </cell>
        </row>
        <row r="79">
          <cell r="A79" t="str">
            <v>B075WTH7BJ</v>
          </cell>
          <cell r="B79">
            <v>1</v>
          </cell>
          <cell r="C79">
            <v>2</v>
          </cell>
          <cell r="D79">
            <v>1</v>
          </cell>
          <cell r="E79">
            <v>1</v>
          </cell>
        </row>
        <row r="80">
          <cell r="A80" t="str">
            <v>B075X9JZX3</v>
          </cell>
          <cell r="B80">
            <v>2</v>
          </cell>
          <cell r="C80">
            <v>3</v>
          </cell>
          <cell r="D80">
            <v>2</v>
          </cell>
          <cell r="E80">
            <v>1</v>
          </cell>
        </row>
        <row r="81">
          <cell r="A81" t="str">
            <v>B075XCBHHN</v>
          </cell>
          <cell r="B81">
            <v>11</v>
          </cell>
          <cell r="C81">
            <v>3</v>
          </cell>
          <cell r="D81">
            <v>9</v>
          </cell>
          <cell r="E81">
            <v>5</v>
          </cell>
        </row>
        <row r="82">
          <cell r="A82" t="str">
            <v>B075XCJ63F</v>
          </cell>
          <cell r="B82">
            <v>3</v>
          </cell>
          <cell r="C82">
            <v>0</v>
          </cell>
          <cell r="D82">
            <v>4</v>
          </cell>
          <cell r="E82">
            <v>0</v>
          </cell>
        </row>
        <row r="83">
          <cell r="A83" t="str">
            <v>B075XCS3QN</v>
          </cell>
          <cell r="B83">
            <v>4</v>
          </cell>
          <cell r="C83">
            <v>0</v>
          </cell>
          <cell r="D83">
            <v>2</v>
          </cell>
          <cell r="E83">
            <v>1</v>
          </cell>
        </row>
        <row r="84">
          <cell r="A84" t="str">
            <v>B075XD8MYM</v>
          </cell>
          <cell r="B84">
            <v>2</v>
          </cell>
          <cell r="C84">
            <v>0</v>
          </cell>
          <cell r="D84">
            <v>4</v>
          </cell>
          <cell r="E84">
            <v>3</v>
          </cell>
        </row>
        <row r="85">
          <cell r="A85" t="str">
            <v>B075XDTMSM</v>
          </cell>
          <cell r="B85">
            <v>2</v>
          </cell>
          <cell r="C85">
            <v>0</v>
          </cell>
          <cell r="D85">
            <v>7</v>
          </cell>
          <cell r="E85">
            <v>3</v>
          </cell>
        </row>
        <row r="86">
          <cell r="A86" t="str">
            <v>B075XDV8DB</v>
          </cell>
          <cell r="B86">
            <v>3</v>
          </cell>
          <cell r="C86">
            <v>1</v>
          </cell>
          <cell r="D86">
            <v>3</v>
          </cell>
          <cell r="E86">
            <v>4</v>
          </cell>
        </row>
        <row r="87">
          <cell r="A87" t="str">
            <v>B075XF6KDQ</v>
          </cell>
          <cell r="B87">
            <v>1</v>
          </cell>
          <cell r="C87">
            <v>1</v>
          </cell>
          <cell r="D87">
            <v>2</v>
          </cell>
          <cell r="E87">
            <v>2</v>
          </cell>
        </row>
        <row r="88">
          <cell r="A88" t="str">
            <v>B075XF75YS</v>
          </cell>
          <cell r="B88">
            <v>1</v>
          </cell>
          <cell r="C88">
            <v>1</v>
          </cell>
          <cell r="D88">
            <v>1</v>
          </cell>
          <cell r="E88">
            <v>1</v>
          </cell>
        </row>
        <row r="89">
          <cell r="A89" t="str">
            <v>B075XF8TFV</v>
          </cell>
          <cell r="B89">
            <v>3</v>
          </cell>
          <cell r="C89">
            <v>2</v>
          </cell>
          <cell r="D89">
            <v>2</v>
          </cell>
          <cell r="E89">
            <v>2</v>
          </cell>
        </row>
        <row r="90">
          <cell r="A90" t="str">
            <v>B075XFH141</v>
          </cell>
          <cell r="B90">
            <v>3</v>
          </cell>
          <cell r="C90">
            <v>1</v>
          </cell>
          <cell r="D90">
            <v>1</v>
          </cell>
          <cell r="E90">
            <v>2</v>
          </cell>
        </row>
        <row r="91">
          <cell r="A91" t="str">
            <v>B075XFQC8B</v>
          </cell>
          <cell r="B91">
            <v>4</v>
          </cell>
          <cell r="C91">
            <v>2</v>
          </cell>
          <cell r="D91">
            <v>6</v>
          </cell>
          <cell r="E91">
            <v>2</v>
          </cell>
        </row>
        <row r="92">
          <cell r="A92" t="str">
            <v>B075XFT9C9</v>
          </cell>
          <cell r="B92">
            <v>2</v>
          </cell>
          <cell r="C92">
            <v>3</v>
          </cell>
          <cell r="D92">
            <v>0</v>
          </cell>
          <cell r="E92">
            <v>1</v>
          </cell>
        </row>
        <row r="93">
          <cell r="A93" t="str">
            <v>B075XG5JVY</v>
          </cell>
          <cell r="B93">
            <v>4</v>
          </cell>
          <cell r="C93">
            <v>4</v>
          </cell>
          <cell r="D93">
            <v>40</v>
          </cell>
          <cell r="E93">
            <v>10</v>
          </cell>
        </row>
        <row r="94">
          <cell r="A94" t="str">
            <v>B075XG6Z6C</v>
          </cell>
          <cell r="B94">
            <v>4</v>
          </cell>
          <cell r="C94">
            <v>4</v>
          </cell>
          <cell r="D94">
            <v>2</v>
          </cell>
          <cell r="E94">
            <v>1</v>
          </cell>
        </row>
        <row r="95">
          <cell r="A95" t="str">
            <v>B075XGCNH2</v>
          </cell>
          <cell r="B95">
            <v>6</v>
          </cell>
          <cell r="C95">
            <v>4</v>
          </cell>
          <cell r="D95">
            <v>21</v>
          </cell>
          <cell r="E95">
            <v>9</v>
          </cell>
        </row>
        <row r="96">
          <cell r="A96" t="str">
            <v>B075XH1TBD</v>
          </cell>
          <cell r="B96">
            <v>3</v>
          </cell>
          <cell r="C96">
            <v>4</v>
          </cell>
          <cell r="D96">
            <v>1</v>
          </cell>
          <cell r="E96">
            <v>1</v>
          </cell>
        </row>
        <row r="97">
          <cell r="A97" t="str">
            <v>B075XH35SF</v>
          </cell>
          <cell r="B97">
            <v>5</v>
          </cell>
          <cell r="C97">
            <v>1</v>
          </cell>
          <cell r="D97">
            <v>2</v>
          </cell>
          <cell r="E97">
            <v>1</v>
          </cell>
        </row>
        <row r="98">
          <cell r="A98" t="str">
            <v>B075XHCCFQ</v>
          </cell>
          <cell r="B98">
            <v>4</v>
          </cell>
          <cell r="C98">
            <v>1</v>
          </cell>
          <cell r="D98">
            <v>1</v>
          </cell>
          <cell r="E98">
            <v>1</v>
          </cell>
        </row>
        <row r="99">
          <cell r="A99" t="str">
            <v>B075XJBNCS</v>
          </cell>
          <cell r="B99">
            <v>5</v>
          </cell>
          <cell r="C99">
            <v>1</v>
          </cell>
          <cell r="D99">
            <v>7</v>
          </cell>
          <cell r="E99">
            <v>3</v>
          </cell>
        </row>
        <row r="100">
          <cell r="A100" t="str">
            <v>B077XQDLK8</v>
          </cell>
          <cell r="B100">
            <v>1</v>
          </cell>
          <cell r="C100">
            <v>2</v>
          </cell>
          <cell r="D100">
            <v>0</v>
          </cell>
          <cell r="E100">
            <v>1</v>
          </cell>
        </row>
        <row r="101">
          <cell r="A101" t="str">
            <v>B077XRHLYX</v>
          </cell>
          <cell r="B101">
            <v>1</v>
          </cell>
          <cell r="C101">
            <v>4</v>
          </cell>
          <cell r="D101">
            <v>0</v>
          </cell>
          <cell r="E101">
            <v>1</v>
          </cell>
        </row>
        <row r="102">
          <cell r="A102" t="str">
            <v>B077XRYWSK</v>
          </cell>
          <cell r="B102">
            <v>1</v>
          </cell>
          <cell r="C102">
            <v>1</v>
          </cell>
          <cell r="D102">
            <v>0</v>
          </cell>
          <cell r="E102">
            <v>1</v>
          </cell>
        </row>
        <row r="103">
          <cell r="A103" t="str">
            <v>B077XRZ4P9</v>
          </cell>
          <cell r="B103">
            <v>1</v>
          </cell>
          <cell r="C103">
            <v>3</v>
          </cell>
          <cell r="D103">
            <v>2</v>
          </cell>
          <cell r="E103">
            <v>4</v>
          </cell>
        </row>
        <row r="104">
          <cell r="A104" t="str">
            <v>B077XTXJ7Q</v>
          </cell>
          <cell r="B104">
            <v>0</v>
          </cell>
          <cell r="C104">
            <v>4</v>
          </cell>
          <cell r="D104">
            <v>1</v>
          </cell>
          <cell r="E104">
            <v>1</v>
          </cell>
        </row>
        <row r="105">
          <cell r="A105" t="str">
            <v>B077XVD9Y3</v>
          </cell>
          <cell r="B105">
            <v>26</v>
          </cell>
          <cell r="C105">
            <v>19</v>
          </cell>
          <cell r="D105">
            <v>9</v>
          </cell>
          <cell r="E105">
            <v>7</v>
          </cell>
        </row>
        <row r="106">
          <cell r="A106" t="str">
            <v>B077XVSQHX</v>
          </cell>
          <cell r="B106">
            <v>0</v>
          </cell>
          <cell r="C106">
            <v>3</v>
          </cell>
          <cell r="D106">
            <v>2</v>
          </cell>
          <cell r="E106">
            <v>3</v>
          </cell>
        </row>
        <row r="107">
          <cell r="A107" t="str">
            <v>B077XVV8MB</v>
          </cell>
          <cell r="B107">
            <v>0</v>
          </cell>
          <cell r="C107">
            <v>3</v>
          </cell>
          <cell r="D107">
            <v>0</v>
          </cell>
          <cell r="E107">
            <v>1</v>
          </cell>
        </row>
        <row r="108">
          <cell r="A108" t="str">
            <v>B077XX3FN9</v>
          </cell>
          <cell r="B108">
            <v>3</v>
          </cell>
          <cell r="C108">
            <v>2</v>
          </cell>
          <cell r="D108">
            <v>1</v>
          </cell>
          <cell r="E108">
            <v>2</v>
          </cell>
        </row>
        <row r="109">
          <cell r="A109" t="str">
            <v>B077XX5QDF</v>
          </cell>
          <cell r="B109">
            <v>0</v>
          </cell>
          <cell r="C109">
            <v>3</v>
          </cell>
          <cell r="D109">
            <v>1</v>
          </cell>
          <cell r="E109">
            <v>2</v>
          </cell>
        </row>
        <row r="110">
          <cell r="A110" t="str">
            <v>B077XX612Q</v>
          </cell>
          <cell r="B110">
            <v>0</v>
          </cell>
          <cell r="C110">
            <v>2</v>
          </cell>
          <cell r="D110">
            <v>1</v>
          </cell>
          <cell r="E110">
            <v>1</v>
          </cell>
        </row>
        <row r="111">
          <cell r="A111" t="str">
            <v>B077YWGR1B</v>
          </cell>
          <cell r="B111">
            <v>2</v>
          </cell>
          <cell r="C111">
            <v>2</v>
          </cell>
          <cell r="D111">
            <v>1</v>
          </cell>
          <cell r="E111">
            <v>1</v>
          </cell>
        </row>
        <row r="112">
          <cell r="A112" t="str">
            <v>B077YWGW7H</v>
          </cell>
          <cell r="B112">
            <v>1</v>
          </cell>
          <cell r="C112">
            <v>3</v>
          </cell>
          <cell r="D112">
            <v>1</v>
          </cell>
          <cell r="E112">
            <v>1</v>
          </cell>
        </row>
        <row r="113">
          <cell r="A113" t="str">
            <v>B077YWGXBQ</v>
          </cell>
          <cell r="B113">
            <v>2</v>
          </cell>
          <cell r="C113">
            <v>1</v>
          </cell>
          <cell r="D113">
            <v>1</v>
          </cell>
          <cell r="E113">
            <v>1</v>
          </cell>
        </row>
        <row r="114">
          <cell r="A114" t="str">
            <v>B077YWGZ93</v>
          </cell>
          <cell r="B114">
            <v>2</v>
          </cell>
          <cell r="C114">
            <v>1</v>
          </cell>
          <cell r="D114">
            <v>0</v>
          </cell>
          <cell r="E114">
            <v>3</v>
          </cell>
        </row>
        <row r="115">
          <cell r="A115" t="str">
            <v>B077YWH21S</v>
          </cell>
          <cell r="B115">
            <v>2</v>
          </cell>
          <cell r="C115">
            <v>2</v>
          </cell>
          <cell r="D115">
            <v>0</v>
          </cell>
          <cell r="E115">
            <v>1</v>
          </cell>
        </row>
        <row r="116">
          <cell r="A116" t="str">
            <v>B077YWH5DT</v>
          </cell>
          <cell r="B116">
            <v>2</v>
          </cell>
          <cell r="C116">
            <v>1</v>
          </cell>
          <cell r="D116">
            <v>0</v>
          </cell>
          <cell r="E116">
            <v>2</v>
          </cell>
        </row>
        <row r="117">
          <cell r="A117" t="str">
            <v>B077Z1QNCD</v>
          </cell>
          <cell r="B117">
            <v>2</v>
          </cell>
          <cell r="C117">
            <v>1</v>
          </cell>
          <cell r="D117">
            <v>0</v>
          </cell>
          <cell r="E117">
            <v>1</v>
          </cell>
        </row>
        <row r="118">
          <cell r="A118" t="str">
            <v>B077Z1QPRQ</v>
          </cell>
          <cell r="B118">
            <v>2</v>
          </cell>
          <cell r="C118">
            <v>1</v>
          </cell>
          <cell r="D118">
            <v>0</v>
          </cell>
          <cell r="E118">
            <v>1</v>
          </cell>
        </row>
        <row r="119">
          <cell r="A119" t="str">
            <v>B077Z3FG6P</v>
          </cell>
          <cell r="B119">
            <v>3</v>
          </cell>
          <cell r="C119">
            <v>2</v>
          </cell>
          <cell r="D119">
            <v>2</v>
          </cell>
          <cell r="E119">
            <v>2</v>
          </cell>
        </row>
        <row r="120">
          <cell r="A120" t="str">
            <v>B077Z617BX</v>
          </cell>
          <cell r="B120">
            <v>3</v>
          </cell>
          <cell r="C120">
            <v>0</v>
          </cell>
          <cell r="D120">
            <v>1</v>
          </cell>
          <cell r="E120">
            <v>1</v>
          </cell>
        </row>
        <row r="121">
          <cell r="A121" t="str">
            <v>B0785HZPS2</v>
          </cell>
          <cell r="B121">
            <v>1</v>
          </cell>
          <cell r="C121">
            <v>2</v>
          </cell>
          <cell r="D121">
            <v>0</v>
          </cell>
          <cell r="E121">
            <v>1</v>
          </cell>
        </row>
        <row r="122">
          <cell r="A122" t="str">
            <v>B0785JC4N5</v>
          </cell>
          <cell r="B122">
            <v>1</v>
          </cell>
          <cell r="C122">
            <v>3</v>
          </cell>
          <cell r="D122">
            <v>2</v>
          </cell>
          <cell r="E122">
            <v>1</v>
          </cell>
        </row>
        <row r="123">
          <cell r="A123" t="str">
            <v>B0785S9XKS</v>
          </cell>
          <cell r="B123">
            <v>3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B078H79DCY</v>
          </cell>
          <cell r="B124">
            <v>10</v>
          </cell>
          <cell r="C124">
            <v>4</v>
          </cell>
          <cell r="D124">
            <v>3</v>
          </cell>
          <cell r="E124">
            <v>1</v>
          </cell>
        </row>
        <row r="125">
          <cell r="A125" t="str">
            <v>B078HD4M37</v>
          </cell>
          <cell r="B125">
            <v>7</v>
          </cell>
          <cell r="C125">
            <v>1</v>
          </cell>
          <cell r="D125">
            <v>5</v>
          </cell>
          <cell r="E125">
            <v>1</v>
          </cell>
        </row>
        <row r="126">
          <cell r="A126" t="str">
            <v>B078HNLGWS</v>
          </cell>
          <cell r="B126">
            <v>6</v>
          </cell>
          <cell r="C126">
            <v>1</v>
          </cell>
          <cell r="D126">
            <v>2</v>
          </cell>
          <cell r="E126">
            <v>2</v>
          </cell>
        </row>
        <row r="127">
          <cell r="A127" t="str">
            <v>B0798NZCMN</v>
          </cell>
          <cell r="B127">
            <v>3</v>
          </cell>
          <cell r="C127">
            <v>4</v>
          </cell>
          <cell r="D127">
            <v>2</v>
          </cell>
          <cell r="E127">
            <v>3</v>
          </cell>
        </row>
        <row r="128">
          <cell r="A128" t="str">
            <v>B0798NZTJD</v>
          </cell>
          <cell r="B128">
            <v>2</v>
          </cell>
          <cell r="C128">
            <v>6</v>
          </cell>
          <cell r="D128">
            <v>2</v>
          </cell>
          <cell r="E128">
            <v>1</v>
          </cell>
        </row>
        <row r="129">
          <cell r="A129" t="str">
            <v>B0798P1DCX</v>
          </cell>
          <cell r="B129">
            <v>5</v>
          </cell>
          <cell r="C129">
            <v>7</v>
          </cell>
          <cell r="D129">
            <v>3</v>
          </cell>
          <cell r="E129">
            <v>3</v>
          </cell>
        </row>
        <row r="130">
          <cell r="A130" t="str">
            <v>B0798PCSXB</v>
          </cell>
          <cell r="B130">
            <v>3</v>
          </cell>
          <cell r="C130">
            <v>3</v>
          </cell>
          <cell r="D130">
            <v>7</v>
          </cell>
          <cell r="E130">
            <v>7</v>
          </cell>
        </row>
        <row r="131">
          <cell r="A131" t="str">
            <v>B0798PY6XT</v>
          </cell>
          <cell r="B131">
            <v>16</v>
          </cell>
          <cell r="C131">
            <v>2</v>
          </cell>
          <cell r="D131">
            <v>0</v>
          </cell>
          <cell r="E131">
            <v>8</v>
          </cell>
        </row>
        <row r="132">
          <cell r="A132" t="str">
            <v>B079GLZ6K8</v>
          </cell>
          <cell r="B132">
            <v>6</v>
          </cell>
          <cell r="C132">
            <v>4</v>
          </cell>
          <cell r="D132">
            <v>4</v>
          </cell>
          <cell r="E132">
            <v>3</v>
          </cell>
        </row>
        <row r="133">
          <cell r="A133" t="str">
            <v>B079GM3BXL</v>
          </cell>
          <cell r="B133">
            <v>15</v>
          </cell>
          <cell r="C133">
            <v>12</v>
          </cell>
          <cell r="D133">
            <v>5</v>
          </cell>
          <cell r="E133">
            <v>15</v>
          </cell>
        </row>
        <row r="134">
          <cell r="A134" t="str">
            <v>B079GMMWG2</v>
          </cell>
          <cell r="B134">
            <v>15</v>
          </cell>
          <cell r="C134">
            <v>9</v>
          </cell>
          <cell r="D134">
            <v>4</v>
          </cell>
          <cell r="E134">
            <v>13</v>
          </cell>
        </row>
        <row r="135">
          <cell r="A135" t="str">
            <v>B079GN5DSL</v>
          </cell>
          <cell r="B135">
            <v>4</v>
          </cell>
          <cell r="C135">
            <v>0</v>
          </cell>
          <cell r="D135">
            <v>0</v>
          </cell>
          <cell r="E135">
            <v>7</v>
          </cell>
        </row>
        <row r="136">
          <cell r="A136" t="str">
            <v>B079GNL7BD</v>
          </cell>
          <cell r="B136">
            <v>5</v>
          </cell>
          <cell r="C136">
            <v>3</v>
          </cell>
          <cell r="D136">
            <v>9</v>
          </cell>
          <cell r="E136">
            <v>2</v>
          </cell>
        </row>
        <row r="137">
          <cell r="A137" t="str">
            <v>B079GNVPFC</v>
          </cell>
          <cell r="B137">
            <v>3</v>
          </cell>
          <cell r="C137">
            <v>0</v>
          </cell>
          <cell r="D137">
            <v>0</v>
          </cell>
          <cell r="E137">
            <v>2</v>
          </cell>
        </row>
        <row r="138">
          <cell r="A138" t="str">
            <v>B079GPD2NN</v>
          </cell>
          <cell r="B138">
            <v>6</v>
          </cell>
          <cell r="C138">
            <v>7</v>
          </cell>
          <cell r="D138">
            <v>0</v>
          </cell>
          <cell r="E138">
            <v>3</v>
          </cell>
        </row>
        <row r="139">
          <cell r="A139" t="str">
            <v>B079GPRVHY</v>
          </cell>
          <cell r="B139">
            <v>8</v>
          </cell>
          <cell r="C139">
            <v>4</v>
          </cell>
          <cell r="D139">
            <v>2</v>
          </cell>
          <cell r="E139">
            <v>2</v>
          </cell>
        </row>
        <row r="140">
          <cell r="A140" t="str">
            <v>B079GQ2C5K</v>
          </cell>
          <cell r="B140">
            <v>5</v>
          </cell>
          <cell r="C140">
            <v>2</v>
          </cell>
          <cell r="D140">
            <v>1</v>
          </cell>
          <cell r="E140">
            <v>3</v>
          </cell>
        </row>
        <row r="141">
          <cell r="A141" t="str">
            <v>B079GQ697Z</v>
          </cell>
          <cell r="B141">
            <v>6</v>
          </cell>
          <cell r="C141">
            <v>6</v>
          </cell>
          <cell r="D141">
            <v>1</v>
          </cell>
          <cell r="E141">
            <v>2</v>
          </cell>
        </row>
        <row r="142">
          <cell r="A142" t="str">
            <v>B079GQ7X19</v>
          </cell>
          <cell r="B142">
            <v>5</v>
          </cell>
          <cell r="C142">
            <v>1</v>
          </cell>
          <cell r="D142">
            <v>1</v>
          </cell>
          <cell r="E142">
            <v>1</v>
          </cell>
        </row>
        <row r="143">
          <cell r="A143" t="str">
            <v>B079GQ99MR</v>
          </cell>
          <cell r="B143">
            <v>4</v>
          </cell>
          <cell r="C143">
            <v>4</v>
          </cell>
          <cell r="D143">
            <v>4</v>
          </cell>
          <cell r="E143">
            <v>2</v>
          </cell>
        </row>
        <row r="144">
          <cell r="A144" t="str">
            <v>B079GQB66Z</v>
          </cell>
          <cell r="B144">
            <v>6</v>
          </cell>
          <cell r="C144">
            <v>9</v>
          </cell>
          <cell r="D144">
            <v>0</v>
          </cell>
          <cell r="E144">
            <v>3</v>
          </cell>
        </row>
        <row r="145">
          <cell r="A145" t="str">
            <v>B079GQWL9S</v>
          </cell>
          <cell r="B145">
            <v>2</v>
          </cell>
          <cell r="C145">
            <v>1</v>
          </cell>
          <cell r="D145">
            <v>2</v>
          </cell>
          <cell r="E145">
            <v>2</v>
          </cell>
        </row>
        <row r="146">
          <cell r="A146" t="str">
            <v>B079GQYYYF</v>
          </cell>
          <cell r="B146">
            <v>5</v>
          </cell>
          <cell r="C146">
            <v>3</v>
          </cell>
          <cell r="D146">
            <v>5</v>
          </cell>
          <cell r="E146">
            <v>2</v>
          </cell>
        </row>
        <row r="147">
          <cell r="A147" t="str">
            <v>B079GQZMQ2</v>
          </cell>
          <cell r="B147">
            <v>5</v>
          </cell>
          <cell r="C147">
            <v>3</v>
          </cell>
          <cell r="D147">
            <v>4</v>
          </cell>
          <cell r="E147">
            <v>2</v>
          </cell>
        </row>
        <row r="148">
          <cell r="A148" t="str">
            <v>B079GR91JK</v>
          </cell>
          <cell r="B148">
            <v>2</v>
          </cell>
          <cell r="C148">
            <v>6</v>
          </cell>
          <cell r="D148">
            <v>1</v>
          </cell>
          <cell r="E148">
            <v>1</v>
          </cell>
        </row>
        <row r="149">
          <cell r="A149" t="str">
            <v>B079GRXYH8</v>
          </cell>
          <cell r="B149">
            <v>16</v>
          </cell>
          <cell r="C149">
            <v>13</v>
          </cell>
          <cell r="D149">
            <v>5</v>
          </cell>
          <cell r="E149">
            <v>23</v>
          </cell>
        </row>
        <row r="150">
          <cell r="A150" t="str">
            <v>B079GS1ZJR</v>
          </cell>
          <cell r="B150">
            <v>6</v>
          </cell>
          <cell r="C150">
            <v>6</v>
          </cell>
          <cell r="D150">
            <v>2</v>
          </cell>
          <cell r="E150">
            <v>4</v>
          </cell>
        </row>
        <row r="151">
          <cell r="A151" t="str">
            <v>B079GS81P9</v>
          </cell>
          <cell r="B151">
            <v>6</v>
          </cell>
          <cell r="C151">
            <v>8</v>
          </cell>
          <cell r="D151">
            <v>4</v>
          </cell>
          <cell r="E151">
            <v>4</v>
          </cell>
        </row>
        <row r="152">
          <cell r="A152" t="str">
            <v>B079HP2RFZ</v>
          </cell>
          <cell r="B152">
            <v>48</v>
          </cell>
          <cell r="C152">
            <v>54</v>
          </cell>
          <cell r="D152">
            <v>55</v>
          </cell>
          <cell r="E152">
            <v>46</v>
          </cell>
        </row>
        <row r="153">
          <cell r="A153" t="str">
            <v>B079HPCGB9</v>
          </cell>
          <cell r="B153">
            <v>36</v>
          </cell>
          <cell r="C153">
            <v>55</v>
          </cell>
          <cell r="D153">
            <v>72</v>
          </cell>
          <cell r="E153">
            <v>39</v>
          </cell>
        </row>
        <row r="154">
          <cell r="A154" t="str">
            <v>B079HPLTVC</v>
          </cell>
          <cell r="B154">
            <v>75</v>
          </cell>
          <cell r="C154">
            <v>106</v>
          </cell>
          <cell r="D154">
            <v>84</v>
          </cell>
          <cell r="E154">
            <v>66</v>
          </cell>
        </row>
        <row r="155">
          <cell r="A155" t="str">
            <v>B079HQGKS9</v>
          </cell>
          <cell r="B155">
            <v>21</v>
          </cell>
          <cell r="C155">
            <v>23</v>
          </cell>
          <cell r="D155">
            <v>38</v>
          </cell>
          <cell r="E155">
            <v>14</v>
          </cell>
        </row>
        <row r="156">
          <cell r="A156" t="str">
            <v>B079HQPJP2</v>
          </cell>
          <cell r="B156">
            <v>106</v>
          </cell>
          <cell r="C156">
            <v>60</v>
          </cell>
          <cell r="D156">
            <v>114</v>
          </cell>
          <cell r="E156">
            <v>70</v>
          </cell>
        </row>
        <row r="157">
          <cell r="A157" t="str">
            <v>B079HRST93</v>
          </cell>
          <cell r="B157">
            <v>34</v>
          </cell>
          <cell r="C157">
            <v>31</v>
          </cell>
          <cell r="D157">
            <v>40</v>
          </cell>
          <cell r="E157">
            <v>26</v>
          </cell>
        </row>
        <row r="158">
          <cell r="A158" t="str">
            <v>B079HRYZ8F</v>
          </cell>
          <cell r="B158">
            <v>22</v>
          </cell>
          <cell r="C158">
            <v>13</v>
          </cell>
          <cell r="D158">
            <v>29</v>
          </cell>
          <cell r="E158">
            <v>19</v>
          </cell>
        </row>
        <row r="159">
          <cell r="A159" t="str">
            <v>B079HS8H93</v>
          </cell>
          <cell r="B159">
            <v>23</v>
          </cell>
          <cell r="C159">
            <v>31</v>
          </cell>
          <cell r="D159">
            <v>40</v>
          </cell>
          <cell r="E159">
            <v>41</v>
          </cell>
        </row>
        <row r="160">
          <cell r="A160" t="str">
            <v>B079J99WVX</v>
          </cell>
          <cell r="B160">
            <v>3</v>
          </cell>
          <cell r="C160">
            <v>2</v>
          </cell>
          <cell r="D160">
            <v>6</v>
          </cell>
          <cell r="E160">
            <v>1</v>
          </cell>
        </row>
        <row r="161">
          <cell r="A161" t="str">
            <v>B079JD7ZJ2</v>
          </cell>
          <cell r="B161">
            <v>0</v>
          </cell>
          <cell r="C161">
            <v>1</v>
          </cell>
          <cell r="D161">
            <v>1</v>
          </cell>
          <cell r="E161">
            <v>1</v>
          </cell>
        </row>
        <row r="162">
          <cell r="A162" t="str">
            <v>B079JF8TQM</v>
          </cell>
          <cell r="B162">
            <v>2</v>
          </cell>
          <cell r="C162">
            <v>4</v>
          </cell>
          <cell r="D162">
            <v>0</v>
          </cell>
          <cell r="E162">
            <v>1</v>
          </cell>
        </row>
        <row r="163">
          <cell r="A163" t="str">
            <v>B079JGMFTB</v>
          </cell>
          <cell r="B163">
            <v>10</v>
          </cell>
          <cell r="C163">
            <v>2</v>
          </cell>
          <cell r="D163">
            <v>3</v>
          </cell>
          <cell r="E163">
            <v>2</v>
          </cell>
        </row>
        <row r="164">
          <cell r="A164" t="str">
            <v>B079JLS34D</v>
          </cell>
          <cell r="B164">
            <v>0</v>
          </cell>
          <cell r="C164">
            <v>0</v>
          </cell>
          <cell r="D164">
            <v>1</v>
          </cell>
          <cell r="E164">
            <v>1</v>
          </cell>
        </row>
        <row r="165">
          <cell r="A165" t="str">
            <v>B079JNPCJ1</v>
          </cell>
          <cell r="B165">
            <v>0</v>
          </cell>
          <cell r="C165">
            <v>0</v>
          </cell>
          <cell r="D165">
            <v>5</v>
          </cell>
          <cell r="E165">
            <v>2</v>
          </cell>
        </row>
        <row r="166">
          <cell r="A166" t="str">
            <v>B079M2W31H</v>
          </cell>
          <cell r="B166">
            <v>0</v>
          </cell>
          <cell r="C166">
            <v>1</v>
          </cell>
          <cell r="D166">
            <v>0</v>
          </cell>
          <cell r="E166">
            <v>1</v>
          </cell>
        </row>
        <row r="167">
          <cell r="A167" t="str">
            <v>B079M4C6DT</v>
          </cell>
          <cell r="B167">
            <v>1</v>
          </cell>
          <cell r="C167">
            <v>1</v>
          </cell>
          <cell r="D167">
            <v>0</v>
          </cell>
          <cell r="E167">
            <v>1</v>
          </cell>
        </row>
        <row r="168">
          <cell r="A168" t="str">
            <v>B07B9WYZG3</v>
          </cell>
          <cell r="B168">
            <v>9</v>
          </cell>
          <cell r="C168">
            <v>12</v>
          </cell>
          <cell r="D168">
            <v>12</v>
          </cell>
          <cell r="E168">
            <v>10</v>
          </cell>
        </row>
        <row r="169">
          <cell r="A169" t="str">
            <v>B07BGSSQLV</v>
          </cell>
          <cell r="B169">
            <v>123</v>
          </cell>
          <cell r="C169">
            <v>143</v>
          </cell>
          <cell r="D169">
            <v>159</v>
          </cell>
          <cell r="E169">
            <v>132</v>
          </cell>
        </row>
        <row r="170">
          <cell r="A170" t="str">
            <v>B07BGW4LWX</v>
          </cell>
          <cell r="B170">
            <v>81</v>
          </cell>
          <cell r="C170">
            <v>53</v>
          </cell>
          <cell r="D170">
            <v>84</v>
          </cell>
          <cell r="E170">
            <v>70</v>
          </cell>
        </row>
        <row r="171">
          <cell r="A171" t="str">
            <v>B07BGWTSX6</v>
          </cell>
          <cell r="B171">
            <v>425</v>
          </cell>
          <cell r="C171">
            <v>277</v>
          </cell>
          <cell r="D171">
            <v>284</v>
          </cell>
          <cell r="E171">
            <v>407</v>
          </cell>
        </row>
        <row r="172">
          <cell r="A172" t="str">
            <v>B07BLQ5R6S</v>
          </cell>
          <cell r="B172">
            <v>0</v>
          </cell>
          <cell r="C172">
            <v>2</v>
          </cell>
          <cell r="D172">
            <v>2</v>
          </cell>
          <cell r="E172">
            <v>1</v>
          </cell>
        </row>
        <row r="173">
          <cell r="A173" t="str">
            <v>B07BLQFM2G</v>
          </cell>
          <cell r="B173">
            <v>3</v>
          </cell>
          <cell r="C173">
            <v>1</v>
          </cell>
          <cell r="D173">
            <v>1</v>
          </cell>
          <cell r="E173">
            <v>1</v>
          </cell>
        </row>
        <row r="174">
          <cell r="A174" t="str">
            <v>B07BLQJYGS</v>
          </cell>
          <cell r="B174">
            <v>2</v>
          </cell>
          <cell r="C174">
            <v>0</v>
          </cell>
          <cell r="D174">
            <v>1</v>
          </cell>
          <cell r="E174">
            <v>1</v>
          </cell>
        </row>
        <row r="175">
          <cell r="A175" t="str">
            <v>B07BLR41F3</v>
          </cell>
          <cell r="B175">
            <v>2</v>
          </cell>
          <cell r="C175">
            <v>1</v>
          </cell>
          <cell r="D175">
            <v>0</v>
          </cell>
          <cell r="E175">
            <v>1</v>
          </cell>
        </row>
        <row r="176">
          <cell r="A176" t="str">
            <v>B07BLRDXJK</v>
          </cell>
          <cell r="B176">
            <v>2</v>
          </cell>
          <cell r="C176">
            <v>2</v>
          </cell>
          <cell r="D176">
            <v>0</v>
          </cell>
          <cell r="E176">
            <v>1</v>
          </cell>
        </row>
        <row r="177">
          <cell r="A177" t="str">
            <v>B07BLRLRW6</v>
          </cell>
          <cell r="B177">
            <v>2</v>
          </cell>
          <cell r="C177">
            <v>1</v>
          </cell>
          <cell r="D177">
            <v>2</v>
          </cell>
          <cell r="E177">
            <v>2</v>
          </cell>
        </row>
        <row r="178">
          <cell r="A178" t="str">
            <v>B07BLRT4X9</v>
          </cell>
          <cell r="B178">
            <v>1</v>
          </cell>
          <cell r="C178">
            <v>2</v>
          </cell>
          <cell r="D178">
            <v>0</v>
          </cell>
          <cell r="E178">
            <v>1</v>
          </cell>
        </row>
        <row r="179">
          <cell r="A179" t="str">
            <v>B07BLRWPX4</v>
          </cell>
          <cell r="B179">
            <v>2</v>
          </cell>
          <cell r="C179">
            <v>2</v>
          </cell>
          <cell r="D179">
            <v>0</v>
          </cell>
          <cell r="E179">
            <v>1</v>
          </cell>
        </row>
        <row r="180">
          <cell r="A180" t="str">
            <v>B07BLS3RH4</v>
          </cell>
          <cell r="B180">
            <v>1</v>
          </cell>
          <cell r="C180">
            <v>1</v>
          </cell>
          <cell r="D180">
            <v>1</v>
          </cell>
          <cell r="E180">
            <v>1</v>
          </cell>
        </row>
        <row r="181">
          <cell r="A181" t="str">
            <v>B07BLSKPGN</v>
          </cell>
          <cell r="B181">
            <v>0</v>
          </cell>
          <cell r="C181">
            <v>1</v>
          </cell>
          <cell r="D181">
            <v>0</v>
          </cell>
          <cell r="E181">
            <v>1</v>
          </cell>
        </row>
        <row r="182">
          <cell r="A182" t="str">
            <v>B07BLSLVNQ</v>
          </cell>
          <cell r="B182">
            <v>0</v>
          </cell>
          <cell r="C182">
            <v>3</v>
          </cell>
          <cell r="D182">
            <v>3</v>
          </cell>
          <cell r="E182">
            <v>1</v>
          </cell>
        </row>
        <row r="183">
          <cell r="A183" t="str">
            <v>B07BLSQB24</v>
          </cell>
          <cell r="B183">
            <v>0</v>
          </cell>
          <cell r="C183">
            <v>1</v>
          </cell>
          <cell r="D183">
            <v>0</v>
          </cell>
          <cell r="E183">
            <v>1</v>
          </cell>
        </row>
        <row r="184">
          <cell r="A184" t="str">
            <v>B07BLT6QLH</v>
          </cell>
          <cell r="B184">
            <v>2</v>
          </cell>
          <cell r="C184">
            <v>0</v>
          </cell>
          <cell r="D184">
            <v>1</v>
          </cell>
          <cell r="E184">
            <v>1</v>
          </cell>
        </row>
        <row r="185">
          <cell r="A185" t="str">
            <v>B07BLT8K4B</v>
          </cell>
          <cell r="B185">
            <v>1</v>
          </cell>
          <cell r="C185">
            <v>1</v>
          </cell>
          <cell r="D185">
            <v>1</v>
          </cell>
          <cell r="E185">
            <v>1</v>
          </cell>
        </row>
        <row r="186">
          <cell r="A186" t="str">
            <v>B07BLT8Z76</v>
          </cell>
          <cell r="B186">
            <v>1</v>
          </cell>
          <cell r="C186">
            <v>0</v>
          </cell>
          <cell r="D186">
            <v>0</v>
          </cell>
          <cell r="E186">
            <v>3</v>
          </cell>
        </row>
        <row r="187">
          <cell r="A187" t="str">
            <v>B07BLT9556</v>
          </cell>
          <cell r="B187">
            <v>1</v>
          </cell>
          <cell r="C187">
            <v>0</v>
          </cell>
          <cell r="D187">
            <v>0</v>
          </cell>
          <cell r="E187">
            <v>3</v>
          </cell>
        </row>
        <row r="188">
          <cell r="A188" t="str">
            <v>B07BLTCKF4</v>
          </cell>
          <cell r="B188">
            <v>1</v>
          </cell>
          <cell r="C188">
            <v>0</v>
          </cell>
          <cell r="D188">
            <v>1</v>
          </cell>
          <cell r="E188">
            <v>1</v>
          </cell>
        </row>
        <row r="189">
          <cell r="A189" t="str">
            <v>B07BLTGHH9</v>
          </cell>
          <cell r="B189">
            <v>1</v>
          </cell>
          <cell r="C189">
            <v>2</v>
          </cell>
          <cell r="D189">
            <v>2</v>
          </cell>
          <cell r="E189">
            <v>1</v>
          </cell>
        </row>
        <row r="190">
          <cell r="A190" t="str">
            <v>B07BLV5B1Y</v>
          </cell>
          <cell r="B190">
            <v>3</v>
          </cell>
          <cell r="C190">
            <v>0</v>
          </cell>
          <cell r="D190">
            <v>0</v>
          </cell>
          <cell r="E190">
            <v>2</v>
          </cell>
        </row>
        <row r="191">
          <cell r="A191" t="str">
            <v>B07BLV93M3</v>
          </cell>
          <cell r="B191">
            <v>0</v>
          </cell>
          <cell r="C191">
            <v>0</v>
          </cell>
          <cell r="D191">
            <v>2</v>
          </cell>
          <cell r="E191">
            <v>2</v>
          </cell>
        </row>
        <row r="192">
          <cell r="A192" t="str">
            <v>B07BLV93M6</v>
          </cell>
          <cell r="B192">
            <v>0</v>
          </cell>
          <cell r="C192">
            <v>0</v>
          </cell>
          <cell r="D192">
            <v>1</v>
          </cell>
          <cell r="E192">
            <v>1</v>
          </cell>
        </row>
        <row r="193">
          <cell r="A193" t="str">
            <v>B07BLVMB53</v>
          </cell>
          <cell r="B193">
            <v>0</v>
          </cell>
          <cell r="C193">
            <v>1</v>
          </cell>
          <cell r="D193">
            <v>0</v>
          </cell>
          <cell r="E193">
            <v>1</v>
          </cell>
        </row>
        <row r="194">
          <cell r="A194" t="str">
            <v>B07BLWPJFH</v>
          </cell>
          <cell r="B194">
            <v>2</v>
          </cell>
          <cell r="C194">
            <v>0</v>
          </cell>
          <cell r="D194">
            <v>2</v>
          </cell>
          <cell r="E194">
            <v>2</v>
          </cell>
        </row>
        <row r="195">
          <cell r="A195" t="str">
            <v>B07BLWQZKS</v>
          </cell>
          <cell r="B195">
            <v>1</v>
          </cell>
          <cell r="C195">
            <v>0</v>
          </cell>
          <cell r="D195">
            <v>0</v>
          </cell>
          <cell r="E195">
            <v>2</v>
          </cell>
        </row>
        <row r="196">
          <cell r="A196" t="str">
            <v>B07BLXGT2T</v>
          </cell>
          <cell r="B196">
            <v>0</v>
          </cell>
          <cell r="C196">
            <v>1</v>
          </cell>
          <cell r="D196">
            <v>0</v>
          </cell>
          <cell r="E196">
            <v>1</v>
          </cell>
        </row>
        <row r="197">
          <cell r="A197" t="str">
            <v>B07BLXYK2X</v>
          </cell>
          <cell r="B197">
            <v>2</v>
          </cell>
          <cell r="C197">
            <v>2</v>
          </cell>
          <cell r="D197">
            <v>0</v>
          </cell>
          <cell r="E197">
            <v>3</v>
          </cell>
        </row>
        <row r="198">
          <cell r="A198" t="str">
            <v>B07BLYK979</v>
          </cell>
          <cell r="B198">
            <v>2</v>
          </cell>
          <cell r="C198">
            <v>1</v>
          </cell>
          <cell r="D198">
            <v>0</v>
          </cell>
          <cell r="E198">
            <v>1</v>
          </cell>
        </row>
        <row r="199">
          <cell r="A199" t="str">
            <v>B07BLZDS36</v>
          </cell>
          <cell r="B199">
            <v>1</v>
          </cell>
          <cell r="C199">
            <v>1</v>
          </cell>
          <cell r="D199">
            <v>0</v>
          </cell>
          <cell r="E199">
            <v>1</v>
          </cell>
        </row>
        <row r="200">
          <cell r="A200" t="str">
            <v>B07BM3PGBP</v>
          </cell>
          <cell r="B200">
            <v>5</v>
          </cell>
          <cell r="C200">
            <v>3</v>
          </cell>
          <cell r="D200">
            <v>2</v>
          </cell>
          <cell r="E200">
            <v>5</v>
          </cell>
        </row>
        <row r="201">
          <cell r="A201" t="str">
            <v>B07BXDRZR3</v>
          </cell>
          <cell r="B201">
            <v>427</v>
          </cell>
          <cell r="C201">
            <v>233</v>
          </cell>
          <cell r="D201">
            <v>2027</v>
          </cell>
          <cell r="E201">
            <v>1725</v>
          </cell>
        </row>
        <row r="202">
          <cell r="A202" t="str">
            <v>B07C16NFVZ</v>
          </cell>
          <cell r="B202">
            <v>29</v>
          </cell>
          <cell r="C202">
            <v>30</v>
          </cell>
          <cell r="D202">
            <v>50</v>
          </cell>
          <cell r="E202">
            <v>40</v>
          </cell>
        </row>
        <row r="203">
          <cell r="A203" t="str">
            <v>B07C178LY1</v>
          </cell>
          <cell r="B203">
            <v>10</v>
          </cell>
          <cell r="C203">
            <v>13</v>
          </cell>
          <cell r="D203">
            <v>8</v>
          </cell>
          <cell r="E203">
            <v>20</v>
          </cell>
        </row>
        <row r="204">
          <cell r="A204" t="str">
            <v>B07C178M2R</v>
          </cell>
          <cell r="B204">
            <v>14</v>
          </cell>
          <cell r="C204">
            <v>33</v>
          </cell>
          <cell r="D204">
            <v>19</v>
          </cell>
          <cell r="E204">
            <v>7</v>
          </cell>
        </row>
        <row r="205">
          <cell r="A205" t="str">
            <v>B07C1KX15Z</v>
          </cell>
          <cell r="B205">
            <v>6</v>
          </cell>
          <cell r="C205">
            <v>16</v>
          </cell>
          <cell r="D205">
            <v>6</v>
          </cell>
          <cell r="E205">
            <v>13</v>
          </cell>
        </row>
        <row r="206">
          <cell r="A206" t="str">
            <v>B07C1LYHW7</v>
          </cell>
          <cell r="B206">
            <v>0</v>
          </cell>
          <cell r="C206">
            <v>13</v>
          </cell>
          <cell r="D206">
            <v>7</v>
          </cell>
          <cell r="E206">
            <v>11</v>
          </cell>
        </row>
        <row r="207">
          <cell r="A207" t="str">
            <v>B07C1P3Z1B</v>
          </cell>
          <cell r="B207">
            <v>22</v>
          </cell>
          <cell r="C207">
            <v>12</v>
          </cell>
          <cell r="D207">
            <v>28</v>
          </cell>
          <cell r="E207">
            <v>26</v>
          </cell>
        </row>
        <row r="208">
          <cell r="A208" t="str">
            <v>B07C5SXQ14</v>
          </cell>
          <cell r="B208">
            <v>472</v>
          </cell>
          <cell r="C208">
            <v>509</v>
          </cell>
          <cell r="D208">
            <v>513</v>
          </cell>
          <cell r="E208">
            <v>434</v>
          </cell>
        </row>
        <row r="209">
          <cell r="A209" t="str">
            <v>B07C6X3XM7</v>
          </cell>
          <cell r="B209">
            <v>27</v>
          </cell>
          <cell r="C209">
            <v>46</v>
          </cell>
          <cell r="D209">
            <v>57</v>
          </cell>
          <cell r="E209">
            <v>61</v>
          </cell>
        </row>
        <row r="210">
          <cell r="A210" t="str">
            <v>B07C75PL9W</v>
          </cell>
          <cell r="B210">
            <v>249</v>
          </cell>
          <cell r="C210">
            <v>229</v>
          </cell>
          <cell r="D210">
            <v>278</v>
          </cell>
          <cell r="E210">
            <v>251</v>
          </cell>
        </row>
        <row r="211">
          <cell r="A211" t="str">
            <v>B07C8GHD9F</v>
          </cell>
          <cell r="B211">
            <v>1</v>
          </cell>
          <cell r="C211">
            <v>2</v>
          </cell>
          <cell r="D211">
            <v>2</v>
          </cell>
          <cell r="E211">
            <v>2</v>
          </cell>
        </row>
        <row r="212">
          <cell r="A212" t="str">
            <v>B07C8GM23V</v>
          </cell>
          <cell r="B212">
            <v>0</v>
          </cell>
          <cell r="C212">
            <v>3</v>
          </cell>
          <cell r="D212">
            <v>1</v>
          </cell>
          <cell r="E212">
            <v>1</v>
          </cell>
        </row>
        <row r="213">
          <cell r="A213" t="str">
            <v>B07C8R5S2P</v>
          </cell>
          <cell r="B213">
            <v>1</v>
          </cell>
          <cell r="C213">
            <v>2</v>
          </cell>
          <cell r="D213">
            <v>0</v>
          </cell>
          <cell r="E213">
            <v>2</v>
          </cell>
        </row>
        <row r="214">
          <cell r="A214" t="str">
            <v>B07CBPP52D</v>
          </cell>
          <cell r="B214">
            <v>50</v>
          </cell>
          <cell r="C214">
            <v>49</v>
          </cell>
          <cell r="D214">
            <v>46</v>
          </cell>
          <cell r="E214">
            <v>38</v>
          </cell>
        </row>
        <row r="215">
          <cell r="A215" t="str">
            <v>B07CBPWQZT</v>
          </cell>
          <cell r="B215">
            <v>103</v>
          </cell>
          <cell r="C215">
            <v>157</v>
          </cell>
          <cell r="D215">
            <v>122</v>
          </cell>
          <cell r="E215">
            <v>90</v>
          </cell>
        </row>
        <row r="216">
          <cell r="A216" t="str">
            <v>B07CBPY63R</v>
          </cell>
          <cell r="B216">
            <v>5</v>
          </cell>
          <cell r="C216">
            <v>40</v>
          </cell>
          <cell r="D216">
            <v>37</v>
          </cell>
          <cell r="E216">
            <v>10</v>
          </cell>
        </row>
        <row r="217">
          <cell r="A217" t="str">
            <v>B07CBR7LCS</v>
          </cell>
          <cell r="B217">
            <v>28</v>
          </cell>
          <cell r="C217">
            <v>30</v>
          </cell>
          <cell r="D217">
            <v>53</v>
          </cell>
          <cell r="E217">
            <v>38</v>
          </cell>
        </row>
        <row r="218">
          <cell r="A218" t="str">
            <v>B07CGJVWW6</v>
          </cell>
          <cell r="B218">
            <v>8</v>
          </cell>
          <cell r="C218">
            <v>11</v>
          </cell>
          <cell r="D218">
            <v>17</v>
          </cell>
          <cell r="E218">
            <v>13</v>
          </cell>
        </row>
        <row r="219">
          <cell r="A219" t="str">
            <v>B07CNVG6NZ</v>
          </cell>
          <cell r="B219">
            <v>112</v>
          </cell>
          <cell r="C219">
            <v>146</v>
          </cell>
          <cell r="D219">
            <v>91</v>
          </cell>
          <cell r="E219">
            <v>84</v>
          </cell>
        </row>
        <row r="220">
          <cell r="A220" t="str">
            <v>B07CQJNLWX</v>
          </cell>
          <cell r="B220">
            <v>22</v>
          </cell>
          <cell r="C220">
            <v>13</v>
          </cell>
          <cell r="D220">
            <v>36</v>
          </cell>
          <cell r="E220">
            <v>26</v>
          </cell>
        </row>
        <row r="221">
          <cell r="A221" t="str">
            <v>B07CRZGRK6</v>
          </cell>
          <cell r="B221">
            <v>41</v>
          </cell>
          <cell r="C221">
            <v>47</v>
          </cell>
          <cell r="D221">
            <v>29</v>
          </cell>
          <cell r="E221">
            <v>29</v>
          </cell>
        </row>
        <row r="222">
          <cell r="A222" t="str">
            <v>B07D8S8R3B</v>
          </cell>
          <cell r="B222">
            <v>13</v>
          </cell>
          <cell r="C222">
            <v>9</v>
          </cell>
          <cell r="D222">
            <v>5</v>
          </cell>
          <cell r="E222">
            <v>4</v>
          </cell>
        </row>
        <row r="223">
          <cell r="A223" t="str">
            <v>B07DF6DDNM</v>
          </cell>
          <cell r="B223">
            <v>62</v>
          </cell>
          <cell r="C223">
            <v>79</v>
          </cell>
          <cell r="D223">
            <v>70</v>
          </cell>
          <cell r="E223">
            <v>30</v>
          </cell>
        </row>
        <row r="224">
          <cell r="A224" t="str">
            <v>B07DF6XZQC</v>
          </cell>
          <cell r="B224">
            <v>20</v>
          </cell>
          <cell r="C224">
            <v>19</v>
          </cell>
          <cell r="D224">
            <v>14</v>
          </cell>
          <cell r="E224">
            <v>12</v>
          </cell>
        </row>
        <row r="225">
          <cell r="A225" t="str">
            <v>B07DF81JBH</v>
          </cell>
          <cell r="B225">
            <v>28</v>
          </cell>
          <cell r="C225">
            <v>32</v>
          </cell>
          <cell r="D225">
            <v>16</v>
          </cell>
          <cell r="E225">
            <v>10</v>
          </cell>
        </row>
        <row r="226">
          <cell r="A226" t="str">
            <v>B07DF9YBBV</v>
          </cell>
          <cell r="B226">
            <v>42</v>
          </cell>
          <cell r="C226">
            <v>70</v>
          </cell>
          <cell r="D226">
            <v>77</v>
          </cell>
          <cell r="E226">
            <v>26</v>
          </cell>
        </row>
        <row r="227">
          <cell r="A227" t="str">
            <v>B07DFBHNBF</v>
          </cell>
          <cell r="B227">
            <v>21</v>
          </cell>
          <cell r="C227">
            <v>14</v>
          </cell>
          <cell r="D227">
            <v>21</v>
          </cell>
          <cell r="E227">
            <v>7</v>
          </cell>
        </row>
        <row r="228">
          <cell r="A228" t="str">
            <v>B07DFBKQ2D</v>
          </cell>
          <cell r="B228">
            <v>20</v>
          </cell>
          <cell r="C228">
            <v>19</v>
          </cell>
          <cell r="D228">
            <v>24</v>
          </cell>
          <cell r="E228">
            <v>6</v>
          </cell>
        </row>
        <row r="229">
          <cell r="A229" t="str">
            <v>B07DFBM9N3</v>
          </cell>
          <cell r="B229">
            <v>22</v>
          </cell>
          <cell r="C229">
            <v>6</v>
          </cell>
          <cell r="D229">
            <v>15</v>
          </cell>
          <cell r="E229">
            <v>8</v>
          </cell>
        </row>
        <row r="230">
          <cell r="A230" t="str">
            <v>B07DFC3CFS</v>
          </cell>
          <cell r="B230">
            <v>26</v>
          </cell>
          <cell r="C230">
            <v>33</v>
          </cell>
          <cell r="D230">
            <v>20</v>
          </cell>
          <cell r="E230">
            <v>8</v>
          </cell>
        </row>
        <row r="231">
          <cell r="A231" t="str">
            <v>B07DFCKR8T</v>
          </cell>
          <cell r="B231">
            <v>35</v>
          </cell>
          <cell r="C231">
            <v>36</v>
          </cell>
          <cell r="D231">
            <v>14</v>
          </cell>
          <cell r="E231">
            <v>66</v>
          </cell>
        </row>
        <row r="232">
          <cell r="A232" t="str">
            <v>B07DJ8MH2Q</v>
          </cell>
          <cell r="B232">
            <v>2</v>
          </cell>
          <cell r="C232">
            <v>2</v>
          </cell>
          <cell r="D232">
            <v>3</v>
          </cell>
          <cell r="E232">
            <v>25</v>
          </cell>
        </row>
        <row r="233">
          <cell r="A233" t="str">
            <v>B07DL53SBF</v>
          </cell>
          <cell r="B233">
            <v>26</v>
          </cell>
          <cell r="C233">
            <v>21</v>
          </cell>
          <cell r="D233">
            <v>8</v>
          </cell>
          <cell r="E233">
            <v>3</v>
          </cell>
        </row>
        <row r="234">
          <cell r="A234" t="str">
            <v>B07DL5G8KV</v>
          </cell>
          <cell r="B234">
            <v>44</v>
          </cell>
          <cell r="C234">
            <v>44</v>
          </cell>
          <cell r="D234">
            <v>28</v>
          </cell>
          <cell r="E234">
            <v>6</v>
          </cell>
        </row>
        <row r="235">
          <cell r="A235" t="str">
            <v>B07DL5W2R6</v>
          </cell>
          <cell r="B235">
            <v>15</v>
          </cell>
          <cell r="C235">
            <v>14</v>
          </cell>
          <cell r="D235">
            <v>10</v>
          </cell>
          <cell r="E235">
            <v>2</v>
          </cell>
        </row>
        <row r="236">
          <cell r="A236" t="str">
            <v>B073GX87XH</v>
          </cell>
          <cell r="B236">
            <v>2</v>
          </cell>
          <cell r="C236">
            <v>9</v>
          </cell>
          <cell r="D236">
            <v>1</v>
          </cell>
          <cell r="E236">
            <v>0</v>
          </cell>
        </row>
        <row r="237">
          <cell r="A237" t="str">
            <v>B073QH2KWY</v>
          </cell>
          <cell r="B237">
            <v>4</v>
          </cell>
          <cell r="C237">
            <v>6</v>
          </cell>
          <cell r="D237">
            <v>3</v>
          </cell>
          <cell r="E237">
            <v>0</v>
          </cell>
        </row>
        <row r="238">
          <cell r="A238" t="str">
            <v>B074P5N47H</v>
          </cell>
          <cell r="B238">
            <v>4</v>
          </cell>
          <cell r="C238">
            <v>4</v>
          </cell>
          <cell r="D238">
            <v>3</v>
          </cell>
          <cell r="E238">
            <v>0</v>
          </cell>
        </row>
        <row r="239">
          <cell r="A239" t="str">
            <v>B074SK47ZJ</v>
          </cell>
          <cell r="B239">
            <v>4</v>
          </cell>
          <cell r="C239">
            <v>3</v>
          </cell>
          <cell r="D239">
            <v>4</v>
          </cell>
          <cell r="E239">
            <v>0</v>
          </cell>
        </row>
        <row r="240">
          <cell r="A240" t="str">
            <v>B074SL7P58</v>
          </cell>
          <cell r="B240">
            <v>2</v>
          </cell>
          <cell r="C240">
            <v>2</v>
          </cell>
          <cell r="D240">
            <v>1</v>
          </cell>
          <cell r="E240">
            <v>0</v>
          </cell>
        </row>
        <row r="241">
          <cell r="A241" t="str">
            <v>B074SLTLS9</v>
          </cell>
          <cell r="B241">
            <v>2</v>
          </cell>
          <cell r="C241">
            <v>3</v>
          </cell>
          <cell r="D241">
            <v>2</v>
          </cell>
          <cell r="E241">
            <v>0</v>
          </cell>
        </row>
        <row r="242">
          <cell r="A242" t="str">
            <v>B074SM144J</v>
          </cell>
          <cell r="B242">
            <v>2</v>
          </cell>
          <cell r="C242">
            <v>5</v>
          </cell>
          <cell r="D242">
            <v>2</v>
          </cell>
          <cell r="E242">
            <v>0</v>
          </cell>
        </row>
        <row r="243">
          <cell r="A243" t="str">
            <v>B074SMS5NT</v>
          </cell>
          <cell r="B243">
            <v>4</v>
          </cell>
          <cell r="C243">
            <v>4</v>
          </cell>
          <cell r="D243">
            <v>4</v>
          </cell>
          <cell r="E243">
            <v>0</v>
          </cell>
        </row>
        <row r="244">
          <cell r="A244" t="str">
            <v>B074SN3YQT</v>
          </cell>
          <cell r="B244">
            <v>8</v>
          </cell>
          <cell r="C244">
            <v>5</v>
          </cell>
          <cell r="D244">
            <v>3</v>
          </cell>
          <cell r="E244">
            <v>0</v>
          </cell>
        </row>
        <row r="245">
          <cell r="A245" t="str">
            <v>B074SN4V6M</v>
          </cell>
          <cell r="B245">
            <v>1</v>
          </cell>
          <cell r="C245">
            <v>2</v>
          </cell>
          <cell r="D245">
            <v>1</v>
          </cell>
          <cell r="E245">
            <v>0</v>
          </cell>
        </row>
        <row r="246">
          <cell r="A246" t="str">
            <v>B074SNMHQJ</v>
          </cell>
          <cell r="B246">
            <v>2</v>
          </cell>
          <cell r="C246">
            <v>4</v>
          </cell>
          <cell r="D246">
            <v>2</v>
          </cell>
          <cell r="E246">
            <v>0</v>
          </cell>
        </row>
        <row r="247">
          <cell r="A247" t="str">
            <v>B074SNMJJ9</v>
          </cell>
          <cell r="B247">
            <v>1</v>
          </cell>
          <cell r="C247">
            <v>4</v>
          </cell>
          <cell r="D247">
            <v>2</v>
          </cell>
          <cell r="E247">
            <v>0</v>
          </cell>
        </row>
        <row r="248">
          <cell r="A248" t="str">
            <v>B074SPF7P1</v>
          </cell>
          <cell r="B248">
            <v>1</v>
          </cell>
          <cell r="C248">
            <v>4</v>
          </cell>
          <cell r="D248">
            <v>6</v>
          </cell>
          <cell r="E248">
            <v>0</v>
          </cell>
        </row>
        <row r="249">
          <cell r="A249" t="str">
            <v>B074SQ5PJS</v>
          </cell>
          <cell r="B249">
            <v>0</v>
          </cell>
          <cell r="C249">
            <v>2</v>
          </cell>
          <cell r="D249">
            <v>1</v>
          </cell>
          <cell r="E249">
            <v>0</v>
          </cell>
        </row>
        <row r="250">
          <cell r="A250" t="str">
            <v>B074SWPTKB</v>
          </cell>
          <cell r="B250">
            <v>2</v>
          </cell>
          <cell r="C250">
            <v>6</v>
          </cell>
          <cell r="D250">
            <v>5</v>
          </cell>
          <cell r="E250">
            <v>0</v>
          </cell>
        </row>
        <row r="251">
          <cell r="A251" t="str">
            <v>B074SXQT5Z</v>
          </cell>
          <cell r="B251">
            <v>1</v>
          </cell>
          <cell r="C251">
            <v>5</v>
          </cell>
          <cell r="D251">
            <v>1</v>
          </cell>
          <cell r="E251">
            <v>0</v>
          </cell>
        </row>
        <row r="252">
          <cell r="A252" t="str">
            <v>B074SXT999</v>
          </cell>
          <cell r="B252">
            <v>2</v>
          </cell>
          <cell r="C252">
            <v>4</v>
          </cell>
          <cell r="D252">
            <v>1</v>
          </cell>
          <cell r="E252">
            <v>0</v>
          </cell>
        </row>
        <row r="253">
          <cell r="A253" t="str">
            <v>B074SY2NWC</v>
          </cell>
          <cell r="B253">
            <v>1</v>
          </cell>
          <cell r="C253">
            <v>5</v>
          </cell>
          <cell r="D253">
            <v>1</v>
          </cell>
          <cell r="E253">
            <v>0</v>
          </cell>
        </row>
        <row r="254">
          <cell r="A254" t="str">
            <v>B074SYY7Q7</v>
          </cell>
          <cell r="B254">
            <v>2</v>
          </cell>
          <cell r="C254">
            <v>5</v>
          </cell>
          <cell r="D254">
            <v>1</v>
          </cell>
          <cell r="E254">
            <v>0</v>
          </cell>
        </row>
        <row r="255">
          <cell r="A255" t="str">
            <v>B074SZ6CL6</v>
          </cell>
          <cell r="B255">
            <v>1</v>
          </cell>
          <cell r="C255">
            <v>3</v>
          </cell>
          <cell r="D255">
            <v>2</v>
          </cell>
          <cell r="E255">
            <v>0</v>
          </cell>
        </row>
        <row r="256">
          <cell r="A256" t="str">
            <v>B074SZJYJJ</v>
          </cell>
          <cell r="B256">
            <v>2</v>
          </cell>
          <cell r="C256">
            <v>3</v>
          </cell>
          <cell r="D256">
            <v>4</v>
          </cell>
          <cell r="E256">
            <v>0</v>
          </cell>
        </row>
        <row r="257">
          <cell r="A257" t="str">
            <v>B074T25JWG</v>
          </cell>
          <cell r="B257">
            <v>3</v>
          </cell>
          <cell r="C257">
            <v>4</v>
          </cell>
          <cell r="D257">
            <v>2</v>
          </cell>
          <cell r="E257">
            <v>0</v>
          </cell>
        </row>
        <row r="258">
          <cell r="A258" t="str">
            <v>B075WNZJSF</v>
          </cell>
          <cell r="B258">
            <v>2</v>
          </cell>
          <cell r="C258">
            <v>16</v>
          </cell>
          <cell r="D258">
            <v>1</v>
          </cell>
          <cell r="E258">
            <v>0</v>
          </cell>
        </row>
        <row r="259">
          <cell r="A259" t="str">
            <v>B075WQNT6B</v>
          </cell>
          <cell r="B259">
            <v>7</v>
          </cell>
          <cell r="C259">
            <v>3</v>
          </cell>
          <cell r="D259">
            <v>2</v>
          </cell>
          <cell r="E259">
            <v>0</v>
          </cell>
        </row>
        <row r="260">
          <cell r="A260" t="str">
            <v>B075WRD5KM</v>
          </cell>
          <cell r="B260">
            <v>4</v>
          </cell>
          <cell r="C260">
            <v>4</v>
          </cell>
          <cell r="D260">
            <v>1</v>
          </cell>
          <cell r="E260">
            <v>0</v>
          </cell>
        </row>
        <row r="261">
          <cell r="A261" t="str">
            <v>B075WT1YR6</v>
          </cell>
          <cell r="B261">
            <v>3</v>
          </cell>
          <cell r="C261">
            <v>6</v>
          </cell>
          <cell r="D261">
            <v>1</v>
          </cell>
          <cell r="E261">
            <v>0</v>
          </cell>
        </row>
        <row r="262">
          <cell r="A262" t="str">
            <v>B075WT1YRZ</v>
          </cell>
          <cell r="B262">
            <v>2</v>
          </cell>
          <cell r="C262">
            <v>3</v>
          </cell>
          <cell r="D262">
            <v>1</v>
          </cell>
          <cell r="E262">
            <v>0</v>
          </cell>
        </row>
        <row r="263">
          <cell r="A263" t="str">
            <v>B075WT9XBG</v>
          </cell>
          <cell r="B263">
            <v>2</v>
          </cell>
          <cell r="C263">
            <v>3</v>
          </cell>
          <cell r="D263">
            <v>1</v>
          </cell>
          <cell r="E263">
            <v>0</v>
          </cell>
        </row>
        <row r="264">
          <cell r="A264" t="str">
            <v>B075WTKCN3</v>
          </cell>
          <cell r="B264">
            <v>2</v>
          </cell>
          <cell r="C264">
            <v>3</v>
          </cell>
          <cell r="D264">
            <v>1</v>
          </cell>
          <cell r="E264">
            <v>0</v>
          </cell>
        </row>
        <row r="265">
          <cell r="A265" t="str">
            <v>B075XBDWFK</v>
          </cell>
          <cell r="B265">
            <v>3</v>
          </cell>
          <cell r="C265">
            <v>2</v>
          </cell>
          <cell r="D265">
            <v>3</v>
          </cell>
          <cell r="E265">
            <v>0</v>
          </cell>
        </row>
        <row r="266">
          <cell r="A266" t="str">
            <v>B075XHVZNY</v>
          </cell>
          <cell r="B266">
            <v>3</v>
          </cell>
          <cell r="C266">
            <v>0</v>
          </cell>
          <cell r="D266">
            <v>5</v>
          </cell>
          <cell r="E266">
            <v>0</v>
          </cell>
        </row>
        <row r="267">
          <cell r="A267" t="str">
            <v>B075XJLDVB</v>
          </cell>
          <cell r="B267">
            <v>1</v>
          </cell>
          <cell r="C267">
            <v>0</v>
          </cell>
          <cell r="D267">
            <v>1</v>
          </cell>
          <cell r="E267">
            <v>0</v>
          </cell>
        </row>
        <row r="268">
          <cell r="A268" t="str">
            <v>B077XQBVHJ</v>
          </cell>
          <cell r="B268">
            <v>1</v>
          </cell>
          <cell r="C268">
            <v>3</v>
          </cell>
          <cell r="D268">
            <v>1</v>
          </cell>
          <cell r="E268">
            <v>0</v>
          </cell>
        </row>
        <row r="269">
          <cell r="A269" t="str">
            <v>B077XQDLK1</v>
          </cell>
          <cell r="B269">
            <v>1</v>
          </cell>
          <cell r="C269">
            <v>3</v>
          </cell>
          <cell r="D269">
            <v>4</v>
          </cell>
          <cell r="E269">
            <v>0</v>
          </cell>
        </row>
        <row r="270">
          <cell r="A270" t="str">
            <v>B077XRZBGV</v>
          </cell>
          <cell r="B270">
            <v>0</v>
          </cell>
          <cell r="C270">
            <v>2</v>
          </cell>
          <cell r="D270">
            <v>2</v>
          </cell>
          <cell r="E270">
            <v>0</v>
          </cell>
        </row>
        <row r="271">
          <cell r="A271" t="str">
            <v>B077XTXG7X</v>
          </cell>
          <cell r="B271">
            <v>2</v>
          </cell>
          <cell r="C271">
            <v>2</v>
          </cell>
          <cell r="D271">
            <v>1</v>
          </cell>
          <cell r="E271">
            <v>0</v>
          </cell>
        </row>
        <row r="272">
          <cell r="A272" t="str">
            <v>B077XV3LFS</v>
          </cell>
          <cell r="B272">
            <v>1</v>
          </cell>
          <cell r="C272">
            <v>2</v>
          </cell>
          <cell r="D272">
            <v>1</v>
          </cell>
          <cell r="E272">
            <v>0</v>
          </cell>
        </row>
        <row r="273">
          <cell r="A273" t="str">
            <v>B077XVSW32</v>
          </cell>
          <cell r="B273">
            <v>0</v>
          </cell>
          <cell r="C273">
            <v>3</v>
          </cell>
          <cell r="D273">
            <v>2</v>
          </cell>
          <cell r="E273">
            <v>0</v>
          </cell>
        </row>
        <row r="274">
          <cell r="A274" t="str">
            <v>B077Z1SBLC</v>
          </cell>
          <cell r="B274">
            <v>2</v>
          </cell>
          <cell r="C274">
            <v>3</v>
          </cell>
          <cell r="D274">
            <v>1</v>
          </cell>
          <cell r="E274">
            <v>0</v>
          </cell>
        </row>
        <row r="275">
          <cell r="A275" t="str">
            <v>B077Z1TXX5</v>
          </cell>
          <cell r="B275">
            <v>2</v>
          </cell>
          <cell r="C275">
            <v>3</v>
          </cell>
          <cell r="D275">
            <v>1</v>
          </cell>
          <cell r="E275">
            <v>0</v>
          </cell>
        </row>
        <row r="276">
          <cell r="A276" t="str">
            <v>B077Z3FG6V</v>
          </cell>
          <cell r="B276">
            <v>4</v>
          </cell>
          <cell r="C276">
            <v>2</v>
          </cell>
          <cell r="D276">
            <v>3</v>
          </cell>
          <cell r="E276">
            <v>0</v>
          </cell>
        </row>
        <row r="277">
          <cell r="A277" t="str">
            <v>B0785K545N</v>
          </cell>
          <cell r="B277">
            <v>0</v>
          </cell>
          <cell r="C277">
            <v>1</v>
          </cell>
          <cell r="D277">
            <v>1</v>
          </cell>
          <cell r="E277">
            <v>0</v>
          </cell>
        </row>
        <row r="278">
          <cell r="A278" t="str">
            <v>B0785L1H91</v>
          </cell>
          <cell r="B278">
            <v>0</v>
          </cell>
          <cell r="C278">
            <v>2</v>
          </cell>
          <cell r="D278">
            <v>2</v>
          </cell>
          <cell r="E278">
            <v>0</v>
          </cell>
        </row>
        <row r="279">
          <cell r="A279" t="str">
            <v>B0785L1RRG</v>
          </cell>
          <cell r="B279">
            <v>0</v>
          </cell>
          <cell r="C279">
            <v>2</v>
          </cell>
          <cell r="D279">
            <v>1</v>
          </cell>
          <cell r="E279">
            <v>0</v>
          </cell>
        </row>
        <row r="280">
          <cell r="A280" t="str">
            <v>B0785PHFJC</v>
          </cell>
          <cell r="B280">
            <v>1</v>
          </cell>
          <cell r="C280">
            <v>3</v>
          </cell>
          <cell r="D280">
            <v>1</v>
          </cell>
          <cell r="E280">
            <v>0</v>
          </cell>
        </row>
        <row r="281">
          <cell r="A281" t="str">
            <v>B0785PS8WV</v>
          </cell>
          <cell r="B281">
            <v>1</v>
          </cell>
          <cell r="C281">
            <v>1</v>
          </cell>
          <cell r="D281">
            <v>2</v>
          </cell>
          <cell r="E281">
            <v>0</v>
          </cell>
        </row>
        <row r="282">
          <cell r="A282" t="str">
            <v>B0785PV9GH</v>
          </cell>
          <cell r="B282">
            <v>1</v>
          </cell>
          <cell r="C282">
            <v>2</v>
          </cell>
          <cell r="D282">
            <v>2</v>
          </cell>
          <cell r="E282">
            <v>0</v>
          </cell>
        </row>
        <row r="283">
          <cell r="A283" t="str">
            <v>B079GML28B</v>
          </cell>
          <cell r="B283">
            <v>5</v>
          </cell>
          <cell r="C283">
            <v>6</v>
          </cell>
          <cell r="D283">
            <v>1</v>
          </cell>
          <cell r="E283">
            <v>0</v>
          </cell>
        </row>
        <row r="284">
          <cell r="A284" t="str">
            <v>B07BLQJYGV</v>
          </cell>
          <cell r="B284">
            <v>2</v>
          </cell>
          <cell r="C284">
            <v>0</v>
          </cell>
          <cell r="D284">
            <v>1</v>
          </cell>
          <cell r="E284">
            <v>0</v>
          </cell>
        </row>
        <row r="285">
          <cell r="A285" t="str">
            <v>B07BLRNMV5</v>
          </cell>
          <cell r="B285">
            <v>2</v>
          </cell>
          <cell r="C285">
            <v>3</v>
          </cell>
          <cell r="D285">
            <v>1</v>
          </cell>
          <cell r="E285">
            <v>0</v>
          </cell>
        </row>
        <row r="286">
          <cell r="A286" t="str">
            <v>B07BLRTLGM</v>
          </cell>
          <cell r="B286">
            <v>1</v>
          </cell>
          <cell r="C286">
            <v>4</v>
          </cell>
          <cell r="D286">
            <v>1</v>
          </cell>
          <cell r="E286">
            <v>0</v>
          </cell>
        </row>
        <row r="287">
          <cell r="A287" t="str">
            <v>B07BLRYV4K</v>
          </cell>
          <cell r="B287">
            <v>1</v>
          </cell>
          <cell r="C287">
            <v>1</v>
          </cell>
          <cell r="D287">
            <v>1</v>
          </cell>
          <cell r="E287">
            <v>0</v>
          </cell>
        </row>
        <row r="288">
          <cell r="A288" t="str">
            <v>B07BLSR168</v>
          </cell>
          <cell r="B288">
            <v>1</v>
          </cell>
          <cell r="C288">
            <v>1</v>
          </cell>
          <cell r="D288">
            <v>1</v>
          </cell>
          <cell r="E288">
            <v>0</v>
          </cell>
        </row>
        <row r="289">
          <cell r="A289" t="str">
            <v>B07BLVSWRJ</v>
          </cell>
          <cell r="B289">
            <v>0</v>
          </cell>
          <cell r="C289">
            <v>4</v>
          </cell>
          <cell r="D289">
            <v>1</v>
          </cell>
          <cell r="E289">
            <v>0</v>
          </cell>
        </row>
        <row r="290">
          <cell r="A290" t="str">
            <v>B07BLX8JTR</v>
          </cell>
          <cell r="B290">
            <v>0</v>
          </cell>
          <cell r="C290">
            <v>1</v>
          </cell>
          <cell r="D290">
            <v>1</v>
          </cell>
          <cell r="E290">
            <v>0</v>
          </cell>
        </row>
        <row r="291">
          <cell r="A291" t="str">
            <v>B07BLX976V</v>
          </cell>
          <cell r="B291">
            <v>0</v>
          </cell>
          <cell r="C291">
            <v>1</v>
          </cell>
          <cell r="D291">
            <v>1</v>
          </cell>
          <cell r="E291">
            <v>0</v>
          </cell>
        </row>
        <row r="292">
          <cell r="A292" t="str">
            <v>B07BLXLBHX</v>
          </cell>
          <cell r="B292">
            <v>2</v>
          </cell>
          <cell r="C292">
            <v>0</v>
          </cell>
          <cell r="D292">
            <v>3</v>
          </cell>
          <cell r="E292">
            <v>0</v>
          </cell>
        </row>
        <row r="293">
          <cell r="A293" t="str">
            <v>B07DF68CCD</v>
          </cell>
          <cell r="B293">
            <v>0</v>
          </cell>
          <cell r="C293">
            <v>0</v>
          </cell>
          <cell r="D293">
            <v>1</v>
          </cell>
          <cell r="E293">
            <v>0</v>
          </cell>
        </row>
        <row r="294">
          <cell r="A294" t="str">
            <v>B074SLZVWD</v>
          </cell>
          <cell r="B294">
            <v>4</v>
          </cell>
          <cell r="C294">
            <v>4</v>
          </cell>
          <cell r="D294">
            <v>0</v>
          </cell>
          <cell r="E294">
            <v>0</v>
          </cell>
        </row>
        <row r="295">
          <cell r="A295" t="str">
            <v>B074SZCMCP</v>
          </cell>
          <cell r="B295">
            <v>1</v>
          </cell>
          <cell r="C295">
            <v>2</v>
          </cell>
          <cell r="D295">
            <v>0</v>
          </cell>
          <cell r="E295">
            <v>0</v>
          </cell>
        </row>
        <row r="296">
          <cell r="A296" t="str">
            <v>B074T17WTF</v>
          </cell>
          <cell r="B296">
            <v>4</v>
          </cell>
          <cell r="C296">
            <v>2</v>
          </cell>
          <cell r="D296">
            <v>0</v>
          </cell>
          <cell r="E296">
            <v>0</v>
          </cell>
        </row>
        <row r="297">
          <cell r="A297" t="str">
            <v>B075WQJ859</v>
          </cell>
          <cell r="B297">
            <v>4</v>
          </cell>
          <cell r="C297">
            <v>5</v>
          </cell>
          <cell r="D297">
            <v>0</v>
          </cell>
          <cell r="E297">
            <v>0</v>
          </cell>
        </row>
        <row r="298">
          <cell r="A298" t="str">
            <v>B075WR57PJ</v>
          </cell>
          <cell r="B298">
            <v>7</v>
          </cell>
          <cell r="C298">
            <v>3</v>
          </cell>
          <cell r="D298">
            <v>0</v>
          </cell>
          <cell r="E298">
            <v>0</v>
          </cell>
        </row>
        <row r="299">
          <cell r="A299" t="str">
            <v>B075WSSK1M</v>
          </cell>
          <cell r="B299">
            <v>4</v>
          </cell>
          <cell r="C299">
            <v>3</v>
          </cell>
          <cell r="D299">
            <v>0</v>
          </cell>
          <cell r="E299">
            <v>0</v>
          </cell>
        </row>
        <row r="300">
          <cell r="A300" t="str">
            <v>B075X946ZN</v>
          </cell>
          <cell r="B300">
            <v>2</v>
          </cell>
          <cell r="C300">
            <v>3</v>
          </cell>
          <cell r="D300">
            <v>0</v>
          </cell>
          <cell r="E300">
            <v>0</v>
          </cell>
        </row>
        <row r="301">
          <cell r="A301" t="str">
            <v>B075XC664H</v>
          </cell>
          <cell r="B301">
            <v>3</v>
          </cell>
          <cell r="C301">
            <v>1</v>
          </cell>
          <cell r="D301">
            <v>0</v>
          </cell>
          <cell r="E301">
            <v>0</v>
          </cell>
        </row>
        <row r="302">
          <cell r="A302" t="str">
            <v>B075XH273G</v>
          </cell>
          <cell r="B302">
            <v>3</v>
          </cell>
          <cell r="C302">
            <v>3</v>
          </cell>
          <cell r="D302">
            <v>0</v>
          </cell>
          <cell r="E302">
            <v>0</v>
          </cell>
        </row>
        <row r="303">
          <cell r="A303" t="str">
            <v>B077XQBJQ8</v>
          </cell>
          <cell r="B303">
            <v>2</v>
          </cell>
          <cell r="C303">
            <v>1</v>
          </cell>
          <cell r="D303">
            <v>0</v>
          </cell>
          <cell r="E303">
            <v>0</v>
          </cell>
        </row>
        <row r="304">
          <cell r="A304" t="str">
            <v>B077XTXHVH</v>
          </cell>
          <cell r="B304">
            <v>0</v>
          </cell>
          <cell r="C304">
            <v>4</v>
          </cell>
          <cell r="D304">
            <v>0</v>
          </cell>
          <cell r="E304">
            <v>0</v>
          </cell>
        </row>
        <row r="305">
          <cell r="A305" t="str">
            <v>B077XTZVP8</v>
          </cell>
          <cell r="B305">
            <v>0</v>
          </cell>
          <cell r="C305">
            <v>1</v>
          </cell>
          <cell r="D305">
            <v>0</v>
          </cell>
          <cell r="E305">
            <v>0</v>
          </cell>
        </row>
        <row r="306">
          <cell r="A306" t="str">
            <v>B077XX5X7K</v>
          </cell>
          <cell r="B306">
            <v>1</v>
          </cell>
          <cell r="C306">
            <v>1</v>
          </cell>
          <cell r="D306">
            <v>0</v>
          </cell>
          <cell r="E306">
            <v>0</v>
          </cell>
        </row>
        <row r="307">
          <cell r="A307" t="str">
            <v>B077Z1SFPY</v>
          </cell>
          <cell r="B307">
            <v>3</v>
          </cell>
          <cell r="C307">
            <v>2</v>
          </cell>
          <cell r="D307">
            <v>0</v>
          </cell>
          <cell r="E307">
            <v>0</v>
          </cell>
        </row>
        <row r="308">
          <cell r="A308" t="str">
            <v>B077Z5LR3B</v>
          </cell>
          <cell r="B308">
            <v>2</v>
          </cell>
          <cell r="C308">
            <v>2</v>
          </cell>
          <cell r="D308">
            <v>0</v>
          </cell>
          <cell r="E308">
            <v>0</v>
          </cell>
        </row>
        <row r="309">
          <cell r="A309" t="str">
            <v>B077Z5M1T9</v>
          </cell>
          <cell r="B309">
            <v>3</v>
          </cell>
          <cell r="C309">
            <v>1</v>
          </cell>
          <cell r="D309">
            <v>0</v>
          </cell>
          <cell r="E309">
            <v>0</v>
          </cell>
        </row>
        <row r="310">
          <cell r="A310" t="str">
            <v>B077Z7QZZY</v>
          </cell>
          <cell r="B310">
            <v>2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B077Z7R3DQ</v>
          </cell>
          <cell r="B311">
            <v>0</v>
          </cell>
          <cell r="C311">
            <v>1</v>
          </cell>
          <cell r="D311">
            <v>0</v>
          </cell>
          <cell r="E311">
            <v>0</v>
          </cell>
        </row>
        <row r="312">
          <cell r="A312" t="str">
            <v>B077Z7RY9J</v>
          </cell>
          <cell r="B312">
            <v>1</v>
          </cell>
          <cell r="C312">
            <v>2</v>
          </cell>
          <cell r="D312">
            <v>0</v>
          </cell>
          <cell r="E312">
            <v>0</v>
          </cell>
        </row>
        <row r="313">
          <cell r="A313" t="str">
            <v>B0785P964M</v>
          </cell>
          <cell r="B313">
            <v>1</v>
          </cell>
          <cell r="C313">
            <v>2</v>
          </cell>
          <cell r="D313">
            <v>0</v>
          </cell>
          <cell r="E313">
            <v>0</v>
          </cell>
        </row>
        <row r="314">
          <cell r="A314" t="str">
            <v>B0785Q5CB9</v>
          </cell>
          <cell r="B314">
            <v>1</v>
          </cell>
          <cell r="C314">
            <v>2</v>
          </cell>
          <cell r="D314">
            <v>0</v>
          </cell>
          <cell r="E314">
            <v>0</v>
          </cell>
        </row>
        <row r="315">
          <cell r="A315" t="str">
            <v>B0785RM358</v>
          </cell>
          <cell r="B315">
            <v>1</v>
          </cell>
          <cell r="C315">
            <v>2</v>
          </cell>
          <cell r="D315">
            <v>0</v>
          </cell>
          <cell r="E315">
            <v>0</v>
          </cell>
        </row>
        <row r="316">
          <cell r="A316" t="str">
            <v>B0785SC1FB</v>
          </cell>
          <cell r="B316">
            <v>1</v>
          </cell>
          <cell r="C316">
            <v>1</v>
          </cell>
          <cell r="D316">
            <v>0</v>
          </cell>
          <cell r="E316">
            <v>0</v>
          </cell>
        </row>
        <row r="317">
          <cell r="A317" t="str">
            <v>B0798PX336</v>
          </cell>
          <cell r="B317">
            <v>13</v>
          </cell>
          <cell r="C317">
            <v>1</v>
          </cell>
          <cell r="D317">
            <v>0</v>
          </cell>
          <cell r="E317">
            <v>0</v>
          </cell>
        </row>
        <row r="318">
          <cell r="A318" t="str">
            <v>B079GTFGYN</v>
          </cell>
          <cell r="B318">
            <v>1</v>
          </cell>
          <cell r="C318">
            <v>1</v>
          </cell>
          <cell r="D318">
            <v>0</v>
          </cell>
          <cell r="E318">
            <v>0</v>
          </cell>
        </row>
        <row r="319">
          <cell r="A319" t="str">
            <v>B079M1Y4YS</v>
          </cell>
          <cell r="B319">
            <v>0</v>
          </cell>
          <cell r="C319">
            <v>1</v>
          </cell>
          <cell r="D319">
            <v>0</v>
          </cell>
          <cell r="E319">
            <v>0</v>
          </cell>
        </row>
        <row r="320">
          <cell r="A320" t="str">
            <v>B079MDCK5Y</v>
          </cell>
          <cell r="B320">
            <v>2</v>
          </cell>
          <cell r="C320">
            <v>3</v>
          </cell>
          <cell r="D320">
            <v>0</v>
          </cell>
          <cell r="E320">
            <v>0</v>
          </cell>
        </row>
        <row r="321">
          <cell r="A321" t="str">
            <v>B07BLRWWB9</v>
          </cell>
          <cell r="B321">
            <v>1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B07BLXBP85</v>
          </cell>
          <cell r="B322">
            <v>0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B07BLXHTK7</v>
          </cell>
          <cell r="B323">
            <v>1</v>
          </cell>
          <cell r="C323">
            <v>2</v>
          </cell>
          <cell r="D323">
            <v>0</v>
          </cell>
          <cell r="E323">
            <v>0</v>
          </cell>
        </row>
        <row r="324">
          <cell r="A324" t="str">
            <v>B07BLXSN84</v>
          </cell>
          <cell r="B324">
            <v>2</v>
          </cell>
          <cell r="C324">
            <v>1</v>
          </cell>
          <cell r="D324">
            <v>0</v>
          </cell>
          <cell r="E324">
            <v>0</v>
          </cell>
        </row>
        <row r="325">
          <cell r="A325" t="str">
            <v>B07BLZ5PS4</v>
          </cell>
          <cell r="B325">
            <v>1</v>
          </cell>
          <cell r="C325">
            <v>2</v>
          </cell>
          <cell r="D325">
            <v>0</v>
          </cell>
          <cell r="E325">
            <v>0</v>
          </cell>
        </row>
        <row r="326">
          <cell r="A326" t="str">
            <v>B07BLZ8QQW</v>
          </cell>
          <cell r="B326">
            <v>3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B07C8GM14Z</v>
          </cell>
          <cell r="B327">
            <v>1</v>
          </cell>
          <cell r="C327">
            <v>4</v>
          </cell>
          <cell r="D327">
            <v>0</v>
          </cell>
          <cell r="E327">
            <v>0</v>
          </cell>
        </row>
        <row r="328">
          <cell r="A328" t="str">
            <v>B071JXZVZV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B071WW2SX5</v>
          </cell>
          <cell r="B329">
            <v>4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B0747PHS7V</v>
          </cell>
          <cell r="B330">
            <v>29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B0747SC2YK</v>
          </cell>
          <cell r="B331">
            <v>5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B077Z7RK81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B07BLR3VDW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  <row r="334">
          <cell r="A334" t="str">
            <v>B07BLV8M7G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584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43262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287</v>
      </c>
      <c r="E5" s="4">
        <f>SUM(E6:E19999)</f>
        <v>311</v>
      </c>
      <c r="F5" s="4">
        <f>SUM(F6:F19999)</f>
        <v>379</v>
      </c>
      <c r="G5" s="4">
        <f>SUM(G6:G19999)</f>
        <v>346</v>
      </c>
      <c r="I5" s="4">
        <f t="shared" ref="I5:O5" si="3">SUM(I6:I29999)</f>
        <v>3097</v>
      </c>
      <c r="J5" s="4">
        <f t="shared" si="3"/>
        <v>2604</v>
      </c>
      <c r="K5" s="4">
        <f t="shared" si="3"/>
        <v>34</v>
      </c>
      <c r="L5" s="4">
        <f t="shared" si="3"/>
        <v>27</v>
      </c>
      <c r="M5" s="4">
        <f t="shared" si="3"/>
        <v>5762</v>
      </c>
      <c r="N5" s="4">
        <f t="shared" si="3"/>
        <v>27</v>
      </c>
      <c r="O5" s="4">
        <f t="shared" si="3"/>
        <v>1268</v>
      </c>
      <c r="AB5" s="4">
        <f>SUM(AB6:AB2099)</f>
        <v>537.12</v>
      </c>
      <c r="AC5" s="4">
        <f>SUM(AC6:AC2099)</f>
        <v>476.68</v>
      </c>
      <c r="AD5" s="4">
        <f>SUM(AD6:AD2099)</f>
        <v>542.23</v>
      </c>
      <c r="AE5" s="4">
        <f>SUM(AE6:AE2099)</f>
        <v>636.33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1</v>
      </c>
      <c r="E6" s="31">
        <v>0</v>
      </c>
      <c r="F6" s="31">
        <v>0</v>
      </c>
      <c r="G6" s="31">
        <v>0</v>
      </c>
      <c r="H6" s="32">
        <v>8.99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>
        <v>118</v>
      </c>
      <c r="Q6">
        <v>128</v>
      </c>
      <c r="R6">
        <v>186</v>
      </c>
      <c r="S6">
        <v>59</v>
      </c>
      <c r="T6">
        <v>0</v>
      </c>
      <c r="U6">
        <v>0</v>
      </c>
      <c r="V6">
        <v>0</v>
      </c>
      <c r="W6">
        <v>0</v>
      </c>
      <c r="X6" s="23">
        <v>0</v>
      </c>
      <c r="Y6" s="23">
        <v>0</v>
      </c>
      <c r="Z6" s="23">
        <v>0</v>
      </c>
      <c r="AA6" s="23">
        <v>0</v>
      </c>
      <c r="AB6">
        <v>0</v>
      </c>
      <c r="AC6">
        <v>0</v>
      </c>
      <c r="AD6">
        <v>0</v>
      </c>
      <c r="AE6">
        <v>0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3</v>
      </c>
      <c r="AK6">
        <v>1</v>
      </c>
      <c r="AL6">
        <v>1</v>
      </c>
      <c r="AM6">
        <v>1</v>
      </c>
      <c r="AN6" s="23">
        <v>0.333333333333333</v>
      </c>
      <c r="AO6" s="23">
        <v>0</v>
      </c>
      <c r="AP6" s="23">
        <v>0</v>
      </c>
      <c r="AQ6" s="23">
        <v>0</v>
      </c>
      <c r="AR6" s="35">
        <v>0.142857142857143</v>
      </c>
      <c r="AS6" s="35">
        <v>8.57142857142857</v>
      </c>
      <c r="AT6" s="35">
        <v>-7.57142857142857</v>
      </c>
      <c r="AU6" s="31">
        <f t="shared" si="2"/>
        <v>7</v>
      </c>
      <c r="AV6" s="36">
        <f>IFERROR($A$2+AU6,"上周无销量")</f>
        <v>43269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1</v>
      </c>
      <c r="AL7">
        <v>0</v>
      </c>
      <c r="AM7">
        <v>1</v>
      </c>
      <c r="AN7" s="23" t="s">
        <v>54</v>
      </c>
      <c r="AO7" s="23">
        <v>0</v>
      </c>
      <c r="AP7" s="23" t="s">
        <v>54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2</v>
      </c>
      <c r="AK8">
        <v>1</v>
      </c>
      <c r="AL8">
        <v>0</v>
      </c>
      <c r="AM8">
        <v>1</v>
      </c>
      <c r="AN8" s="23">
        <v>0</v>
      </c>
      <c r="AO8" s="23">
        <v>0</v>
      </c>
      <c r="AP8" s="23" t="s">
        <v>54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4</v>
      </c>
      <c r="J9" s="33">
        <v>0</v>
      </c>
      <c r="K9" s="33">
        <v>0</v>
      </c>
      <c r="L9" s="33">
        <v>0</v>
      </c>
      <c r="M9">
        <v>4</v>
      </c>
      <c r="N9">
        <v>0</v>
      </c>
      <c r="O9">
        <v>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1</v>
      </c>
      <c r="AL9">
        <v>1</v>
      </c>
      <c r="AM9">
        <v>0</v>
      </c>
      <c r="AN9" s="23" t="s">
        <v>54</v>
      </c>
      <c r="AO9" s="23">
        <v>0</v>
      </c>
      <c r="AP9" s="23">
        <v>0</v>
      </c>
      <c r="AQ9" s="23" t="s">
        <v>54</v>
      </c>
      <c r="AR9" s="35">
        <v>0</v>
      </c>
      <c r="AS9" s="35">
        <v>0</v>
      </c>
      <c r="AT9" s="35">
        <v>4</v>
      </c>
      <c r="AU9" s="31" t="str">
        <f t="shared" si="2"/>
        <v>库存为4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0</v>
      </c>
      <c r="AL10">
        <v>1</v>
      </c>
      <c r="AM10">
        <v>0</v>
      </c>
      <c r="AN10" s="23">
        <v>0</v>
      </c>
      <c r="AO10" s="23" t="s">
        <v>54</v>
      </c>
      <c r="AP10" s="23">
        <v>0</v>
      </c>
      <c r="AQ10" s="23" t="s">
        <v>54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2</v>
      </c>
      <c r="AL11">
        <v>0</v>
      </c>
      <c r="AM11">
        <v>1</v>
      </c>
      <c r="AN11" s="23">
        <v>0</v>
      </c>
      <c r="AO11" s="23">
        <v>0</v>
      </c>
      <c r="AP11" s="23" t="s">
        <v>54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1</v>
      </c>
      <c r="E13" s="31">
        <v>1</v>
      </c>
      <c r="F13" s="31">
        <v>0</v>
      </c>
      <c r="G13" s="31">
        <v>0</v>
      </c>
      <c r="H13" s="32">
        <v>8.99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145</v>
      </c>
      <c r="Q13">
        <v>270</v>
      </c>
      <c r="R13">
        <v>267</v>
      </c>
      <c r="S13">
        <v>91</v>
      </c>
      <c r="T13">
        <v>2</v>
      </c>
      <c r="U13">
        <v>1</v>
      </c>
      <c r="V13">
        <v>1</v>
      </c>
      <c r="W13">
        <v>1</v>
      </c>
      <c r="X13" s="23">
        <v>0.0137931034482759</v>
      </c>
      <c r="Y13" s="23">
        <v>0.0037037037037037</v>
      </c>
      <c r="Z13" s="23">
        <v>0.00374531835205993</v>
      </c>
      <c r="AA13" s="23">
        <v>0.010989010989011</v>
      </c>
      <c r="AB13">
        <v>0.48</v>
      </c>
      <c r="AC13">
        <v>0.29</v>
      </c>
      <c r="AD13">
        <v>0.48</v>
      </c>
      <c r="AE13">
        <v>0.17</v>
      </c>
      <c r="AF13" s="23">
        <v>0.0533926585094549</v>
      </c>
      <c r="AG13" s="23">
        <v>0.032258064516129</v>
      </c>
      <c r="AH13" s="23">
        <v>0</v>
      </c>
      <c r="AI13" s="23">
        <v>0</v>
      </c>
      <c r="AJ13">
        <v>5</v>
      </c>
      <c r="AK13">
        <v>3</v>
      </c>
      <c r="AL13">
        <v>2</v>
      </c>
      <c r="AM13">
        <v>5</v>
      </c>
      <c r="AN13" s="23">
        <v>0.2</v>
      </c>
      <c r="AO13" s="23">
        <v>0.333333333333333</v>
      </c>
      <c r="AP13" s="23">
        <v>0</v>
      </c>
      <c r="AQ13" s="23">
        <v>0</v>
      </c>
      <c r="AR13" s="35">
        <v>0.142857142857143</v>
      </c>
      <c r="AS13" s="35">
        <v>8.57142857142857</v>
      </c>
      <c r="AT13" s="35">
        <v>-8.57142857142857</v>
      </c>
      <c r="AU13" s="31">
        <f t="shared" si="2"/>
        <v>0</v>
      </c>
      <c r="AV13" s="36">
        <f>IFERROR($A$2+AU13,"上周无销量")</f>
        <v>43262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90</v>
      </c>
      <c r="Q14">
        <v>85</v>
      </c>
      <c r="R14">
        <v>132</v>
      </c>
      <c r="S14">
        <v>44</v>
      </c>
      <c r="T14">
        <v>0</v>
      </c>
      <c r="U14">
        <v>0</v>
      </c>
      <c r="V14">
        <v>0</v>
      </c>
      <c r="W14">
        <v>0</v>
      </c>
      <c r="X14" s="23">
        <v>0</v>
      </c>
      <c r="Y14" s="23">
        <v>0</v>
      </c>
      <c r="Z14" s="23">
        <v>0</v>
      </c>
      <c r="AA14" s="23">
        <v>0</v>
      </c>
      <c r="AB14">
        <v>0</v>
      </c>
      <c r="AC14">
        <v>0</v>
      </c>
      <c r="AD14">
        <v>0</v>
      </c>
      <c r="AE14">
        <v>0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1</v>
      </c>
      <c r="AK14">
        <v>4</v>
      </c>
      <c r="AL14">
        <v>0</v>
      </c>
      <c r="AM14">
        <v>0</v>
      </c>
      <c r="AN14" s="23">
        <v>0</v>
      </c>
      <c r="AO14" s="23">
        <v>0</v>
      </c>
      <c r="AP14" s="23" t="s">
        <v>54</v>
      </c>
      <c r="AQ14" s="23" t="s">
        <v>54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1</v>
      </c>
      <c r="F15" s="31">
        <v>0</v>
      </c>
      <c r="G15" s="31">
        <v>0</v>
      </c>
      <c r="H15" s="32">
        <v>8.99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2</v>
      </c>
      <c r="P15">
        <v>91</v>
      </c>
      <c r="Q15">
        <v>117</v>
      </c>
      <c r="R15">
        <v>166</v>
      </c>
      <c r="S15">
        <v>22</v>
      </c>
      <c r="T15">
        <v>0</v>
      </c>
      <c r="U15">
        <v>0</v>
      </c>
      <c r="V15">
        <v>0</v>
      </c>
      <c r="W15">
        <v>0</v>
      </c>
      <c r="X15" s="23">
        <v>0</v>
      </c>
      <c r="Y15" s="23">
        <v>0</v>
      </c>
      <c r="Z15" s="23">
        <v>0</v>
      </c>
      <c r="AA15" s="23">
        <v>0</v>
      </c>
      <c r="AB15">
        <v>0</v>
      </c>
      <c r="AC15">
        <v>0</v>
      </c>
      <c r="AD15">
        <v>0</v>
      </c>
      <c r="AE15">
        <v>0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2</v>
      </c>
      <c r="AK15">
        <v>0</v>
      </c>
      <c r="AL15">
        <v>1</v>
      </c>
      <c r="AM15">
        <v>1</v>
      </c>
      <c r="AN15" s="23">
        <v>0</v>
      </c>
      <c r="AO15" s="23" t="s">
        <v>54</v>
      </c>
      <c r="AP15" s="23">
        <v>0</v>
      </c>
      <c r="AQ15" s="23">
        <v>0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</v>
      </c>
      <c r="AK16">
        <v>2</v>
      </c>
      <c r="AL16">
        <v>0</v>
      </c>
      <c r="AM16">
        <v>2</v>
      </c>
      <c r="AN16" s="23">
        <v>0</v>
      </c>
      <c r="AO16" s="23">
        <v>0</v>
      </c>
      <c r="AP16" s="23" t="s">
        <v>54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1</v>
      </c>
      <c r="AL17">
        <v>0</v>
      </c>
      <c r="AM17">
        <v>1</v>
      </c>
      <c r="AN17" s="23" t="s">
        <v>54</v>
      </c>
      <c r="AO17" s="23">
        <v>0</v>
      </c>
      <c r="AP17" s="23" t="s">
        <v>54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1</v>
      </c>
      <c r="AL18">
        <v>1</v>
      </c>
      <c r="AM18">
        <v>0</v>
      </c>
      <c r="AN18" s="23">
        <v>0</v>
      </c>
      <c r="AO18" s="23">
        <v>0</v>
      </c>
      <c r="AP18" s="23">
        <v>0</v>
      </c>
      <c r="AQ18" s="23" t="s">
        <v>54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2</v>
      </c>
      <c r="AL19">
        <v>2</v>
      </c>
      <c r="AM19">
        <v>1</v>
      </c>
      <c r="AN19" s="23" t="s">
        <v>54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1</v>
      </c>
      <c r="AL20">
        <v>0</v>
      </c>
      <c r="AM20">
        <v>1</v>
      </c>
      <c r="AN20" s="23" t="s">
        <v>54</v>
      </c>
      <c r="AO20" s="23">
        <v>0</v>
      </c>
      <c r="AP20" s="23" t="s">
        <v>54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2</v>
      </c>
      <c r="E21" s="31">
        <v>2</v>
      </c>
      <c r="F21" s="31">
        <v>0</v>
      </c>
      <c r="G21" s="31">
        <v>0</v>
      </c>
      <c r="H21" s="32">
        <v>35.99</v>
      </c>
      <c r="I21">
        <v>3</v>
      </c>
      <c r="J21" s="33">
        <v>0</v>
      </c>
      <c r="K21" s="33">
        <v>0</v>
      </c>
      <c r="L21" s="33">
        <v>0</v>
      </c>
      <c r="M21">
        <v>3</v>
      </c>
      <c r="N21">
        <v>1</v>
      </c>
      <c r="O21">
        <v>0</v>
      </c>
      <c r="P21">
        <v>12559</v>
      </c>
      <c r="Q21">
        <v>4367</v>
      </c>
      <c r="R21">
        <v>0</v>
      </c>
      <c r="S21">
        <v>0</v>
      </c>
      <c r="T21">
        <v>44</v>
      </c>
      <c r="U21">
        <v>12</v>
      </c>
      <c r="V21">
        <v>0</v>
      </c>
      <c r="W21">
        <v>0</v>
      </c>
      <c r="X21" s="23">
        <v>0.00350346365156461</v>
      </c>
      <c r="Y21" s="23">
        <v>0.00274788184108083</v>
      </c>
      <c r="Z21" s="23" t="s">
        <v>54</v>
      </c>
      <c r="AA21" s="23" t="s">
        <v>54</v>
      </c>
      <c r="AB21">
        <v>19.34</v>
      </c>
      <c r="AC21">
        <v>5.61</v>
      </c>
      <c r="AD21">
        <v>0</v>
      </c>
      <c r="AE21">
        <v>0</v>
      </c>
      <c r="AF21" s="23">
        <v>0.268685746040567</v>
      </c>
      <c r="AG21" s="23">
        <v>0.0779383161989441</v>
      </c>
      <c r="AH21" s="23" t="s">
        <v>54</v>
      </c>
      <c r="AI21" s="23" t="s">
        <v>54</v>
      </c>
      <c r="AJ21">
        <v>13</v>
      </c>
      <c r="AK21">
        <v>9</v>
      </c>
      <c r="AL21">
        <v>5</v>
      </c>
      <c r="AM21">
        <v>4</v>
      </c>
      <c r="AN21" s="23">
        <v>0.153846153846154</v>
      </c>
      <c r="AO21" s="23">
        <v>0.222222222222222</v>
      </c>
      <c r="AP21" s="23">
        <v>0</v>
      </c>
      <c r="AQ21" s="23">
        <v>0</v>
      </c>
      <c r="AR21" s="35">
        <v>0.285714285714286</v>
      </c>
      <c r="AS21" s="35">
        <v>17.1428571428571</v>
      </c>
      <c r="AT21" s="35">
        <v>-14.1428571428571</v>
      </c>
      <c r="AU21" s="31">
        <f t="shared" si="2"/>
        <v>10</v>
      </c>
      <c r="AV21" s="36">
        <f>IFERROR($A$2+AU21,"上周无销量")</f>
        <v>43272</v>
      </c>
    </row>
    <row r="22" spans="1:48">
      <c r="A22" s="21" t="s">
        <v>87</v>
      </c>
      <c r="B22" t="s">
        <v>88</v>
      </c>
      <c r="C22" t="s">
        <v>86</v>
      </c>
      <c r="D22" s="31">
        <v>1</v>
      </c>
      <c r="E22" s="31">
        <v>0</v>
      </c>
      <c r="F22" s="31">
        <v>2</v>
      </c>
      <c r="G22" s="31">
        <v>0</v>
      </c>
      <c r="H22" s="32">
        <v>29.99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>
        <v>1236</v>
      </c>
      <c r="Q22">
        <v>0</v>
      </c>
      <c r="R22">
        <v>0</v>
      </c>
      <c r="S22">
        <v>0</v>
      </c>
      <c r="T22">
        <v>4</v>
      </c>
      <c r="U22">
        <v>0</v>
      </c>
      <c r="V22">
        <v>0</v>
      </c>
      <c r="W22">
        <v>0</v>
      </c>
      <c r="X22" s="23">
        <v>0.00323624595469256</v>
      </c>
      <c r="Y22" s="23" t="s">
        <v>54</v>
      </c>
      <c r="Z22" s="23" t="s">
        <v>54</v>
      </c>
      <c r="AA22" s="23" t="s">
        <v>54</v>
      </c>
      <c r="AB22">
        <v>1.74</v>
      </c>
      <c r="AC22">
        <v>0</v>
      </c>
      <c r="AD22">
        <v>0</v>
      </c>
      <c r="AE22">
        <v>0</v>
      </c>
      <c r="AF22" s="23">
        <v>0.0580193397799266</v>
      </c>
      <c r="AG22" s="23" t="s">
        <v>54</v>
      </c>
      <c r="AH22" s="23" t="s">
        <v>54</v>
      </c>
      <c r="AI22" s="23" t="s">
        <v>54</v>
      </c>
      <c r="AJ22">
        <v>14</v>
      </c>
      <c r="AK22">
        <v>33</v>
      </c>
      <c r="AL22">
        <v>19</v>
      </c>
      <c r="AM22">
        <v>7</v>
      </c>
      <c r="AN22" s="23">
        <v>0.0714285714285714</v>
      </c>
      <c r="AO22" s="23">
        <v>0</v>
      </c>
      <c r="AP22" s="23">
        <v>0.105263157894737</v>
      </c>
      <c r="AQ22" s="23">
        <v>0</v>
      </c>
      <c r="AR22" s="35">
        <v>0.142857142857143</v>
      </c>
      <c r="AS22" s="35">
        <v>8.57142857142857</v>
      </c>
      <c r="AT22" s="35">
        <v>-6.57142857142857</v>
      </c>
      <c r="AU22" s="31">
        <f t="shared" si="2"/>
        <v>14</v>
      </c>
      <c r="AV22" s="36">
        <f>IFERROR($A$2+AU22,"上周无销量")</f>
        <v>43276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2</v>
      </c>
      <c r="F24" s="31">
        <v>0</v>
      </c>
      <c r="G24" s="31">
        <v>1</v>
      </c>
      <c r="H24" s="32">
        <v>29.99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13</v>
      </c>
      <c r="AL24">
        <v>7</v>
      </c>
      <c r="AM24">
        <v>11</v>
      </c>
      <c r="AN24" s="23" t="s">
        <v>54</v>
      </c>
      <c r="AO24" s="23">
        <v>0.153846153846154</v>
      </c>
      <c r="AP24" s="23">
        <v>0</v>
      </c>
      <c r="AQ24" s="23">
        <v>0.0909090909090909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1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14</v>
      </c>
      <c r="AK26">
        <v>33</v>
      </c>
      <c r="AL26">
        <v>19</v>
      </c>
      <c r="AM26">
        <v>7</v>
      </c>
      <c r="AN26" s="23">
        <v>0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3</v>
      </c>
      <c r="E27" s="31">
        <v>1</v>
      </c>
      <c r="F27" s="31">
        <v>0</v>
      </c>
      <c r="G27" s="31">
        <v>1</v>
      </c>
      <c r="H27" s="32">
        <v>29.99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4750</v>
      </c>
      <c r="T27">
        <v>0</v>
      </c>
      <c r="U27">
        <v>0</v>
      </c>
      <c r="V27">
        <v>0</v>
      </c>
      <c r="W27">
        <v>17</v>
      </c>
      <c r="X27" s="23" t="s">
        <v>54</v>
      </c>
      <c r="Y27" s="23" t="s">
        <v>54</v>
      </c>
      <c r="Z27" s="23" t="s">
        <v>54</v>
      </c>
      <c r="AA27" s="23">
        <v>0.00357894736842105</v>
      </c>
      <c r="AB27">
        <v>0</v>
      </c>
      <c r="AC27">
        <v>0</v>
      </c>
      <c r="AD27">
        <v>0</v>
      </c>
      <c r="AE27">
        <v>10.71</v>
      </c>
      <c r="AF27" s="23" t="s">
        <v>54</v>
      </c>
      <c r="AG27" s="23" t="s">
        <v>54</v>
      </c>
      <c r="AH27" s="23" t="s">
        <v>54</v>
      </c>
      <c r="AI27" s="23">
        <v>0.357119039679893</v>
      </c>
      <c r="AJ27">
        <v>10</v>
      </c>
      <c r="AK27">
        <v>13</v>
      </c>
      <c r="AL27">
        <v>8</v>
      </c>
      <c r="AM27">
        <v>20</v>
      </c>
      <c r="AN27" s="23">
        <v>0.3</v>
      </c>
      <c r="AO27" s="23">
        <v>0.0769230769230769</v>
      </c>
      <c r="AP27" s="23">
        <v>0</v>
      </c>
      <c r="AQ27" s="23">
        <v>0.05</v>
      </c>
      <c r="AR27" s="35">
        <v>0.428571428571429</v>
      </c>
      <c r="AS27" s="35">
        <v>25.7142857142857</v>
      </c>
      <c r="AT27" s="35">
        <v>-25.7142857142857</v>
      </c>
      <c r="AU27" s="31">
        <f t="shared" si="2"/>
        <v>0</v>
      </c>
      <c r="AV27" s="36">
        <f>IFERROR($A$2+AU27,"上周无销量")</f>
        <v>43262</v>
      </c>
    </row>
    <row r="28" spans="1:48">
      <c r="A28" s="21" t="s">
        <v>99</v>
      </c>
      <c r="B28" t="s">
        <v>100</v>
      </c>
      <c r="C28" t="s">
        <v>91</v>
      </c>
      <c r="D28" s="31">
        <v>1</v>
      </c>
      <c r="E28" s="31">
        <v>1</v>
      </c>
      <c r="F28" s="31">
        <v>1</v>
      </c>
      <c r="G28" s="31">
        <v>0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1</v>
      </c>
      <c r="O28">
        <v>0</v>
      </c>
      <c r="P28">
        <v>3078</v>
      </c>
      <c r="Q28">
        <v>0</v>
      </c>
      <c r="R28">
        <v>0</v>
      </c>
      <c r="S28">
        <v>0</v>
      </c>
      <c r="T28">
        <v>10</v>
      </c>
      <c r="U28">
        <v>0</v>
      </c>
      <c r="V28">
        <v>0</v>
      </c>
      <c r="W28">
        <v>0</v>
      </c>
      <c r="X28" s="23">
        <v>0.0032488628979857</v>
      </c>
      <c r="Y28" s="23" t="s">
        <v>54</v>
      </c>
      <c r="Z28" s="23" t="s">
        <v>54</v>
      </c>
      <c r="AA28" s="23" t="s">
        <v>54</v>
      </c>
      <c r="AB28">
        <v>5.18</v>
      </c>
      <c r="AC28">
        <v>0</v>
      </c>
      <c r="AD28">
        <v>0</v>
      </c>
      <c r="AE28">
        <v>0</v>
      </c>
      <c r="AF28" s="23">
        <v>0.172724241413805</v>
      </c>
      <c r="AG28" s="23" t="s">
        <v>54</v>
      </c>
      <c r="AH28" s="23" t="s">
        <v>54</v>
      </c>
      <c r="AI28" s="23" t="s">
        <v>54</v>
      </c>
      <c r="AJ28">
        <v>6</v>
      </c>
      <c r="AK28">
        <v>16</v>
      </c>
      <c r="AL28">
        <v>6</v>
      </c>
      <c r="AM28">
        <v>13</v>
      </c>
      <c r="AN28" s="23">
        <v>0.166666666666667</v>
      </c>
      <c r="AO28" s="23">
        <v>0.0625</v>
      </c>
      <c r="AP28" s="23">
        <v>0.166666666666667</v>
      </c>
      <c r="AQ28" s="23">
        <v>0</v>
      </c>
      <c r="AR28" s="35">
        <v>0.142857142857143</v>
      </c>
      <c r="AS28" s="35">
        <v>8.57142857142857</v>
      </c>
      <c r="AT28" s="35">
        <v>-8.57142857142857</v>
      </c>
      <c r="AU28" s="31">
        <f t="shared" si="2"/>
        <v>0</v>
      </c>
      <c r="AV28" s="36">
        <f>IFERROR($A$2+AU28,"上周无销量")</f>
        <v>43262</v>
      </c>
    </row>
    <row r="29" spans="1:48">
      <c r="A29" s="21" t="s">
        <v>101</v>
      </c>
      <c r="B29" t="s">
        <v>102</v>
      </c>
      <c r="C29" t="s">
        <v>91</v>
      </c>
      <c r="D29" s="31">
        <v>1</v>
      </c>
      <c r="E29" s="31">
        <v>4</v>
      </c>
      <c r="F29" s="31">
        <v>0</v>
      </c>
      <c r="G29" s="31">
        <v>0</v>
      </c>
      <c r="H29" s="32">
        <v>29.99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>
        <v>1977</v>
      </c>
      <c r="Q29">
        <v>29825</v>
      </c>
      <c r="R29">
        <v>32643</v>
      </c>
      <c r="S29">
        <v>12360</v>
      </c>
      <c r="T29">
        <v>7</v>
      </c>
      <c r="U29">
        <v>63</v>
      </c>
      <c r="V29">
        <v>79</v>
      </c>
      <c r="W29">
        <v>35</v>
      </c>
      <c r="X29" s="23">
        <v>0.00354071825998988</v>
      </c>
      <c r="Y29" s="23">
        <v>0.00211232187761945</v>
      </c>
      <c r="Z29" s="23">
        <v>0.00242012069969059</v>
      </c>
      <c r="AA29" s="23">
        <v>0.00283171521035599</v>
      </c>
      <c r="AB29">
        <v>2.2</v>
      </c>
      <c r="AC29">
        <v>31.19</v>
      </c>
      <c r="AD29">
        <v>39.04</v>
      </c>
      <c r="AE29">
        <v>16.87</v>
      </c>
      <c r="AF29" s="23">
        <v>0.0733577859286429</v>
      </c>
      <c r="AG29" s="23">
        <v>0.260003334444815</v>
      </c>
      <c r="AH29" s="23">
        <v>0</v>
      </c>
      <c r="AI29" s="23">
        <v>0</v>
      </c>
      <c r="AJ29">
        <v>5</v>
      </c>
      <c r="AK29">
        <v>40</v>
      </c>
      <c r="AL29">
        <v>37</v>
      </c>
      <c r="AM29">
        <v>10</v>
      </c>
      <c r="AN29" s="23">
        <v>0.2</v>
      </c>
      <c r="AO29" s="23">
        <v>0.1</v>
      </c>
      <c r="AP29" s="23">
        <v>0</v>
      </c>
      <c r="AQ29" s="23">
        <v>0</v>
      </c>
      <c r="AR29" s="35">
        <v>0.142857142857143</v>
      </c>
      <c r="AS29" s="35">
        <v>8.57142857142857</v>
      </c>
      <c r="AT29" s="35">
        <v>-8.57142857142857</v>
      </c>
      <c r="AU29" s="31">
        <f t="shared" si="2"/>
        <v>0</v>
      </c>
      <c r="AV29" s="36">
        <f>IFERROR($A$2+AU29,"上周无销量")</f>
        <v>43262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20</v>
      </c>
      <c r="J30" s="33">
        <v>0</v>
      </c>
      <c r="K30" s="33">
        <v>0</v>
      </c>
      <c r="L30" s="33">
        <v>0</v>
      </c>
      <c r="M30">
        <v>20</v>
      </c>
      <c r="N30">
        <v>0</v>
      </c>
      <c r="O30">
        <v>0</v>
      </c>
      <c r="P30">
        <v>4858</v>
      </c>
      <c r="Q30">
        <v>1277</v>
      </c>
      <c r="R30">
        <v>9960</v>
      </c>
      <c r="S30">
        <v>21294</v>
      </c>
      <c r="T30">
        <v>15</v>
      </c>
      <c r="U30">
        <v>0</v>
      </c>
      <c r="V30">
        <v>19</v>
      </c>
      <c r="W30">
        <v>48</v>
      </c>
      <c r="X30" s="23">
        <v>0.00308769040757513</v>
      </c>
      <c r="Y30" s="23">
        <v>0</v>
      </c>
      <c r="Z30" s="23">
        <v>0.00190763052208835</v>
      </c>
      <c r="AA30" s="23">
        <v>0.00225415610030995</v>
      </c>
      <c r="AB30">
        <v>15.28</v>
      </c>
      <c r="AC30">
        <v>0</v>
      </c>
      <c r="AD30">
        <v>8.82</v>
      </c>
      <c r="AE30">
        <v>22.13</v>
      </c>
      <c r="AF30" s="23">
        <v>0</v>
      </c>
      <c r="AG30" s="23" t="s">
        <v>54</v>
      </c>
      <c r="AH30" s="23">
        <v>0</v>
      </c>
      <c r="AI30" s="23">
        <v>0</v>
      </c>
      <c r="AJ30">
        <v>2</v>
      </c>
      <c r="AK30">
        <v>2</v>
      </c>
      <c r="AL30">
        <v>3</v>
      </c>
      <c r="AM30">
        <v>25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20</v>
      </c>
      <c r="AU30" s="31" t="str">
        <f t="shared" si="2"/>
        <v>库存为20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s">
        <v>252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9</v>
      </c>
      <c r="J102" s="33">
        <v>0</v>
      </c>
      <c r="K102" s="33">
        <v>0</v>
      </c>
      <c r="L102" s="33">
        <v>0</v>
      </c>
      <c r="M102">
        <v>9</v>
      </c>
      <c r="N102">
        <v>0</v>
      </c>
      <c r="O102">
        <v>9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1</v>
      </c>
      <c r="AL102">
        <v>1</v>
      </c>
      <c r="AM102">
        <v>1</v>
      </c>
      <c r="AN102" s="23" t="s">
        <v>54</v>
      </c>
      <c r="AO102" s="23">
        <v>0</v>
      </c>
      <c r="AP102" s="23">
        <v>0</v>
      </c>
      <c r="AQ102" s="23">
        <v>0</v>
      </c>
      <c r="AR102" s="35">
        <v>0</v>
      </c>
      <c r="AS102" s="35">
        <v>0</v>
      </c>
      <c r="AT102" s="35">
        <v>9</v>
      </c>
      <c r="AU102" s="31" t="str">
        <f t="shared" si="4"/>
        <v>库存为9</v>
      </c>
      <c r="AV102" s="36" t="str">
        <f>IFERROR($A$2+AU102,"上周无销量")</f>
        <v>上周无销量</v>
      </c>
    </row>
    <row r="103" spans="1:48">
      <c r="A103" s="21" t="s">
        <v>253</v>
      </c>
      <c r="B103" t="s">
        <v>254</v>
      </c>
      <c r="C103" t="s">
        <v>252</v>
      </c>
      <c r="D103" s="31">
        <v>0</v>
      </c>
      <c r="E103" s="31">
        <v>0</v>
      </c>
      <c r="F103" s="31">
        <v>1</v>
      </c>
      <c r="G103" s="31">
        <v>0</v>
      </c>
      <c r="H103" s="32">
        <v>20.99</v>
      </c>
      <c r="I103">
        <v>4</v>
      </c>
      <c r="J103" s="33">
        <v>0</v>
      </c>
      <c r="K103" s="33">
        <v>0</v>
      </c>
      <c r="L103" s="33">
        <v>0</v>
      </c>
      <c r="M103">
        <v>4</v>
      </c>
      <c r="N103">
        <v>0</v>
      </c>
      <c r="O103">
        <v>5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3</v>
      </c>
      <c r="AK103">
        <v>2</v>
      </c>
      <c r="AL103">
        <v>6</v>
      </c>
      <c r="AM103">
        <v>1</v>
      </c>
      <c r="AN103" s="23">
        <v>0</v>
      </c>
      <c r="AO103" s="23">
        <v>0</v>
      </c>
      <c r="AP103" s="23">
        <v>0.166666666666667</v>
      </c>
      <c r="AQ103" s="23">
        <v>0</v>
      </c>
      <c r="AR103" s="35">
        <v>0</v>
      </c>
      <c r="AS103" s="35">
        <v>0</v>
      </c>
      <c r="AT103" s="35">
        <v>4</v>
      </c>
      <c r="AU103" s="31" t="str">
        <f t="shared" si="4"/>
        <v>库存为4</v>
      </c>
      <c r="AV103" s="36" t="str">
        <f>IFERROR($A$2+AU103,"上周无销量")</f>
        <v>上周无销量</v>
      </c>
    </row>
    <row r="104" spans="1:48">
      <c r="A104" s="21" t="s">
        <v>255</v>
      </c>
      <c r="B104" t="s">
        <v>256</v>
      </c>
      <c r="C104" t="s">
        <v>257</v>
      </c>
      <c r="D104" s="31">
        <v>1</v>
      </c>
      <c r="E104" s="31">
        <v>0</v>
      </c>
      <c r="F104" s="31">
        <v>1</v>
      </c>
      <c r="G104" s="31">
        <v>0</v>
      </c>
      <c r="H104" s="32">
        <v>25.99</v>
      </c>
      <c r="I104">
        <v>1</v>
      </c>
      <c r="J104" s="33">
        <v>0</v>
      </c>
      <c r="K104" s="33">
        <v>0</v>
      </c>
      <c r="L104" s="33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10</v>
      </c>
      <c r="AK104">
        <v>2</v>
      </c>
      <c r="AL104">
        <v>3</v>
      </c>
      <c r="AM104">
        <v>2</v>
      </c>
      <c r="AN104" s="23">
        <v>0.1</v>
      </c>
      <c r="AO104" s="23">
        <v>0</v>
      </c>
      <c r="AP104" s="23">
        <v>0.333333333333333</v>
      </c>
      <c r="AQ104" s="23">
        <v>0</v>
      </c>
      <c r="AR104" s="35">
        <v>0.142857142857143</v>
      </c>
      <c r="AS104" s="35">
        <v>8.57142857142857</v>
      </c>
      <c r="AT104" s="35">
        <v>-7.57142857142857</v>
      </c>
      <c r="AU104" s="31">
        <f t="shared" si="4"/>
        <v>7</v>
      </c>
      <c r="AV104" s="36">
        <f>IFERROR($A$2+AU104,"上周无销量")</f>
        <v>43269</v>
      </c>
    </row>
    <row r="105" spans="1:48">
      <c r="A105" s="21" t="s">
        <v>258</v>
      </c>
      <c r="B105" t="s">
        <v>259</v>
      </c>
      <c r="C105" t="s">
        <v>257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260</v>
      </c>
      <c r="B106" t="s">
        <v>261</v>
      </c>
      <c r="C106" t="s">
        <v>262</v>
      </c>
      <c r="D106" s="31">
        <v>0</v>
      </c>
      <c r="E106" s="31">
        <v>0</v>
      </c>
      <c r="F106" s="31">
        <v>1</v>
      </c>
      <c r="G106" s="31">
        <v>0</v>
      </c>
      <c r="H106" s="32">
        <v>25.99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>
        <v>0</v>
      </c>
      <c r="Q106">
        <v>81</v>
      </c>
      <c r="R106">
        <v>533</v>
      </c>
      <c r="S106">
        <v>536</v>
      </c>
      <c r="T106">
        <v>0</v>
      </c>
      <c r="U106">
        <v>0</v>
      </c>
      <c r="V106">
        <v>1</v>
      </c>
      <c r="W106">
        <v>2</v>
      </c>
      <c r="X106" s="23" t="s">
        <v>54</v>
      </c>
      <c r="Y106" s="23">
        <v>0</v>
      </c>
      <c r="Z106" s="23">
        <v>0.00187617260787992</v>
      </c>
      <c r="AA106" s="23">
        <v>0.00373134328358209</v>
      </c>
      <c r="AB106">
        <v>0</v>
      </c>
      <c r="AC106">
        <v>0</v>
      </c>
      <c r="AD106">
        <v>0.31</v>
      </c>
      <c r="AE106">
        <v>0.57</v>
      </c>
      <c r="AF106" s="23" t="s">
        <v>54</v>
      </c>
      <c r="AG106" s="23" t="s">
        <v>54</v>
      </c>
      <c r="AH106" s="23">
        <v>0.0119276644863409</v>
      </c>
      <c r="AI106" s="23">
        <v>0</v>
      </c>
      <c r="AJ106">
        <v>0</v>
      </c>
      <c r="AK106">
        <v>0</v>
      </c>
      <c r="AL106">
        <v>5</v>
      </c>
      <c r="AM106">
        <v>2</v>
      </c>
      <c r="AN106" s="23" t="s">
        <v>54</v>
      </c>
      <c r="AO106" s="23" t="s">
        <v>54</v>
      </c>
      <c r="AP106" s="23">
        <v>0.2</v>
      </c>
      <c r="AQ106" s="23">
        <v>0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263</v>
      </c>
      <c r="B107" t="s">
        <v>264</v>
      </c>
      <c r="C107" t="s">
        <v>262</v>
      </c>
      <c r="D107" s="31">
        <v>0</v>
      </c>
      <c r="E107" s="31">
        <v>0</v>
      </c>
      <c r="F107" s="31">
        <v>1</v>
      </c>
      <c r="G107" s="31">
        <v>0</v>
      </c>
      <c r="H107" s="32">
        <v>25.99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1</v>
      </c>
      <c r="AM107">
        <v>1</v>
      </c>
      <c r="AN107" s="23" t="s">
        <v>54</v>
      </c>
      <c r="AO107" s="23" t="s">
        <v>54</v>
      </c>
      <c r="AP107" s="23">
        <v>1</v>
      </c>
      <c r="AQ107" s="23">
        <v>0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265</v>
      </c>
      <c r="B108" t="s">
        <v>266</v>
      </c>
      <c r="C108" t="s">
        <v>265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2</v>
      </c>
      <c r="AK108">
        <v>3</v>
      </c>
      <c r="AL108">
        <v>0</v>
      </c>
      <c r="AM108">
        <v>0</v>
      </c>
      <c r="AN108" s="23">
        <v>0</v>
      </c>
      <c r="AO108" s="23">
        <v>0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IFERROR($A$2+AU108,"上周无销量")</f>
        <v>上周无销量</v>
      </c>
    </row>
    <row r="109" spans="1:48">
      <c r="A109" s="21" t="s">
        <v>267</v>
      </c>
      <c r="B109" t="s">
        <v>268</v>
      </c>
      <c r="C109" t="s">
        <v>269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3</v>
      </c>
      <c r="J109" s="33">
        <v>0</v>
      </c>
      <c r="K109" s="33">
        <v>0</v>
      </c>
      <c r="L109" s="33">
        <v>0</v>
      </c>
      <c r="M109">
        <v>3</v>
      </c>
      <c r="N109">
        <v>0</v>
      </c>
      <c r="O109">
        <v>3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1</v>
      </c>
      <c r="AL109">
        <v>0</v>
      </c>
      <c r="AM109">
        <v>1</v>
      </c>
      <c r="AN109" s="23" t="s">
        <v>54</v>
      </c>
      <c r="AO109" s="23">
        <v>0</v>
      </c>
      <c r="AP109" s="23" t="s">
        <v>54</v>
      </c>
      <c r="AQ109" s="23">
        <v>0</v>
      </c>
      <c r="AR109" s="35">
        <v>0</v>
      </c>
      <c r="AS109" s="35">
        <v>0</v>
      </c>
      <c r="AT109" s="35">
        <v>3</v>
      </c>
      <c r="AU109" s="31" t="str">
        <f t="shared" si="4"/>
        <v>库存为3</v>
      </c>
      <c r="AV109" s="36" t="str">
        <f>IFERROR($A$2+AU109,"上周无销量")</f>
        <v>上周无销量</v>
      </c>
    </row>
    <row r="110" spans="1:48">
      <c r="A110" s="21" t="s">
        <v>270</v>
      </c>
      <c r="B110" t="s">
        <v>271</v>
      </c>
      <c r="C110" t="s">
        <v>269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3</v>
      </c>
      <c r="J110" s="33">
        <v>0</v>
      </c>
      <c r="K110" s="33">
        <v>0</v>
      </c>
      <c r="L110" s="33">
        <v>0</v>
      </c>
      <c r="M110">
        <v>3</v>
      </c>
      <c r="N110">
        <v>0</v>
      </c>
      <c r="O110">
        <v>3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1</v>
      </c>
      <c r="AL110">
        <v>0</v>
      </c>
      <c r="AM110">
        <v>0</v>
      </c>
      <c r="AN110" s="23" t="s">
        <v>54</v>
      </c>
      <c r="AO110" s="23">
        <v>0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3</v>
      </c>
      <c r="AU110" s="31" t="str">
        <f t="shared" si="4"/>
        <v>库存为3</v>
      </c>
      <c r="AV110" s="36" t="str">
        <f>IFERROR($A$2+AU110,"上周无销量")</f>
        <v>上周无销量</v>
      </c>
    </row>
    <row r="111" spans="1:48">
      <c r="A111" s="21" t="s">
        <v>272</v>
      </c>
      <c r="B111" t="s">
        <v>273</v>
      </c>
      <c r="C111" t="s">
        <v>269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3</v>
      </c>
      <c r="J111" s="33">
        <v>0</v>
      </c>
      <c r="K111" s="33">
        <v>0</v>
      </c>
      <c r="L111" s="33">
        <v>0</v>
      </c>
      <c r="M111">
        <v>3</v>
      </c>
      <c r="N111">
        <v>0</v>
      </c>
      <c r="O111">
        <v>3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1</v>
      </c>
      <c r="AK111">
        <v>1</v>
      </c>
      <c r="AL111">
        <v>0</v>
      </c>
      <c r="AM111">
        <v>1</v>
      </c>
      <c r="AN111" s="23">
        <v>0</v>
      </c>
      <c r="AO111" s="23">
        <v>0</v>
      </c>
      <c r="AP111" s="23" t="s">
        <v>54</v>
      </c>
      <c r="AQ111" s="23">
        <v>0</v>
      </c>
      <c r="AR111" s="35">
        <v>0</v>
      </c>
      <c r="AS111" s="35">
        <v>0</v>
      </c>
      <c r="AT111" s="35">
        <v>3</v>
      </c>
      <c r="AU111" s="31" t="str">
        <f t="shared" si="4"/>
        <v>库存为3</v>
      </c>
      <c r="AV111" s="36" t="str">
        <f>IFERROR($A$2+AU111,"上周无销量")</f>
        <v>上周无销量</v>
      </c>
    </row>
    <row r="112" spans="1:48">
      <c r="A112" s="21" t="s">
        <v>274</v>
      </c>
      <c r="B112" t="s">
        <v>275</v>
      </c>
      <c r="C112" t="s">
        <v>276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277</v>
      </c>
      <c r="B113" t="s">
        <v>278</v>
      </c>
      <c r="C113" t="s">
        <v>276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279</v>
      </c>
      <c r="B114" t="s">
        <v>280</v>
      </c>
      <c r="C114" t="s">
        <v>276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281</v>
      </c>
      <c r="B115" t="s">
        <v>282</v>
      </c>
      <c r="C115" t="s">
        <v>276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283</v>
      </c>
      <c r="B116" t="s">
        <v>284</v>
      </c>
      <c r="C116" t="s">
        <v>276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285</v>
      </c>
      <c r="B117" t="s">
        <v>286</v>
      </c>
      <c r="C117" t="s">
        <v>276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287</v>
      </c>
      <c r="B118" t="s">
        <v>288</v>
      </c>
      <c r="C118" t="s">
        <v>276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289</v>
      </c>
      <c r="B119" t="s">
        <v>290</v>
      </c>
      <c r="C119" t="s">
        <v>276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291</v>
      </c>
      <c r="B120" t="s">
        <v>292</v>
      </c>
      <c r="C120" t="s">
        <v>276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293</v>
      </c>
      <c r="B121" t="s">
        <v>294</v>
      </c>
      <c r="C121" t="s">
        <v>276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295</v>
      </c>
      <c r="B122" t="s">
        <v>296</v>
      </c>
      <c r="C122" t="s">
        <v>276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297</v>
      </c>
      <c r="B123" t="s">
        <v>298</v>
      </c>
      <c r="C123" t="s">
        <v>276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299</v>
      </c>
      <c r="B124" t="s">
        <v>300</v>
      </c>
      <c r="C124" t="s">
        <v>301</v>
      </c>
      <c r="D124" s="31">
        <v>0</v>
      </c>
      <c r="E124" s="31">
        <v>2</v>
      </c>
      <c r="F124" s="31">
        <v>0</v>
      </c>
      <c r="G124" s="31">
        <v>0</v>
      </c>
      <c r="H124" s="32">
        <v>12.99</v>
      </c>
      <c r="I124">
        <v>3</v>
      </c>
      <c r="J124" s="33">
        <v>0</v>
      </c>
      <c r="K124" s="33">
        <v>0</v>
      </c>
      <c r="L124" s="33">
        <v>0</v>
      </c>
      <c r="M124">
        <v>3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7</v>
      </c>
      <c r="AK124">
        <v>6</v>
      </c>
      <c r="AL124">
        <v>5</v>
      </c>
      <c r="AM124">
        <v>2</v>
      </c>
      <c r="AN124" s="23">
        <v>0</v>
      </c>
      <c r="AO124" s="23">
        <v>0.333333333333333</v>
      </c>
      <c r="AP124" s="23">
        <v>0</v>
      </c>
      <c r="AQ124" s="23">
        <v>0</v>
      </c>
      <c r="AR124" s="35">
        <v>0</v>
      </c>
      <c r="AS124" s="35">
        <v>0</v>
      </c>
      <c r="AT124" s="35">
        <v>3</v>
      </c>
      <c r="AU124" s="31" t="str">
        <f t="shared" si="4"/>
        <v>库存为3</v>
      </c>
      <c r="AV124" s="36" t="str">
        <f>IFERROR($A$2+AU124,"上周无销量")</f>
        <v>上周无销量</v>
      </c>
    </row>
    <row r="125" spans="1:48">
      <c r="A125" s="21" t="s">
        <v>302</v>
      </c>
      <c r="B125" t="s">
        <v>303</v>
      </c>
      <c r="C125" t="s">
        <v>301</v>
      </c>
      <c r="D125" s="31">
        <v>0</v>
      </c>
      <c r="E125" s="31">
        <v>0</v>
      </c>
      <c r="F125" s="31">
        <v>0</v>
      </c>
      <c r="G125" s="31">
        <v>2</v>
      </c>
      <c r="H125" s="32">
        <v>9.945</v>
      </c>
      <c r="I125">
        <v>8</v>
      </c>
      <c r="J125" s="33">
        <v>0</v>
      </c>
      <c r="K125" s="33">
        <v>0</v>
      </c>
      <c r="L125" s="33">
        <v>0</v>
      </c>
      <c r="M125">
        <v>8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6</v>
      </c>
      <c r="AK125">
        <v>1</v>
      </c>
      <c r="AL125">
        <v>2</v>
      </c>
      <c r="AM125">
        <v>2</v>
      </c>
      <c r="AN125" s="23">
        <v>0</v>
      </c>
      <c r="AO125" s="23">
        <v>0</v>
      </c>
      <c r="AP125" s="23">
        <v>0</v>
      </c>
      <c r="AQ125" s="23">
        <v>1</v>
      </c>
      <c r="AR125" s="35">
        <v>0</v>
      </c>
      <c r="AS125" s="35">
        <v>0</v>
      </c>
      <c r="AT125" s="35">
        <v>8</v>
      </c>
      <c r="AU125" s="31" t="str">
        <f t="shared" si="4"/>
        <v>库存为8</v>
      </c>
      <c r="AV125" s="36" t="str">
        <f>IFERROR($A$2+AU125,"上周无销量")</f>
        <v>上周无销量</v>
      </c>
    </row>
    <row r="126" spans="1:48">
      <c r="A126" s="21" t="s">
        <v>304</v>
      </c>
      <c r="B126" t="s">
        <v>305</v>
      </c>
      <c r="C126" t="s">
        <v>301</v>
      </c>
      <c r="D126" s="31">
        <v>1</v>
      </c>
      <c r="E126" s="31">
        <v>0</v>
      </c>
      <c r="F126" s="31">
        <v>1</v>
      </c>
      <c r="G126" s="31">
        <v>0</v>
      </c>
      <c r="H126" s="32">
        <v>10.99</v>
      </c>
      <c r="I126">
        <v>8</v>
      </c>
      <c r="J126" s="33">
        <v>0</v>
      </c>
      <c r="K126" s="33">
        <v>0</v>
      </c>
      <c r="L126" s="33">
        <v>0</v>
      </c>
      <c r="M126">
        <v>8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10</v>
      </c>
      <c r="AK126">
        <v>4</v>
      </c>
      <c r="AL126">
        <v>3</v>
      </c>
      <c r="AM126">
        <v>1</v>
      </c>
      <c r="AN126" s="23">
        <v>0.1</v>
      </c>
      <c r="AO126" s="23">
        <v>0</v>
      </c>
      <c r="AP126" s="23">
        <v>0.333333333333333</v>
      </c>
      <c r="AQ126" s="23">
        <v>0</v>
      </c>
      <c r="AR126" s="35">
        <v>0.142857142857143</v>
      </c>
      <c r="AS126" s="35">
        <v>8.57142857142857</v>
      </c>
      <c r="AT126" s="35">
        <v>-0.571428571428571</v>
      </c>
      <c r="AU126" s="31">
        <f t="shared" si="4"/>
        <v>56</v>
      </c>
      <c r="AV126" s="36">
        <f>IFERROR($A$2+AU126,"上周无销量")</f>
        <v>43318</v>
      </c>
    </row>
    <row r="127" spans="1:48">
      <c r="A127" s="21" t="s">
        <v>306</v>
      </c>
      <c r="B127" t="s">
        <v>307</v>
      </c>
      <c r="C127" t="s">
        <v>301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10</v>
      </c>
      <c r="J127" s="33">
        <v>0</v>
      </c>
      <c r="K127" s="33">
        <v>0</v>
      </c>
      <c r="L127" s="33">
        <v>0</v>
      </c>
      <c r="M127">
        <v>10</v>
      </c>
      <c r="N127">
        <v>0</v>
      </c>
      <c r="O127">
        <v>0</v>
      </c>
      <c r="P127">
        <v>169</v>
      </c>
      <c r="Q127">
        <v>200</v>
      </c>
      <c r="R127">
        <v>324</v>
      </c>
      <c r="S127">
        <v>0</v>
      </c>
      <c r="T127">
        <v>2</v>
      </c>
      <c r="U127">
        <v>0</v>
      </c>
      <c r="V127">
        <v>0</v>
      </c>
      <c r="W127">
        <v>0</v>
      </c>
      <c r="X127" s="23">
        <v>0.0118343195266272</v>
      </c>
      <c r="Y127" s="23">
        <v>0</v>
      </c>
      <c r="Z127" s="23">
        <v>0</v>
      </c>
      <c r="AA127" s="23" t="s">
        <v>54</v>
      </c>
      <c r="AB127">
        <v>0.69</v>
      </c>
      <c r="AC127">
        <v>0</v>
      </c>
      <c r="AD127">
        <v>0</v>
      </c>
      <c r="AE127">
        <v>0</v>
      </c>
      <c r="AF127" s="23">
        <v>0</v>
      </c>
      <c r="AG127" s="23" t="s">
        <v>54</v>
      </c>
      <c r="AH127" s="23" t="s">
        <v>54</v>
      </c>
      <c r="AI127" s="23" t="s">
        <v>54</v>
      </c>
      <c r="AJ127">
        <v>7</v>
      </c>
      <c r="AK127">
        <v>1</v>
      </c>
      <c r="AL127">
        <v>5</v>
      </c>
      <c r="AM127">
        <v>1</v>
      </c>
      <c r="AN127" s="23">
        <v>0</v>
      </c>
      <c r="AO127" s="23">
        <v>0</v>
      </c>
      <c r="AP127" s="23">
        <v>0</v>
      </c>
      <c r="AQ127" s="23">
        <v>0</v>
      </c>
      <c r="AR127" s="35">
        <v>0</v>
      </c>
      <c r="AS127" s="35">
        <v>0</v>
      </c>
      <c r="AT127" s="35">
        <v>10</v>
      </c>
      <c r="AU127" s="31" t="str">
        <f t="shared" si="4"/>
        <v>库存为10</v>
      </c>
      <c r="AV127" s="36" t="str">
        <f>IFERROR($A$2+AU127,"上周无销量")</f>
        <v>上周无销量</v>
      </c>
    </row>
    <row r="128" spans="1:48">
      <c r="A128" s="21" t="s">
        <v>308</v>
      </c>
      <c r="B128" t="s">
        <v>309</v>
      </c>
      <c r="C128" t="s">
        <v>301</v>
      </c>
      <c r="D128" s="31">
        <v>0</v>
      </c>
      <c r="E128" s="31">
        <v>0</v>
      </c>
      <c r="F128" s="31">
        <v>1</v>
      </c>
      <c r="G128" s="31">
        <v>0</v>
      </c>
      <c r="H128" s="32">
        <v>10.99</v>
      </c>
      <c r="I128">
        <v>4</v>
      </c>
      <c r="J128" s="33">
        <v>0</v>
      </c>
      <c r="K128" s="33">
        <v>0</v>
      </c>
      <c r="L128" s="33">
        <v>0</v>
      </c>
      <c r="M128">
        <v>4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5</v>
      </c>
      <c r="AK128">
        <v>2</v>
      </c>
      <c r="AL128">
        <v>3</v>
      </c>
      <c r="AM128">
        <v>1</v>
      </c>
      <c r="AN128" s="23">
        <v>0</v>
      </c>
      <c r="AO128" s="23">
        <v>0</v>
      </c>
      <c r="AP128" s="23">
        <v>0.333333333333333</v>
      </c>
      <c r="AQ128" s="23">
        <v>0</v>
      </c>
      <c r="AR128" s="35">
        <v>0</v>
      </c>
      <c r="AS128" s="35">
        <v>0</v>
      </c>
      <c r="AT128" s="35">
        <v>4</v>
      </c>
      <c r="AU128" s="31" t="str">
        <f t="shared" si="4"/>
        <v>库存为4</v>
      </c>
      <c r="AV128" s="36" t="str">
        <f>IFERROR($A$2+AU128,"上周无销量")</f>
        <v>上周无销量</v>
      </c>
    </row>
    <row r="129" spans="1:48">
      <c r="A129" s="21" t="s">
        <v>310</v>
      </c>
      <c r="B129" t="s">
        <v>311</v>
      </c>
      <c r="C129" t="s">
        <v>301</v>
      </c>
      <c r="D129" s="31">
        <v>1</v>
      </c>
      <c r="E129" s="31">
        <v>0</v>
      </c>
      <c r="F129" s="31">
        <v>0</v>
      </c>
      <c r="G129" s="31">
        <v>1</v>
      </c>
      <c r="H129" s="32">
        <v>10.99</v>
      </c>
      <c r="I129">
        <v>3</v>
      </c>
      <c r="J129" s="33">
        <v>0</v>
      </c>
      <c r="K129" s="33">
        <v>0</v>
      </c>
      <c r="L129" s="33">
        <v>0</v>
      </c>
      <c r="M129">
        <v>3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7</v>
      </c>
      <c r="AK129">
        <v>11</v>
      </c>
      <c r="AL129">
        <v>14</v>
      </c>
      <c r="AM129">
        <v>6</v>
      </c>
      <c r="AN129" s="23">
        <v>0.142857142857143</v>
      </c>
      <c r="AO129" s="23">
        <v>0</v>
      </c>
      <c r="AP129" s="23">
        <v>0</v>
      </c>
      <c r="AQ129" s="23">
        <v>0.166666666666667</v>
      </c>
      <c r="AR129" s="35">
        <v>0.142857142857143</v>
      </c>
      <c r="AS129" s="35">
        <v>8.57142857142857</v>
      </c>
      <c r="AT129" s="35">
        <v>-5.57142857142857</v>
      </c>
      <c r="AU129" s="31">
        <f t="shared" si="4"/>
        <v>21</v>
      </c>
      <c r="AV129" s="36">
        <f>IFERROR($A$2+AU129,"上周无销量")</f>
        <v>43283</v>
      </c>
    </row>
    <row r="130" spans="1:48">
      <c r="A130" s="21" t="s">
        <v>312</v>
      </c>
      <c r="B130" t="s">
        <v>313</v>
      </c>
      <c r="C130" t="s">
        <v>312</v>
      </c>
      <c r="D130" s="31">
        <v>0</v>
      </c>
      <c r="E130" s="31">
        <v>0</v>
      </c>
      <c r="F130" s="31">
        <v>1</v>
      </c>
      <c r="G130" s="31">
        <v>1</v>
      </c>
      <c r="H130" s="32">
        <v>36.99</v>
      </c>
      <c r="I130">
        <v>13</v>
      </c>
      <c r="J130" s="33">
        <v>0</v>
      </c>
      <c r="K130" s="33">
        <v>0</v>
      </c>
      <c r="L130" s="33">
        <v>0</v>
      </c>
      <c r="M130">
        <v>13</v>
      </c>
      <c r="N130">
        <v>0</v>
      </c>
      <c r="O130">
        <v>13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9</v>
      </c>
      <c r="AK130">
        <v>12</v>
      </c>
      <c r="AL130">
        <v>12</v>
      </c>
      <c r="AM130">
        <v>10</v>
      </c>
      <c r="AN130" s="23">
        <v>0</v>
      </c>
      <c r="AO130" s="23">
        <v>0</v>
      </c>
      <c r="AP130" s="23">
        <v>0.0833333333333333</v>
      </c>
      <c r="AQ130" s="23">
        <v>0.1</v>
      </c>
      <c r="AR130" s="35">
        <v>0</v>
      </c>
      <c r="AS130" s="35">
        <v>0</v>
      </c>
      <c r="AT130" s="35">
        <v>13</v>
      </c>
      <c r="AU130" s="31" t="str">
        <f t="shared" si="4"/>
        <v>库存为13</v>
      </c>
      <c r="AV130" s="36" t="str">
        <f>IFERROR($A$2+AU130,"上周无销量")</f>
        <v>上周无销量</v>
      </c>
    </row>
    <row r="131" spans="1:48">
      <c r="A131" s="21" t="s">
        <v>314</v>
      </c>
      <c r="B131" t="s">
        <v>315</v>
      </c>
      <c r="C131" t="s">
        <v>316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3</v>
      </c>
      <c r="AK131">
        <v>2</v>
      </c>
      <c r="AL131">
        <v>2</v>
      </c>
      <c r="AM131">
        <v>2</v>
      </c>
      <c r="AN131" s="23">
        <v>0</v>
      </c>
      <c r="AO131" s="23">
        <v>0</v>
      </c>
      <c r="AP131" s="23">
        <v>0</v>
      </c>
      <c r="AQ131" s="23">
        <v>0</v>
      </c>
      <c r="AR131" s="35">
        <v>0</v>
      </c>
      <c r="AS131" s="35">
        <v>0</v>
      </c>
      <c r="AT131" s="35">
        <v>3</v>
      </c>
      <c r="AU131" s="31" t="str">
        <f t="shared" si="4"/>
        <v>库存为3</v>
      </c>
      <c r="AV131" s="36" t="str">
        <f>IFERROR($A$2+AU131,"上周无销量")</f>
        <v>上周无销量</v>
      </c>
    </row>
    <row r="132" spans="1:48">
      <c r="A132" s="21" t="s">
        <v>317</v>
      </c>
      <c r="B132" t="s">
        <v>318</v>
      </c>
      <c r="C132" t="s">
        <v>316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3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2</v>
      </c>
      <c r="AK132">
        <v>2</v>
      </c>
      <c r="AL132">
        <v>0</v>
      </c>
      <c r="AM132">
        <v>1</v>
      </c>
      <c r="AN132" s="23">
        <v>0</v>
      </c>
      <c r="AO132" s="23">
        <v>0</v>
      </c>
      <c r="AP132" s="23" t="s">
        <v>54</v>
      </c>
      <c r="AQ132" s="23">
        <v>0</v>
      </c>
      <c r="AR132" s="35">
        <v>0</v>
      </c>
      <c r="AS132" s="35">
        <v>0</v>
      </c>
      <c r="AT132" s="35">
        <v>3</v>
      </c>
      <c r="AU132" s="31" t="str">
        <f t="shared" si="4"/>
        <v>库存为3</v>
      </c>
      <c r="AV132" s="36" t="str">
        <f>IFERROR($A$2+AU132,"上周无销量")</f>
        <v>上周无销量</v>
      </c>
    </row>
    <row r="133" spans="1:48">
      <c r="A133" s="21" t="s">
        <v>319</v>
      </c>
      <c r="B133" t="s">
        <v>320</v>
      </c>
      <c r="C133" t="s">
        <v>316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1</v>
      </c>
      <c r="AK133">
        <v>2</v>
      </c>
      <c r="AL133">
        <v>0</v>
      </c>
      <c r="AM133">
        <v>0</v>
      </c>
      <c r="AN133" s="23">
        <v>0</v>
      </c>
      <c r="AO133" s="23">
        <v>0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3</v>
      </c>
      <c r="AU133" s="31" t="str">
        <f t="shared" ref="AU133:AU196" si="5">IF(AR133="","库存为"&amp;M133,IF(AS133=0,"库存为"&amp;M133,INT(M133/AR133)))</f>
        <v>库存为3</v>
      </c>
      <c r="AV133" s="36" t="str">
        <f>IFERROR($A$2+AU133,"上周无销量")</f>
        <v>上周无销量</v>
      </c>
    </row>
    <row r="134" spans="1:48">
      <c r="A134" s="21" t="s">
        <v>321</v>
      </c>
      <c r="B134" t="s">
        <v>322</v>
      </c>
      <c r="C134" t="s">
        <v>316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323</v>
      </c>
      <c r="B135" t="s">
        <v>324</v>
      </c>
      <c r="C135" t="s">
        <v>316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2</v>
      </c>
      <c r="J135" s="33">
        <v>0</v>
      </c>
      <c r="K135" s="33">
        <v>0</v>
      </c>
      <c r="L135" s="33">
        <v>0</v>
      </c>
      <c r="M135">
        <v>2</v>
      </c>
      <c r="N135">
        <v>0</v>
      </c>
      <c r="O135">
        <v>2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2</v>
      </c>
      <c r="AK135">
        <v>3</v>
      </c>
      <c r="AL135">
        <v>1</v>
      </c>
      <c r="AM135">
        <v>0</v>
      </c>
      <c r="AN135" s="23">
        <v>0</v>
      </c>
      <c r="AO135" s="23">
        <v>0</v>
      </c>
      <c r="AP135" s="23">
        <v>0</v>
      </c>
      <c r="AQ135" s="23" t="s">
        <v>54</v>
      </c>
      <c r="AR135" s="35">
        <v>0</v>
      </c>
      <c r="AS135" s="35">
        <v>0</v>
      </c>
      <c r="AT135" s="35">
        <v>2</v>
      </c>
      <c r="AU135" s="31" t="str">
        <f t="shared" si="5"/>
        <v>库存为2</v>
      </c>
      <c r="AV135" s="36" t="str">
        <f>IFERROR($A$2+AU135,"上周无销量")</f>
        <v>上周无销量</v>
      </c>
    </row>
    <row r="136" spans="1:48">
      <c r="A136" s="21" t="s">
        <v>325</v>
      </c>
      <c r="B136" t="s">
        <v>326</v>
      </c>
      <c r="C136" t="s">
        <v>316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3</v>
      </c>
      <c r="J136" s="33">
        <v>0</v>
      </c>
      <c r="K136" s="33">
        <v>0</v>
      </c>
      <c r="L136" s="33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2</v>
      </c>
      <c r="AK136">
        <v>1</v>
      </c>
      <c r="AL136">
        <v>0</v>
      </c>
      <c r="AM136">
        <v>2</v>
      </c>
      <c r="AN136" s="23">
        <v>0</v>
      </c>
      <c r="AO136" s="23">
        <v>0</v>
      </c>
      <c r="AP136" s="23" t="s">
        <v>54</v>
      </c>
      <c r="AQ136" s="23">
        <v>0</v>
      </c>
      <c r="AR136" s="35">
        <v>0</v>
      </c>
      <c r="AS136" s="35">
        <v>0</v>
      </c>
      <c r="AT136" s="35">
        <v>3</v>
      </c>
      <c r="AU136" s="31" t="str">
        <f t="shared" si="5"/>
        <v>库存为3</v>
      </c>
      <c r="AV136" s="36" t="str">
        <f>IFERROR($A$2+AU136,"上周无销量")</f>
        <v>上周无销量</v>
      </c>
    </row>
    <row r="137" spans="1:48">
      <c r="A137" s="21" t="s">
        <v>327</v>
      </c>
      <c r="B137" t="s">
        <v>328</v>
      </c>
      <c r="C137" t="s">
        <v>316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3</v>
      </c>
      <c r="J137" s="33">
        <v>0</v>
      </c>
      <c r="K137" s="33">
        <v>0</v>
      </c>
      <c r="L137" s="33">
        <v>0</v>
      </c>
      <c r="M137">
        <v>3</v>
      </c>
      <c r="N137">
        <v>0</v>
      </c>
      <c r="O137">
        <v>3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1</v>
      </c>
      <c r="AK137">
        <v>2</v>
      </c>
      <c r="AL137">
        <v>0</v>
      </c>
      <c r="AM137">
        <v>0</v>
      </c>
      <c r="AN137" s="23">
        <v>0</v>
      </c>
      <c r="AO137" s="23">
        <v>0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3</v>
      </c>
      <c r="AU137" s="31" t="str">
        <f t="shared" si="5"/>
        <v>库存为3</v>
      </c>
      <c r="AV137" s="36" t="str">
        <f>IFERROR($A$2+AU137,"上周无销量")</f>
        <v>上周无销量</v>
      </c>
    </row>
    <row r="138" spans="1:48">
      <c r="A138" s="21" t="s">
        <v>329</v>
      </c>
      <c r="B138" t="s">
        <v>330</v>
      </c>
      <c r="C138" t="s">
        <v>316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331</v>
      </c>
      <c r="B139" t="s">
        <v>332</v>
      </c>
      <c r="C139" t="s">
        <v>316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1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3</v>
      </c>
      <c r="AK139">
        <v>1</v>
      </c>
      <c r="AL139">
        <v>0</v>
      </c>
      <c r="AM139">
        <v>0</v>
      </c>
      <c r="AN139" s="23">
        <v>0</v>
      </c>
      <c r="AO139" s="23">
        <v>0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1</v>
      </c>
      <c r="AU139" s="31" t="str">
        <f t="shared" si="5"/>
        <v>库存为1</v>
      </c>
      <c r="AV139" s="36" t="str">
        <f>IFERROR($A$2+AU139,"上周无销量")</f>
        <v>上周无销量</v>
      </c>
    </row>
    <row r="140" spans="1:48">
      <c r="A140" s="21" t="s">
        <v>333</v>
      </c>
      <c r="B140" t="s">
        <v>334</v>
      </c>
      <c r="C140" t="s">
        <v>316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2</v>
      </c>
      <c r="J140" s="33">
        <v>0</v>
      </c>
      <c r="K140" s="33">
        <v>0</v>
      </c>
      <c r="L140" s="33">
        <v>0</v>
      </c>
      <c r="M140">
        <v>2</v>
      </c>
      <c r="N140">
        <v>0</v>
      </c>
      <c r="O140">
        <v>2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2</v>
      </c>
      <c r="AK140">
        <v>3</v>
      </c>
      <c r="AL140">
        <v>1</v>
      </c>
      <c r="AM140">
        <v>0</v>
      </c>
      <c r="AN140" s="23">
        <v>0</v>
      </c>
      <c r="AO140" s="23">
        <v>0</v>
      </c>
      <c r="AP140" s="23">
        <v>0</v>
      </c>
      <c r="AQ140" s="23" t="s">
        <v>54</v>
      </c>
      <c r="AR140" s="35">
        <v>0</v>
      </c>
      <c r="AS140" s="35">
        <v>0</v>
      </c>
      <c r="AT140" s="35">
        <v>2</v>
      </c>
      <c r="AU140" s="31" t="str">
        <f t="shared" si="5"/>
        <v>库存为2</v>
      </c>
      <c r="AV140" s="36" t="str">
        <f>IFERROR($A$2+AU140,"上周无销量")</f>
        <v>上周无销量</v>
      </c>
    </row>
    <row r="141" spans="1:48">
      <c r="A141" s="21" t="s">
        <v>335</v>
      </c>
      <c r="B141" t="s">
        <v>336</v>
      </c>
      <c r="C141" t="s">
        <v>316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3</v>
      </c>
      <c r="J141" s="33">
        <v>0</v>
      </c>
      <c r="K141" s="33">
        <v>0</v>
      </c>
      <c r="L141" s="33">
        <v>0</v>
      </c>
      <c r="M141">
        <v>3</v>
      </c>
      <c r="N141">
        <v>0</v>
      </c>
      <c r="O141">
        <v>3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1</v>
      </c>
      <c r="AK141">
        <v>3</v>
      </c>
      <c r="AL141">
        <v>1</v>
      </c>
      <c r="AM141">
        <v>0</v>
      </c>
      <c r="AN141" s="23">
        <v>0</v>
      </c>
      <c r="AO141" s="23">
        <v>0</v>
      </c>
      <c r="AP141" s="23">
        <v>0</v>
      </c>
      <c r="AQ141" s="23" t="s">
        <v>54</v>
      </c>
      <c r="AR141" s="35">
        <v>0</v>
      </c>
      <c r="AS141" s="35">
        <v>0</v>
      </c>
      <c r="AT141" s="35">
        <v>3</v>
      </c>
      <c r="AU141" s="31" t="str">
        <f t="shared" si="5"/>
        <v>库存为3</v>
      </c>
      <c r="AV141" s="36" t="str">
        <f>IFERROR($A$2+AU141,"上周无销量")</f>
        <v>上周无销量</v>
      </c>
    </row>
    <row r="142" spans="1:48">
      <c r="A142" s="21" t="s">
        <v>337</v>
      </c>
      <c r="B142" t="s">
        <v>338</v>
      </c>
      <c r="C142" t="s">
        <v>316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3</v>
      </c>
      <c r="J142" s="33">
        <v>0</v>
      </c>
      <c r="K142" s="33">
        <v>0</v>
      </c>
      <c r="L142" s="33">
        <v>0</v>
      </c>
      <c r="M142">
        <v>3</v>
      </c>
      <c r="N142">
        <v>0</v>
      </c>
      <c r="O142">
        <v>3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3</v>
      </c>
      <c r="AK142">
        <v>2</v>
      </c>
      <c r="AL142">
        <v>0</v>
      </c>
      <c r="AM142">
        <v>0</v>
      </c>
      <c r="AN142" s="23">
        <v>0</v>
      </c>
      <c r="AO142" s="23">
        <v>0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3</v>
      </c>
      <c r="AU142" s="31" t="str">
        <f t="shared" si="5"/>
        <v>库存为3</v>
      </c>
      <c r="AV142" s="36" t="str">
        <f>IFERROR($A$2+AU142,"上周无销量")</f>
        <v>上周无销量</v>
      </c>
    </row>
    <row r="143" spans="1:48">
      <c r="A143" s="21" t="s">
        <v>339</v>
      </c>
      <c r="B143" t="s">
        <v>340</v>
      </c>
      <c r="C143" t="s">
        <v>316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3</v>
      </c>
      <c r="J143" s="33">
        <v>0</v>
      </c>
      <c r="K143" s="33">
        <v>0</v>
      </c>
      <c r="L143" s="33">
        <v>0</v>
      </c>
      <c r="M143">
        <v>3</v>
      </c>
      <c r="N143">
        <v>0</v>
      </c>
      <c r="O143">
        <v>3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2</v>
      </c>
      <c r="AK143">
        <v>1</v>
      </c>
      <c r="AL143">
        <v>0</v>
      </c>
      <c r="AM143">
        <v>3</v>
      </c>
      <c r="AN143" s="23">
        <v>0</v>
      </c>
      <c r="AO143" s="23">
        <v>0</v>
      </c>
      <c r="AP143" s="23" t="s">
        <v>54</v>
      </c>
      <c r="AQ143" s="23">
        <v>0</v>
      </c>
      <c r="AR143" s="35">
        <v>0</v>
      </c>
      <c r="AS143" s="35">
        <v>0</v>
      </c>
      <c r="AT143" s="35">
        <v>3</v>
      </c>
      <c r="AU143" s="31" t="str">
        <f t="shared" si="5"/>
        <v>库存为3</v>
      </c>
      <c r="AV143" s="36" t="str">
        <f>IFERROR($A$2+AU143,"上周无销量")</f>
        <v>上周无销量</v>
      </c>
    </row>
    <row r="144" spans="1:48">
      <c r="A144" s="21" t="s">
        <v>341</v>
      </c>
      <c r="B144" t="s">
        <v>342</v>
      </c>
      <c r="C144" t="s">
        <v>316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2</v>
      </c>
      <c r="J144" s="33">
        <v>0</v>
      </c>
      <c r="K144" s="33">
        <v>0</v>
      </c>
      <c r="L144" s="33">
        <v>0</v>
      </c>
      <c r="M144">
        <v>2</v>
      </c>
      <c r="N144">
        <v>0</v>
      </c>
      <c r="O144">
        <v>2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2</v>
      </c>
      <c r="AK144">
        <v>1</v>
      </c>
      <c r="AL144">
        <v>0</v>
      </c>
      <c r="AM144">
        <v>1</v>
      </c>
      <c r="AN144" s="23">
        <v>0</v>
      </c>
      <c r="AO144" s="23">
        <v>0</v>
      </c>
      <c r="AP144" s="23" t="s">
        <v>54</v>
      </c>
      <c r="AQ144" s="23">
        <v>0</v>
      </c>
      <c r="AR144" s="35">
        <v>0</v>
      </c>
      <c r="AS144" s="35">
        <v>0</v>
      </c>
      <c r="AT144" s="35">
        <v>2</v>
      </c>
      <c r="AU144" s="31" t="str">
        <f t="shared" si="5"/>
        <v>库存为2</v>
      </c>
      <c r="AV144" s="36" t="str">
        <f>IFERROR($A$2+AU144,"上周无销量")</f>
        <v>上周无销量</v>
      </c>
    </row>
    <row r="145" spans="1:48">
      <c r="A145" s="21" t="s">
        <v>343</v>
      </c>
      <c r="B145" t="s">
        <v>344</v>
      </c>
      <c r="C145" t="s">
        <v>316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3</v>
      </c>
      <c r="J145" s="33">
        <v>0</v>
      </c>
      <c r="K145" s="33">
        <v>0</v>
      </c>
      <c r="L145" s="33">
        <v>0</v>
      </c>
      <c r="M145">
        <v>3</v>
      </c>
      <c r="N145">
        <v>0</v>
      </c>
      <c r="O145">
        <v>3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1</v>
      </c>
      <c r="AK145">
        <v>3</v>
      </c>
      <c r="AL145">
        <v>1</v>
      </c>
      <c r="AM145">
        <v>1</v>
      </c>
      <c r="AN145" s="23">
        <v>0</v>
      </c>
      <c r="AO145" s="23">
        <v>0</v>
      </c>
      <c r="AP145" s="23">
        <v>0</v>
      </c>
      <c r="AQ145" s="23">
        <v>0</v>
      </c>
      <c r="AR145" s="35">
        <v>0</v>
      </c>
      <c r="AS145" s="35">
        <v>0</v>
      </c>
      <c r="AT145" s="35">
        <v>3</v>
      </c>
      <c r="AU145" s="31" t="str">
        <f t="shared" si="5"/>
        <v>库存为3</v>
      </c>
      <c r="AV145" s="36" t="str">
        <f>IFERROR($A$2+AU145,"上周无销量")</f>
        <v>上周无销量</v>
      </c>
    </row>
    <row r="146" spans="1:48">
      <c r="A146" s="21" t="s">
        <v>345</v>
      </c>
      <c r="B146" t="s">
        <v>346</v>
      </c>
      <c r="C146" t="s">
        <v>316</v>
      </c>
      <c r="D146" s="31">
        <v>2</v>
      </c>
      <c r="E146" s="31">
        <v>0</v>
      </c>
      <c r="F146" s="31">
        <v>0</v>
      </c>
      <c r="G146" s="31">
        <v>0</v>
      </c>
      <c r="H146" s="32">
        <v>12</v>
      </c>
      <c r="I146">
        <v>1</v>
      </c>
      <c r="J146" s="33">
        <v>0</v>
      </c>
      <c r="K146" s="33">
        <v>0</v>
      </c>
      <c r="L146" s="33">
        <v>0</v>
      </c>
      <c r="M146">
        <v>1</v>
      </c>
      <c r="N146">
        <v>0</v>
      </c>
      <c r="O146">
        <v>1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1</v>
      </c>
      <c r="AK146">
        <v>1</v>
      </c>
      <c r="AL146">
        <v>2</v>
      </c>
      <c r="AM146">
        <v>0</v>
      </c>
      <c r="AN146" s="23">
        <v>2</v>
      </c>
      <c r="AO146" s="23">
        <v>0</v>
      </c>
      <c r="AP146" s="23">
        <v>0</v>
      </c>
      <c r="AQ146" s="23" t="s">
        <v>54</v>
      </c>
      <c r="AR146" s="35">
        <v>0.285714285714286</v>
      </c>
      <c r="AS146" s="35">
        <v>17.1428571428571</v>
      </c>
      <c r="AT146" s="35">
        <v>-16.1428571428571</v>
      </c>
      <c r="AU146" s="31">
        <f t="shared" si="5"/>
        <v>3</v>
      </c>
      <c r="AV146" s="36">
        <f>IFERROR($A$2+AU146,"上周无销量")</f>
        <v>43265</v>
      </c>
    </row>
    <row r="147" spans="1:48">
      <c r="A147" s="21" t="s">
        <v>347</v>
      </c>
      <c r="B147" t="s">
        <v>348</v>
      </c>
      <c r="C147" t="s">
        <v>316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3</v>
      </c>
      <c r="J147" s="33">
        <v>0</v>
      </c>
      <c r="K147" s="33">
        <v>0</v>
      </c>
      <c r="L147" s="33">
        <v>0</v>
      </c>
      <c r="M147">
        <v>3</v>
      </c>
      <c r="N147">
        <v>0</v>
      </c>
      <c r="O147">
        <v>2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1</v>
      </c>
      <c r="AK147">
        <v>1</v>
      </c>
      <c r="AL147">
        <v>0</v>
      </c>
      <c r="AM147">
        <v>0</v>
      </c>
      <c r="AN147" s="23">
        <v>0</v>
      </c>
      <c r="AO147" s="23">
        <v>0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3</v>
      </c>
      <c r="AU147" s="31" t="str">
        <f t="shared" si="5"/>
        <v>库存为3</v>
      </c>
      <c r="AV147" s="36" t="str">
        <f>IFERROR($A$2+AU147,"上周无销量")</f>
        <v>上周无销量</v>
      </c>
    </row>
    <row r="148" spans="1:48">
      <c r="A148" s="21" t="s">
        <v>349</v>
      </c>
      <c r="B148" t="s">
        <v>350</v>
      </c>
      <c r="C148" t="s">
        <v>316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2</v>
      </c>
      <c r="J148" s="33">
        <v>0</v>
      </c>
      <c r="K148" s="33">
        <v>0</v>
      </c>
      <c r="L148" s="33">
        <v>0</v>
      </c>
      <c r="M148">
        <v>2</v>
      </c>
      <c r="N148">
        <v>0</v>
      </c>
      <c r="O148">
        <v>2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2</v>
      </c>
      <c r="AK148">
        <v>2</v>
      </c>
      <c r="AL148">
        <v>0</v>
      </c>
      <c r="AM148">
        <v>0</v>
      </c>
      <c r="AN148" s="23">
        <v>0</v>
      </c>
      <c r="AO148" s="23">
        <v>0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2</v>
      </c>
      <c r="AU148" s="31" t="str">
        <f t="shared" si="5"/>
        <v>库存为2</v>
      </c>
      <c r="AV148" s="36" t="str">
        <f>IFERROR($A$2+AU148,"上周无销量")</f>
        <v>上周无销量</v>
      </c>
    </row>
    <row r="149" spans="1:48">
      <c r="A149" s="21" t="s">
        <v>351</v>
      </c>
      <c r="B149" t="s">
        <v>352</v>
      </c>
      <c r="C149" t="s">
        <v>316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3</v>
      </c>
      <c r="J149" s="33">
        <v>0</v>
      </c>
      <c r="K149" s="33">
        <v>0</v>
      </c>
      <c r="L149" s="33">
        <v>0</v>
      </c>
      <c r="M149">
        <v>3</v>
      </c>
      <c r="N149">
        <v>0</v>
      </c>
      <c r="O149">
        <v>3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2</v>
      </c>
      <c r="AK149">
        <v>1</v>
      </c>
      <c r="AL149">
        <v>1</v>
      </c>
      <c r="AM149">
        <v>1</v>
      </c>
      <c r="AN149" s="23">
        <v>0</v>
      </c>
      <c r="AO149" s="23">
        <v>0</v>
      </c>
      <c r="AP149" s="23">
        <v>0</v>
      </c>
      <c r="AQ149" s="23">
        <v>0</v>
      </c>
      <c r="AR149" s="35">
        <v>0</v>
      </c>
      <c r="AS149" s="35">
        <v>0</v>
      </c>
      <c r="AT149" s="35">
        <v>3</v>
      </c>
      <c r="AU149" s="31" t="str">
        <f t="shared" si="5"/>
        <v>库存为3</v>
      </c>
      <c r="AV149" s="36" t="str">
        <f>IFERROR($A$2+AU149,"上周无销量")</f>
        <v>上周无销量</v>
      </c>
    </row>
    <row r="150" spans="1:48">
      <c r="A150" s="21" t="s">
        <v>353</v>
      </c>
      <c r="B150" t="s">
        <v>354</v>
      </c>
      <c r="C150" t="s">
        <v>316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2</v>
      </c>
      <c r="J150" s="33">
        <v>0</v>
      </c>
      <c r="K150" s="33">
        <v>0</v>
      </c>
      <c r="L150" s="33">
        <v>0</v>
      </c>
      <c r="M150">
        <v>2</v>
      </c>
      <c r="N150">
        <v>0</v>
      </c>
      <c r="O150">
        <v>2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1</v>
      </c>
      <c r="AK150">
        <v>0</v>
      </c>
      <c r="AL150">
        <v>0</v>
      </c>
      <c r="AM150">
        <v>0</v>
      </c>
      <c r="AN150" s="23">
        <v>0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2</v>
      </c>
      <c r="AU150" s="31" t="str">
        <f t="shared" si="5"/>
        <v>库存为2</v>
      </c>
      <c r="AV150" s="36" t="str">
        <f>IFERROR($A$2+AU150,"上周无销量")</f>
        <v>上周无销量</v>
      </c>
    </row>
    <row r="151" spans="1:48">
      <c r="A151" s="21" t="s">
        <v>355</v>
      </c>
      <c r="B151" t="s">
        <v>356</v>
      </c>
      <c r="C151" t="s">
        <v>316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3</v>
      </c>
      <c r="J151" s="33">
        <v>0</v>
      </c>
      <c r="K151" s="33">
        <v>0</v>
      </c>
      <c r="L151" s="33">
        <v>0</v>
      </c>
      <c r="M151">
        <v>3</v>
      </c>
      <c r="N151">
        <v>0</v>
      </c>
      <c r="O151">
        <v>2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3</v>
      </c>
      <c r="AK151">
        <v>0</v>
      </c>
      <c r="AL151">
        <v>1</v>
      </c>
      <c r="AM151">
        <v>1</v>
      </c>
      <c r="AN151" s="23">
        <v>0</v>
      </c>
      <c r="AO151" s="23" t="s">
        <v>54</v>
      </c>
      <c r="AP151" s="23">
        <v>0</v>
      </c>
      <c r="AQ151" s="23">
        <v>0</v>
      </c>
      <c r="AR151" s="35">
        <v>0</v>
      </c>
      <c r="AS151" s="35">
        <v>0</v>
      </c>
      <c r="AT151" s="35">
        <v>3</v>
      </c>
      <c r="AU151" s="31" t="str">
        <f t="shared" si="5"/>
        <v>库存为3</v>
      </c>
      <c r="AV151" s="36" t="str">
        <f>IFERROR($A$2+AU151,"上周无销量")</f>
        <v>上周无销量</v>
      </c>
    </row>
    <row r="152" spans="1:48">
      <c r="A152" s="21" t="s">
        <v>357</v>
      </c>
      <c r="B152" t="s">
        <v>358</v>
      </c>
      <c r="C152" t="s">
        <v>316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1</v>
      </c>
      <c r="J152" s="33">
        <v>0</v>
      </c>
      <c r="K152" s="33">
        <v>0</v>
      </c>
      <c r="L152" s="33">
        <v>0</v>
      </c>
      <c r="M152">
        <v>1</v>
      </c>
      <c r="N152">
        <v>0</v>
      </c>
      <c r="O152">
        <v>1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1</v>
      </c>
      <c r="AK152">
        <v>2</v>
      </c>
      <c r="AL152">
        <v>0</v>
      </c>
      <c r="AM152">
        <v>0</v>
      </c>
      <c r="AN152" s="23">
        <v>0</v>
      </c>
      <c r="AO152" s="23">
        <v>0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1</v>
      </c>
      <c r="AU152" s="31" t="str">
        <f t="shared" si="5"/>
        <v>库存为1</v>
      </c>
      <c r="AV152" s="36" t="str">
        <f>IFERROR($A$2+AU152,"上周无销量")</f>
        <v>上周无销量</v>
      </c>
    </row>
    <row r="153" spans="1:48">
      <c r="A153" s="21" t="s">
        <v>359</v>
      </c>
      <c r="B153" t="s">
        <v>360</v>
      </c>
      <c r="C153" t="s">
        <v>316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3</v>
      </c>
      <c r="J153" s="33">
        <v>0</v>
      </c>
      <c r="K153" s="33">
        <v>0</v>
      </c>
      <c r="L153" s="33">
        <v>0</v>
      </c>
      <c r="M153">
        <v>3</v>
      </c>
      <c r="N153">
        <v>0</v>
      </c>
      <c r="O153">
        <v>3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2</v>
      </c>
      <c r="AK153">
        <v>1</v>
      </c>
      <c r="AL153">
        <v>0</v>
      </c>
      <c r="AM153">
        <v>1</v>
      </c>
      <c r="AN153" s="23">
        <v>0</v>
      </c>
      <c r="AO153" s="23">
        <v>0</v>
      </c>
      <c r="AP153" s="23" t="s">
        <v>54</v>
      </c>
      <c r="AQ153" s="23">
        <v>0</v>
      </c>
      <c r="AR153" s="35">
        <v>0</v>
      </c>
      <c r="AS153" s="35">
        <v>0</v>
      </c>
      <c r="AT153" s="35">
        <v>3</v>
      </c>
      <c r="AU153" s="31" t="str">
        <f t="shared" si="5"/>
        <v>库存为3</v>
      </c>
      <c r="AV153" s="36" t="str">
        <f>IFERROR($A$2+AU153,"上周无销量")</f>
        <v>上周无销量</v>
      </c>
    </row>
    <row r="154" spans="1:48">
      <c r="A154" s="21" t="s">
        <v>361</v>
      </c>
      <c r="B154" t="s">
        <v>362</v>
      </c>
      <c r="C154" t="s">
        <v>316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3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4</v>
      </c>
      <c r="AK154">
        <v>2</v>
      </c>
      <c r="AL154">
        <v>3</v>
      </c>
      <c r="AM154">
        <v>0</v>
      </c>
      <c r="AN154" s="23">
        <v>0</v>
      </c>
      <c r="AO154" s="23">
        <v>0</v>
      </c>
      <c r="AP154" s="23">
        <v>0</v>
      </c>
      <c r="AQ154" s="23" t="s">
        <v>54</v>
      </c>
      <c r="AR154" s="35">
        <v>0</v>
      </c>
      <c r="AS154" s="35">
        <v>0</v>
      </c>
      <c r="AT154" s="35">
        <v>3</v>
      </c>
      <c r="AU154" s="31" t="str">
        <f t="shared" si="5"/>
        <v>库存为3</v>
      </c>
      <c r="AV154" s="36" t="str">
        <f>IFERROR($A$2+AU154,"上周无销量")</f>
        <v>上周无销量</v>
      </c>
    </row>
    <row r="155" spans="1:48">
      <c r="A155" s="21" t="s">
        <v>363</v>
      </c>
      <c r="B155" t="s">
        <v>364</v>
      </c>
      <c r="C155" t="s">
        <v>316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3</v>
      </c>
      <c r="J155" s="33">
        <v>0</v>
      </c>
      <c r="K155" s="33">
        <v>0</v>
      </c>
      <c r="L155" s="33">
        <v>0</v>
      </c>
      <c r="M155">
        <v>3</v>
      </c>
      <c r="N155">
        <v>0</v>
      </c>
      <c r="O155">
        <v>3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1</v>
      </c>
      <c r="AL155">
        <v>0</v>
      </c>
      <c r="AM155">
        <v>0</v>
      </c>
      <c r="AN155" s="23" t="s">
        <v>54</v>
      </c>
      <c r="AO155" s="23">
        <v>0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3</v>
      </c>
      <c r="AU155" s="31" t="str">
        <f t="shared" si="5"/>
        <v>库存为3</v>
      </c>
      <c r="AV155" s="36" t="str">
        <f>IFERROR($A$2+AU155,"上周无销量")</f>
        <v>上周无销量</v>
      </c>
    </row>
    <row r="156" spans="1:48">
      <c r="A156" s="21" t="s">
        <v>365</v>
      </c>
      <c r="B156" t="s">
        <v>366</v>
      </c>
      <c r="C156" t="s">
        <v>316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3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1</v>
      </c>
      <c r="AK156">
        <v>2</v>
      </c>
      <c r="AL156">
        <v>2</v>
      </c>
      <c r="AM156">
        <v>0</v>
      </c>
      <c r="AN156" s="23">
        <v>0</v>
      </c>
      <c r="AO156" s="23">
        <v>0</v>
      </c>
      <c r="AP156" s="23">
        <v>0</v>
      </c>
      <c r="AQ156" s="23" t="s">
        <v>54</v>
      </c>
      <c r="AR156" s="35">
        <v>0</v>
      </c>
      <c r="AS156" s="35">
        <v>0</v>
      </c>
      <c r="AT156" s="35">
        <v>3</v>
      </c>
      <c r="AU156" s="31" t="str">
        <f t="shared" si="5"/>
        <v>库存为3</v>
      </c>
      <c r="AV156" s="36" t="str">
        <f>IFERROR($A$2+AU156,"上周无销量")</f>
        <v>上周无销量</v>
      </c>
    </row>
    <row r="157" spans="1:48">
      <c r="A157" s="21" t="s">
        <v>367</v>
      </c>
      <c r="B157" t="s">
        <v>368</v>
      </c>
      <c r="C157" t="s">
        <v>316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3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1</v>
      </c>
      <c r="AK157">
        <v>2</v>
      </c>
      <c r="AL157">
        <v>0</v>
      </c>
      <c r="AM157">
        <v>0</v>
      </c>
      <c r="AN157" s="23">
        <v>0</v>
      </c>
      <c r="AO157" s="23">
        <v>0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3</v>
      </c>
      <c r="AU157" s="31" t="str">
        <f t="shared" si="5"/>
        <v>库存为3</v>
      </c>
      <c r="AV157" s="36" t="str">
        <f>IFERROR($A$2+AU157,"上周无销量")</f>
        <v>上周无销量</v>
      </c>
    </row>
    <row r="158" spans="1:48">
      <c r="A158" s="21" t="s">
        <v>369</v>
      </c>
      <c r="B158" t="s">
        <v>370</v>
      </c>
      <c r="C158" t="s">
        <v>316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3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2</v>
      </c>
      <c r="AK158">
        <v>1</v>
      </c>
      <c r="AL158">
        <v>0</v>
      </c>
      <c r="AM158">
        <v>0</v>
      </c>
      <c r="AN158" s="23">
        <v>0</v>
      </c>
      <c r="AO158" s="23">
        <v>0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3</v>
      </c>
      <c r="AU158" s="31" t="str">
        <f t="shared" si="5"/>
        <v>库存为3</v>
      </c>
      <c r="AV158" s="36" t="str">
        <f>IFERROR($A$2+AU158,"上周无销量")</f>
        <v>上周无销量</v>
      </c>
    </row>
    <row r="159" spans="1:48">
      <c r="A159" s="21" t="s">
        <v>371</v>
      </c>
      <c r="B159" t="s">
        <v>372</v>
      </c>
      <c r="C159" t="s">
        <v>316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3</v>
      </c>
      <c r="J159" s="33">
        <v>0</v>
      </c>
      <c r="K159" s="33">
        <v>0</v>
      </c>
      <c r="L159" s="33">
        <v>0</v>
      </c>
      <c r="M159">
        <v>3</v>
      </c>
      <c r="N159">
        <v>0</v>
      </c>
      <c r="O159">
        <v>3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2</v>
      </c>
      <c r="AK159">
        <v>2</v>
      </c>
      <c r="AL159">
        <v>1</v>
      </c>
      <c r="AM159">
        <v>1</v>
      </c>
      <c r="AN159" s="23">
        <v>0</v>
      </c>
      <c r="AO159" s="23">
        <v>0</v>
      </c>
      <c r="AP159" s="23">
        <v>0</v>
      </c>
      <c r="AQ159" s="23">
        <v>0</v>
      </c>
      <c r="AR159" s="35">
        <v>0</v>
      </c>
      <c r="AS159" s="35">
        <v>0</v>
      </c>
      <c r="AT159" s="35">
        <v>3</v>
      </c>
      <c r="AU159" s="31" t="str">
        <f t="shared" si="5"/>
        <v>库存为3</v>
      </c>
      <c r="AV159" s="36" t="str">
        <f>IFERROR($A$2+AU159,"上周无销量")</f>
        <v>上周无销量</v>
      </c>
    </row>
    <row r="160" spans="1:48">
      <c r="A160" s="21" t="s">
        <v>373</v>
      </c>
      <c r="B160" t="s">
        <v>374</v>
      </c>
      <c r="C160" t="s">
        <v>375</v>
      </c>
      <c r="D160" s="31">
        <v>0</v>
      </c>
      <c r="E160" s="31">
        <v>0</v>
      </c>
      <c r="F160" s="31">
        <v>1</v>
      </c>
      <c r="G160" s="31">
        <v>1</v>
      </c>
      <c r="H160" s="32">
        <v>17.9</v>
      </c>
      <c r="I160">
        <v>8</v>
      </c>
      <c r="J160" s="33">
        <v>0</v>
      </c>
      <c r="K160" s="33">
        <v>0</v>
      </c>
      <c r="L160" s="33">
        <v>0</v>
      </c>
      <c r="M160">
        <v>8</v>
      </c>
      <c r="N160">
        <v>0</v>
      </c>
      <c r="O160">
        <v>0</v>
      </c>
      <c r="P160">
        <v>45</v>
      </c>
      <c r="Q160">
        <v>188</v>
      </c>
      <c r="R160">
        <v>492</v>
      </c>
      <c r="S160">
        <v>699</v>
      </c>
      <c r="T160">
        <v>0</v>
      </c>
      <c r="U160">
        <v>0</v>
      </c>
      <c r="V160">
        <v>1</v>
      </c>
      <c r="W160">
        <v>3</v>
      </c>
      <c r="X160" s="23">
        <v>0</v>
      </c>
      <c r="Y160" s="23">
        <v>0</v>
      </c>
      <c r="Z160" s="23">
        <v>0.00203252032520325</v>
      </c>
      <c r="AA160" s="23">
        <v>0.00429184549356223</v>
      </c>
      <c r="AB160">
        <v>0</v>
      </c>
      <c r="AC160">
        <v>0</v>
      </c>
      <c r="AD160">
        <v>0.58</v>
      </c>
      <c r="AE160">
        <v>1.66</v>
      </c>
      <c r="AF160" s="23" t="s">
        <v>54</v>
      </c>
      <c r="AG160" s="23" t="s">
        <v>54</v>
      </c>
      <c r="AH160" s="23">
        <v>0.0324022346368715</v>
      </c>
      <c r="AI160" s="23">
        <v>0.0927374301675978</v>
      </c>
      <c r="AJ160">
        <v>3</v>
      </c>
      <c r="AK160">
        <v>3</v>
      </c>
      <c r="AL160">
        <v>7</v>
      </c>
      <c r="AM160">
        <v>7</v>
      </c>
      <c r="AN160" s="23">
        <v>0</v>
      </c>
      <c r="AO160" s="23">
        <v>0</v>
      </c>
      <c r="AP160" s="23">
        <v>0.142857142857143</v>
      </c>
      <c r="AQ160" s="23">
        <v>0.142857142857143</v>
      </c>
      <c r="AR160" s="35">
        <v>0</v>
      </c>
      <c r="AS160" s="35">
        <v>0</v>
      </c>
      <c r="AT160" s="35">
        <v>8</v>
      </c>
      <c r="AU160" s="31" t="str">
        <f t="shared" si="5"/>
        <v>库存为8</v>
      </c>
      <c r="AV160" s="36" t="str">
        <f>IFERROR($A$2+AU160,"上周无销量")</f>
        <v>上周无销量</v>
      </c>
    </row>
    <row r="161" spans="1:48">
      <c r="A161" s="21" t="s">
        <v>376</v>
      </c>
      <c r="B161" t="s">
        <v>377</v>
      </c>
      <c r="C161" t="s">
        <v>375</v>
      </c>
      <c r="D161" s="31">
        <v>1</v>
      </c>
      <c r="E161" s="31">
        <v>1</v>
      </c>
      <c r="F161" s="31">
        <v>0</v>
      </c>
      <c r="G161" s="31">
        <v>0</v>
      </c>
      <c r="H161" s="32">
        <v>17.9</v>
      </c>
      <c r="I161">
        <v>8</v>
      </c>
      <c r="J161" s="33">
        <v>0</v>
      </c>
      <c r="K161" s="33">
        <v>0</v>
      </c>
      <c r="L161" s="33">
        <v>0</v>
      </c>
      <c r="M161">
        <v>8</v>
      </c>
      <c r="N161">
        <v>0</v>
      </c>
      <c r="O161">
        <v>3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3</v>
      </c>
      <c r="AK161">
        <v>4</v>
      </c>
      <c r="AL161">
        <v>2</v>
      </c>
      <c r="AM161">
        <v>3</v>
      </c>
      <c r="AN161" s="23">
        <v>0.333333333333333</v>
      </c>
      <c r="AO161" s="23">
        <v>0.25</v>
      </c>
      <c r="AP161" s="23">
        <v>0</v>
      </c>
      <c r="AQ161" s="23">
        <v>0</v>
      </c>
      <c r="AR161" s="35">
        <v>0.142857142857143</v>
      </c>
      <c r="AS161" s="35">
        <v>8.57142857142857</v>
      </c>
      <c r="AT161" s="35">
        <v>-0.571428571428571</v>
      </c>
      <c r="AU161" s="31">
        <f t="shared" si="5"/>
        <v>56</v>
      </c>
      <c r="AV161" s="36">
        <f>IFERROR($A$2+AU161,"上周无销量")</f>
        <v>43318</v>
      </c>
    </row>
    <row r="162" spans="1:48">
      <c r="A162" s="21" t="s">
        <v>378</v>
      </c>
      <c r="B162" t="s">
        <v>379</v>
      </c>
      <c r="C162" t="s">
        <v>375</v>
      </c>
      <c r="D162" s="31">
        <v>0</v>
      </c>
      <c r="E162" s="31">
        <v>1</v>
      </c>
      <c r="F162" s="31">
        <v>0</v>
      </c>
      <c r="G162" s="31">
        <v>0</v>
      </c>
      <c r="H162" s="32">
        <v>17.9</v>
      </c>
      <c r="I162">
        <v>3</v>
      </c>
      <c r="J162" s="33">
        <v>0</v>
      </c>
      <c r="K162" s="33">
        <v>0</v>
      </c>
      <c r="L162" s="33">
        <v>0</v>
      </c>
      <c r="M162">
        <v>3</v>
      </c>
      <c r="N162">
        <v>2</v>
      </c>
      <c r="O162">
        <v>0</v>
      </c>
      <c r="P162">
        <v>1511</v>
      </c>
      <c r="Q162">
        <v>558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 s="23">
        <v>0</v>
      </c>
      <c r="Y162" s="23">
        <v>0.0017921146953405</v>
      </c>
      <c r="Z162" s="23" t="s">
        <v>54</v>
      </c>
      <c r="AA162" s="23" t="s">
        <v>54</v>
      </c>
      <c r="AB162">
        <v>0</v>
      </c>
      <c r="AC162">
        <v>0.36</v>
      </c>
      <c r="AD162">
        <v>0</v>
      </c>
      <c r="AE162">
        <v>0</v>
      </c>
      <c r="AF162" s="23" t="s">
        <v>54</v>
      </c>
      <c r="AG162" s="23">
        <v>0.0201117318435754</v>
      </c>
      <c r="AH162" s="23" t="s">
        <v>54</v>
      </c>
      <c r="AI162" s="23" t="s">
        <v>54</v>
      </c>
      <c r="AJ162">
        <v>13</v>
      </c>
      <c r="AK162">
        <v>1</v>
      </c>
      <c r="AL162">
        <v>0</v>
      </c>
      <c r="AM162">
        <v>0</v>
      </c>
      <c r="AN162" s="23">
        <v>0</v>
      </c>
      <c r="AO162" s="23">
        <v>1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3</v>
      </c>
      <c r="AU162" s="31" t="str">
        <f t="shared" si="5"/>
        <v>库存为3</v>
      </c>
      <c r="AV162" s="36" t="str">
        <f>IFERROR($A$2+AU162,"上周无销量")</f>
        <v>上周无销量</v>
      </c>
    </row>
    <row r="163" spans="1:48">
      <c r="A163" s="21" t="s">
        <v>380</v>
      </c>
      <c r="B163" t="s">
        <v>381</v>
      </c>
      <c r="C163" t="s">
        <v>375</v>
      </c>
      <c r="D163" s="31">
        <v>1</v>
      </c>
      <c r="E163" s="31">
        <v>1</v>
      </c>
      <c r="F163" s="31">
        <v>0</v>
      </c>
      <c r="G163" s="31">
        <v>2</v>
      </c>
      <c r="H163" s="32">
        <v>17.98</v>
      </c>
      <c r="I163">
        <v>8</v>
      </c>
      <c r="J163" s="33">
        <v>0</v>
      </c>
      <c r="K163" s="33">
        <v>0</v>
      </c>
      <c r="L163" s="33">
        <v>0</v>
      </c>
      <c r="M163">
        <v>8</v>
      </c>
      <c r="N163">
        <v>0</v>
      </c>
      <c r="O163">
        <v>0</v>
      </c>
      <c r="P163">
        <v>24200</v>
      </c>
      <c r="Q163">
        <v>1931</v>
      </c>
      <c r="R163">
        <v>0</v>
      </c>
      <c r="S163">
        <v>302</v>
      </c>
      <c r="T163">
        <v>22</v>
      </c>
      <c r="U163">
        <v>10</v>
      </c>
      <c r="V163">
        <v>0</v>
      </c>
      <c r="W163">
        <v>5</v>
      </c>
      <c r="X163" s="23">
        <v>0.000909090909090909</v>
      </c>
      <c r="Y163" s="23">
        <v>0.00517866390471258</v>
      </c>
      <c r="Z163" s="23" t="s">
        <v>54</v>
      </c>
      <c r="AA163" s="23">
        <v>0.0165562913907285</v>
      </c>
      <c r="AB163">
        <v>16.07</v>
      </c>
      <c r="AC163">
        <v>6.94</v>
      </c>
      <c r="AD163">
        <v>0</v>
      </c>
      <c r="AE163">
        <v>3.2</v>
      </c>
      <c r="AF163" s="23">
        <v>0.89377085650723</v>
      </c>
      <c r="AG163" s="23">
        <v>0.385984427141268</v>
      </c>
      <c r="AH163" s="23" t="s">
        <v>54</v>
      </c>
      <c r="AI163" s="23">
        <v>0.0889877641824249</v>
      </c>
      <c r="AJ163">
        <v>16</v>
      </c>
      <c r="AK163">
        <v>2</v>
      </c>
      <c r="AL163">
        <v>0</v>
      </c>
      <c r="AM163">
        <v>8</v>
      </c>
      <c r="AN163" s="23">
        <v>0.0625</v>
      </c>
      <c r="AO163" s="23">
        <v>0.5</v>
      </c>
      <c r="AP163" s="23" t="s">
        <v>54</v>
      </c>
      <c r="AQ163" s="23">
        <v>0.25</v>
      </c>
      <c r="AR163" s="35">
        <v>0.142857142857143</v>
      </c>
      <c r="AS163" s="35">
        <v>8.57142857142857</v>
      </c>
      <c r="AT163" s="35">
        <v>-0.571428571428571</v>
      </c>
      <c r="AU163" s="31">
        <f t="shared" si="5"/>
        <v>56</v>
      </c>
      <c r="AV163" s="36">
        <f>IFERROR($A$2+AU163,"上周无销量")</f>
        <v>43318</v>
      </c>
    </row>
    <row r="164" spans="1:48">
      <c r="A164" s="21" t="s">
        <v>382</v>
      </c>
      <c r="B164" t="s">
        <v>383</v>
      </c>
      <c r="C164" t="s">
        <v>375</v>
      </c>
      <c r="D164" s="31">
        <v>0</v>
      </c>
      <c r="E164" s="31">
        <v>1</v>
      </c>
      <c r="F164" s="31">
        <v>0</v>
      </c>
      <c r="G164" s="31">
        <v>0</v>
      </c>
      <c r="H164" s="32">
        <v>17.9</v>
      </c>
      <c r="I164">
        <v>12</v>
      </c>
      <c r="J164" s="33">
        <v>0</v>
      </c>
      <c r="K164" s="33">
        <v>0</v>
      </c>
      <c r="L164" s="33">
        <v>0</v>
      </c>
      <c r="M164">
        <v>12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5</v>
      </c>
      <c r="AK164">
        <v>7</v>
      </c>
      <c r="AL164">
        <v>3</v>
      </c>
      <c r="AM164">
        <v>3</v>
      </c>
      <c r="AN164" s="23">
        <v>0</v>
      </c>
      <c r="AO164" s="23">
        <v>0.142857142857143</v>
      </c>
      <c r="AP164" s="23">
        <v>0</v>
      </c>
      <c r="AQ164" s="23">
        <v>0</v>
      </c>
      <c r="AR164" s="35">
        <v>0</v>
      </c>
      <c r="AS164" s="35">
        <v>0</v>
      </c>
      <c r="AT164" s="35">
        <v>12</v>
      </c>
      <c r="AU164" s="31" t="str">
        <f t="shared" si="5"/>
        <v>库存为12</v>
      </c>
      <c r="AV164" s="36" t="str">
        <f>IFERROR($A$2+AU164,"上周无销量")</f>
        <v>上周无销量</v>
      </c>
    </row>
    <row r="165" spans="1:48">
      <c r="A165" s="21" t="s">
        <v>384</v>
      </c>
      <c r="B165" t="s">
        <v>385</v>
      </c>
      <c r="C165" t="s">
        <v>375</v>
      </c>
      <c r="D165" s="31">
        <v>0</v>
      </c>
      <c r="E165" s="31">
        <v>0</v>
      </c>
      <c r="F165" s="31">
        <v>1</v>
      </c>
      <c r="G165" s="31">
        <v>0</v>
      </c>
      <c r="H165" s="32">
        <v>17.9</v>
      </c>
      <c r="I165">
        <v>20</v>
      </c>
      <c r="J165" s="33">
        <v>0</v>
      </c>
      <c r="K165" s="33">
        <v>0</v>
      </c>
      <c r="L165" s="33">
        <v>0</v>
      </c>
      <c r="M165">
        <v>20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2</v>
      </c>
      <c r="AK165">
        <v>6</v>
      </c>
      <c r="AL165">
        <v>2</v>
      </c>
      <c r="AM165">
        <v>1</v>
      </c>
      <c r="AN165" s="23">
        <v>0</v>
      </c>
      <c r="AO165" s="23">
        <v>0</v>
      </c>
      <c r="AP165" s="23">
        <v>0.5</v>
      </c>
      <c r="AQ165" s="23">
        <v>0</v>
      </c>
      <c r="AR165" s="35">
        <v>0</v>
      </c>
      <c r="AS165" s="35">
        <v>0</v>
      </c>
      <c r="AT165" s="35">
        <v>20</v>
      </c>
      <c r="AU165" s="31" t="str">
        <f t="shared" si="5"/>
        <v>库存为20</v>
      </c>
      <c r="AV165" s="36" t="str">
        <f>IFERROR($A$2+AU165,"上周无销量")</f>
        <v>上周无销量</v>
      </c>
    </row>
    <row r="166" spans="1:48">
      <c r="A166" s="21" t="s">
        <v>386</v>
      </c>
      <c r="B166" t="s">
        <v>387</v>
      </c>
      <c r="C166" t="s">
        <v>388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3</v>
      </c>
      <c r="J166" s="33">
        <v>0</v>
      </c>
      <c r="K166" s="33">
        <v>0</v>
      </c>
      <c r="L166" s="33">
        <v>0</v>
      </c>
      <c r="M166">
        <v>3</v>
      </c>
      <c r="N166">
        <v>0</v>
      </c>
      <c r="O166">
        <v>3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4</v>
      </c>
      <c r="AL166">
        <v>1</v>
      </c>
      <c r="AM166">
        <v>1</v>
      </c>
      <c r="AN166" s="23" t="s">
        <v>54</v>
      </c>
      <c r="AO166" s="23">
        <v>0</v>
      </c>
      <c r="AP166" s="23">
        <v>0</v>
      </c>
      <c r="AQ166" s="23">
        <v>0</v>
      </c>
      <c r="AR166" s="35">
        <v>0</v>
      </c>
      <c r="AS166" s="35">
        <v>0</v>
      </c>
      <c r="AT166" s="35">
        <v>3</v>
      </c>
      <c r="AU166" s="31" t="str">
        <f t="shared" si="5"/>
        <v>库存为3</v>
      </c>
      <c r="AV166" s="36" t="str">
        <f>IFERROR($A$2+AU166,"上周无销量")</f>
        <v>上周无销量</v>
      </c>
    </row>
    <row r="167" spans="1:48">
      <c r="A167" s="21" t="s">
        <v>389</v>
      </c>
      <c r="B167" t="s">
        <v>390</v>
      </c>
      <c r="C167" t="s">
        <v>388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4</v>
      </c>
      <c r="J167" s="33">
        <v>0</v>
      </c>
      <c r="K167" s="33">
        <v>0</v>
      </c>
      <c r="L167" s="33">
        <v>0</v>
      </c>
      <c r="M167">
        <v>4</v>
      </c>
      <c r="N167">
        <v>0</v>
      </c>
      <c r="O167">
        <v>4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3</v>
      </c>
      <c r="AK167">
        <v>2</v>
      </c>
      <c r="AL167">
        <v>1</v>
      </c>
      <c r="AM167">
        <v>2</v>
      </c>
      <c r="AN167" s="23">
        <v>0</v>
      </c>
      <c r="AO167" s="23">
        <v>0</v>
      </c>
      <c r="AP167" s="23">
        <v>0</v>
      </c>
      <c r="AQ167" s="23">
        <v>0</v>
      </c>
      <c r="AR167" s="35">
        <v>0</v>
      </c>
      <c r="AS167" s="35">
        <v>0</v>
      </c>
      <c r="AT167" s="35">
        <v>4</v>
      </c>
      <c r="AU167" s="31" t="str">
        <f t="shared" si="5"/>
        <v>库存为4</v>
      </c>
      <c r="AV167" s="36" t="str">
        <f>IFERROR($A$2+AU167,"上周无销量")</f>
        <v>上周无销量</v>
      </c>
    </row>
    <row r="168" spans="1:48">
      <c r="A168" s="21" t="s">
        <v>391</v>
      </c>
      <c r="B168" t="s">
        <v>392</v>
      </c>
      <c r="C168" t="s">
        <v>388</v>
      </c>
      <c r="D168" s="31">
        <v>1</v>
      </c>
      <c r="E168" s="31">
        <v>1</v>
      </c>
      <c r="F168" s="31">
        <v>0</v>
      </c>
      <c r="G168" s="31">
        <v>0</v>
      </c>
      <c r="H168" s="32">
        <v>12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1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2</v>
      </c>
      <c r="AL168">
        <v>1</v>
      </c>
      <c r="AM168">
        <v>1</v>
      </c>
      <c r="AN168" s="23" t="s">
        <v>54</v>
      </c>
      <c r="AO168" s="23">
        <v>0.5</v>
      </c>
      <c r="AP168" s="23">
        <v>0</v>
      </c>
      <c r="AQ168" s="23">
        <v>0</v>
      </c>
      <c r="AR168" s="35">
        <v>0.142857142857143</v>
      </c>
      <c r="AS168" s="35">
        <v>8.57142857142857</v>
      </c>
      <c r="AT168" s="35">
        <v>-8.57142857142857</v>
      </c>
      <c r="AU168" s="31">
        <f t="shared" si="5"/>
        <v>0</v>
      </c>
      <c r="AV168" s="36">
        <f>IFERROR($A$2+AU168,"上周无销量")</f>
        <v>43262</v>
      </c>
    </row>
    <row r="169" spans="1:48">
      <c r="A169" s="21" t="s">
        <v>393</v>
      </c>
      <c r="B169" t="s">
        <v>394</v>
      </c>
      <c r="C169" t="s">
        <v>388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4</v>
      </c>
      <c r="J169" s="33">
        <v>0</v>
      </c>
      <c r="K169" s="33">
        <v>0</v>
      </c>
      <c r="L169" s="33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1</v>
      </c>
      <c r="AK169">
        <v>4</v>
      </c>
      <c r="AL169">
        <v>0</v>
      </c>
      <c r="AM169">
        <v>1</v>
      </c>
      <c r="AN169" s="23">
        <v>0</v>
      </c>
      <c r="AO169" s="23">
        <v>0</v>
      </c>
      <c r="AP169" s="23" t="s">
        <v>54</v>
      </c>
      <c r="AQ169" s="23">
        <v>0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IFERROR($A$2+AU169,"上周无销量")</f>
        <v>上周无销量</v>
      </c>
    </row>
    <row r="170" spans="1:48">
      <c r="A170" s="21" t="s">
        <v>395</v>
      </c>
      <c r="B170" t="s">
        <v>396</v>
      </c>
      <c r="C170" t="s">
        <v>388</v>
      </c>
      <c r="D170" s="31">
        <v>0</v>
      </c>
      <c r="E170" s="31">
        <v>1</v>
      </c>
      <c r="F170" s="31">
        <v>0</v>
      </c>
      <c r="G170" s="31">
        <v>0</v>
      </c>
      <c r="H170" s="32">
        <v>12</v>
      </c>
      <c r="I170">
        <v>4</v>
      </c>
      <c r="J170" s="33">
        <v>0</v>
      </c>
      <c r="K170" s="33">
        <v>0</v>
      </c>
      <c r="L170" s="33">
        <v>0</v>
      </c>
      <c r="M170">
        <v>4</v>
      </c>
      <c r="N170">
        <v>0</v>
      </c>
      <c r="O170">
        <v>4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2</v>
      </c>
      <c r="AL170">
        <v>0</v>
      </c>
      <c r="AM170">
        <v>1</v>
      </c>
      <c r="AN170" s="23">
        <v>0</v>
      </c>
      <c r="AO170" s="23">
        <v>0.5</v>
      </c>
      <c r="AP170" s="23" t="s">
        <v>54</v>
      </c>
      <c r="AQ170" s="23">
        <v>0</v>
      </c>
      <c r="AR170" s="35">
        <v>0</v>
      </c>
      <c r="AS170" s="35">
        <v>0</v>
      </c>
      <c r="AT170" s="35">
        <v>4</v>
      </c>
      <c r="AU170" s="31" t="str">
        <f t="shared" si="5"/>
        <v>库存为4</v>
      </c>
      <c r="AV170" s="36" t="str">
        <f>IFERROR($A$2+AU170,"上周无销量")</f>
        <v>上周无销量</v>
      </c>
    </row>
    <row r="171" spans="1:48">
      <c r="A171" s="21" t="s">
        <v>397</v>
      </c>
      <c r="B171" t="s">
        <v>398</v>
      </c>
      <c r="C171" t="s">
        <v>388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5</v>
      </c>
      <c r="J171" s="33">
        <v>0</v>
      </c>
      <c r="K171" s="33">
        <v>0</v>
      </c>
      <c r="L171" s="33">
        <v>0</v>
      </c>
      <c r="M171">
        <v>5</v>
      </c>
      <c r="N171">
        <v>0</v>
      </c>
      <c r="O171">
        <v>5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1</v>
      </c>
      <c r="AK171">
        <v>1</v>
      </c>
      <c r="AL171">
        <v>0</v>
      </c>
      <c r="AM171">
        <v>0</v>
      </c>
      <c r="AN171" s="23">
        <v>0</v>
      </c>
      <c r="AO171" s="23">
        <v>0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5</v>
      </c>
      <c r="AU171" s="31" t="str">
        <f t="shared" si="5"/>
        <v>库存为5</v>
      </c>
      <c r="AV171" s="36" t="str">
        <f>IFERROR($A$2+AU171,"上周无销量")</f>
        <v>上周无销量</v>
      </c>
    </row>
    <row r="172" spans="1:48">
      <c r="A172" s="21" t="s">
        <v>399</v>
      </c>
      <c r="B172" t="s">
        <v>400</v>
      </c>
      <c r="C172" t="s">
        <v>388</v>
      </c>
      <c r="D172" s="31">
        <v>0</v>
      </c>
      <c r="E172" s="31">
        <v>0</v>
      </c>
      <c r="F172" s="31">
        <v>0</v>
      </c>
      <c r="G172" s="31">
        <v>1</v>
      </c>
      <c r="H172" s="32">
        <v>12</v>
      </c>
      <c r="I172">
        <v>4</v>
      </c>
      <c r="J172" s="33">
        <v>0</v>
      </c>
      <c r="K172" s="33">
        <v>0</v>
      </c>
      <c r="L172" s="33">
        <v>0</v>
      </c>
      <c r="M172">
        <v>4</v>
      </c>
      <c r="N172">
        <v>0</v>
      </c>
      <c r="O172">
        <v>3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3</v>
      </c>
      <c r="AL172">
        <v>2</v>
      </c>
      <c r="AM172">
        <v>3</v>
      </c>
      <c r="AN172" s="23" t="s">
        <v>54</v>
      </c>
      <c r="AO172" s="23">
        <v>0</v>
      </c>
      <c r="AP172" s="23">
        <v>0</v>
      </c>
      <c r="AQ172" s="23">
        <v>0.333333333333333</v>
      </c>
      <c r="AR172" s="35">
        <v>0</v>
      </c>
      <c r="AS172" s="35">
        <v>0</v>
      </c>
      <c r="AT172" s="35">
        <v>4</v>
      </c>
      <c r="AU172" s="31" t="str">
        <f t="shared" si="5"/>
        <v>库存为4</v>
      </c>
      <c r="AV172" s="36" t="str">
        <f>IFERROR($A$2+AU172,"上周无销量")</f>
        <v>上周无销量</v>
      </c>
    </row>
    <row r="173" spans="1:48">
      <c r="A173" s="21" t="s">
        <v>401</v>
      </c>
      <c r="B173" t="s">
        <v>402</v>
      </c>
      <c r="C173" t="s">
        <v>388</v>
      </c>
      <c r="D173" s="31">
        <v>1</v>
      </c>
      <c r="E173" s="31">
        <v>0</v>
      </c>
      <c r="F173" s="31">
        <v>0</v>
      </c>
      <c r="G173" s="31">
        <v>0</v>
      </c>
      <c r="H173" s="32">
        <v>12</v>
      </c>
      <c r="I173">
        <v>4</v>
      </c>
      <c r="J173" s="33">
        <v>0</v>
      </c>
      <c r="K173" s="33">
        <v>0</v>
      </c>
      <c r="L173" s="33">
        <v>0</v>
      </c>
      <c r="M173">
        <v>4</v>
      </c>
      <c r="N173">
        <v>0</v>
      </c>
      <c r="O173">
        <v>4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1</v>
      </c>
      <c r="AL173">
        <v>0</v>
      </c>
      <c r="AM173">
        <v>0</v>
      </c>
      <c r="AN173" s="23" t="s">
        <v>54</v>
      </c>
      <c r="AO173" s="23">
        <v>0</v>
      </c>
      <c r="AP173" s="23" t="s">
        <v>54</v>
      </c>
      <c r="AQ173" s="23" t="s">
        <v>54</v>
      </c>
      <c r="AR173" s="35">
        <v>0.142857142857143</v>
      </c>
      <c r="AS173" s="35">
        <v>8.57142857142857</v>
      </c>
      <c r="AT173" s="35">
        <v>-4.57142857142857</v>
      </c>
      <c r="AU173" s="31">
        <f t="shared" si="5"/>
        <v>28</v>
      </c>
      <c r="AV173" s="36">
        <f>IFERROR($A$2+AU173,"上周无销量")</f>
        <v>43290</v>
      </c>
    </row>
    <row r="174" spans="1:48">
      <c r="A174" s="21" t="s">
        <v>403</v>
      </c>
      <c r="B174" t="s">
        <v>404</v>
      </c>
      <c r="C174" t="s">
        <v>388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5</v>
      </c>
      <c r="J174" s="33">
        <v>0</v>
      </c>
      <c r="K174" s="33">
        <v>0</v>
      </c>
      <c r="L174" s="33">
        <v>0</v>
      </c>
      <c r="M174">
        <v>5</v>
      </c>
      <c r="N174">
        <v>0</v>
      </c>
      <c r="O174">
        <v>5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</v>
      </c>
      <c r="AK174">
        <v>1</v>
      </c>
      <c r="AL174">
        <v>0</v>
      </c>
      <c r="AM174">
        <v>0</v>
      </c>
      <c r="AN174" s="23">
        <v>0</v>
      </c>
      <c r="AO174" s="23">
        <v>0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5</v>
      </c>
      <c r="AU174" s="31" t="str">
        <f t="shared" si="5"/>
        <v>库存为5</v>
      </c>
      <c r="AV174" s="36" t="str">
        <f>IFERROR($A$2+AU174,"上周无销量")</f>
        <v>上周无销量</v>
      </c>
    </row>
    <row r="175" spans="1:48">
      <c r="A175" s="21" t="s">
        <v>405</v>
      </c>
      <c r="B175" t="s">
        <v>406</v>
      </c>
      <c r="C175" t="s">
        <v>388</v>
      </c>
      <c r="D175" s="31">
        <v>1</v>
      </c>
      <c r="E175" s="31">
        <v>0</v>
      </c>
      <c r="F175" s="31">
        <v>0</v>
      </c>
      <c r="G175" s="31">
        <v>0</v>
      </c>
      <c r="H175" s="32">
        <v>12</v>
      </c>
      <c r="I175">
        <v>4</v>
      </c>
      <c r="J175" s="33">
        <v>0</v>
      </c>
      <c r="K175" s="33">
        <v>0</v>
      </c>
      <c r="L175" s="33">
        <v>0</v>
      </c>
      <c r="M175">
        <v>4</v>
      </c>
      <c r="N175">
        <v>0</v>
      </c>
      <c r="O175">
        <v>3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3</v>
      </c>
      <c r="AL175">
        <v>0</v>
      </c>
      <c r="AM175">
        <v>1</v>
      </c>
      <c r="AN175" s="23" t="s">
        <v>54</v>
      </c>
      <c r="AO175" s="23">
        <v>0</v>
      </c>
      <c r="AP175" s="23" t="s">
        <v>54</v>
      </c>
      <c r="AQ175" s="23">
        <v>0</v>
      </c>
      <c r="AR175" s="35">
        <v>0.142857142857143</v>
      </c>
      <c r="AS175" s="35">
        <v>8.57142857142857</v>
      </c>
      <c r="AT175" s="35">
        <v>-4.57142857142857</v>
      </c>
      <c r="AU175" s="31">
        <f t="shared" si="5"/>
        <v>28</v>
      </c>
      <c r="AV175" s="36">
        <f>IFERROR($A$2+AU175,"上周无销量")</f>
        <v>43290</v>
      </c>
    </row>
    <row r="176" spans="1:48">
      <c r="A176" s="21" t="s">
        <v>407</v>
      </c>
      <c r="B176" t="s">
        <v>408</v>
      </c>
      <c r="C176" t="s">
        <v>388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5</v>
      </c>
      <c r="J176" s="33">
        <v>0</v>
      </c>
      <c r="K176" s="33">
        <v>0</v>
      </c>
      <c r="L176" s="33">
        <v>0</v>
      </c>
      <c r="M176">
        <v>5</v>
      </c>
      <c r="N176">
        <v>0</v>
      </c>
      <c r="O176">
        <v>5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1</v>
      </c>
      <c r="AK176">
        <v>2</v>
      </c>
      <c r="AL176">
        <v>0</v>
      </c>
      <c r="AM176">
        <v>1</v>
      </c>
      <c r="AN176" s="23">
        <v>0</v>
      </c>
      <c r="AO176" s="23">
        <v>0</v>
      </c>
      <c r="AP176" s="23" t="s">
        <v>54</v>
      </c>
      <c r="AQ176" s="23">
        <v>0</v>
      </c>
      <c r="AR176" s="35">
        <v>0</v>
      </c>
      <c r="AS176" s="35">
        <v>0</v>
      </c>
      <c r="AT176" s="35">
        <v>5</v>
      </c>
      <c r="AU176" s="31" t="str">
        <f t="shared" si="5"/>
        <v>库存为5</v>
      </c>
      <c r="AV176" s="36" t="str">
        <f>IFERROR($A$2+AU176,"上周无销量")</f>
        <v>上周无销量</v>
      </c>
    </row>
    <row r="177" spans="1:48">
      <c r="A177" s="21" t="s">
        <v>409</v>
      </c>
      <c r="B177" t="s">
        <v>410</v>
      </c>
      <c r="C177" t="s">
        <v>388</v>
      </c>
      <c r="D177" s="31">
        <v>0</v>
      </c>
      <c r="E177" s="31">
        <v>0</v>
      </c>
      <c r="F177" s="31">
        <v>1</v>
      </c>
      <c r="G177" s="31">
        <v>0</v>
      </c>
      <c r="H177" s="32">
        <v>12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2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2</v>
      </c>
      <c r="AL177">
        <v>2</v>
      </c>
      <c r="AM177">
        <v>0</v>
      </c>
      <c r="AN177" s="23" t="s">
        <v>54</v>
      </c>
      <c r="AO177" s="23">
        <v>0</v>
      </c>
      <c r="AP177" s="23">
        <v>0.5</v>
      </c>
      <c r="AQ177" s="23" t="s">
        <v>54</v>
      </c>
      <c r="AR177" s="35">
        <v>0</v>
      </c>
      <c r="AS177" s="35">
        <v>0</v>
      </c>
      <c r="AT177" s="35">
        <v>3</v>
      </c>
      <c r="AU177" s="31" t="str">
        <f t="shared" si="5"/>
        <v>库存为3</v>
      </c>
      <c r="AV177" s="36" t="str">
        <f>IFERROR($A$2+AU177,"上周无销量")</f>
        <v>上周无销量</v>
      </c>
    </row>
    <row r="178" spans="1:48">
      <c r="A178" s="21" t="s">
        <v>411</v>
      </c>
      <c r="B178" t="s">
        <v>412</v>
      </c>
      <c r="C178" t="s">
        <v>388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5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2</v>
      </c>
      <c r="AL178">
        <v>2</v>
      </c>
      <c r="AM178">
        <v>0</v>
      </c>
      <c r="AN178" s="23" t="s">
        <v>54</v>
      </c>
      <c r="AO178" s="23">
        <v>0</v>
      </c>
      <c r="AP178" s="23">
        <v>0</v>
      </c>
      <c r="AQ178" s="23" t="s">
        <v>54</v>
      </c>
      <c r="AR178" s="35">
        <v>0</v>
      </c>
      <c r="AS178" s="35">
        <v>0</v>
      </c>
      <c r="AT178" s="35">
        <v>5</v>
      </c>
      <c r="AU178" s="31" t="str">
        <f t="shared" si="5"/>
        <v>库存为5</v>
      </c>
      <c r="AV178" s="36" t="str">
        <f>IFERROR($A$2+AU178,"上周无销量")</f>
        <v>上周无销量</v>
      </c>
    </row>
    <row r="179" spans="1:48">
      <c r="A179" s="21" t="s">
        <v>413</v>
      </c>
      <c r="B179" t="s">
        <v>414</v>
      </c>
      <c r="C179" t="s">
        <v>388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5</v>
      </c>
      <c r="J179" s="33">
        <v>0</v>
      </c>
      <c r="K179" s="33">
        <v>0</v>
      </c>
      <c r="L179" s="33">
        <v>0</v>
      </c>
      <c r="M179">
        <v>5</v>
      </c>
      <c r="N179">
        <v>0</v>
      </c>
      <c r="O179">
        <v>5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1</v>
      </c>
      <c r="AK179">
        <v>2</v>
      </c>
      <c r="AL179">
        <v>1</v>
      </c>
      <c r="AM179">
        <v>0</v>
      </c>
      <c r="AN179" s="23">
        <v>0</v>
      </c>
      <c r="AO179" s="23">
        <v>0</v>
      </c>
      <c r="AP179" s="23">
        <v>0</v>
      </c>
      <c r="AQ179" s="23" t="s">
        <v>54</v>
      </c>
      <c r="AR179" s="35">
        <v>0</v>
      </c>
      <c r="AS179" s="35">
        <v>0</v>
      </c>
      <c r="AT179" s="35">
        <v>5</v>
      </c>
      <c r="AU179" s="31" t="str">
        <f t="shared" si="5"/>
        <v>库存为5</v>
      </c>
      <c r="AV179" s="36" t="str">
        <f>IFERROR($A$2+AU179,"上周无销量")</f>
        <v>上周无销量</v>
      </c>
    </row>
    <row r="180" spans="1:48">
      <c r="A180" s="21" t="s">
        <v>415</v>
      </c>
      <c r="B180" t="s">
        <v>416</v>
      </c>
      <c r="C180" t="s">
        <v>388</v>
      </c>
      <c r="D180" s="31">
        <v>0</v>
      </c>
      <c r="E180" s="31">
        <v>0</v>
      </c>
      <c r="F180" s="31">
        <v>0</v>
      </c>
      <c r="G180" s="31">
        <v>1</v>
      </c>
      <c r="H180" s="32">
        <v>12</v>
      </c>
      <c r="I180">
        <v>3</v>
      </c>
      <c r="J180" s="33">
        <v>0</v>
      </c>
      <c r="K180" s="33">
        <v>0</v>
      </c>
      <c r="L180" s="33">
        <v>0</v>
      </c>
      <c r="M180">
        <v>3</v>
      </c>
      <c r="N180">
        <v>0</v>
      </c>
      <c r="O180">
        <v>3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3</v>
      </c>
      <c r="AL180">
        <v>1</v>
      </c>
      <c r="AM180">
        <v>2</v>
      </c>
      <c r="AN180" s="23" t="s">
        <v>54</v>
      </c>
      <c r="AO180" s="23">
        <v>0</v>
      </c>
      <c r="AP180" s="23">
        <v>0</v>
      </c>
      <c r="AQ180" s="23">
        <v>0.5</v>
      </c>
      <c r="AR180" s="35">
        <v>0</v>
      </c>
      <c r="AS180" s="35">
        <v>0</v>
      </c>
      <c r="AT180" s="35">
        <v>3</v>
      </c>
      <c r="AU180" s="31" t="str">
        <f t="shared" si="5"/>
        <v>库存为3</v>
      </c>
      <c r="AV180" s="36" t="str">
        <f>IFERROR($A$2+AU180,"上周无销量")</f>
        <v>上周无销量</v>
      </c>
    </row>
    <row r="181" spans="1:48">
      <c r="A181" s="21" t="s">
        <v>417</v>
      </c>
      <c r="B181" t="s">
        <v>418</v>
      </c>
      <c r="C181" t="s">
        <v>388</v>
      </c>
      <c r="D181" s="31">
        <v>0</v>
      </c>
      <c r="E181" s="31">
        <v>1</v>
      </c>
      <c r="F181" s="31">
        <v>0</v>
      </c>
      <c r="G181" s="31">
        <v>0</v>
      </c>
      <c r="H181" s="32">
        <v>12</v>
      </c>
      <c r="I181">
        <v>3</v>
      </c>
      <c r="J181" s="33">
        <v>0</v>
      </c>
      <c r="K181" s="33">
        <v>0</v>
      </c>
      <c r="L181" s="33">
        <v>0</v>
      </c>
      <c r="M181">
        <v>3</v>
      </c>
      <c r="N181">
        <v>0</v>
      </c>
      <c r="O181">
        <v>3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3</v>
      </c>
      <c r="AL181">
        <v>2</v>
      </c>
      <c r="AM181">
        <v>0</v>
      </c>
      <c r="AN181" s="23" t="s">
        <v>54</v>
      </c>
      <c r="AO181" s="23">
        <v>0.333333333333333</v>
      </c>
      <c r="AP181" s="23">
        <v>0</v>
      </c>
      <c r="AQ181" s="23" t="s">
        <v>54</v>
      </c>
      <c r="AR181" s="35">
        <v>0</v>
      </c>
      <c r="AS181" s="35">
        <v>0</v>
      </c>
      <c r="AT181" s="35">
        <v>3</v>
      </c>
      <c r="AU181" s="31" t="str">
        <f t="shared" si="5"/>
        <v>库存为3</v>
      </c>
      <c r="AV181" s="36" t="str">
        <f>IFERROR($A$2+AU181,"上周无销量")</f>
        <v>上周无销量</v>
      </c>
    </row>
    <row r="182" spans="1:48">
      <c r="A182" s="21" t="s">
        <v>419</v>
      </c>
      <c r="B182" t="s">
        <v>420</v>
      </c>
      <c r="C182" t="s">
        <v>388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5</v>
      </c>
      <c r="J182" s="33">
        <v>0</v>
      </c>
      <c r="K182" s="33">
        <v>0</v>
      </c>
      <c r="L182" s="33">
        <v>0</v>
      </c>
      <c r="M182">
        <v>5</v>
      </c>
      <c r="N182">
        <v>0</v>
      </c>
      <c r="O182">
        <v>5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1</v>
      </c>
      <c r="AK182">
        <v>3</v>
      </c>
      <c r="AL182">
        <v>1</v>
      </c>
      <c r="AM182">
        <v>0</v>
      </c>
      <c r="AN182" s="23">
        <v>0</v>
      </c>
      <c r="AO182" s="23">
        <v>0</v>
      </c>
      <c r="AP182" s="23">
        <v>0</v>
      </c>
      <c r="AQ182" s="23" t="s">
        <v>54</v>
      </c>
      <c r="AR182" s="35">
        <v>0</v>
      </c>
      <c r="AS182" s="35">
        <v>0</v>
      </c>
      <c r="AT182" s="35">
        <v>5</v>
      </c>
      <c r="AU182" s="31" t="str">
        <f t="shared" si="5"/>
        <v>库存为5</v>
      </c>
      <c r="AV182" s="36" t="str">
        <f>IFERROR($A$2+AU182,"上周无销量")</f>
        <v>上周无销量</v>
      </c>
    </row>
    <row r="183" spans="1:48">
      <c r="A183" s="21" t="s">
        <v>421</v>
      </c>
      <c r="B183" t="s">
        <v>422</v>
      </c>
      <c r="C183" t="s">
        <v>388</v>
      </c>
      <c r="D183" s="31">
        <v>0</v>
      </c>
      <c r="E183" s="31">
        <v>1</v>
      </c>
      <c r="F183" s="31">
        <v>0</v>
      </c>
      <c r="G183" s="31">
        <v>0</v>
      </c>
      <c r="H183" s="32">
        <v>12</v>
      </c>
      <c r="I183">
        <v>2</v>
      </c>
      <c r="J183" s="33">
        <v>0</v>
      </c>
      <c r="K183" s="33">
        <v>0</v>
      </c>
      <c r="L183" s="33">
        <v>0</v>
      </c>
      <c r="M183">
        <v>2</v>
      </c>
      <c r="N183">
        <v>0</v>
      </c>
      <c r="O183">
        <v>1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4</v>
      </c>
      <c r="AL183">
        <v>0</v>
      </c>
      <c r="AM183">
        <v>0</v>
      </c>
      <c r="AN183" s="23" t="s">
        <v>54</v>
      </c>
      <c r="AO183" s="23">
        <v>0.25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2</v>
      </c>
      <c r="AU183" s="31" t="str">
        <f t="shared" si="5"/>
        <v>库存为2</v>
      </c>
      <c r="AV183" s="36" t="str">
        <f>IFERROR($A$2+AU183,"上周无销量")</f>
        <v>上周无销量</v>
      </c>
    </row>
    <row r="184" spans="1:48">
      <c r="A184" s="21" t="s">
        <v>423</v>
      </c>
      <c r="B184" t="s">
        <v>424</v>
      </c>
      <c r="C184" t="s">
        <v>388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5</v>
      </c>
      <c r="J184" s="33">
        <v>0</v>
      </c>
      <c r="K184" s="33">
        <v>0</v>
      </c>
      <c r="L184" s="33">
        <v>0</v>
      </c>
      <c r="M184">
        <v>5</v>
      </c>
      <c r="N184">
        <v>0</v>
      </c>
      <c r="O184">
        <v>5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1</v>
      </c>
      <c r="AL184">
        <v>1</v>
      </c>
      <c r="AM184">
        <v>0</v>
      </c>
      <c r="AN184" s="23" t="s">
        <v>54</v>
      </c>
      <c r="AO184" s="23">
        <v>0</v>
      </c>
      <c r="AP184" s="23">
        <v>0</v>
      </c>
      <c r="AQ184" s="23" t="s">
        <v>54</v>
      </c>
      <c r="AR184" s="35">
        <v>0</v>
      </c>
      <c r="AS184" s="35">
        <v>0</v>
      </c>
      <c r="AT184" s="35">
        <v>5</v>
      </c>
      <c r="AU184" s="31" t="str">
        <f t="shared" si="5"/>
        <v>库存为5</v>
      </c>
      <c r="AV184" s="36" t="str">
        <f>IFERROR($A$2+AU184,"上周无销量")</f>
        <v>上周无销量</v>
      </c>
    </row>
    <row r="185" spans="1:48">
      <c r="A185" s="21" t="s">
        <v>425</v>
      </c>
      <c r="B185" t="s">
        <v>426</v>
      </c>
      <c r="C185" t="s">
        <v>388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4</v>
      </c>
      <c r="J185" s="33">
        <v>0</v>
      </c>
      <c r="K185" s="33">
        <v>0</v>
      </c>
      <c r="L185" s="33">
        <v>0</v>
      </c>
      <c r="M185">
        <v>4</v>
      </c>
      <c r="N185">
        <v>0</v>
      </c>
      <c r="O185">
        <v>4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2</v>
      </c>
      <c r="AL185">
        <v>1</v>
      </c>
      <c r="AM185">
        <v>0</v>
      </c>
      <c r="AN185" s="23" t="s">
        <v>54</v>
      </c>
      <c r="AO185" s="23">
        <v>0</v>
      </c>
      <c r="AP185" s="23">
        <v>0</v>
      </c>
      <c r="AQ185" s="23" t="s">
        <v>54</v>
      </c>
      <c r="AR185" s="35">
        <v>0</v>
      </c>
      <c r="AS185" s="35">
        <v>0</v>
      </c>
      <c r="AT185" s="35">
        <v>4</v>
      </c>
      <c r="AU185" s="31" t="str">
        <f t="shared" si="5"/>
        <v>库存为4</v>
      </c>
      <c r="AV185" s="36" t="str">
        <f>IFERROR($A$2+AU185,"上周无销量")</f>
        <v>上周无销量</v>
      </c>
    </row>
    <row r="186" spans="1:48">
      <c r="A186" s="21" t="s">
        <v>427</v>
      </c>
      <c r="B186" t="s">
        <v>428</v>
      </c>
      <c r="C186" t="s">
        <v>388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2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1</v>
      </c>
      <c r="AK186">
        <v>3</v>
      </c>
      <c r="AL186">
        <v>2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5">
        <v>0</v>
      </c>
      <c r="AS186" s="35">
        <v>0</v>
      </c>
      <c r="AT186" s="35">
        <v>3</v>
      </c>
      <c r="AU186" s="31" t="str">
        <f t="shared" si="5"/>
        <v>库存为3</v>
      </c>
      <c r="AV186" s="36" t="str">
        <f>IFERROR($A$2+AU186,"上周无销量")</f>
        <v>上周无销量</v>
      </c>
    </row>
    <row r="187" spans="1:48">
      <c r="A187" s="21" t="s">
        <v>429</v>
      </c>
      <c r="B187" t="s">
        <v>430</v>
      </c>
      <c r="C187" t="s">
        <v>388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4</v>
      </c>
      <c r="J187" s="33">
        <v>0</v>
      </c>
      <c r="K187" s="33">
        <v>0</v>
      </c>
      <c r="L187" s="33">
        <v>0</v>
      </c>
      <c r="M187">
        <v>4</v>
      </c>
      <c r="N187">
        <v>0</v>
      </c>
      <c r="O187">
        <v>3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1</v>
      </c>
      <c r="AK187">
        <v>3</v>
      </c>
      <c r="AL187">
        <v>4</v>
      </c>
      <c r="AM187">
        <v>0</v>
      </c>
      <c r="AN187" s="23">
        <v>0</v>
      </c>
      <c r="AO187" s="23">
        <v>0</v>
      </c>
      <c r="AP187" s="23">
        <v>0</v>
      </c>
      <c r="AQ187" s="23" t="s">
        <v>54</v>
      </c>
      <c r="AR187" s="35">
        <v>0</v>
      </c>
      <c r="AS187" s="35">
        <v>0</v>
      </c>
      <c r="AT187" s="35">
        <v>4</v>
      </c>
      <c r="AU187" s="31" t="str">
        <f t="shared" si="5"/>
        <v>库存为4</v>
      </c>
      <c r="AV187" s="36" t="str">
        <f>IFERROR($A$2+AU187,"上周无销量")</f>
        <v>上周无销量</v>
      </c>
    </row>
    <row r="188" spans="1:48">
      <c r="A188" s="21" t="s">
        <v>431</v>
      </c>
      <c r="B188" t="s">
        <v>432</v>
      </c>
      <c r="C188" t="s">
        <v>388</v>
      </c>
      <c r="D188" s="31">
        <v>1</v>
      </c>
      <c r="E188" s="31">
        <v>0</v>
      </c>
      <c r="F188" s="31">
        <v>0</v>
      </c>
      <c r="G188" s="31">
        <v>1</v>
      </c>
      <c r="H188" s="32">
        <v>12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1</v>
      </c>
      <c r="AK188">
        <v>1</v>
      </c>
      <c r="AL188">
        <v>0</v>
      </c>
      <c r="AM188">
        <v>1</v>
      </c>
      <c r="AN188" s="23">
        <v>1</v>
      </c>
      <c r="AO188" s="23">
        <v>0</v>
      </c>
      <c r="AP188" s="23" t="s">
        <v>54</v>
      </c>
      <c r="AQ188" s="23">
        <v>1</v>
      </c>
      <c r="AR188" s="35">
        <v>0.142857142857143</v>
      </c>
      <c r="AS188" s="35">
        <v>8.57142857142857</v>
      </c>
      <c r="AT188" s="35">
        <v>-8.57142857142857</v>
      </c>
      <c r="AU188" s="31">
        <f t="shared" si="5"/>
        <v>0</v>
      </c>
      <c r="AV188" s="36">
        <f>IFERROR($A$2+AU188,"上周无销量")</f>
        <v>43262</v>
      </c>
    </row>
    <row r="189" spans="1:48">
      <c r="A189" s="21" t="s">
        <v>433</v>
      </c>
      <c r="B189" t="s">
        <v>434</v>
      </c>
      <c r="C189" t="s">
        <v>388</v>
      </c>
      <c r="D189" s="31">
        <v>1</v>
      </c>
      <c r="E189" s="31">
        <v>0</v>
      </c>
      <c r="F189" s="31">
        <v>0</v>
      </c>
      <c r="G189" s="31">
        <v>0</v>
      </c>
      <c r="H189" s="32">
        <v>12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</v>
      </c>
      <c r="AK189">
        <v>2</v>
      </c>
      <c r="AL189">
        <v>1</v>
      </c>
      <c r="AM189">
        <v>0</v>
      </c>
      <c r="AN189" s="23">
        <v>0.5</v>
      </c>
      <c r="AO189" s="23">
        <v>0</v>
      </c>
      <c r="AP189" s="23">
        <v>0</v>
      </c>
      <c r="AQ189" s="23" t="s">
        <v>54</v>
      </c>
      <c r="AR189" s="35">
        <v>0.142857142857143</v>
      </c>
      <c r="AS189" s="35">
        <v>8.57142857142857</v>
      </c>
      <c r="AT189" s="35">
        <v>-8.57142857142857</v>
      </c>
      <c r="AU189" s="31">
        <f t="shared" si="5"/>
        <v>0</v>
      </c>
      <c r="AV189" s="36">
        <f>IFERROR($A$2+AU189,"上周无销量")</f>
        <v>43262</v>
      </c>
    </row>
    <row r="190" spans="1:48">
      <c r="A190" s="21" t="s">
        <v>435</v>
      </c>
      <c r="B190" t="s">
        <v>436</v>
      </c>
      <c r="C190" t="s">
        <v>388</v>
      </c>
      <c r="D190" s="31">
        <v>1</v>
      </c>
      <c r="E190" s="31">
        <v>1</v>
      </c>
      <c r="F190" s="31">
        <v>2</v>
      </c>
      <c r="G190" s="31">
        <v>0</v>
      </c>
      <c r="H190" s="32">
        <v>12</v>
      </c>
      <c r="I190">
        <v>1</v>
      </c>
      <c r="J190" s="33">
        <v>0</v>
      </c>
      <c r="K190" s="33">
        <v>0</v>
      </c>
      <c r="L190" s="33">
        <v>0</v>
      </c>
      <c r="M190">
        <v>1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1</v>
      </c>
      <c r="AK190">
        <v>3</v>
      </c>
      <c r="AL190">
        <v>2</v>
      </c>
      <c r="AM190">
        <v>4</v>
      </c>
      <c r="AN190" s="23">
        <v>1</v>
      </c>
      <c r="AO190" s="23">
        <v>0.333333333333333</v>
      </c>
      <c r="AP190" s="23">
        <v>1</v>
      </c>
      <c r="AQ190" s="23">
        <v>0</v>
      </c>
      <c r="AR190" s="35">
        <v>0.142857142857143</v>
      </c>
      <c r="AS190" s="35">
        <v>8.57142857142857</v>
      </c>
      <c r="AT190" s="35">
        <v>-7.57142857142857</v>
      </c>
      <c r="AU190" s="31">
        <f t="shared" si="5"/>
        <v>7</v>
      </c>
      <c r="AV190" s="36">
        <f>IFERROR($A$2+AU190,"上周无销量")</f>
        <v>43269</v>
      </c>
    </row>
    <row r="191" spans="1:48">
      <c r="A191" s="21" t="s">
        <v>437</v>
      </c>
      <c r="B191" t="s">
        <v>438</v>
      </c>
      <c r="C191" t="s">
        <v>439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</v>
      </c>
      <c r="J191" s="33">
        <v>0</v>
      </c>
      <c r="K191" s="33">
        <v>0</v>
      </c>
      <c r="L191" s="33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3</v>
      </c>
      <c r="AK191">
        <v>0</v>
      </c>
      <c r="AL191">
        <v>0</v>
      </c>
      <c r="AM191">
        <v>2</v>
      </c>
      <c r="AN191" s="23">
        <v>0</v>
      </c>
      <c r="AO191" s="23" t="s">
        <v>54</v>
      </c>
      <c r="AP191" s="23" t="s">
        <v>54</v>
      </c>
      <c r="AQ191" s="23">
        <v>0</v>
      </c>
      <c r="AR191" s="35">
        <v>0</v>
      </c>
      <c r="AS191" s="35">
        <v>0</v>
      </c>
      <c r="AT191" s="35">
        <v>1</v>
      </c>
      <c r="AU191" s="31" t="str">
        <f t="shared" si="5"/>
        <v>库存为1</v>
      </c>
      <c r="AV191" s="36" t="str">
        <f>IFERROR($A$2+AU191,"上周无销量")</f>
        <v>上周无销量</v>
      </c>
    </row>
    <row r="192" spans="1:48">
      <c r="A192" s="21" t="s">
        <v>440</v>
      </c>
      <c r="B192" t="s">
        <v>441</v>
      </c>
      <c r="C192" t="s">
        <v>439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4</v>
      </c>
      <c r="J192" s="33">
        <v>0</v>
      </c>
      <c r="K192" s="33">
        <v>0</v>
      </c>
      <c r="L192" s="33">
        <v>0</v>
      </c>
      <c r="M192">
        <v>4</v>
      </c>
      <c r="N192">
        <v>0</v>
      </c>
      <c r="O192">
        <v>4</v>
      </c>
      <c r="P192">
        <v>20</v>
      </c>
      <c r="Q192">
        <v>23</v>
      </c>
      <c r="R192">
        <v>57</v>
      </c>
      <c r="S192">
        <v>204</v>
      </c>
      <c r="T192">
        <v>0</v>
      </c>
      <c r="U192">
        <v>0</v>
      </c>
      <c r="V192">
        <v>1</v>
      </c>
      <c r="W192">
        <v>0</v>
      </c>
      <c r="X192" s="23">
        <v>0</v>
      </c>
      <c r="Y192" s="23">
        <v>0</v>
      </c>
      <c r="Z192" s="23">
        <v>0.0175438596491228</v>
      </c>
      <c r="AA192" s="23">
        <v>0</v>
      </c>
      <c r="AB192">
        <v>0</v>
      </c>
      <c r="AC192">
        <v>0</v>
      </c>
      <c r="AD192">
        <v>0.3</v>
      </c>
      <c r="AE192">
        <v>0</v>
      </c>
      <c r="AF192" s="23" t="s">
        <v>54</v>
      </c>
      <c r="AG192" s="23" t="s">
        <v>54</v>
      </c>
      <c r="AH192" s="23">
        <v>0</v>
      </c>
      <c r="AI192" s="23" t="s">
        <v>54</v>
      </c>
      <c r="AJ192">
        <v>4</v>
      </c>
      <c r="AK192">
        <v>0</v>
      </c>
      <c r="AL192">
        <v>0</v>
      </c>
      <c r="AM192">
        <v>7</v>
      </c>
      <c r="AN192" s="23">
        <v>0</v>
      </c>
      <c r="AO192" s="23" t="s">
        <v>54</v>
      </c>
      <c r="AP192" s="23" t="s">
        <v>54</v>
      </c>
      <c r="AQ192" s="23">
        <v>0</v>
      </c>
      <c r="AR192" s="35">
        <v>0</v>
      </c>
      <c r="AS192" s="35">
        <v>0</v>
      </c>
      <c r="AT192" s="35">
        <v>4</v>
      </c>
      <c r="AU192" s="31" t="str">
        <f t="shared" si="5"/>
        <v>库存为4</v>
      </c>
      <c r="AV192" s="36" t="str">
        <f>IFERROR($A$2+AU192,"上周无销量")</f>
        <v>上周无销量</v>
      </c>
    </row>
    <row r="193" spans="1:48">
      <c r="A193" s="21" t="s">
        <v>442</v>
      </c>
      <c r="B193" t="s">
        <v>443</v>
      </c>
      <c r="C193" t="s">
        <v>439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4</v>
      </c>
      <c r="J193" s="33">
        <v>0</v>
      </c>
      <c r="K193" s="33">
        <v>0</v>
      </c>
      <c r="L193" s="33">
        <v>0</v>
      </c>
      <c r="M193">
        <v>4</v>
      </c>
      <c r="N193">
        <v>0</v>
      </c>
      <c r="O193">
        <v>4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</v>
      </c>
      <c r="AK193">
        <v>1</v>
      </c>
      <c r="AL193">
        <v>0</v>
      </c>
      <c r="AM193">
        <v>0</v>
      </c>
      <c r="AN193" s="23">
        <v>0</v>
      </c>
      <c r="AO193" s="23">
        <v>0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4</v>
      </c>
      <c r="AU193" s="31" t="str">
        <f t="shared" si="5"/>
        <v>库存为4</v>
      </c>
      <c r="AV193" s="36" t="str">
        <f>IFERROR($A$2+AU193,"上周无销量")</f>
        <v>上周无销量</v>
      </c>
    </row>
    <row r="194" spans="1:48">
      <c r="A194" s="21" t="s">
        <v>444</v>
      </c>
      <c r="B194" t="s">
        <v>445</v>
      </c>
      <c r="C194" t="s">
        <v>439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2</v>
      </c>
      <c r="J194" s="33">
        <v>0</v>
      </c>
      <c r="K194" s="33">
        <v>0</v>
      </c>
      <c r="L194" s="33">
        <v>0</v>
      </c>
      <c r="M194">
        <v>2</v>
      </c>
      <c r="N194">
        <v>0</v>
      </c>
      <c r="O194">
        <v>2</v>
      </c>
      <c r="P194">
        <v>114</v>
      </c>
      <c r="Q194">
        <v>38</v>
      </c>
      <c r="R194">
        <v>27</v>
      </c>
      <c r="S194">
        <v>47</v>
      </c>
      <c r="T194">
        <v>0</v>
      </c>
      <c r="U194">
        <v>0</v>
      </c>
      <c r="V194">
        <v>0</v>
      </c>
      <c r="W194">
        <v>0</v>
      </c>
      <c r="X194" s="23">
        <v>0</v>
      </c>
      <c r="Y194" s="23">
        <v>0</v>
      </c>
      <c r="Z194" s="23">
        <v>0</v>
      </c>
      <c r="AA194" s="23">
        <v>0</v>
      </c>
      <c r="AB194">
        <v>0</v>
      </c>
      <c r="AC194">
        <v>0</v>
      </c>
      <c r="AD194">
        <v>0</v>
      </c>
      <c r="AE194">
        <v>0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2</v>
      </c>
      <c r="AK194">
        <v>1</v>
      </c>
      <c r="AL194">
        <v>2</v>
      </c>
      <c r="AM194">
        <v>2</v>
      </c>
      <c r="AN194" s="23">
        <v>0</v>
      </c>
      <c r="AO194" s="23">
        <v>0</v>
      </c>
      <c r="AP194" s="23">
        <v>0</v>
      </c>
      <c r="AQ194" s="23">
        <v>0</v>
      </c>
      <c r="AR194" s="35">
        <v>0</v>
      </c>
      <c r="AS194" s="35">
        <v>0</v>
      </c>
      <c r="AT194" s="35">
        <v>2</v>
      </c>
      <c r="AU194" s="31" t="str">
        <f t="shared" si="5"/>
        <v>库存为2</v>
      </c>
      <c r="AV194" s="36" t="str">
        <f>IFERROR($A$2+AU194,"上周无销量")</f>
        <v>上周无销量</v>
      </c>
    </row>
    <row r="195" spans="1:48">
      <c r="A195" s="21" t="s">
        <v>446</v>
      </c>
      <c r="B195" t="s">
        <v>447</v>
      </c>
      <c r="C195" t="s">
        <v>439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5</v>
      </c>
      <c r="J195" s="33">
        <v>0</v>
      </c>
      <c r="K195" s="33">
        <v>0</v>
      </c>
      <c r="L195" s="33">
        <v>0</v>
      </c>
      <c r="M195">
        <v>5</v>
      </c>
      <c r="N195">
        <v>0</v>
      </c>
      <c r="O195">
        <v>5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5</v>
      </c>
      <c r="AK195">
        <v>1</v>
      </c>
      <c r="AL195">
        <v>1</v>
      </c>
      <c r="AM195">
        <v>1</v>
      </c>
      <c r="AN195" s="23">
        <v>0</v>
      </c>
      <c r="AO195" s="23">
        <v>0</v>
      </c>
      <c r="AP195" s="23">
        <v>0</v>
      </c>
      <c r="AQ195" s="23">
        <v>0</v>
      </c>
      <c r="AR195" s="35">
        <v>0</v>
      </c>
      <c r="AS195" s="35">
        <v>0</v>
      </c>
      <c r="AT195" s="35">
        <v>5</v>
      </c>
      <c r="AU195" s="31" t="str">
        <f t="shared" si="5"/>
        <v>库存为5</v>
      </c>
      <c r="AV195" s="36" t="str">
        <f>IFERROR($A$2+AU195,"上周无销量")</f>
        <v>上周无销量</v>
      </c>
    </row>
    <row r="196" spans="1:48">
      <c r="A196" s="21" t="s">
        <v>448</v>
      </c>
      <c r="B196" t="s">
        <v>449</v>
      </c>
      <c r="C196" t="s">
        <v>439</v>
      </c>
      <c r="D196" s="31">
        <v>0</v>
      </c>
      <c r="E196" s="31">
        <v>1</v>
      </c>
      <c r="F196" s="31">
        <v>0</v>
      </c>
      <c r="G196" s="31">
        <v>0</v>
      </c>
      <c r="H196" s="32">
        <v>11.99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3</v>
      </c>
      <c r="P196">
        <v>132</v>
      </c>
      <c r="Q196">
        <v>443</v>
      </c>
      <c r="R196">
        <v>970</v>
      </c>
      <c r="S196">
        <v>758</v>
      </c>
      <c r="T196">
        <v>0</v>
      </c>
      <c r="U196">
        <v>0</v>
      </c>
      <c r="V196">
        <v>1</v>
      </c>
      <c r="W196">
        <v>0</v>
      </c>
      <c r="X196" s="23">
        <v>0</v>
      </c>
      <c r="Y196" s="23">
        <v>0</v>
      </c>
      <c r="Z196" s="23">
        <v>0.00103092783505155</v>
      </c>
      <c r="AA196" s="23">
        <v>0</v>
      </c>
      <c r="AB196">
        <v>0</v>
      </c>
      <c r="AC196">
        <v>0</v>
      </c>
      <c r="AD196">
        <v>0.55</v>
      </c>
      <c r="AE196">
        <v>0</v>
      </c>
      <c r="AF196" s="23" t="s">
        <v>54</v>
      </c>
      <c r="AG196" s="23" t="s">
        <v>54</v>
      </c>
      <c r="AH196" s="23">
        <v>0</v>
      </c>
      <c r="AI196" s="23" t="s">
        <v>54</v>
      </c>
      <c r="AJ196">
        <v>6</v>
      </c>
      <c r="AK196">
        <v>6</v>
      </c>
      <c r="AL196">
        <v>2</v>
      </c>
      <c r="AM196">
        <v>4</v>
      </c>
      <c r="AN196" s="23">
        <v>0</v>
      </c>
      <c r="AO196" s="23">
        <v>0.166666666666667</v>
      </c>
      <c r="AP196" s="23">
        <v>0</v>
      </c>
      <c r="AQ196" s="23">
        <v>0</v>
      </c>
      <c r="AR196" s="35">
        <v>0</v>
      </c>
      <c r="AS196" s="35">
        <v>0</v>
      </c>
      <c r="AT196" s="35">
        <v>3</v>
      </c>
      <c r="AU196" s="31" t="str">
        <f t="shared" si="5"/>
        <v>库存为3</v>
      </c>
      <c r="AV196" s="36" t="str">
        <f>IFERROR($A$2+AU196,"上周无销量")</f>
        <v>上周无销量</v>
      </c>
    </row>
    <row r="197" spans="1:48">
      <c r="A197" s="21" t="s">
        <v>450</v>
      </c>
      <c r="B197" t="s">
        <v>451</v>
      </c>
      <c r="C197" t="s">
        <v>452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IFERROR($A$2+AU197,"上周无销量")</f>
        <v>上周无销量</v>
      </c>
    </row>
    <row r="198" spans="1:48">
      <c r="A198" s="21" t="s">
        <v>453</v>
      </c>
      <c r="B198" t="s">
        <v>454</v>
      </c>
      <c r="C198" t="s">
        <v>452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IFERROR($A$2+AU198,"上周无销量")</f>
        <v>上周无销量</v>
      </c>
    </row>
    <row r="199" spans="1:48">
      <c r="A199" s="21" t="s">
        <v>455</v>
      </c>
      <c r="B199" t="s">
        <v>456</v>
      </c>
      <c r="C199" t="s">
        <v>452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IFERROR($A$2+AU199,"上周无销量")</f>
        <v>上周无销量</v>
      </c>
    </row>
    <row r="200" spans="1:48">
      <c r="A200" s="21" t="s">
        <v>457</v>
      </c>
      <c r="B200" t="s">
        <v>458</v>
      </c>
      <c r="C200" t="s">
        <v>452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IFERROR($A$2+AU200,"上周无销量")</f>
        <v>上周无销量</v>
      </c>
    </row>
    <row r="201" spans="1:48">
      <c r="A201" s="21" t="s">
        <v>459</v>
      </c>
      <c r="B201" t="s">
        <v>460</v>
      </c>
      <c r="C201" t="s">
        <v>452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IFERROR($A$2+AU201,"上周无销量")</f>
        <v>上周无销量</v>
      </c>
    </row>
    <row r="202" spans="1:48">
      <c r="A202" s="21" t="s">
        <v>461</v>
      </c>
      <c r="B202" t="s">
        <v>462</v>
      </c>
      <c r="C202" t="s">
        <v>452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IFERROR($A$2+AU202,"上周无销量")</f>
        <v>上周无销量</v>
      </c>
    </row>
    <row r="203" spans="1:48">
      <c r="A203" s="21" t="s">
        <v>463</v>
      </c>
      <c r="B203" t="s">
        <v>464</v>
      </c>
      <c r="C203" t="s">
        <v>452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IFERROR($A$2+AU203,"上周无销量")</f>
        <v>上周无销量</v>
      </c>
    </row>
    <row r="204" spans="1:48">
      <c r="A204" s="21" t="s">
        <v>465</v>
      </c>
      <c r="B204" t="s">
        <v>466</v>
      </c>
      <c r="C204" t="s">
        <v>452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IFERROR($A$2+AU204,"上周无销量")</f>
        <v>上周无销量</v>
      </c>
    </row>
    <row r="205" spans="1:48">
      <c r="A205" s="21" t="s">
        <v>467</v>
      </c>
      <c r="B205" t="s">
        <v>468</v>
      </c>
      <c r="C205" t="s">
        <v>452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IFERROR($A$2+AU205,"上周无销量")</f>
        <v>上周无销量</v>
      </c>
    </row>
    <row r="206" spans="1:48">
      <c r="A206" s="21" t="s">
        <v>469</v>
      </c>
      <c r="B206" t="s">
        <v>470</v>
      </c>
      <c r="C206" t="s">
        <v>452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IFERROR($A$2+AU206,"上周无销量")</f>
        <v>上周无销量</v>
      </c>
    </row>
    <row r="207" spans="1:48">
      <c r="A207" s="21" t="s">
        <v>471</v>
      </c>
      <c r="B207" t="s">
        <v>472</v>
      </c>
      <c r="C207" t="s">
        <v>452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IFERROR($A$2+AU207,"上周无销量")</f>
        <v>上周无销量</v>
      </c>
    </row>
    <row r="208" spans="1:48">
      <c r="A208" s="21" t="s">
        <v>473</v>
      </c>
      <c r="B208" t="s">
        <v>474</v>
      </c>
      <c r="C208" t="s">
        <v>452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IFERROR($A$2+AU208,"上周无销量")</f>
        <v>上周无销量</v>
      </c>
    </row>
    <row r="209" spans="1:48">
      <c r="A209" s="21" t="s">
        <v>475</v>
      </c>
      <c r="B209" t="s">
        <v>476</v>
      </c>
      <c r="C209" t="s">
        <v>452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IFERROR($A$2+AU209,"上周无销量")</f>
        <v>上周无销量</v>
      </c>
    </row>
    <row r="210" spans="1:48">
      <c r="A210" s="21" t="s">
        <v>477</v>
      </c>
      <c r="B210" t="s">
        <v>478</v>
      </c>
      <c r="C210" t="s">
        <v>452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IFERROR($A$2+AU210,"上周无销量")</f>
        <v>上周无销量</v>
      </c>
    </row>
    <row r="211" spans="1:48">
      <c r="A211" s="21" t="s">
        <v>479</v>
      </c>
      <c r="B211" t="s">
        <v>480</v>
      </c>
      <c r="C211" t="s">
        <v>452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IFERROR($A$2+AU211,"上周无销量")</f>
        <v>上周无销量</v>
      </c>
    </row>
    <row r="212" spans="1:48">
      <c r="A212" s="21" t="s">
        <v>481</v>
      </c>
      <c r="B212" t="s">
        <v>482</v>
      </c>
      <c r="C212" t="s">
        <v>452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IFERROR($A$2+AU212,"上周无销量")</f>
        <v>上周无销量</v>
      </c>
    </row>
    <row r="213" spans="1:48">
      <c r="A213" s="21" t="s">
        <v>483</v>
      </c>
      <c r="B213" t="s">
        <v>484</v>
      </c>
      <c r="C213" t="s">
        <v>452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IFERROR($A$2+AU213,"上周无销量")</f>
        <v>上周无销量</v>
      </c>
    </row>
    <row r="214" spans="1:48">
      <c r="A214" s="21" t="s">
        <v>485</v>
      </c>
      <c r="B214" t="s">
        <v>486</v>
      </c>
      <c r="C214" t="s">
        <v>452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IFERROR($A$2+AU214,"上周无销量")</f>
        <v>上周无销量</v>
      </c>
    </row>
    <row r="215" spans="1:48">
      <c r="A215" s="21" t="s">
        <v>487</v>
      </c>
      <c r="B215" t="s">
        <v>488</v>
      </c>
      <c r="C215" t="s">
        <v>452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IFERROR($A$2+AU215,"上周无销量")</f>
        <v>上周无销量</v>
      </c>
    </row>
    <row r="216" spans="1:48">
      <c r="A216" s="21" t="s">
        <v>489</v>
      </c>
      <c r="B216" t="s">
        <v>490</v>
      </c>
      <c r="C216" t="s">
        <v>452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IFERROR($A$2+AU216,"上周无销量")</f>
        <v>上周无销量</v>
      </c>
    </row>
    <row r="217" spans="1:48">
      <c r="A217" s="21" t="s">
        <v>491</v>
      </c>
      <c r="B217" t="s">
        <v>492</v>
      </c>
      <c r="C217" t="s">
        <v>452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IFERROR($A$2+AU217,"上周无销量")</f>
        <v>上周无销量</v>
      </c>
    </row>
    <row r="218" spans="1:48">
      <c r="A218" s="21" t="s">
        <v>493</v>
      </c>
      <c r="B218" t="s">
        <v>494</v>
      </c>
      <c r="C218" t="s">
        <v>452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IFERROR($A$2+AU218,"上周无销量")</f>
        <v>上周无销量</v>
      </c>
    </row>
    <row r="219" spans="1:48">
      <c r="A219" s="21" t="s">
        <v>495</v>
      </c>
      <c r="B219" t="s">
        <v>496</v>
      </c>
      <c r="C219" t="s">
        <v>452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IFERROR($A$2+AU219,"上周无销量")</f>
        <v>上周无销量</v>
      </c>
    </row>
    <row r="220" spans="1:48">
      <c r="A220" s="21" t="s">
        <v>497</v>
      </c>
      <c r="B220" t="s">
        <v>498</v>
      </c>
      <c r="C220" t="s">
        <v>452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IFERROR($A$2+AU220,"上周无销量")</f>
        <v>上周无销量</v>
      </c>
    </row>
    <row r="221" spans="1:48">
      <c r="A221" s="21" t="s">
        <v>499</v>
      </c>
      <c r="B221" t="s">
        <v>500</v>
      </c>
      <c r="C221" t="s">
        <v>501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IFERROR($A$2+AU221,"上周无销量")</f>
        <v>上周无销量</v>
      </c>
    </row>
    <row r="222" spans="1:48">
      <c r="A222" s="21" t="s">
        <v>502</v>
      </c>
      <c r="B222" t="s">
        <v>503</v>
      </c>
      <c r="C222" t="s">
        <v>501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IFERROR($A$2+AU222,"上周无销量")</f>
        <v>上周无销量</v>
      </c>
    </row>
    <row r="223" spans="1:48">
      <c r="A223" s="21" t="s">
        <v>504</v>
      </c>
      <c r="B223" t="s">
        <v>505</v>
      </c>
      <c r="C223" t="s">
        <v>501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IFERROR($A$2+AU223,"上周无销量")</f>
        <v>上周无销量</v>
      </c>
    </row>
    <row r="224" spans="1:48">
      <c r="A224" s="21" t="s">
        <v>506</v>
      </c>
      <c r="B224" t="s">
        <v>507</v>
      </c>
      <c r="C224" t="s">
        <v>501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IFERROR($A$2+AU224,"上周无销量")</f>
        <v>上周无销量</v>
      </c>
    </row>
    <row r="225" spans="1:48">
      <c r="A225" s="21" t="s">
        <v>508</v>
      </c>
      <c r="B225" t="s">
        <v>509</v>
      </c>
      <c r="C225" t="s">
        <v>501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IFERROR($A$2+AU225,"上周无销量")</f>
        <v>上周无销量</v>
      </c>
    </row>
    <row r="226" spans="1:48">
      <c r="A226" s="21" t="s">
        <v>510</v>
      </c>
      <c r="B226" t="s">
        <v>511</v>
      </c>
      <c r="C226" t="s">
        <v>512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IFERROR($A$2+AU226,"上周无销量")</f>
        <v>上周无销量</v>
      </c>
    </row>
    <row r="227" spans="1:48">
      <c r="A227" s="21" t="s">
        <v>513</v>
      </c>
      <c r="B227" t="s">
        <v>514</v>
      </c>
      <c r="C227" t="s">
        <v>512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IFERROR($A$2+AU227,"上周无销量")</f>
        <v>上周无销量</v>
      </c>
    </row>
    <row r="228" spans="1:48">
      <c r="A228" s="21" t="s">
        <v>515</v>
      </c>
      <c r="B228" t="s">
        <v>516</v>
      </c>
      <c r="C228" t="s">
        <v>512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IFERROR($A$2+AU228,"上周无销量")</f>
        <v>上周无销量</v>
      </c>
    </row>
    <row r="229" spans="1:48">
      <c r="A229" s="21" t="s">
        <v>517</v>
      </c>
      <c r="B229" t="s">
        <v>518</v>
      </c>
      <c r="C229" t="s">
        <v>512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IFERROR($A$2+AU229,"上周无销量")</f>
        <v>上周无销量</v>
      </c>
    </row>
    <row r="230" spans="1:48">
      <c r="A230" s="21" t="s">
        <v>519</v>
      </c>
      <c r="B230" t="s">
        <v>520</v>
      </c>
      <c r="C230" t="s">
        <v>512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IFERROR($A$2+AU230,"上周无销量")</f>
        <v>上周无销量</v>
      </c>
    </row>
    <row r="231" spans="1:48">
      <c r="A231" s="21" t="s">
        <v>521</v>
      </c>
      <c r="B231" t="s">
        <v>522</v>
      </c>
      <c r="C231" t="s">
        <v>523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IFERROR($A$2+AU231,"上周无销量")</f>
        <v>上周无销量</v>
      </c>
    </row>
    <row r="232" spans="1:48">
      <c r="A232" s="21" t="s">
        <v>524</v>
      </c>
      <c r="B232" t="s">
        <v>525</v>
      </c>
      <c r="C232" t="s">
        <v>523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IFERROR($A$2+AU232,"上周无销量")</f>
        <v>上周无销量</v>
      </c>
    </row>
    <row r="233" spans="1:48">
      <c r="A233" s="21" t="s">
        <v>526</v>
      </c>
      <c r="B233" t="s">
        <v>527</v>
      </c>
      <c r="C233" t="s">
        <v>523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IFERROR($A$2+AU233,"上周无销量")</f>
        <v>上周无销量</v>
      </c>
    </row>
    <row r="234" spans="1:48">
      <c r="A234" s="21" t="s">
        <v>528</v>
      </c>
      <c r="B234" t="s">
        <v>529</v>
      </c>
      <c r="C234" t="s">
        <v>523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IFERROR($A$2+AU234,"上周无销量")</f>
        <v>上周无销量</v>
      </c>
    </row>
    <row r="235" spans="1:48">
      <c r="A235" s="21" t="s">
        <v>530</v>
      </c>
      <c r="B235" t="s">
        <v>531</v>
      </c>
      <c r="C235" t="s">
        <v>523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IFERROR($A$2+AU235,"上周无销量")</f>
        <v>上周无销量</v>
      </c>
    </row>
    <row r="236" spans="1:48">
      <c r="A236" s="21" t="s">
        <v>532</v>
      </c>
      <c r="B236" t="s">
        <v>533</v>
      </c>
      <c r="C236" t="s">
        <v>523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IFERROR($A$2+AU236,"上周无销量")</f>
        <v>上周无销量</v>
      </c>
    </row>
    <row r="237" spans="1:48">
      <c r="A237" s="21" t="s">
        <v>534</v>
      </c>
      <c r="B237" t="s">
        <v>535</v>
      </c>
      <c r="C237" t="s">
        <v>523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IFERROR($A$2+AU237,"上周无销量")</f>
        <v>上周无销量</v>
      </c>
    </row>
    <row r="238" spans="1:48">
      <c r="A238" s="21" t="s">
        <v>536</v>
      </c>
      <c r="B238" t="s">
        <v>537</v>
      </c>
      <c r="C238" t="s">
        <v>523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IFERROR($A$2+AU238,"上周无销量")</f>
        <v>上周无销量</v>
      </c>
    </row>
    <row r="239" spans="1:48">
      <c r="A239" s="21" t="s">
        <v>538</v>
      </c>
      <c r="B239" t="s">
        <v>539</v>
      </c>
      <c r="C239" t="s">
        <v>523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IFERROR($A$2+AU239,"上周无销量")</f>
        <v>上周无销量</v>
      </c>
    </row>
    <row r="240" spans="1:48">
      <c r="A240" s="21" t="s">
        <v>540</v>
      </c>
      <c r="B240" t="s">
        <v>541</v>
      </c>
      <c r="C240" t="s">
        <v>523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IFERROR($A$2+AU240,"上周无销量")</f>
        <v>上周无销量</v>
      </c>
    </row>
    <row r="241" spans="1:48">
      <c r="A241" s="21" t="s">
        <v>542</v>
      </c>
      <c r="B241" t="s">
        <v>543</v>
      </c>
      <c r="C241" t="s">
        <v>544</v>
      </c>
      <c r="D241" s="31">
        <v>1</v>
      </c>
      <c r="E241" s="31">
        <v>2</v>
      </c>
      <c r="F241" s="31">
        <v>1</v>
      </c>
      <c r="G241" s="31">
        <v>4</v>
      </c>
      <c r="H241" s="32">
        <v>10.98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2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11</v>
      </c>
      <c r="AK241">
        <v>26</v>
      </c>
      <c r="AL241">
        <v>55</v>
      </c>
      <c r="AM241">
        <v>27</v>
      </c>
      <c r="AN241" s="23">
        <v>0.0909090909090909</v>
      </c>
      <c r="AO241" s="23">
        <v>0.0769230769230769</v>
      </c>
      <c r="AP241" s="23">
        <v>0.0181818181818182</v>
      </c>
      <c r="AQ241" s="23">
        <v>0.148148148148148</v>
      </c>
      <c r="AR241" s="35">
        <v>0.142857142857143</v>
      </c>
      <c r="AS241" s="35">
        <v>8.57142857142857</v>
      </c>
      <c r="AT241" s="35">
        <v>-8.57142857142857</v>
      </c>
      <c r="AU241" s="31">
        <f t="shared" si="6"/>
        <v>0</v>
      </c>
      <c r="AV241" s="36">
        <f>IFERROR($A$2+AU241,"上周无销量")</f>
        <v>43262</v>
      </c>
    </row>
    <row r="242" spans="1:48">
      <c r="A242" s="21" t="s">
        <v>545</v>
      </c>
      <c r="B242" t="s">
        <v>546</v>
      </c>
      <c r="C242" t="s">
        <v>544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IFERROR($A$2+AU242,"上周无销量")</f>
        <v>上周无销量</v>
      </c>
    </row>
    <row r="243" spans="1:48">
      <c r="A243" s="21" t="s">
        <v>547</v>
      </c>
      <c r="B243" t="s">
        <v>548</v>
      </c>
      <c r="C243" t="s">
        <v>544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IFERROR($A$2+AU243,"上周无销量")</f>
        <v>上周无销量</v>
      </c>
    </row>
    <row r="244" spans="1:48">
      <c r="A244" s="21" t="s">
        <v>549</v>
      </c>
      <c r="B244" t="s">
        <v>550</v>
      </c>
      <c r="C244" t="s">
        <v>544</v>
      </c>
      <c r="D244" s="31">
        <v>0</v>
      </c>
      <c r="E244" s="31">
        <v>0</v>
      </c>
      <c r="F244" s="31">
        <v>0</v>
      </c>
      <c r="G244" s="31">
        <v>1</v>
      </c>
      <c r="H244" s="32">
        <v>10.98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1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1</v>
      </c>
      <c r="AN244" s="23" t="s">
        <v>54</v>
      </c>
      <c r="AO244" s="23" t="s">
        <v>54</v>
      </c>
      <c r="AP244" s="23" t="s">
        <v>54</v>
      </c>
      <c r="AQ244" s="23">
        <v>1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IFERROR($A$2+AU244,"上周无销量")</f>
        <v>上周无销量</v>
      </c>
    </row>
    <row r="245" spans="1:48">
      <c r="A245" s="21" t="s">
        <v>551</v>
      </c>
      <c r="B245" t="s">
        <v>552</v>
      </c>
      <c r="C245" t="s">
        <v>544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s">
        <v>54</v>
      </c>
      <c r="AO245" s="23" t="s">
        <v>54</v>
      </c>
      <c r="AP245" s="23" t="s">
        <v>54</v>
      </c>
      <c r="AQ245" s="23" t="s">
        <v>54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IFERROR($A$2+AU245,"上周无销量")</f>
        <v>上周无销量</v>
      </c>
    </row>
    <row r="246" spans="1:48">
      <c r="A246" s="21" t="s">
        <v>553</v>
      </c>
      <c r="B246" t="s">
        <v>554</v>
      </c>
      <c r="C246" t="s">
        <v>544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5</v>
      </c>
      <c r="AK246">
        <v>0</v>
      </c>
      <c r="AL246">
        <v>0</v>
      </c>
      <c r="AM246">
        <v>0</v>
      </c>
      <c r="AN246" s="23">
        <v>0</v>
      </c>
      <c r="AO246" s="23" t="s">
        <v>54</v>
      </c>
      <c r="AP246" s="23" t="s">
        <v>54</v>
      </c>
      <c r="AQ246" s="23" t="s">
        <v>54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IFERROR($A$2+AU246,"上周无销量")</f>
        <v>上周无销量</v>
      </c>
    </row>
    <row r="247" spans="1:48">
      <c r="A247" s="21" t="s">
        <v>555</v>
      </c>
      <c r="B247" t="s">
        <v>556</v>
      </c>
      <c r="C247" t="s">
        <v>544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IFERROR($A$2+AU247,"上周无销量")</f>
        <v>上周无销量</v>
      </c>
    </row>
    <row r="248" spans="1:48">
      <c r="A248" s="21" t="s">
        <v>557</v>
      </c>
      <c r="B248" t="s">
        <v>558</v>
      </c>
      <c r="C248" t="s">
        <v>544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s">
        <v>54</v>
      </c>
      <c r="AO248" s="23" t="s">
        <v>54</v>
      </c>
      <c r="AP248" s="23" t="s">
        <v>54</v>
      </c>
      <c r="AQ248" s="23" t="s">
        <v>54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IFERROR($A$2+AU248,"上周无销量")</f>
        <v>上周无销量</v>
      </c>
    </row>
    <row r="249" spans="1:48">
      <c r="A249" s="21" t="s">
        <v>559</v>
      </c>
      <c r="B249" t="s">
        <v>560</v>
      </c>
      <c r="C249" t="s">
        <v>544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IFERROR($A$2+AU249,"上周无销量")</f>
        <v>上周无销量</v>
      </c>
    </row>
    <row r="250" spans="1:48">
      <c r="A250" s="21" t="s">
        <v>561</v>
      </c>
      <c r="B250" t="s">
        <v>562</v>
      </c>
      <c r="C250" t="s">
        <v>544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IFERROR($A$2+AU250,"上周无销量")</f>
        <v>上周无销量</v>
      </c>
    </row>
    <row r="251" spans="1:48">
      <c r="A251" s="21" t="s">
        <v>563</v>
      </c>
      <c r="B251" t="s">
        <v>564</v>
      </c>
      <c r="C251" t="s">
        <v>544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2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565</v>
      </c>
      <c r="B252" t="s">
        <v>566</v>
      </c>
      <c r="C252" t="s">
        <v>567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IFERROR($A$2+AU252,"上周无销量")</f>
        <v>上周无销量</v>
      </c>
    </row>
    <row r="253" spans="1:48">
      <c r="A253" s="21" t="s">
        <v>568</v>
      </c>
      <c r="B253" t="s">
        <v>569</v>
      </c>
      <c r="C253" t="s">
        <v>567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570</v>
      </c>
      <c r="B254" t="s">
        <v>571</v>
      </c>
      <c r="C254" t="s">
        <v>567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572</v>
      </c>
      <c r="B255" t="s">
        <v>573</v>
      </c>
      <c r="C255" t="s">
        <v>567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574</v>
      </c>
      <c r="B256" t="s">
        <v>575</v>
      </c>
      <c r="C256" t="s">
        <v>567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576</v>
      </c>
      <c r="B257" t="s">
        <v>577</v>
      </c>
      <c r="C257" t="s">
        <v>567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578</v>
      </c>
      <c r="B258" t="s">
        <v>579</v>
      </c>
      <c r="C258" t="s">
        <v>567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580</v>
      </c>
      <c r="B259" t="s">
        <v>581</v>
      </c>
      <c r="C259" t="s">
        <v>567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IFERROR($A$2+AU259,"上周无销量")</f>
        <v>上周无销量</v>
      </c>
    </row>
    <row r="260" spans="1:48">
      <c r="A260" s="21" t="s">
        <v>582</v>
      </c>
      <c r="B260" t="s">
        <v>583</v>
      </c>
      <c r="C260" t="s">
        <v>567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IFERROR($A$2+AU260,"上周无销量")</f>
        <v>上周无销量</v>
      </c>
    </row>
    <row r="261" spans="1:48">
      <c r="A261" s="21" t="s">
        <v>584</v>
      </c>
      <c r="B261" t="s">
        <v>585</v>
      </c>
      <c r="C261" t="s">
        <v>567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s">
        <v>54</v>
      </c>
      <c r="AO261" s="23" t="s">
        <v>54</v>
      </c>
      <c r="AP261" s="23" t="s">
        <v>54</v>
      </c>
      <c r="AQ261" s="23" t="s">
        <v>54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586</v>
      </c>
      <c r="B262" t="s">
        <v>587</v>
      </c>
      <c r="C262" t="s">
        <v>567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588</v>
      </c>
      <c r="B263" t="s">
        <v>589</v>
      </c>
      <c r="C263" t="s">
        <v>567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590</v>
      </c>
      <c r="B264" t="s">
        <v>591</v>
      </c>
      <c r="C264" t="s">
        <v>567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592</v>
      </c>
      <c r="B265" t="s">
        <v>593</v>
      </c>
      <c r="C265" t="s">
        <v>567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594</v>
      </c>
      <c r="B266" t="s">
        <v>595</v>
      </c>
      <c r="C266" t="s">
        <v>567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596</v>
      </c>
      <c r="B267" t="s">
        <v>597</v>
      </c>
      <c r="C267" t="s">
        <v>598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599</v>
      </c>
      <c r="B268" t="s">
        <v>600</v>
      </c>
      <c r="C268" t="s">
        <v>598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601</v>
      </c>
      <c r="B269" t="s">
        <v>602</v>
      </c>
      <c r="C269" t="s">
        <v>598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4</v>
      </c>
      <c r="J269" s="33">
        <v>0</v>
      </c>
      <c r="K269" s="33">
        <v>0</v>
      </c>
      <c r="L269" s="33">
        <v>0</v>
      </c>
      <c r="M269">
        <v>4</v>
      </c>
      <c r="N269">
        <v>0</v>
      </c>
      <c r="O269">
        <v>4</v>
      </c>
      <c r="P269">
        <v>0</v>
      </c>
      <c r="Q269">
        <v>0</v>
      </c>
      <c r="R269">
        <v>0</v>
      </c>
      <c r="S269">
        <v>177</v>
      </c>
      <c r="T269">
        <v>0</v>
      </c>
      <c r="U269">
        <v>0</v>
      </c>
      <c r="V269">
        <v>0</v>
      </c>
      <c r="W269">
        <v>2</v>
      </c>
      <c r="X269" s="23" t="s">
        <v>54</v>
      </c>
      <c r="Y269" s="23" t="s">
        <v>54</v>
      </c>
      <c r="Z269" s="23" t="s">
        <v>54</v>
      </c>
      <c r="AA269" s="23">
        <v>0.0112994350282486</v>
      </c>
      <c r="AB269">
        <v>0</v>
      </c>
      <c r="AC269">
        <v>0</v>
      </c>
      <c r="AD269">
        <v>0</v>
      </c>
      <c r="AE269">
        <v>0.82</v>
      </c>
      <c r="AF269" s="23" t="s">
        <v>54</v>
      </c>
      <c r="AG269" s="23" t="s">
        <v>54</v>
      </c>
      <c r="AH269" s="23" t="s">
        <v>54</v>
      </c>
      <c r="AI269" s="23">
        <v>0</v>
      </c>
      <c r="AJ269">
        <v>11</v>
      </c>
      <c r="AK269">
        <v>3</v>
      </c>
      <c r="AL269">
        <v>9</v>
      </c>
      <c r="AM269">
        <v>5</v>
      </c>
      <c r="AN269" s="23">
        <v>0</v>
      </c>
      <c r="AO269" s="23">
        <v>0</v>
      </c>
      <c r="AP269" s="23">
        <v>0</v>
      </c>
      <c r="AQ269" s="23">
        <v>0</v>
      </c>
      <c r="AR269" s="35">
        <v>0</v>
      </c>
      <c r="AS269" s="35">
        <v>0</v>
      </c>
      <c r="AT269" s="35">
        <v>4</v>
      </c>
      <c r="AU269" s="31" t="str">
        <f t="shared" si="7"/>
        <v>库存为4</v>
      </c>
      <c r="AV269" s="36" t="str">
        <f>IFERROR($A$2+AU269,"上周无销量")</f>
        <v>上周无销量</v>
      </c>
    </row>
    <row r="270" spans="1:48">
      <c r="A270" s="21" t="s">
        <v>603</v>
      </c>
      <c r="B270" t="s">
        <v>604</v>
      </c>
      <c r="C270" t="s">
        <v>598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6</v>
      </c>
      <c r="J270" s="33">
        <v>0</v>
      </c>
      <c r="K270" s="33">
        <v>0</v>
      </c>
      <c r="L270" s="33">
        <v>0</v>
      </c>
      <c r="M270">
        <v>6</v>
      </c>
      <c r="N270">
        <v>0</v>
      </c>
      <c r="O270">
        <v>6</v>
      </c>
      <c r="P270">
        <v>0</v>
      </c>
      <c r="Q270">
        <v>0</v>
      </c>
      <c r="R270">
        <v>0</v>
      </c>
      <c r="S270">
        <v>72</v>
      </c>
      <c r="T270">
        <v>0</v>
      </c>
      <c r="U270">
        <v>0</v>
      </c>
      <c r="V270">
        <v>0</v>
      </c>
      <c r="W270">
        <v>1</v>
      </c>
      <c r="X270" s="23" t="s">
        <v>54</v>
      </c>
      <c r="Y270" s="23" t="s">
        <v>54</v>
      </c>
      <c r="Z270" s="23" t="s">
        <v>54</v>
      </c>
      <c r="AA270" s="23">
        <v>0.0138888888888889</v>
      </c>
      <c r="AB270">
        <v>0</v>
      </c>
      <c r="AC270">
        <v>0</v>
      </c>
      <c r="AD270">
        <v>0</v>
      </c>
      <c r="AE270">
        <v>0.34</v>
      </c>
      <c r="AF270" s="23" t="s">
        <v>54</v>
      </c>
      <c r="AG270" s="23" t="s">
        <v>54</v>
      </c>
      <c r="AH270" s="23" t="s">
        <v>54</v>
      </c>
      <c r="AI270" s="23">
        <v>0</v>
      </c>
      <c r="AJ270">
        <v>3</v>
      </c>
      <c r="AK270">
        <v>3</v>
      </c>
      <c r="AL270">
        <v>0</v>
      </c>
      <c r="AM270">
        <v>0</v>
      </c>
      <c r="AN270" s="23">
        <v>0</v>
      </c>
      <c r="AO270" s="23">
        <v>0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6</v>
      </c>
      <c r="AU270" s="31" t="str">
        <f t="shared" si="7"/>
        <v>库存为6</v>
      </c>
      <c r="AV270" s="36" t="str">
        <f>IFERROR($A$2+AU270,"上周无销量")</f>
        <v>上周无销量</v>
      </c>
    </row>
    <row r="271" spans="1:48">
      <c r="A271" s="21" t="s">
        <v>605</v>
      </c>
      <c r="B271" t="s">
        <v>606</v>
      </c>
      <c r="C271" t="s">
        <v>598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>
        <v>0</v>
      </c>
      <c r="Q271">
        <v>0</v>
      </c>
      <c r="R271">
        <v>0</v>
      </c>
      <c r="S271">
        <v>87</v>
      </c>
      <c r="T271">
        <v>0</v>
      </c>
      <c r="U271">
        <v>0</v>
      </c>
      <c r="V271">
        <v>0</v>
      </c>
      <c r="W271">
        <v>0</v>
      </c>
      <c r="X271" s="23" t="s">
        <v>54</v>
      </c>
      <c r="Y271" s="23" t="s">
        <v>54</v>
      </c>
      <c r="Z271" s="23" t="s">
        <v>54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3</v>
      </c>
      <c r="AK271">
        <v>2</v>
      </c>
      <c r="AL271">
        <v>3</v>
      </c>
      <c r="AM271">
        <v>0</v>
      </c>
      <c r="AN271" s="23">
        <v>0</v>
      </c>
      <c r="AO271" s="23">
        <v>0</v>
      </c>
      <c r="AP271" s="23">
        <v>0</v>
      </c>
      <c r="AQ271" s="23" t="s">
        <v>54</v>
      </c>
      <c r="AR271" s="35">
        <v>0</v>
      </c>
      <c r="AS271" s="35">
        <v>0</v>
      </c>
      <c r="AT271" s="35">
        <v>2</v>
      </c>
      <c r="AU271" s="31" t="str">
        <f t="shared" si="7"/>
        <v>库存为2</v>
      </c>
      <c r="AV271" s="36" t="str">
        <f>IFERROR($A$2+AU271,"上周无销量")</f>
        <v>上周无销量</v>
      </c>
    </row>
    <row r="272" spans="1:48">
      <c r="A272" s="21" t="s">
        <v>607</v>
      </c>
      <c r="B272" t="s">
        <v>608</v>
      </c>
      <c r="C272" t="s">
        <v>598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5</v>
      </c>
      <c r="J272" s="33">
        <v>0</v>
      </c>
      <c r="K272" s="33">
        <v>0</v>
      </c>
      <c r="L272" s="33">
        <v>0</v>
      </c>
      <c r="M272">
        <v>5</v>
      </c>
      <c r="N272">
        <v>0</v>
      </c>
      <c r="O272">
        <v>5</v>
      </c>
      <c r="P272">
        <v>0</v>
      </c>
      <c r="Q272">
        <v>0</v>
      </c>
      <c r="R272">
        <v>0</v>
      </c>
      <c r="S272">
        <v>1004</v>
      </c>
      <c r="T272">
        <v>0</v>
      </c>
      <c r="U272">
        <v>0</v>
      </c>
      <c r="V272">
        <v>0</v>
      </c>
      <c r="W272">
        <v>2</v>
      </c>
      <c r="X272" s="23" t="s">
        <v>54</v>
      </c>
      <c r="Y272" s="23" t="s">
        <v>54</v>
      </c>
      <c r="Z272" s="23" t="s">
        <v>54</v>
      </c>
      <c r="AA272" s="23">
        <v>0.00199203187250996</v>
      </c>
      <c r="AB272">
        <v>0</v>
      </c>
      <c r="AC272">
        <v>0</v>
      </c>
      <c r="AD272">
        <v>0</v>
      </c>
      <c r="AE272">
        <v>0.86</v>
      </c>
      <c r="AF272" s="23" t="s">
        <v>54</v>
      </c>
      <c r="AG272" s="23" t="s">
        <v>54</v>
      </c>
      <c r="AH272" s="23" t="s">
        <v>54</v>
      </c>
      <c r="AI272" s="23">
        <v>0</v>
      </c>
      <c r="AJ272">
        <v>2</v>
      </c>
      <c r="AK272">
        <v>3</v>
      </c>
      <c r="AL272">
        <v>0</v>
      </c>
      <c r="AM272">
        <v>0</v>
      </c>
      <c r="AN272" s="23">
        <v>0</v>
      </c>
      <c r="AO272" s="23">
        <v>0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5</v>
      </c>
      <c r="AU272" s="31" t="str">
        <f t="shared" si="7"/>
        <v>库存为5</v>
      </c>
      <c r="AV272" s="36" t="str">
        <f>IFERROR($A$2+AU272,"上周无销量")</f>
        <v>上周无销量</v>
      </c>
    </row>
    <row r="273" spans="1:48">
      <c r="A273" s="21" t="s">
        <v>609</v>
      </c>
      <c r="B273" t="s">
        <v>610</v>
      </c>
      <c r="C273" t="s">
        <v>598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7</v>
      </c>
      <c r="J273" s="33">
        <v>0</v>
      </c>
      <c r="K273" s="33">
        <v>0</v>
      </c>
      <c r="L273" s="33">
        <v>0</v>
      </c>
      <c r="M273">
        <v>7</v>
      </c>
      <c r="N273">
        <v>0</v>
      </c>
      <c r="O273">
        <v>6</v>
      </c>
      <c r="P273">
        <v>0</v>
      </c>
      <c r="Q273">
        <v>0</v>
      </c>
      <c r="R273">
        <v>0</v>
      </c>
      <c r="S273">
        <v>7790</v>
      </c>
      <c r="T273">
        <v>0</v>
      </c>
      <c r="U273">
        <v>0</v>
      </c>
      <c r="V273">
        <v>0</v>
      </c>
      <c r="W273">
        <v>12</v>
      </c>
      <c r="X273" s="23" t="s">
        <v>54</v>
      </c>
      <c r="Y273" s="23" t="s">
        <v>54</v>
      </c>
      <c r="Z273" s="23" t="s">
        <v>54</v>
      </c>
      <c r="AA273" s="23">
        <v>0.00154043645699615</v>
      </c>
      <c r="AB273">
        <v>0</v>
      </c>
      <c r="AC273">
        <v>0</v>
      </c>
      <c r="AD273">
        <v>0</v>
      </c>
      <c r="AE273">
        <v>5.78</v>
      </c>
      <c r="AF273" s="23" t="s">
        <v>54</v>
      </c>
      <c r="AG273" s="23" t="s">
        <v>54</v>
      </c>
      <c r="AH273" s="23" t="s">
        <v>54</v>
      </c>
      <c r="AI273" s="23">
        <v>0</v>
      </c>
      <c r="AJ273">
        <v>2</v>
      </c>
      <c r="AK273">
        <v>3</v>
      </c>
      <c r="AL273">
        <v>0</v>
      </c>
      <c r="AM273">
        <v>1</v>
      </c>
      <c r="AN273" s="23">
        <v>0</v>
      </c>
      <c r="AO273" s="23">
        <v>0</v>
      </c>
      <c r="AP273" s="23" t="s">
        <v>54</v>
      </c>
      <c r="AQ273" s="23">
        <v>0</v>
      </c>
      <c r="AR273" s="35">
        <v>0</v>
      </c>
      <c r="AS273" s="35">
        <v>0</v>
      </c>
      <c r="AT273" s="35">
        <v>7</v>
      </c>
      <c r="AU273" s="31" t="str">
        <f t="shared" si="7"/>
        <v>库存为7</v>
      </c>
      <c r="AV273" s="36" t="str">
        <f>IFERROR($A$2+AU273,"上周无销量")</f>
        <v>上周无销量</v>
      </c>
    </row>
    <row r="274" spans="1:48">
      <c r="A274" s="21" t="s">
        <v>611</v>
      </c>
      <c r="B274" t="s">
        <v>612</v>
      </c>
      <c r="C274" t="s">
        <v>613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6</v>
      </c>
      <c r="J274" s="33">
        <v>0</v>
      </c>
      <c r="K274" s="33">
        <v>0</v>
      </c>
      <c r="L274" s="33">
        <v>0</v>
      </c>
      <c r="M274">
        <v>6</v>
      </c>
      <c r="N274">
        <v>0</v>
      </c>
      <c r="O274">
        <v>6</v>
      </c>
      <c r="P274">
        <v>0</v>
      </c>
      <c r="Q274">
        <v>0</v>
      </c>
      <c r="R274">
        <v>0</v>
      </c>
      <c r="S274">
        <v>2605</v>
      </c>
      <c r="T274">
        <v>0</v>
      </c>
      <c r="U274">
        <v>0</v>
      </c>
      <c r="V274">
        <v>0</v>
      </c>
      <c r="W274">
        <v>7</v>
      </c>
      <c r="X274" s="23" t="s">
        <v>54</v>
      </c>
      <c r="Y274" s="23" t="s">
        <v>54</v>
      </c>
      <c r="Z274" s="23" t="s">
        <v>54</v>
      </c>
      <c r="AA274" s="23">
        <v>0.00268714011516315</v>
      </c>
      <c r="AB274">
        <v>0</v>
      </c>
      <c r="AC274">
        <v>0</v>
      </c>
      <c r="AD274">
        <v>0</v>
      </c>
      <c r="AE274">
        <v>3.14</v>
      </c>
      <c r="AF274" s="23" t="s">
        <v>54</v>
      </c>
      <c r="AG274" s="23" t="s">
        <v>54</v>
      </c>
      <c r="AH274" s="23" t="s">
        <v>54</v>
      </c>
      <c r="AI274" s="23">
        <v>0</v>
      </c>
      <c r="AJ274">
        <v>3</v>
      </c>
      <c r="AK274">
        <v>1</v>
      </c>
      <c r="AL274">
        <v>3</v>
      </c>
      <c r="AM274">
        <v>4</v>
      </c>
      <c r="AN274" s="23">
        <v>0</v>
      </c>
      <c r="AO274" s="23">
        <v>0</v>
      </c>
      <c r="AP274" s="23">
        <v>0</v>
      </c>
      <c r="AQ274" s="23">
        <v>0</v>
      </c>
      <c r="AR274" s="35">
        <v>0</v>
      </c>
      <c r="AS274" s="35">
        <v>0</v>
      </c>
      <c r="AT274" s="35">
        <v>6</v>
      </c>
      <c r="AU274" s="31" t="str">
        <f t="shared" si="7"/>
        <v>库存为6</v>
      </c>
      <c r="AV274" s="36" t="str">
        <f>IFERROR($A$2+AU274,"上周无销量")</f>
        <v>上周无销量</v>
      </c>
    </row>
    <row r="275" spans="1:48">
      <c r="A275" s="21" t="s">
        <v>614</v>
      </c>
      <c r="B275" t="s">
        <v>615</v>
      </c>
      <c r="C275" t="s">
        <v>613</v>
      </c>
      <c r="D275" s="31">
        <v>0</v>
      </c>
      <c r="E275" s="31">
        <v>0</v>
      </c>
      <c r="F275" s="31">
        <v>0</v>
      </c>
      <c r="G275" s="31">
        <v>1</v>
      </c>
      <c r="H275" s="32">
        <v>20</v>
      </c>
      <c r="I275">
        <v>6</v>
      </c>
      <c r="J275" s="33">
        <v>0</v>
      </c>
      <c r="K275" s="33">
        <v>0</v>
      </c>
      <c r="L275" s="33">
        <v>0</v>
      </c>
      <c r="M275">
        <v>6</v>
      </c>
      <c r="N275">
        <v>0</v>
      </c>
      <c r="O275">
        <v>6</v>
      </c>
      <c r="P275">
        <v>0</v>
      </c>
      <c r="Q275">
        <v>0</v>
      </c>
      <c r="R275">
        <v>0</v>
      </c>
      <c r="S275">
        <v>32</v>
      </c>
      <c r="T275">
        <v>0</v>
      </c>
      <c r="U275">
        <v>0</v>
      </c>
      <c r="V275">
        <v>0</v>
      </c>
      <c r="W275">
        <v>0</v>
      </c>
      <c r="X275" s="23" t="s">
        <v>54</v>
      </c>
      <c r="Y275" s="23" t="s">
        <v>54</v>
      </c>
      <c r="Z275" s="23" t="s">
        <v>54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3</v>
      </c>
      <c r="AK275">
        <v>1</v>
      </c>
      <c r="AL275">
        <v>1</v>
      </c>
      <c r="AM275">
        <v>2</v>
      </c>
      <c r="AN275" s="23">
        <v>0</v>
      </c>
      <c r="AO275" s="23">
        <v>0</v>
      </c>
      <c r="AP275" s="23">
        <v>0</v>
      </c>
      <c r="AQ275" s="23">
        <v>0.5</v>
      </c>
      <c r="AR275" s="35">
        <v>0</v>
      </c>
      <c r="AS275" s="35">
        <v>0</v>
      </c>
      <c r="AT275" s="35">
        <v>6</v>
      </c>
      <c r="AU275" s="31" t="str">
        <f t="shared" si="7"/>
        <v>库存为6</v>
      </c>
      <c r="AV275" s="36" t="str">
        <f>IFERROR($A$2+AU275,"上周无销量")</f>
        <v>上周无销量</v>
      </c>
    </row>
    <row r="276" spans="1:48">
      <c r="A276" s="21" t="s">
        <v>616</v>
      </c>
      <c r="B276" t="s">
        <v>617</v>
      </c>
      <c r="C276" t="s">
        <v>613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4</v>
      </c>
      <c r="J276" s="33">
        <v>0</v>
      </c>
      <c r="K276" s="33">
        <v>0</v>
      </c>
      <c r="L276" s="33">
        <v>0</v>
      </c>
      <c r="M276">
        <v>4</v>
      </c>
      <c r="N276">
        <v>0</v>
      </c>
      <c r="O276">
        <v>3</v>
      </c>
      <c r="P276">
        <v>0</v>
      </c>
      <c r="Q276">
        <v>0</v>
      </c>
      <c r="R276">
        <v>0</v>
      </c>
      <c r="S276">
        <v>721</v>
      </c>
      <c r="T276">
        <v>0</v>
      </c>
      <c r="U276">
        <v>0</v>
      </c>
      <c r="V276">
        <v>0</v>
      </c>
      <c r="W276">
        <v>0</v>
      </c>
      <c r="X276" s="23" t="s">
        <v>54</v>
      </c>
      <c r="Y276" s="23" t="s">
        <v>54</v>
      </c>
      <c r="Z276" s="23" t="s">
        <v>54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3</v>
      </c>
      <c r="AK276">
        <v>0</v>
      </c>
      <c r="AL276">
        <v>5</v>
      </c>
      <c r="AM276">
        <v>0</v>
      </c>
      <c r="AN276" s="23">
        <v>0</v>
      </c>
      <c r="AO276" s="23" t="s">
        <v>54</v>
      </c>
      <c r="AP276" s="23">
        <v>0</v>
      </c>
      <c r="AQ276" s="23" t="s">
        <v>54</v>
      </c>
      <c r="AR276" s="35">
        <v>0</v>
      </c>
      <c r="AS276" s="35">
        <v>0</v>
      </c>
      <c r="AT276" s="35">
        <v>4</v>
      </c>
      <c r="AU276" s="31" t="str">
        <f t="shared" si="7"/>
        <v>库存为4</v>
      </c>
      <c r="AV276" s="36" t="str">
        <f>IFERROR($A$2+AU276,"上周无销量")</f>
        <v>上周无销量</v>
      </c>
    </row>
    <row r="277" spans="1:48">
      <c r="A277" s="21" t="s">
        <v>618</v>
      </c>
      <c r="B277" t="s">
        <v>619</v>
      </c>
      <c r="C277" t="s">
        <v>613</v>
      </c>
      <c r="D277" s="31">
        <v>0</v>
      </c>
      <c r="E277" s="31">
        <v>0</v>
      </c>
      <c r="F277" s="31">
        <v>1</v>
      </c>
      <c r="G277" s="31">
        <v>0</v>
      </c>
      <c r="H277" s="32">
        <v>20</v>
      </c>
      <c r="I277">
        <v>10</v>
      </c>
      <c r="J277" s="33">
        <v>0</v>
      </c>
      <c r="K277" s="33">
        <v>0</v>
      </c>
      <c r="L277" s="33">
        <v>0</v>
      </c>
      <c r="M277">
        <v>10</v>
      </c>
      <c r="N277">
        <v>0</v>
      </c>
      <c r="O277">
        <v>10</v>
      </c>
      <c r="P277">
        <v>257</v>
      </c>
      <c r="Q277">
        <v>836</v>
      </c>
      <c r="R277">
        <v>447</v>
      </c>
      <c r="S277">
        <v>414</v>
      </c>
      <c r="T277">
        <v>0</v>
      </c>
      <c r="U277">
        <v>2</v>
      </c>
      <c r="V277">
        <v>1</v>
      </c>
      <c r="W277">
        <v>0</v>
      </c>
      <c r="X277" s="23">
        <v>0</v>
      </c>
      <c r="Y277" s="23">
        <v>0.00239234449760766</v>
      </c>
      <c r="Z277" s="23">
        <v>0.00223713646532438</v>
      </c>
      <c r="AA277" s="23">
        <v>0</v>
      </c>
      <c r="AB277">
        <v>0</v>
      </c>
      <c r="AC277">
        <v>0.27</v>
      </c>
      <c r="AD277">
        <v>0.36</v>
      </c>
      <c r="AE277">
        <v>0</v>
      </c>
      <c r="AF277" s="23" t="s">
        <v>54</v>
      </c>
      <c r="AG277" s="23">
        <v>0</v>
      </c>
      <c r="AH277" s="23">
        <v>0.018</v>
      </c>
      <c r="AI277" s="23" t="s">
        <v>54</v>
      </c>
      <c r="AJ277">
        <v>3</v>
      </c>
      <c r="AK277">
        <v>4</v>
      </c>
      <c r="AL277">
        <v>1</v>
      </c>
      <c r="AM277">
        <v>1</v>
      </c>
      <c r="AN277" s="23">
        <v>0</v>
      </c>
      <c r="AO277" s="23">
        <v>0</v>
      </c>
      <c r="AP277" s="23">
        <v>1</v>
      </c>
      <c r="AQ277" s="23">
        <v>0</v>
      </c>
      <c r="AR277" s="35">
        <v>0</v>
      </c>
      <c r="AS277" s="35">
        <v>0</v>
      </c>
      <c r="AT277" s="35">
        <v>10</v>
      </c>
      <c r="AU277" s="31" t="str">
        <f t="shared" si="7"/>
        <v>库存为10</v>
      </c>
      <c r="AV277" s="36" t="str">
        <f>IFERROR($A$2+AU277,"上周无销量")</f>
        <v>上周无销量</v>
      </c>
    </row>
    <row r="278" spans="1:48">
      <c r="A278" s="21" t="s">
        <v>620</v>
      </c>
      <c r="B278" t="s">
        <v>621</v>
      </c>
      <c r="C278" t="s">
        <v>613</v>
      </c>
      <c r="D278" s="31">
        <v>0</v>
      </c>
      <c r="E278" s="31">
        <v>0</v>
      </c>
      <c r="F278" s="31">
        <v>2</v>
      </c>
      <c r="G278" s="31">
        <v>0</v>
      </c>
      <c r="H278" s="32">
        <v>20</v>
      </c>
      <c r="I278">
        <v>3</v>
      </c>
      <c r="J278" s="33">
        <v>0</v>
      </c>
      <c r="K278" s="33">
        <v>0</v>
      </c>
      <c r="L278" s="33">
        <v>0</v>
      </c>
      <c r="M278">
        <v>3</v>
      </c>
      <c r="N278">
        <v>0</v>
      </c>
      <c r="O278">
        <v>4</v>
      </c>
      <c r="P278">
        <v>0</v>
      </c>
      <c r="Q278">
        <v>61</v>
      </c>
      <c r="R278">
        <v>32422</v>
      </c>
      <c r="S278">
        <v>9426</v>
      </c>
      <c r="T278">
        <v>0</v>
      </c>
      <c r="U278">
        <v>0</v>
      </c>
      <c r="V278">
        <v>42</v>
      </c>
      <c r="W278">
        <v>39</v>
      </c>
      <c r="X278" s="23" t="s">
        <v>54</v>
      </c>
      <c r="Y278" s="23">
        <v>0</v>
      </c>
      <c r="Z278" s="23">
        <v>0.00129541669236938</v>
      </c>
      <c r="AA278" s="23">
        <v>0.00413749204328453</v>
      </c>
      <c r="AB278">
        <v>0</v>
      </c>
      <c r="AC278">
        <v>0</v>
      </c>
      <c r="AD278">
        <v>23.12</v>
      </c>
      <c r="AE278">
        <v>19.76</v>
      </c>
      <c r="AF278" s="23" t="s">
        <v>54</v>
      </c>
      <c r="AG278" s="23" t="s">
        <v>54</v>
      </c>
      <c r="AH278" s="23">
        <v>0.578</v>
      </c>
      <c r="AI278" s="23">
        <v>0</v>
      </c>
      <c r="AJ278">
        <v>6</v>
      </c>
      <c r="AK278">
        <v>4</v>
      </c>
      <c r="AL278">
        <v>21</v>
      </c>
      <c r="AM278">
        <v>9</v>
      </c>
      <c r="AN278" s="23">
        <v>0</v>
      </c>
      <c r="AO278" s="23">
        <v>0</v>
      </c>
      <c r="AP278" s="23">
        <v>0.0952380952380952</v>
      </c>
      <c r="AQ278" s="23">
        <v>0</v>
      </c>
      <c r="AR278" s="35">
        <v>0</v>
      </c>
      <c r="AS278" s="35">
        <v>0</v>
      </c>
      <c r="AT278" s="35">
        <v>3</v>
      </c>
      <c r="AU278" s="31" t="str">
        <f t="shared" si="7"/>
        <v>库存为3</v>
      </c>
      <c r="AV278" s="36" t="str">
        <f>IFERROR($A$2+AU278,"上周无销量")</f>
        <v>上周无销量</v>
      </c>
    </row>
    <row r="279" spans="1:48">
      <c r="A279" s="21" t="s">
        <v>622</v>
      </c>
      <c r="B279" t="s">
        <v>623</v>
      </c>
      <c r="C279" t="s">
        <v>613</v>
      </c>
      <c r="D279" s="31">
        <v>0</v>
      </c>
      <c r="E279" s="31">
        <v>0</v>
      </c>
      <c r="F279" s="31">
        <v>2</v>
      </c>
      <c r="G279" s="31">
        <v>1</v>
      </c>
      <c r="H279" s="32">
        <v>20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1</v>
      </c>
      <c r="P279">
        <v>0</v>
      </c>
      <c r="Q279">
        <v>83</v>
      </c>
      <c r="R279">
        <v>40552</v>
      </c>
      <c r="S279">
        <v>6059</v>
      </c>
      <c r="T279">
        <v>0</v>
      </c>
      <c r="U279">
        <v>0</v>
      </c>
      <c r="V279">
        <v>85</v>
      </c>
      <c r="W279">
        <v>30</v>
      </c>
      <c r="X279" s="23" t="s">
        <v>54</v>
      </c>
      <c r="Y279" s="23">
        <v>0</v>
      </c>
      <c r="Z279" s="23">
        <v>0.00209607417636615</v>
      </c>
      <c r="AA279" s="23">
        <v>0.00495131209770589</v>
      </c>
      <c r="AB279">
        <v>0</v>
      </c>
      <c r="AC279">
        <v>0</v>
      </c>
      <c r="AD279">
        <v>40.05</v>
      </c>
      <c r="AE279">
        <v>16.54</v>
      </c>
      <c r="AF279" s="23" t="s">
        <v>54</v>
      </c>
      <c r="AG279" s="23" t="s">
        <v>54</v>
      </c>
      <c r="AH279" s="23">
        <v>1.00125</v>
      </c>
      <c r="AI279" s="23">
        <v>0.827</v>
      </c>
      <c r="AJ279">
        <v>4</v>
      </c>
      <c r="AK279">
        <v>4</v>
      </c>
      <c r="AL279">
        <v>40</v>
      </c>
      <c r="AM279">
        <v>10</v>
      </c>
      <c r="AN279" s="23">
        <v>0</v>
      </c>
      <c r="AO279" s="23">
        <v>0</v>
      </c>
      <c r="AP279" s="23">
        <v>0.05</v>
      </c>
      <c r="AQ279" s="23">
        <v>0.1</v>
      </c>
      <c r="AR279" s="35">
        <v>0</v>
      </c>
      <c r="AS279" s="35">
        <v>0</v>
      </c>
      <c r="AT279" s="35">
        <v>2</v>
      </c>
      <c r="AU279" s="31" t="str">
        <f t="shared" si="7"/>
        <v>库存为2</v>
      </c>
      <c r="AV279" s="36" t="str">
        <f>IFERROR($A$2+AU279,"上周无销量")</f>
        <v>上周无销量</v>
      </c>
    </row>
    <row r="280" spans="1:48">
      <c r="A280" s="21" t="s">
        <v>624</v>
      </c>
      <c r="B280" t="s">
        <v>625</v>
      </c>
      <c r="C280" t="s">
        <v>613</v>
      </c>
      <c r="D280" s="31">
        <v>0</v>
      </c>
      <c r="E280" s="31">
        <v>0</v>
      </c>
      <c r="F280" s="31">
        <v>1</v>
      </c>
      <c r="G280" s="31">
        <v>0</v>
      </c>
      <c r="H280" s="32">
        <v>20</v>
      </c>
      <c r="I280">
        <v>6</v>
      </c>
      <c r="J280" s="33">
        <v>0</v>
      </c>
      <c r="K280" s="33">
        <v>0</v>
      </c>
      <c r="L280" s="33">
        <v>0</v>
      </c>
      <c r="M280">
        <v>6</v>
      </c>
      <c r="N280">
        <v>0</v>
      </c>
      <c r="O280">
        <v>6</v>
      </c>
      <c r="P280">
        <v>0</v>
      </c>
      <c r="Q280">
        <v>0</v>
      </c>
      <c r="R280">
        <v>0</v>
      </c>
      <c r="S280">
        <v>12</v>
      </c>
      <c r="T280">
        <v>0</v>
      </c>
      <c r="U280">
        <v>0</v>
      </c>
      <c r="V280">
        <v>0</v>
      </c>
      <c r="W280">
        <v>0</v>
      </c>
      <c r="X280" s="23" t="s">
        <v>54</v>
      </c>
      <c r="Y280" s="23" t="s">
        <v>54</v>
      </c>
      <c r="Z280" s="23" t="s">
        <v>54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3</v>
      </c>
      <c r="AK280">
        <v>0</v>
      </c>
      <c r="AL280">
        <v>4</v>
      </c>
      <c r="AM280">
        <v>0</v>
      </c>
      <c r="AN280" s="23">
        <v>0</v>
      </c>
      <c r="AO280" s="23" t="s">
        <v>54</v>
      </c>
      <c r="AP280" s="23">
        <v>0.25</v>
      </c>
      <c r="AQ280" s="23" t="s">
        <v>54</v>
      </c>
      <c r="AR280" s="35">
        <v>0</v>
      </c>
      <c r="AS280" s="35">
        <v>0</v>
      </c>
      <c r="AT280" s="35">
        <v>6</v>
      </c>
      <c r="AU280" s="31" t="str">
        <f t="shared" si="7"/>
        <v>库存为6</v>
      </c>
      <c r="AV280" s="36" t="str">
        <f>IFERROR($A$2+AU280,"上周无销量")</f>
        <v>上周无销量</v>
      </c>
    </row>
    <row r="281" spans="1:48">
      <c r="A281" s="21" t="s">
        <v>626</v>
      </c>
      <c r="B281" t="s">
        <v>627</v>
      </c>
      <c r="C281" t="s">
        <v>613</v>
      </c>
      <c r="D281" s="31">
        <v>0</v>
      </c>
      <c r="E281" s="31">
        <v>0</v>
      </c>
      <c r="F281" s="31">
        <v>0</v>
      </c>
      <c r="G281" s="31">
        <v>1</v>
      </c>
      <c r="H281" s="32">
        <v>20</v>
      </c>
      <c r="I281">
        <v>6</v>
      </c>
      <c r="J281" s="33">
        <v>0</v>
      </c>
      <c r="K281" s="33">
        <v>0</v>
      </c>
      <c r="L281" s="33">
        <v>0</v>
      </c>
      <c r="M281">
        <v>6</v>
      </c>
      <c r="N281">
        <v>0</v>
      </c>
      <c r="O281">
        <v>6</v>
      </c>
      <c r="P281">
        <v>0</v>
      </c>
      <c r="Q281">
        <v>0</v>
      </c>
      <c r="R281">
        <v>0</v>
      </c>
      <c r="S281">
        <v>64</v>
      </c>
      <c r="T281">
        <v>0</v>
      </c>
      <c r="U281">
        <v>0</v>
      </c>
      <c r="V281">
        <v>0</v>
      </c>
      <c r="W281">
        <v>1</v>
      </c>
      <c r="X281" s="23" t="s">
        <v>54</v>
      </c>
      <c r="Y281" s="23" t="s">
        <v>54</v>
      </c>
      <c r="Z281" s="23" t="s">
        <v>54</v>
      </c>
      <c r="AA281" s="23">
        <v>0.015625</v>
      </c>
      <c r="AB281">
        <v>0</v>
      </c>
      <c r="AC281">
        <v>0</v>
      </c>
      <c r="AD281">
        <v>0</v>
      </c>
      <c r="AE281">
        <v>0.55</v>
      </c>
      <c r="AF281" s="23" t="s">
        <v>54</v>
      </c>
      <c r="AG281" s="23" t="s">
        <v>54</v>
      </c>
      <c r="AH281" s="23" t="s">
        <v>54</v>
      </c>
      <c r="AI281" s="23">
        <v>0.0275</v>
      </c>
      <c r="AJ281">
        <v>5</v>
      </c>
      <c r="AK281">
        <v>1</v>
      </c>
      <c r="AL281">
        <v>2</v>
      </c>
      <c r="AM281">
        <v>1</v>
      </c>
      <c r="AN281" s="23">
        <v>0</v>
      </c>
      <c r="AO281" s="23">
        <v>0</v>
      </c>
      <c r="AP281" s="23">
        <v>0</v>
      </c>
      <c r="AQ281" s="23">
        <v>1</v>
      </c>
      <c r="AR281" s="35">
        <v>0</v>
      </c>
      <c r="AS281" s="35">
        <v>0</v>
      </c>
      <c r="AT281" s="35">
        <v>6</v>
      </c>
      <c r="AU281" s="31" t="str">
        <f t="shared" si="7"/>
        <v>库存为6</v>
      </c>
      <c r="AV281" s="36" t="str">
        <f>IFERROR($A$2+AU281,"上周无销量")</f>
        <v>上周无销量</v>
      </c>
    </row>
    <row r="282" spans="1:48">
      <c r="A282" s="21" t="s">
        <v>628</v>
      </c>
      <c r="B282" t="s">
        <v>629</v>
      </c>
      <c r="C282" t="s">
        <v>613</v>
      </c>
      <c r="D282" s="31">
        <v>0</v>
      </c>
      <c r="E282" s="31">
        <v>0</v>
      </c>
      <c r="F282" s="31">
        <v>0</v>
      </c>
      <c r="G282" s="31">
        <v>1</v>
      </c>
      <c r="H282" s="32">
        <v>20</v>
      </c>
      <c r="I282">
        <v>3</v>
      </c>
      <c r="J282" s="33">
        <v>0</v>
      </c>
      <c r="K282" s="33">
        <v>0</v>
      </c>
      <c r="L282" s="33">
        <v>0</v>
      </c>
      <c r="M282">
        <v>3</v>
      </c>
      <c r="N282">
        <v>0</v>
      </c>
      <c r="O282">
        <v>3</v>
      </c>
      <c r="P282">
        <v>0</v>
      </c>
      <c r="Q282">
        <v>0</v>
      </c>
      <c r="R282">
        <v>0</v>
      </c>
      <c r="S282">
        <v>949</v>
      </c>
      <c r="T282">
        <v>0</v>
      </c>
      <c r="U282">
        <v>0</v>
      </c>
      <c r="V282">
        <v>0</v>
      </c>
      <c r="W282">
        <v>6</v>
      </c>
      <c r="X282" s="23" t="s">
        <v>54</v>
      </c>
      <c r="Y282" s="23" t="s">
        <v>54</v>
      </c>
      <c r="Z282" s="23" t="s">
        <v>54</v>
      </c>
      <c r="AA282" s="23">
        <v>0.00632244467860906</v>
      </c>
      <c r="AB282">
        <v>0</v>
      </c>
      <c r="AC282">
        <v>0</v>
      </c>
      <c r="AD282">
        <v>0</v>
      </c>
      <c r="AE282">
        <v>3.5</v>
      </c>
      <c r="AF282" s="23" t="s">
        <v>54</v>
      </c>
      <c r="AG282" s="23" t="s">
        <v>54</v>
      </c>
      <c r="AH282" s="23" t="s">
        <v>54</v>
      </c>
      <c r="AI282" s="23">
        <v>0.175</v>
      </c>
      <c r="AJ282">
        <v>3</v>
      </c>
      <c r="AK282">
        <v>2</v>
      </c>
      <c r="AL282">
        <v>2</v>
      </c>
      <c r="AM282">
        <v>2</v>
      </c>
      <c r="AN282" s="23">
        <v>0</v>
      </c>
      <c r="AO282" s="23">
        <v>0</v>
      </c>
      <c r="AP282" s="23">
        <v>0</v>
      </c>
      <c r="AQ282" s="23">
        <v>0.5</v>
      </c>
      <c r="AR282" s="35">
        <v>0</v>
      </c>
      <c r="AS282" s="35">
        <v>0</v>
      </c>
      <c r="AT282" s="35">
        <v>3</v>
      </c>
      <c r="AU282" s="31" t="str">
        <f t="shared" si="7"/>
        <v>库存为3</v>
      </c>
      <c r="AV282" s="36" t="str">
        <f>IFERROR($A$2+AU282,"上周无销量")</f>
        <v>上周无销量</v>
      </c>
    </row>
    <row r="283" spans="1:48">
      <c r="A283" s="21" t="s">
        <v>630</v>
      </c>
      <c r="B283" t="s">
        <v>631</v>
      </c>
      <c r="C283" t="s">
        <v>613</v>
      </c>
      <c r="D283" s="31">
        <v>0</v>
      </c>
      <c r="E283" s="31">
        <v>0</v>
      </c>
      <c r="F283" s="31">
        <v>0</v>
      </c>
      <c r="G283" s="31">
        <v>1</v>
      </c>
      <c r="H283" s="32">
        <v>20</v>
      </c>
      <c r="I283">
        <v>5</v>
      </c>
      <c r="J283" s="33">
        <v>0</v>
      </c>
      <c r="K283" s="33">
        <v>0</v>
      </c>
      <c r="L283" s="33">
        <v>0</v>
      </c>
      <c r="M283">
        <v>5</v>
      </c>
      <c r="N283">
        <v>0</v>
      </c>
      <c r="O283">
        <v>5</v>
      </c>
      <c r="P283">
        <v>119</v>
      </c>
      <c r="Q283">
        <v>448</v>
      </c>
      <c r="R283">
        <v>51</v>
      </c>
      <c r="S283">
        <v>90</v>
      </c>
      <c r="T283">
        <v>0</v>
      </c>
      <c r="U283">
        <v>0</v>
      </c>
      <c r="V283">
        <v>0</v>
      </c>
      <c r="W283">
        <v>1</v>
      </c>
      <c r="X283" s="23">
        <v>0</v>
      </c>
      <c r="Y283" s="23">
        <v>0</v>
      </c>
      <c r="Z283" s="23">
        <v>0</v>
      </c>
      <c r="AA283" s="23">
        <v>0.0111111111111111</v>
      </c>
      <c r="AB283">
        <v>0</v>
      </c>
      <c r="AC283">
        <v>0</v>
      </c>
      <c r="AD283">
        <v>0</v>
      </c>
      <c r="AE283">
        <v>0.04</v>
      </c>
      <c r="AF283" s="23" t="s">
        <v>54</v>
      </c>
      <c r="AG283" s="23" t="s">
        <v>54</v>
      </c>
      <c r="AH283" s="23" t="s">
        <v>54</v>
      </c>
      <c r="AI283" s="23">
        <v>0.002</v>
      </c>
      <c r="AJ283">
        <v>2</v>
      </c>
      <c r="AK283">
        <v>0</v>
      </c>
      <c r="AL283">
        <v>7</v>
      </c>
      <c r="AM283">
        <v>3</v>
      </c>
      <c r="AN283" s="23">
        <v>0</v>
      </c>
      <c r="AO283" s="23" t="s">
        <v>54</v>
      </c>
      <c r="AP283" s="23">
        <v>0</v>
      </c>
      <c r="AQ283" s="23">
        <v>0.333333333333333</v>
      </c>
      <c r="AR283" s="35">
        <v>0</v>
      </c>
      <c r="AS283" s="35">
        <v>0</v>
      </c>
      <c r="AT283" s="35">
        <v>5</v>
      </c>
      <c r="AU283" s="31" t="str">
        <f t="shared" si="7"/>
        <v>库存为5</v>
      </c>
      <c r="AV283" s="36" t="str">
        <f>IFERROR($A$2+AU283,"上周无销量")</f>
        <v>上周无销量</v>
      </c>
    </row>
    <row r="284" spans="1:48">
      <c r="A284" s="21" t="s">
        <v>632</v>
      </c>
      <c r="B284" t="s">
        <v>633</v>
      </c>
      <c r="C284" t="s">
        <v>613</v>
      </c>
      <c r="D284" s="31">
        <v>0</v>
      </c>
      <c r="E284" s="31">
        <v>1</v>
      </c>
      <c r="F284" s="31">
        <v>0</v>
      </c>
      <c r="G284" s="31">
        <v>0</v>
      </c>
      <c r="H284" s="32">
        <v>20</v>
      </c>
      <c r="I284">
        <v>6</v>
      </c>
      <c r="J284" s="33">
        <v>0</v>
      </c>
      <c r="K284" s="33">
        <v>0</v>
      </c>
      <c r="L284" s="33">
        <v>0</v>
      </c>
      <c r="M284">
        <v>6</v>
      </c>
      <c r="N284">
        <v>0</v>
      </c>
      <c r="O284">
        <v>4</v>
      </c>
      <c r="P284">
        <v>0</v>
      </c>
      <c r="Q284">
        <v>0</v>
      </c>
      <c r="R284">
        <v>0</v>
      </c>
      <c r="S284">
        <v>499</v>
      </c>
      <c r="T284">
        <v>0</v>
      </c>
      <c r="U284">
        <v>0</v>
      </c>
      <c r="V284">
        <v>0</v>
      </c>
      <c r="W284">
        <v>2</v>
      </c>
      <c r="X284" s="23" t="s">
        <v>54</v>
      </c>
      <c r="Y284" s="23" t="s">
        <v>54</v>
      </c>
      <c r="Z284" s="23" t="s">
        <v>54</v>
      </c>
      <c r="AA284" s="23">
        <v>0.00400801603206413</v>
      </c>
      <c r="AB284">
        <v>0</v>
      </c>
      <c r="AC284">
        <v>0</v>
      </c>
      <c r="AD284">
        <v>0</v>
      </c>
      <c r="AE284">
        <v>1.29</v>
      </c>
      <c r="AF284" s="23" t="s">
        <v>54</v>
      </c>
      <c r="AG284" s="23" t="s">
        <v>54</v>
      </c>
      <c r="AH284" s="23" t="s">
        <v>54</v>
      </c>
      <c r="AI284" s="23">
        <v>0</v>
      </c>
      <c r="AJ284">
        <v>4</v>
      </c>
      <c r="AK284">
        <v>1</v>
      </c>
      <c r="AL284">
        <v>1</v>
      </c>
      <c r="AM284">
        <v>1</v>
      </c>
      <c r="AN284" s="23">
        <v>0</v>
      </c>
      <c r="AO284" s="23">
        <v>1</v>
      </c>
      <c r="AP284" s="23">
        <v>0</v>
      </c>
      <c r="AQ284" s="23">
        <v>0</v>
      </c>
      <c r="AR284" s="35">
        <v>0</v>
      </c>
      <c r="AS284" s="35">
        <v>0</v>
      </c>
      <c r="AT284" s="35">
        <v>6</v>
      </c>
      <c r="AU284" s="31" t="str">
        <f t="shared" si="7"/>
        <v>库存为6</v>
      </c>
      <c r="AV284" s="36" t="str">
        <f>IFERROR($A$2+AU284,"上周无销量")</f>
        <v>上周无销量</v>
      </c>
    </row>
    <row r="285" spans="1:48">
      <c r="A285" s="21" t="s">
        <v>634</v>
      </c>
      <c r="B285" t="s">
        <v>635</v>
      </c>
      <c r="C285" t="s">
        <v>613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6</v>
      </c>
      <c r="J285" s="33">
        <v>0</v>
      </c>
      <c r="K285" s="33">
        <v>0</v>
      </c>
      <c r="L285" s="33">
        <v>0</v>
      </c>
      <c r="M285">
        <v>6</v>
      </c>
      <c r="N285">
        <v>0</v>
      </c>
      <c r="O285">
        <v>6</v>
      </c>
      <c r="P285">
        <v>0</v>
      </c>
      <c r="Q285">
        <v>0</v>
      </c>
      <c r="R285">
        <v>0</v>
      </c>
      <c r="S285">
        <v>24</v>
      </c>
      <c r="T285">
        <v>0</v>
      </c>
      <c r="U285">
        <v>0</v>
      </c>
      <c r="V285">
        <v>0</v>
      </c>
      <c r="W285">
        <v>0</v>
      </c>
      <c r="X285" s="23" t="s">
        <v>54</v>
      </c>
      <c r="Y285" s="23" t="s">
        <v>54</v>
      </c>
      <c r="Z285" s="23" t="s">
        <v>54</v>
      </c>
      <c r="AA285" s="23">
        <v>0</v>
      </c>
      <c r="AB285">
        <v>0</v>
      </c>
      <c r="AC285">
        <v>0</v>
      </c>
      <c r="AD285">
        <v>0</v>
      </c>
      <c r="AE285">
        <v>0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4</v>
      </c>
      <c r="AK285">
        <v>0</v>
      </c>
      <c r="AL285">
        <v>2</v>
      </c>
      <c r="AM285">
        <v>1</v>
      </c>
      <c r="AN285" s="23">
        <v>0</v>
      </c>
      <c r="AO285" s="23" t="s">
        <v>54</v>
      </c>
      <c r="AP285" s="23">
        <v>0</v>
      </c>
      <c r="AQ285" s="23">
        <v>0</v>
      </c>
      <c r="AR285" s="35">
        <v>0</v>
      </c>
      <c r="AS285" s="35">
        <v>0</v>
      </c>
      <c r="AT285" s="35">
        <v>6</v>
      </c>
      <c r="AU285" s="31" t="str">
        <f t="shared" si="7"/>
        <v>库存为6</v>
      </c>
      <c r="AV285" s="36" t="str">
        <f>IFERROR($A$2+AU285,"上周无销量")</f>
        <v>上周无销量</v>
      </c>
    </row>
    <row r="286" spans="1:48">
      <c r="A286" s="21" t="s">
        <v>636</v>
      </c>
      <c r="B286" t="s">
        <v>637</v>
      </c>
      <c r="C286" t="s">
        <v>613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6</v>
      </c>
      <c r="J286" s="33">
        <v>0</v>
      </c>
      <c r="K286" s="33">
        <v>0</v>
      </c>
      <c r="L286" s="33">
        <v>0</v>
      </c>
      <c r="M286">
        <v>6</v>
      </c>
      <c r="N286">
        <v>0</v>
      </c>
      <c r="O286">
        <v>6</v>
      </c>
      <c r="P286">
        <v>0</v>
      </c>
      <c r="Q286">
        <v>0</v>
      </c>
      <c r="R286">
        <v>0</v>
      </c>
      <c r="S286">
        <v>85</v>
      </c>
      <c r="T286">
        <v>0</v>
      </c>
      <c r="U286">
        <v>0</v>
      </c>
      <c r="V286">
        <v>0</v>
      </c>
      <c r="W286">
        <v>1</v>
      </c>
      <c r="X286" s="23" t="s">
        <v>54</v>
      </c>
      <c r="Y286" s="23" t="s">
        <v>54</v>
      </c>
      <c r="Z286" s="23" t="s">
        <v>54</v>
      </c>
      <c r="AA286" s="23">
        <v>0.0117647058823529</v>
      </c>
      <c r="AB286">
        <v>0</v>
      </c>
      <c r="AC286">
        <v>0</v>
      </c>
      <c r="AD286">
        <v>0</v>
      </c>
      <c r="AE286">
        <v>0.55</v>
      </c>
      <c r="AF286" s="23" t="s">
        <v>54</v>
      </c>
      <c r="AG286" s="23" t="s">
        <v>54</v>
      </c>
      <c r="AH286" s="23" t="s">
        <v>54</v>
      </c>
      <c r="AI286" s="23">
        <v>0</v>
      </c>
      <c r="AJ286">
        <v>2</v>
      </c>
      <c r="AK286">
        <v>3</v>
      </c>
      <c r="AL286">
        <v>2</v>
      </c>
      <c r="AM286">
        <v>1</v>
      </c>
      <c r="AN286" s="23">
        <v>0</v>
      </c>
      <c r="AO286" s="23">
        <v>0</v>
      </c>
      <c r="AP286" s="23">
        <v>0</v>
      </c>
      <c r="AQ286" s="23">
        <v>0</v>
      </c>
      <c r="AR286" s="35">
        <v>0</v>
      </c>
      <c r="AS286" s="35">
        <v>0</v>
      </c>
      <c r="AT286" s="35">
        <v>6</v>
      </c>
      <c r="AU286" s="31" t="str">
        <f t="shared" si="7"/>
        <v>库存为6</v>
      </c>
      <c r="AV286" s="36" t="str">
        <f>IFERROR($A$2+AU286,"上周无销量")</f>
        <v>上周无销量</v>
      </c>
    </row>
    <row r="287" spans="1:48">
      <c r="A287" s="21" t="s">
        <v>638</v>
      </c>
      <c r="B287" t="s">
        <v>639</v>
      </c>
      <c r="C287" t="s">
        <v>613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6</v>
      </c>
      <c r="J287" s="33">
        <v>0</v>
      </c>
      <c r="K287" s="33">
        <v>0</v>
      </c>
      <c r="L287" s="33">
        <v>0</v>
      </c>
      <c r="M287">
        <v>6</v>
      </c>
      <c r="N287">
        <v>0</v>
      </c>
      <c r="O287">
        <v>6</v>
      </c>
      <c r="P287">
        <v>0</v>
      </c>
      <c r="Q287">
        <v>0</v>
      </c>
      <c r="R287">
        <v>0</v>
      </c>
      <c r="S287">
        <v>145</v>
      </c>
      <c r="T287">
        <v>0</v>
      </c>
      <c r="U287">
        <v>0</v>
      </c>
      <c r="V287">
        <v>0</v>
      </c>
      <c r="W287">
        <v>0</v>
      </c>
      <c r="X287" s="23" t="s">
        <v>54</v>
      </c>
      <c r="Y287" s="23" t="s">
        <v>54</v>
      </c>
      <c r="Z287" s="23" t="s">
        <v>54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</v>
      </c>
      <c r="AK287">
        <v>1</v>
      </c>
      <c r="AL287">
        <v>2</v>
      </c>
      <c r="AM287">
        <v>2</v>
      </c>
      <c r="AN287" s="23">
        <v>0</v>
      </c>
      <c r="AO287" s="23">
        <v>0</v>
      </c>
      <c r="AP287" s="23">
        <v>0</v>
      </c>
      <c r="AQ287" s="23">
        <v>0</v>
      </c>
      <c r="AR287" s="35">
        <v>0</v>
      </c>
      <c r="AS287" s="35">
        <v>0</v>
      </c>
      <c r="AT287" s="35">
        <v>6</v>
      </c>
      <c r="AU287" s="31" t="str">
        <f t="shared" si="7"/>
        <v>库存为6</v>
      </c>
      <c r="AV287" s="36" t="str">
        <f>IFERROR($A$2+AU287,"上周无销量")</f>
        <v>上周无销量</v>
      </c>
    </row>
    <row r="288" spans="1:48">
      <c r="A288" s="21" t="s">
        <v>640</v>
      </c>
      <c r="B288" t="s">
        <v>641</v>
      </c>
      <c r="C288" t="s">
        <v>613</v>
      </c>
      <c r="D288" s="31">
        <v>0</v>
      </c>
      <c r="E288" s="31">
        <v>0</v>
      </c>
      <c r="F288" s="31">
        <v>1</v>
      </c>
      <c r="G288" s="31">
        <v>0</v>
      </c>
      <c r="H288" s="32">
        <v>20</v>
      </c>
      <c r="I288">
        <v>5</v>
      </c>
      <c r="J288" s="33">
        <v>0</v>
      </c>
      <c r="K288" s="33">
        <v>0</v>
      </c>
      <c r="L288" s="33">
        <v>0</v>
      </c>
      <c r="M288">
        <v>5</v>
      </c>
      <c r="N288">
        <v>0</v>
      </c>
      <c r="O288">
        <v>5</v>
      </c>
      <c r="P288">
        <v>0</v>
      </c>
      <c r="Q288">
        <v>0</v>
      </c>
      <c r="R288">
        <v>0</v>
      </c>
      <c r="S288">
        <v>32</v>
      </c>
      <c r="T288">
        <v>0</v>
      </c>
      <c r="U288">
        <v>0</v>
      </c>
      <c r="V288">
        <v>0</v>
      </c>
      <c r="W288">
        <v>0</v>
      </c>
      <c r="X288" s="23" t="s">
        <v>54</v>
      </c>
      <c r="Y288" s="23" t="s">
        <v>54</v>
      </c>
      <c r="Z288" s="23" t="s">
        <v>54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2</v>
      </c>
      <c r="AK288">
        <v>0</v>
      </c>
      <c r="AL288">
        <v>4</v>
      </c>
      <c r="AM288">
        <v>3</v>
      </c>
      <c r="AN288" s="23">
        <v>0</v>
      </c>
      <c r="AO288" s="23" t="s">
        <v>54</v>
      </c>
      <c r="AP288" s="23">
        <v>0.25</v>
      </c>
      <c r="AQ288" s="23">
        <v>0</v>
      </c>
      <c r="AR288" s="35">
        <v>0</v>
      </c>
      <c r="AS288" s="35">
        <v>0</v>
      </c>
      <c r="AT288" s="35">
        <v>5</v>
      </c>
      <c r="AU288" s="31" t="str">
        <f t="shared" si="7"/>
        <v>库存为5</v>
      </c>
      <c r="AV288" s="36" t="str">
        <f>IFERROR($A$2+AU288,"上周无销量")</f>
        <v>上周无销量</v>
      </c>
    </row>
    <row r="289" spans="1:48">
      <c r="A289" s="21" t="s">
        <v>642</v>
      </c>
      <c r="B289" t="s">
        <v>643</v>
      </c>
      <c r="C289" t="s">
        <v>613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7</v>
      </c>
      <c r="J289" s="33">
        <v>0</v>
      </c>
      <c r="K289" s="33">
        <v>0</v>
      </c>
      <c r="L289" s="33">
        <v>0</v>
      </c>
      <c r="M289">
        <v>7</v>
      </c>
      <c r="N289">
        <v>0</v>
      </c>
      <c r="O289">
        <v>7</v>
      </c>
      <c r="P289">
        <v>0</v>
      </c>
      <c r="Q289">
        <v>0</v>
      </c>
      <c r="R289">
        <v>0</v>
      </c>
      <c r="S289">
        <v>36</v>
      </c>
      <c r="T289">
        <v>0</v>
      </c>
      <c r="U289">
        <v>0</v>
      </c>
      <c r="V289">
        <v>0</v>
      </c>
      <c r="W289">
        <v>0</v>
      </c>
      <c r="X289" s="23" t="s">
        <v>54</v>
      </c>
      <c r="Y289" s="23" t="s">
        <v>54</v>
      </c>
      <c r="Z289" s="23" t="s">
        <v>54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1</v>
      </c>
      <c r="AK289">
        <v>0</v>
      </c>
      <c r="AL289">
        <v>1</v>
      </c>
      <c r="AM289">
        <v>0</v>
      </c>
      <c r="AN289" s="23">
        <v>0</v>
      </c>
      <c r="AO289" s="23" t="s">
        <v>54</v>
      </c>
      <c r="AP289" s="23">
        <v>0</v>
      </c>
      <c r="AQ289" s="23" t="s">
        <v>54</v>
      </c>
      <c r="AR289" s="35">
        <v>0</v>
      </c>
      <c r="AS289" s="35">
        <v>0</v>
      </c>
      <c r="AT289" s="35">
        <v>7</v>
      </c>
      <c r="AU289" s="31" t="str">
        <f t="shared" si="7"/>
        <v>库存为7</v>
      </c>
      <c r="AV289" s="36" t="str">
        <f>IFERROR($A$2+AU289,"上周无销量")</f>
        <v>上周无销量</v>
      </c>
    </row>
    <row r="290" spans="1:48">
      <c r="A290" s="21" t="s">
        <v>644</v>
      </c>
      <c r="B290" t="s">
        <v>645</v>
      </c>
      <c r="C290" t="s">
        <v>613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7</v>
      </c>
      <c r="J290" s="33">
        <v>0</v>
      </c>
      <c r="K290" s="33">
        <v>0</v>
      </c>
      <c r="L290" s="33">
        <v>0</v>
      </c>
      <c r="M290">
        <v>7</v>
      </c>
      <c r="N290">
        <v>0</v>
      </c>
      <c r="O290">
        <v>7</v>
      </c>
      <c r="P290">
        <v>0</v>
      </c>
      <c r="Q290">
        <v>0</v>
      </c>
      <c r="R290">
        <v>0</v>
      </c>
      <c r="S290">
        <v>142</v>
      </c>
      <c r="T290">
        <v>0</v>
      </c>
      <c r="U290">
        <v>0</v>
      </c>
      <c r="V290">
        <v>0</v>
      </c>
      <c r="W290">
        <v>0</v>
      </c>
      <c r="X290" s="23" t="s">
        <v>54</v>
      </c>
      <c r="Y290" s="23" t="s">
        <v>54</v>
      </c>
      <c r="Z290" s="23" t="s">
        <v>54</v>
      </c>
      <c r="AA290" s="23">
        <v>0</v>
      </c>
      <c r="AB290">
        <v>0</v>
      </c>
      <c r="AC290">
        <v>0</v>
      </c>
      <c r="AD290">
        <v>0</v>
      </c>
      <c r="AE290">
        <v>0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3</v>
      </c>
      <c r="AK290">
        <v>1</v>
      </c>
      <c r="AL290">
        <v>0</v>
      </c>
      <c r="AM290">
        <v>0</v>
      </c>
      <c r="AN290" s="23">
        <v>0</v>
      </c>
      <c r="AO290" s="23">
        <v>0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7</v>
      </c>
      <c r="AU290" s="31" t="str">
        <f t="shared" si="7"/>
        <v>库存为7</v>
      </c>
      <c r="AV290" s="36" t="str">
        <f>IFERROR($A$2+AU290,"上周无销量")</f>
        <v>上周无销量</v>
      </c>
    </row>
    <row r="291" spans="1:48">
      <c r="A291" s="21" t="s">
        <v>646</v>
      </c>
      <c r="B291" t="s">
        <v>647</v>
      </c>
      <c r="C291" t="s">
        <v>613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7</v>
      </c>
      <c r="J291" s="33">
        <v>0</v>
      </c>
      <c r="K291" s="33">
        <v>0</v>
      </c>
      <c r="L291" s="33">
        <v>0</v>
      </c>
      <c r="M291">
        <v>7</v>
      </c>
      <c r="N291">
        <v>0</v>
      </c>
      <c r="O291">
        <v>7</v>
      </c>
      <c r="P291">
        <v>0</v>
      </c>
      <c r="Q291">
        <v>0</v>
      </c>
      <c r="R291">
        <v>0</v>
      </c>
      <c r="S291">
        <v>38</v>
      </c>
      <c r="T291">
        <v>0</v>
      </c>
      <c r="U291">
        <v>0</v>
      </c>
      <c r="V291">
        <v>0</v>
      </c>
      <c r="W291">
        <v>0</v>
      </c>
      <c r="X291" s="23" t="s">
        <v>54</v>
      </c>
      <c r="Y291" s="23" t="s">
        <v>54</v>
      </c>
      <c r="Z291" s="23" t="s">
        <v>54</v>
      </c>
      <c r="AA291" s="23">
        <v>0</v>
      </c>
      <c r="AB291">
        <v>0</v>
      </c>
      <c r="AC291">
        <v>0</v>
      </c>
      <c r="AD291">
        <v>0</v>
      </c>
      <c r="AE291">
        <v>0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1</v>
      </c>
      <c r="AK291">
        <v>1</v>
      </c>
      <c r="AL291">
        <v>1</v>
      </c>
      <c r="AM291">
        <v>1</v>
      </c>
      <c r="AN291" s="23">
        <v>0</v>
      </c>
      <c r="AO291" s="23">
        <v>0</v>
      </c>
      <c r="AP291" s="23">
        <v>0</v>
      </c>
      <c r="AQ291" s="23">
        <v>0</v>
      </c>
      <c r="AR291" s="35">
        <v>0</v>
      </c>
      <c r="AS291" s="35">
        <v>0</v>
      </c>
      <c r="AT291" s="35">
        <v>7</v>
      </c>
      <c r="AU291" s="31" t="str">
        <f t="shared" si="7"/>
        <v>库存为7</v>
      </c>
      <c r="AV291" s="36" t="str">
        <f>IFERROR($A$2+AU291,"上周无销量")</f>
        <v>上周无销量</v>
      </c>
    </row>
    <row r="292" spans="1:48">
      <c r="A292" s="21" t="s">
        <v>648</v>
      </c>
      <c r="B292" t="s">
        <v>649</v>
      </c>
      <c r="C292" t="s">
        <v>613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6</v>
      </c>
      <c r="J292" s="33">
        <v>0</v>
      </c>
      <c r="K292" s="33">
        <v>0</v>
      </c>
      <c r="L292" s="33">
        <v>0</v>
      </c>
      <c r="M292">
        <v>6</v>
      </c>
      <c r="N292">
        <v>0</v>
      </c>
      <c r="O292">
        <v>6</v>
      </c>
      <c r="P292">
        <v>148</v>
      </c>
      <c r="Q292">
        <v>671</v>
      </c>
      <c r="R292">
        <v>50</v>
      </c>
      <c r="S292">
        <v>169</v>
      </c>
      <c r="T292">
        <v>1</v>
      </c>
      <c r="U292">
        <v>0</v>
      </c>
      <c r="V292">
        <v>0</v>
      </c>
      <c r="W292">
        <v>2</v>
      </c>
      <c r="X292" s="23">
        <v>0.00675675675675676</v>
      </c>
      <c r="Y292" s="23">
        <v>0</v>
      </c>
      <c r="Z292" s="23">
        <v>0</v>
      </c>
      <c r="AA292" s="23">
        <v>0.0118343195266272</v>
      </c>
      <c r="AB292">
        <v>0.5</v>
      </c>
      <c r="AC292">
        <v>0</v>
      </c>
      <c r="AD292">
        <v>0</v>
      </c>
      <c r="AE292">
        <v>0.5</v>
      </c>
      <c r="AF292" s="23">
        <v>0</v>
      </c>
      <c r="AG292" s="23" t="s">
        <v>54</v>
      </c>
      <c r="AH292" s="23" t="s">
        <v>54</v>
      </c>
      <c r="AI292" s="23">
        <v>0</v>
      </c>
      <c r="AJ292">
        <v>4</v>
      </c>
      <c r="AK292">
        <v>2</v>
      </c>
      <c r="AL292">
        <v>6</v>
      </c>
      <c r="AM292">
        <v>2</v>
      </c>
      <c r="AN292" s="23">
        <v>0</v>
      </c>
      <c r="AO292" s="23">
        <v>0</v>
      </c>
      <c r="AP292" s="23">
        <v>0</v>
      </c>
      <c r="AQ292" s="23">
        <v>0</v>
      </c>
      <c r="AR292" s="35">
        <v>0</v>
      </c>
      <c r="AS292" s="35">
        <v>0</v>
      </c>
      <c r="AT292" s="35">
        <v>6</v>
      </c>
      <c r="AU292" s="31" t="str">
        <f t="shared" si="7"/>
        <v>库存为6</v>
      </c>
      <c r="AV292" s="36" t="str">
        <f>IFERROR($A$2+AU292,"上周无销量")</f>
        <v>上周无销量</v>
      </c>
    </row>
    <row r="293" spans="1:48">
      <c r="A293" s="21" t="s">
        <v>650</v>
      </c>
      <c r="B293" t="s">
        <v>651</v>
      </c>
      <c r="C293" t="s">
        <v>613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7</v>
      </c>
      <c r="J293" s="33">
        <v>0</v>
      </c>
      <c r="K293" s="33">
        <v>0</v>
      </c>
      <c r="L293" s="33">
        <v>0</v>
      </c>
      <c r="M293">
        <v>7</v>
      </c>
      <c r="N293">
        <v>0</v>
      </c>
      <c r="O293">
        <v>6</v>
      </c>
      <c r="P293">
        <v>0</v>
      </c>
      <c r="Q293">
        <v>0</v>
      </c>
      <c r="R293">
        <v>0</v>
      </c>
      <c r="S293">
        <v>205</v>
      </c>
      <c r="T293">
        <v>0</v>
      </c>
      <c r="U293">
        <v>0</v>
      </c>
      <c r="V293">
        <v>0</v>
      </c>
      <c r="W293">
        <v>1</v>
      </c>
      <c r="X293" s="23" t="s">
        <v>54</v>
      </c>
      <c r="Y293" s="23" t="s">
        <v>54</v>
      </c>
      <c r="Z293" s="23" t="s">
        <v>54</v>
      </c>
      <c r="AA293" s="23">
        <v>0.0048780487804878</v>
      </c>
      <c r="AB293">
        <v>0</v>
      </c>
      <c r="AC293">
        <v>0</v>
      </c>
      <c r="AD293">
        <v>0</v>
      </c>
      <c r="AE293">
        <v>0.52</v>
      </c>
      <c r="AF293" s="23" t="s">
        <v>54</v>
      </c>
      <c r="AG293" s="23" t="s">
        <v>54</v>
      </c>
      <c r="AH293" s="23" t="s">
        <v>54</v>
      </c>
      <c r="AI293" s="23">
        <v>0</v>
      </c>
      <c r="AJ293">
        <v>5</v>
      </c>
      <c r="AK293">
        <v>1</v>
      </c>
      <c r="AL293">
        <v>7</v>
      </c>
      <c r="AM293">
        <v>3</v>
      </c>
      <c r="AN293" s="23">
        <v>0</v>
      </c>
      <c r="AO293" s="23">
        <v>0</v>
      </c>
      <c r="AP293" s="23">
        <v>0</v>
      </c>
      <c r="AQ293" s="23">
        <v>0</v>
      </c>
      <c r="AR293" s="35">
        <v>0</v>
      </c>
      <c r="AS293" s="35">
        <v>0</v>
      </c>
      <c r="AT293" s="35">
        <v>7</v>
      </c>
      <c r="AU293" s="31" t="str">
        <f t="shared" si="7"/>
        <v>库存为7</v>
      </c>
      <c r="AV293" s="36" t="str">
        <f>IFERROR($A$2+AU293,"上周无销量")</f>
        <v>上周无销量</v>
      </c>
    </row>
    <row r="294" spans="1:48">
      <c r="A294" s="21" t="s">
        <v>652</v>
      </c>
      <c r="B294" t="s">
        <v>653</v>
      </c>
      <c r="C294" t="s">
        <v>613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7</v>
      </c>
      <c r="J294" s="33">
        <v>0</v>
      </c>
      <c r="K294" s="33">
        <v>0</v>
      </c>
      <c r="L294" s="33">
        <v>0</v>
      </c>
      <c r="M294">
        <v>7</v>
      </c>
      <c r="N294">
        <v>0</v>
      </c>
      <c r="O294">
        <v>7</v>
      </c>
      <c r="P294">
        <v>0</v>
      </c>
      <c r="Q294">
        <v>0</v>
      </c>
      <c r="R294">
        <v>0</v>
      </c>
      <c r="S294">
        <v>37</v>
      </c>
      <c r="T294">
        <v>0</v>
      </c>
      <c r="U294">
        <v>0</v>
      </c>
      <c r="V294">
        <v>0</v>
      </c>
      <c r="W294">
        <v>0</v>
      </c>
      <c r="X294" s="23" t="s">
        <v>54</v>
      </c>
      <c r="Y294" s="23" t="s">
        <v>54</v>
      </c>
      <c r="Z294" s="23" t="s">
        <v>54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4</v>
      </c>
      <c r="AK294">
        <v>4</v>
      </c>
      <c r="AL294">
        <v>2</v>
      </c>
      <c r="AM294">
        <v>1</v>
      </c>
      <c r="AN294" s="23">
        <v>0</v>
      </c>
      <c r="AO294" s="23">
        <v>0</v>
      </c>
      <c r="AP294" s="23">
        <v>0</v>
      </c>
      <c r="AQ294" s="23">
        <v>0</v>
      </c>
      <c r="AR294" s="35">
        <v>0</v>
      </c>
      <c r="AS294" s="35">
        <v>0</v>
      </c>
      <c r="AT294" s="35">
        <v>7</v>
      </c>
      <c r="AU294" s="31" t="str">
        <f t="shared" si="7"/>
        <v>库存为7</v>
      </c>
      <c r="AV294" s="36" t="str">
        <f>IFERROR($A$2+AU294,"上周无销量")</f>
        <v>上周无销量</v>
      </c>
    </row>
    <row r="295" spans="1:48">
      <c r="A295" s="21" t="s">
        <v>654</v>
      </c>
      <c r="B295" t="s">
        <v>655</v>
      </c>
      <c r="C295" t="s">
        <v>656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IFERROR($A$2+AU295,"上周无销量")</f>
        <v>上周无销量</v>
      </c>
    </row>
    <row r="296" spans="1:48">
      <c r="A296" s="21" t="s">
        <v>657</v>
      </c>
      <c r="B296" t="s">
        <v>658</v>
      </c>
      <c r="C296" t="s">
        <v>656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4</v>
      </c>
      <c r="J296" s="33">
        <v>0</v>
      </c>
      <c r="K296" s="33">
        <v>0</v>
      </c>
      <c r="L296" s="33">
        <v>0</v>
      </c>
      <c r="M296">
        <v>4</v>
      </c>
      <c r="N296">
        <v>0</v>
      </c>
      <c r="O296">
        <v>4</v>
      </c>
      <c r="P296">
        <v>0</v>
      </c>
      <c r="Q296">
        <v>364</v>
      </c>
      <c r="R296">
        <v>209</v>
      </c>
      <c r="S296">
        <v>173</v>
      </c>
      <c r="T296">
        <v>0</v>
      </c>
      <c r="U296">
        <v>0</v>
      </c>
      <c r="V296">
        <v>1</v>
      </c>
      <c r="W296">
        <v>0</v>
      </c>
      <c r="X296" s="23" t="s">
        <v>54</v>
      </c>
      <c r="Y296" s="23">
        <v>0</v>
      </c>
      <c r="Z296" s="23">
        <v>0.00478468899521531</v>
      </c>
      <c r="AA296" s="23">
        <v>0</v>
      </c>
      <c r="AB296">
        <v>0</v>
      </c>
      <c r="AC296">
        <v>0</v>
      </c>
      <c r="AD296">
        <v>0.27</v>
      </c>
      <c r="AE296">
        <v>0</v>
      </c>
      <c r="AF296" s="23" t="s">
        <v>54</v>
      </c>
      <c r="AG296" s="23" t="s">
        <v>54</v>
      </c>
      <c r="AH296" s="23">
        <v>0</v>
      </c>
      <c r="AI296" s="23" t="s">
        <v>54</v>
      </c>
      <c r="AJ296">
        <v>7</v>
      </c>
      <c r="AK296">
        <v>3</v>
      </c>
      <c r="AL296">
        <v>2</v>
      </c>
      <c r="AM296">
        <v>0</v>
      </c>
      <c r="AN296" s="23">
        <v>0</v>
      </c>
      <c r="AO296" s="23">
        <v>0</v>
      </c>
      <c r="AP296" s="23">
        <v>0</v>
      </c>
      <c r="AQ296" s="23" t="s">
        <v>54</v>
      </c>
      <c r="AR296" s="35">
        <v>0</v>
      </c>
      <c r="AS296" s="35">
        <v>0</v>
      </c>
      <c r="AT296" s="35">
        <v>4</v>
      </c>
      <c r="AU296" s="31" t="str">
        <f t="shared" si="7"/>
        <v>库存为4</v>
      </c>
      <c r="AV296" s="36" t="str">
        <f>IFERROR($A$2+AU296,"上周无销量")</f>
        <v>上周无销量</v>
      </c>
    </row>
    <row r="297" spans="1:48">
      <c r="A297" s="21" t="s">
        <v>659</v>
      </c>
      <c r="B297" t="s">
        <v>660</v>
      </c>
      <c r="C297" t="s">
        <v>656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2</v>
      </c>
      <c r="J297" s="33">
        <v>0</v>
      </c>
      <c r="K297" s="33">
        <v>0</v>
      </c>
      <c r="L297" s="33">
        <v>0</v>
      </c>
      <c r="M297">
        <v>2</v>
      </c>
      <c r="N297">
        <v>0</v>
      </c>
      <c r="O297">
        <v>2</v>
      </c>
      <c r="P297">
        <v>0</v>
      </c>
      <c r="Q297">
        <v>0</v>
      </c>
      <c r="R297">
        <v>0</v>
      </c>
      <c r="S297">
        <v>371</v>
      </c>
      <c r="T297">
        <v>0</v>
      </c>
      <c r="U297">
        <v>0</v>
      </c>
      <c r="V297">
        <v>0</v>
      </c>
      <c r="W297">
        <v>1</v>
      </c>
      <c r="X297" s="23" t="s">
        <v>54</v>
      </c>
      <c r="Y297" s="23" t="s">
        <v>54</v>
      </c>
      <c r="Z297" s="23" t="s">
        <v>54</v>
      </c>
      <c r="AA297" s="23">
        <v>0.00269541778975741</v>
      </c>
      <c r="AB297">
        <v>0</v>
      </c>
      <c r="AC297">
        <v>0</v>
      </c>
      <c r="AD297">
        <v>0</v>
      </c>
      <c r="AE297">
        <v>0.73</v>
      </c>
      <c r="AF297" s="23" t="s">
        <v>54</v>
      </c>
      <c r="AG297" s="23" t="s">
        <v>54</v>
      </c>
      <c r="AH297" s="23" t="s">
        <v>54</v>
      </c>
      <c r="AI297" s="23">
        <v>0</v>
      </c>
      <c r="AJ297">
        <v>7</v>
      </c>
      <c r="AK297">
        <v>3</v>
      </c>
      <c r="AL297">
        <v>0</v>
      </c>
      <c r="AM297">
        <v>0</v>
      </c>
      <c r="AN297" s="23">
        <v>0</v>
      </c>
      <c r="AO297" s="23">
        <v>0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2</v>
      </c>
      <c r="AU297" s="31" t="str">
        <f t="shared" si="7"/>
        <v>库存为2</v>
      </c>
      <c r="AV297" s="36" t="str">
        <f>IFERROR($A$2+AU297,"上周无销量")</f>
        <v>上周无销量</v>
      </c>
    </row>
    <row r="298" spans="1:48">
      <c r="A298" s="21" t="s">
        <v>661</v>
      </c>
      <c r="B298" t="s">
        <v>662</v>
      </c>
      <c r="C298" t="s">
        <v>656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IFERROR($A$2+AU298,"上周无销量")</f>
        <v>上周无销量</v>
      </c>
    </row>
    <row r="299" spans="1:48">
      <c r="A299" s="21" t="s">
        <v>663</v>
      </c>
      <c r="B299" t="s">
        <v>664</v>
      </c>
      <c r="C299" t="s">
        <v>656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4</v>
      </c>
      <c r="J299" s="33">
        <v>0</v>
      </c>
      <c r="K299" s="33">
        <v>0</v>
      </c>
      <c r="L299" s="33">
        <v>0</v>
      </c>
      <c r="M299">
        <v>4</v>
      </c>
      <c r="N299">
        <v>0</v>
      </c>
      <c r="O299">
        <v>5</v>
      </c>
      <c r="P299">
        <v>0</v>
      </c>
      <c r="Q299">
        <v>818</v>
      </c>
      <c r="R299">
        <v>689</v>
      </c>
      <c r="S299">
        <v>729</v>
      </c>
      <c r="T299">
        <v>0</v>
      </c>
      <c r="U299">
        <v>1</v>
      </c>
      <c r="V299">
        <v>1</v>
      </c>
      <c r="W299">
        <v>1</v>
      </c>
      <c r="X299" s="23" t="s">
        <v>54</v>
      </c>
      <c r="Y299" s="23">
        <v>0.00122249388753056</v>
      </c>
      <c r="Z299" s="23">
        <v>0.00145137880986938</v>
      </c>
      <c r="AA299" s="23">
        <v>0.00137174211248285</v>
      </c>
      <c r="AB299">
        <v>0</v>
      </c>
      <c r="AC299">
        <v>0.21</v>
      </c>
      <c r="AD299">
        <v>0.61</v>
      </c>
      <c r="AE299">
        <v>0.33</v>
      </c>
      <c r="AF299" s="23" t="s">
        <v>54</v>
      </c>
      <c r="AG299" s="23">
        <v>0</v>
      </c>
      <c r="AH299" s="23">
        <v>0</v>
      </c>
      <c r="AI299" s="23">
        <v>0</v>
      </c>
      <c r="AJ299">
        <v>5</v>
      </c>
      <c r="AK299">
        <v>2</v>
      </c>
      <c r="AL299">
        <v>1</v>
      </c>
      <c r="AM299">
        <v>1</v>
      </c>
      <c r="AN299" s="23">
        <v>0</v>
      </c>
      <c r="AO299" s="23">
        <v>0</v>
      </c>
      <c r="AP299" s="23">
        <v>0</v>
      </c>
      <c r="AQ299" s="23">
        <v>0</v>
      </c>
      <c r="AR299" s="35">
        <v>0</v>
      </c>
      <c r="AS299" s="35">
        <v>0</v>
      </c>
      <c r="AT299" s="35">
        <v>4</v>
      </c>
      <c r="AU299" s="31" t="str">
        <f t="shared" si="7"/>
        <v>库存为4</v>
      </c>
      <c r="AV299" s="36" t="str">
        <f>IFERROR($A$2+AU299,"上周无销量")</f>
        <v>上周无销量</v>
      </c>
    </row>
    <row r="300" spans="1:48">
      <c r="A300" s="21" t="s">
        <v>665</v>
      </c>
      <c r="B300" t="s">
        <v>666</v>
      </c>
      <c r="C300" t="s">
        <v>656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4</v>
      </c>
      <c r="J300" s="33">
        <v>0</v>
      </c>
      <c r="K300" s="33">
        <v>0</v>
      </c>
      <c r="L300" s="33">
        <v>0</v>
      </c>
      <c r="M300">
        <v>4</v>
      </c>
      <c r="N300">
        <v>0</v>
      </c>
      <c r="O300">
        <v>4</v>
      </c>
      <c r="P300">
        <v>0</v>
      </c>
      <c r="Q300">
        <v>22052</v>
      </c>
      <c r="R300">
        <v>0</v>
      </c>
      <c r="S300">
        <v>106</v>
      </c>
      <c r="T300">
        <v>0</v>
      </c>
      <c r="U300">
        <v>30</v>
      </c>
      <c r="V300">
        <v>0</v>
      </c>
      <c r="W300">
        <v>0</v>
      </c>
      <c r="X300" s="23" t="s">
        <v>54</v>
      </c>
      <c r="Y300" s="23">
        <v>0.00136042082350807</v>
      </c>
      <c r="Z300" s="23" t="s">
        <v>54</v>
      </c>
      <c r="AA300" s="23">
        <v>0</v>
      </c>
      <c r="AB300">
        <v>0</v>
      </c>
      <c r="AC300">
        <v>17.95</v>
      </c>
      <c r="AD300">
        <v>0</v>
      </c>
      <c r="AE300">
        <v>0</v>
      </c>
      <c r="AF300" s="23" t="s">
        <v>54</v>
      </c>
      <c r="AG300" s="23">
        <v>0</v>
      </c>
      <c r="AH300" s="23" t="s">
        <v>54</v>
      </c>
      <c r="AI300" s="23" t="s">
        <v>54</v>
      </c>
      <c r="AJ300">
        <v>2</v>
      </c>
      <c r="AK300">
        <v>16</v>
      </c>
      <c r="AL300">
        <v>1</v>
      </c>
      <c r="AM300">
        <v>0</v>
      </c>
      <c r="AN300" s="23">
        <v>0</v>
      </c>
      <c r="AO300" s="23">
        <v>0</v>
      </c>
      <c r="AP300" s="23">
        <v>0</v>
      </c>
      <c r="AQ300" s="23" t="s">
        <v>54</v>
      </c>
      <c r="AR300" s="35">
        <v>0</v>
      </c>
      <c r="AS300" s="35">
        <v>0</v>
      </c>
      <c r="AT300" s="35">
        <v>4</v>
      </c>
      <c r="AU300" s="31" t="str">
        <f t="shared" si="7"/>
        <v>库存为4</v>
      </c>
      <c r="AV300" s="36" t="str">
        <f>IFERROR($A$2+AU300,"上周无销量")</f>
        <v>上周无销量</v>
      </c>
    </row>
    <row r="301" spans="1:48">
      <c r="A301" s="21" t="s">
        <v>667</v>
      </c>
      <c r="B301" t="s">
        <v>668</v>
      </c>
      <c r="C301" t="s">
        <v>656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5</v>
      </c>
      <c r="J301" s="33">
        <v>0</v>
      </c>
      <c r="K301" s="33">
        <v>0</v>
      </c>
      <c r="L301" s="33">
        <v>0</v>
      </c>
      <c r="M301">
        <v>5</v>
      </c>
      <c r="N301">
        <v>0</v>
      </c>
      <c r="O301">
        <v>4</v>
      </c>
      <c r="P301">
        <v>0</v>
      </c>
      <c r="Q301">
        <v>9112</v>
      </c>
      <c r="R301">
        <v>0</v>
      </c>
      <c r="S301">
        <v>38</v>
      </c>
      <c r="T301">
        <v>0</v>
      </c>
      <c r="U301">
        <v>11</v>
      </c>
      <c r="V301">
        <v>0</v>
      </c>
      <c r="W301">
        <v>1</v>
      </c>
      <c r="X301" s="23" t="s">
        <v>54</v>
      </c>
      <c r="Y301" s="23">
        <v>0.0012071992976295</v>
      </c>
      <c r="Z301" s="23" t="s">
        <v>54</v>
      </c>
      <c r="AA301" s="23">
        <v>0.0263157894736842</v>
      </c>
      <c r="AB301">
        <v>0</v>
      </c>
      <c r="AC301">
        <v>5.21</v>
      </c>
      <c r="AD301">
        <v>0</v>
      </c>
      <c r="AE301">
        <v>0.7</v>
      </c>
      <c r="AF301" s="23" t="s">
        <v>54</v>
      </c>
      <c r="AG301" s="23">
        <v>0</v>
      </c>
      <c r="AH301" s="23" t="s">
        <v>54</v>
      </c>
      <c r="AI301" s="23">
        <v>0</v>
      </c>
      <c r="AJ301">
        <v>2</v>
      </c>
      <c r="AK301">
        <v>3</v>
      </c>
      <c r="AL301">
        <v>1</v>
      </c>
      <c r="AM301">
        <v>0</v>
      </c>
      <c r="AN301" s="23">
        <v>0</v>
      </c>
      <c r="AO301" s="23">
        <v>0</v>
      </c>
      <c r="AP301" s="23">
        <v>0</v>
      </c>
      <c r="AQ301" s="23" t="s">
        <v>54</v>
      </c>
      <c r="AR301" s="35">
        <v>0</v>
      </c>
      <c r="AS301" s="35">
        <v>0</v>
      </c>
      <c r="AT301" s="35">
        <v>5</v>
      </c>
      <c r="AU301" s="31" t="str">
        <f t="shared" si="7"/>
        <v>库存为5</v>
      </c>
      <c r="AV301" s="36" t="str">
        <f>IFERROR($A$2+AU301,"上周无销量")</f>
        <v>上周无销量</v>
      </c>
    </row>
    <row r="302" spans="1:48">
      <c r="A302" s="21" t="s">
        <v>669</v>
      </c>
      <c r="B302" t="s">
        <v>670</v>
      </c>
      <c r="C302" t="s">
        <v>656</v>
      </c>
      <c r="D302" s="31">
        <v>1</v>
      </c>
      <c r="E302" s="31">
        <v>0</v>
      </c>
      <c r="F302" s="31">
        <v>0</v>
      </c>
      <c r="G302" s="31">
        <v>0</v>
      </c>
      <c r="H302" s="32">
        <v>15</v>
      </c>
      <c r="I302">
        <v>6</v>
      </c>
      <c r="J302" s="33">
        <v>0</v>
      </c>
      <c r="K302" s="33">
        <v>0</v>
      </c>
      <c r="L302" s="33">
        <v>0</v>
      </c>
      <c r="M302">
        <v>6</v>
      </c>
      <c r="N302">
        <v>0</v>
      </c>
      <c r="O302">
        <v>6</v>
      </c>
      <c r="P302">
        <v>0</v>
      </c>
      <c r="Q302">
        <v>0</v>
      </c>
      <c r="R302">
        <v>0</v>
      </c>
      <c r="S302">
        <v>6</v>
      </c>
      <c r="T302">
        <v>0</v>
      </c>
      <c r="U302">
        <v>0</v>
      </c>
      <c r="V302">
        <v>0</v>
      </c>
      <c r="W302">
        <v>0</v>
      </c>
      <c r="X302" s="23" t="s">
        <v>54</v>
      </c>
      <c r="Y302" s="23" t="s">
        <v>54</v>
      </c>
      <c r="Z302" s="23" t="s">
        <v>54</v>
      </c>
      <c r="AA302" s="23">
        <v>0</v>
      </c>
      <c r="AB302">
        <v>0</v>
      </c>
      <c r="AC302">
        <v>0</v>
      </c>
      <c r="AD302">
        <v>0</v>
      </c>
      <c r="AE302">
        <v>0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2</v>
      </c>
      <c r="AK302">
        <v>3</v>
      </c>
      <c r="AL302">
        <v>1</v>
      </c>
      <c r="AM302">
        <v>0</v>
      </c>
      <c r="AN302" s="23">
        <v>0.5</v>
      </c>
      <c r="AO302" s="23">
        <v>0</v>
      </c>
      <c r="AP302" s="23">
        <v>0</v>
      </c>
      <c r="AQ302" s="23" t="s">
        <v>54</v>
      </c>
      <c r="AR302" s="35">
        <v>0.142857142857143</v>
      </c>
      <c r="AS302" s="35">
        <v>8.57142857142857</v>
      </c>
      <c r="AT302" s="35">
        <v>-2.57142857142857</v>
      </c>
      <c r="AU302" s="31">
        <f t="shared" si="7"/>
        <v>42</v>
      </c>
      <c r="AV302" s="36">
        <f>IFERROR($A$2+AU302,"上周无销量")</f>
        <v>43304</v>
      </c>
    </row>
    <row r="303" spans="1:48">
      <c r="A303" s="21" t="s">
        <v>671</v>
      </c>
      <c r="B303" t="s">
        <v>672</v>
      </c>
      <c r="C303" t="s">
        <v>656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7</v>
      </c>
      <c r="J303" s="33">
        <v>0</v>
      </c>
      <c r="K303" s="33">
        <v>0</v>
      </c>
      <c r="L303" s="33">
        <v>0</v>
      </c>
      <c r="M303">
        <v>7</v>
      </c>
      <c r="N303">
        <v>0</v>
      </c>
      <c r="O303">
        <v>7</v>
      </c>
      <c r="P303">
        <v>0</v>
      </c>
      <c r="Q303">
        <v>0</v>
      </c>
      <c r="R303">
        <v>0</v>
      </c>
      <c r="S303">
        <v>56</v>
      </c>
      <c r="T303">
        <v>0</v>
      </c>
      <c r="U303">
        <v>0</v>
      </c>
      <c r="V303">
        <v>0</v>
      </c>
      <c r="W303">
        <v>1</v>
      </c>
      <c r="X303" s="23" t="s">
        <v>54</v>
      </c>
      <c r="Y303" s="23" t="s">
        <v>54</v>
      </c>
      <c r="Z303" s="23" t="s">
        <v>54</v>
      </c>
      <c r="AA303" s="23">
        <v>0.0178571428571429</v>
      </c>
      <c r="AB303">
        <v>0</v>
      </c>
      <c r="AC303">
        <v>0</v>
      </c>
      <c r="AD303">
        <v>0</v>
      </c>
      <c r="AE303">
        <v>0.55</v>
      </c>
      <c r="AF303" s="23" t="s">
        <v>54</v>
      </c>
      <c r="AG303" s="23" t="s">
        <v>54</v>
      </c>
      <c r="AH303" s="23" t="s">
        <v>54</v>
      </c>
      <c r="AI303" s="23">
        <v>0</v>
      </c>
      <c r="AJ303">
        <v>4</v>
      </c>
      <c r="AK303">
        <v>3</v>
      </c>
      <c r="AL303">
        <v>0</v>
      </c>
      <c r="AM303">
        <v>0</v>
      </c>
      <c r="AN303" s="23">
        <v>0</v>
      </c>
      <c r="AO303" s="23">
        <v>0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7</v>
      </c>
      <c r="AU303" s="31" t="str">
        <f t="shared" si="7"/>
        <v>库存为7</v>
      </c>
      <c r="AV303" s="36" t="str">
        <f>IFERROR($A$2+AU303,"上周无销量")</f>
        <v>上周无销量</v>
      </c>
    </row>
    <row r="304" spans="1:48">
      <c r="A304" s="21" t="s">
        <v>673</v>
      </c>
      <c r="B304" t="s">
        <v>674</v>
      </c>
      <c r="C304" t="s">
        <v>656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5</v>
      </c>
      <c r="J304" s="33">
        <v>0</v>
      </c>
      <c r="K304" s="33">
        <v>0</v>
      </c>
      <c r="L304" s="33">
        <v>0</v>
      </c>
      <c r="M304">
        <v>5</v>
      </c>
      <c r="N304">
        <v>0</v>
      </c>
      <c r="O304">
        <v>5</v>
      </c>
      <c r="P304">
        <v>1085</v>
      </c>
      <c r="Q304">
        <v>1223</v>
      </c>
      <c r="R304">
        <v>369</v>
      </c>
      <c r="S304">
        <v>619</v>
      </c>
      <c r="T304">
        <v>3</v>
      </c>
      <c r="U304">
        <v>0</v>
      </c>
      <c r="V304">
        <v>1</v>
      </c>
      <c r="W304">
        <v>3</v>
      </c>
      <c r="X304" s="23">
        <v>0.00276497695852535</v>
      </c>
      <c r="Y304" s="23">
        <v>0</v>
      </c>
      <c r="Z304" s="23">
        <v>0.002710027100271</v>
      </c>
      <c r="AA304" s="23">
        <v>0.00484652665589661</v>
      </c>
      <c r="AB304">
        <v>0.82</v>
      </c>
      <c r="AC304">
        <v>0</v>
      </c>
      <c r="AD304">
        <v>0.28</v>
      </c>
      <c r="AE304">
        <v>0.83</v>
      </c>
      <c r="AF304" s="23">
        <v>0</v>
      </c>
      <c r="AG304" s="23" t="s">
        <v>54</v>
      </c>
      <c r="AH304" s="23">
        <v>0</v>
      </c>
      <c r="AI304" s="23">
        <v>0</v>
      </c>
      <c r="AJ304">
        <v>4</v>
      </c>
      <c r="AK304">
        <v>5</v>
      </c>
      <c r="AL304">
        <v>0</v>
      </c>
      <c r="AM304">
        <v>0</v>
      </c>
      <c r="AN304" s="23">
        <v>0</v>
      </c>
      <c r="AO304" s="23">
        <v>0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5</v>
      </c>
      <c r="AU304" s="31" t="str">
        <f t="shared" si="7"/>
        <v>库存为5</v>
      </c>
      <c r="AV304" s="36" t="str">
        <f>IFERROR($A$2+AU304,"上周无销量")</f>
        <v>上周无销量</v>
      </c>
    </row>
    <row r="305" spans="1:48">
      <c r="A305" s="21" t="s">
        <v>675</v>
      </c>
      <c r="B305" t="s">
        <v>676</v>
      </c>
      <c r="C305" t="s">
        <v>656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4</v>
      </c>
      <c r="P305">
        <v>0</v>
      </c>
      <c r="Q305">
        <v>0</v>
      </c>
      <c r="R305">
        <v>0</v>
      </c>
      <c r="S305">
        <v>73</v>
      </c>
      <c r="T305">
        <v>0</v>
      </c>
      <c r="U305">
        <v>0</v>
      </c>
      <c r="V305">
        <v>0</v>
      </c>
      <c r="W305">
        <v>0</v>
      </c>
      <c r="X305" s="23" t="s">
        <v>54</v>
      </c>
      <c r="Y305" s="23" t="s">
        <v>54</v>
      </c>
      <c r="Z305" s="23" t="s">
        <v>54</v>
      </c>
      <c r="AA305" s="23">
        <v>0</v>
      </c>
      <c r="AB305">
        <v>0</v>
      </c>
      <c r="AC305">
        <v>0</v>
      </c>
      <c r="AD305">
        <v>0</v>
      </c>
      <c r="AE305">
        <v>0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3</v>
      </c>
      <c r="AK305">
        <v>3</v>
      </c>
      <c r="AL305">
        <v>0</v>
      </c>
      <c r="AM305">
        <v>2</v>
      </c>
      <c r="AN305" s="23">
        <v>0</v>
      </c>
      <c r="AO305" s="23">
        <v>0</v>
      </c>
      <c r="AP305" s="23" t="s">
        <v>54</v>
      </c>
      <c r="AQ305" s="23">
        <v>0</v>
      </c>
      <c r="AR305" s="35">
        <v>0</v>
      </c>
      <c r="AS305" s="35">
        <v>0</v>
      </c>
      <c r="AT305" s="35">
        <v>4</v>
      </c>
      <c r="AU305" s="31" t="str">
        <f t="shared" si="7"/>
        <v>库存为4</v>
      </c>
      <c r="AV305" s="36" t="str">
        <f>IFERROR($A$2+AU305,"上周无销量")</f>
        <v>上周无销量</v>
      </c>
    </row>
    <row r="306" spans="1:48">
      <c r="A306" s="21" t="s">
        <v>677</v>
      </c>
      <c r="B306" t="s">
        <v>678</v>
      </c>
      <c r="C306" t="s">
        <v>656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3</v>
      </c>
      <c r="J306" s="33">
        <v>0</v>
      </c>
      <c r="K306" s="33">
        <v>0</v>
      </c>
      <c r="L306" s="33">
        <v>0</v>
      </c>
      <c r="M306">
        <v>3</v>
      </c>
      <c r="N306">
        <v>0</v>
      </c>
      <c r="O306">
        <v>3</v>
      </c>
      <c r="P306">
        <v>0</v>
      </c>
      <c r="Q306">
        <v>0</v>
      </c>
      <c r="R306">
        <v>0</v>
      </c>
      <c r="S306">
        <v>188</v>
      </c>
      <c r="T306">
        <v>0</v>
      </c>
      <c r="U306">
        <v>0</v>
      </c>
      <c r="V306">
        <v>0</v>
      </c>
      <c r="W306">
        <v>0</v>
      </c>
      <c r="X306" s="23" t="s">
        <v>54</v>
      </c>
      <c r="Y306" s="23" t="s">
        <v>54</v>
      </c>
      <c r="Z306" s="23" t="s">
        <v>54</v>
      </c>
      <c r="AA306" s="23">
        <v>0</v>
      </c>
      <c r="AB306">
        <v>0</v>
      </c>
      <c r="AC306">
        <v>0</v>
      </c>
      <c r="AD306">
        <v>0</v>
      </c>
      <c r="AE306">
        <v>0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4</v>
      </c>
      <c r="AK306">
        <v>4</v>
      </c>
      <c r="AL306">
        <v>1</v>
      </c>
      <c r="AM306">
        <v>0</v>
      </c>
      <c r="AN306" s="23">
        <v>0</v>
      </c>
      <c r="AO306" s="23">
        <v>0</v>
      </c>
      <c r="AP306" s="23">
        <v>0</v>
      </c>
      <c r="AQ306" s="23" t="s">
        <v>54</v>
      </c>
      <c r="AR306" s="35">
        <v>0</v>
      </c>
      <c r="AS306" s="35">
        <v>0</v>
      </c>
      <c r="AT306" s="35">
        <v>3</v>
      </c>
      <c r="AU306" s="31" t="str">
        <f t="shared" si="7"/>
        <v>库存为3</v>
      </c>
      <c r="AV306" s="36" t="str">
        <f>IFERROR($A$2+AU306,"上周无销量")</f>
        <v>上周无销量</v>
      </c>
    </row>
    <row r="307" spans="1:48">
      <c r="A307" s="21" t="s">
        <v>679</v>
      </c>
      <c r="B307" t="s">
        <v>680</v>
      </c>
      <c r="C307" t="s">
        <v>656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>
        <v>0</v>
      </c>
      <c r="Q307">
        <v>0</v>
      </c>
      <c r="R307">
        <v>0</v>
      </c>
      <c r="S307">
        <v>367</v>
      </c>
      <c r="T307">
        <v>0</v>
      </c>
      <c r="U307">
        <v>0</v>
      </c>
      <c r="V307">
        <v>0</v>
      </c>
      <c r="W307">
        <v>1</v>
      </c>
      <c r="X307" s="23" t="s">
        <v>54</v>
      </c>
      <c r="Y307" s="23" t="s">
        <v>54</v>
      </c>
      <c r="Z307" s="23" t="s">
        <v>54</v>
      </c>
      <c r="AA307" s="23">
        <v>0.00272479564032698</v>
      </c>
      <c r="AB307">
        <v>0</v>
      </c>
      <c r="AC307">
        <v>0</v>
      </c>
      <c r="AD307">
        <v>0</v>
      </c>
      <c r="AE307">
        <v>0.31</v>
      </c>
      <c r="AF307" s="23" t="s">
        <v>54</v>
      </c>
      <c r="AG307" s="23" t="s">
        <v>54</v>
      </c>
      <c r="AH307" s="23" t="s">
        <v>54</v>
      </c>
      <c r="AI307" s="23">
        <v>0</v>
      </c>
      <c r="AJ307">
        <v>3</v>
      </c>
      <c r="AK307">
        <v>6</v>
      </c>
      <c r="AL307">
        <v>1</v>
      </c>
      <c r="AM307">
        <v>0</v>
      </c>
      <c r="AN307" s="23">
        <v>0</v>
      </c>
      <c r="AO307" s="23">
        <v>0</v>
      </c>
      <c r="AP307" s="23">
        <v>0</v>
      </c>
      <c r="AQ307" s="23" t="s">
        <v>54</v>
      </c>
      <c r="AR307" s="35">
        <v>0</v>
      </c>
      <c r="AS307" s="35">
        <v>0</v>
      </c>
      <c r="AT307" s="35">
        <v>7</v>
      </c>
      <c r="AU307" s="31" t="str">
        <f t="shared" si="7"/>
        <v>库存为7</v>
      </c>
      <c r="AV307" s="36" t="str">
        <f>IFERROR($A$2+AU307,"上周无销量")</f>
        <v>上周无销量</v>
      </c>
    </row>
    <row r="308" spans="1:48">
      <c r="A308" s="21" t="s">
        <v>681</v>
      </c>
      <c r="B308" t="s">
        <v>682</v>
      </c>
      <c r="C308" t="s">
        <v>656</v>
      </c>
      <c r="D308" s="31">
        <v>0</v>
      </c>
      <c r="E308" s="31">
        <v>1</v>
      </c>
      <c r="F308" s="31">
        <v>0</v>
      </c>
      <c r="G308" s="31">
        <v>0</v>
      </c>
      <c r="H308" s="32">
        <v>20</v>
      </c>
      <c r="I308">
        <v>1</v>
      </c>
      <c r="J308" s="33">
        <v>0</v>
      </c>
      <c r="K308" s="33">
        <v>0</v>
      </c>
      <c r="L308" s="33">
        <v>0</v>
      </c>
      <c r="M308">
        <v>1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456</v>
      </c>
      <c r="T308">
        <v>0</v>
      </c>
      <c r="U308">
        <v>0</v>
      </c>
      <c r="V308">
        <v>0</v>
      </c>
      <c r="W308">
        <v>2</v>
      </c>
      <c r="X308" s="23" t="s">
        <v>54</v>
      </c>
      <c r="Y308" s="23" t="s">
        <v>54</v>
      </c>
      <c r="Z308" s="23" t="s">
        <v>54</v>
      </c>
      <c r="AA308" s="23">
        <v>0.0043859649122807</v>
      </c>
      <c r="AB308">
        <v>0</v>
      </c>
      <c r="AC308">
        <v>0</v>
      </c>
      <c r="AD308">
        <v>0</v>
      </c>
      <c r="AE308">
        <v>0.89</v>
      </c>
      <c r="AF308" s="23" t="s">
        <v>54</v>
      </c>
      <c r="AG308" s="23" t="s">
        <v>54</v>
      </c>
      <c r="AH308" s="23" t="s">
        <v>54</v>
      </c>
      <c r="AI308" s="23">
        <v>0</v>
      </c>
      <c r="AJ308">
        <v>2</v>
      </c>
      <c r="AK308">
        <v>3</v>
      </c>
      <c r="AL308">
        <v>1</v>
      </c>
      <c r="AM308">
        <v>0</v>
      </c>
      <c r="AN308" s="23">
        <v>0</v>
      </c>
      <c r="AO308" s="23">
        <v>0.333333333333333</v>
      </c>
      <c r="AP308" s="23">
        <v>0</v>
      </c>
      <c r="AQ308" s="23" t="s">
        <v>54</v>
      </c>
      <c r="AR308" s="35">
        <v>0</v>
      </c>
      <c r="AS308" s="35">
        <v>0</v>
      </c>
      <c r="AT308" s="35">
        <v>1</v>
      </c>
      <c r="AU308" s="31" t="str">
        <f t="shared" si="7"/>
        <v>库存为1</v>
      </c>
      <c r="AV308" s="36" t="str">
        <f>IFERROR($A$2+AU308,"上周无销量")</f>
        <v>上周无销量</v>
      </c>
    </row>
    <row r="309" spans="1:48">
      <c r="A309" s="21" t="s">
        <v>683</v>
      </c>
      <c r="B309" t="s">
        <v>684</v>
      </c>
      <c r="C309" t="s">
        <v>656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4</v>
      </c>
      <c r="J309" s="33">
        <v>0</v>
      </c>
      <c r="K309" s="33">
        <v>0</v>
      </c>
      <c r="L309" s="33">
        <v>0</v>
      </c>
      <c r="M309">
        <v>4</v>
      </c>
      <c r="N309">
        <v>0</v>
      </c>
      <c r="O309">
        <v>4</v>
      </c>
      <c r="P309">
        <v>0</v>
      </c>
      <c r="Q309">
        <v>0</v>
      </c>
      <c r="R309">
        <v>0</v>
      </c>
      <c r="S309">
        <v>33</v>
      </c>
      <c r="T309">
        <v>0</v>
      </c>
      <c r="U309">
        <v>0</v>
      </c>
      <c r="V309">
        <v>0</v>
      </c>
      <c r="W309">
        <v>0</v>
      </c>
      <c r="X309" s="23" t="s">
        <v>54</v>
      </c>
      <c r="Y309" s="23" t="s">
        <v>54</v>
      </c>
      <c r="Z309" s="23" t="s">
        <v>54</v>
      </c>
      <c r="AA309" s="23">
        <v>0</v>
      </c>
      <c r="AB309">
        <v>0</v>
      </c>
      <c r="AC309">
        <v>0</v>
      </c>
      <c r="AD309">
        <v>0</v>
      </c>
      <c r="AE309">
        <v>0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3</v>
      </c>
      <c r="AK309">
        <v>4</v>
      </c>
      <c r="AL309">
        <v>1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5">
        <v>0</v>
      </c>
      <c r="AS309" s="35">
        <v>0</v>
      </c>
      <c r="AT309" s="35">
        <v>4</v>
      </c>
      <c r="AU309" s="31" t="str">
        <f t="shared" si="7"/>
        <v>库存为4</v>
      </c>
      <c r="AV309" s="36" t="str">
        <f>IFERROR($A$2+AU309,"上周无销量")</f>
        <v>上周无销量</v>
      </c>
    </row>
    <row r="310" spans="1:48">
      <c r="A310" s="21" t="s">
        <v>685</v>
      </c>
      <c r="B310" t="s">
        <v>686</v>
      </c>
      <c r="C310" t="s">
        <v>656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1</v>
      </c>
      <c r="J310" s="33">
        <v>0</v>
      </c>
      <c r="K310" s="33">
        <v>0</v>
      </c>
      <c r="L310" s="33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278</v>
      </c>
      <c r="T310">
        <v>0</v>
      </c>
      <c r="U310">
        <v>0</v>
      </c>
      <c r="V310">
        <v>0</v>
      </c>
      <c r="W310">
        <v>0</v>
      </c>
      <c r="X310" s="23" t="s">
        <v>54</v>
      </c>
      <c r="Y310" s="23" t="s">
        <v>54</v>
      </c>
      <c r="Z310" s="23" t="s">
        <v>54</v>
      </c>
      <c r="AA310" s="23">
        <v>0</v>
      </c>
      <c r="AB310">
        <v>0</v>
      </c>
      <c r="AC310">
        <v>0</v>
      </c>
      <c r="AD310">
        <v>0</v>
      </c>
      <c r="AE310">
        <v>0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1</v>
      </c>
      <c r="AK310">
        <v>2</v>
      </c>
      <c r="AL310">
        <v>1</v>
      </c>
      <c r="AM310">
        <v>1</v>
      </c>
      <c r="AN310" s="23">
        <v>0</v>
      </c>
      <c r="AO310" s="23">
        <v>0</v>
      </c>
      <c r="AP310" s="23">
        <v>0</v>
      </c>
      <c r="AQ310" s="23">
        <v>0</v>
      </c>
      <c r="AR310" s="35">
        <v>0</v>
      </c>
      <c r="AS310" s="35">
        <v>0</v>
      </c>
      <c r="AT310" s="35">
        <v>1</v>
      </c>
      <c r="AU310" s="31" t="str">
        <f t="shared" si="7"/>
        <v>库存为1</v>
      </c>
      <c r="AV310" s="36" t="str">
        <f>IFERROR($A$2+AU310,"上周无销量")</f>
        <v>上周无销量</v>
      </c>
    </row>
    <row r="311" spans="1:48">
      <c r="A311" s="21" t="s">
        <v>687</v>
      </c>
      <c r="B311" t="s">
        <v>688</v>
      </c>
      <c r="C311" t="s">
        <v>656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689</v>
      </c>
      <c r="B312" t="s">
        <v>690</v>
      </c>
      <c r="C312" t="s">
        <v>691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2</v>
      </c>
      <c r="J312" s="33">
        <v>0</v>
      </c>
      <c r="K312" s="33">
        <v>0</v>
      </c>
      <c r="L312" s="33">
        <v>0</v>
      </c>
      <c r="M312">
        <v>2</v>
      </c>
      <c r="N312">
        <v>0</v>
      </c>
      <c r="O312">
        <v>2</v>
      </c>
      <c r="P312">
        <v>0</v>
      </c>
      <c r="Q312">
        <v>0</v>
      </c>
      <c r="R312">
        <v>0</v>
      </c>
      <c r="S312">
        <v>265</v>
      </c>
      <c r="T312">
        <v>0</v>
      </c>
      <c r="U312">
        <v>0</v>
      </c>
      <c r="V312">
        <v>0</v>
      </c>
      <c r="W312">
        <v>2</v>
      </c>
      <c r="X312" s="23" t="s">
        <v>54</v>
      </c>
      <c r="Y312" s="23" t="s">
        <v>54</v>
      </c>
      <c r="Z312" s="23" t="s">
        <v>54</v>
      </c>
      <c r="AA312" s="23">
        <v>0.00754716981132075</v>
      </c>
      <c r="AB312">
        <v>0</v>
      </c>
      <c r="AC312">
        <v>0</v>
      </c>
      <c r="AD312">
        <v>0</v>
      </c>
      <c r="AE312">
        <v>1.07</v>
      </c>
      <c r="AF312" s="23" t="s">
        <v>54</v>
      </c>
      <c r="AG312" s="23" t="s">
        <v>54</v>
      </c>
      <c r="AH312" s="23" t="s">
        <v>54</v>
      </c>
      <c r="AI312" s="23">
        <v>0</v>
      </c>
      <c r="AJ312">
        <v>1</v>
      </c>
      <c r="AK312">
        <v>4</v>
      </c>
      <c r="AL312">
        <v>0</v>
      </c>
      <c r="AM312">
        <v>2</v>
      </c>
      <c r="AN312" s="23">
        <v>0</v>
      </c>
      <c r="AO312" s="23">
        <v>0</v>
      </c>
      <c r="AP312" s="23" t="s">
        <v>54</v>
      </c>
      <c r="AQ312" s="23">
        <v>0</v>
      </c>
      <c r="AR312" s="35">
        <v>0</v>
      </c>
      <c r="AS312" s="35">
        <v>0</v>
      </c>
      <c r="AT312" s="35">
        <v>2</v>
      </c>
      <c r="AU312" s="31" t="str">
        <f t="shared" si="7"/>
        <v>库存为2</v>
      </c>
      <c r="AV312" s="36" t="str">
        <f>IFERROR($A$2+AU312,"上周无销量")</f>
        <v>上周无销量</v>
      </c>
    </row>
    <row r="313" spans="1:48">
      <c r="A313" s="21" t="s">
        <v>692</v>
      </c>
      <c r="B313" t="s">
        <v>693</v>
      </c>
      <c r="C313" t="s">
        <v>691</v>
      </c>
      <c r="D313" s="31">
        <v>0</v>
      </c>
      <c r="E313" s="31">
        <v>1</v>
      </c>
      <c r="F313" s="31">
        <v>0</v>
      </c>
      <c r="G313" s="31">
        <v>0</v>
      </c>
      <c r="H313" s="32">
        <v>15</v>
      </c>
      <c r="I313">
        <v>5</v>
      </c>
      <c r="J313" s="33">
        <v>0</v>
      </c>
      <c r="K313" s="33">
        <v>0</v>
      </c>
      <c r="L313" s="33">
        <v>0</v>
      </c>
      <c r="M313">
        <v>5</v>
      </c>
      <c r="N313">
        <v>0</v>
      </c>
      <c r="O313">
        <v>5</v>
      </c>
      <c r="P313">
        <v>0</v>
      </c>
      <c r="Q313">
        <v>0</v>
      </c>
      <c r="R313">
        <v>0</v>
      </c>
      <c r="S313">
        <v>135</v>
      </c>
      <c r="T313">
        <v>0</v>
      </c>
      <c r="U313">
        <v>0</v>
      </c>
      <c r="V313">
        <v>0</v>
      </c>
      <c r="W313">
        <v>0</v>
      </c>
      <c r="X313" s="23" t="s">
        <v>54</v>
      </c>
      <c r="Y313" s="23" t="s">
        <v>54</v>
      </c>
      <c r="Z313" s="23" t="s">
        <v>54</v>
      </c>
      <c r="AA313" s="23">
        <v>0</v>
      </c>
      <c r="AB313">
        <v>0</v>
      </c>
      <c r="AC313">
        <v>0</v>
      </c>
      <c r="AD313">
        <v>0</v>
      </c>
      <c r="AE313">
        <v>0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4</v>
      </c>
      <c r="AK313">
        <v>5</v>
      </c>
      <c r="AL313">
        <v>1</v>
      </c>
      <c r="AM313">
        <v>2</v>
      </c>
      <c r="AN313" s="23">
        <v>0</v>
      </c>
      <c r="AO313" s="23">
        <v>0.2</v>
      </c>
      <c r="AP313" s="23">
        <v>0</v>
      </c>
      <c r="AQ313" s="23">
        <v>0</v>
      </c>
      <c r="AR313" s="35">
        <v>0</v>
      </c>
      <c r="AS313" s="35">
        <v>0</v>
      </c>
      <c r="AT313" s="35">
        <v>5</v>
      </c>
      <c r="AU313" s="31" t="str">
        <f t="shared" si="7"/>
        <v>库存为5</v>
      </c>
      <c r="AV313" s="36" t="str">
        <f>IFERROR($A$2+AU313,"上周无销量")</f>
        <v>上周无销量</v>
      </c>
    </row>
    <row r="314" spans="1:48">
      <c r="A314" s="21" t="s">
        <v>694</v>
      </c>
      <c r="B314" t="s">
        <v>695</v>
      </c>
      <c r="C314" t="s">
        <v>691</v>
      </c>
      <c r="D314" s="31">
        <v>0</v>
      </c>
      <c r="E314" s="31">
        <v>0</v>
      </c>
      <c r="F314" s="31">
        <v>2</v>
      </c>
      <c r="G314" s="31">
        <v>0</v>
      </c>
      <c r="H314" s="32">
        <v>15</v>
      </c>
      <c r="I314">
        <v>4</v>
      </c>
      <c r="J314" s="33">
        <v>0</v>
      </c>
      <c r="K314" s="33">
        <v>0</v>
      </c>
      <c r="L314" s="33">
        <v>0</v>
      </c>
      <c r="M314">
        <v>4</v>
      </c>
      <c r="N314">
        <v>0</v>
      </c>
      <c r="O314">
        <v>3</v>
      </c>
      <c r="P314">
        <v>0</v>
      </c>
      <c r="Q314">
        <v>0</v>
      </c>
      <c r="R314">
        <v>0</v>
      </c>
      <c r="S314">
        <v>125</v>
      </c>
      <c r="T314">
        <v>0</v>
      </c>
      <c r="U314">
        <v>0</v>
      </c>
      <c r="V314">
        <v>0</v>
      </c>
      <c r="W314">
        <v>0</v>
      </c>
      <c r="X314" s="23" t="s">
        <v>54</v>
      </c>
      <c r="Y314" s="23" t="s">
        <v>54</v>
      </c>
      <c r="Z314" s="23" t="s">
        <v>54</v>
      </c>
      <c r="AA314" s="23">
        <v>0</v>
      </c>
      <c r="AB314">
        <v>0</v>
      </c>
      <c r="AC314">
        <v>0</v>
      </c>
      <c r="AD314">
        <v>0</v>
      </c>
      <c r="AE314">
        <v>0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3</v>
      </c>
      <c r="AL314">
        <v>3</v>
      </c>
      <c r="AM314">
        <v>2</v>
      </c>
      <c r="AN314" s="23">
        <v>0</v>
      </c>
      <c r="AO314" s="23">
        <v>0</v>
      </c>
      <c r="AP314" s="23">
        <v>0.666666666666667</v>
      </c>
      <c r="AQ314" s="23">
        <v>0</v>
      </c>
      <c r="AR314" s="35">
        <v>0</v>
      </c>
      <c r="AS314" s="35">
        <v>0</v>
      </c>
      <c r="AT314" s="35">
        <v>4</v>
      </c>
      <c r="AU314" s="31" t="str">
        <f t="shared" si="7"/>
        <v>库存为4</v>
      </c>
      <c r="AV314" s="36" t="str">
        <f>IFERROR($A$2+AU314,"上周无销量")</f>
        <v>上周无销量</v>
      </c>
    </row>
    <row r="315" spans="1:48">
      <c r="A315" s="21" t="s">
        <v>696</v>
      </c>
      <c r="B315" t="s">
        <v>697</v>
      </c>
      <c r="C315" t="s">
        <v>691</v>
      </c>
      <c r="D315" s="31">
        <v>0</v>
      </c>
      <c r="E315" s="31">
        <v>0</v>
      </c>
      <c r="F315" s="31">
        <v>0</v>
      </c>
      <c r="G315" s="31">
        <v>1</v>
      </c>
      <c r="H315" s="32">
        <v>15</v>
      </c>
      <c r="I315">
        <v>5</v>
      </c>
      <c r="J315" s="33">
        <v>0</v>
      </c>
      <c r="K315" s="33">
        <v>0</v>
      </c>
      <c r="L315" s="33">
        <v>0</v>
      </c>
      <c r="M315">
        <v>5</v>
      </c>
      <c r="N315">
        <v>0</v>
      </c>
      <c r="O315">
        <v>5</v>
      </c>
      <c r="P315">
        <v>0</v>
      </c>
      <c r="Q315">
        <v>0</v>
      </c>
      <c r="R315">
        <v>0</v>
      </c>
      <c r="S315">
        <v>99</v>
      </c>
      <c r="T315">
        <v>0</v>
      </c>
      <c r="U315">
        <v>0</v>
      </c>
      <c r="V315">
        <v>0</v>
      </c>
      <c r="W315">
        <v>0</v>
      </c>
      <c r="X315" s="23" t="s">
        <v>54</v>
      </c>
      <c r="Y315" s="23" t="s">
        <v>54</v>
      </c>
      <c r="Z315" s="23" t="s">
        <v>54</v>
      </c>
      <c r="AA315" s="23">
        <v>0</v>
      </c>
      <c r="AB315">
        <v>0</v>
      </c>
      <c r="AC315">
        <v>0</v>
      </c>
      <c r="AD315">
        <v>0</v>
      </c>
      <c r="AE315">
        <v>0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4</v>
      </c>
      <c r="AK315">
        <v>5</v>
      </c>
      <c r="AL315">
        <v>0</v>
      </c>
      <c r="AM315">
        <v>2</v>
      </c>
      <c r="AN315" s="23">
        <v>0</v>
      </c>
      <c r="AO315" s="23">
        <v>0</v>
      </c>
      <c r="AP315" s="23" t="s">
        <v>54</v>
      </c>
      <c r="AQ315" s="23">
        <v>0.5</v>
      </c>
      <c r="AR315" s="35">
        <v>0</v>
      </c>
      <c r="AS315" s="35">
        <v>0</v>
      </c>
      <c r="AT315" s="35">
        <v>5</v>
      </c>
      <c r="AU315" s="31" t="str">
        <f t="shared" si="7"/>
        <v>库存为5</v>
      </c>
      <c r="AV315" s="36" t="str">
        <f>IFERROR($A$2+AU315,"上周无销量")</f>
        <v>上周无销量</v>
      </c>
    </row>
    <row r="316" spans="1:48">
      <c r="A316" s="21" t="s">
        <v>698</v>
      </c>
      <c r="B316" t="s">
        <v>699</v>
      </c>
      <c r="C316" t="s">
        <v>691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700</v>
      </c>
      <c r="B317" t="s">
        <v>701</v>
      </c>
      <c r="C317" t="s">
        <v>691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1</v>
      </c>
      <c r="J317" s="33">
        <v>0</v>
      </c>
      <c r="K317" s="33">
        <v>0</v>
      </c>
      <c r="L317" s="33">
        <v>0</v>
      </c>
      <c r="M317">
        <v>1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2523</v>
      </c>
      <c r="T317">
        <v>0</v>
      </c>
      <c r="U317">
        <v>0</v>
      </c>
      <c r="V317">
        <v>0</v>
      </c>
      <c r="W317">
        <v>7</v>
      </c>
      <c r="X317" s="23" t="s">
        <v>54</v>
      </c>
      <c r="Y317" s="23" t="s">
        <v>54</v>
      </c>
      <c r="Z317" s="23" t="s">
        <v>54</v>
      </c>
      <c r="AA317" s="23">
        <v>0.00277447483154974</v>
      </c>
      <c r="AB317">
        <v>0</v>
      </c>
      <c r="AC317">
        <v>0</v>
      </c>
      <c r="AD317">
        <v>0</v>
      </c>
      <c r="AE317">
        <v>4.22</v>
      </c>
      <c r="AF317" s="23" t="s">
        <v>54</v>
      </c>
      <c r="AG317" s="23" t="s">
        <v>54</v>
      </c>
      <c r="AH317" s="23" t="s">
        <v>54</v>
      </c>
      <c r="AI317" s="23">
        <v>0</v>
      </c>
      <c r="AJ317">
        <v>4</v>
      </c>
      <c r="AK317">
        <v>4</v>
      </c>
      <c r="AL317">
        <v>0</v>
      </c>
      <c r="AM317">
        <v>1</v>
      </c>
      <c r="AN317" s="23">
        <v>0</v>
      </c>
      <c r="AO317" s="23">
        <v>0</v>
      </c>
      <c r="AP317" s="23" t="s">
        <v>54</v>
      </c>
      <c r="AQ317" s="23">
        <v>0</v>
      </c>
      <c r="AR317" s="35">
        <v>0</v>
      </c>
      <c r="AS317" s="35">
        <v>0</v>
      </c>
      <c r="AT317" s="35">
        <v>1</v>
      </c>
      <c r="AU317" s="31" t="str">
        <f t="shared" si="7"/>
        <v>库存为1</v>
      </c>
      <c r="AV317" s="36" t="str">
        <f>IFERROR($A$2+AU317,"上周无销量")</f>
        <v>上周无销量</v>
      </c>
    </row>
    <row r="318" spans="1:48">
      <c r="A318" s="21" t="s">
        <v>702</v>
      </c>
      <c r="B318" t="s">
        <v>703</v>
      </c>
      <c r="C318" t="s">
        <v>691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>
        <v>0</v>
      </c>
      <c r="Q318">
        <v>0</v>
      </c>
      <c r="R318">
        <v>0</v>
      </c>
      <c r="S318">
        <v>104</v>
      </c>
      <c r="T318">
        <v>0</v>
      </c>
      <c r="U318">
        <v>0</v>
      </c>
      <c r="V318">
        <v>0</v>
      </c>
      <c r="W318">
        <v>2</v>
      </c>
      <c r="X318" s="23" t="s">
        <v>54</v>
      </c>
      <c r="Y318" s="23" t="s">
        <v>54</v>
      </c>
      <c r="Z318" s="23" t="s">
        <v>54</v>
      </c>
      <c r="AA318" s="23">
        <v>0.0192307692307692</v>
      </c>
      <c r="AB318">
        <v>0</v>
      </c>
      <c r="AC318">
        <v>0</v>
      </c>
      <c r="AD318">
        <v>0</v>
      </c>
      <c r="AE318">
        <v>1.1</v>
      </c>
      <c r="AF318" s="23" t="s">
        <v>54</v>
      </c>
      <c r="AG318" s="23" t="s">
        <v>54</v>
      </c>
      <c r="AH318" s="23" t="s">
        <v>54</v>
      </c>
      <c r="AI318" s="23">
        <v>0</v>
      </c>
      <c r="AJ318">
        <v>4</v>
      </c>
      <c r="AK318">
        <v>4</v>
      </c>
      <c r="AL318">
        <v>0</v>
      </c>
      <c r="AM318">
        <v>1</v>
      </c>
      <c r="AN318" s="23">
        <v>0</v>
      </c>
      <c r="AO318" s="23">
        <v>0</v>
      </c>
      <c r="AP318" s="23" t="s">
        <v>54</v>
      </c>
      <c r="AQ318" s="23">
        <v>0</v>
      </c>
      <c r="AR318" s="35">
        <v>0</v>
      </c>
      <c r="AS318" s="35">
        <v>0</v>
      </c>
      <c r="AT318" s="35">
        <v>2</v>
      </c>
      <c r="AU318" s="31" t="str">
        <f t="shared" si="7"/>
        <v>库存为2</v>
      </c>
      <c r="AV318" s="36" t="str">
        <f>IFERROR($A$2+AU318,"上周无销量")</f>
        <v>上周无销量</v>
      </c>
    </row>
    <row r="319" spans="1:48">
      <c r="A319" s="21" t="s">
        <v>704</v>
      </c>
      <c r="B319" t="s">
        <v>705</v>
      </c>
      <c r="C319" t="s">
        <v>691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1</v>
      </c>
      <c r="J319" s="33">
        <v>0</v>
      </c>
      <c r="K319" s="33">
        <v>0</v>
      </c>
      <c r="L319" s="33">
        <v>0</v>
      </c>
      <c r="M319">
        <v>1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826</v>
      </c>
      <c r="T319">
        <v>0</v>
      </c>
      <c r="U319">
        <v>0</v>
      </c>
      <c r="V319">
        <v>0</v>
      </c>
      <c r="W319">
        <v>3</v>
      </c>
      <c r="X319" s="23" t="s">
        <v>54</v>
      </c>
      <c r="Y319" s="23" t="s">
        <v>54</v>
      </c>
      <c r="Z319" s="23" t="s">
        <v>54</v>
      </c>
      <c r="AA319" s="23">
        <v>0.0036319612590799</v>
      </c>
      <c r="AB319">
        <v>0</v>
      </c>
      <c r="AC319">
        <v>0</v>
      </c>
      <c r="AD319">
        <v>0</v>
      </c>
      <c r="AE319">
        <v>1.76</v>
      </c>
      <c r="AF319" s="23" t="s">
        <v>54</v>
      </c>
      <c r="AG319" s="23" t="s">
        <v>54</v>
      </c>
      <c r="AH319" s="23" t="s">
        <v>54</v>
      </c>
      <c r="AI319" s="23">
        <v>0</v>
      </c>
      <c r="AJ319">
        <v>5</v>
      </c>
      <c r="AK319">
        <v>5</v>
      </c>
      <c r="AL319">
        <v>1</v>
      </c>
      <c r="AM319">
        <v>2</v>
      </c>
      <c r="AN319" s="23">
        <v>0</v>
      </c>
      <c r="AO319" s="23">
        <v>0</v>
      </c>
      <c r="AP319" s="23">
        <v>0</v>
      </c>
      <c r="AQ319" s="23">
        <v>0</v>
      </c>
      <c r="AR319" s="35">
        <v>0</v>
      </c>
      <c r="AS319" s="35">
        <v>0</v>
      </c>
      <c r="AT319" s="35">
        <v>1</v>
      </c>
      <c r="AU319" s="31" t="str">
        <f t="shared" si="7"/>
        <v>库存为1</v>
      </c>
      <c r="AV319" s="36" t="str">
        <f>IFERROR($A$2+AU319,"上周无销量")</f>
        <v>上周无销量</v>
      </c>
    </row>
    <row r="320" spans="1:48">
      <c r="A320" s="21" t="s">
        <v>706</v>
      </c>
      <c r="B320" t="s">
        <v>707</v>
      </c>
      <c r="C320" t="s">
        <v>708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709</v>
      </c>
      <c r="B321" t="s">
        <v>710</v>
      </c>
      <c r="C321" t="s">
        <v>711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712</v>
      </c>
      <c r="B322" t="s">
        <v>713</v>
      </c>
      <c r="C322" t="s">
        <v>711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714</v>
      </c>
      <c r="B323" t="s">
        <v>715</v>
      </c>
      <c r="C323" t="s">
        <v>714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IFERROR($A$2+AU323,"上周无销量")</f>
        <v>上周无销量</v>
      </c>
    </row>
    <row r="324" spans="1:48">
      <c r="A324" s="21" t="s">
        <v>716</v>
      </c>
      <c r="B324" t="s">
        <v>717</v>
      </c>
      <c r="C324" t="s">
        <v>718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IFERROR($A$2+AU324,"上周无销量")</f>
        <v>上周无销量</v>
      </c>
    </row>
    <row r="325" spans="1:48">
      <c r="A325" s="21" t="s">
        <v>719</v>
      </c>
      <c r="B325" t="s">
        <v>720</v>
      </c>
      <c r="C325" t="s">
        <v>718</v>
      </c>
      <c r="D325" s="31">
        <v>0</v>
      </c>
      <c r="E325" s="31">
        <v>0</v>
      </c>
      <c r="F325" s="31">
        <v>1</v>
      </c>
      <c r="G325" s="31">
        <v>0</v>
      </c>
      <c r="H325" s="32">
        <v>18.76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2</v>
      </c>
      <c r="AM325">
        <v>1</v>
      </c>
      <c r="AN325" s="23" t="s">
        <v>54</v>
      </c>
      <c r="AO325" s="23" t="s">
        <v>54</v>
      </c>
      <c r="AP325" s="23">
        <v>0.5</v>
      </c>
      <c r="AQ325" s="23">
        <v>0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IFERROR($A$2+AU325,"上周无销量")</f>
        <v>上周无销量</v>
      </c>
    </row>
    <row r="326" spans="1:48">
      <c r="A326" s="21" t="s">
        <v>721</v>
      </c>
      <c r="B326" t="s">
        <v>722</v>
      </c>
      <c r="C326" t="s">
        <v>723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IFERROR($A$2+AU326,"上周无销量")</f>
        <v>上周无销量</v>
      </c>
    </row>
    <row r="327" spans="1:48">
      <c r="A327" s="21" t="s">
        <v>724</v>
      </c>
      <c r="B327" t="s">
        <v>725</v>
      </c>
      <c r="C327" t="s">
        <v>723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1</v>
      </c>
      <c r="J327" s="33">
        <v>0</v>
      </c>
      <c r="K327" s="33">
        <v>0</v>
      </c>
      <c r="L327" s="33">
        <v>0</v>
      </c>
      <c r="M327">
        <v>1</v>
      </c>
      <c r="N327">
        <v>0</v>
      </c>
      <c r="O327">
        <v>1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4</v>
      </c>
      <c r="AK327">
        <v>6</v>
      </c>
      <c r="AL327">
        <v>3</v>
      </c>
      <c r="AM327">
        <v>0</v>
      </c>
      <c r="AN327" s="23">
        <v>0</v>
      </c>
      <c r="AO327" s="23">
        <v>0</v>
      </c>
      <c r="AP327" s="23">
        <v>0</v>
      </c>
      <c r="AQ327" s="23" t="s">
        <v>54</v>
      </c>
      <c r="AR327" s="35">
        <v>0</v>
      </c>
      <c r="AS327" s="35">
        <v>0</v>
      </c>
      <c r="AT327" s="35">
        <v>1</v>
      </c>
      <c r="AU327" s="31" t="str">
        <f t="shared" si="8"/>
        <v>库存为1</v>
      </c>
      <c r="AV327" s="36" t="str">
        <f>IFERROR($A$2+AU327,"上周无销量")</f>
        <v>上周无销量</v>
      </c>
    </row>
    <row r="328" spans="1:48">
      <c r="A328" s="21" t="s">
        <v>726</v>
      </c>
      <c r="B328" t="s">
        <v>727</v>
      </c>
      <c r="C328" t="s">
        <v>723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IFERROR($A$2+AU328,"上周无销量")</f>
        <v>上周无销量</v>
      </c>
    </row>
    <row r="329" spans="1:48">
      <c r="A329" s="21" t="s">
        <v>728</v>
      </c>
      <c r="B329" t="s">
        <v>729</v>
      </c>
      <c r="C329" t="s">
        <v>730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8</v>
      </c>
      <c r="J329" s="33">
        <v>0</v>
      </c>
      <c r="K329" s="33">
        <v>0</v>
      </c>
      <c r="L329" s="33">
        <v>0</v>
      </c>
      <c r="M329">
        <v>8</v>
      </c>
      <c r="N329">
        <v>0</v>
      </c>
      <c r="O329">
        <v>8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16</v>
      </c>
      <c r="AK329">
        <v>9</v>
      </c>
      <c r="AL329">
        <v>7</v>
      </c>
      <c r="AM329">
        <v>3</v>
      </c>
      <c r="AN329" s="23">
        <v>0</v>
      </c>
      <c r="AO329" s="23">
        <v>0</v>
      </c>
      <c r="AP329" s="23">
        <v>0</v>
      </c>
      <c r="AQ329" s="23">
        <v>0</v>
      </c>
      <c r="AR329" s="35">
        <v>0</v>
      </c>
      <c r="AS329" s="35">
        <v>0</v>
      </c>
      <c r="AT329" s="35">
        <v>8</v>
      </c>
      <c r="AU329" s="31" t="str">
        <f t="shared" si="8"/>
        <v>库存为8</v>
      </c>
      <c r="AV329" s="36" t="str">
        <f>IFERROR($A$2+AU329,"上周无销量")</f>
        <v>上周无销量</v>
      </c>
    </row>
    <row r="330" spans="1:48">
      <c r="A330" s="21" t="s">
        <v>731</v>
      </c>
      <c r="B330" t="s">
        <v>732</v>
      </c>
      <c r="C330" t="s">
        <v>730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s">
        <v>54</v>
      </c>
      <c r="AO330" s="23" t="s">
        <v>54</v>
      </c>
      <c r="AP330" s="23" t="s">
        <v>54</v>
      </c>
      <c r="AQ330" s="23" t="s">
        <v>54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IFERROR($A$2+AU330,"上周无销量")</f>
        <v>上周无销量</v>
      </c>
    </row>
    <row r="331" spans="1:48">
      <c r="A331" s="21" t="s">
        <v>733</v>
      </c>
      <c r="B331" t="s">
        <v>734</v>
      </c>
      <c r="C331" t="s">
        <v>730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9</v>
      </c>
      <c r="J331" s="33">
        <v>0</v>
      </c>
      <c r="K331" s="33">
        <v>0</v>
      </c>
      <c r="L331" s="33">
        <v>0</v>
      </c>
      <c r="M331">
        <v>9</v>
      </c>
      <c r="N331">
        <v>0</v>
      </c>
      <c r="O331">
        <v>9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4</v>
      </c>
      <c r="AK331">
        <v>4</v>
      </c>
      <c r="AL331">
        <v>3</v>
      </c>
      <c r="AM331">
        <v>0</v>
      </c>
      <c r="AN331" s="23">
        <v>0</v>
      </c>
      <c r="AO331" s="23">
        <v>0</v>
      </c>
      <c r="AP331" s="23">
        <v>0</v>
      </c>
      <c r="AQ331" s="23" t="s">
        <v>54</v>
      </c>
      <c r="AR331" s="35">
        <v>0</v>
      </c>
      <c r="AS331" s="35">
        <v>0</v>
      </c>
      <c r="AT331" s="35">
        <v>9</v>
      </c>
      <c r="AU331" s="31" t="str">
        <f t="shared" si="8"/>
        <v>库存为9</v>
      </c>
      <c r="AV331" s="36" t="str">
        <f>IFERROR($A$2+AU331,"上周无销量")</f>
        <v>上周无销量</v>
      </c>
    </row>
    <row r="332" spans="1:48">
      <c r="A332" s="21" t="s">
        <v>735</v>
      </c>
      <c r="B332" t="s">
        <v>736</v>
      </c>
      <c r="C332" t="s">
        <v>730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s">
        <v>54</v>
      </c>
      <c r="AO332" s="23" t="s">
        <v>54</v>
      </c>
      <c r="AP332" s="23" t="s">
        <v>54</v>
      </c>
      <c r="AQ332" s="23" t="s">
        <v>54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737</v>
      </c>
      <c r="B333" t="s">
        <v>738</v>
      </c>
      <c r="C333" t="s">
        <v>730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IFERROR($A$2+AU333,"上周无销量")</f>
        <v>上周无销量</v>
      </c>
    </row>
    <row r="334" spans="1:48">
      <c r="A334" s="21" t="s">
        <v>739</v>
      </c>
      <c r="B334" t="s">
        <v>740</v>
      </c>
      <c r="C334" t="s">
        <v>730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IFERROR($A$2+AU334,"上周无销量")</f>
        <v>上周无销量</v>
      </c>
    </row>
    <row r="335" spans="1:48">
      <c r="A335" s="21" t="s">
        <v>741</v>
      </c>
      <c r="B335" t="s">
        <v>742</v>
      </c>
      <c r="C335" t="s">
        <v>730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s">
        <v>54</v>
      </c>
      <c r="AO335" s="23" t="s">
        <v>54</v>
      </c>
      <c r="AP335" s="23" t="s">
        <v>54</v>
      </c>
      <c r="AQ335" s="23" t="s">
        <v>54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IFERROR($A$2+AU335,"上周无销量")</f>
        <v>上周无销量</v>
      </c>
    </row>
    <row r="336" spans="1:48">
      <c r="A336" s="21" t="s">
        <v>743</v>
      </c>
      <c r="B336" t="s">
        <v>744</v>
      </c>
      <c r="C336" t="s">
        <v>745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IFERROR($A$2+AU336,"上周无销量")</f>
        <v>上周无销量</v>
      </c>
    </row>
    <row r="337" spans="1:48">
      <c r="A337" s="21" t="s">
        <v>746</v>
      </c>
      <c r="B337" t="s">
        <v>747</v>
      </c>
      <c r="C337" t="s">
        <v>745</v>
      </c>
      <c r="D337" s="31">
        <v>0</v>
      </c>
      <c r="E337" s="31">
        <v>0</v>
      </c>
      <c r="F337" s="31">
        <v>1</v>
      </c>
      <c r="G337" s="31">
        <v>0</v>
      </c>
      <c r="H337" s="32">
        <v>10.98</v>
      </c>
      <c r="I337">
        <v>11</v>
      </c>
      <c r="J337" s="33">
        <v>0</v>
      </c>
      <c r="K337" s="33">
        <v>0</v>
      </c>
      <c r="L337" s="33">
        <v>0</v>
      </c>
      <c r="M337">
        <v>11</v>
      </c>
      <c r="N337">
        <v>0</v>
      </c>
      <c r="O337">
        <v>11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4</v>
      </c>
      <c r="AK337">
        <v>5</v>
      </c>
      <c r="AL337">
        <v>4</v>
      </c>
      <c r="AM337">
        <v>7</v>
      </c>
      <c r="AN337" s="23">
        <v>0</v>
      </c>
      <c r="AO337" s="23">
        <v>0</v>
      </c>
      <c r="AP337" s="23">
        <v>0.25</v>
      </c>
      <c r="AQ337" s="23">
        <v>0</v>
      </c>
      <c r="AR337" s="35">
        <v>0</v>
      </c>
      <c r="AS337" s="35">
        <v>0</v>
      </c>
      <c r="AT337" s="35">
        <v>11</v>
      </c>
      <c r="AU337" s="31" t="str">
        <f t="shared" si="8"/>
        <v>库存为11</v>
      </c>
      <c r="AV337" s="36" t="str">
        <f>IFERROR($A$2+AU337,"上周无销量")</f>
        <v>上周无销量</v>
      </c>
    </row>
    <row r="338" spans="1:48">
      <c r="A338" s="21" t="s">
        <v>748</v>
      </c>
      <c r="B338" t="s">
        <v>749</v>
      </c>
      <c r="C338" t="s">
        <v>745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3</v>
      </c>
      <c r="J338" s="33">
        <v>0</v>
      </c>
      <c r="K338" s="33">
        <v>0</v>
      </c>
      <c r="L338" s="33">
        <v>0</v>
      </c>
      <c r="M338">
        <v>3</v>
      </c>
      <c r="N338">
        <v>0</v>
      </c>
      <c r="O338">
        <v>2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4</v>
      </c>
      <c r="AK338">
        <v>3</v>
      </c>
      <c r="AL338">
        <v>7</v>
      </c>
      <c r="AM338">
        <v>1</v>
      </c>
      <c r="AN338" s="23">
        <v>0</v>
      </c>
      <c r="AO338" s="23">
        <v>0</v>
      </c>
      <c r="AP338" s="23">
        <v>0</v>
      </c>
      <c r="AQ338" s="23">
        <v>0</v>
      </c>
      <c r="AR338" s="35">
        <v>0</v>
      </c>
      <c r="AS338" s="35">
        <v>0</v>
      </c>
      <c r="AT338" s="35">
        <v>3</v>
      </c>
      <c r="AU338" s="31" t="str">
        <f t="shared" si="8"/>
        <v>库存为3</v>
      </c>
      <c r="AV338" s="36" t="str">
        <f>IFERROR($A$2+AU338,"上周无销量")</f>
        <v>上周无销量</v>
      </c>
    </row>
    <row r="339" spans="1:48">
      <c r="A339" s="21" t="s">
        <v>750</v>
      </c>
      <c r="B339" t="s">
        <v>751</v>
      </c>
      <c r="C339" t="s">
        <v>745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752</v>
      </c>
      <c r="B340" t="s">
        <v>753</v>
      </c>
      <c r="C340" t="s">
        <v>745</v>
      </c>
      <c r="D340" s="31">
        <v>0</v>
      </c>
      <c r="E340" s="31">
        <v>1</v>
      </c>
      <c r="F340" s="31">
        <v>0</v>
      </c>
      <c r="G340" s="31">
        <v>0</v>
      </c>
      <c r="H340" s="32">
        <v>12.98</v>
      </c>
      <c r="I340">
        <v>5</v>
      </c>
      <c r="J340" s="33">
        <v>0</v>
      </c>
      <c r="K340" s="33">
        <v>0</v>
      </c>
      <c r="L340" s="33">
        <v>0</v>
      </c>
      <c r="M340">
        <v>5</v>
      </c>
      <c r="N340">
        <v>0</v>
      </c>
      <c r="O340">
        <v>4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4</v>
      </c>
      <c r="AK340">
        <v>3</v>
      </c>
      <c r="AL340">
        <v>3</v>
      </c>
      <c r="AM340">
        <v>8</v>
      </c>
      <c r="AN340" s="23">
        <v>0</v>
      </c>
      <c r="AO340" s="23">
        <v>0.333333333333333</v>
      </c>
      <c r="AP340" s="23">
        <v>0</v>
      </c>
      <c r="AQ340" s="23">
        <v>0</v>
      </c>
      <c r="AR340" s="35">
        <v>0</v>
      </c>
      <c r="AS340" s="35">
        <v>0</v>
      </c>
      <c r="AT340" s="35">
        <v>5</v>
      </c>
      <c r="AU340" s="31" t="str">
        <f t="shared" si="8"/>
        <v>库存为5</v>
      </c>
      <c r="AV340" s="36" t="str">
        <f>IFERROR($A$2+AU340,"上周无销量")</f>
        <v>上周无销量</v>
      </c>
    </row>
    <row r="341" spans="1:48">
      <c r="A341" s="21" t="s">
        <v>754</v>
      </c>
      <c r="B341" t="s">
        <v>755</v>
      </c>
      <c r="C341" t="s">
        <v>745</v>
      </c>
      <c r="D341" s="31">
        <v>0</v>
      </c>
      <c r="E341" s="31">
        <v>0</v>
      </c>
      <c r="F341" s="31">
        <v>0</v>
      </c>
      <c r="G341" s="31">
        <v>1</v>
      </c>
      <c r="H341" s="32">
        <v>22.98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1</v>
      </c>
      <c r="AN341" s="23" t="s">
        <v>54</v>
      </c>
      <c r="AO341" s="23" t="s">
        <v>54</v>
      </c>
      <c r="AP341" s="23" t="s">
        <v>54</v>
      </c>
      <c r="AQ341" s="23">
        <v>1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IFERROR($A$2+AU341,"上周无销量")</f>
        <v>上周无销量</v>
      </c>
    </row>
    <row r="342" spans="1:48">
      <c r="A342" s="21" t="s">
        <v>756</v>
      </c>
      <c r="B342" t="s">
        <v>757</v>
      </c>
      <c r="C342" t="s">
        <v>745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8</v>
      </c>
      <c r="J342" s="33">
        <v>0</v>
      </c>
      <c r="K342" s="33">
        <v>0</v>
      </c>
      <c r="L342" s="33">
        <v>0</v>
      </c>
      <c r="M342">
        <v>8</v>
      </c>
      <c r="N342">
        <v>0</v>
      </c>
      <c r="O342">
        <v>9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2</v>
      </c>
      <c r="AK342">
        <v>8</v>
      </c>
      <c r="AL342">
        <v>7</v>
      </c>
      <c r="AM342">
        <v>4</v>
      </c>
      <c r="AN342" s="23">
        <v>0</v>
      </c>
      <c r="AO342" s="23">
        <v>0</v>
      </c>
      <c r="AP342" s="23">
        <v>0</v>
      </c>
      <c r="AQ342" s="23">
        <v>0</v>
      </c>
      <c r="AR342" s="35">
        <v>0</v>
      </c>
      <c r="AS342" s="35">
        <v>0</v>
      </c>
      <c r="AT342" s="35">
        <v>8</v>
      </c>
      <c r="AU342" s="31" t="str">
        <f t="shared" si="8"/>
        <v>库存为8</v>
      </c>
      <c r="AV342" s="36" t="str">
        <f>IFERROR($A$2+AU342,"上周无销量")</f>
        <v>上周无销量</v>
      </c>
    </row>
    <row r="343" spans="1:48">
      <c r="A343" s="21" t="s">
        <v>758</v>
      </c>
      <c r="B343" t="s">
        <v>759</v>
      </c>
      <c r="C343" t="s">
        <v>745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IFERROR($A$2+AU343,"上周无销量")</f>
        <v>上周无销量</v>
      </c>
    </row>
    <row r="344" spans="1:48">
      <c r="A344" s="21" t="s">
        <v>760</v>
      </c>
      <c r="B344" t="s">
        <v>761</v>
      </c>
      <c r="C344" t="s">
        <v>745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IFERROR($A$2+AU344,"上周无销量")</f>
        <v>上周无销量</v>
      </c>
    </row>
    <row r="345" spans="1:48">
      <c r="A345" s="21" t="s">
        <v>762</v>
      </c>
      <c r="B345" t="s">
        <v>763</v>
      </c>
      <c r="C345" t="s">
        <v>764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IFERROR($A$2+AU345,"上周无销量")</f>
        <v>上周无销量</v>
      </c>
    </row>
    <row r="346" spans="1:48">
      <c r="A346" s="21" t="s">
        <v>765</v>
      </c>
      <c r="B346" t="s">
        <v>766</v>
      </c>
      <c r="C346" t="s">
        <v>764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s">
        <v>54</v>
      </c>
      <c r="AO346" s="23" t="s">
        <v>54</v>
      </c>
      <c r="AP346" s="23" t="s">
        <v>54</v>
      </c>
      <c r="AQ346" s="23" t="s">
        <v>54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IFERROR($A$2+AU346,"上周无销量")</f>
        <v>上周无销量</v>
      </c>
    </row>
    <row r="347" spans="1:48">
      <c r="A347" s="21" t="s">
        <v>767</v>
      </c>
      <c r="B347" t="s">
        <v>768</v>
      </c>
      <c r="C347" t="s">
        <v>769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770</v>
      </c>
      <c r="B348" t="s">
        <v>771</v>
      </c>
      <c r="C348" t="s">
        <v>769</v>
      </c>
      <c r="D348" s="31">
        <v>2</v>
      </c>
      <c r="E348" s="31">
        <v>2</v>
      </c>
      <c r="F348" s="31">
        <v>2</v>
      </c>
      <c r="G348" s="31">
        <v>1</v>
      </c>
      <c r="H348" s="32">
        <v>10</v>
      </c>
      <c r="I348">
        <v>1</v>
      </c>
      <c r="J348" s="33">
        <v>0</v>
      </c>
      <c r="K348" s="33">
        <v>0</v>
      </c>
      <c r="L348" s="33">
        <v>0</v>
      </c>
      <c r="M348">
        <v>1</v>
      </c>
      <c r="N348">
        <v>0</v>
      </c>
      <c r="O348">
        <v>2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24</v>
      </c>
      <c r="AK348">
        <v>27</v>
      </c>
      <c r="AL348">
        <v>14</v>
      </c>
      <c r="AM348">
        <v>17</v>
      </c>
      <c r="AN348" s="23">
        <v>0.0833333333333333</v>
      </c>
      <c r="AO348" s="23">
        <v>0.0740740740740741</v>
      </c>
      <c r="AP348" s="23">
        <v>0.142857142857143</v>
      </c>
      <c r="AQ348" s="23">
        <v>0.0588235294117647</v>
      </c>
      <c r="AR348" s="35">
        <v>0.285714285714286</v>
      </c>
      <c r="AS348" s="35">
        <v>17.1428571428571</v>
      </c>
      <c r="AT348" s="35">
        <v>-16.1428571428571</v>
      </c>
      <c r="AU348" s="31">
        <f t="shared" si="8"/>
        <v>3</v>
      </c>
      <c r="AV348" s="36">
        <f>IFERROR($A$2+AU348,"上周无销量")</f>
        <v>43265</v>
      </c>
    </row>
    <row r="349" spans="1:48">
      <c r="A349" s="21" t="s">
        <v>772</v>
      </c>
      <c r="B349" t="s">
        <v>773</v>
      </c>
      <c r="C349" t="s">
        <v>774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s">
        <v>54</v>
      </c>
      <c r="AO349" s="23" t="s">
        <v>54</v>
      </c>
      <c r="AP349" s="23" t="s">
        <v>54</v>
      </c>
      <c r="AQ349" s="23" t="s">
        <v>54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IFERROR($A$2+AU349,"上周无销量")</f>
        <v>上周无销量</v>
      </c>
    </row>
    <row r="350" spans="1:48">
      <c r="A350" s="21" t="s">
        <v>775</v>
      </c>
      <c r="B350" t="s">
        <v>776</v>
      </c>
      <c r="C350" t="s">
        <v>774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IFERROR($A$2+AU350,"上周无销量")</f>
        <v>上周无销量</v>
      </c>
    </row>
    <row r="351" spans="1:48">
      <c r="A351" s="21" t="s">
        <v>777</v>
      </c>
      <c r="B351" t="s">
        <v>778</v>
      </c>
      <c r="C351" t="s">
        <v>779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3</v>
      </c>
      <c r="J351" s="33">
        <v>0</v>
      </c>
      <c r="K351" s="33">
        <v>0</v>
      </c>
      <c r="L351" s="33">
        <v>0</v>
      </c>
      <c r="M351">
        <v>3</v>
      </c>
      <c r="N351">
        <v>0</v>
      </c>
      <c r="O351">
        <v>2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12</v>
      </c>
      <c r="AK351">
        <v>2</v>
      </c>
      <c r="AL351">
        <v>5</v>
      </c>
      <c r="AM351">
        <v>9</v>
      </c>
      <c r="AN351" s="23">
        <v>0</v>
      </c>
      <c r="AO351" s="23">
        <v>0</v>
      </c>
      <c r="AP351" s="23">
        <v>0</v>
      </c>
      <c r="AQ351" s="23">
        <v>0</v>
      </c>
      <c r="AR351" s="35">
        <v>0</v>
      </c>
      <c r="AS351" s="35">
        <v>0</v>
      </c>
      <c r="AT351" s="35">
        <v>3</v>
      </c>
      <c r="AU351" s="31" t="str">
        <f t="shared" si="8"/>
        <v>库存为3</v>
      </c>
      <c r="AV351" s="36" t="str">
        <f>IFERROR($A$2+AU351,"上周无销量")</f>
        <v>上周无销量</v>
      </c>
    </row>
    <row r="352" spans="1:48">
      <c r="A352" s="21" t="s">
        <v>780</v>
      </c>
      <c r="B352" t="s">
        <v>781</v>
      </c>
      <c r="C352" t="s">
        <v>779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1</v>
      </c>
      <c r="J352" s="33">
        <v>0</v>
      </c>
      <c r="K352" s="33">
        <v>0</v>
      </c>
      <c r="L352" s="33">
        <v>0</v>
      </c>
      <c r="M352">
        <v>1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2</v>
      </c>
      <c r="AK352">
        <v>0</v>
      </c>
      <c r="AL352">
        <v>0</v>
      </c>
      <c r="AM352">
        <v>0</v>
      </c>
      <c r="AN352" s="23">
        <v>0</v>
      </c>
      <c r="AO352" s="23" t="s">
        <v>54</v>
      </c>
      <c r="AP352" s="23" t="s">
        <v>54</v>
      </c>
      <c r="AQ352" s="23" t="s">
        <v>54</v>
      </c>
      <c r="AR352" s="35">
        <v>0</v>
      </c>
      <c r="AS352" s="35">
        <v>0</v>
      </c>
      <c r="AT352" s="35">
        <v>1</v>
      </c>
      <c r="AU352" s="31" t="str">
        <f t="shared" si="8"/>
        <v>库存为1</v>
      </c>
      <c r="AV352" s="36" t="str">
        <f>IFERROR($A$2+AU352,"上周无销量")</f>
        <v>上周无销量</v>
      </c>
    </row>
    <row r="353" spans="1:48">
      <c r="A353" s="21" t="s">
        <v>782</v>
      </c>
      <c r="B353" t="s">
        <v>783</v>
      </c>
      <c r="C353" t="s">
        <v>779</v>
      </c>
      <c r="D353" s="31">
        <v>0</v>
      </c>
      <c r="E353" s="31">
        <v>0</v>
      </c>
      <c r="F353" s="31">
        <v>0</v>
      </c>
      <c r="G353" s="31">
        <v>1</v>
      </c>
      <c r="H353" s="32">
        <v>24.82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IFERROR($A$2+AU353,"上周无销量")</f>
        <v>上周无销量</v>
      </c>
    </row>
    <row r="354" spans="1:48">
      <c r="A354" s="21" t="s">
        <v>784</v>
      </c>
      <c r="B354" t="s">
        <v>785</v>
      </c>
      <c r="C354" t="s">
        <v>786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s">
        <v>54</v>
      </c>
      <c r="AO354" s="23" t="s">
        <v>54</v>
      </c>
      <c r="AP354" s="23" t="s">
        <v>54</v>
      </c>
      <c r="AQ354" s="23" t="s">
        <v>54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787</v>
      </c>
      <c r="B355" t="s">
        <v>788</v>
      </c>
      <c r="C355" t="s">
        <v>786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IFERROR($A$2+AU355,"上周无销量")</f>
        <v>上周无销量</v>
      </c>
    </row>
    <row r="356" spans="1:48">
      <c r="A356" s="21" t="s">
        <v>789</v>
      </c>
      <c r="B356" t="s">
        <v>790</v>
      </c>
      <c r="C356" t="s">
        <v>786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IFERROR($A$2+AU356,"上周无销量")</f>
        <v>上周无销量</v>
      </c>
    </row>
    <row r="357" spans="1:48">
      <c r="A357" s="21" t="s">
        <v>791</v>
      </c>
      <c r="B357" t="s">
        <v>792</v>
      </c>
      <c r="C357" t="s">
        <v>786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s">
        <v>54</v>
      </c>
      <c r="AO357" s="23" t="s">
        <v>54</v>
      </c>
      <c r="AP357" s="23" t="s">
        <v>54</v>
      </c>
      <c r="AQ357" s="23" t="s">
        <v>54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IFERROR($A$2+AU357,"上周无销量")</f>
        <v>上周无销量</v>
      </c>
    </row>
    <row r="358" spans="1:48">
      <c r="A358" s="21" t="s">
        <v>793</v>
      </c>
      <c r="B358" t="s">
        <v>794</v>
      </c>
      <c r="C358" t="s">
        <v>786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IFERROR($A$2+AU358,"上周无销量")</f>
        <v>上周无销量</v>
      </c>
    </row>
    <row r="359" spans="1:48">
      <c r="A359" s="21" t="s">
        <v>795</v>
      </c>
      <c r="B359" t="s">
        <v>796</v>
      </c>
      <c r="C359" t="s">
        <v>786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IFERROR($A$2+AU359,"上周无销量")</f>
        <v>上周无销量</v>
      </c>
    </row>
    <row r="360" spans="1:48">
      <c r="A360" s="21" t="s">
        <v>797</v>
      </c>
      <c r="B360" t="s">
        <v>798</v>
      </c>
      <c r="C360" t="s">
        <v>786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s">
        <v>54</v>
      </c>
      <c r="AO360" s="23" t="s">
        <v>54</v>
      </c>
      <c r="AP360" s="23" t="s">
        <v>54</v>
      </c>
      <c r="AQ360" s="23" t="s">
        <v>54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IFERROR($A$2+AU360,"上周无销量")</f>
        <v>上周无销量</v>
      </c>
    </row>
    <row r="361" spans="1:48">
      <c r="A361" s="21" t="s">
        <v>799</v>
      </c>
      <c r="B361" t="s">
        <v>800</v>
      </c>
      <c r="C361" t="s">
        <v>786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IFERROR($A$2+AU361,"上周无销量")</f>
        <v>上周无销量</v>
      </c>
    </row>
    <row r="362" spans="1:48">
      <c r="A362" s="21" t="s">
        <v>801</v>
      </c>
      <c r="B362" t="s">
        <v>802</v>
      </c>
      <c r="C362" t="s">
        <v>786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IFERROR($A$2+AU362,"上周无销量")</f>
        <v>上周无销量</v>
      </c>
    </row>
    <row r="363" spans="1:48">
      <c r="A363" s="21" t="s">
        <v>803</v>
      </c>
      <c r="B363" t="s">
        <v>804</v>
      </c>
      <c r="C363" t="s">
        <v>786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5</v>
      </c>
      <c r="J363" s="33">
        <v>0</v>
      </c>
      <c r="K363" s="33">
        <v>0</v>
      </c>
      <c r="L363" s="33">
        <v>0</v>
      </c>
      <c r="M363">
        <v>5</v>
      </c>
      <c r="N363">
        <v>0</v>
      </c>
      <c r="O363">
        <v>5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5</v>
      </c>
      <c r="AK363">
        <v>8</v>
      </c>
      <c r="AL363">
        <v>3</v>
      </c>
      <c r="AM363">
        <v>1</v>
      </c>
      <c r="AN363" s="23">
        <v>0</v>
      </c>
      <c r="AO363" s="23">
        <v>0</v>
      </c>
      <c r="AP363" s="23">
        <v>0</v>
      </c>
      <c r="AQ363" s="23">
        <v>0</v>
      </c>
      <c r="AR363" s="35">
        <v>0</v>
      </c>
      <c r="AS363" s="35">
        <v>0</v>
      </c>
      <c r="AT363" s="35">
        <v>5</v>
      </c>
      <c r="AU363" s="31" t="str">
        <f t="shared" si="8"/>
        <v>库存为5</v>
      </c>
      <c r="AV363" s="36" t="str">
        <f>IFERROR($A$2+AU363,"上周无销量")</f>
        <v>上周无销量</v>
      </c>
    </row>
    <row r="364" spans="1:48">
      <c r="A364" s="21" t="s">
        <v>805</v>
      </c>
      <c r="B364" t="s">
        <v>806</v>
      </c>
      <c r="C364" t="s">
        <v>807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IFERROR($A$2+AU364,"上周无销量")</f>
        <v>上周无销量</v>
      </c>
    </row>
    <row r="365" spans="1:48">
      <c r="A365" s="21" t="s">
        <v>808</v>
      </c>
      <c r="B365" t="s">
        <v>809</v>
      </c>
      <c r="C365" t="s">
        <v>810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s">
        <v>54</v>
      </c>
      <c r="AO365" s="23" t="s">
        <v>54</v>
      </c>
      <c r="AP365" s="23" t="s">
        <v>54</v>
      </c>
      <c r="AQ365" s="23" t="s">
        <v>54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IFERROR($A$2+AU365,"上周无销量")</f>
        <v>上周无销量</v>
      </c>
    </row>
    <row r="366" spans="1:48">
      <c r="A366" s="21" t="s">
        <v>811</v>
      </c>
      <c r="B366" t="s">
        <v>812</v>
      </c>
      <c r="C366" t="s">
        <v>810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IFERROR($A$2+AU366,"上周无销量")</f>
        <v>上周无销量</v>
      </c>
    </row>
    <row r="367" spans="1:48">
      <c r="A367" s="21" t="s">
        <v>813</v>
      </c>
      <c r="B367" t="s">
        <v>814</v>
      </c>
      <c r="C367" t="s">
        <v>810</v>
      </c>
      <c r="D367" s="31">
        <v>0</v>
      </c>
      <c r="E367" s="31">
        <v>0</v>
      </c>
      <c r="F367" s="31">
        <v>8</v>
      </c>
      <c r="G367" s="31">
        <v>5</v>
      </c>
      <c r="H367" s="32">
        <v>15.98</v>
      </c>
      <c r="I367">
        <v>1</v>
      </c>
      <c r="J367" s="33">
        <v>0</v>
      </c>
      <c r="K367" s="33">
        <v>0</v>
      </c>
      <c r="L367" s="33">
        <v>0</v>
      </c>
      <c r="M367">
        <v>1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16</v>
      </c>
      <c r="AK367">
        <v>0</v>
      </c>
      <c r="AL367">
        <v>62</v>
      </c>
      <c r="AM367">
        <v>82</v>
      </c>
      <c r="AN367" s="23">
        <v>0</v>
      </c>
      <c r="AO367" s="23" t="s">
        <v>54</v>
      </c>
      <c r="AP367" s="23">
        <v>0.129032258064516</v>
      </c>
      <c r="AQ367" s="23">
        <v>0.0609756097560976</v>
      </c>
      <c r="AR367" s="35">
        <v>0</v>
      </c>
      <c r="AS367" s="35">
        <v>0</v>
      </c>
      <c r="AT367" s="35">
        <v>1</v>
      </c>
      <c r="AU367" s="31" t="str">
        <f t="shared" si="8"/>
        <v>库存为1</v>
      </c>
      <c r="AV367" s="36" t="str">
        <f>IFERROR($A$2+AU367,"上周无销量")</f>
        <v>上周无销量</v>
      </c>
    </row>
    <row r="368" spans="1:48">
      <c r="A368" s="21" t="s">
        <v>815</v>
      </c>
      <c r="B368" t="s">
        <v>816</v>
      </c>
      <c r="C368" t="s">
        <v>810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817</v>
      </c>
      <c r="B369" t="s">
        <v>818</v>
      </c>
      <c r="C369" t="s">
        <v>810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819</v>
      </c>
      <c r="B370" t="s">
        <v>820</v>
      </c>
      <c r="C370" t="s">
        <v>810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821</v>
      </c>
      <c r="B371" t="s">
        <v>822</v>
      </c>
      <c r="C371" t="s">
        <v>810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823</v>
      </c>
      <c r="B372" t="s">
        <v>824</v>
      </c>
      <c r="C372" t="s">
        <v>810</v>
      </c>
      <c r="D372" s="31">
        <v>0</v>
      </c>
      <c r="E372" s="31">
        <v>1</v>
      </c>
      <c r="F372" s="31">
        <v>1</v>
      </c>
      <c r="G372" s="31">
        <v>1</v>
      </c>
      <c r="H372" s="32">
        <v>18.98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2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19</v>
      </c>
      <c r="AL372">
        <v>28</v>
      </c>
      <c r="AM372">
        <v>18</v>
      </c>
      <c r="AN372" s="23" t="s">
        <v>54</v>
      </c>
      <c r="AO372" s="23">
        <v>0.0526315789473684</v>
      </c>
      <c r="AP372" s="23">
        <v>0.0357142857142857</v>
      </c>
      <c r="AQ372" s="23">
        <v>0.0555555555555556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825</v>
      </c>
      <c r="B373" t="s">
        <v>826</v>
      </c>
      <c r="C373" t="s">
        <v>810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827</v>
      </c>
      <c r="B374" t="s">
        <v>828</v>
      </c>
      <c r="C374" t="s">
        <v>810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829</v>
      </c>
      <c r="B375" t="s">
        <v>830</v>
      </c>
      <c r="C375" t="s">
        <v>810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s">
        <v>54</v>
      </c>
      <c r="AO375" s="23" t="s">
        <v>54</v>
      </c>
      <c r="AP375" s="23" t="s">
        <v>54</v>
      </c>
      <c r="AQ375" s="23" t="s">
        <v>54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IFERROR($A$2+AU375,"上周无销量")</f>
        <v>上周无销量</v>
      </c>
    </row>
    <row r="376" spans="1:48">
      <c r="A376" s="21" t="s">
        <v>831</v>
      </c>
      <c r="B376" t="s">
        <v>832</v>
      </c>
      <c r="C376" t="s">
        <v>810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833</v>
      </c>
      <c r="B377" t="s">
        <v>834</v>
      </c>
      <c r="C377" t="s">
        <v>810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IFERROR($A$2+AU377,"上周无销量")</f>
        <v>上周无销量</v>
      </c>
    </row>
    <row r="378" spans="1:48">
      <c r="A378" s="21" t="s">
        <v>835</v>
      </c>
      <c r="B378" t="s">
        <v>836</v>
      </c>
      <c r="C378" t="s">
        <v>810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837</v>
      </c>
      <c r="B379" t="s">
        <v>838</v>
      </c>
      <c r="C379" t="s">
        <v>810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s">
        <v>54</v>
      </c>
      <c r="AO379" s="23" t="s">
        <v>54</v>
      </c>
      <c r="AP379" s="23" t="s">
        <v>54</v>
      </c>
      <c r="AQ379" s="23" t="s">
        <v>54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IFERROR($A$2+AU379,"上周无销量")</f>
        <v>上周无销量</v>
      </c>
    </row>
    <row r="380" spans="1:48">
      <c r="A380" s="21" t="s">
        <v>839</v>
      </c>
      <c r="B380" t="s">
        <v>840</v>
      </c>
      <c r="C380" t="s">
        <v>810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s">
        <v>54</v>
      </c>
      <c r="AO380" s="23" t="s">
        <v>54</v>
      </c>
      <c r="AP380" s="23" t="s">
        <v>54</v>
      </c>
      <c r="AQ380" s="23" t="s">
        <v>54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841</v>
      </c>
      <c r="B381" t="s">
        <v>842</v>
      </c>
      <c r="C381" t="s">
        <v>810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s">
        <v>54</v>
      </c>
      <c r="AO381" s="23" t="s">
        <v>54</v>
      </c>
      <c r="AP381" s="23" t="s">
        <v>54</v>
      </c>
      <c r="AQ381" s="23" t="s">
        <v>54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IFERROR($A$2+AU381,"上周无销量")</f>
        <v>上周无销量</v>
      </c>
    </row>
    <row r="382" spans="1:48">
      <c r="A382" s="21" t="s">
        <v>843</v>
      </c>
      <c r="B382" t="s">
        <v>844</v>
      </c>
      <c r="C382" t="s">
        <v>810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845</v>
      </c>
      <c r="B383" t="s">
        <v>846</v>
      </c>
      <c r="C383" t="s">
        <v>810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847</v>
      </c>
      <c r="B384" t="s">
        <v>848</v>
      </c>
      <c r="C384" t="s">
        <v>810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IFERROR($A$2+AU384,"上周无销量")</f>
        <v>上周无销量</v>
      </c>
    </row>
    <row r="385" spans="1:48">
      <c r="A385" s="21" t="s">
        <v>849</v>
      </c>
      <c r="B385" t="s">
        <v>850</v>
      </c>
      <c r="C385" t="s">
        <v>810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IFERROR($A$2+AU385,"上周无销量")</f>
        <v>上周无销量</v>
      </c>
    </row>
    <row r="386" spans="1:48">
      <c r="A386" s="21" t="s">
        <v>851</v>
      </c>
      <c r="B386" t="s">
        <v>852</v>
      </c>
      <c r="C386" t="s">
        <v>810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IFERROR($A$2+AU386,"上周无销量")</f>
        <v>上周无销量</v>
      </c>
    </row>
    <row r="387" spans="1:48">
      <c r="A387" s="21" t="s">
        <v>853</v>
      </c>
      <c r="B387" t="s">
        <v>854</v>
      </c>
      <c r="C387" t="s">
        <v>810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IFERROR($A$2+AU387,"上周无销量")</f>
        <v>上周无销量</v>
      </c>
    </row>
    <row r="388" spans="1:48">
      <c r="A388" s="21" t="s">
        <v>855</v>
      </c>
      <c r="B388" t="s">
        <v>856</v>
      </c>
      <c r="C388" t="s">
        <v>810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IFERROR($A$2+AU388,"上周无销量")</f>
        <v>上周无销量</v>
      </c>
    </row>
    <row r="389" spans="1:48">
      <c r="A389" s="21" t="s">
        <v>857</v>
      </c>
      <c r="B389" t="s">
        <v>858</v>
      </c>
      <c r="C389" t="s">
        <v>859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860</v>
      </c>
      <c r="B390" t="s">
        <v>861</v>
      </c>
      <c r="C390" t="s">
        <v>859</v>
      </c>
      <c r="D390" s="31">
        <v>1</v>
      </c>
      <c r="E390" s="31">
        <v>2</v>
      </c>
      <c r="F390" s="31">
        <v>1</v>
      </c>
      <c r="G390" s="31">
        <v>0</v>
      </c>
      <c r="H390" s="32">
        <v>15.98</v>
      </c>
      <c r="I390">
        <v>2</v>
      </c>
      <c r="J390" s="33">
        <v>0</v>
      </c>
      <c r="K390" s="33">
        <v>0</v>
      </c>
      <c r="L390" s="33">
        <v>0</v>
      </c>
      <c r="M390">
        <v>2</v>
      </c>
      <c r="N390">
        <v>0</v>
      </c>
      <c r="O390">
        <v>1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10</v>
      </c>
      <c r="AK390">
        <v>7</v>
      </c>
      <c r="AL390">
        <v>13</v>
      </c>
      <c r="AM390">
        <v>10</v>
      </c>
      <c r="AN390" s="23">
        <v>0.1</v>
      </c>
      <c r="AO390" s="23">
        <v>0.285714285714286</v>
      </c>
      <c r="AP390" s="23">
        <v>0.0769230769230769</v>
      </c>
      <c r="AQ390" s="23">
        <v>0</v>
      </c>
      <c r="AR390" s="35">
        <v>0.142857142857143</v>
      </c>
      <c r="AS390" s="35">
        <v>8.57142857142857</v>
      </c>
      <c r="AT390" s="35">
        <v>-6.57142857142857</v>
      </c>
      <c r="AU390" s="31">
        <f t="shared" si="9"/>
        <v>14</v>
      </c>
      <c r="AV390" s="36">
        <f>IFERROR($A$2+AU390,"上周无销量")</f>
        <v>43276</v>
      </c>
    </row>
    <row r="391" spans="1:48">
      <c r="A391" s="21" t="s">
        <v>862</v>
      </c>
      <c r="B391" t="s">
        <v>863</v>
      </c>
      <c r="C391" t="s">
        <v>859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3</v>
      </c>
      <c r="J391" s="33">
        <v>0</v>
      </c>
      <c r="K391" s="33">
        <v>0</v>
      </c>
      <c r="L391" s="33">
        <v>0</v>
      </c>
      <c r="M391">
        <v>3</v>
      </c>
      <c r="N391">
        <v>0</v>
      </c>
      <c r="O391">
        <v>3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3</v>
      </c>
      <c r="AK391">
        <v>5</v>
      </c>
      <c r="AL391">
        <v>10</v>
      </c>
      <c r="AM391">
        <v>5</v>
      </c>
      <c r="AN391" s="23">
        <v>0</v>
      </c>
      <c r="AO391" s="23">
        <v>0</v>
      </c>
      <c r="AP391" s="23">
        <v>0</v>
      </c>
      <c r="AQ391" s="23">
        <v>0</v>
      </c>
      <c r="AR391" s="35">
        <v>0</v>
      </c>
      <c r="AS391" s="35">
        <v>0</v>
      </c>
      <c r="AT391" s="35">
        <v>3</v>
      </c>
      <c r="AU391" s="31" t="str">
        <f t="shared" si="9"/>
        <v>库存为3</v>
      </c>
      <c r="AV391" s="36" t="str">
        <f>IFERROR($A$2+AU391,"上周无销量")</f>
        <v>上周无销量</v>
      </c>
    </row>
    <row r="392" spans="1:48">
      <c r="A392" s="21" t="s">
        <v>864</v>
      </c>
      <c r="B392" t="s">
        <v>865</v>
      </c>
      <c r="C392" t="s">
        <v>859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IFERROR($A$2+AU392,"上周无销量")</f>
        <v>上周无销量</v>
      </c>
    </row>
    <row r="393" spans="1:48">
      <c r="A393" s="21" t="s">
        <v>866</v>
      </c>
      <c r="B393" t="s">
        <v>867</v>
      </c>
      <c r="C393" t="s">
        <v>859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IFERROR($A$2+AU393,"上周无销量")</f>
        <v>上周无销量</v>
      </c>
    </row>
    <row r="394" spans="1:48">
      <c r="A394" s="21" t="s">
        <v>868</v>
      </c>
      <c r="B394" t="s">
        <v>869</v>
      </c>
      <c r="C394" t="s">
        <v>859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13</v>
      </c>
      <c r="J394" s="33">
        <v>0</v>
      </c>
      <c r="K394" s="33">
        <v>0</v>
      </c>
      <c r="L394" s="33">
        <v>0</v>
      </c>
      <c r="M394">
        <v>13</v>
      </c>
      <c r="N394">
        <v>0</v>
      </c>
      <c r="O394">
        <v>13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7</v>
      </c>
      <c r="AK394">
        <v>11</v>
      </c>
      <c r="AL394">
        <v>9</v>
      </c>
      <c r="AM394">
        <v>11</v>
      </c>
      <c r="AN394" s="23">
        <v>0</v>
      </c>
      <c r="AO394" s="23">
        <v>0</v>
      </c>
      <c r="AP394" s="23">
        <v>0</v>
      </c>
      <c r="AQ394" s="23">
        <v>0</v>
      </c>
      <c r="AR394" s="35">
        <v>0</v>
      </c>
      <c r="AS394" s="35">
        <v>0</v>
      </c>
      <c r="AT394" s="35">
        <v>13</v>
      </c>
      <c r="AU394" s="31" t="str">
        <f t="shared" si="9"/>
        <v>库存为13</v>
      </c>
      <c r="AV394" s="36" t="str">
        <f>IFERROR($A$2+AU394,"上周无销量")</f>
        <v>上周无销量</v>
      </c>
    </row>
    <row r="395" spans="1:48">
      <c r="A395" s="21" t="s">
        <v>870</v>
      </c>
      <c r="B395" t="s">
        <v>871</v>
      </c>
      <c r="C395" t="s">
        <v>859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IFERROR($A$2+AU395,"上周无销量")</f>
        <v>上周无销量</v>
      </c>
    </row>
    <row r="396" spans="1:48">
      <c r="A396" s="21" t="s">
        <v>872</v>
      </c>
      <c r="B396" t="s">
        <v>873</v>
      </c>
      <c r="C396" t="s">
        <v>859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IFERROR($A$2+AU396,"上周无销量")</f>
        <v>上周无销量</v>
      </c>
    </row>
    <row r="397" spans="1:48">
      <c r="A397" s="21" t="s">
        <v>874</v>
      </c>
      <c r="B397" t="s">
        <v>875</v>
      </c>
      <c r="C397" t="s">
        <v>859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IFERROR($A$2+AU397,"上周无销量")</f>
        <v>上周无销量</v>
      </c>
    </row>
    <row r="398" spans="1:48">
      <c r="A398" s="21" t="s">
        <v>876</v>
      </c>
      <c r="B398" t="s">
        <v>877</v>
      </c>
      <c r="C398" t="s">
        <v>878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IFERROR($A$2+AU398,"上周无销量")</f>
        <v>上周无销量</v>
      </c>
    </row>
    <row r="399" spans="1:48">
      <c r="A399" s="21" t="s">
        <v>879</v>
      </c>
      <c r="B399" t="s">
        <v>880</v>
      </c>
      <c r="C399" t="s">
        <v>878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6</v>
      </c>
      <c r="J399" s="33">
        <v>0</v>
      </c>
      <c r="K399" s="33">
        <v>0</v>
      </c>
      <c r="L399" s="33">
        <v>0</v>
      </c>
      <c r="M399">
        <v>6</v>
      </c>
      <c r="N399">
        <v>0</v>
      </c>
      <c r="O399">
        <v>6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5</v>
      </c>
      <c r="AK399">
        <v>3</v>
      </c>
      <c r="AL399">
        <v>0</v>
      </c>
      <c r="AM399">
        <v>3</v>
      </c>
      <c r="AN399" s="23">
        <v>0</v>
      </c>
      <c r="AO399" s="23">
        <v>0</v>
      </c>
      <c r="AP399" s="23" t="s">
        <v>54</v>
      </c>
      <c r="AQ399" s="23">
        <v>0</v>
      </c>
      <c r="AR399" s="35">
        <v>0</v>
      </c>
      <c r="AS399" s="35">
        <v>0</v>
      </c>
      <c r="AT399" s="35">
        <v>6</v>
      </c>
      <c r="AU399" s="31" t="str">
        <f t="shared" si="9"/>
        <v>库存为6</v>
      </c>
      <c r="AV399" s="36" t="str">
        <f>IFERROR($A$2+AU399,"上周无销量")</f>
        <v>上周无销量</v>
      </c>
    </row>
    <row r="400" spans="1:48">
      <c r="A400" s="21" t="s">
        <v>881</v>
      </c>
      <c r="B400" t="s">
        <v>882</v>
      </c>
      <c r="C400" t="s">
        <v>878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2</v>
      </c>
      <c r="J400" s="33">
        <v>0</v>
      </c>
      <c r="K400" s="33">
        <v>0</v>
      </c>
      <c r="L400" s="33">
        <v>0</v>
      </c>
      <c r="M400">
        <v>2</v>
      </c>
      <c r="N400">
        <v>0</v>
      </c>
      <c r="O400">
        <v>2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2</v>
      </c>
      <c r="AK400">
        <v>4</v>
      </c>
      <c r="AL400">
        <v>2</v>
      </c>
      <c r="AM400">
        <v>0</v>
      </c>
      <c r="AN400" s="23">
        <v>0</v>
      </c>
      <c r="AO400" s="23">
        <v>0</v>
      </c>
      <c r="AP400" s="23">
        <v>0</v>
      </c>
      <c r="AQ400" s="23" t="s">
        <v>54</v>
      </c>
      <c r="AR400" s="35">
        <v>0</v>
      </c>
      <c r="AS400" s="35">
        <v>0</v>
      </c>
      <c r="AT400" s="35">
        <v>2</v>
      </c>
      <c r="AU400" s="31" t="str">
        <f t="shared" si="9"/>
        <v>库存为2</v>
      </c>
      <c r="AV400" s="36" t="str">
        <f>IFERROR($A$2+AU400,"上周无销量")</f>
        <v>上周无销量</v>
      </c>
    </row>
    <row r="401" spans="1:48">
      <c r="A401" s="21" t="s">
        <v>883</v>
      </c>
      <c r="B401" t="s">
        <v>884</v>
      </c>
      <c r="C401" t="s">
        <v>878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IFERROR($A$2+AU401,"上周无销量")</f>
        <v>上周无销量</v>
      </c>
    </row>
    <row r="402" spans="1:48">
      <c r="A402" s="21" t="s">
        <v>885</v>
      </c>
      <c r="B402" t="s">
        <v>886</v>
      </c>
      <c r="C402" t="s">
        <v>878</v>
      </c>
      <c r="D402" s="31">
        <v>0</v>
      </c>
      <c r="E402" s="31">
        <v>0</v>
      </c>
      <c r="F402" s="31">
        <v>1</v>
      </c>
      <c r="G402" s="31">
        <v>0</v>
      </c>
      <c r="H402" s="32">
        <v>14.98</v>
      </c>
      <c r="I402">
        <v>5</v>
      </c>
      <c r="J402" s="33">
        <v>0</v>
      </c>
      <c r="K402" s="33">
        <v>0</v>
      </c>
      <c r="L402" s="33">
        <v>0</v>
      </c>
      <c r="M402">
        <v>5</v>
      </c>
      <c r="N402">
        <v>0</v>
      </c>
      <c r="O402">
        <v>5</v>
      </c>
      <c r="P402">
        <v>246</v>
      </c>
      <c r="Q402">
        <v>227</v>
      </c>
      <c r="R402">
        <v>148</v>
      </c>
      <c r="S402">
        <v>175</v>
      </c>
      <c r="T402">
        <v>0</v>
      </c>
      <c r="U402">
        <v>0</v>
      </c>
      <c r="V402">
        <v>1</v>
      </c>
      <c r="W402">
        <v>0</v>
      </c>
      <c r="X402" s="23">
        <v>0</v>
      </c>
      <c r="Y402" s="23">
        <v>0</v>
      </c>
      <c r="Z402" s="23">
        <v>0.00675675675675676</v>
      </c>
      <c r="AA402" s="23">
        <v>0</v>
      </c>
      <c r="AB402">
        <v>0</v>
      </c>
      <c r="AC402">
        <v>0</v>
      </c>
      <c r="AD402">
        <v>0.23</v>
      </c>
      <c r="AE402">
        <v>0</v>
      </c>
      <c r="AF402" s="23" t="s">
        <v>54</v>
      </c>
      <c r="AG402" s="23" t="s">
        <v>54</v>
      </c>
      <c r="AH402" s="23">
        <v>0.0153538050734312</v>
      </c>
      <c r="AI402" s="23" t="s">
        <v>54</v>
      </c>
      <c r="AJ402">
        <v>1</v>
      </c>
      <c r="AK402">
        <v>3</v>
      </c>
      <c r="AL402">
        <v>2</v>
      </c>
      <c r="AM402">
        <v>0</v>
      </c>
      <c r="AN402" s="23">
        <v>0</v>
      </c>
      <c r="AO402" s="23">
        <v>0</v>
      </c>
      <c r="AP402" s="23">
        <v>0.5</v>
      </c>
      <c r="AQ402" s="23" t="s">
        <v>54</v>
      </c>
      <c r="AR402" s="35">
        <v>0</v>
      </c>
      <c r="AS402" s="35">
        <v>0</v>
      </c>
      <c r="AT402" s="35">
        <v>5</v>
      </c>
      <c r="AU402" s="31" t="str">
        <f t="shared" si="9"/>
        <v>库存为5</v>
      </c>
      <c r="AV402" s="36" t="str">
        <f>IFERROR($A$2+AU402,"上周无销量")</f>
        <v>上周无销量</v>
      </c>
    </row>
    <row r="403" spans="1:48">
      <c r="A403" s="21" t="s">
        <v>887</v>
      </c>
      <c r="B403" t="s">
        <v>888</v>
      </c>
      <c r="C403" t="s">
        <v>878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15</v>
      </c>
      <c r="J403" s="33">
        <v>0</v>
      </c>
      <c r="K403" s="33">
        <v>0</v>
      </c>
      <c r="L403" s="33">
        <v>0</v>
      </c>
      <c r="M403">
        <v>15</v>
      </c>
      <c r="N403">
        <v>0</v>
      </c>
      <c r="O403">
        <v>15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3</v>
      </c>
      <c r="AK403">
        <v>5</v>
      </c>
      <c r="AL403">
        <v>2</v>
      </c>
      <c r="AM403">
        <v>3</v>
      </c>
      <c r="AN403" s="23">
        <v>0</v>
      </c>
      <c r="AO403" s="23">
        <v>0</v>
      </c>
      <c r="AP403" s="23">
        <v>0</v>
      </c>
      <c r="AQ403" s="23">
        <v>0</v>
      </c>
      <c r="AR403" s="35">
        <v>0</v>
      </c>
      <c r="AS403" s="35">
        <v>0</v>
      </c>
      <c r="AT403" s="35">
        <v>15</v>
      </c>
      <c r="AU403" s="31" t="str">
        <f t="shared" si="9"/>
        <v>库存为15</v>
      </c>
      <c r="AV403" s="36" t="str">
        <f>IFERROR($A$2+AU403,"上周无销量")</f>
        <v>上周无销量</v>
      </c>
    </row>
    <row r="404" spans="1:48">
      <c r="A404" s="21" t="s">
        <v>889</v>
      </c>
      <c r="B404" t="s">
        <v>890</v>
      </c>
      <c r="C404" t="s">
        <v>878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14</v>
      </c>
      <c r="J404" s="33">
        <v>0</v>
      </c>
      <c r="K404" s="33">
        <v>0</v>
      </c>
      <c r="L404" s="33">
        <v>0</v>
      </c>
      <c r="M404">
        <v>14</v>
      </c>
      <c r="N404">
        <v>0</v>
      </c>
      <c r="O404">
        <v>13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1</v>
      </c>
      <c r="AK404">
        <v>2</v>
      </c>
      <c r="AL404">
        <v>0</v>
      </c>
      <c r="AM404">
        <v>0</v>
      </c>
      <c r="AN404" s="23">
        <v>0</v>
      </c>
      <c r="AO404" s="23">
        <v>0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14</v>
      </c>
      <c r="AU404" s="31" t="str">
        <f t="shared" si="9"/>
        <v>库存为14</v>
      </c>
      <c r="AV404" s="36" t="str">
        <f>IFERROR($A$2+AU404,"上周无销量")</f>
        <v>上周无销量</v>
      </c>
    </row>
    <row r="405" spans="1:48">
      <c r="A405" s="21" t="s">
        <v>891</v>
      </c>
      <c r="B405" t="s">
        <v>892</v>
      </c>
      <c r="C405" t="s">
        <v>878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5</v>
      </c>
      <c r="J405" s="33">
        <v>0</v>
      </c>
      <c r="K405" s="33">
        <v>0</v>
      </c>
      <c r="L405" s="33">
        <v>0</v>
      </c>
      <c r="M405">
        <v>5</v>
      </c>
      <c r="N405">
        <v>0</v>
      </c>
      <c r="O405">
        <v>5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1</v>
      </c>
      <c r="AK405">
        <v>2</v>
      </c>
      <c r="AL405">
        <v>2</v>
      </c>
      <c r="AM405">
        <v>1</v>
      </c>
      <c r="AN405" s="23">
        <v>0</v>
      </c>
      <c r="AO405" s="23">
        <v>0</v>
      </c>
      <c r="AP405" s="23">
        <v>0</v>
      </c>
      <c r="AQ405" s="23">
        <v>0</v>
      </c>
      <c r="AR405" s="35">
        <v>0</v>
      </c>
      <c r="AS405" s="35">
        <v>0</v>
      </c>
      <c r="AT405" s="35">
        <v>5</v>
      </c>
      <c r="AU405" s="31" t="str">
        <f t="shared" si="9"/>
        <v>库存为5</v>
      </c>
      <c r="AV405" s="36" t="str">
        <f>IFERROR($A$2+AU405,"上周无销量")</f>
        <v>上周无销量</v>
      </c>
    </row>
    <row r="406" spans="1:48">
      <c r="A406" s="21" t="s">
        <v>893</v>
      </c>
      <c r="B406" t="s">
        <v>894</v>
      </c>
      <c r="C406" t="s">
        <v>878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6</v>
      </c>
      <c r="J406" s="33">
        <v>0</v>
      </c>
      <c r="K406" s="33">
        <v>0</v>
      </c>
      <c r="L406" s="33">
        <v>0</v>
      </c>
      <c r="M406">
        <v>6</v>
      </c>
      <c r="N406">
        <v>0</v>
      </c>
      <c r="O406">
        <v>4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2</v>
      </c>
      <c r="AL406">
        <v>1</v>
      </c>
      <c r="AM406">
        <v>0</v>
      </c>
      <c r="AN406" s="23" t="s">
        <v>54</v>
      </c>
      <c r="AO406" s="23">
        <v>0</v>
      </c>
      <c r="AP406" s="23">
        <v>0</v>
      </c>
      <c r="AQ406" s="23" t="s">
        <v>54</v>
      </c>
      <c r="AR406" s="35">
        <v>0</v>
      </c>
      <c r="AS406" s="35">
        <v>0</v>
      </c>
      <c r="AT406" s="35">
        <v>6</v>
      </c>
      <c r="AU406" s="31" t="str">
        <f t="shared" si="9"/>
        <v>库存为6</v>
      </c>
      <c r="AV406" s="36" t="str">
        <f>IFERROR($A$2+AU406,"上周无销量")</f>
        <v>上周无销量</v>
      </c>
    </row>
    <row r="407" spans="1:48">
      <c r="A407" s="21" t="s">
        <v>895</v>
      </c>
      <c r="B407" t="s">
        <v>896</v>
      </c>
      <c r="C407" t="s">
        <v>878</v>
      </c>
      <c r="D407" s="31">
        <v>0</v>
      </c>
      <c r="E407" s="31">
        <v>0</v>
      </c>
      <c r="F407" s="31">
        <v>1</v>
      </c>
      <c r="G407" s="31">
        <v>0</v>
      </c>
      <c r="H407" s="32">
        <v>14.98</v>
      </c>
      <c r="I407">
        <v>18</v>
      </c>
      <c r="J407" s="33">
        <v>0</v>
      </c>
      <c r="K407" s="33">
        <v>0</v>
      </c>
      <c r="L407" s="33">
        <v>0</v>
      </c>
      <c r="M407">
        <v>18</v>
      </c>
      <c r="N407">
        <v>0</v>
      </c>
      <c r="O407">
        <v>18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1</v>
      </c>
      <c r="AK407">
        <v>4</v>
      </c>
      <c r="AL407">
        <v>1</v>
      </c>
      <c r="AM407">
        <v>1</v>
      </c>
      <c r="AN407" s="23">
        <v>0</v>
      </c>
      <c r="AO407" s="23">
        <v>0</v>
      </c>
      <c r="AP407" s="23">
        <v>1</v>
      </c>
      <c r="AQ407" s="23">
        <v>0</v>
      </c>
      <c r="AR407" s="35">
        <v>0</v>
      </c>
      <c r="AS407" s="35">
        <v>0</v>
      </c>
      <c r="AT407" s="35">
        <v>18</v>
      </c>
      <c r="AU407" s="31" t="str">
        <f t="shared" si="9"/>
        <v>库存为18</v>
      </c>
      <c r="AV407" s="36" t="str">
        <f>IFERROR($A$2+AU407,"上周无销量")</f>
        <v>上周无销量</v>
      </c>
    </row>
    <row r="408" spans="1:48">
      <c r="A408" s="21" t="s">
        <v>897</v>
      </c>
      <c r="B408" t="s">
        <v>898</v>
      </c>
      <c r="C408" t="s">
        <v>878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14</v>
      </c>
      <c r="J408" s="33">
        <v>0</v>
      </c>
      <c r="K408" s="33">
        <v>0</v>
      </c>
      <c r="L408" s="33">
        <v>0</v>
      </c>
      <c r="M408">
        <v>14</v>
      </c>
      <c r="N408">
        <v>0</v>
      </c>
      <c r="O408">
        <v>14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4</v>
      </c>
      <c r="AK408">
        <v>2</v>
      </c>
      <c r="AL408">
        <v>0</v>
      </c>
      <c r="AM408">
        <v>0</v>
      </c>
      <c r="AN408" s="23">
        <v>0</v>
      </c>
      <c r="AO408" s="23">
        <v>0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14</v>
      </c>
      <c r="AU408" s="31" t="str">
        <f t="shared" si="9"/>
        <v>库存为14</v>
      </c>
      <c r="AV408" s="36" t="str">
        <f>IFERROR($A$2+AU408,"上周无销量")</f>
        <v>上周无销量</v>
      </c>
    </row>
    <row r="409" spans="1:48">
      <c r="A409" s="21" t="s">
        <v>899</v>
      </c>
      <c r="B409" t="s">
        <v>900</v>
      </c>
      <c r="C409" t="s">
        <v>878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19</v>
      </c>
      <c r="J409" s="33">
        <v>0</v>
      </c>
      <c r="K409" s="33">
        <v>0</v>
      </c>
      <c r="L409" s="33">
        <v>0</v>
      </c>
      <c r="M409">
        <v>19</v>
      </c>
      <c r="N409">
        <v>0</v>
      </c>
      <c r="O409">
        <v>19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2</v>
      </c>
      <c r="AK409">
        <v>2</v>
      </c>
      <c r="AL409">
        <v>1</v>
      </c>
      <c r="AM409">
        <v>0</v>
      </c>
      <c r="AN409" s="23">
        <v>0</v>
      </c>
      <c r="AO409" s="23">
        <v>0</v>
      </c>
      <c r="AP409" s="23">
        <v>0</v>
      </c>
      <c r="AQ409" s="23" t="s">
        <v>54</v>
      </c>
      <c r="AR409" s="35">
        <v>0</v>
      </c>
      <c r="AS409" s="35">
        <v>0</v>
      </c>
      <c r="AT409" s="35">
        <v>19</v>
      </c>
      <c r="AU409" s="31" t="str">
        <f t="shared" si="9"/>
        <v>库存为19</v>
      </c>
      <c r="AV409" s="36" t="str">
        <f>IFERROR($A$2+AU409,"上周无销量")</f>
        <v>上周无销量</v>
      </c>
    </row>
    <row r="410" spans="1:48">
      <c r="A410" s="21" t="s">
        <v>901</v>
      </c>
      <c r="B410" t="s">
        <v>902</v>
      </c>
      <c r="C410" t="s">
        <v>878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13</v>
      </c>
      <c r="J410" s="33">
        <v>0</v>
      </c>
      <c r="K410" s="33">
        <v>0</v>
      </c>
      <c r="L410" s="33">
        <v>0</v>
      </c>
      <c r="M410">
        <v>13</v>
      </c>
      <c r="N410">
        <v>0</v>
      </c>
      <c r="O410">
        <v>13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2</v>
      </c>
      <c r="AK410">
        <v>3</v>
      </c>
      <c r="AL410">
        <v>2</v>
      </c>
      <c r="AM410">
        <v>0</v>
      </c>
      <c r="AN410" s="23">
        <v>0</v>
      </c>
      <c r="AO410" s="23">
        <v>0</v>
      </c>
      <c r="AP410" s="23">
        <v>0</v>
      </c>
      <c r="AQ410" s="23" t="s">
        <v>54</v>
      </c>
      <c r="AR410" s="35">
        <v>0</v>
      </c>
      <c r="AS410" s="35">
        <v>0</v>
      </c>
      <c r="AT410" s="35">
        <v>13</v>
      </c>
      <c r="AU410" s="31" t="str">
        <f t="shared" si="9"/>
        <v>库存为13</v>
      </c>
      <c r="AV410" s="36" t="str">
        <f>IFERROR($A$2+AU410,"上周无销量")</f>
        <v>上周无销量</v>
      </c>
    </row>
    <row r="411" spans="1:48">
      <c r="A411" s="21" t="s">
        <v>903</v>
      </c>
      <c r="B411" t="s">
        <v>904</v>
      </c>
      <c r="C411" t="s">
        <v>878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14</v>
      </c>
      <c r="J411" s="33">
        <v>0</v>
      </c>
      <c r="K411" s="33">
        <v>0</v>
      </c>
      <c r="L411" s="33">
        <v>0</v>
      </c>
      <c r="M411">
        <v>14</v>
      </c>
      <c r="N411">
        <v>0</v>
      </c>
      <c r="O411">
        <v>14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2</v>
      </c>
      <c r="AK411">
        <v>4</v>
      </c>
      <c r="AL411">
        <v>2</v>
      </c>
      <c r="AM411">
        <v>1</v>
      </c>
      <c r="AN411" s="23">
        <v>0</v>
      </c>
      <c r="AO411" s="23">
        <v>0</v>
      </c>
      <c r="AP411" s="23">
        <v>0</v>
      </c>
      <c r="AQ411" s="23">
        <v>0</v>
      </c>
      <c r="AR411" s="35">
        <v>0</v>
      </c>
      <c r="AS411" s="35">
        <v>0</v>
      </c>
      <c r="AT411" s="35">
        <v>14</v>
      </c>
      <c r="AU411" s="31" t="str">
        <f t="shared" si="9"/>
        <v>库存为14</v>
      </c>
      <c r="AV411" s="36" t="str">
        <f>IFERROR($A$2+AU411,"上周无销量")</f>
        <v>上周无销量</v>
      </c>
    </row>
    <row r="412" spans="1:48">
      <c r="A412" s="21" t="s">
        <v>905</v>
      </c>
      <c r="B412" t="s">
        <v>906</v>
      </c>
      <c r="C412" t="s">
        <v>878</v>
      </c>
      <c r="D412" s="31">
        <v>0</v>
      </c>
      <c r="E412" s="31">
        <v>0</v>
      </c>
      <c r="F412" s="31">
        <v>1</v>
      </c>
      <c r="G412" s="31">
        <v>0</v>
      </c>
      <c r="H412" s="32">
        <v>14.98</v>
      </c>
      <c r="I412">
        <v>16</v>
      </c>
      <c r="J412" s="33">
        <v>0</v>
      </c>
      <c r="K412" s="33">
        <v>0</v>
      </c>
      <c r="L412" s="33">
        <v>0</v>
      </c>
      <c r="M412">
        <v>16</v>
      </c>
      <c r="N412">
        <v>0</v>
      </c>
      <c r="O412">
        <v>16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3</v>
      </c>
      <c r="AL412">
        <v>3</v>
      </c>
      <c r="AM412">
        <v>1</v>
      </c>
      <c r="AN412" s="23" t="s">
        <v>54</v>
      </c>
      <c r="AO412" s="23">
        <v>0</v>
      </c>
      <c r="AP412" s="23">
        <v>0.333333333333333</v>
      </c>
      <c r="AQ412" s="23">
        <v>0</v>
      </c>
      <c r="AR412" s="35">
        <v>0</v>
      </c>
      <c r="AS412" s="35">
        <v>0</v>
      </c>
      <c r="AT412" s="35">
        <v>16</v>
      </c>
      <c r="AU412" s="31" t="str">
        <f t="shared" si="9"/>
        <v>库存为16</v>
      </c>
      <c r="AV412" s="36" t="str">
        <f>IFERROR($A$2+AU412,"上周无销量")</f>
        <v>上周无销量</v>
      </c>
    </row>
    <row r="413" spans="1:48">
      <c r="A413" s="21" t="s">
        <v>907</v>
      </c>
      <c r="B413" t="s">
        <v>908</v>
      </c>
      <c r="C413" t="s">
        <v>878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14</v>
      </c>
      <c r="J413" s="33">
        <v>0</v>
      </c>
      <c r="K413" s="33">
        <v>0</v>
      </c>
      <c r="L413" s="33">
        <v>0</v>
      </c>
      <c r="M413">
        <v>14</v>
      </c>
      <c r="N413">
        <v>0</v>
      </c>
      <c r="O413">
        <v>14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1</v>
      </c>
      <c r="AK413">
        <v>3</v>
      </c>
      <c r="AL413">
        <v>1</v>
      </c>
      <c r="AM413">
        <v>1</v>
      </c>
      <c r="AN413" s="23">
        <v>0</v>
      </c>
      <c r="AO413" s="23">
        <v>0</v>
      </c>
      <c r="AP413" s="23">
        <v>0</v>
      </c>
      <c r="AQ413" s="23">
        <v>0</v>
      </c>
      <c r="AR413" s="35">
        <v>0</v>
      </c>
      <c r="AS413" s="35">
        <v>0</v>
      </c>
      <c r="AT413" s="35">
        <v>14</v>
      </c>
      <c r="AU413" s="31" t="str">
        <f t="shared" si="9"/>
        <v>库存为14</v>
      </c>
      <c r="AV413" s="36" t="str">
        <f>IFERROR($A$2+AU413,"上周无销量")</f>
        <v>上周无销量</v>
      </c>
    </row>
    <row r="414" spans="1:48">
      <c r="A414" s="21" t="s">
        <v>909</v>
      </c>
      <c r="B414" t="s">
        <v>910</v>
      </c>
      <c r="C414" t="s">
        <v>878</v>
      </c>
      <c r="D414" s="31">
        <v>0</v>
      </c>
      <c r="E414" s="31">
        <v>0</v>
      </c>
      <c r="F414" s="31">
        <v>1</v>
      </c>
      <c r="G414" s="31">
        <v>0</v>
      </c>
      <c r="H414" s="32">
        <v>10</v>
      </c>
      <c r="I414">
        <v>16</v>
      </c>
      <c r="J414" s="33">
        <v>0</v>
      </c>
      <c r="K414" s="33">
        <v>0</v>
      </c>
      <c r="L414" s="33">
        <v>0</v>
      </c>
      <c r="M414">
        <v>16</v>
      </c>
      <c r="N414">
        <v>0</v>
      </c>
      <c r="O414">
        <v>16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2</v>
      </c>
      <c r="AK414">
        <v>5</v>
      </c>
      <c r="AL414">
        <v>1</v>
      </c>
      <c r="AM414">
        <v>0</v>
      </c>
      <c r="AN414" s="23">
        <v>0</v>
      </c>
      <c r="AO414" s="23">
        <v>0</v>
      </c>
      <c r="AP414" s="23">
        <v>1</v>
      </c>
      <c r="AQ414" s="23" t="s">
        <v>54</v>
      </c>
      <c r="AR414" s="35">
        <v>0</v>
      </c>
      <c r="AS414" s="35">
        <v>0</v>
      </c>
      <c r="AT414" s="35">
        <v>16</v>
      </c>
      <c r="AU414" s="31" t="str">
        <f t="shared" si="9"/>
        <v>库存为16</v>
      </c>
      <c r="AV414" s="36" t="str">
        <f>IFERROR($A$2+AU414,"上周无销量")</f>
        <v>上周无销量</v>
      </c>
    </row>
    <row r="415" spans="1:48">
      <c r="A415" s="21" t="s">
        <v>911</v>
      </c>
      <c r="B415" t="s">
        <v>912</v>
      </c>
      <c r="C415" t="s">
        <v>878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16</v>
      </c>
      <c r="J415" s="33">
        <v>0</v>
      </c>
      <c r="K415" s="33">
        <v>0</v>
      </c>
      <c r="L415" s="33">
        <v>0</v>
      </c>
      <c r="M415">
        <v>16</v>
      </c>
      <c r="N415">
        <v>0</v>
      </c>
      <c r="O415">
        <v>16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4</v>
      </c>
      <c r="AK415">
        <v>4</v>
      </c>
      <c r="AL415">
        <v>4</v>
      </c>
      <c r="AM415">
        <v>0</v>
      </c>
      <c r="AN415" s="23">
        <v>0</v>
      </c>
      <c r="AO415" s="23">
        <v>0</v>
      </c>
      <c r="AP415" s="23">
        <v>0</v>
      </c>
      <c r="AQ415" s="23" t="s">
        <v>54</v>
      </c>
      <c r="AR415" s="35">
        <v>0</v>
      </c>
      <c r="AS415" s="35">
        <v>0</v>
      </c>
      <c r="AT415" s="35">
        <v>16</v>
      </c>
      <c r="AU415" s="31" t="str">
        <f t="shared" si="9"/>
        <v>库存为16</v>
      </c>
      <c r="AV415" s="36" t="str">
        <f>IFERROR($A$2+AU415,"上周无销量")</f>
        <v>上周无销量</v>
      </c>
    </row>
    <row r="416" spans="1:48">
      <c r="A416" s="21" t="s">
        <v>913</v>
      </c>
      <c r="B416" t="s">
        <v>914</v>
      </c>
      <c r="C416" t="s">
        <v>878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10</v>
      </c>
      <c r="J416" s="33">
        <v>0</v>
      </c>
      <c r="K416" s="33">
        <v>0</v>
      </c>
      <c r="L416" s="33">
        <v>0</v>
      </c>
      <c r="M416">
        <v>10</v>
      </c>
      <c r="N416">
        <v>0</v>
      </c>
      <c r="O416">
        <v>8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4</v>
      </c>
      <c r="AK416">
        <v>4</v>
      </c>
      <c r="AL416">
        <v>0</v>
      </c>
      <c r="AM416">
        <v>0</v>
      </c>
      <c r="AN416" s="23">
        <v>0</v>
      </c>
      <c r="AO416" s="23">
        <v>0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10</v>
      </c>
      <c r="AU416" s="31" t="str">
        <f t="shared" si="9"/>
        <v>库存为10</v>
      </c>
      <c r="AV416" s="36" t="str">
        <f>IFERROR($A$2+AU416,"上周无销量")</f>
        <v>上周无销量</v>
      </c>
    </row>
    <row r="417" spans="1:48">
      <c r="A417" s="21" t="s">
        <v>915</v>
      </c>
      <c r="B417" t="s">
        <v>916</v>
      </c>
      <c r="C417" t="s">
        <v>878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18</v>
      </c>
      <c r="J417" s="33">
        <v>0</v>
      </c>
      <c r="K417" s="33">
        <v>0</v>
      </c>
      <c r="L417" s="33">
        <v>0</v>
      </c>
      <c r="M417">
        <v>18</v>
      </c>
      <c r="N417">
        <v>0</v>
      </c>
      <c r="O417">
        <v>18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4</v>
      </c>
      <c r="AL417">
        <v>6</v>
      </c>
      <c r="AM417">
        <v>1</v>
      </c>
      <c r="AN417" s="23" t="s">
        <v>54</v>
      </c>
      <c r="AO417" s="23">
        <v>0</v>
      </c>
      <c r="AP417" s="23">
        <v>0</v>
      </c>
      <c r="AQ417" s="23">
        <v>0</v>
      </c>
      <c r="AR417" s="35">
        <v>0</v>
      </c>
      <c r="AS417" s="35">
        <v>0</v>
      </c>
      <c r="AT417" s="35">
        <v>18</v>
      </c>
      <c r="AU417" s="31" t="str">
        <f t="shared" si="9"/>
        <v>库存为18</v>
      </c>
      <c r="AV417" s="36" t="str">
        <f>IFERROR($A$2+AU417,"上周无销量")</f>
        <v>上周无销量</v>
      </c>
    </row>
    <row r="418" spans="1:48">
      <c r="A418" s="21" t="s">
        <v>917</v>
      </c>
      <c r="B418" t="s">
        <v>918</v>
      </c>
      <c r="C418" t="s">
        <v>878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18</v>
      </c>
      <c r="J418" s="33">
        <v>0</v>
      </c>
      <c r="K418" s="33">
        <v>0</v>
      </c>
      <c r="L418" s="33">
        <v>0</v>
      </c>
      <c r="M418">
        <v>18</v>
      </c>
      <c r="N418">
        <v>0</v>
      </c>
      <c r="O418">
        <v>18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2</v>
      </c>
      <c r="AK418">
        <v>2</v>
      </c>
      <c r="AL418">
        <v>1</v>
      </c>
      <c r="AM418">
        <v>1</v>
      </c>
      <c r="AN418" s="23">
        <v>0</v>
      </c>
      <c r="AO418" s="23">
        <v>0</v>
      </c>
      <c r="AP418" s="23">
        <v>0</v>
      </c>
      <c r="AQ418" s="23">
        <v>0</v>
      </c>
      <c r="AR418" s="35">
        <v>0</v>
      </c>
      <c r="AS418" s="35">
        <v>0</v>
      </c>
      <c r="AT418" s="35">
        <v>18</v>
      </c>
      <c r="AU418" s="31" t="str">
        <f t="shared" si="9"/>
        <v>库存为18</v>
      </c>
      <c r="AV418" s="36" t="str">
        <f>IFERROR($A$2+AU418,"上周无销量")</f>
        <v>上周无销量</v>
      </c>
    </row>
    <row r="419" spans="1:48">
      <c r="A419" s="21" t="s">
        <v>919</v>
      </c>
      <c r="B419" t="s">
        <v>920</v>
      </c>
      <c r="C419" t="s">
        <v>878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18</v>
      </c>
      <c r="J419" s="33">
        <v>0</v>
      </c>
      <c r="K419" s="33">
        <v>0</v>
      </c>
      <c r="L419" s="33">
        <v>0</v>
      </c>
      <c r="M419">
        <v>18</v>
      </c>
      <c r="N419">
        <v>0</v>
      </c>
      <c r="O419">
        <v>18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1</v>
      </c>
      <c r="AK419">
        <v>2</v>
      </c>
      <c r="AL419">
        <v>1</v>
      </c>
      <c r="AM419">
        <v>1</v>
      </c>
      <c r="AN419" s="23">
        <v>0</v>
      </c>
      <c r="AO419" s="23">
        <v>0</v>
      </c>
      <c r="AP419" s="23">
        <v>0</v>
      </c>
      <c r="AQ419" s="23">
        <v>0</v>
      </c>
      <c r="AR419" s="35">
        <v>0</v>
      </c>
      <c r="AS419" s="35">
        <v>0</v>
      </c>
      <c r="AT419" s="35">
        <v>18</v>
      </c>
      <c r="AU419" s="31" t="str">
        <f t="shared" si="9"/>
        <v>库存为18</v>
      </c>
      <c r="AV419" s="36" t="str">
        <f>IFERROR($A$2+AU419,"上周无销量")</f>
        <v>上周无销量</v>
      </c>
    </row>
    <row r="420" spans="1:48">
      <c r="A420" s="21" t="s">
        <v>921</v>
      </c>
      <c r="B420" t="s">
        <v>922</v>
      </c>
      <c r="C420" t="s">
        <v>878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18</v>
      </c>
      <c r="J420" s="33">
        <v>0</v>
      </c>
      <c r="K420" s="33">
        <v>0</v>
      </c>
      <c r="L420" s="33">
        <v>0</v>
      </c>
      <c r="M420">
        <v>18</v>
      </c>
      <c r="N420">
        <v>0</v>
      </c>
      <c r="O420">
        <v>18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1</v>
      </c>
      <c r="AK420">
        <v>5</v>
      </c>
      <c r="AL420">
        <v>1</v>
      </c>
      <c r="AM420">
        <v>0</v>
      </c>
      <c r="AN420" s="23">
        <v>0</v>
      </c>
      <c r="AO420" s="23">
        <v>0</v>
      </c>
      <c r="AP420" s="23">
        <v>0</v>
      </c>
      <c r="AQ420" s="23" t="s">
        <v>54</v>
      </c>
      <c r="AR420" s="35">
        <v>0</v>
      </c>
      <c r="AS420" s="35">
        <v>0</v>
      </c>
      <c r="AT420" s="35">
        <v>18</v>
      </c>
      <c r="AU420" s="31" t="str">
        <f t="shared" si="9"/>
        <v>库存为18</v>
      </c>
      <c r="AV420" s="36" t="str">
        <f>IFERROR($A$2+AU420,"上周无销量")</f>
        <v>上周无销量</v>
      </c>
    </row>
    <row r="421" spans="1:48">
      <c r="A421" s="21" t="s">
        <v>923</v>
      </c>
      <c r="B421" t="s">
        <v>924</v>
      </c>
      <c r="C421" t="s">
        <v>878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18</v>
      </c>
      <c r="J421" s="33">
        <v>0</v>
      </c>
      <c r="K421" s="33">
        <v>0</v>
      </c>
      <c r="L421" s="33">
        <v>0</v>
      </c>
      <c r="M421">
        <v>18</v>
      </c>
      <c r="N421">
        <v>0</v>
      </c>
      <c r="O421">
        <v>18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2</v>
      </c>
      <c r="AK421">
        <v>4</v>
      </c>
      <c r="AL421">
        <v>1</v>
      </c>
      <c r="AM421">
        <v>5</v>
      </c>
      <c r="AN421" s="23">
        <v>0</v>
      </c>
      <c r="AO421" s="23">
        <v>0</v>
      </c>
      <c r="AP421" s="23">
        <v>0</v>
      </c>
      <c r="AQ421" s="23">
        <v>0</v>
      </c>
      <c r="AR421" s="35">
        <v>0</v>
      </c>
      <c r="AS421" s="35">
        <v>0</v>
      </c>
      <c r="AT421" s="35">
        <v>18</v>
      </c>
      <c r="AU421" s="31" t="str">
        <f t="shared" si="9"/>
        <v>库存为18</v>
      </c>
      <c r="AV421" s="36" t="str">
        <f>IFERROR($A$2+AU421,"上周无销量")</f>
        <v>上周无销量</v>
      </c>
    </row>
    <row r="422" spans="1:48">
      <c r="A422" s="21" t="s">
        <v>925</v>
      </c>
      <c r="B422" t="s">
        <v>926</v>
      </c>
      <c r="C422" t="s">
        <v>878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5</v>
      </c>
      <c r="J422" s="33">
        <v>0</v>
      </c>
      <c r="K422" s="33">
        <v>0</v>
      </c>
      <c r="L422" s="33">
        <v>0</v>
      </c>
      <c r="M422">
        <v>5</v>
      </c>
      <c r="N422">
        <v>0</v>
      </c>
      <c r="O422">
        <v>5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3</v>
      </c>
      <c r="AK422">
        <v>4</v>
      </c>
      <c r="AL422">
        <v>2</v>
      </c>
      <c r="AM422">
        <v>0</v>
      </c>
      <c r="AN422" s="23">
        <v>0</v>
      </c>
      <c r="AO422" s="23">
        <v>0</v>
      </c>
      <c r="AP422" s="23">
        <v>0</v>
      </c>
      <c r="AQ422" s="23" t="s">
        <v>54</v>
      </c>
      <c r="AR422" s="35">
        <v>0</v>
      </c>
      <c r="AS422" s="35">
        <v>0</v>
      </c>
      <c r="AT422" s="35">
        <v>5</v>
      </c>
      <c r="AU422" s="31" t="str">
        <f t="shared" si="9"/>
        <v>库存为5</v>
      </c>
      <c r="AV422" s="36" t="str">
        <f>IFERROR($A$2+AU422,"上周无销量")</f>
        <v>上周无销量</v>
      </c>
    </row>
    <row r="423" spans="1:48">
      <c r="A423" s="21" t="s">
        <v>927</v>
      </c>
      <c r="B423" t="s">
        <v>928</v>
      </c>
      <c r="C423" t="s">
        <v>878</v>
      </c>
      <c r="D423" s="31">
        <v>0</v>
      </c>
      <c r="E423" s="31">
        <v>0</v>
      </c>
      <c r="F423" s="31">
        <v>1</v>
      </c>
      <c r="G423" s="31">
        <v>0</v>
      </c>
      <c r="H423" s="32">
        <v>14.98</v>
      </c>
      <c r="I423">
        <v>4</v>
      </c>
      <c r="J423" s="33">
        <v>0</v>
      </c>
      <c r="K423" s="33">
        <v>0</v>
      </c>
      <c r="L423" s="33">
        <v>0</v>
      </c>
      <c r="M423">
        <v>4</v>
      </c>
      <c r="N423">
        <v>0</v>
      </c>
      <c r="O423">
        <v>4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3</v>
      </c>
      <c r="AK423">
        <v>5</v>
      </c>
      <c r="AL423">
        <v>3</v>
      </c>
      <c r="AM423">
        <v>2</v>
      </c>
      <c r="AN423" s="23">
        <v>0</v>
      </c>
      <c r="AO423" s="23">
        <v>0</v>
      </c>
      <c r="AP423" s="23">
        <v>0.333333333333333</v>
      </c>
      <c r="AQ423" s="23">
        <v>0</v>
      </c>
      <c r="AR423" s="35">
        <v>0</v>
      </c>
      <c r="AS423" s="35">
        <v>0</v>
      </c>
      <c r="AT423" s="35">
        <v>4</v>
      </c>
      <c r="AU423" s="31" t="str">
        <f t="shared" si="9"/>
        <v>库存为4</v>
      </c>
      <c r="AV423" s="36" t="str">
        <f>IFERROR($A$2+AU423,"上周无销量")</f>
        <v>上周无销量</v>
      </c>
    </row>
    <row r="424" spans="1:48">
      <c r="A424" s="21" t="s">
        <v>929</v>
      </c>
      <c r="B424" t="s">
        <v>930</v>
      </c>
      <c r="C424" t="s">
        <v>878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7</v>
      </c>
      <c r="J424" s="33">
        <v>0</v>
      </c>
      <c r="K424" s="33">
        <v>0</v>
      </c>
      <c r="L424" s="33">
        <v>0</v>
      </c>
      <c r="M424">
        <v>7</v>
      </c>
      <c r="N424">
        <v>0</v>
      </c>
      <c r="O424">
        <v>6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1</v>
      </c>
      <c r="AK424">
        <v>2</v>
      </c>
      <c r="AL424">
        <v>1</v>
      </c>
      <c r="AM424">
        <v>0</v>
      </c>
      <c r="AN424" s="23">
        <v>0</v>
      </c>
      <c r="AO424" s="23">
        <v>0</v>
      </c>
      <c r="AP424" s="23">
        <v>0</v>
      </c>
      <c r="AQ424" s="23" t="s">
        <v>54</v>
      </c>
      <c r="AR424" s="35">
        <v>0</v>
      </c>
      <c r="AS424" s="35">
        <v>0</v>
      </c>
      <c r="AT424" s="35">
        <v>7</v>
      </c>
      <c r="AU424" s="31" t="str">
        <f t="shared" si="9"/>
        <v>库存为7</v>
      </c>
      <c r="AV424" s="36" t="str">
        <f>IFERROR($A$2+AU424,"上周无销量")</f>
        <v>上周无销量</v>
      </c>
    </row>
    <row r="425" spans="1:48">
      <c r="A425" s="21" t="s">
        <v>931</v>
      </c>
      <c r="B425" t="s">
        <v>932</v>
      </c>
      <c r="C425" t="s">
        <v>878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2</v>
      </c>
      <c r="J425" s="33">
        <v>0</v>
      </c>
      <c r="K425" s="33">
        <v>0</v>
      </c>
      <c r="L425" s="33">
        <v>0</v>
      </c>
      <c r="M425">
        <v>2</v>
      </c>
      <c r="N425">
        <v>0</v>
      </c>
      <c r="O425">
        <v>2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2</v>
      </c>
      <c r="AK425">
        <v>5</v>
      </c>
      <c r="AL425">
        <v>2</v>
      </c>
      <c r="AM425">
        <v>0</v>
      </c>
      <c r="AN425" s="23">
        <v>0</v>
      </c>
      <c r="AO425" s="23">
        <v>0</v>
      </c>
      <c r="AP425" s="23">
        <v>0</v>
      </c>
      <c r="AQ425" s="23" t="s">
        <v>54</v>
      </c>
      <c r="AR425" s="35">
        <v>0</v>
      </c>
      <c r="AS425" s="35">
        <v>0</v>
      </c>
      <c r="AT425" s="35">
        <v>2</v>
      </c>
      <c r="AU425" s="31" t="str">
        <f t="shared" si="9"/>
        <v>库存为2</v>
      </c>
      <c r="AV425" s="36" t="str">
        <f>IFERROR($A$2+AU425,"上周无销量")</f>
        <v>上周无销量</v>
      </c>
    </row>
    <row r="426" spans="1:48">
      <c r="A426" s="21" t="s">
        <v>933</v>
      </c>
      <c r="B426" t="s">
        <v>934</v>
      </c>
      <c r="C426" t="s">
        <v>878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10</v>
      </c>
      <c r="J426" s="33">
        <v>0</v>
      </c>
      <c r="K426" s="33">
        <v>0</v>
      </c>
      <c r="L426" s="33">
        <v>0</v>
      </c>
      <c r="M426">
        <v>10</v>
      </c>
      <c r="N426">
        <v>0</v>
      </c>
      <c r="O426">
        <v>10</v>
      </c>
      <c r="P426">
        <v>778</v>
      </c>
      <c r="Q426">
        <v>971</v>
      </c>
      <c r="R426">
        <v>632</v>
      </c>
      <c r="S426">
        <v>680</v>
      </c>
      <c r="T426">
        <v>2</v>
      </c>
      <c r="U426">
        <v>1</v>
      </c>
      <c r="V426">
        <v>3</v>
      </c>
      <c r="W426">
        <v>4</v>
      </c>
      <c r="X426" s="23">
        <v>0.0025706940874036</v>
      </c>
      <c r="Y426" s="23">
        <v>0.00102986611740474</v>
      </c>
      <c r="Z426" s="23">
        <v>0.00474683544303797</v>
      </c>
      <c r="AA426" s="23">
        <v>0.00588235294117647</v>
      </c>
      <c r="AB426">
        <v>0.61</v>
      </c>
      <c r="AC426">
        <v>0.35</v>
      </c>
      <c r="AD426">
        <v>0.96</v>
      </c>
      <c r="AE426">
        <v>1.24</v>
      </c>
      <c r="AF426" s="23">
        <v>0</v>
      </c>
      <c r="AG426" s="23">
        <v>0</v>
      </c>
      <c r="AH426" s="23">
        <v>0</v>
      </c>
      <c r="AI426" s="23">
        <v>0</v>
      </c>
      <c r="AJ426">
        <v>2</v>
      </c>
      <c r="AK426">
        <v>5</v>
      </c>
      <c r="AL426">
        <v>2</v>
      </c>
      <c r="AM426">
        <v>4</v>
      </c>
      <c r="AN426" s="23">
        <v>0</v>
      </c>
      <c r="AO426" s="23">
        <v>0</v>
      </c>
      <c r="AP426" s="23">
        <v>0</v>
      </c>
      <c r="AQ426" s="23">
        <v>0</v>
      </c>
      <c r="AR426" s="35">
        <v>0</v>
      </c>
      <c r="AS426" s="35">
        <v>0</v>
      </c>
      <c r="AT426" s="35">
        <v>10</v>
      </c>
      <c r="AU426" s="31" t="str">
        <f t="shared" si="9"/>
        <v>库存为10</v>
      </c>
      <c r="AV426" s="36" t="str">
        <f>IFERROR($A$2+AU426,"上周无销量")</f>
        <v>上周无销量</v>
      </c>
    </row>
    <row r="427" spans="1:48">
      <c r="A427" s="21" t="s">
        <v>935</v>
      </c>
      <c r="B427" t="s">
        <v>936</v>
      </c>
      <c r="C427" t="s">
        <v>878</v>
      </c>
      <c r="D427" s="31">
        <v>1</v>
      </c>
      <c r="E427" s="31">
        <v>0</v>
      </c>
      <c r="F427" s="31">
        <v>0</v>
      </c>
      <c r="G427" s="31">
        <v>0</v>
      </c>
      <c r="H427" s="32">
        <v>14.98</v>
      </c>
      <c r="I427">
        <v>13</v>
      </c>
      <c r="J427" s="33">
        <v>0</v>
      </c>
      <c r="K427" s="33">
        <v>0</v>
      </c>
      <c r="L427" s="33">
        <v>0</v>
      </c>
      <c r="M427">
        <v>13</v>
      </c>
      <c r="N427">
        <v>0</v>
      </c>
      <c r="O427">
        <v>13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2</v>
      </c>
      <c r="AK427">
        <v>4</v>
      </c>
      <c r="AL427">
        <v>1</v>
      </c>
      <c r="AM427">
        <v>0</v>
      </c>
      <c r="AN427" s="23">
        <v>0.5</v>
      </c>
      <c r="AO427" s="23">
        <v>0</v>
      </c>
      <c r="AP427" s="23">
        <v>0</v>
      </c>
      <c r="AQ427" s="23" t="s">
        <v>54</v>
      </c>
      <c r="AR427" s="35">
        <v>0.142857142857143</v>
      </c>
      <c r="AS427" s="35">
        <v>8.57142857142857</v>
      </c>
      <c r="AT427" s="35">
        <v>4.42857142857143</v>
      </c>
      <c r="AU427" s="31">
        <f t="shared" si="9"/>
        <v>91</v>
      </c>
      <c r="AV427" s="36">
        <f>IFERROR($A$2+AU427,"上周无销量")</f>
        <v>43353</v>
      </c>
    </row>
    <row r="428" spans="1:48">
      <c r="A428" s="21" t="s">
        <v>937</v>
      </c>
      <c r="B428" t="s">
        <v>938</v>
      </c>
      <c r="C428" t="s">
        <v>878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14</v>
      </c>
      <c r="J428" s="33">
        <v>0</v>
      </c>
      <c r="K428" s="33">
        <v>0</v>
      </c>
      <c r="L428" s="33">
        <v>0</v>
      </c>
      <c r="M428">
        <v>14</v>
      </c>
      <c r="N428">
        <v>0</v>
      </c>
      <c r="O428">
        <v>13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1</v>
      </c>
      <c r="AK428">
        <v>6</v>
      </c>
      <c r="AL428">
        <v>2</v>
      </c>
      <c r="AM428">
        <v>1</v>
      </c>
      <c r="AN428" s="23">
        <v>0</v>
      </c>
      <c r="AO428" s="23">
        <v>0</v>
      </c>
      <c r="AP428" s="23">
        <v>0</v>
      </c>
      <c r="AQ428" s="23">
        <v>0</v>
      </c>
      <c r="AR428" s="35">
        <v>0</v>
      </c>
      <c r="AS428" s="35">
        <v>0</v>
      </c>
      <c r="AT428" s="35">
        <v>14</v>
      </c>
      <c r="AU428" s="31" t="str">
        <f t="shared" si="9"/>
        <v>库存为14</v>
      </c>
      <c r="AV428" s="36" t="str">
        <f>IFERROR($A$2+AU428,"上周无销量")</f>
        <v>上周无销量</v>
      </c>
    </row>
    <row r="429" spans="1:48">
      <c r="A429" s="21" t="s">
        <v>939</v>
      </c>
      <c r="B429" t="s">
        <v>940</v>
      </c>
      <c r="C429" t="s">
        <v>878</v>
      </c>
      <c r="D429" s="31">
        <v>1</v>
      </c>
      <c r="E429" s="31">
        <v>0</v>
      </c>
      <c r="F429" s="31">
        <v>0</v>
      </c>
      <c r="G429" s="31">
        <v>0</v>
      </c>
      <c r="H429" s="32">
        <v>15.98</v>
      </c>
      <c r="I429">
        <v>8</v>
      </c>
      <c r="J429" s="33">
        <v>0</v>
      </c>
      <c r="K429" s="33">
        <v>0</v>
      </c>
      <c r="L429" s="33">
        <v>0</v>
      </c>
      <c r="M429">
        <v>8</v>
      </c>
      <c r="N429">
        <v>0</v>
      </c>
      <c r="O429">
        <v>8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</v>
      </c>
      <c r="AK429">
        <v>5</v>
      </c>
      <c r="AL429">
        <v>1</v>
      </c>
      <c r="AM429">
        <v>0</v>
      </c>
      <c r="AN429" s="23">
        <v>1</v>
      </c>
      <c r="AO429" s="23">
        <v>0</v>
      </c>
      <c r="AP429" s="23">
        <v>0</v>
      </c>
      <c r="AQ429" s="23" t="s">
        <v>54</v>
      </c>
      <c r="AR429" s="35">
        <v>0.142857142857143</v>
      </c>
      <c r="AS429" s="35">
        <v>8.57142857142857</v>
      </c>
      <c r="AT429" s="35">
        <v>-0.571428571428571</v>
      </c>
      <c r="AU429" s="31">
        <f t="shared" si="9"/>
        <v>56</v>
      </c>
      <c r="AV429" s="36">
        <f>IFERROR($A$2+AU429,"上周无销量")</f>
        <v>43318</v>
      </c>
    </row>
    <row r="430" spans="1:48">
      <c r="A430" s="21" t="s">
        <v>941</v>
      </c>
      <c r="B430" t="s">
        <v>942</v>
      </c>
      <c r="C430" t="s">
        <v>878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12</v>
      </c>
      <c r="J430" s="33">
        <v>0</v>
      </c>
      <c r="K430" s="33">
        <v>0</v>
      </c>
      <c r="L430" s="33">
        <v>0</v>
      </c>
      <c r="M430">
        <v>12</v>
      </c>
      <c r="N430">
        <v>0</v>
      </c>
      <c r="O430">
        <v>12</v>
      </c>
      <c r="P430">
        <v>0</v>
      </c>
      <c r="Q430">
        <v>20</v>
      </c>
      <c r="R430">
        <v>75</v>
      </c>
      <c r="S430">
        <v>115</v>
      </c>
      <c r="T430">
        <v>0</v>
      </c>
      <c r="U430">
        <v>1</v>
      </c>
      <c r="V430">
        <v>0</v>
      </c>
      <c r="W430">
        <v>1</v>
      </c>
      <c r="X430" s="23" t="s">
        <v>54</v>
      </c>
      <c r="Y430" s="23">
        <v>0.05</v>
      </c>
      <c r="Z430" s="23">
        <v>0</v>
      </c>
      <c r="AA430" s="23">
        <v>0.00869565217391304</v>
      </c>
      <c r="AB430">
        <v>0</v>
      </c>
      <c r="AC430">
        <v>0.28</v>
      </c>
      <c r="AD430">
        <v>0</v>
      </c>
      <c r="AE430">
        <v>0.73</v>
      </c>
      <c r="AF430" s="23" t="s">
        <v>54</v>
      </c>
      <c r="AG430" s="23">
        <v>0</v>
      </c>
      <c r="AH430" s="23" t="s">
        <v>54</v>
      </c>
      <c r="AI430" s="23">
        <v>0</v>
      </c>
      <c r="AJ430">
        <v>0</v>
      </c>
      <c r="AK430">
        <v>3</v>
      </c>
      <c r="AL430">
        <v>0</v>
      </c>
      <c r="AM430">
        <v>2</v>
      </c>
      <c r="AN430" s="23" t="s">
        <v>54</v>
      </c>
      <c r="AO430" s="23">
        <v>0</v>
      </c>
      <c r="AP430" s="23" t="s">
        <v>54</v>
      </c>
      <c r="AQ430" s="23">
        <v>0</v>
      </c>
      <c r="AR430" s="35">
        <v>0</v>
      </c>
      <c r="AS430" s="35">
        <v>0</v>
      </c>
      <c r="AT430" s="35">
        <v>12</v>
      </c>
      <c r="AU430" s="31" t="str">
        <f t="shared" si="9"/>
        <v>库存为12</v>
      </c>
      <c r="AV430" s="36" t="str">
        <f>IFERROR($A$2+AU430,"上周无销量")</f>
        <v>上周无销量</v>
      </c>
    </row>
    <row r="431" spans="1:48">
      <c r="A431" s="21" t="s">
        <v>943</v>
      </c>
      <c r="B431" t="s">
        <v>944</v>
      </c>
      <c r="C431" t="s">
        <v>878</v>
      </c>
      <c r="D431" s="31">
        <v>0</v>
      </c>
      <c r="E431" s="31">
        <v>0</v>
      </c>
      <c r="F431" s="31">
        <v>3</v>
      </c>
      <c r="G431" s="31">
        <v>0</v>
      </c>
      <c r="H431" s="32">
        <v>14.98</v>
      </c>
      <c r="I431">
        <v>15</v>
      </c>
      <c r="J431" s="33">
        <v>0</v>
      </c>
      <c r="K431" s="33">
        <v>0</v>
      </c>
      <c r="L431" s="33">
        <v>0</v>
      </c>
      <c r="M431">
        <v>15</v>
      </c>
      <c r="N431">
        <v>0</v>
      </c>
      <c r="O431">
        <v>15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2</v>
      </c>
      <c r="AK431">
        <v>6</v>
      </c>
      <c r="AL431">
        <v>5</v>
      </c>
      <c r="AM431">
        <v>0</v>
      </c>
      <c r="AN431" s="23">
        <v>0</v>
      </c>
      <c r="AO431" s="23">
        <v>0</v>
      </c>
      <c r="AP431" s="23">
        <v>0.6</v>
      </c>
      <c r="AQ431" s="23" t="s">
        <v>54</v>
      </c>
      <c r="AR431" s="35">
        <v>0</v>
      </c>
      <c r="AS431" s="35">
        <v>0</v>
      </c>
      <c r="AT431" s="35">
        <v>15</v>
      </c>
      <c r="AU431" s="31" t="str">
        <f t="shared" si="9"/>
        <v>库存为15</v>
      </c>
      <c r="AV431" s="36" t="str">
        <f>IFERROR($A$2+AU431,"上周无销量")</f>
        <v>上周无销量</v>
      </c>
    </row>
    <row r="432" spans="1:48">
      <c r="A432" s="21" t="s">
        <v>945</v>
      </c>
      <c r="B432" t="s">
        <v>946</v>
      </c>
      <c r="C432" t="s">
        <v>878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16</v>
      </c>
      <c r="J432" s="33">
        <v>0</v>
      </c>
      <c r="K432" s="33">
        <v>0</v>
      </c>
      <c r="L432" s="33">
        <v>0</v>
      </c>
      <c r="M432">
        <v>16</v>
      </c>
      <c r="N432">
        <v>0</v>
      </c>
      <c r="O432">
        <v>16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1</v>
      </c>
      <c r="AK432">
        <v>4</v>
      </c>
      <c r="AL432">
        <v>2</v>
      </c>
      <c r="AM432">
        <v>0</v>
      </c>
      <c r="AN432" s="23">
        <v>0</v>
      </c>
      <c r="AO432" s="23">
        <v>0</v>
      </c>
      <c r="AP432" s="23">
        <v>0</v>
      </c>
      <c r="AQ432" s="23" t="s">
        <v>54</v>
      </c>
      <c r="AR432" s="35">
        <v>0</v>
      </c>
      <c r="AS432" s="35">
        <v>0</v>
      </c>
      <c r="AT432" s="35">
        <v>16</v>
      </c>
      <c r="AU432" s="31" t="str">
        <f t="shared" si="9"/>
        <v>库存为16</v>
      </c>
      <c r="AV432" s="36" t="str">
        <f>IFERROR($A$2+AU432,"上周无销量")</f>
        <v>上周无销量</v>
      </c>
    </row>
    <row r="433" spans="1:48">
      <c r="A433" s="21" t="s">
        <v>947</v>
      </c>
      <c r="B433" t="s">
        <v>948</v>
      </c>
      <c r="C433" t="s">
        <v>878</v>
      </c>
      <c r="D433" s="31">
        <v>0</v>
      </c>
      <c r="E433" s="31">
        <v>0</v>
      </c>
      <c r="F433" s="31">
        <v>0</v>
      </c>
      <c r="G433" s="31">
        <v>1</v>
      </c>
      <c r="H433" s="32">
        <v>10</v>
      </c>
      <c r="I433">
        <v>10</v>
      </c>
      <c r="J433" s="33">
        <v>0</v>
      </c>
      <c r="K433" s="33">
        <v>0</v>
      </c>
      <c r="L433" s="33">
        <v>0</v>
      </c>
      <c r="M433">
        <v>10</v>
      </c>
      <c r="N433">
        <v>0</v>
      </c>
      <c r="O433">
        <v>9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1</v>
      </c>
      <c r="AK433">
        <v>3</v>
      </c>
      <c r="AL433">
        <v>0</v>
      </c>
      <c r="AM433">
        <v>2</v>
      </c>
      <c r="AN433" s="23">
        <v>0</v>
      </c>
      <c r="AO433" s="23">
        <v>0</v>
      </c>
      <c r="AP433" s="23" t="s">
        <v>54</v>
      </c>
      <c r="AQ433" s="23">
        <v>0.5</v>
      </c>
      <c r="AR433" s="35">
        <v>0</v>
      </c>
      <c r="AS433" s="35">
        <v>0</v>
      </c>
      <c r="AT433" s="35">
        <v>10</v>
      </c>
      <c r="AU433" s="31" t="str">
        <f t="shared" si="9"/>
        <v>库存为10</v>
      </c>
      <c r="AV433" s="36" t="str">
        <f>IFERROR($A$2+AU433,"上周无销量")</f>
        <v>上周无销量</v>
      </c>
    </row>
    <row r="434" spans="1:48">
      <c r="A434" s="21" t="s">
        <v>949</v>
      </c>
      <c r="B434" t="s">
        <v>950</v>
      </c>
      <c r="C434" t="s">
        <v>878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17</v>
      </c>
      <c r="J434" s="33">
        <v>0</v>
      </c>
      <c r="K434" s="33">
        <v>0</v>
      </c>
      <c r="L434" s="33">
        <v>0</v>
      </c>
      <c r="M434">
        <v>17</v>
      </c>
      <c r="N434">
        <v>0</v>
      </c>
      <c r="O434">
        <v>17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2</v>
      </c>
      <c r="AK434">
        <v>2</v>
      </c>
      <c r="AL434">
        <v>1</v>
      </c>
      <c r="AM434">
        <v>1</v>
      </c>
      <c r="AN434" s="23">
        <v>0</v>
      </c>
      <c r="AO434" s="23">
        <v>0</v>
      </c>
      <c r="AP434" s="23">
        <v>0</v>
      </c>
      <c r="AQ434" s="23">
        <v>0</v>
      </c>
      <c r="AR434" s="35">
        <v>0</v>
      </c>
      <c r="AS434" s="35">
        <v>0</v>
      </c>
      <c r="AT434" s="35">
        <v>17</v>
      </c>
      <c r="AU434" s="31" t="str">
        <f t="shared" si="9"/>
        <v>库存为17</v>
      </c>
      <c r="AV434" s="36" t="str">
        <f>IFERROR($A$2+AU434,"上周无销量")</f>
        <v>上周无销量</v>
      </c>
    </row>
    <row r="435" spans="1:48">
      <c r="A435" s="21" t="s">
        <v>951</v>
      </c>
      <c r="B435" t="s">
        <v>952</v>
      </c>
      <c r="C435" t="s">
        <v>878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15</v>
      </c>
      <c r="J435" s="33">
        <v>0</v>
      </c>
      <c r="K435" s="33">
        <v>0</v>
      </c>
      <c r="L435" s="33">
        <v>0</v>
      </c>
      <c r="M435">
        <v>15</v>
      </c>
      <c r="N435">
        <v>0</v>
      </c>
      <c r="O435">
        <v>14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3</v>
      </c>
      <c r="AK435">
        <v>3</v>
      </c>
      <c r="AL435">
        <v>1</v>
      </c>
      <c r="AM435">
        <v>1</v>
      </c>
      <c r="AN435" s="23">
        <v>0</v>
      </c>
      <c r="AO435" s="23">
        <v>0</v>
      </c>
      <c r="AP435" s="23">
        <v>0</v>
      </c>
      <c r="AQ435" s="23">
        <v>0</v>
      </c>
      <c r="AR435" s="35">
        <v>0</v>
      </c>
      <c r="AS435" s="35">
        <v>0</v>
      </c>
      <c r="AT435" s="35">
        <v>15</v>
      </c>
      <c r="AU435" s="31" t="str">
        <f t="shared" si="9"/>
        <v>库存为15</v>
      </c>
      <c r="AV435" s="36" t="str">
        <f>IFERROR($A$2+AU435,"上周无销量")</f>
        <v>上周无销量</v>
      </c>
    </row>
    <row r="436" spans="1:48">
      <c r="A436" s="21" t="s">
        <v>953</v>
      </c>
      <c r="B436" t="s">
        <v>954</v>
      </c>
      <c r="C436" t="s">
        <v>878</v>
      </c>
      <c r="D436" s="31">
        <v>0</v>
      </c>
      <c r="E436" s="31">
        <v>1</v>
      </c>
      <c r="F436" s="31">
        <v>1</v>
      </c>
      <c r="G436" s="31">
        <v>0</v>
      </c>
      <c r="H436" s="32">
        <v>14.98</v>
      </c>
      <c r="I436">
        <v>15</v>
      </c>
      <c r="J436" s="33">
        <v>0</v>
      </c>
      <c r="K436" s="33">
        <v>0</v>
      </c>
      <c r="L436" s="33">
        <v>0</v>
      </c>
      <c r="M436">
        <v>15</v>
      </c>
      <c r="N436">
        <v>0</v>
      </c>
      <c r="O436">
        <v>14</v>
      </c>
      <c r="P436">
        <v>0</v>
      </c>
      <c r="Q436">
        <v>1469</v>
      </c>
      <c r="R436">
        <v>4450</v>
      </c>
      <c r="S436">
        <v>5058</v>
      </c>
      <c r="T436">
        <v>0</v>
      </c>
      <c r="U436">
        <v>20</v>
      </c>
      <c r="V436">
        <v>45</v>
      </c>
      <c r="W436">
        <v>48</v>
      </c>
      <c r="X436" s="23" t="s">
        <v>54</v>
      </c>
      <c r="Y436" s="23">
        <v>0.0136147038801906</v>
      </c>
      <c r="Z436" s="23">
        <v>0.0101123595505618</v>
      </c>
      <c r="AA436" s="23">
        <v>0.00948991696322657</v>
      </c>
      <c r="AB436">
        <v>0</v>
      </c>
      <c r="AC436">
        <v>14.07</v>
      </c>
      <c r="AD436">
        <v>30.1</v>
      </c>
      <c r="AE436">
        <v>29.81</v>
      </c>
      <c r="AF436" s="23" t="s">
        <v>54</v>
      </c>
      <c r="AG436" s="23">
        <v>0.939252336448598</v>
      </c>
      <c r="AH436" s="23">
        <v>2.00934579439252</v>
      </c>
      <c r="AI436" s="23">
        <v>0</v>
      </c>
      <c r="AJ436">
        <v>1</v>
      </c>
      <c r="AK436">
        <v>16</v>
      </c>
      <c r="AL436">
        <v>19</v>
      </c>
      <c r="AM436">
        <v>26</v>
      </c>
      <c r="AN436" s="23">
        <v>0</v>
      </c>
      <c r="AO436" s="23">
        <v>0.0625</v>
      </c>
      <c r="AP436" s="23">
        <v>0.0526315789473684</v>
      </c>
      <c r="AQ436" s="23">
        <v>0</v>
      </c>
      <c r="AR436" s="35">
        <v>0</v>
      </c>
      <c r="AS436" s="35">
        <v>0</v>
      </c>
      <c r="AT436" s="35">
        <v>15</v>
      </c>
      <c r="AU436" s="31" t="str">
        <f t="shared" si="9"/>
        <v>库存为15</v>
      </c>
      <c r="AV436" s="36" t="str">
        <f>IFERROR($A$2+AU436,"上周无销量")</f>
        <v>上周无销量</v>
      </c>
    </row>
    <row r="437" spans="1:48">
      <c r="A437" s="21" t="s">
        <v>955</v>
      </c>
      <c r="B437" t="s">
        <v>956</v>
      </c>
      <c r="C437" t="s">
        <v>878</v>
      </c>
      <c r="D437" s="31">
        <v>0</v>
      </c>
      <c r="E437" s="31">
        <v>0</v>
      </c>
      <c r="F437" s="31">
        <v>1</v>
      </c>
      <c r="G437" s="31">
        <v>2</v>
      </c>
      <c r="H437" s="32">
        <v>14.98</v>
      </c>
      <c r="I437">
        <v>3</v>
      </c>
      <c r="J437" s="33">
        <v>0</v>
      </c>
      <c r="K437" s="33">
        <v>0</v>
      </c>
      <c r="L437" s="33">
        <v>0</v>
      </c>
      <c r="M437">
        <v>3</v>
      </c>
      <c r="N437">
        <v>0</v>
      </c>
      <c r="O437">
        <v>3</v>
      </c>
      <c r="P437">
        <v>55</v>
      </c>
      <c r="Q437">
        <v>197</v>
      </c>
      <c r="R437">
        <v>298</v>
      </c>
      <c r="S437">
        <v>778</v>
      </c>
      <c r="T437">
        <v>0</v>
      </c>
      <c r="U437">
        <v>0</v>
      </c>
      <c r="V437">
        <v>0</v>
      </c>
      <c r="W437">
        <v>1</v>
      </c>
      <c r="X437" s="23">
        <v>0</v>
      </c>
      <c r="Y437" s="23">
        <v>0</v>
      </c>
      <c r="Z437" s="23">
        <v>0</v>
      </c>
      <c r="AA437" s="23">
        <v>0.0012853470437018</v>
      </c>
      <c r="AB437">
        <v>0</v>
      </c>
      <c r="AC437">
        <v>0</v>
      </c>
      <c r="AD437">
        <v>0</v>
      </c>
      <c r="AE437">
        <v>0.22</v>
      </c>
      <c r="AF437" s="23" t="s">
        <v>54</v>
      </c>
      <c r="AG437" s="23" t="s">
        <v>54</v>
      </c>
      <c r="AH437" s="23" t="s">
        <v>54</v>
      </c>
      <c r="AI437" s="23">
        <v>0.00734312416555407</v>
      </c>
      <c r="AJ437">
        <v>1</v>
      </c>
      <c r="AK437">
        <v>3</v>
      </c>
      <c r="AL437">
        <v>1</v>
      </c>
      <c r="AM437">
        <v>5</v>
      </c>
      <c r="AN437" s="23">
        <v>0</v>
      </c>
      <c r="AO437" s="23">
        <v>0</v>
      </c>
      <c r="AP437" s="23">
        <v>1</v>
      </c>
      <c r="AQ437" s="23">
        <v>0.4</v>
      </c>
      <c r="AR437" s="35">
        <v>0</v>
      </c>
      <c r="AS437" s="35">
        <v>0</v>
      </c>
      <c r="AT437" s="35">
        <v>3</v>
      </c>
      <c r="AU437" s="31" t="str">
        <f t="shared" si="9"/>
        <v>库存为3</v>
      </c>
      <c r="AV437" s="36" t="str">
        <f>IFERROR($A$2+AU437,"上周无销量")</f>
        <v>上周无销量</v>
      </c>
    </row>
    <row r="438" spans="1:48">
      <c r="A438" s="21" t="s">
        <v>957</v>
      </c>
      <c r="B438" t="s">
        <v>958</v>
      </c>
      <c r="C438" t="s">
        <v>878</v>
      </c>
      <c r="D438" s="31">
        <v>0</v>
      </c>
      <c r="E438" s="31">
        <v>0</v>
      </c>
      <c r="F438" s="31">
        <v>1</v>
      </c>
      <c r="G438" s="31">
        <v>3</v>
      </c>
      <c r="H438" s="32">
        <v>12.98</v>
      </c>
      <c r="I438">
        <v>7</v>
      </c>
      <c r="J438" s="33">
        <v>0</v>
      </c>
      <c r="K438" s="33">
        <v>0</v>
      </c>
      <c r="L438" s="33">
        <v>0</v>
      </c>
      <c r="M438">
        <v>7</v>
      </c>
      <c r="N438">
        <v>0</v>
      </c>
      <c r="O438">
        <v>7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1</v>
      </c>
      <c r="AK438">
        <v>2</v>
      </c>
      <c r="AL438">
        <v>3</v>
      </c>
      <c r="AM438">
        <v>5</v>
      </c>
      <c r="AN438" s="23">
        <v>0</v>
      </c>
      <c r="AO438" s="23">
        <v>0</v>
      </c>
      <c r="AP438" s="23">
        <v>0.333333333333333</v>
      </c>
      <c r="AQ438" s="23">
        <v>0.6</v>
      </c>
      <c r="AR438" s="35">
        <v>0</v>
      </c>
      <c r="AS438" s="35">
        <v>0</v>
      </c>
      <c r="AT438" s="35">
        <v>7</v>
      </c>
      <c r="AU438" s="31" t="str">
        <f t="shared" si="9"/>
        <v>库存为7</v>
      </c>
      <c r="AV438" s="36" t="str">
        <f>IFERROR($A$2+AU438,"上周无销量")</f>
        <v>上周无销量</v>
      </c>
    </row>
    <row r="439" spans="1:48">
      <c r="A439" s="21" t="s">
        <v>959</v>
      </c>
      <c r="B439" t="s">
        <v>960</v>
      </c>
      <c r="C439" t="s">
        <v>878</v>
      </c>
      <c r="D439" s="31">
        <v>0</v>
      </c>
      <c r="E439" s="31">
        <v>0</v>
      </c>
      <c r="F439" s="31">
        <v>0</v>
      </c>
      <c r="G439" s="31">
        <v>1</v>
      </c>
      <c r="H439" s="32">
        <v>14.98</v>
      </c>
      <c r="I439">
        <v>2</v>
      </c>
      <c r="J439" s="33">
        <v>0</v>
      </c>
      <c r="K439" s="33">
        <v>0</v>
      </c>
      <c r="L439" s="33">
        <v>0</v>
      </c>
      <c r="M439">
        <v>2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2</v>
      </c>
      <c r="AU439" s="31" t="str">
        <f t="shared" si="9"/>
        <v>库存为2</v>
      </c>
      <c r="AV439" s="36" t="str">
        <f>IFERROR($A$2+AU439,"上周无销量")</f>
        <v>上周无销量</v>
      </c>
    </row>
    <row r="440" spans="1:48">
      <c r="A440" s="21" t="s">
        <v>961</v>
      </c>
      <c r="B440" t="s">
        <v>962</v>
      </c>
      <c r="C440" t="s">
        <v>878</v>
      </c>
      <c r="D440" s="31">
        <v>0</v>
      </c>
      <c r="E440" s="31">
        <v>0</v>
      </c>
      <c r="F440" s="31">
        <v>2</v>
      </c>
      <c r="G440" s="31">
        <v>2</v>
      </c>
      <c r="H440" s="32">
        <v>14.98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2</v>
      </c>
      <c r="AM440">
        <v>3</v>
      </c>
      <c r="AN440" s="23" t="s">
        <v>54</v>
      </c>
      <c r="AO440" s="23" t="s">
        <v>54</v>
      </c>
      <c r="AP440" s="23">
        <v>1</v>
      </c>
      <c r="AQ440" s="23">
        <v>0.666666666666667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963</v>
      </c>
      <c r="B441" t="s">
        <v>964</v>
      </c>
      <c r="C441" t="s">
        <v>965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IFERROR($A$2+AU441,"上周无销量")</f>
        <v>上周无销量</v>
      </c>
    </row>
    <row r="442" spans="1:48">
      <c r="A442" s="21" t="s">
        <v>966</v>
      </c>
      <c r="B442" t="s">
        <v>967</v>
      </c>
      <c r="C442" t="s">
        <v>965</v>
      </c>
      <c r="D442" s="31">
        <v>0</v>
      </c>
      <c r="E442" s="31">
        <v>2</v>
      </c>
      <c r="F442" s="31">
        <v>0</v>
      </c>
      <c r="G442" s="31">
        <v>0</v>
      </c>
      <c r="H442" s="32">
        <v>10</v>
      </c>
      <c r="I442">
        <v>1</v>
      </c>
      <c r="J442" s="33">
        <v>0</v>
      </c>
      <c r="K442" s="33">
        <v>0</v>
      </c>
      <c r="L442" s="33">
        <v>0</v>
      </c>
      <c r="M442">
        <v>1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4</v>
      </c>
      <c r="AK442">
        <v>3</v>
      </c>
      <c r="AL442">
        <v>4</v>
      </c>
      <c r="AM442">
        <v>1</v>
      </c>
      <c r="AN442" s="23">
        <v>0</v>
      </c>
      <c r="AO442" s="23">
        <v>0.666666666666667</v>
      </c>
      <c r="AP442" s="23">
        <v>0</v>
      </c>
      <c r="AQ442" s="23">
        <v>0</v>
      </c>
      <c r="AR442" s="35">
        <v>0</v>
      </c>
      <c r="AS442" s="35">
        <v>0</v>
      </c>
      <c r="AT442" s="35">
        <v>1</v>
      </c>
      <c r="AU442" s="31" t="str">
        <f t="shared" si="9"/>
        <v>库存为1</v>
      </c>
      <c r="AV442" s="36" t="str">
        <f>IFERROR($A$2+AU442,"上周无销量")</f>
        <v>上周无销量</v>
      </c>
    </row>
    <row r="443" spans="1:48">
      <c r="A443" s="21" t="s">
        <v>968</v>
      </c>
      <c r="B443" t="s">
        <v>969</v>
      </c>
      <c r="C443" t="s">
        <v>965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970</v>
      </c>
      <c r="B444" t="s">
        <v>971</v>
      </c>
      <c r="C444" t="s">
        <v>965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972</v>
      </c>
      <c r="B445" t="s">
        <v>973</v>
      </c>
      <c r="C445" t="s">
        <v>965</v>
      </c>
      <c r="D445" s="31">
        <v>2</v>
      </c>
      <c r="E445" s="31">
        <v>0</v>
      </c>
      <c r="F445" s="31">
        <v>0</v>
      </c>
      <c r="G445" s="31">
        <v>0</v>
      </c>
      <c r="H445" s="32">
        <v>10</v>
      </c>
      <c r="I445">
        <v>6</v>
      </c>
      <c r="J445" s="33">
        <v>0</v>
      </c>
      <c r="K445" s="33">
        <v>0</v>
      </c>
      <c r="L445" s="33">
        <v>0</v>
      </c>
      <c r="M445">
        <v>6</v>
      </c>
      <c r="N445">
        <v>0</v>
      </c>
      <c r="O445">
        <v>6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7</v>
      </c>
      <c r="AL445">
        <v>4</v>
      </c>
      <c r="AM445">
        <v>1</v>
      </c>
      <c r="AN445" s="23">
        <v>2</v>
      </c>
      <c r="AO445" s="23">
        <v>0</v>
      </c>
      <c r="AP445" s="23">
        <v>0</v>
      </c>
      <c r="AQ445" s="23">
        <v>0</v>
      </c>
      <c r="AR445" s="35">
        <v>0.285714285714286</v>
      </c>
      <c r="AS445" s="35">
        <v>17.1428571428571</v>
      </c>
      <c r="AT445" s="35">
        <v>-11.1428571428571</v>
      </c>
      <c r="AU445" s="31">
        <f t="shared" si="9"/>
        <v>21</v>
      </c>
      <c r="AV445" s="36">
        <f>IFERROR($A$2+AU445,"上周无销量")</f>
        <v>43283</v>
      </c>
    </row>
    <row r="446" spans="1:48">
      <c r="A446" s="21" t="s">
        <v>974</v>
      </c>
      <c r="B446" t="s">
        <v>975</v>
      </c>
      <c r="C446" t="s">
        <v>965</v>
      </c>
      <c r="D446" s="31">
        <v>1</v>
      </c>
      <c r="E446" s="31">
        <v>0</v>
      </c>
      <c r="F446" s="31">
        <v>0</v>
      </c>
      <c r="G446" s="31">
        <v>0</v>
      </c>
      <c r="H446" s="32">
        <v>10</v>
      </c>
      <c r="I446">
        <v>1</v>
      </c>
      <c r="J446" s="33">
        <v>0</v>
      </c>
      <c r="K446" s="33">
        <v>0</v>
      </c>
      <c r="L446" s="33">
        <v>1</v>
      </c>
      <c r="M446">
        <v>2</v>
      </c>
      <c r="N446">
        <v>0</v>
      </c>
      <c r="O446">
        <v>3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5</v>
      </c>
      <c r="AK446">
        <v>7</v>
      </c>
      <c r="AL446">
        <v>3</v>
      </c>
      <c r="AM446">
        <v>1</v>
      </c>
      <c r="AN446" s="23">
        <v>0.2</v>
      </c>
      <c r="AO446" s="23">
        <v>0</v>
      </c>
      <c r="AP446" s="23">
        <v>0</v>
      </c>
      <c r="AQ446" s="23">
        <v>0</v>
      </c>
      <c r="AR446" s="35">
        <v>0.142857142857143</v>
      </c>
      <c r="AS446" s="35">
        <v>8.57142857142857</v>
      </c>
      <c r="AT446" s="35">
        <v>-6.57142857142857</v>
      </c>
      <c r="AU446" s="31">
        <f t="shared" si="9"/>
        <v>14</v>
      </c>
      <c r="AV446" s="36">
        <f>IFERROR($A$2+AU446,"上周无销量")</f>
        <v>43276</v>
      </c>
    </row>
    <row r="447" spans="1:48">
      <c r="A447" s="21" t="s">
        <v>976</v>
      </c>
      <c r="B447" t="s">
        <v>977</v>
      </c>
      <c r="C447" t="s">
        <v>965</v>
      </c>
      <c r="D447" s="31">
        <v>0</v>
      </c>
      <c r="E447" s="31">
        <v>1</v>
      </c>
      <c r="F447" s="31">
        <v>0</v>
      </c>
      <c r="G447" s="31">
        <v>0</v>
      </c>
      <c r="H447" s="32">
        <v>10</v>
      </c>
      <c r="I447">
        <v>9</v>
      </c>
      <c r="J447" s="33">
        <v>0</v>
      </c>
      <c r="K447" s="33">
        <v>0</v>
      </c>
      <c r="L447" s="33">
        <v>0</v>
      </c>
      <c r="M447">
        <v>9</v>
      </c>
      <c r="N447">
        <v>0</v>
      </c>
      <c r="O447">
        <v>9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2</v>
      </c>
      <c r="AK447">
        <v>3</v>
      </c>
      <c r="AL447">
        <v>4</v>
      </c>
      <c r="AM447">
        <v>0</v>
      </c>
      <c r="AN447" s="23">
        <v>0</v>
      </c>
      <c r="AO447" s="23">
        <v>0.333333333333333</v>
      </c>
      <c r="AP447" s="23">
        <v>0</v>
      </c>
      <c r="AQ447" s="23" t="s">
        <v>54</v>
      </c>
      <c r="AR447" s="35">
        <v>0</v>
      </c>
      <c r="AS447" s="35">
        <v>0</v>
      </c>
      <c r="AT447" s="35">
        <v>9</v>
      </c>
      <c r="AU447" s="31" t="str">
        <f t="shared" si="9"/>
        <v>库存为9</v>
      </c>
      <c r="AV447" s="36" t="str">
        <f>IFERROR($A$2+AU447,"上周无销量")</f>
        <v>上周无销量</v>
      </c>
    </row>
    <row r="448" spans="1:48">
      <c r="A448" s="21" t="s">
        <v>978</v>
      </c>
      <c r="B448" t="s">
        <v>979</v>
      </c>
      <c r="C448" t="s">
        <v>965</v>
      </c>
      <c r="D448" s="31">
        <v>1</v>
      </c>
      <c r="E448" s="31">
        <v>1</v>
      </c>
      <c r="F448" s="31">
        <v>0</v>
      </c>
      <c r="G448" s="31">
        <v>2</v>
      </c>
      <c r="H448" s="32">
        <v>10</v>
      </c>
      <c r="I448">
        <v>0</v>
      </c>
      <c r="J448" s="33">
        <v>0</v>
      </c>
      <c r="K448" s="33">
        <v>0</v>
      </c>
      <c r="L448" s="33">
        <v>1</v>
      </c>
      <c r="M448">
        <v>1</v>
      </c>
      <c r="N448">
        <v>0</v>
      </c>
      <c r="O448">
        <v>0</v>
      </c>
      <c r="P448">
        <v>394</v>
      </c>
      <c r="Q448">
        <v>1111</v>
      </c>
      <c r="R448">
        <v>27</v>
      </c>
      <c r="S448">
        <v>30</v>
      </c>
      <c r="T448">
        <v>7</v>
      </c>
      <c r="U448">
        <v>23</v>
      </c>
      <c r="V448">
        <v>3</v>
      </c>
      <c r="W448">
        <v>0</v>
      </c>
      <c r="X448" s="23">
        <v>0.0177664974619289</v>
      </c>
      <c r="Y448" s="23">
        <v>0.0207020702070207</v>
      </c>
      <c r="Z448" s="23">
        <v>0.111111111111111</v>
      </c>
      <c r="AA448" s="23">
        <v>0</v>
      </c>
      <c r="AB448">
        <v>4.58</v>
      </c>
      <c r="AC448">
        <v>14.64</v>
      </c>
      <c r="AD448">
        <v>0.99</v>
      </c>
      <c r="AE448">
        <v>0</v>
      </c>
      <c r="AF448" s="23">
        <v>0.458</v>
      </c>
      <c r="AG448" s="23">
        <v>1.464</v>
      </c>
      <c r="AH448" s="23">
        <v>0</v>
      </c>
      <c r="AI448" s="23" t="s">
        <v>54</v>
      </c>
      <c r="AJ448">
        <v>10</v>
      </c>
      <c r="AK448">
        <v>19</v>
      </c>
      <c r="AL448">
        <v>7</v>
      </c>
      <c r="AM448">
        <v>5</v>
      </c>
      <c r="AN448" s="23">
        <v>0.1</v>
      </c>
      <c r="AO448" s="23">
        <v>0.0526315789473684</v>
      </c>
      <c r="AP448" s="23">
        <v>0</v>
      </c>
      <c r="AQ448" s="23">
        <v>0.4</v>
      </c>
      <c r="AR448" s="35">
        <v>0.142857142857143</v>
      </c>
      <c r="AS448" s="35">
        <v>8.57142857142857</v>
      </c>
      <c r="AT448" s="35">
        <v>-7.57142857142857</v>
      </c>
      <c r="AU448" s="31">
        <f t="shared" si="9"/>
        <v>7</v>
      </c>
      <c r="AV448" s="36">
        <f>IFERROR($A$2+AU448,"上周无销量")</f>
        <v>43269</v>
      </c>
    </row>
    <row r="449" spans="1:48">
      <c r="A449" s="21" t="s">
        <v>980</v>
      </c>
      <c r="B449" t="s">
        <v>981</v>
      </c>
      <c r="C449" t="s">
        <v>965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IFERROR($A$2+AU449,"上周无销量")</f>
        <v>上周无销量</v>
      </c>
    </row>
    <row r="450" spans="1:48">
      <c r="A450" s="21" t="s">
        <v>982</v>
      </c>
      <c r="B450" t="s">
        <v>983</v>
      </c>
      <c r="C450" t="s">
        <v>965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IFERROR($A$2+AU450,"上周无销量")</f>
        <v>上周无销量</v>
      </c>
    </row>
    <row r="451" spans="1:48">
      <c r="A451" s="21" t="s">
        <v>984</v>
      </c>
      <c r="B451" t="s">
        <v>985</v>
      </c>
      <c r="C451" t="s">
        <v>965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11</v>
      </c>
      <c r="J451" s="33">
        <v>0</v>
      </c>
      <c r="K451" s="33">
        <v>0</v>
      </c>
      <c r="L451" s="33">
        <v>0</v>
      </c>
      <c r="M451">
        <v>11</v>
      </c>
      <c r="N451">
        <v>0</v>
      </c>
      <c r="O451">
        <v>11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2</v>
      </c>
      <c r="AK451">
        <v>4</v>
      </c>
      <c r="AL451">
        <v>3</v>
      </c>
      <c r="AM451">
        <v>2</v>
      </c>
      <c r="AN451" s="23">
        <v>0</v>
      </c>
      <c r="AO451" s="23">
        <v>0</v>
      </c>
      <c r="AP451" s="23">
        <v>0</v>
      </c>
      <c r="AQ451" s="23">
        <v>0</v>
      </c>
      <c r="AR451" s="35">
        <v>0</v>
      </c>
      <c r="AS451" s="35">
        <v>0</v>
      </c>
      <c r="AT451" s="35">
        <v>11</v>
      </c>
      <c r="AU451" s="31" t="str">
        <f t="shared" si="9"/>
        <v>库存为11</v>
      </c>
      <c r="AV451" s="36" t="str">
        <f>IFERROR($A$2+AU451,"上周无销量")</f>
        <v>上周无销量</v>
      </c>
    </row>
    <row r="452" spans="1:48">
      <c r="A452" s="21" t="s">
        <v>986</v>
      </c>
      <c r="B452" t="s">
        <v>987</v>
      </c>
      <c r="C452" t="s">
        <v>965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988</v>
      </c>
      <c r="B453" t="s">
        <v>989</v>
      </c>
      <c r="C453" t="s">
        <v>965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990</v>
      </c>
      <c r="B454" t="s">
        <v>991</v>
      </c>
      <c r="C454" t="s">
        <v>965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992</v>
      </c>
      <c r="B455" t="s">
        <v>993</v>
      </c>
      <c r="C455" t="s">
        <v>965</v>
      </c>
      <c r="D455" s="31">
        <v>2</v>
      </c>
      <c r="E455" s="31">
        <v>1</v>
      </c>
      <c r="F455" s="31">
        <v>0</v>
      </c>
      <c r="G455" s="31">
        <v>1</v>
      </c>
      <c r="H455" s="32">
        <v>11.745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3</v>
      </c>
      <c r="AK455">
        <v>7</v>
      </c>
      <c r="AL455">
        <v>2</v>
      </c>
      <c r="AM455">
        <v>0</v>
      </c>
      <c r="AN455" s="23">
        <v>0.666666666666667</v>
      </c>
      <c r="AO455" s="23">
        <v>0.142857142857143</v>
      </c>
      <c r="AP455" s="23">
        <v>0</v>
      </c>
      <c r="AQ455" s="23" t="s">
        <v>54</v>
      </c>
      <c r="AR455" s="35">
        <v>0.285714285714286</v>
      </c>
      <c r="AS455" s="35">
        <v>17.1428571428571</v>
      </c>
      <c r="AT455" s="35">
        <v>-17.1428571428571</v>
      </c>
      <c r="AU455" s="31">
        <f t="shared" si="10"/>
        <v>0</v>
      </c>
      <c r="AV455" s="36">
        <f>IFERROR($A$2+AU455,"上周无销量")</f>
        <v>43262</v>
      </c>
    </row>
    <row r="456" spans="1:48">
      <c r="A456" s="21" t="s">
        <v>994</v>
      </c>
      <c r="B456" t="s">
        <v>995</v>
      </c>
      <c r="C456" t="s">
        <v>965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13</v>
      </c>
      <c r="J456" s="33">
        <v>0</v>
      </c>
      <c r="K456" s="33">
        <v>0</v>
      </c>
      <c r="L456" s="33">
        <v>0</v>
      </c>
      <c r="M456">
        <v>13</v>
      </c>
      <c r="N456">
        <v>0</v>
      </c>
      <c r="O456">
        <v>13</v>
      </c>
      <c r="P456">
        <v>0</v>
      </c>
      <c r="Q456">
        <v>3</v>
      </c>
      <c r="R456">
        <v>308</v>
      </c>
      <c r="S456">
        <v>249</v>
      </c>
      <c r="T456">
        <v>0</v>
      </c>
      <c r="U456">
        <v>0</v>
      </c>
      <c r="V456">
        <v>14</v>
      </c>
      <c r="W456">
        <v>15</v>
      </c>
      <c r="X456" s="23" t="s">
        <v>54</v>
      </c>
      <c r="Y456" s="23">
        <v>0</v>
      </c>
      <c r="Z456" s="23">
        <v>0.0454545454545455</v>
      </c>
      <c r="AA456" s="23">
        <v>0.0602409638554217</v>
      </c>
      <c r="AB456">
        <v>0</v>
      </c>
      <c r="AC456">
        <v>0</v>
      </c>
      <c r="AD456">
        <v>8.61</v>
      </c>
      <c r="AE456">
        <v>9.08</v>
      </c>
      <c r="AF456" s="23" t="s">
        <v>54</v>
      </c>
      <c r="AG456" s="23" t="s">
        <v>54</v>
      </c>
      <c r="AH456" s="23">
        <v>0</v>
      </c>
      <c r="AI456" s="23">
        <v>0</v>
      </c>
      <c r="AJ456">
        <v>2</v>
      </c>
      <c r="AK456">
        <v>5</v>
      </c>
      <c r="AL456">
        <v>13</v>
      </c>
      <c r="AM456">
        <v>3</v>
      </c>
      <c r="AN456" s="23">
        <v>0</v>
      </c>
      <c r="AO456" s="23">
        <v>0</v>
      </c>
      <c r="AP456" s="23">
        <v>0</v>
      </c>
      <c r="AQ456" s="23">
        <v>0</v>
      </c>
      <c r="AR456" s="35">
        <v>0</v>
      </c>
      <c r="AS456" s="35">
        <v>0</v>
      </c>
      <c r="AT456" s="35">
        <v>13</v>
      </c>
      <c r="AU456" s="31" t="str">
        <f t="shared" si="10"/>
        <v>库存为13</v>
      </c>
      <c r="AV456" s="36" t="str">
        <f>IFERROR($A$2+AU456,"上周无销量")</f>
        <v>上周无销量</v>
      </c>
    </row>
    <row r="457" spans="1:48">
      <c r="A457" s="21" t="s">
        <v>996</v>
      </c>
      <c r="B457" t="s">
        <v>997</v>
      </c>
      <c r="C457" t="s">
        <v>965</v>
      </c>
      <c r="D457" s="31">
        <v>1</v>
      </c>
      <c r="E457" s="31">
        <v>2</v>
      </c>
      <c r="F457" s="31">
        <v>0</v>
      </c>
      <c r="G457" s="31">
        <v>0</v>
      </c>
      <c r="H457" s="32">
        <v>12.3266666666667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4</v>
      </c>
      <c r="AK457">
        <v>11</v>
      </c>
      <c r="AL457">
        <v>2</v>
      </c>
      <c r="AM457">
        <v>3</v>
      </c>
      <c r="AN457" s="23">
        <v>0.25</v>
      </c>
      <c r="AO457" s="23">
        <v>0.181818181818182</v>
      </c>
      <c r="AP457" s="23">
        <v>0</v>
      </c>
      <c r="AQ457" s="23">
        <v>0</v>
      </c>
      <c r="AR457" s="35">
        <v>0.142857142857143</v>
      </c>
      <c r="AS457" s="35">
        <v>8.57142857142857</v>
      </c>
      <c r="AT457" s="35">
        <v>-8.57142857142857</v>
      </c>
      <c r="AU457" s="31">
        <f t="shared" si="10"/>
        <v>0</v>
      </c>
      <c r="AV457" s="36">
        <f>IFERROR($A$2+AU457,"上周无销量")</f>
        <v>43262</v>
      </c>
    </row>
    <row r="458" spans="1:48">
      <c r="A458" s="21" t="s">
        <v>998</v>
      </c>
      <c r="B458" t="s">
        <v>999</v>
      </c>
      <c r="C458" t="s">
        <v>965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1000</v>
      </c>
      <c r="B459" t="s">
        <v>1001</v>
      </c>
      <c r="C459" t="s">
        <v>965</v>
      </c>
      <c r="D459" s="31">
        <v>0</v>
      </c>
      <c r="E459" s="31">
        <v>2</v>
      </c>
      <c r="F459" s="31">
        <v>0</v>
      </c>
      <c r="G459" s="31">
        <v>0</v>
      </c>
      <c r="H459" s="32">
        <v>12.98</v>
      </c>
      <c r="I459">
        <v>8</v>
      </c>
      <c r="J459" s="33">
        <v>0</v>
      </c>
      <c r="K459" s="33">
        <v>0</v>
      </c>
      <c r="L459" s="33">
        <v>0</v>
      </c>
      <c r="M459">
        <v>8</v>
      </c>
      <c r="N459">
        <v>0</v>
      </c>
      <c r="O459">
        <v>8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5</v>
      </c>
      <c r="AK459">
        <v>5</v>
      </c>
      <c r="AL459">
        <v>2</v>
      </c>
      <c r="AM459">
        <v>2</v>
      </c>
      <c r="AN459" s="23">
        <v>0</v>
      </c>
      <c r="AO459" s="23">
        <v>0.4</v>
      </c>
      <c r="AP459" s="23">
        <v>0</v>
      </c>
      <c r="AQ459" s="23">
        <v>0</v>
      </c>
      <c r="AR459" s="35">
        <v>0</v>
      </c>
      <c r="AS459" s="35">
        <v>0</v>
      </c>
      <c r="AT459" s="35">
        <v>8</v>
      </c>
      <c r="AU459" s="31" t="str">
        <f t="shared" si="10"/>
        <v>库存为8</v>
      </c>
      <c r="AV459" s="36" t="str">
        <f>IFERROR($A$2+AU459,"上周无销量")</f>
        <v>上周无销量</v>
      </c>
    </row>
    <row r="460" spans="1:48">
      <c r="A460" s="21" t="s">
        <v>1002</v>
      </c>
      <c r="B460" t="s">
        <v>1003</v>
      </c>
      <c r="C460" t="s">
        <v>965</v>
      </c>
      <c r="D460" s="31">
        <v>1</v>
      </c>
      <c r="E460" s="31">
        <v>0</v>
      </c>
      <c r="F460" s="31">
        <v>1</v>
      </c>
      <c r="G460" s="31">
        <v>2</v>
      </c>
      <c r="H460" s="32">
        <v>15.98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1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2</v>
      </c>
      <c r="AK460">
        <v>3</v>
      </c>
      <c r="AL460">
        <v>0</v>
      </c>
      <c r="AM460">
        <v>3</v>
      </c>
      <c r="AN460" s="23">
        <v>0.5</v>
      </c>
      <c r="AO460" s="23">
        <v>0</v>
      </c>
      <c r="AP460" s="23" t="s">
        <v>54</v>
      </c>
      <c r="AQ460" s="23">
        <v>0.666666666666667</v>
      </c>
      <c r="AR460" s="35">
        <v>0.142857142857143</v>
      </c>
      <c r="AS460" s="35">
        <v>8.57142857142857</v>
      </c>
      <c r="AT460" s="35">
        <v>-8.57142857142857</v>
      </c>
      <c r="AU460" s="31">
        <f t="shared" si="10"/>
        <v>0</v>
      </c>
      <c r="AV460" s="36">
        <f>IFERROR($A$2+AU460,"上周无销量")</f>
        <v>43262</v>
      </c>
    </row>
    <row r="461" spans="1:48">
      <c r="A461" s="21" t="s">
        <v>1004</v>
      </c>
      <c r="B461" t="s">
        <v>1005</v>
      </c>
      <c r="C461" t="s">
        <v>965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9</v>
      </c>
      <c r="J461" s="33">
        <v>0</v>
      </c>
      <c r="K461" s="33">
        <v>0</v>
      </c>
      <c r="L461" s="33">
        <v>0</v>
      </c>
      <c r="M461">
        <v>9</v>
      </c>
      <c r="N461">
        <v>0</v>
      </c>
      <c r="O461">
        <v>9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5</v>
      </c>
      <c r="AK461">
        <v>2</v>
      </c>
      <c r="AL461">
        <v>3</v>
      </c>
      <c r="AM461">
        <v>1</v>
      </c>
      <c r="AN461" s="23">
        <v>0</v>
      </c>
      <c r="AO461" s="23">
        <v>0</v>
      </c>
      <c r="AP461" s="23">
        <v>0</v>
      </c>
      <c r="AQ461" s="23">
        <v>0</v>
      </c>
      <c r="AR461" s="35">
        <v>0</v>
      </c>
      <c r="AS461" s="35">
        <v>0</v>
      </c>
      <c r="AT461" s="35">
        <v>9</v>
      </c>
      <c r="AU461" s="31" t="str">
        <f t="shared" si="10"/>
        <v>库存为9</v>
      </c>
      <c r="AV461" s="36" t="str">
        <f>IFERROR($A$2+AU461,"上周无销量")</f>
        <v>上周无销量</v>
      </c>
    </row>
    <row r="462" spans="1:48">
      <c r="A462" s="21" t="s">
        <v>1006</v>
      </c>
      <c r="B462" t="s">
        <v>1007</v>
      </c>
      <c r="C462" t="s">
        <v>965</v>
      </c>
      <c r="D462" s="31">
        <v>1</v>
      </c>
      <c r="E462" s="31">
        <v>1</v>
      </c>
      <c r="F462" s="31">
        <v>2</v>
      </c>
      <c r="G462" s="31">
        <v>1</v>
      </c>
      <c r="H462" s="32">
        <v>15.38</v>
      </c>
      <c r="I462">
        <v>6</v>
      </c>
      <c r="J462" s="33">
        <v>0</v>
      </c>
      <c r="K462" s="33">
        <v>0</v>
      </c>
      <c r="L462" s="33">
        <v>0</v>
      </c>
      <c r="M462">
        <v>6</v>
      </c>
      <c r="N462">
        <v>0</v>
      </c>
      <c r="O462">
        <v>6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3</v>
      </c>
      <c r="AK462">
        <v>3</v>
      </c>
      <c r="AL462">
        <v>6</v>
      </c>
      <c r="AM462">
        <v>4</v>
      </c>
      <c r="AN462" s="23">
        <v>0.333333333333333</v>
      </c>
      <c r="AO462" s="23">
        <v>0.333333333333333</v>
      </c>
      <c r="AP462" s="23">
        <v>0.333333333333333</v>
      </c>
      <c r="AQ462" s="23">
        <v>0.25</v>
      </c>
      <c r="AR462" s="35">
        <v>0.142857142857143</v>
      </c>
      <c r="AS462" s="35">
        <v>8.57142857142857</v>
      </c>
      <c r="AT462" s="35">
        <v>-2.57142857142857</v>
      </c>
      <c r="AU462" s="31">
        <f t="shared" si="10"/>
        <v>42</v>
      </c>
      <c r="AV462" s="36">
        <f>IFERROR($A$2+AU462,"上周无销量")</f>
        <v>43304</v>
      </c>
    </row>
    <row r="463" spans="1:48">
      <c r="A463" s="21" t="s">
        <v>1008</v>
      </c>
      <c r="B463" t="s">
        <v>1009</v>
      </c>
      <c r="C463" t="s">
        <v>965</v>
      </c>
      <c r="D463" s="31">
        <v>1</v>
      </c>
      <c r="E463" s="31">
        <v>0</v>
      </c>
      <c r="F463" s="31">
        <v>0</v>
      </c>
      <c r="G463" s="31">
        <v>0</v>
      </c>
      <c r="H463" s="32">
        <v>12.98</v>
      </c>
      <c r="I463">
        <v>3</v>
      </c>
      <c r="J463" s="33">
        <v>0</v>
      </c>
      <c r="K463" s="33">
        <v>0</v>
      </c>
      <c r="L463" s="33">
        <v>0</v>
      </c>
      <c r="M463">
        <v>3</v>
      </c>
      <c r="N463">
        <v>0</v>
      </c>
      <c r="O463">
        <v>1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4</v>
      </c>
      <c r="AK463">
        <v>6</v>
      </c>
      <c r="AL463">
        <v>8</v>
      </c>
      <c r="AM463">
        <v>2</v>
      </c>
      <c r="AN463" s="23">
        <v>0.25</v>
      </c>
      <c r="AO463" s="23">
        <v>0</v>
      </c>
      <c r="AP463" s="23">
        <v>0</v>
      </c>
      <c r="AQ463" s="23">
        <v>0</v>
      </c>
      <c r="AR463" s="35">
        <v>0.142857142857143</v>
      </c>
      <c r="AS463" s="35">
        <v>8.57142857142857</v>
      </c>
      <c r="AT463" s="35">
        <v>-5.57142857142857</v>
      </c>
      <c r="AU463" s="31">
        <f t="shared" si="10"/>
        <v>21</v>
      </c>
      <c r="AV463" s="36">
        <f>IFERROR($A$2+AU463,"上周无销量")</f>
        <v>43283</v>
      </c>
    </row>
    <row r="464" spans="1:48">
      <c r="A464" s="21" t="s">
        <v>1010</v>
      </c>
      <c r="B464" t="s">
        <v>1011</v>
      </c>
      <c r="C464" t="s">
        <v>965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1012</v>
      </c>
      <c r="B465" t="s">
        <v>1013</v>
      </c>
      <c r="C465" t="s">
        <v>965</v>
      </c>
      <c r="D465" s="31">
        <v>1</v>
      </c>
      <c r="E465" s="31">
        <v>1</v>
      </c>
      <c r="F465" s="31">
        <v>2</v>
      </c>
      <c r="G465" s="31">
        <v>1</v>
      </c>
      <c r="H465" s="32">
        <v>10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1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5</v>
      </c>
      <c r="AL465">
        <v>7</v>
      </c>
      <c r="AM465">
        <v>1</v>
      </c>
      <c r="AN465" s="23" t="s">
        <v>54</v>
      </c>
      <c r="AO465" s="23">
        <v>0.2</v>
      </c>
      <c r="AP465" s="23">
        <v>0.285714285714286</v>
      </c>
      <c r="AQ465" s="23">
        <v>1</v>
      </c>
      <c r="AR465" s="35">
        <v>0.142857142857143</v>
      </c>
      <c r="AS465" s="35">
        <v>8.57142857142857</v>
      </c>
      <c r="AT465" s="35">
        <v>-8.57142857142857</v>
      </c>
      <c r="AU465" s="31">
        <f t="shared" si="10"/>
        <v>0</v>
      </c>
      <c r="AV465" s="36">
        <f>IFERROR($A$2+AU465,"上周无销量")</f>
        <v>43262</v>
      </c>
    </row>
    <row r="466" spans="1:48">
      <c r="A466" s="21" t="s">
        <v>1014</v>
      </c>
      <c r="B466" t="s">
        <v>1015</v>
      </c>
      <c r="C466" t="s">
        <v>965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6</v>
      </c>
      <c r="J466" s="33">
        <v>0</v>
      </c>
      <c r="K466" s="33">
        <v>0</v>
      </c>
      <c r="L466" s="33">
        <v>0</v>
      </c>
      <c r="M466">
        <v>6</v>
      </c>
      <c r="N466">
        <v>0</v>
      </c>
      <c r="O466">
        <v>6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1</v>
      </c>
      <c r="AK466">
        <v>4</v>
      </c>
      <c r="AL466">
        <v>6</v>
      </c>
      <c r="AM466">
        <v>0</v>
      </c>
      <c r="AN466" s="23">
        <v>0</v>
      </c>
      <c r="AO466" s="23">
        <v>0</v>
      </c>
      <c r="AP466" s="23">
        <v>0</v>
      </c>
      <c r="AQ466" s="23" t="s">
        <v>54</v>
      </c>
      <c r="AR466" s="35">
        <v>0</v>
      </c>
      <c r="AS466" s="35">
        <v>0</v>
      </c>
      <c r="AT466" s="35">
        <v>6</v>
      </c>
      <c r="AU466" s="31" t="str">
        <f t="shared" si="10"/>
        <v>库存为6</v>
      </c>
      <c r="AV466" s="36" t="str">
        <f>IFERROR($A$2+AU466,"上周无销量")</f>
        <v>上周无销量</v>
      </c>
    </row>
    <row r="467" spans="1:48">
      <c r="A467" s="21" t="s">
        <v>1016</v>
      </c>
      <c r="B467" t="s">
        <v>1017</v>
      </c>
      <c r="C467" t="s">
        <v>965</v>
      </c>
      <c r="D467" s="31">
        <v>0</v>
      </c>
      <c r="E467" s="31">
        <v>1</v>
      </c>
      <c r="F467" s="31">
        <v>0</v>
      </c>
      <c r="G467" s="31">
        <v>0</v>
      </c>
      <c r="H467" s="32">
        <v>10</v>
      </c>
      <c r="I467">
        <v>9</v>
      </c>
      <c r="J467" s="33">
        <v>0</v>
      </c>
      <c r="K467" s="33">
        <v>0</v>
      </c>
      <c r="L467" s="33">
        <v>0</v>
      </c>
      <c r="M467">
        <v>9</v>
      </c>
      <c r="N467">
        <v>0</v>
      </c>
      <c r="O467">
        <v>9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8</v>
      </c>
      <c r="AK467">
        <v>5</v>
      </c>
      <c r="AL467">
        <v>3</v>
      </c>
      <c r="AM467">
        <v>0</v>
      </c>
      <c r="AN467" s="23">
        <v>0</v>
      </c>
      <c r="AO467" s="23">
        <v>0.2</v>
      </c>
      <c r="AP467" s="23">
        <v>0</v>
      </c>
      <c r="AQ467" s="23" t="s">
        <v>54</v>
      </c>
      <c r="AR467" s="35">
        <v>0</v>
      </c>
      <c r="AS467" s="35">
        <v>0</v>
      </c>
      <c r="AT467" s="35">
        <v>9</v>
      </c>
      <c r="AU467" s="31" t="str">
        <f t="shared" si="10"/>
        <v>库存为9</v>
      </c>
      <c r="AV467" s="36" t="str">
        <f>IFERROR($A$2+AU467,"上周无销量")</f>
        <v>上周无销量</v>
      </c>
    </row>
    <row r="468" spans="1:48">
      <c r="A468" s="21" t="s">
        <v>1018</v>
      </c>
      <c r="B468" t="s">
        <v>1019</v>
      </c>
      <c r="C468" t="s">
        <v>965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12</v>
      </c>
      <c r="J468" s="33">
        <v>0</v>
      </c>
      <c r="K468" s="33">
        <v>0</v>
      </c>
      <c r="L468" s="33">
        <v>0</v>
      </c>
      <c r="M468">
        <v>12</v>
      </c>
      <c r="N468">
        <v>0</v>
      </c>
      <c r="O468">
        <v>12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4</v>
      </c>
      <c r="AK468">
        <v>3</v>
      </c>
      <c r="AL468">
        <v>4</v>
      </c>
      <c r="AM468">
        <v>0</v>
      </c>
      <c r="AN468" s="23">
        <v>0</v>
      </c>
      <c r="AO468" s="23">
        <v>0</v>
      </c>
      <c r="AP468" s="23">
        <v>0</v>
      </c>
      <c r="AQ468" s="23" t="s">
        <v>54</v>
      </c>
      <c r="AR468" s="35">
        <v>0</v>
      </c>
      <c r="AS468" s="35">
        <v>0</v>
      </c>
      <c r="AT468" s="35">
        <v>12</v>
      </c>
      <c r="AU468" s="31" t="str">
        <f t="shared" si="10"/>
        <v>库存为12</v>
      </c>
      <c r="AV468" s="36" t="str">
        <f>IFERROR($A$2+AU468,"上周无销量")</f>
        <v>上周无销量</v>
      </c>
    </row>
    <row r="469" spans="1:48">
      <c r="A469" s="21" t="s">
        <v>1020</v>
      </c>
      <c r="B469" t="s">
        <v>1021</v>
      </c>
      <c r="C469" t="s">
        <v>965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s">
        <v>54</v>
      </c>
      <c r="AO469" s="23" t="s">
        <v>54</v>
      </c>
      <c r="AP469" s="23" t="s">
        <v>54</v>
      </c>
      <c r="AQ469" s="23" t="s">
        <v>54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1022</v>
      </c>
      <c r="B470" t="s">
        <v>1023</v>
      </c>
      <c r="C470" t="s">
        <v>965</v>
      </c>
      <c r="D470" s="31">
        <v>0</v>
      </c>
      <c r="E470" s="31">
        <v>0</v>
      </c>
      <c r="F470" s="31">
        <v>0</v>
      </c>
      <c r="G470" s="31">
        <v>1</v>
      </c>
      <c r="H470" s="32">
        <v>19.98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5</v>
      </c>
      <c r="AN470" s="23" t="s">
        <v>54</v>
      </c>
      <c r="AO470" s="23" t="s">
        <v>54</v>
      </c>
      <c r="AP470" s="23" t="s">
        <v>54</v>
      </c>
      <c r="AQ470" s="23">
        <v>0.2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1024</v>
      </c>
      <c r="B471" t="s">
        <v>1025</v>
      </c>
      <c r="C471" t="s">
        <v>965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1026</v>
      </c>
      <c r="B472" t="s">
        <v>1027</v>
      </c>
      <c r="C472" t="s">
        <v>965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1028</v>
      </c>
      <c r="B473" t="s">
        <v>1029</v>
      </c>
      <c r="C473" t="s">
        <v>965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7</v>
      </c>
      <c r="J473" s="33">
        <v>0</v>
      </c>
      <c r="K473" s="33">
        <v>0</v>
      </c>
      <c r="L473" s="33">
        <v>0</v>
      </c>
      <c r="M473">
        <v>7</v>
      </c>
      <c r="N473">
        <v>0</v>
      </c>
      <c r="O473">
        <v>7</v>
      </c>
      <c r="P473">
        <v>0</v>
      </c>
      <c r="Q473">
        <v>2</v>
      </c>
      <c r="R473">
        <v>199</v>
      </c>
      <c r="S473">
        <v>431</v>
      </c>
      <c r="T473">
        <v>0</v>
      </c>
      <c r="U473">
        <v>0</v>
      </c>
      <c r="V473">
        <v>10</v>
      </c>
      <c r="W473">
        <v>9</v>
      </c>
      <c r="X473" s="23" t="s">
        <v>54</v>
      </c>
      <c r="Y473" s="23">
        <v>0</v>
      </c>
      <c r="Z473" s="23">
        <v>0.050251256281407</v>
      </c>
      <c r="AA473" s="23">
        <v>0.0208816705336427</v>
      </c>
      <c r="AB473">
        <v>0</v>
      </c>
      <c r="AC473">
        <v>0</v>
      </c>
      <c r="AD473">
        <v>5.3</v>
      </c>
      <c r="AE473">
        <v>6.92</v>
      </c>
      <c r="AF473" s="23" t="s">
        <v>54</v>
      </c>
      <c r="AG473" s="23" t="s">
        <v>54</v>
      </c>
      <c r="AH473" s="23">
        <v>0</v>
      </c>
      <c r="AI473" s="23">
        <v>0</v>
      </c>
      <c r="AJ473">
        <v>5</v>
      </c>
      <c r="AK473">
        <v>5</v>
      </c>
      <c r="AL473">
        <v>7</v>
      </c>
      <c r="AM473">
        <v>7</v>
      </c>
      <c r="AN473" s="23">
        <v>0</v>
      </c>
      <c r="AO473" s="23">
        <v>0</v>
      </c>
      <c r="AP473" s="23">
        <v>0</v>
      </c>
      <c r="AQ473" s="23">
        <v>0</v>
      </c>
      <c r="AR473" s="35">
        <v>0</v>
      </c>
      <c r="AS473" s="35">
        <v>0</v>
      </c>
      <c r="AT473" s="35">
        <v>7</v>
      </c>
      <c r="AU473" s="31" t="str">
        <f t="shared" si="10"/>
        <v>库存为7</v>
      </c>
      <c r="AV473" s="36" t="str">
        <f>IFERROR($A$2+AU473,"上周无销量")</f>
        <v>上周无销量</v>
      </c>
    </row>
    <row r="474" spans="1:48">
      <c r="A474" s="21" t="s">
        <v>1030</v>
      </c>
      <c r="B474" t="s">
        <v>1031</v>
      </c>
      <c r="C474" t="s">
        <v>965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1032</v>
      </c>
      <c r="B475" t="s">
        <v>1033</v>
      </c>
      <c r="C475" t="s">
        <v>965</v>
      </c>
      <c r="D475" s="31">
        <v>0</v>
      </c>
      <c r="E475" s="31">
        <v>2</v>
      </c>
      <c r="F475" s="31">
        <v>0</v>
      </c>
      <c r="G475" s="31">
        <v>0</v>
      </c>
      <c r="H475" s="32">
        <v>10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1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1</v>
      </c>
      <c r="AK475">
        <v>3</v>
      </c>
      <c r="AL475">
        <v>3</v>
      </c>
      <c r="AM475">
        <v>4</v>
      </c>
      <c r="AN475" s="23">
        <v>0</v>
      </c>
      <c r="AO475" s="23">
        <v>0.666666666666667</v>
      </c>
      <c r="AP475" s="23">
        <v>0</v>
      </c>
      <c r="AQ475" s="23">
        <v>0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1034</v>
      </c>
      <c r="B476" t="s">
        <v>1035</v>
      </c>
      <c r="C476" t="s">
        <v>965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1036</v>
      </c>
      <c r="B477" t="s">
        <v>1037</v>
      </c>
      <c r="C477" t="s">
        <v>1036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5</v>
      </c>
      <c r="J477" s="33">
        <v>0</v>
      </c>
      <c r="K477" s="33">
        <v>0</v>
      </c>
      <c r="L477" s="33">
        <v>0</v>
      </c>
      <c r="M477">
        <v>5</v>
      </c>
      <c r="N477">
        <v>0</v>
      </c>
      <c r="O477">
        <v>5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2</v>
      </c>
      <c r="AK477">
        <v>4</v>
      </c>
      <c r="AL477">
        <v>0</v>
      </c>
      <c r="AM477">
        <v>1</v>
      </c>
      <c r="AN477" s="23">
        <v>0</v>
      </c>
      <c r="AO477" s="23">
        <v>0</v>
      </c>
      <c r="AP477" s="23" t="s">
        <v>54</v>
      </c>
      <c r="AQ477" s="23">
        <v>0</v>
      </c>
      <c r="AR477" s="35">
        <v>0</v>
      </c>
      <c r="AS477" s="35">
        <v>0</v>
      </c>
      <c r="AT477" s="35">
        <v>5</v>
      </c>
      <c r="AU477" s="31" t="str">
        <f t="shared" si="10"/>
        <v>库存为5</v>
      </c>
      <c r="AV477" s="36" t="str">
        <f>IFERROR($A$2+AU477,"上周无销量")</f>
        <v>上周无销量</v>
      </c>
    </row>
    <row r="478" spans="1:48">
      <c r="A478" s="21" t="s">
        <v>1038</v>
      </c>
      <c r="B478" t="s">
        <v>1039</v>
      </c>
      <c r="C478" t="s">
        <v>1040</v>
      </c>
      <c r="D478" s="31">
        <v>4</v>
      </c>
      <c r="E478" s="31">
        <v>3</v>
      </c>
      <c r="F478" s="31">
        <v>4</v>
      </c>
      <c r="G478" s="31">
        <v>0</v>
      </c>
      <c r="H478" s="32">
        <v>25.0809090909091</v>
      </c>
      <c r="I478">
        <v>8</v>
      </c>
      <c r="J478" s="33">
        <v>10</v>
      </c>
      <c r="K478" s="33">
        <v>0</v>
      </c>
      <c r="L478" s="33">
        <v>0</v>
      </c>
      <c r="M478">
        <v>18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21</v>
      </c>
      <c r="AK478">
        <v>14</v>
      </c>
      <c r="AL478">
        <v>21</v>
      </c>
      <c r="AM478">
        <v>7</v>
      </c>
      <c r="AN478" s="23">
        <v>0.19047619047619</v>
      </c>
      <c r="AO478" s="23">
        <v>0.214285714285714</v>
      </c>
      <c r="AP478" s="23">
        <v>0.19047619047619</v>
      </c>
      <c r="AQ478" s="23">
        <v>0</v>
      </c>
      <c r="AR478" s="35">
        <v>0.571428571428571</v>
      </c>
      <c r="AS478" s="35">
        <v>34.2857142857143</v>
      </c>
      <c r="AT478" s="35">
        <v>-16.2857142857143</v>
      </c>
      <c r="AU478" s="31">
        <f t="shared" si="10"/>
        <v>31</v>
      </c>
      <c r="AV478" s="36">
        <f>IFERROR($A$2+AU478,"上周无销量")</f>
        <v>43293</v>
      </c>
    </row>
    <row r="479" spans="1:48">
      <c r="A479" s="21" t="s">
        <v>1041</v>
      </c>
      <c r="B479" t="s">
        <v>1042</v>
      </c>
      <c r="C479" t="s">
        <v>1040</v>
      </c>
      <c r="D479" s="31">
        <v>3</v>
      </c>
      <c r="E479" s="31">
        <v>6</v>
      </c>
      <c r="F479" s="31">
        <v>5</v>
      </c>
      <c r="G479" s="31">
        <v>0</v>
      </c>
      <c r="H479" s="32">
        <v>18.99</v>
      </c>
      <c r="I479">
        <v>5</v>
      </c>
      <c r="J479" s="33">
        <v>30</v>
      </c>
      <c r="K479" s="33">
        <v>0</v>
      </c>
      <c r="L479" s="33">
        <v>0</v>
      </c>
      <c r="M479">
        <v>35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26</v>
      </c>
      <c r="AK479">
        <v>33</v>
      </c>
      <c r="AL479">
        <v>20</v>
      </c>
      <c r="AM479">
        <v>8</v>
      </c>
      <c r="AN479" s="23">
        <v>0.115384615384615</v>
      </c>
      <c r="AO479" s="23">
        <v>0.181818181818182</v>
      </c>
      <c r="AP479" s="23">
        <v>0.25</v>
      </c>
      <c r="AQ479" s="23">
        <v>0</v>
      </c>
      <c r="AR479" s="35">
        <v>0.428571428571429</v>
      </c>
      <c r="AS479" s="35">
        <v>25.7142857142857</v>
      </c>
      <c r="AT479" s="35">
        <v>9.28571428571429</v>
      </c>
      <c r="AU479" s="31">
        <f t="shared" si="10"/>
        <v>81</v>
      </c>
      <c r="AV479" s="36">
        <f>IFERROR($A$2+AU479,"上周无销量")</f>
        <v>43343</v>
      </c>
    </row>
    <row r="480" spans="1:48">
      <c r="A480" s="21" t="s">
        <v>1043</v>
      </c>
      <c r="B480" t="s">
        <v>1044</v>
      </c>
      <c r="C480" t="s">
        <v>1040</v>
      </c>
      <c r="D480" s="31">
        <v>6</v>
      </c>
      <c r="E480" s="31">
        <v>8</v>
      </c>
      <c r="F480" s="31">
        <v>7</v>
      </c>
      <c r="G480" s="31">
        <v>6</v>
      </c>
      <c r="H480" s="32">
        <v>13.9533333333333</v>
      </c>
      <c r="I480">
        <v>1</v>
      </c>
      <c r="J480" s="33">
        <v>111</v>
      </c>
      <c r="K480" s="33">
        <v>0</v>
      </c>
      <c r="L480" s="33">
        <v>1</v>
      </c>
      <c r="M480">
        <v>113</v>
      </c>
      <c r="N480">
        <v>0</v>
      </c>
      <c r="O480">
        <v>0</v>
      </c>
      <c r="P480">
        <v>0</v>
      </c>
      <c r="Q480">
        <v>2534</v>
      </c>
      <c r="R480">
        <v>9092</v>
      </c>
      <c r="S480">
        <v>1976</v>
      </c>
      <c r="T480">
        <v>0</v>
      </c>
      <c r="U480">
        <v>40</v>
      </c>
      <c r="V480">
        <v>97</v>
      </c>
      <c r="W480">
        <v>37</v>
      </c>
      <c r="X480" s="23" t="s">
        <v>54</v>
      </c>
      <c r="Y480" s="23">
        <v>0.015785319652723</v>
      </c>
      <c r="Z480" s="23">
        <v>0.0106687197536296</v>
      </c>
      <c r="AA480" s="23">
        <v>0.0187246963562753</v>
      </c>
      <c r="AB480">
        <v>0</v>
      </c>
      <c r="AC480">
        <v>35.1</v>
      </c>
      <c r="AD480">
        <v>80.46</v>
      </c>
      <c r="AE480">
        <v>30.57</v>
      </c>
      <c r="AF480" s="23" t="s">
        <v>54</v>
      </c>
      <c r="AG480" s="23">
        <v>0.314440993788821</v>
      </c>
      <c r="AH480" s="23">
        <v>0.823766295815987</v>
      </c>
      <c r="AI480" s="23">
        <v>0.365145723841377</v>
      </c>
      <c r="AJ480">
        <v>62</v>
      </c>
      <c r="AK480">
        <v>79</v>
      </c>
      <c r="AL480">
        <v>70</v>
      </c>
      <c r="AM480">
        <v>30</v>
      </c>
      <c r="AN480" s="23">
        <v>0.0967741935483871</v>
      </c>
      <c r="AO480" s="23">
        <v>0.10126582278481</v>
      </c>
      <c r="AP480" s="23">
        <v>0.1</v>
      </c>
      <c r="AQ480" s="23">
        <v>0.2</v>
      </c>
      <c r="AR480" s="35">
        <v>0.857142857142857</v>
      </c>
      <c r="AS480" s="35">
        <v>51.4285714285714</v>
      </c>
      <c r="AT480" s="35">
        <v>61.5714285714286</v>
      </c>
      <c r="AU480" s="31">
        <f t="shared" si="10"/>
        <v>131</v>
      </c>
      <c r="AV480" s="36">
        <f>IFERROR($A$2+AU480,"上周无销量")</f>
        <v>43393</v>
      </c>
    </row>
    <row r="481" spans="1:48">
      <c r="A481" s="21" t="s">
        <v>1045</v>
      </c>
      <c r="B481" t="s">
        <v>1046</v>
      </c>
      <c r="C481" t="s">
        <v>1040</v>
      </c>
      <c r="D481" s="31">
        <v>0</v>
      </c>
      <c r="E481" s="31">
        <v>0</v>
      </c>
      <c r="F481" s="31">
        <v>0</v>
      </c>
      <c r="G481" s="31">
        <v>5</v>
      </c>
      <c r="H481" s="32">
        <v>24.99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34</v>
      </c>
      <c r="AK481">
        <v>31</v>
      </c>
      <c r="AL481">
        <v>40</v>
      </c>
      <c r="AM481">
        <v>26</v>
      </c>
      <c r="AN481" s="23">
        <v>0</v>
      </c>
      <c r="AO481" s="23">
        <v>0</v>
      </c>
      <c r="AP481" s="23">
        <v>0</v>
      </c>
      <c r="AQ481" s="23">
        <v>0.192307692307692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1047</v>
      </c>
      <c r="B482" t="s">
        <v>1048</v>
      </c>
      <c r="C482" t="s">
        <v>1040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1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36</v>
      </c>
      <c r="AK482">
        <v>55</v>
      </c>
      <c r="AL482">
        <v>72</v>
      </c>
      <c r="AM482">
        <v>39</v>
      </c>
      <c r="AN482" s="23">
        <v>0</v>
      </c>
      <c r="AO482" s="23">
        <v>0</v>
      </c>
      <c r="AP482" s="23">
        <v>0</v>
      </c>
      <c r="AQ482" s="23">
        <v>0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1049</v>
      </c>
      <c r="B483" t="s">
        <v>1050</v>
      </c>
      <c r="C483" t="s">
        <v>1040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2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 s="23" t="s">
        <v>54</v>
      </c>
      <c r="Y483" s="23" t="s">
        <v>54</v>
      </c>
      <c r="Z483" s="23" t="s">
        <v>54</v>
      </c>
      <c r="AA483" s="23" t="s">
        <v>54</v>
      </c>
      <c r="AB483">
        <v>0</v>
      </c>
      <c r="AC483">
        <v>0</v>
      </c>
      <c r="AD483">
        <v>0</v>
      </c>
      <c r="AE483">
        <v>0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83</v>
      </c>
      <c r="AK483">
        <v>65</v>
      </c>
      <c r="AL483">
        <v>47</v>
      </c>
      <c r="AM483">
        <v>73</v>
      </c>
      <c r="AN483" s="23">
        <v>0</v>
      </c>
      <c r="AO483" s="23">
        <v>0</v>
      </c>
      <c r="AP483" s="23">
        <v>0</v>
      </c>
      <c r="AQ483" s="23">
        <v>0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1051</v>
      </c>
      <c r="B484" t="s">
        <v>1052</v>
      </c>
      <c r="C484" t="s">
        <v>1040</v>
      </c>
      <c r="D484" s="31">
        <v>0</v>
      </c>
      <c r="E484" s="31">
        <v>0</v>
      </c>
      <c r="F484" s="31">
        <v>1</v>
      </c>
      <c r="G484" s="31">
        <v>12</v>
      </c>
      <c r="H484" s="32">
        <v>24.99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29</v>
      </c>
      <c r="AK484">
        <v>30</v>
      </c>
      <c r="AL484">
        <v>50</v>
      </c>
      <c r="AM484">
        <v>40</v>
      </c>
      <c r="AN484" s="23">
        <v>0</v>
      </c>
      <c r="AO484" s="23">
        <v>0</v>
      </c>
      <c r="AP484" s="23">
        <v>0.02</v>
      </c>
      <c r="AQ484" s="23">
        <v>0.3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1053</v>
      </c>
      <c r="B485" t="s">
        <v>1054</v>
      </c>
      <c r="C485" t="s">
        <v>1040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45</v>
      </c>
      <c r="AK485">
        <v>59</v>
      </c>
      <c r="AL485">
        <v>89</v>
      </c>
      <c r="AM485">
        <v>45</v>
      </c>
      <c r="AN485" s="23">
        <v>0</v>
      </c>
      <c r="AO485" s="23">
        <v>0</v>
      </c>
      <c r="AP485" s="23">
        <v>0</v>
      </c>
      <c r="AQ485" s="23">
        <v>0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IFERROR($A$2+AU485,"上周无销量")</f>
        <v>上周无销量</v>
      </c>
    </row>
    <row r="486" spans="1:48">
      <c r="A486" s="21" t="s">
        <v>1055</v>
      </c>
      <c r="B486" t="s">
        <v>1056</v>
      </c>
      <c r="C486" t="s">
        <v>1040</v>
      </c>
      <c r="D486" s="31">
        <v>0</v>
      </c>
      <c r="E486" s="31">
        <v>1</v>
      </c>
      <c r="F486" s="31">
        <v>0</v>
      </c>
      <c r="G486" s="31">
        <v>0</v>
      </c>
      <c r="H486" s="32">
        <v>12.99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103</v>
      </c>
      <c r="AK486">
        <v>157</v>
      </c>
      <c r="AL486">
        <v>122</v>
      </c>
      <c r="AM486">
        <v>90</v>
      </c>
      <c r="AN486" s="23">
        <v>0</v>
      </c>
      <c r="AO486" s="23">
        <v>0.00636942675159236</v>
      </c>
      <c r="AP486" s="23">
        <v>0</v>
      </c>
      <c r="AQ486" s="23">
        <v>0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IFERROR($A$2+AU486,"上周无销量")</f>
        <v>上周无销量</v>
      </c>
    </row>
    <row r="487" spans="1:48">
      <c r="A487" s="21" t="s">
        <v>1057</v>
      </c>
      <c r="B487" t="s">
        <v>1058</v>
      </c>
      <c r="C487" t="s">
        <v>1040</v>
      </c>
      <c r="D487" s="31">
        <v>1</v>
      </c>
      <c r="E487" s="31">
        <v>5</v>
      </c>
      <c r="F487" s="31">
        <v>4</v>
      </c>
      <c r="G487" s="31">
        <v>2</v>
      </c>
      <c r="H487" s="32">
        <v>25.24</v>
      </c>
      <c r="I487">
        <v>4</v>
      </c>
      <c r="J487" s="33">
        <v>32</v>
      </c>
      <c r="K487" s="33">
        <v>0</v>
      </c>
      <c r="L487" s="33">
        <v>0</v>
      </c>
      <c r="M487">
        <v>36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20</v>
      </c>
      <c r="AK487">
        <v>19</v>
      </c>
      <c r="AL487">
        <v>24</v>
      </c>
      <c r="AM487">
        <v>6</v>
      </c>
      <c r="AN487" s="23">
        <v>0.05</v>
      </c>
      <c r="AO487" s="23">
        <v>0.263157894736842</v>
      </c>
      <c r="AP487" s="23">
        <v>0.166666666666667</v>
      </c>
      <c r="AQ487" s="23">
        <v>0.333333333333333</v>
      </c>
      <c r="AR487" s="35">
        <v>0.142857142857143</v>
      </c>
      <c r="AS487" s="35">
        <v>8.57142857142857</v>
      </c>
      <c r="AT487" s="35">
        <v>27.4285714285714</v>
      </c>
      <c r="AU487" s="31">
        <f t="shared" si="10"/>
        <v>252</v>
      </c>
      <c r="AV487" s="36">
        <f>IFERROR($A$2+AU487,"上周无销量")</f>
        <v>43514</v>
      </c>
    </row>
    <row r="488" spans="1:48">
      <c r="A488" s="21" t="s">
        <v>1059</v>
      </c>
      <c r="B488" t="s">
        <v>1060</v>
      </c>
      <c r="C488" t="s">
        <v>1040</v>
      </c>
      <c r="D488" s="31">
        <v>4</v>
      </c>
      <c r="E488" s="31">
        <v>11</v>
      </c>
      <c r="F488" s="31">
        <v>5</v>
      </c>
      <c r="G488" s="31">
        <v>1</v>
      </c>
      <c r="H488" s="32">
        <v>18.8957142857143</v>
      </c>
      <c r="I488">
        <v>4</v>
      </c>
      <c r="J488" s="33">
        <v>34</v>
      </c>
      <c r="K488" s="33">
        <v>0</v>
      </c>
      <c r="L488" s="33">
        <v>8</v>
      </c>
      <c r="M488">
        <v>46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28</v>
      </c>
      <c r="AK488">
        <v>32</v>
      </c>
      <c r="AL488">
        <v>16</v>
      </c>
      <c r="AM488">
        <v>10</v>
      </c>
      <c r="AN488" s="23">
        <v>0.142857142857143</v>
      </c>
      <c r="AO488" s="23">
        <v>0.34375</v>
      </c>
      <c r="AP488" s="23">
        <v>0.3125</v>
      </c>
      <c r="AQ488" s="23">
        <v>0.1</v>
      </c>
      <c r="AR488" s="35">
        <v>0.571428571428571</v>
      </c>
      <c r="AS488" s="35">
        <v>34.2857142857143</v>
      </c>
      <c r="AT488" s="35">
        <v>11.7142857142857</v>
      </c>
      <c r="AU488" s="31">
        <f t="shared" si="10"/>
        <v>80</v>
      </c>
      <c r="AV488" s="36">
        <f>IFERROR($A$2+AU488,"上周无销量")</f>
        <v>43342</v>
      </c>
    </row>
    <row r="489" spans="1:48">
      <c r="A489" s="21" t="s">
        <v>1061</v>
      </c>
      <c r="B489" t="s">
        <v>1062</v>
      </c>
      <c r="C489" t="s">
        <v>1040</v>
      </c>
      <c r="D489" s="31">
        <v>11</v>
      </c>
      <c r="E489" s="31">
        <v>9</v>
      </c>
      <c r="F489" s="31">
        <v>6</v>
      </c>
      <c r="G489" s="31">
        <v>3</v>
      </c>
      <c r="H489" s="32">
        <v>13.99</v>
      </c>
      <c r="I489">
        <v>0</v>
      </c>
      <c r="J489" s="33">
        <v>82</v>
      </c>
      <c r="K489" s="33">
        <v>0</v>
      </c>
      <c r="L489" s="33">
        <v>0</v>
      </c>
      <c r="M489">
        <v>82</v>
      </c>
      <c r="N489">
        <v>0</v>
      </c>
      <c r="O489">
        <v>0</v>
      </c>
      <c r="P489">
        <v>0</v>
      </c>
      <c r="Q489">
        <v>4651</v>
      </c>
      <c r="R489">
        <v>15652</v>
      </c>
      <c r="S489">
        <v>2766</v>
      </c>
      <c r="T489">
        <v>0</v>
      </c>
      <c r="U489">
        <v>37</v>
      </c>
      <c r="V489">
        <v>117</v>
      </c>
      <c r="W489">
        <v>52</v>
      </c>
      <c r="X489" s="23" t="s">
        <v>54</v>
      </c>
      <c r="Y489" s="23">
        <v>0.00795527843474522</v>
      </c>
      <c r="Z489" s="23">
        <v>0.00747508305647841</v>
      </c>
      <c r="AA489" s="23">
        <v>0.0187997107736804</v>
      </c>
      <c r="AB489">
        <v>0</v>
      </c>
      <c r="AC489">
        <v>31.19</v>
      </c>
      <c r="AD489">
        <v>83.93</v>
      </c>
      <c r="AE489">
        <v>41.08</v>
      </c>
      <c r="AF489" s="23" t="s">
        <v>54</v>
      </c>
      <c r="AG489" s="23">
        <v>0.247716622984672</v>
      </c>
      <c r="AH489" s="23">
        <v>0.999880867286157</v>
      </c>
      <c r="AI489" s="23">
        <v>0.978794376935907</v>
      </c>
      <c r="AJ489">
        <v>42</v>
      </c>
      <c r="AK489">
        <v>70</v>
      </c>
      <c r="AL489">
        <v>77</v>
      </c>
      <c r="AM489">
        <v>26</v>
      </c>
      <c r="AN489" s="23">
        <v>0.261904761904762</v>
      </c>
      <c r="AO489" s="23">
        <v>0.128571428571429</v>
      </c>
      <c r="AP489" s="23">
        <v>0.0779220779220779</v>
      </c>
      <c r="AQ489" s="23">
        <v>0.115384615384615</v>
      </c>
      <c r="AR489" s="35">
        <v>1.57142857142857</v>
      </c>
      <c r="AS489" s="35">
        <v>94.2857142857143</v>
      </c>
      <c r="AT489" s="35">
        <v>-12.2857142857143</v>
      </c>
      <c r="AU489" s="31">
        <f t="shared" si="10"/>
        <v>52</v>
      </c>
      <c r="AV489" s="36">
        <f>IFERROR($A$2+AU489,"上周无销量")</f>
        <v>43314</v>
      </c>
    </row>
    <row r="490" spans="1:48">
      <c r="A490" s="21" t="s">
        <v>1063</v>
      </c>
      <c r="B490" t="s">
        <v>1064</v>
      </c>
      <c r="C490" t="s">
        <v>1040</v>
      </c>
      <c r="D490" s="31">
        <v>0</v>
      </c>
      <c r="E490" s="31">
        <v>0</v>
      </c>
      <c r="F490" s="31">
        <v>0</v>
      </c>
      <c r="G490" s="31">
        <v>10</v>
      </c>
      <c r="H490" s="32">
        <v>24.99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81</v>
      </c>
      <c r="AK490">
        <v>53</v>
      </c>
      <c r="AL490">
        <v>84</v>
      </c>
      <c r="AM490">
        <v>70</v>
      </c>
      <c r="AN490" s="23">
        <v>0</v>
      </c>
      <c r="AO490" s="23">
        <v>0</v>
      </c>
      <c r="AP490" s="23">
        <v>0</v>
      </c>
      <c r="AQ490" s="23">
        <v>0.142857142857143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1065</v>
      </c>
      <c r="B491" t="s">
        <v>1066</v>
      </c>
      <c r="C491" t="s">
        <v>1040</v>
      </c>
      <c r="D491" s="31">
        <v>0</v>
      </c>
      <c r="E491" s="31">
        <v>0</v>
      </c>
      <c r="F491" s="31">
        <v>0</v>
      </c>
      <c r="G491" s="31">
        <v>10</v>
      </c>
      <c r="H491" s="32">
        <v>18.99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1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123</v>
      </c>
      <c r="AK491">
        <v>143</v>
      </c>
      <c r="AL491">
        <v>159</v>
      </c>
      <c r="AM491">
        <v>132</v>
      </c>
      <c r="AN491" s="23">
        <v>0</v>
      </c>
      <c r="AO491" s="23">
        <v>0</v>
      </c>
      <c r="AP491" s="23">
        <v>0</v>
      </c>
      <c r="AQ491" s="23">
        <v>0.0757575757575758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1067</v>
      </c>
      <c r="B492" t="s">
        <v>1068</v>
      </c>
      <c r="C492" t="s">
        <v>1040</v>
      </c>
      <c r="D492" s="31">
        <v>0</v>
      </c>
      <c r="E492" s="31">
        <v>0</v>
      </c>
      <c r="F492" s="31">
        <v>2</v>
      </c>
      <c r="G492" s="31">
        <v>1</v>
      </c>
      <c r="H492" s="32">
        <v>12.99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48</v>
      </c>
      <c r="S492">
        <v>2324</v>
      </c>
      <c r="T492">
        <v>0</v>
      </c>
      <c r="U492">
        <v>0</v>
      </c>
      <c r="V492">
        <v>0</v>
      </c>
      <c r="W492">
        <v>17</v>
      </c>
      <c r="X492" s="23" t="s">
        <v>54</v>
      </c>
      <c r="Y492" s="23" t="s">
        <v>54</v>
      </c>
      <c r="Z492" s="23">
        <v>0</v>
      </c>
      <c r="AA492" s="23">
        <v>0.00731497418244406</v>
      </c>
      <c r="AB492">
        <v>0</v>
      </c>
      <c r="AC492">
        <v>0</v>
      </c>
      <c r="AD492">
        <v>0</v>
      </c>
      <c r="AE492">
        <v>12.93</v>
      </c>
      <c r="AF492" s="23" t="s">
        <v>54</v>
      </c>
      <c r="AG492" s="23" t="s">
        <v>54</v>
      </c>
      <c r="AH492" s="23" t="s">
        <v>54</v>
      </c>
      <c r="AI492" s="23">
        <v>0.995381062355658</v>
      </c>
      <c r="AJ492">
        <v>425</v>
      </c>
      <c r="AK492">
        <v>277</v>
      </c>
      <c r="AL492">
        <v>284</v>
      </c>
      <c r="AM492">
        <v>407</v>
      </c>
      <c r="AN492" s="23">
        <v>0</v>
      </c>
      <c r="AO492" s="23">
        <v>0</v>
      </c>
      <c r="AP492" s="23">
        <v>0.00704225352112676</v>
      </c>
      <c r="AQ492" s="23">
        <v>0.00245700245700246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1069</v>
      </c>
      <c r="B493" t="s">
        <v>1070</v>
      </c>
      <c r="C493" t="s">
        <v>1040</v>
      </c>
      <c r="D493" s="31">
        <v>1</v>
      </c>
      <c r="E493" s="31">
        <v>0</v>
      </c>
      <c r="F493" s="31">
        <v>0</v>
      </c>
      <c r="G493" s="31">
        <v>0</v>
      </c>
      <c r="H493" s="32">
        <v>24.99</v>
      </c>
      <c r="I493">
        <v>19</v>
      </c>
      <c r="J493" s="33">
        <v>10</v>
      </c>
      <c r="K493" s="33">
        <v>0</v>
      </c>
      <c r="L493" s="33">
        <v>0</v>
      </c>
      <c r="M493">
        <v>29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15</v>
      </c>
      <c r="AK493">
        <v>14</v>
      </c>
      <c r="AL493">
        <v>10</v>
      </c>
      <c r="AM493">
        <v>2</v>
      </c>
      <c r="AN493" s="23">
        <v>0.0666666666666667</v>
      </c>
      <c r="AO493" s="23">
        <v>0</v>
      </c>
      <c r="AP493" s="23">
        <v>0</v>
      </c>
      <c r="AQ493" s="23">
        <v>0</v>
      </c>
      <c r="AR493" s="35">
        <v>0.142857142857143</v>
      </c>
      <c r="AS493" s="35">
        <v>8.57142857142857</v>
      </c>
      <c r="AT493" s="35">
        <v>20.4285714285714</v>
      </c>
      <c r="AU493" s="31">
        <f t="shared" si="10"/>
        <v>203</v>
      </c>
      <c r="AV493" s="36">
        <f>IFERROR($A$2+AU493,"上周无销量")</f>
        <v>43465</v>
      </c>
    </row>
    <row r="494" spans="1:48">
      <c r="A494" s="21" t="s">
        <v>1071</v>
      </c>
      <c r="B494" t="s">
        <v>1072</v>
      </c>
      <c r="C494" t="s">
        <v>1040</v>
      </c>
      <c r="D494" s="31">
        <v>3</v>
      </c>
      <c r="E494" s="31">
        <v>3</v>
      </c>
      <c r="F494" s="31">
        <v>1</v>
      </c>
      <c r="G494" s="31">
        <v>0</v>
      </c>
      <c r="H494" s="32">
        <v>18.99</v>
      </c>
      <c r="I494">
        <v>12</v>
      </c>
      <c r="J494" s="33">
        <v>30</v>
      </c>
      <c r="K494" s="33">
        <v>0</v>
      </c>
      <c r="L494" s="33">
        <v>0</v>
      </c>
      <c r="M494">
        <v>42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26</v>
      </c>
      <c r="AK494">
        <v>21</v>
      </c>
      <c r="AL494">
        <v>8</v>
      </c>
      <c r="AM494">
        <v>3</v>
      </c>
      <c r="AN494" s="23">
        <v>0.115384615384615</v>
      </c>
      <c r="AO494" s="23">
        <v>0.142857142857143</v>
      </c>
      <c r="AP494" s="23">
        <v>0.125</v>
      </c>
      <c r="AQ494" s="23">
        <v>0</v>
      </c>
      <c r="AR494" s="35">
        <v>0.428571428571429</v>
      </c>
      <c r="AS494" s="35">
        <v>25.7142857142857</v>
      </c>
      <c r="AT494" s="35">
        <v>16.2857142857143</v>
      </c>
      <c r="AU494" s="31">
        <f t="shared" si="10"/>
        <v>98</v>
      </c>
      <c r="AV494" s="36">
        <f>IFERROR($A$2+AU494,"上周无销量")</f>
        <v>43360</v>
      </c>
    </row>
    <row r="495" spans="1:48">
      <c r="A495" s="21" t="s">
        <v>1073</v>
      </c>
      <c r="B495" t="s">
        <v>1074</v>
      </c>
      <c r="C495" t="s">
        <v>1040</v>
      </c>
      <c r="D495" s="31">
        <v>3</v>
      </c>
      <c r="E495" s="31">
        <v>1</v>
      </c>
      <c r="F495" s="31">
        <v>2</v>
      </c>
      <c r="G495" s="31">
        <v>0</v>
      </c>
      <c r="H495" s="32">
        <v>13.99</v>
      </c>
      <c r="I495">
        <v>13</v>
      </c>
      <c r="J495" s="33">
        <v>40</v>
      </c>
      <c r="K495" s="33">
        <v>0</v>
      </c>
      <c r="L495" s="33">
        <v>0</v>
      </c>
      <c r="M495">
        <v>53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44</v>
      </c>
      <c r="AK495">
        <v>44</v>
      </c>
      <c r="AL495">
        <v>28</v>
      </c>
      <c r="AM495">
        <v>6</v>
      </c>
      <c r="AN495" s="23">
        <v>0.0681818181818182</v>
      </c>
      <c r="AO495" s="23">
        <v>0.0227272727272727</v>
      </c>
      <c r="AP495" s="23">
        <v>0.0714285714285714</v>
      </c>
      <c r="AQ495" s="23">
        <v>0</v>
      </c>
      <c r="AR495" s="35">
        <v>0.428571428571429</v>
      </c>
      <c r="AS495" s="35">
        <v>25.7142857142857</v>
      </c>
      <c r="AT495" s="35">
        <v>27.2857142857143</v>
      </c>
      <c r="AU495" s="31">
        <f t="shared" si="10"/>
        <v>123</v>
      </c>
      <c r="AV495" s="36">
        <f>IFERROR($A$2+AU495,"上周无销量")</f>
        <v>43385</v>
      </c>
    </row>
    <row r="496" spans="1:48">
      <c r="A496" s="21" t="s">
        <v>1075</v>
      </c>
      <c r="B496" t="s">
        <v>1076</v>
      </c>
      <c r="C496" t="s">
        <v>1040</v>
      </c>
      <c r="D496" s="31">
        <v>1</v>
      </c>
      <c r="E496" s="31">
        <v>1</v>
      </c>
      <c r="F496" s="31">
        <v>0</v>
      </c>
      <c r="G496" s="31">
        <v>1</v>
      </c>
      <c r="H496" s="32">
        <v>24.9933333333333</v>
      </c>
      <c r="I496">
        <v>15</v>
      </c>
      <c r="J496" s="33">
        <v>0</v>
      </c>
      <c r="K496" s="33">
        <v>0</v>
      </c>
      <c r="L496" s="33">
        <v>0</v>
      </c>
      <c r="M496">
        <v>15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48</v>
      </c>
      <c r="AK496">
        <v>54</v>
      </c>
      <c r="AL496">
        <v>55</v>
      </c>
      <c r="AM496">
        <v>46</v>
      </c>
      <c r="AN496" s="23">
        <v>0.0208333333333333</v>
      </c>
      <c r="AO496" s="23">
        <v>0.0185185185185185</v>
      </c>
      <c r="AP496" s="23">
        <v>0</v>
      </c>
      <c r="AQ496" s="23">
        <v>0.0217391304347826</v>
      </c>
      <c r="AR496" s="35">
        <v>0.142857142857143</v>
      </c>
      <c r="AS496" s="35">
        <v>8.57142857142857</v>
      </c>
      <c r="AT496" s="35">
        <v>6.42857142857143</v>
      </c>
      <c r="AU496" s="31">
        <f t="shared" si="10"/>
        <v>105</v>
      </c>
      <c r="AV496" s="36">
        <f>IFERROR($A$2+AU496,"上周无销量")</f>
        <v>43367</v>
      </c>
    </row>
    <row r="497" spans="1:48">
      <c r="A497" s="21" t="s">
        <v>1077</v>
      </c>
      <c r="B497" t="s">
        <v>1078</v>
      </c>
      <c r="C497" t="s">
        <v>1040</v>
      </c>
      <c r="D497" s="31">
        <v>0</v>
      </c>
      <c r="E497" s="31">
        <v>0</v>
      </c>
      <c r="F497" s="31">
        <v>1</v>
      </c>
      <c r="G497" s="31">
        <v>0</v>
      </c>
      <c r="H497" s="32">
        <v>18.99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2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75</v>
      </c>
      <c r="AK497">
        <v>106</v>
      </c>
      <c r="AL497">
        <v>84</v>
      </c>
      <c r="AM497">
        <v>66</v>
      </c>
      <c r="AN497" s="23">
        <v>0</v>
      </c>
      <c r="AO497" s="23">
        <v>0</v>
      </c>
      <c r="AP497" s="23">
        <v>0.0119047619047619</v>
      </c>
      <c r="AQ497" s="23">
        <v>0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IFERROR($A$2+AU497,"上周无销量")</f>
        <v>上周无销量</v>
      </c>
    </row>
    <row r="498" spans="1:48">
      <c r="A498" s="21" t="s">
        <v>1079</v>
      </c>
      <c r="B498" t="s">
        <v>1080</v>
      </c>
      <c r="C498" t="s">
        <v>1040</v>
      </c>
      <c r="D498" s="31">
        <v>0</v>
      </c>
      <c r="E498" s="31">
        <v>0</v>
      </c>
      <c r="F498" s="31">
        <v>2</v>
      </c>
      <c r="G498" s="31">
        <v>3</v>
      </c>
      <c r="H498" s="32">
        <v>12.99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3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106</v>
      </c>
      <c r="AK498">
        <v>60</v>
      </c>
      <c r="AL498">
        <v>114</v>
      </c>
      <c r="AM498">
        <v>70</v>
      </c>
      <c r="AN498" s="23">
        <v>0</v>
      </c>
      <c r="AO498" s="23">
        <v>0</v>
      </c>
      <c r="AP498" s="23">
        <v>0.0175438596491228</v>
      </c>
      <c r="AQ498" s="23">
        <v>0.0428571428571429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1081</v>
      </c>
      <c r="B499" t="s">
        <v>1082</v>
      </c>
      <c r="C499" t="s">
        <v>1040</v>
      </c>
      <c r="D499" s="31">
        <v>0</v>
      </c>
      <c r="E499" s="31">
        <v>1</v>
      </c>
      <c r="F499" s="31">
        <v>0</v>
      </c>
      <c r="G499" s="31">
        <v>0</v>
      </c>
      <c r="H499" s="32">
        <v>25.99</v>
      </c>
      <c r="I499">
        <v>18</v>
      </c>
      <c r="J499" s="33">
        <v>10</v>
      </c>
      <c r="K499" s="33">
        <v>0</v>
      </c>
      <c r="L499" s="33">
        <v>0</v>
      </c>
      <c r="M499">
        <v>28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22</v>
      </c>
      <c r="AK499">
        <v>6</v>
      </c>
      <c r="AL499">
        <v>15</v>
      </c>
      <c r="AM499">
        <v>8</v>
      </c>
      <c r="AN499" s="23">
        <v>0</v>
      </c>
      <c r="AO499" s="23">
        <v>0.166666666666667</v>
      </c>
      <c r="AP499" s="23">
        <v>0</v>
      </c>
      <c r="AQ499" s="23">
        <v>0</v>
      </c>
      <c r="AR499" s="35">
        <v>0</v>
      </c>
      <c r="AS499" s="35">
        <v>0</v>
      </c>
      <c r="AT499" s="35">
        <v>28</v>
      </c>
      <c r="AU499" s="31" t="str">
        <f t="shared" si="10"/>
        <v>库存为28</v>
      </c>
      <c r="AV499" s="36" t="str">
        <f>IFERROR($A$2+AU499,"上周无销量")</f>
        <v>上周无销量</v>
      </c>
    </row>
    <row r="500" spans="1:48">
      <c r="A500" s="21" t="s">
        <v>1083</v>
      </c>
      <c r="B500" t="s">
        <v>1084</v>
      </c>
      <c r="C500" t="s">
        <v>1040</v>
      </c>
      <c r="D500" s="31">
        <v>3</v>
      </c>
      <c r="E500" s="31">
        <v>1</v>
      </c>
      <c r="F500" s="31">
        <v>1</v>
      </c>
      <c r="G500" s="31">
        <v>2</v>
      </c>
      <c r="H500" s="32">
        <v>18.99</v>
      </c>
      <c r="I500">
        <v>10</v>
      </c>
      <c r="J500" s="33">
        <v>30</v>
      </c>
      <c r="K500" s="33">
        <v>0</v>
      </c>
      <c r="L500" s="33">
        <v>0</v>
      </c>
      <c r="M500">
        <v>40</v>
      </c>
      <c r="N500">
        <v>0</v>
      </c>
      <c r="O500">
        <v>0</v>
      </c>
      <c r="P500">
        <v>0</v>
      </c>
      <c r="Q500">
        <v>139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 s="23" t="s">
        <v>54</v>
      </c>
      <c r="Y500" s="23">
        <v>0</v>
      </c>
      <c r="Z500" s="23" t="s">
        <v>54</v>
      </c>
      <c r="AA500" s="23" t="s">
        <v>54</v>
      </c>
      <c r="AB500">
        <v>0</v>
      </c>
      <c r="AC500">
        <v>0</v>
      </c>
      <c r="AD500">
        <v>0</v>
      </c>
      <c r="AE500">
        <v>0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20</v>
      </c>
      <c r="AK500">
        <v>19</v>
      </c>
      <c r="AL500">
        <v>14</v>
      </c>
      <c r="AM500">
        <v>12</v>
      </c>
      <c r="AN500" s="23">
        <v>0.15</v>
      </c>
      <c r="AO500" s="23">
        <v>0.0526315789473684</v>
      </c>
      <c r="AP500" s="23">
        <v>0.0714285714285714</v>
      </c>
      <c r="AQ500" s="23">
        <v>0.166666666666667</v>
      </c>
      <c r="AR500" s="35">
        <v>0.428571428571429</v>
      </c>
      <c r="AS500" s="35">
        <v>25.7142857142857</v>
      </c>
      <c r="AT500" s="35">
        <v>14.2857142857143</v>
      </c>
      <c r="AU500" s="31">
        <f t="shared" si="10"/>
        <v>93</v>
      </c>
      <c r="AV500" s="36">
        <f>IFERROR($A$2+AU500,"上周无销量")</f>
        <v>43355</v>
      </c>
    </row>
    <row r="501" spans="1:48">
      <c r="A501" s="21" t="s">
        <v>1085</v>
      </c>
      <c r="B501" t="s">
        <v>1086</v>
      </c>
      <c r="C501" t="s">
        <v>1040</v>
      </c>
      <c r="D501" s="31">
        <v>4</v>
      </c>
      <c r="E501" s="31">
        <v>1</v>
      </c>
      <c r="F501" s="31">
        <v>5</v>
      </c>
      <c r="G501" s="31">
        <v>4</v>
      </c>
      <c r="H501" s="32">
        <v>13.99</v>
      </c>
      <c r="I501">
        <v>17</v>
      </c>
      <c r="J501" s="33">
        <v>74</v>
      </c>
      <c r="K501" s="33">
        <v>0</v>
      </c>
      <c r="L501" s="33">
        <v>0</v>
      </c>
      <c r="M501">
        <v>91</v>
      </c>
      <c r="N501">
        <v>0</v>
      </c>
      <c r="O501">
        <v>0</v>
      </c>
      <c r="P501">
        <v>0</v>
      </c>
      <c r="Q501">
        <v>335</v>
      </c>
      <c r="R501">
        <v>1444</v>
      </c>
      <c r="S501">
        <v>5033</v>
      </c>
      <c r="T501">
        <v>0</v>
      </c>
      <c r="U501">
        <v>7</v>
      </c>
      <c r="V501">
        <v>15</v>
      </c>
      <c r="W501">
        <v>46</v>
      </c>
      <c r="X501" s="23" t="s">
        <v>54</v>
      </c>
      <c r="Y501" s="23">
        <v>0.0208955223880597</v>
      </c>
      <c r="Z501" s="23">
        <v>0.010387811634349</v>
      </c>
      <c r="AA501" s="23">
        <v>0.0091396781243791</v>
      </c>
      <c r="AB501">
        <v>0</v>
      </c>
      <c r="AC501">
        <v>6.25</v>
      </c>
      <c r="AD501">
        <v>10.83</v>
      </c>
      <c r="AE501">
        <v>34.49</v>
      </c>
      <c r="AF501" s="23" t="s">
        <v>54</v>
      </c>
      <c r="AG501" s="23">
        <v>0.44674767691208</v>
      </c>
      <c r="AH501" s="23">
        <v>0.15482487491065</v>
      </c>
      <c r="AI501" s="23">
        <v>0.616333095067906</v>
      </c>
      <c r="AJ501">
        <v>35</v>
      </c>
      <c r="AK501">
        <v>36</v>
      </c>
      <c r="AL501">
        <v>14</v>
      </c>
      <c r="AM501">
        <v>66</v>
      </c>
      <c r="AN501" s="23">
        <v>0.114285714285714</v>
      </c>
      <c r="AO501" s="23">
        <v>0.0277777777777778</v>
      </c>
      <c r="AP501" s="23">
        <v>0.357142857142857</v>
      </c>
      <c r="AQ501" s="23">
        <v>0.0606060606060606</v>
      </c>
      <c r="AR501" s="35">
        <v>0.571428571428571</v>
      </c>
      <c r="AS501" s="35">
        <v>34.2857142857143</v>
      </c>
      <c r="AT501" s="35">
        <v>56.7142857142857</v>
      </c>
      <c r="AU501" s="31">
        <f t="shared" si="10"/>
        <v>159</v>
      </c>
      <c r="AV501" s="36">
        <f>IFERROR($A$2+AU501,"上周无销量")</f>
        <v>43421</v>
      </c>
    </row>
    <row r="502" spans="1:48">
      <c r="A502" s="21" t="s">
        <v>1087</v>
      </c>
      <c r="B502" t="s">
        <v>1088</v>
      </c>
      <c r="C502" t="s">
        <v>1040</v>
      </c>
      <c r="D502" s="31">
        <v>0</v>
      </c>
      <c r="E502" s="31">
        <v>0</v>
      </c>
      <c r="F502" s="31">
        <v>2</v>
      </c>
      <c r="G502" s="31">
        <v>4</v>
      </c>
      <c r="H502" s="32">
        <v>24.99</v>
      </c>
      <c r="I502">
        <v>13</v>
      </c>
      <c r="J502" s="33">
        <v>0</v>
      </c>
      <c r="K502" s="33">
        <v>0</v>
      </c>
      <c r="L502" s="33">
        <v>0</v>
      </c>
      <c r="M502">
        <v>13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22</v>
      </c>
      <c r="AK502">
        <v>13</v>
      </c>
      <c r="AL502">
        <v>29</v>
      </c>
      <c r="AM502">
        <v>19</v>
      </c>
      <c r="AN502" s="23">
        <v>0</v>
      </c>
      <c r="AO502" s="23">
        <v>0</v>
      </c>
      <c r="AP502" s="23">
        <v>0.0689655172413793</v>
      </c>
      <c r="AQ502" s="23">
        <v>0.210526315789474</v>
      </c>
      <c r="AR502" s="35">
        <v>0</v>
      </c>
      <c r="AS502" s="35">
        <v>0</v>
      </c>
      <c r="AT502" s="35">
        <v>13</v>
      </c>
      <c r="AU502" s="31" t="str">
        <f t="shared" si="10"/>
        <v>库存为13</v>
      </c>
      <c r="AV502" s="36" t="str">
        <f>IFERROR($A$2+AU502,"上周无销量")</f>
        <v>上周无销量</v>
      </c>
    </row>
    <row r="503" spans="1:48">
      <c r="A503" s="21" t="s">
        <v>1089</v>
      </c>
      <c r="B503" t="s">
        <v>1090</v>
      </c>
      <c r="C503" t="s">
        <v>1040</v>
      </c>
      <c r="D503" s="31">
        <v>1</v>
      </c>
      <c r="E503" s="31">
        <v>2</v>
      </c>
      <c r="F503" s="31">
        <v>2</v>
      </c>
      <c r="G503" s="31">
        <v>3</v>
      </c>
      <c r="H503" s="32">
        <v>18.99</v>
      </c>
      <c r="I503">
        <v>17</v>
      </c>
      <c r="J503" s="33">
        <v>0</v>
      </c>
      <c r="K503" s="33">
        <v>0</v>
      </c>
      <c r="L503" s="33">
        <v>0</v>
      </c>
      <c r="M503">
        <v>17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 s="23" t="s">
        <v>54</v>
      </c>
      <c r="Y503" s="23" t="s">
        <v>54</v>
      </c>
      <c r="Z503" s="23" t="s">
        <v>54</v>
      </c>
      <c r="AA503" s="23" t="s">
        <v>54</v>
      </c>
      <c r="AB503">
        <v>0</v>
      </c>
      <c r="AC503">
        <v>0</v>
      </c>
      <c r="AD503">
        <v>0</v>
      </c>
      <c r="AE503">
        <v>0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21</v>
      </c>
      <c r="AK503">
        <v>23</v>
      </c>
      <c r="AL503">
        <v>38</v>
      </c>
      <c r="AM503">
        <v>14</v>
      </c>
      <c r="AN503" s="23">
        <v>0.0476190476190476</v>
      </c>
      <c r="AO503" s="23">
        <v>0.0869565217391304</v>
      </c>
      <c r="AP503" s="23">
        <v>0.0526315789473684</v>
      </c>
      <c r="AQ503" s="23">
        <v>0.214285714285714</v>
      </c>
      <c r="AR503" s="35">
        <v>0.142857142857143</v>
      </c>
      <c r="AS503" s="35">
        <v>8.57142857142857</v>
      </c>
      <c r="AT503" s="35">
        <v>8.42857142857143</v>
      </c>
      <c r="AU503" s="31">
        <f t="shared" si="10"/>
        <v>119</v>
      </c>
      <c r="AV503" s="36">
        <f>IFERROR($A$2+AU503,"上周无销量")</f>
        <v>43381</v>
      </c>
    </row>
    <row r="504" spans="1:48">
      <c r="A504" s="21" t="s">
        <v>1091</v>
      </c>
      <c r="B504" t="s">
        <v>1092</v>
      </c>
      <c r="C504" t="s">
        <v>1040</v>
      </c>
      <c r="D504" s="31">
        <v>3</v>
      </c>
      <c r="E504" s="31">
        <v>6</v>
      </c>
      <c r="F504" s="31">
        <v>3</v>
      </c>
      <c r="G504" s="31">
        <v>7</v>
      </c>
      <c r="H504" s="32">
        <v>12.99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23</v>
      </c>
      <c r="AK504">
        <v>31</v>
      </c>
      <c r="AL504">
        <v>40</v>
      </c>
      <c r="AM504">
        <v>41</v>
      </c>
      <c r="AN504" s="23">
        <v>0.130434782608696</v>
      </c>
      <c r="AO504" s="23">
        <v>0.193548387096774</v>
      </c>
      <c r="AP504" s="23">
        <v>0.075</v>
      </c>
      <c r="AQ504" s="23">
        <v>0.170731707317073</v>
      </c>
      <c r="AR504" s="35">
        <v>0.428571428571429</v>
      </c>
      <c r="AS504" s="35">
        <v>25.7142857142857</v>
      </c>
      <c r="AT504" s="35">
        <v>-25.7142857142857</v>
      </c>
      <c r="AU504" s="31">
        <f t="shared" si="10"/>
        <v>0</v>
      </c>
      <c r="AV504" s="36">
        <f>IFERROR($A$2+AU504,"上周无销量")</f>
        <v>43262</v>
      </c>
    </row>
    <row r="505" spans="1:48">
      <c r="A505" s="21" t="s">
        <v>1093</v>
      </c>
      <c r="B505" t="s">
        <v>1094</v>
      </c>
      <c r="C505" t="s">
        <v>1040</v>
      </c>
      <c r="D505" s="31">
        <v>1</v>
      </c>
      <c r="E505" s="31">
        <v>1</v>
      </c>
      <c r="F505" s="31">
        <v>5</v>
      </c>
      <c r="G505" s="31">
        <v>8</v>
      </c>
      <c r="H505" s="32">
        <v>24.8573333333333</v>
      </c>
      <c r="I505">
        <v>21</v>
      </c>
      <c r="J505" s="33">
        <v>0</v>
      </c>
      <c r="K505" s="33">
        <v>0</v>
      </c>
      <c r="L505" s="33">
        <v>0</v>
      </c>
      <c r="M505">
        <v>21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22</v>
      </c>
      <c r="AK505">
        <v>12</v>
      </c>
      <c r="AL505">
        <v>28</v>
      </c>
      <c r="AM505">
        <v>26</v>
      </c>
      <c r="AN505" s="23">
        <v>0.0454545454545455</v>
      </c>
      <c r="AO505" s="23">
        <v>0.0833333333333333</v>
      </c>
      <c r="AP505" s="23">
        <v>0.178571428571429</v>
      </c>
      <c r="AQ505" s="23">
        <v>0.307692307692308</v>
      </c>
      <c r="AR505" s="35">
        <v>0.142857142857143</v>
      </c>
      <c r="AS505" s="35">
        <v>8.57142857142857</v>
      </c>
      <c r="AT505" s="35">
        <v>12.4285714285714</v>
      </c>
      <c r="AU505" s="31">
        <f t="shared" si="10"/>
        <v>147</v>
      </c>
      <c r="AV505" s="36">
        <f>IFERROR($A$2+AU505,"上周无销量")</f>
        <v>43409</v>
      </c>
    </row>
    <row r="506" spans="1:48">
      <c r="A506" s="21" t="s">
        <v>1095</v>
      </c>
      <c r="B506" t="s">
        <v>1096</v>
      </c>
      <c r="C506" t="s">
        <v>1040</v>
      </c>
      <c r="D506" s="31">
        <v>0</v>
      </c>
      <c r="E506" s="31">
        <v>2</v>
      </c>
      <c r="F506" s="31">
        <v>1</v>
      </c>
      <c r="G506" s="31">
        <v>5</v>
      </c>
      <c r="H506" s="32">
        <v>18.99</v>
      </c>
      <c r="I506">
        <v>31</v>
      </c>
      <c r="J506" s="33">
        <v>0</v>
      </c>
      <c r="K506" s="33">
        <v>0</v>
      </c>
      <c r="L506" s="33">
        <v>0</v>
      </c>
      <c r="M506">
        <v>31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28</v>
      </c>
      <c r="AK506">
        <v>30</v>
      </c>
      <c r="AL506">
        <v>53</v>
      </c>
      <c r="AM506">
        <v>38</v>
      </c>
      <c r="AN506" s="23">
        <v>0</v>
      </c>
      <c r="AO506" s="23">
        <v>0.0666666666666667</v>
      </c>
      <c r="AP506" s="23">
        <v>0.0188679245283019</v>
      </c>
      <c r="AQ506" s="23">
        <v>0.131578947368421</v>
      </c>
      <c r="AR506" s="35">
        <v>0</v>
      </c>
      <c r="AS506" s="35">
        <v>0</v>
      </c>
      <c r="AT506" s="35">
        <v>31</v>
      </c>
      <c r="AU506" s="31" t="str">
        <f t="shared" si="10"/>
        <v>库存为31</v>
      </c>
      <c r="AV506" s="36" t="str">
        <f>IFERROR($A$2+AU506,"上周无销量")</f>
        <v>上周无销量</v>
      </c>
    </row>
    <row r="507" spans="1:48">
      <c r="A507" s="21" t="s">
        <v>1097</v>
      </c>
      <c r="B507" t="s">
        <v>1098</v>
      </c>
      <c r="C507" t="s">
        <v>1040</v>
      </c>
      <c r="D507" s="31">
        <v>0</v>
      </c>
      <c r="E507" s="31">
        <v>7</v>
      </c>
      <c r="F507" s="31">
        <v>11</v>
      </c>
      <c r="G507" s="31">
        <v>7</v>
      </c>
      <c r="H507" s="32">
        <v>12.99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 s="23" t="s">
        <v>54</v>
      </c>
      <c r="Y507" s="23" t="s">
        <v>54</v>
      </c>
      <c r="Z507" s="23" t="s">
        <v>54</v>
      </c>
      <c r="AA507" s="23" t="s">
        <v>54</v>
      </c>
      <c r="AB507">
        <v>0</v>
      </c>
      <c r="AC507">
        <v>0</v>
      </c>
      <c r="AD507">
        <v>0</v>
      </c>
      <c r="AE507">
        <v>0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50</v>
      </c>
      <c r="AK507">
        <v>49</v>
      </c>
      <c r="AL507">
        <v>46</v>
      </c>
      <c r="AM507">
        <v>38</v>
      </c>
      <c r="AN507" s="23">
        <v>0</v>
      </c>
      <c r="AO507" s="23">
        <v>0.142857142857143</v>
      </c>
      <c r="AP507" s="23">
        <v>0.239130434782609</v>
      </c>
      <c r="AQ507" s="23">
        <v>0.184210526315789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IFERROR($A$2+AU507,"上周无销量")</f>
        <v>上周无销量</v>
      </c>
    </row>
    <row r="508" spans="1:48">
      <c r="A508" s="21" t="s">
        <v>1099</v>
      </c>
      <c r="B508" t="s">
        <v>1046</v>
      </c>
      <c r="C508" t="s">
        <v>1040</v>
      </c>
      <c r="D508" s="31">
        <v>10</v>
      </c>
      <c r="E508" s="31">
        <v>12</v>
      </c>
      <c r="F508" s="31">
        <v>10</v>
      </c>
      <c r="G508" s="31">
        <v>3</v>
      </c>
      <c r="H508" s="32">
        <v>25.1328571428571</v>
      </c>
      <c r="I508">
        <v>60</v>
      </c>
      <c r="J508" s="33">
        <v>40</v>
      </c>
      <c r="K508" s="33">
        <v>2</v>
      </c>
      <c r="L508" s="33">
        <v>1</v>
      </c>
      <c r="M508">
        <v>103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34</v>
      </c>
      <c r="AK508">
        <v>31</v>
      </c>
      <c r="AL508">
        <v>40</v>
      </c>
      <c r="AM508">
        <v>26</v>
      </c>
      <c r="AN508" s="23">
        <v>0.294117647058824</v>
      </c>
      <c r="AO508" s="23">
        <v>0.387096774193548</v>
      </c>
      <c r="AP508" s="23">
        <v>0.25</v>
      </c>
      <c r="AQ508" s="23">
        <v>0.115384615384615</v>
      </c>
      <c r="AR508" s="35">
        <v>1.42857142857143</v>
      </c>
      <c r="AS508" s="35">
        <v>85.7142857142857</v>
      </c>
      <c r="AT508" s="35">
        <v>17.2857142857143</v>
      </c>
      <c r="AU508" s="31">
        <f t="shared" si="10"/>
        <v>72</v>
      </c>
      <c r="AV508" s="36">
        <f>IFERROR($A$2+AU508,"上周无销量")</f>
        <v>43334</v>
      </c>
    </row>
    <row r="509" spans="1:48">
      <c r="A509" s="21" t="s">
        <v>1100</v>
      </c>
      <c r="B509" t="s">
        <v>1048</v>
      </c>
      <c r="C509" t="s">
        <v>1040</v>
      </c>
      <c r="D509" s="31">
        <v>14</v>
      </c>
      <c r="E509" s="31">
        <v>16</v>
      </c>
      <c r="F509" s="31">
        <v>14</v>
      </c>
      <c r="G509" s="31">
        <v>15</v>
      </c>
      <c r="H509" s="32">
        <v>18.99</v>
      </c>
      <c r="I509">
        <v>54</v>
      </c>
      <c r="J509" s="33">
        <v>118</v>
      </c>
      <c r="K509" s="33">
        <v>0</v>
      </c>
      <c r="L509" s="33">
        <v>0</v>
      </c>
      <c r="M509">
        <v>172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36</v>
      </c>
      <c r="AK509">
        <v>55</v>
      </c>
      <c r="AL509">
        <v>72</v>
      </c>
      <c r="AM509">
        <v>39</v>
      </c>
      <c r="AN509" s="23">
        <v>0.388888888888889</v>
      </c>
      <c r="AO509" s="23">
        <v>0.290909090909091</v>
      </c>
      <c r="AP509" s="23">
        <v>0.194444444444444</v>
      </c>
      <c r="AQ509" s="23">
        <v>0.384615384615385</v>
      </c>
      <c r="AR509" s="35">
        <v>2</v>
      </c>
      <c r="AS509" s="35">
        <v>120</v>
      </c>
      <c r="AT509" s="35">
        <v>52</v>
      </c>
      <c r="AU509" s="31">
        <f t="shared" si="10"/>
        <v>86</v>
      </c>
      <c r="AV509" s="36">
        <f>IFERROR($A$2+AU509,"上周无销量")</f>
        <v>43348</v>
      </c>
    </row>
    <row r="510" spans="1:48">
      <c r="A510" s="21" t="s">
        <v>1101</v>
      </c>
      <c r="B510" t="s">
        <v>1050</v>
      </c>
      <c r="C510" t="s">
        <v>1040</v>
      </c>
      <c r="D510" s="31">
        <v>15</v>
      </c>
      <c r="E510" s="31">
        <v>10</v>
      </c>
      <c r="F510" s="31">
        <v>23</v>
      </c>
      <c r="G510" s="31">
        <v>26</v>
      </c>
      <c r="H510" s="32">
        <v>13.3008108108108</v>
      </c>
      <c r="I510">
        <v>80</v>
      </c>
      <c r="J510" s="33">
        <v>315</v>
      </c>
      <c r="K510" s="33">
        <v>0</v>
      </c>
      <c r="L510" s="33">
        <v>0</v>
      </c>
      <c r="M510">
        <v>395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83</v>
      </c>
      <c r="AK510">
        <v>65</v>
      </c>
      <c r="AL510">
        <v>47</v>
      </c>
      <c r="AM510">
        <v>73</v>
      </c>
      <c r="AN510" s="23">
        <v>0.180722891566265</v>
      </c>
      <c r="AO510" s="23">
        <v>0.153846153846154</v>
      </c>
      <c r="AP510" s="23">
        <v>0.48936170212766</v>
      </c>
      <c r="AQ510" s="23">
        <v>0.356164383561644</v>
      </c>
      <c r="AR510" s="35">
        <v>2.14285714285714</v>
      </c>
      <c r="AS510" s="35">
        <v>128.571428571429</v>
      </c>
      <c r="AT510" s="35">
        <v>266.428571428571</v>
      </c>
      <c r="AU510" s="31">
        <f t="shared" si="10"/>
        <v>184</v>
      </c>
      <c r="AV510" s="36">
        <f>IFERROR($A$2+AU510,"上周无销量")</f>
        <v>43446</v>
      </c>
    </row>
    <row r="511" spans="1:48">
      <c r="A511" s="21" t="s">
        <v>1102</v>
      </c>
      <c r="B511" t="s">
        <v>1052</v>
      </c>
      <c r="C511" t="s">
        <v>1040</v>
      </c>
      <c r="D511" s="31">
        <v>9</v>
      </c>
      <c r="E511" s="31">
        <v>5</v>
      </c>
      <c r="F511" s="31">
        <v>5</v>
      </c>
      <c r="G511" s="31">
        <v>0</v>
      </c>
      <c r="H511" s="32">
        <v>25.0952631578947</v>
      </c>
      <c r="I511">
        <v>81</v>
      </c>
      <c r="J511" s="33">
        <v>45</v>
      </c>
      <c r="K511" s="33">
        <v>0</v>
      </c>
      <c r="L511" s="33">
        <v>0</v>
      </c>
      <c r="M511">
        <v>126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29</v>
      </c>
      <c r="AK511">
        <v>30</v>
      </c>
      <c r="AL511">
        <v>50</v>
      </c>
      <c r="AM511">
        <v>40</v>
      </c>
      <c r="AN511" s="23">
        <v>0.310344827586207</v>
      </c>
      <c r="AO511" s="23">
        <v>0.166666666666667</v>
      </c>
      <c r="AP511" s="23">
        <v>0.1</v>
      </c>
      <c r="AQ511" s="23">
        <v>0</v>
      </c>
      <c r="AR511" s="35">
        <v>1.28571428571429</v>
      </c>
      <c r="AS511" s="35">
        <v>77.1428571428572</v>
      </c>
      <c r="AT511" s="35">
        <v>48.8571428571428</v>
      </c>
      <c r="AU511" s="31">
        <f t="shared" si="10"/>
        <v>98</v>
      </c>
      <c r="AV511" s="36">
        <f>IFERROR($A$2+AU511,"上周无销量")</f>
        <v>43360</v>
      </c>
    </row>
    <row r="512" spans="1:48">
      <c r="A512" s="21" t="s">
        <v>1103</v>
      </c>
      <c r="B512" t="s">
        <v>1054</v>
      </c>
      <c r="C512" t="s">
        <v>1040</v>
      </c>
      <c r="D512" s="31">
        <v>6</v>
      </c>
      <c r="E512" s="31">
        <v>14</v>
      </c>
      <c r="F512" s="31">
        <v>17</v>
      </c>
      <c r="G512" s="31">
        <v>17</v>
      </c>
      <c r="H512" s="32">
        <v>18.99</v>
      </c>
      <c r="I512">
        <v>105</v>
      </c>
      <c r="J512" s="33">
        <v>60</v>
      </c>
      <c r="K512" s="33">
        <v>0</v>
      </c>
      <c r="L512" s="33">
        <v>1</v>
      </c>
      <c r="M512">
        <v>166</v>
      </c>
      <c r="N512">
        <v>3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45</v>
      </c>
      <c r="AK512">
        <v>59</v>
      </c>
      <c r="AL512">
        <v>89</v>
      </c>
      <c r="AM512">
        <v>45</v>
      </c>
      <c r="AN512" s="23">
        <v>0.133333333333333</v>
      </c>
      <c r="AO512" s="23">
        <v>0.23728813559322</v>
      </c>
      <c r="AP512" s="23">
        <v>0.191011235955056</v>
      </c>
      <c r="AQ512" s="23">
        <v>0.377777777777778</v>
      </c>
      <c r="AR512" s="35">
        <v>0.857142857142857</v>
      </c>
      <c r="AS512" s="35">
        <v>51.4285714285714</v>
      </c>
      <c r="AT512" s="35">
        <v>114.571428571429</v>
      </c>
      <c r="AU512" s="31">
        <f t="shared" si="10"/>
        <v>193</v>
      </c>
      <c r="AV512" s="36">
        <f>IFERROR($A$2+AU512,"上周无销量")</f>
        <v>43455</v>
      </c>
    </row>
    <row r="513" spans="1:48">
      <c r="A513" s="21" t="s">
        <v>1104</v>
      </c>
      <c r="B513" t="s">
        <v>1056</v>
      </c>
      <c r="C513" t="s">
        <v>1040</v>
      </c>
      <c r="D513" s="31">
        <v>16</v>
      </c>
      <c r="E513" s="31">
        <v>21</v>
      </c>
      <c r="F513" s="31">
        <v>35</v>
      </c>
      <c r="G513" s="31">
        <v>24</v>
      </c>
      <c r="H513" s="32">
        <v>13.3580208333333</v>
      </c>
      <c r="I513">
        <v>76</v>
      </c>
      <c r="J513" s="33">
        <v>255</v>
      </c>
      <c r="K513" s="33">
        <v>0</v>
      </c>
      <c r="L513" s="33">
        <v>0</v>
      </c>
      <c r="M513">
        <v>331</v>
      </c>
      <c r="N513">
        <v>2</v>
      </c>
      <c r="O513">
        <v>0</v>
      </c>
      <c r="P513">
        <v>1362</v>
      </c>
      <c r="Q513">
        <v>1011</v>
      </c>
      <c r="R513">
        <v>0</v>
      </c>
      <c r="S513">
        <v>327</v>
      </c>
      <c r="T513">
        <v>15</v>
      </c>
      <c r="U513">
        <v>9</v>
      </c>
      <c r="V513">
        <v>0</v>
      </c>
      <c r="W513">
        <v>3</v>
      </c>
      <c r="X513" s="23">
        <v>0.0110132158590308</v>
      </c>
      <c r="Y513" s="23">
        <v>0.00890207715133531</v>
      </c>
      <c r="Z513" s="23" t="s">
        <v>54</v>
      </c>
      <c r="AA513" s="23">
        <v>0.00917431192660551</v>
      </c>
      <c r="AB513">
        <v>9.39</v>
      </c>
      <c r="AC513">
        <v>4.76</v>
      </c>
      <c r="AD513">
        <v>0</v>
      </c>
      <c r="AE513">
        <v>1.19</v>
      </c>
      <c r="AF513" s="23">
        <v>0.0439342779385046</v>
      </c>
      <c r="AG513" s="23">
        <v>0.0169685816106116</v>
      </c>
      <c r="AH513" s="23" t="s">
        <v>54</v>
      </c>
      <c r="AI513" s="23">
        <v>0.0037118772273213</v>
      </c>
      <c r="AJ513">
        <v>103</v>
      </c>
      <c r="AK513">
        <v>157</v>
      </c>
      <c r="AL513">
        <v>122</v>
      </c>
      <c r="AM513">
        <v>90</v>
      </c>
      <c r="AN513" s="23">
        <v>0.155339805825243</v>
      </c>
      <c r="AO513" s="23">
        <v>0.133757961783439</v>
      </c>
      <c r="AP513" s="23">
        <v>0.286885245901639</v>
      </c>
      <c r="AQ513" s="23">
        <v>0.266666666666667</v>
      </c>
      <c r="AR513" s="35">
        <v>2.28571428571429</v>
      </c>
      <c r="AS513" s="35">
        <v>137.142857142857</v>
      </c>
      <c r="AT513" s="35">
        <v>193.857142857143</v>
      </c>
      <c r="AU513" s="31">
        <f t="shared" si="10"/>
        <v>144</v>
      </c>
      <c r="AV513" s="36">
        <f>IFERROR($A$2+AU513,"上周无销量")</f>
        <v>43406</v>
      </c>
    </row>
    <row r="514" spans="1:48">
      <c r="A514" s="21" t="s">
        <v>1105</v>
      </c>
      <c r="B514" t="s">
        <v>1064</v>
      </c>
      <c r="C514" t="s">
        <v>1040</v>
      </c>
      <c r="D514" s="31">
        <v>9</v>
      </c>
      <c r="E514" s="31">
        <v>4</v>
      </c>
      <c r="F514" s="31">
        <v>11</v>
      </c>
      <c r="G514" s="31">
        <v>0</v>
      </c>
      <c r="H514" s="32">
        <v>25.0733333333333</v>
      </c>
      <c r="I514">
        <v>73</v>
      </c>
      <c r="J514" s="33">
        <v>60</v>
      </c>
      <c r="K514" s="33">
        <v>20</v>
      </c>
      <c r="L514" s="33">
        <v>1</v>
      </c>
      <c r="M514">
        <v>154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81</v>
      </c>
      <c r="AK514">
        <v>53</v>
      </c>
      <c r="AL514">
        <v>84</v>
      </c>
      <c r="AM514">
        <v>70</v>
      </c>
      <c r="AN514" s="23">
        <v>0.111111111111111</v>
      </c>
      <c r="AO514" s="23">
        <v>0.0754716981132075</v>
      </c>
      <c r="AP514" s="23">
        <v>0.130952380952381</v>
      </c>
      <c r="AQ514" s="23">
        <v>0</v>
      </c>
      <c r="AR514" s="35">
        <v>1.28571428571429</v>
      </c>
      <c r="AS514" s="35">
        <v>77.1428571428572</v>
      </c>
      <c r="AT514" s="35">
        <v>76.8571428571428</v>
      </c>
      <c r="AU514" s="31">
        <f t="shared" si="10"/>
        <v>119</v>
      </c>
      <c r="AV514" s="36">
        <f>IFERROR($A$2+AU514,"上周无销量")</f>
        <v>43381</v>
      </c>
    </row>
    <row r="515" spans="1:48">
      <c r="A515" s="21" t="s">
        <v>1106</v>
      </c>
      <c r="B515" t="s">
        <v>1066</v>
      </c>
      <c r="C515" t="s">
        <v>1040</v>
      </c>
      <c r="D515" s="31">
        <v>20</v>
      </c>
      <c r="E515" s="31">
        <v>21</v>
      </c>
      <c r="F515" s="31">
        <v>27</v>
      </c>
      <c r="G515" s="31">
        <v>7</v>
      </c>
      <c r="H515" s="32">
        <v>18.99</v>
      </c>
      <c r="I515">
        <v>99</v>
      </c>
      <c r="J515" s="33">
        <v>175</v>
      </c>
      <c r="K515" s="33">
        <v>2</v>
      </c>
      <c r="L515" s="33">
        <v>1</v>
      </c>
      <c r="M515">
        <v>277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123</v>
      </c>
      <c r="AK515">
        <v>143</v>
      </c>
      <c r="AL515">
        <v>159</v>
      </c>
      <c r="AM515">
        <v>132</v>
      </c>
      <c r="AN515" s="23">
        <v>0.16260162601626</v>
      </c>
      <c r="AO515" s="23">
        <v>0.146853146853147</v>
      </c>
      <c r="AP515" s="23">
        <v>0.169811320754717</v>
      </c>
      <c r="AQ515" s="23">
        <v>0.053030303030303</v>
      </c>
      <c r="AR515" s="35">
        <v>2.85714285714286</v>
      </c>
      <c r="AS515" s="35">
        <v>171.428571428571</v>
      </c>
      <c r="AT515" s="35">
        <v>105.571428571429</v>
      </c>
      <c r="AU515" s="31">
        <f t="shared" si="10"/>
        <v>96</v>
      </c>
      <c r="AV515" s="36">
        <f>IFERROR($A$2+AU515,"上周无销量")</f>
        <v>43358</v>
      </c>
    </row>
    <row r="516" spans="1:48">
      <c r="A516" s="21" t="s">
        <v>1107</v>
      </c>
      <c r="B516" t="s">
        <v>1068</v>
      </c>
      <c r="C516" t="s">
        <v>1040</v>
      </c>
      <c r="D516" s="31">
        <v>30</v>
      </c>
      <c r="E516" s="31">
        <v>15</v>
      </c>
      <c r="F516" s="31">
        <v>34</v>
      </c>
      <c r="G516" s="31">
        <v>38</v>
      </c>
      <c r="H516" s="32">
        <v>13.3062393162393</v>
      </c>
      <c r="I516">
        <v>150</v>
      </c>
      <c r="J516" s="33">
        <v>270</v>
      </c>
      <c r="K516" s="33">
        <v>0</v>
      </c>
      <c r="L516" s="33">
        <v>0</v>
      </c>
      <c r="M516">
        <v>420</v>
      </c>
      <c r="N516">
        <v>0</v>
      </c>
      <c r="O516">
        <v>0</v>
      </c>
      <c r="P516">
        <v>93339</v>
      </c>
      <c r="Q516">
        <v>46539</v>
      </c>
      <c r="R516">
        <v>34045</v>
      </c>
      <c r="S516">
        <v>57440</v>
      </c>
      <c r="T516">
        <v>596</v>
      </c>
      <c r="U516">
        <v>342</v>
      </c>
      <c r="V516">
        <v>310</v>
      </c>
      <c r="W516">
        <v>458</v>
      </c>
      <c r="X516" s="23">
        <v>0.0063853266051704</v>
      </c>
      <c r="Y516" s="23">
        <v>0.00734867530458325</v>
      </c>
      <c r="Z516" s="23">
        <v>0.0091055955353209</v>
      </c>
      <c r="AA516" s="23">
        <v>0.00797353760445682</v>
      </c>
      <c r="AB516">
        <v>433.06</v>
      </c>
      <c r="AC516">
        <v>264.91</v>
      </c>
      <c r="AD516">
        <v>198.67</v>
      </c>
      <c r="AE516">
        <v>320.87</v>
      </c>
      <c r="AF516" s="23">
        <v>1.0848544799368</v>
      </c>
      <c r="AG516" s="23">
        <v>1.32724703403712</v>
      </c>
      <c r="AH516" s="23">
        <v>0.439134991882072</v>
      </c>
      <c r="AI516" s="23">
        <v>0.634585563038523</v>
      </c>
      <c r="AJ516">
        <v>425</v>
      </c>
      <c r="AK516">
        <v>277</v>
      </c>
      <c r="AL516">
        <v>284</v>
      </c>
      <c r="AM516">
        <v>407</v>
      </c>
      <c r="AN516" s="23">
        <v>0.0705882352941176</v>
      </c>
      <c r="AO516" s="23">
        <v>0.0541516245487365</v>
      </c>
      <c r="AP516" s="23">
        <v>0.119718309859155</v>
      </c>
      <c r="AQ516" s="23">
        <v>0.0933660933660934</v>
      </c>
      <c r="AR516" s="35">
        <v>4.28571428571429</v>
      </c>
      <c r="AS516" s="35">
        <v>257.142857142857</v>
      </c>
      <c r="AT516" s="35">
        <v>162.857142857143</v>
      </c>
      <c r="AU516" s="31">
        <f t="shared" si="10"/>
        <v>98</v>
      </c>
      <c r="AV516" s="36">
        <f>IFERROR($A$2+AU516,"上周无销量")</f>
        <v>43360</v>
      </c>
    </row>
    <row r="517" spans="1:48">
      <c r="A517" s="21" t="s">
        <v>1108</v>
      </c>
      <c r="B517" t="s">
        <v>1076</v>
      </c>
      <c r="C517" t="s">
        <v>1040</v>
      </c>
      <c r="D517" s="31">
        <v>11</v>
      </c>
      <c r="E517" s="31">
        <v>13</v>
      </c>
      <c r="F517" s="31">
        <v>6</v>
      </c>
      <c r="G517" s="31">
        <v>11</v>
      </c>
      <c r="H517" s="32">
        <v>24.3804878048781</v>
      </c>
      <c r="I517">
        <v>75</v>
      </c>
      <c r="J517" s="33">
        <v>40</v>
      </c>
      <c r="K517" s="33">
        <v>0</v>
      </c>
      <c r="L517" s="33">
        <v>2</v>
      </c>
      <c r="M517">
        <v>117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48</v>
      </c>
      <c r="AK517">
        <v>54</v>
      </c>
      <c r="AL517">
        <v>55</v>
      </c>
      <c r="AM517">
        <v>46</v>
      </c>
      <c r="AN517" s="23">
        <v>0.229166666666667</v>
      </c>
      <c r="AO517" s="23">
        <v>0.240740740740741</v>
      </c>
      <c r="AP517" s="23">
        <v>0.109090909090909</v>
      </c>
      <c r="AQ517" s="23">
        <v>0.239130434782609</v>
      </c>
      <c r="AR517" s="35">
        <v>1.57142857142857</v>
      </c>
      <c r="AS517" s="35">
        <v>94.2857142857143</v>
      </c>
      <c r="AT517" s="35">
        <v>22.7142857142857</v>
      </c>
      <c r="AU517" s="31">
        <f t="shared" ref="AU517:AU580" si="11">IF(AR517="","库存为"&amp;M517,IF(AS517=0,"库存为"&amp;M517,INT(M517/AR517)))</f>
        <v>74</v>
      </c>
      <c r="AV517" s="36">
        <f>IFERROR($A$2+AU517,"上周无销量")</f>
        <v>43336</v>
      </c>
    </row>
    <row r="518" spans="1:48">
      <c r="A518" s="21" t="s">
        <v>1109</v>
      </c>
      <c r="B518" t="s">
        <v>1078</v>
      </c>
      <c r="C518" t="s">
        <v>1040</v>
      </c>
      <c r="D518" s="31">
        <v>14</v>
      </c>
      <c r="E518" s="31">
        <v>27</v>
      </c>
      <c r="F518" s="31">
        <v>23</v>
      </c>
      <c r="G518" s="31">
        <v>26</v>
      </c>
      <c r="H518" s="32">
        <v>18.99</v>
      </c>
      <c r="I518">
        <v>79</v>
      </c>
      <c r="J518" s="33">
        <v>232</v>
      </c>
      <c r="K518" s="33">
        <v>0</v>
      </c>
      <c r="L518" s="33">
        <v>7</v>
      </c>
      <c r="M518">
        <v>318</v>
      </c>
      <c r="N518">
        <v>0</v>
      </c>
      <c r="O518">
        <v>0</v>
      </c>
      <c r="P518">
        <v>509</v>
      </c>
      <c r="Q518">
        <v>997</v>
      </c>
      <c r="R518">
        <v>0</v>
      </c>
      <c r="S518">
        <v>0</v>
      </c>
      <c r="T518">
        <v>6</v>
      </c>
      <c r="U518">
        <v>19</v>
      </c>
      <c r="V518">
        <v>0</v>
      </c>
      <c r="W518">
        <v>0</v>
      </c>
      <c r="X518" s="23">
        <v>0.0117878192534381</v>
      </c>
      <c r="Y518" s="23">
        <v>0.0190571715145436</v>
      </c>
      <c r="Z518" s="23" t="s">
        <v>54</v>
      </c>
      <c r="AA518" s="23" t="s">
        <v>54</v>
      </c>
      <c r="AB518">
        <v>5.19</v>
      </c>
      <c r="AC518">
        <v>16.78</v>
      </c>
      <c r="AD518">
        <v>0</v>
      </c>
      <c r="AE518">
        <v>0</v>
      </c>
      <c r="AF518" s="23">
        <v>0.0195215526969082</v>
      </c>
      <c r="AG518" s="23">
        <v>0.0327267762760127</v>
      </c>
      <c r="AH518" s="23" t="s">
        <v>54</v>
      </c>
      <c r="AI518" s="23" t="s">
        <v>54</v>
      </c>
      <c r="AJ518">
        <v>75</v>
      </c>
      <c r="AK518">
        <v>106</v>
      </c>
      <c r="AL518">
        <v>84</v>
      </c>
      <c r="AM518">
        <v>66</v>
      </c>
      <c r="AN518" s="23">
        <v>0.186666666666667</v>
      </c>
      <c r="AO518" s="23">
        <v>0.254716981132075</v>
      </c>
      <c r="AP518" s="23">
        <v>0.273809523809524</v>
      </c>
      <c r="AQ518" s="23">
        <v>0.393939393939394</v>
      </c>
      <c r="AR518" s="35">
        <v>2</v>
      </c>
      <c r="AS518" s="35">
        <v>120</v>
      </c>
      <c r="AT518" s="35">
        <v>198</v>
      </c>
      <c r="AU518" s="31">
        <f t="shared" si="11"/>
        <v>159</v>
      </c>
      <c r="AV518" s="36">
        <f>IFERROR($A$2+AU518,"上周无销量")</f>
        <v>43421</v>
      </c>
    </row>
    <row r="519" spans="1:48">
      <c r="A519" s="21" t="s">
        <v>1110</v>
      </c>
      <c r="B519" t="s">
        <v>1080</v>
      </c>
      <c r="C519" t="s">
        <v>1040</v>
      </c>
      <c r="D519" s="31">
        <v>24</v>
      </c>
      <c r="E519" s="31">
        <v>9</v>
      </c>
      <c r="F519" s="31">
        <v>28</v>
      </c>
      <c r="G519" s="31">
        <v>18</v>
      </c>
      <c r="H519" s="32">
        <v>13.369746835443</v>
      </c>
      <c r="I519">
        <v>98</v>
      </c>
      <c r="J519" s="33">
        <v>203</v>
      </c>
      <c r="K519" s="33">
        <v>2</v>
      </c>
      <c r="L519" s="33">
        <v>1</v>
      </c>
      <c r="M519">
        <v>304</v>
      </c>
      <c r="N519">
        <v>0</v>
      </c>
      <c r="O519">
        <v>0</v>
      </c>
      <c r="P519">
        <v>1279</v>
      </c>
      <c r="Q519">
        <v>0</v>
      </c>
      <c r="R519">
        <v>0</v>
      </c>
      <c r="S519">
        <v>0</v>
      </c>
      <c r="T519">
        <v>14</v>
      </c>
      <c r="U519">
        <v>0</v>
      </c>
      <c r="V519">
        <v>0</v>
      </c>
      <c r="W519">
        <v>0</v>
      </c>
      <c r="X519" s="23">
        <v>0.0109460516028147</v>
      </c>
      <c r="Y519" s="23" t="s">
        <v>54</v>
      </c>
      <c r="Z519" s="23" t="s">
        <v>54</v>
      </c>
      <c r="AA519" s="23" t="s">
        <v>54</v>
      </c>
      <c r="AB519">
        <v>9.66</v>
      </c>
      <c r="AC519">
        <v>0</v>
      </c>
      <c r="AD519">
        <v>0</v>
      </c>
      <c r="AE519">
        <v>0</v>
      </c>
      <c r="AF519" s="23">
        <v>0.0301052820935232</v>
      </c>
      <c r="AG519" s="23" t="s">
        <v>54</v>
      </c>
      <c r="AH519" s="23" t="s">
        <v>54</v>
      </c>
      <c r="AI519" s="23" t="s">
        <v>54</v>
      </c>
      <c r="AJ519">
        <v>106</v>
      </c>
      <c r="AK519">
        <v>60</v>
      </c>
      <c r="AL519">
        <v>114</v>
      </c>
      <c r="AM519">
        <v>70</v>
      </c>
      <c r="AN519" s="23">
        <v>0.226415094339623</v>
      </c>
      <c r="AO519" s="23">
        <v>0.15</v>
      </c>
      <c r="AP519" s="23">
        <v>0.245614035087719</v>
      </c>
      <c r="AQ519" s="23">
        <v>0.257142857142857</v>
      </c>
      <c r="AR519" s="35">
        <v>3.42857142857143</v>
      </c>
      <c r="AS519" s="35">
        <v>205.714285714286</v>
      </c>
      <c r="AT519" s="35">
        <v>98.2857142857143</v>
      </c>
      <c r="AU519" s="31">
        <f t="shared" si="11"/>
        <v>88</v>
      </c>
      <c r="AV519" s="36">
        <f>IFERROR($A$2+AU519,"上周无销量")</f>
        <v>43350</v>
      </c>
    </row>
    <row r="520" spans="1:48">
      <c r="A520" s="21" t="s">
        <v>1111</v>
      </c>
      <c r="B520" t="s">
        <v>1088</v>
      </c>
      <c r="C520" t="s">
        <v>1040</v>
      </c>
      <c r="D520" s="31">
        <v>3</v>
      </c>
      <c r="E520" s="31">
        <v>6</v>
      </c>
      <c r="F520" s="31">
        <v>2</v>
      </c>
      <c r="G520" s="31">
        <v>0</v>
      </c>
      <c r="H520" s="32">
        <v>23.99</v>
      </c>
      <c r="I520">
        <v>88</v>
      </c>
      <c r="J520" s="33">
        <v>0</v>
      </c>
      <c r="K520" s="33">
        <v>0</v>
      </c>
      <c r="L520" s="33">
        <v>0</v>
      </c>
      <c r="M520">
        <v>88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22</v>
      </c>
      <c r="AK520">
        <v>13</v>
      </c>
      <c r="AL520">
        <v>29</v>
      </c>
      <c r="AM520">
        <v>19</v>
      </c>
      <c r="AN520" s="23">
        <v>0.136363636363636</v>
      </c>
      <c r="AO520" s="23">
        <v>0.461538461538462</v>
      </c>
      <c r="AP520" s="23">
        <v>0.0689655172413793</v>
      </c>
      <c r="AQ520" s="23">
        <v>0</v>
      </c>
      <c r="AR520" s="35">
        <v>0.428571428571429</v>
      </c>
      <c r="AS520" s="35">
        <v>25.7142857142857</v>
      </c>
      <c r="AT520" s="35">
        <v>62.2857142857143</v>
      </c>
      <c r="AU520" s="31">
        <f t="shared" si="11"/>
        <v>205</v>
      </c>
      <c r="AV520" s="36">
        <f>IFERROR($A$2+AU520,"上周无销量")</f>
        <v>43467</v>
      </c>
    </row>
    <row r="521" spans="1:48">
      <c r="A521" s="21" t="s">
        <v>1112</v>
      </c>
      <c r="B521" t="s">
        <v>1090</v>
      </c>
      <c r="C521" t="s">
        <v>1040</v>
      </c>
      <c r="D521" s="31">
        <v>1</v>
      </c>
      <c r="E521" s="31">
        <v>0</v>
      </c>
      <c r="F521" s="31">
        <v>5</v>
      </c>
      <c r="G521" s="31">
        <v>3</v>
      </c>
      <c r="H521" s="32">
        <v>18.99</v>
      </c>
      <c r="I521">
        <v>110</v>
      </c>
      <c r="J521" s="33">
        <v>0</v>
      </c>
      <c r="K521" s="33">
        <v>0</v>
      </c>
      <c r="L521" s="33">
        <v>0</v>
      </c>
      <c r="M521">
        <v>110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21</v>
      </c>
      <c r="AK521">
        <v>23</v>
      </c>
      <c r="AL521">
        <v>38</v>
      </c>
      <c r="AM521">
        <v>14</v>
      </c>
      <c r="AN521" s="23">
        <v>0.0476190476190476</v>
      </c>
      <c r="AO521" s="23">
        <v>0</v>
      </c>
      <c r="AP521" s="23">
        <v>0.131578947368421</v>
      </c>
      <c r="AQ521" s="23">
        <v>0.214285714285714</v>
      </c>
      <c r="AR521" s="35">
        <v>0.142857142857143</v>
      </c>
      <c r="AS521" s="35">
        <v>8.57142857142857</v>
      </c>
      <c r="AT521" s="35">
        <v>101.428571428571</v>
      </c>
      <c r="AU521" s="31">
        <f t="shared" si="11"/>
        <v>770</v>
      </c>
      <c r="AV521" s="36">
        <f>IFERROR($A$2+AU521,"上周无销量")</f>
        <v>44032</v>
      </c>
    </row>
    <row r="522" spans="1:48">
      <c r="A522" s="21" t="s">
        <v>1113</v>
      </c>
      <c r="B522" t="s">
        <v>1092</v>
      </c>
      <c r="C522" t="s">
        <v>1040</v>
      </c>
      <c r="D522" s="31">
        <v>0</v>
      </c>
      <c r="E522" s="31">
        <v>1</v>
      </c>
      <c r="F522" s="31">
        <v>4</v>
      </c>
      <c r="G522" s="31">
        <v>2</v>
      </c>
      <c r="H522" s="32">
        <v>12.99</v>
      </c>
      <c r="I522">
        <v>52</v>
      </c>
      <c r="J522" s="33">
        <v>40</v>
      </c>
      <c r="K522" s="33">
        <v>8</v>
      </c>
      <c r="L522" s="33">
        <v>0</v>
      </c>
      <c r="M522">
        <v>100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23</v>
      </c>
      <c r="AK522">
        <v>31</v>
      </c>
      <c r="AL522">
        <v>40</v>
      </c>
      <c r="AM522">
        <v>41</v>
      </c>
      <c r="AN522" s="23">
        <v>0</v>
      </c>
      <c r="AO522" s="23">
        <v>0.032258064516129</v>
      </c>
      <c r="AP522" s="23">
        <v>0.1</v>
      </c>
      <c r="AQ522" s="23">
        <v>0.0487804878048781</v>
      </c>
      <c r="AR522" s="35">
        <v>0</v>
      </c>
      <c r="AS522" s="35">
        <v>0</v>
      </c>
      <c r="AT522" s="35">
        <v>100</v>
      </c>
      <c r="AU522" s="31" t="str">
        <f t="shared" si="11"/>
        <v>库存为100</v>
      </c>
      <c r="AV522" s="36" t="str">
        <f>IFERROR($A$2+AU522,"上周无销量")</f>
        <v>上周无销量</v>
      </c>
    </row>
    <row r="523" spans="1:48">
      <c r="A523" s="21" t="s">
        <v>1114</v>
      </c>
      <c r="B523" t="s">
        <v>1094</v>
      </c>
      <c r="C523" t="s">
        <v>1040</v>
      </c>
      <c r="D523" s="31">
        <v>2</v>
      </c>
      <c r="E523" s="31">
        <v>2</v>
      </c>
      <c r="F523" s="31">
        <v>2</v>
      </c>
      <c r="G523" s="31">
        <v>0</v>
      </c>
      <c r="H523" s="32">
        <v>24.99</v>
      </c>
      <c r="I523">
        <v>18</v>
      </c>
      <c r="J523" s="33">
        <v>74</v>
      </c>
      <c r="K523" s="33">
        <v>0</v>
      </c>
      <c r="L523" s="33">
        <v>1</v>
      </c>
      <c r="M523">
        <v>93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22</v>
      </c>
      <c r="AK523">
        <v>12</v>
      </c>
      <c r="AL523">
        <v>28</v>
      </c>
      <c r="AM523">
        <v>26</v>
      </c>
      <c r="AN523" s="23">
        <v>0.0909090909090909</v>
      </c>
      <c r="AO523" s="23">
        <v>0.166666666666667</v>
      </c>
      <c r="AP523" s="23">
        <v>0.0714285714285714</v>
      </c>
      <c r="AQ523" s="23">
        <v>0</v>
      </c>
      <c r="AR523" s="35">
        <v>0.285714285714286</v>
      </c>
      <c r="AS523" s="35">
        <v>17.1428571428571</v>
      </c>
      <c r="AT523" s="35">
        <v>75.8571428571429</v>
      </c>
      <c r="AU523" s="31">
        <f t="shared" si="11"/>
        <v>325</v>
      </c>
      <c r="AV523" s="36">
        <f>IFERROR($A$2+AU523,"上周无销量")</f>
        <v>43587</v>
      </c>
    </row>
    <row r="524" spans="1:48">
      <c r="A524" s="21" t="s">
        <v>1115</v>
      </c>
      <c r="B524" t="s">
        <v>1096</v>
      </c>
      <c r="C524" t="s">
        <v>1040</v>
      </c>
      <c r="D524" s="31">
        <v>2</v>
      </c>
      <c r="E524" s="31">
        <v>3</v>
      </c>
      <c r="F524" s="31">
        <v>0</v>
      </c>
      <c r="G524" s="31">
        <v>3</v>
      </c>
      <c r="H524" s="32">
        <v>18.99</v>
      </c>
      <c r="I524">
        <v>50</v>
      </c>
      <c r="J524" s="33">
        <v>50</v>
      </c>
      <c r="K524" s="33">
        <v>0</v>
      </c>
      <c r="L524" s="33">
        <v>0</v>
      </c>
      <c r="M524">
        <v>100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28</v>
      </c>
      <c r="AK524">
        <v>30</v>
      </c>
      <c r="AL524">
        <v>53</v>
      </c>
      <c r="AM524">
        <v>38</v>
      </c>
      <c r="AN524" s="23">
        <v>0.0714285714285714</v>
      </c>
      <c r="AO524" s="23">
        <v>0.1</v>
      </c>
      <c r="AP524" s="23">
        <v>0</v>
      </c>
      <c r="AQ524" s="23">
        <v>0.0789473684210526</v>
      </c>
      <c r="AR524" s="35">
        <v>0.285714285714286</v>
      </c>
      <c r="AS524" s="35">
        <v>17.1428571428571</v>
      </c>
      <c r="AT524" s="35">
        <v>82.8571428571429</v>
      </c>
      <c r="AU524" s="31">
        <f t="shared" si="11"/>
        <v>350</v>
      </c>
      <c r="AV524" s="36">
        <f>IFERROR($A$2+AU524,"上周无销量")</f>
        <v>43612</v>
      </c>
    </row>
    <row r="525" spans="1:48">
      <c r="A525" s="21" t="s">
        <v>1116</v>
      </c>
      <c r="B525" t="s">
        <v>1098</v>
      </c>
      <c r="C525" t="s">
        <v>1040</v>
      </c>
      <c r="D525" s="31">
        <v>5</v>
      </c>
      <c r="E525" s="31">
        <v>1</v>
      </c>
      <c r="F525" s="31">
        <v>0</v>
      </c>
      <c r="G525" s="31">
        <v>0</v>
      </c>
      <c r="H525" s="32">
        <v>13.8233333333333</v>
      </c>
      <c r="I525">
        <v>36</v>
      </c>
      <c r="J525" s="33">
        <v>134</v>
      </c>
      <c r="K525" s="33">
        <v>0</v>
      </c>
      <c r="L525" s="33">
        <v>1</v>
      </c>
      <c r="M525">
        <v>171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50</v>
      </c>
      <c r="AK525">
        <v>49</v>
      </c>
      <c r="AL525">
        <v>46</v>
      </c>
      <c r="AM525">
        <v>38</v>
      </c>
      <c r="AN525" s="23">
        <v>0.1</v>
      </c>
      <c r="AO525" s="23">
        <v>0.0204081632653061</v>
      </c>
      <c r="AP525" s="23">
        <v>0</v>
      </c>
      <c r="AQ525" s="23">
        <v>0</v>
      </c>
      <c r="AR525" s="35">
        <v>0.714285714285714</v>
      </c>
      <c r="AS525" s="35">
        <v>42.8571428571429</v>
      </c>
      <c r="AT525" s="35">
        <v>128.142857142857</v>
      </c>
      <c r="AU525" s="31">
        <f t="shared" si="11"/>
        <v>239</v>
      </c>
      <c r="AV525" s="36">
        <f>IFERROR($A$2+AU525,"上周无销量")</f>
        <v>43501</v>
      </c>
    </row>
    <row r="526" spans="1:48">
      <c r="A526" s="21" t="s">
        <v>1117</v>
      </c>
      <c r="B526" t="s">
        <v>1118</v>
      </c>
      <c r="C526" t="s">
        <v>1119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IFERROR($A$2+AU526,"上周无销量")</f>
        <v>上周无销量</v>
      </c>
    </row>
    <row r="527" spans="1:48">
      <c r="A527" s="21" t="s">
        <v>1120</v>
      </c>
      <c r="B527" t="s">
        <v>1121</v>
      </c>
      <c r="C527" t="s">
        <v>1119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IFERROR($A$2+AU527,"上周无销量")</f>
        <v>上周无销量</v>
      </c>
    </row>
    <row r="528" spans="1:48">
      <c r="A528" s="21" t="s">
        <v>1122</v>
      </c>
      <c r="B528" t="s">
        <v>1123</v>
      </c>
      <c r="C528" t="s">
        <v>1119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IFERROR($A$2+AU528,"上周无销量")</f>
        <v>上周无销量</v>
      </c>
    </row>
    <row r="529" spans="1:48">
      <c r="A529" s="21" t="s">
        <v>1124</v>
      </c>
      <c r="B529" t="s">
        <v>1125</v>
      </c>
      <c r="C529" t="s">
        <v>1126</v>
      </c>
      <c r="D529" s="31">
        <v>0</v>
      </c>
      <c r="E529" s="31">
        <v>1</v>
      </c>
      <c r="F529" s="31">
        <v>1</v>
      </c>
      <c r="G529" s="31">
        <v>1</v>
      </c>
      <c r="H529" s="32">
        <v>9.9</v>
      </c>
      <c r="I529">
        <v>3</v>
      </c>
      <c r="J529" s="33">
        <v>0</v>
      </c>
      <c r="K529" s="33">
        <v>0</v>
      </c>
      <c r="L529" s="33">
        <v>0</v>
      </c>
      <c r="M529">
        <v>3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6</v>
      </c>
      <c r="AK529">
        <v>6</v>
      </c>
      <c r="AL529">
        <v>1</v>
      </c>
      <c r="AM529">
        <v>2</v>
      </c>
      <c r="AN529" s="23">
        <v>0</v>
      </c>
      <c r="AO529" s="23">
        <v>0.166666666666667</v>
      </c>
      <c r="AP529" s="23">
        <v>1</v>
      </c>
      <c r="AQ529" s="23">
        <v>0.5</v>
      </c>
      <c r="AR529" s="35">
        <v>0</v>
      </c>
      <c r="AS529" s="35">
        <v>0</v>
      </c>
      <c r="AT529" s="35">
        <v>3</v>
      </c>
      <c r="AU529" s="31" t="str">
        <f t="shared" si="11"/>
        <v>库存为3</v>
      </c>
      <c r="AV529" s="36" t="str">
        <f>IFERROR($A$2+AU529,"上周无销量")</f>
        <v>上周无销量</v>
      </c>
    </row>
    <row r="530" spans="1:48">
      <c r="A530" s="21" t="s">
        <v>1127</v>
      </c>
      <c r="B530" t="s">
        <v>1128</v>
      </c>
      <c r="C530" t="s">
        <v>1126</v>
      </c>
      <c r="D530" s="31">
        <v>0</v>
      </c>
      <c r="E530" s="31">
        <v>0</v>
      </c>
      <c r="F530" s="31">
        <v>1</v>
      </c>
      <c r="G530" s="31">
        <v>0</v>
      </c>
      <c r="H530" s="32">
        <v>9.9</v>
      </c>
      <c r="I530">
        <v>13</v>
      </c>
      <c r="J530" s="33">
        <v>0</v>
      </c>
      <c r="K530" s="33">
        <v>0</v>
      </c>
      <c r="L530" s="33">
        <v>0</v>
      </c>
      <c r="M530">
        <v>13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8</v>
      </c>
      <c r="AK530">
        <v>4</v>
      </c>
      <c r="AL530">
        <v>2</v>
      </c>
      <c r="AM530">
        <v>2</v>
      </c>
      <c r="AN530" s="23">
        <v>0</v>
      </c>
      <c r="AO530" s="23">
        <v>0</v>
      </c>
      <c r="AP530" s="23">
        <v>0.5</v>
      </c>
      <c r="AQ530" s="23">
        <v>0</v>
      </c>
      <c r="AR530" s="35">
        <v>0</v>
      </c>
      <c r="AS530" s="35">
        <v>0</v>
      </c>
      <c r="AT530" s="35">
        <v>13</v>
      </c>
      <c r="AU530" s="31" t="str">
        <f t="shared" si="11"/>
        <v>库存为13</v>
      </c>
      <c r="AV530" s="36" t="str">
        <f>IFERROR($A$2+AU530,"上周无销量")</f>
        <v>上周无销量</v>
      </c>
    </row>
    <row r="531" spans="1:48">
      <c r="A531" s="21" t="s">
        <v>1129</v>
      </c>
      <c r="B531" t="s">
        <v>1130</v>
      </c>
      <c r="C531" t="s">
        <v>1126</v>
      </c>
      <c r="D531" s="31">
        <v>2</v>
      </c>
      <c r="E531" s="31">
        <v>0</v>
      </c>
      <c r="F531" s="31">
        <v>0</v>
      </c>
      <c r="G531" s="31">
        <v>0</v>
      </c>
      <c r="H531" s="32">
        <v>9.9</v>
      </c>
      <c r="I531">
        <v>6</v>
      </c>
      <c r="J531" s="33">
        <v>0</v>
      </c>
      <c r="K531" s="33">
        <v>0</v>
      </c>
      <c r="L531" s="33">
        <v>0</v>
      </c>
      <c r="M531">
        <v>6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4</v>
      </c>
      <c r="AK531">
        <v>4</v>
      </c>
      <c r="AL531">
        <v>4</v>
      </c>
      <c r="AM531">
        <v>2</v>
      </c>
      <c r="AN531" s="23">
        <v>0.5</v>
      </c>
      <c r="AO531" s="23">
        <v>0</v>
      </c>
      <c r="AP531" s="23">
        <v>0</v>
      </c>
      <c r="AQ531" s="23">
        <v>0</v>
      </c>
      <c r="AR531" s="35">
        <v>0.285714285714286</v>
      </c>
      <c r="AS531" s="35">
        <v>17.1428571428571</v>
      </c>
      <c r="AT531" s="35">
        <v>-11.1428571428571</v>
      </c>
      <c r="AU531" s="31">
        <f t="shared" si="11"/>
        <v>21</v>
      </c>
      <c r="AV531" s="36">
        <f>IFERROR($A$2+AU531,"上周无销量")</f>
        <v>43283</v>
      </c>
    </row>
    <row r="532" spans="1:48">
      <c r="A532" s="21" t="s">
        <v>1131</v>
      </c>
      <c r="B532" t="s">
        <v>1132</v>
      </c>
      <c r="C532" t="s">
        <v>1126</v>
      </c>
      <c r="D532" s="31">
        <v>1</v>
      </c>
      <c r="E532" s="31">
        <v>0</v>
      </c>
      <c r="F532" s="31">
        <v>0</v>
      </c>
      <c r="G532" s="31">
        <v>0</v>
      </c>
      <c r="H532" s="32">
        <v>9.9</v>
      </c>
      <c r="I532">
        <v>9</v>
      </c>
      <c r="J532" s="33">
        <v>0</v>
      </c>
      <c r="K532" s="33">
        <v>0</v>
      </c>
      <c r="L532" s="33">
        <v>0</v>
      </c>
      <c r="M532">
        <v>9</v>
      </c>
      <c r="N532">
        <v>0</v>
      </c>
      <c r="O532">
        <v>4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5</v>
      </c>
      <c r="AK532">
        <v>3</v>
      </c>
      <c r="AL532">
        <v>4</v>
      </c>
      <c r="AM532">
        <v>2</v>
      </c>
      <c r="AN532" s="23">
        <v>0.2</v>
      </c>
      <c r="AO532" s="23">
        <v>0</v>
      </c>
      <c r="AP532" s="23">
        <v>0</v>
      </c>
      <c r="AQ532" s="23">
        <v>0</v>
      </c>
      <c r="AR532" s="35">
        <v>0.142857142857143</v>
      </c>
      <c r="AS532" s="35">
        <v>8.57142857142857</v>
      </c>
      <c r="AT532" s="35">
        <v>0.428571428571429</v>
      </c>
      <c r="AU532" s="31">
        <f t="shared" si="11"/>
        <v>63</v>
      </c>
      <c r="AV532" s="36">
        <f>IFERROR($A$2+AU532,"上周无销量")</f>
        <v>43325</v>
      </c>
    </row>
    <row r="533" spans="1:48">
      <c r="A533" s="21" t="s">
        <v>1133</v>
      </c>
      <c r="B533" t="s">
        <v>1134</v>
      </c>
      <c r="C533" t="s">
        <v>1126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12</v>
      </c>
      <c r="J533" s="33">
        <v>0</v>
      </c>
      <c r="K533" s="33">
        <v>0</v>
      </c>
      <c r="L533" s="33">
        <v>0</v>
      </c>
      <c r="M533">
        <v>12</v>
      </c>
      <c r="N533">
        <v>0</v>
      </c>
      <c r="O533">
        <v>7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2</v>
      </c>
      <c r="AK533">
        <v>6</v>
      </c>
      <c r="AL533">
        <v>1</v>
      </c>
      <c r="AM533">
        <v>1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12</v>
      </c>
      <c r="AU533" s="31" t="str">
        <f t="shared" si="11"/>
        <v>库存为12</v>
      </c>
      <c r="AV533" s="36" t="str">
        <f>IFERROR($A$2+AU533,"上周无销量")</f>
        <v>上周无销量</v>
      </c>
    </row>
    <row r="534" spans="1:48">
      <c r="A534" s="21" t="s">
        <v>1135</v>
      </c>
      <c r="B534" t="s">
        <v>1136</v>
      </c>
      <c r="C534" t="s">
        <v>1126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12</v>
      </c>
      <c r="J534" s="33">
        <v>0</v>
      </c>
      <c r="K534" s="33">
        <v>0</v>
      </c>
      <c r="L534" s="33">
        <v>0</v>
      </c>
      <c r="M534">
        <v>12</v>
      </c>
      <c r="N534">
        <v>0</v>
      </c>
      <c r="O534">
        <v>6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6</v>
      </c>
      <c r="AK534">
        <v>4</v>
      </c>
      <c r="AL534">
        <v>4</v>
      </c>
      <c r="AM534">
        <v>3</v>
      </c>
      <c r="AN534" s="23">
        <v>0</v>
      </c>
      <c r="AO534" s="23">
        <v>0</v>
      </c>
      <c r="AP534" s="23">
        <v>0</v>
      </c>
      <c r="AQ534" s="23">
        <v>0</v>
      </c>
      <c r="AR534" s="35">
        <v>0</v>
      </c>
      <c r="AS534" s="35">
        <v>0</v>
      </c>
      <c r="AT534" s="35">
        <v>12</v>
      </c>
      <c r="AU534" s="31" t="str">
        <f t="shared" si="11"/>
        <v>库存为12</v>
      </c>
      <c r="AV534" s="36" t="str">
        <f>IFERROR($A$2+AU534,"上周无销量")</f>
        <v>上周无销量</v>
      </c>
    </row>
    <row r="535" spans="1:48">
      <c r="A535" s="21" t="s">
        <v>1137</v>
      </c>
      <c r="B535" t="s">
        <v>1138</v>
      </c>
      <c r="C535" t="s">
        <v>1126</v>
      </c>
      <c r="D535" s="31">
        <v>0</v>
      </c>
      <c r="E535" s="31">
        <v>1</v>
      </c>
      <c r="F535" s="31">
        <v>0</v>
      </c>
      <c r="G535" s="31">
        <v>0</v>
      </c>
      <c r="H535" s="32">
        <v>9.9</v>
      </c>
      <c r="I535">
        <v>10</v>
      </c>
      <c r="J535" s="33">
        <v>0</v>
      </c>
      <c r="K535" s="33">
        <v>0</v>
      </c>
      <c r="L535" s="33">
        <v>0</v>
      </c>
      <c r="M535">
        <v>10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5</v>
      </c>
      <c r="AK535">
        <v>6</v>
      </c>
      <c r="AL535">
        <v>1</v>
      </c>
      <c r="AM535">
        <v>0</v>
      </c>
      <c r="AN535" s="23">
        <v>0</v>
      </c>
      <c r="AO535" s="23">
        <v>0.166666666666667</v>
      </c>
      <c r="AP535" s="23">
        <v>0</v>
      </c>
      <c r="AQ535" s="23" t="s">
        <v>54</v>
      </c>
      <c r="AR535" s="35">
        <v>0</v>
      </c>
      <c r="AS535" s="35">
        <v>0</v>
      </c>
      <c r="AT535" s="35">
        <v>10</v>
      </c>
      <c r="AU535" s="31" t="str">
        <f t="shared" si="11"/>
        <v>库存为10</v>
      </c>
      <c r="AV535" s="36" t="str">
        <f>IFERROR($A$2+AU535,"上周无销量")</f>
        <v>上周无销量</v>
      </c>
    </row>
    <row r="536" spans="1:48">
      <c r="A536" s="21" t="s">
        <v>1139</v>
      </c>
      <c r="B536" t="s">
        <v>1140</v>
      </c>
      <c r="C536" t="s">
        <v>1126</v>
      </c>
      <c r="D536" s="31">
        <v>1</v>
      </c>
      <c r="E536" s="31">
        <v>1</v>
      </c>
      <c r="F536" s="31">
        <v>0</v>
      </c>
      <c r="G536" s="31">
        <v>0</v>
      </c>
      <c r="H536" s="32">
        <v>9.9</v>
      </c>
      <c r="I536">
        <v>10</v>
      </c>
      <c r="J536" s="33">
        <v>0</v>
      </c>
      <c r="K536" s="33">
        <v>0</v>
      </c>
      <c r="L536" s="33">
        <v>0</v>
      </c>
      <c r="M536">
        <v>10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5</v>
      </c>
      <c r="AK536">
        <v>2</v>
      </c>
      <c r="AL536">
        <v>1</v>
      </c>
      <c r="AM536">
        <v>3</v>
      </c>
      <c r="AN536" s="23">
        <v>0.2</v>
      </c>
      <c r="AO536" s="23">
        <v>0.5</v>
      </c>
      <c r="AP536" s="23">
        <v>0</v>
      </c>
      <c r="AQ536" s="23">
        <v>0</v>
      </c>
      <c r="AR536" s="35">
        <v>0.142857142857143</v>
      </c>
      <c r="AS536" s="35">
        <v>8.57142857142857</v>
      </c>
      <c r="AT536" s="35">
        <v>1.42857142857143</v>
      </c>
      <c r="AU536" s="31">
        <f t="shared" si="11"/>
        <v>70</v>
      </c>
      <c r="AV536" s="36">
        <f>IFERROR($A$2+AU536,"上周无销量")</f>
        <v>43332</v>
      </c>
    </row>
    <row r="537" spans="1:48">
      <c r="A537" s="21" t="s">
        <v>1141</v>
      </c>
      <c r="B537" t="s">
        <v>1142</v>
      </c>
      <c r="C537" t="s">
        <v>1126</v>
      </c>
      <c r="D537" s="31">
        <v>0</v>
      </c>
      <c r="E537" s="31">
        <v>3</v>
      </c>
      <c r="F537" s="31">
        <v>2</v>
      </c>
      <c r="G537" s="31">
        <v>3</v>
      </c>
      <c r="H537" s="32">
        <v>9.9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7479</v>
      </c>
      <c r="T537">
        <v>0</v>
      </c>
      <c r="U537">
        <v>0</v>
      </c>
      <c r="V537">
        <v>0</v>
      </c>
      <c r="W537">
        <v>18</v>
      </c>
      <c r="X537" s="23" t="s">
        <v>54</v>
      </c>
      <c r="Y537" s="23" t="s">
        <v>54</v>
      </c>
      <c r="Z537" s="23" t="s">
        <v>54</v>
      </c>
      <c r="AA537" s="23">
        <v>0.00240673886883273</v>
      </c>
      <c r="AB537">
        <v>0</v>
      </c>
      <c r="AC537">
        <v>0</v>
      </c>
      <c r="AD537">
        <v>0</v>
      </c>
      <c r="AE537">
        <v>10.11</v>
      </c>
      <c r="AF537" s="23" t="s">
        <v>54</v>
      </c>
      <c r="AG537" s="23" t="s">
        <v>54</v>
      </c>
      <c r="AH537" s="23" t="s">
        <v>54</v>
      </c>
      <c r="AI537" s="23">
        <v>0.34040404040404</v>
      </c>
      <c r="AJ537">
        <v>16</v>
      </c>
      <c r="AK537">
        <v>13</v>
      </c>
      <c r="AL537">
        <v>5</v>
      </c>
      <c r="AM537">
        <v>23</v>
      </c>
      <c r="AN537" s="23">
        <v>0</v>
      </c>
      <c r="AO537" s="23">
        <v>0.230769230769231</v>
      </c>
      <c r="AP537" s="23">
        <v>0.4</v>
      </c>
      <c r="AQ537" s="23">
        <v>0.130434782608696</v>
      </c>
      <c r="AR537" s="35">
        <v>0</v>
      </c>
      <c r="AS537" s="35">
        <v>0</v>
      </c>
      <c r="AT537" s="35">
        <v>3</v>
      </c>
      <c r="AU537" s="31" t="str">
        <f t="shared" si="11"/>
        <v>库存为3</v>
      </c>
      <c r="AV537" s="36" t="str">
        <f>IFERROR($A$2+AU537,"上周无销量")</f>
        <v>上周无销量</v>
      </c>
    </row>
    <row r="538" spans="1:48">
      <c r="A538" s="21" t="s">
        <v>1143</v>
      </c>
      <c r="B538" t="s">
        <v>1144</v>
      </c>
      <c r="C538" t="s">
        <v>1126</v>
      </c>
      <c r="D538" s="31">
        <v>0</v>
      </c>
      <c r="E538" s="31">
        <v>2</v>
      </c>
      <c r="F538" s="31">
        <v>2</v>
      </c>
      <c r="G538" s="31">
        <v>1</v>
      </c>
      <c r="H538" s="32">
        <v>9.9</v>
      </c>
      <c r="I538">
        <v>4</v>
      </c>
      <c r="J538" s="33">
        <v>0</v>
      </c>
      <c r="K538" s="33">
        <v>0</v>
      </c>
      <c r="L538" s="33">
        <v>0</v>
      </c>
      <c r="M538">
        <v>4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15</v>
      </c>
      <c r="AK538">
        <v>9</v>
      </c>
      <c r="AL538">
        <v>4</v>
      </c>
      <c r="AM538">
        <v>13</v>
      </c>
      <c r="AN538" s="23">
        <v>0</v>
      </c>
      <c r="AO538" s="23">
        <v>0.222222222222222</v>
      </c>
      <c r="AP538" s="23">
        <v>0.5</v>
      </c>
      <c r="AQ538" s="23">
        <v>0.0769230769230769</v>
      </c>
      <c r="AR538" s="35">
        <v>0</v>
      </c>
      <c r="AS538" s="35">
        <v>0</v>
      </c>
      <c r="AT538" s="35">
        <v>4</v>
      </c>
      <c r="AU538" s="31" t="str">
        <f t="shared" si="11"/>
        <v>库存为4</v>
      </c>
      <c r="AV538" s="36" t="str">
        <f>IFERROR($A$2+AU538,"上周无销量")</f>
        <v>上周无销量</v>
      </c>
    </row>
    <row r="539" spans="1:48">
      <c r="A539" s="21" t="s">
        <v>1145</v>
      </c>
      <c r="B539" t="s">
        <v>1146</v>
      </c>
      <c r="C539" t="s">
        <v>1126</v>
      </c>
      <c r="D539" s="31">
        <v>1</v>
      </c>
      <c r="E539" s="31">
        <v>2</v>
      </c>
      <c r="F539" s="31">
        <v>0</v>
      </c>
      <c r="G539" s="31">
        <v>0</v>
      </c>
      <c r="H539" s="32">
        <v>9.9</v>
      </c>
      <c r="I539">
        <v>4</v>
      </c>
      <c r="J539" s="33">
        <v>0</v>
      </c>
      <c r="K539" s="33">
        <v>0</v>
      </c>
      <c r="L539" s="33">
        <v>0</v>
      </c>
      <c r="M539">
        <v>4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6</v>
      </c>
      <c r="AK539">
        <v>9</v>
      </c>
      <c r="AL539">
        <v>0</v>
      </c>
      <c r="AM539">
        <v>3</v>
      </c>
      <c r="AN539" s="23">
        <v>0.166666666666667</v>
      </c>
      <c r="AO539" s="23">
        <v>0.222222222222222</v>
      </c>
      <c r="AP539" s="23" t="s">
        <v>54</v>
      </c>
      <c r="AQ539" s="23">
        <v>0</v>
      </c>
      <c r="AR539" s="35">
        <v>0.142857142857143</v>
      </c>
      <c r="AS539" s="35">
        <v>8.57142857142857</v>
      </c>
      <c r="AT539" s="35">
        <v>-4.57142857142857</v>
      </c>
      <c r="AU539" s="31">
        <f t="shared" si="11"/>
        <v>28</v>
      </c>
      <c r="AV539" s="36">
        <f>IFERROR($A$2+AU539,"上周无销量")</f>
        <v>43290</v>
      </c>
    </row>
    <row r="540" spans="1:48">
      <c r="A540" s="21" t="s">
        <v>1147</v>
      </c>
      <c r="B540" t="s">
        <v>1148</v>
      </c>
      <c r="C540" t="s">
        <v>1126</v>
      </c>
      <c r="D540" s="31">
        <v>1</v>
      </c>
      <c r="E540" s="31">
        <v>0</v>
      </c>
      <c r="F540" s="31">
        <v>0</v>
      </c>
      <c r="G540" s="31">
        <v>0</v>
      </c>
      <c r="H540" s="32">
        <v>9.9</v>
      </c>
      <c r="I540">
        <v>6</v>
      </c>
      <c r="J540" s="33">
        <v>0</v>
      </c>
      <c r="K540" s="33">
        <v>0</v>
      </c>
      <c r="L540" s="33">
        <v>0</v>
      </c>
      <c r="M540">
        <v>6</v>
      </c>
      <c r="N540">
        <v>0</v>
      </c>
      <c r="O540">
        <v>1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5</v>
      </c>
      <c r="AK540">
        <v>3</v>
      </c>
      <c r="AL540">
        <v>9</v>
      </c>
      <c r="AM540">
        <v>2</v>
      </c>
      <c r="AN540" s="23">
        <v>0.2</v>
      </c>
      <c r="AO540" s="23">
        <v>0</v>
      </c>
      <c r="AP540" s="23">
        <v>0</v>
      </c>
      <c r="AQ540" s="23">
        <v>0</v>
      </c>
      <c r="AR540" s="35">
        <v>0.142857142857143</v>
      </c>
      <c r="AS540" s="35">
        <v>8.57142857142857</v>
      </c>
      <c r="AT540" s="35">
        <v>-2.57142857142857</v>
      </c>
      <c r="AU540" s="31">
        <f t="shared" si="11"/>
        <v>42</v>
      </c>
      <c r="AV540" s="36">
        <f>IFERROR($A$2+AU540,"上周无销量")</f>
        <v>43304</v>
      </c>
    </row>
    <row r="541" spans="1:48">
      <c r="A541" s="21" t="s">
        <v>1149</v>
      </c>
      <c r="B541" t="s">
        <v>1150</v>
      </c>
      <c r="C541" t="s">
        <v>1126</v>
      </c>
      <c r="D541" s="31">
        <v>0</v>
      </c>
      <c r="E541" s="31">
        <v>0</v>
      </c>
      <c r="F541" s="31">
        <v>0</v>
      </c>
      <c r="G541" s="31">
        <v>1</v>
      </c>
      <c r="H541" s="32">
        <v>9.9</v>
      </c>
      <c r="I541">
        <v>6</v>
      </c>
      <c r="J541" s="33">
        <v>0</v>
      </c>
      <c r="K541" s="33">
        <v>0</v>
      </c>
      <c r="L541" s="33">
        <v>0</v>
      </c>
      <c r="M541">
        <v>6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6</v>
      </c>
      <c r="AK541">
        <v>8</v>
      </c>
      <c r="AL541">
        <v>4</v>
      </c>
      <c r="AM541">
        <v>4</v>
      </c>
      <c r="AN541" s="23">
        <v>0</v>
      </c>
      <c r="AO541" s="23">
        <v>0</v>
      </c>
      <c r="AP541" s="23">
        <v>0</v>
      </c>
      <c r="AQ541" s="23">
        <v>0.25</v>
      </c>
      <c r="AR541" s="35">
        <v>0</v>
      </c>
      <c r="AS541" s="35">
        <v>0</v>
      </c>
      <c r="AT541" s="35">
        <v>6</v>
      </c>
      <c r="AU541" s="31" t="str">
        <f t="shared" si="11"/>
        <v>库存为6</v>
      </c>
      <c r="AV541" s="36" t="str">
        <f>IFERROR($A$2+AU541,"上周无销量")</f>
        <v>上周无销量</v>
      </c>
    </row>
    <row r="542" spans="1:48">
      <c r="A542" s="21" t="s">
        <v>1151</v>
      </c>
      <c r="B542" t="s">
        <v>1152</v>
      </c>
      <c r="C542" t="s">
        <v>1126</v>
      </c>
      <c r="D542" s="31">
        <v>0</v>
      </c>
      <c r="E542" s="31">
        <v>1</v>
      </c>
      <c r="F542" s="31">
        <v>0</v>
      </c>
      <c r="G542" s="31">
        <v>2</v>
      </c>
      <c r="H542" s="32">
        <v>9.9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0</v>
      </c>
      <c r="P542">
        <v>4628</v>
      </c>
      <c r="Q542">
        <v>2090</v>
      </c>
      <c r="R542">
        <v>1661</v>
      </c>
      <c r="S542">
        <v>11686</v>
      </c>
      <c r="T542">
        <v>25</v>
      </c>
      <c r="U542">
        <v>23</v>
      </c>
      <c r="V542">
        <v>15</v>
      </c>
      <c r="W542">
        <v>27</v>
      </c>
      <c r="X542" s="23">
        <v>0.0054019014693172</v>
      </c>
      <c r="Y542" s="23">
        <v>0.0110047846889952</v>
      </c>
      <c r="Z542" s="23">
        <v>0.00903070439494281</v>
      </c>
      <c r="AA542" s="23">
        <v>0.00231045695704262</v>
      </c>
      <c r="AB542">
        <v>12.16</v>
      </c>
      <c r="AC542">
        <v>12.37</v>
      </c>
      <c r="AD542">
        <v>7.38</v>
      </c>
      <c r="AE542">
        <v>15.1</v>
      </c>
      <c r="AF542" s="23">
        <v>0</v>
      </c>
      <c r="AG542" s="23">
        <v>1.24949494949495</v>
      </c>
      <c r="AH542" s="23">
        <v>0</v>
      </c>
      <c r="AI542" s="23">
        <v>0.762626262626263</v>
      </c>
      <c r="AJ542">
        <v>15</v>
      </c>
      <c r="AK542">
        <v>12</v>
      </c>
      <c r="AL542">
        <v>5</v>
      </c>
      <c r="AM542">
        <v>15</v>
      </c>
      <c r="AN542" s="23">
        <v>0</v>
      </c>
      <c r="AO542" s="23">
        <v>0.0833333333333333</v>
      </c>
      <c r="AP542" s="23">
        <v>0</v>
      </c>
      <c r="AQ542" s="23">
        <v>0.133333333333333</v>
      </c>
      <c r="AR542" s="35">
        <v>0</v>
      </c>
      <c r="AS542" s="35">
        <v>0</v>
      </c>
      <c r="AT542" s="35">
        <v>3</v>
      </c>
      <c r="AU542" s="31" t="str">
        <f t="shared" si="11"/>
        <v>库存为3</v>
      </c>
      <c r="AV542" s="36" t="str">
        <f>IFERROR($A$2+AU542,"上周无销量")</f>
        <v>上周无销量</v>
      </c>
    </row>
    <row r="543" spans="1:48">
      <c r="A543" s="21" t="s">
        <v>1153</v>
      </c>
      <c r="B543" t="s">
        <v>1154</v>
      </c>
      <c r="C543" t="s">
        <v>1126</v>
      </c>
      <c r="D543" s="31">
        <v>0</v>
      </c>
      <c r="E543" s="31">
        <v>1</v>
      </c>
      <c r="F543" s="31">
        <v>0</v>
      </c>
      <c r="G543" s="31">
        <v>1</v>
      </c>
      <c r="H543" s="32">
        <v>9.9</v>
      </c>
      <c r="I543">
        <v>4</v>
      </c>
      <c r="J543" s="33">
        <v>0</v>
      </c>
      <c r="K543" s="33">
        <v>0</v>
      </c>
      <c r="L543" s="33">
        <v>0</v>
      </c>
      <c r="M543">
        <v>4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6</v>
      </c>
      <c r="AK543">
        <v>7</v>
      </c>
      <c r="AL543">
        <v>0</v>
      </c>
      <c r="AM543">
        <v>3</v>
      </c>
      <c r="AN543" s="23">
        <v>0</v>
      </c>
      <c r="AO543" s="23">
        <v>0.142857142857143</v>
      </c>
      <c r="AP543" s="23" t="s">
        <v>54</v>
      </c>
      <c r="AQ543" s="23">
        <v>0.333333333333333</v>
      </c>
      <c r="AR543" s="35">
        <v>0</v>
      </c>
      <c r="AS543" s="35">
        <v>0</v>
      </c>
      <c r="AT543" s="35">
        <v>4</v>
      </c>
      <c r="AU543" s="31" t="str">
        <f t="shared" si="11"/>
        <v>库存为4</v>
      </c>
      <c r="AV543" s="36" t="str">
        <f>IFERROR($A$2+AU543,"上周无销量")</f>
        <v>上周无销量</v>
      </c>
    </row>
    <row r="544" spans="1:48">
      <c r="A544" s="21" t="s">
        <v>1155</v>
      </c>
      <c r="B544" t="s">
        <v>1156</v>
      </c>
      <c r="C544" t="s">
        <v>1126</v>
      </c>
      <c r="D544" s="31">
        <v>0</v>
      </c>
      <c r="E544" s="31">
        <v>0</v>
      </c>
      <c r="F544" s="31">
        <v>0</v>
      </c>
      <c r="G544" s="31">
        <v>1</v>
      </c>
      <c r="H544" s="32">
        <v>9.9</v>
      </c>
      <c r="I544">
        <v>5</v>
      </c>
      <c r="J544" s="33">
        <v>0</v>
      </c>
      <c r="K544" s="33">
        <v>0</v>
      </c>
      <c r="L544" s="33">
        <v>0</v>
      </c>
      <c r="M544">
        <v>5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5</v>
      </c>
      <c r="AK544">
        <v>3</v>
      </c>
      <c r="AL544">
        <v>5</v>
      </c>
      <c r="AM544">
        <v>2</v>
      </c>
      <c r="AN544" s="23">
        <v>0</v>
      </c>
      <c r="AO544" s="23">
        <v>0</v>
      </c>
      <c r="AP544" s="23">
        <v>0</v>
      </c>
      <c r="AQ544" s="23">
        <v>0.5</v>
      </c>
      <c r="AR544" s="35">
        <v>0</v>
      </c>
      <c r="AS544" s="35">
        <v>0</v>
      </c>
      <c r="AT544" s="35">
        <v>5</v>
      </c>
      <c r="AU544" s="31" t="str">
        <f t="shared" si="11"/>
        <v>库存为5</v>
      </c>
      <c r="AV544" s="36" t="str">
        <f>IFERROR($A$2+AU544,"上周无销量")</f>
        <v>上周无销量</v>
      </c>
    </row>
    <row r="545" spans="1:48">
      <c r="A545" s="21" t="s">
        <v>1157</v>
      </c>
      <c r="B545" t="s">
        <v>1158</v>
      </c>
      <c r="C545" t="s">
        <v>1159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4</v>
      </c>
      <c r="J545" s="33">
        <v>0</v>
      </c>
      <c r="K545" s="33">
        <v>0</v>
      </c>
      <c r="L545" s="33">
        <v>0</v>
      </c>
      <c r="M545">
        <v>4</v>
      </c>
      <c r="N545">
        <v>0</v>
      </c>
      <c r="O545">
        <v>4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3</v>
      </c>
      <c r="AL545">
        <v>1</v>
      </c>
      <c r="AM545">
        <v>1</v>
      </c>
      <c r="AN545" s="23" t="s">
        <v>54</v>
      </c>
      <c r="AO545" s="23">
        <v>0</v>
      </c>
      <c r="AP545" s="23">
        <v>0</v>
      </c>
      <c r="AQ545" s="23">
        <v>0</v>
      </c>
      <c r="AR545" s="35">
        <v>0</v>
      </c>
      <c r="AS545" s="35">
        <v>0</v>
      </c>
      <c r="AT545" s="35">
        <v>4</v>
      </c>
      <c r="AU545" s="31" t="str">
        <f t="shared" si="11"/>
        <v>库存为4</v>
      </c>
      <c r="AV545" s="36" t="str">
        <f>IFERROR($A$2+AU545,"上周无销量")</f>
        <v>上周无销量</v>
      </c>
    </row>
    <row r="546" spans="1:48">
      <c r="A546" s="21" t="s">
        <v>1160</v>
      </c>
      <c r="B546" t="s">
        <v>1161</v>
      </c>
      <c r="C546" t="s">
        <v>1159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4</v>
      </c>
      <c r="J546" s="33">
        <v>0</v>
      </c>
      <c r="K546" s="33">
        <v>0</v>
      </c>
      <c r="L546" s="33">
        <v>0</v>
      </c>
      <c r="M546">
        <v>4</v>
      </c>
      <c r="N546">
        <v>0</v>
      </c>
      <c r="O546">
        <v>4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1</v>
      </c>
      <c r="AK546">
        <v>0</v>
      </c>
      <c r="AL546">
        <v>0</v>
      </c>
      <c r="AM546">
        <v>0</v>
      </c>
      <c r="AN546" s="23">
        <v>0</v>
      </c>
      <c r="AO546" s="23" t="s">
        <v>54</v>
      </c>
      <c r="AP546" s="23" t="s">
        <v>54</v>
      </c>
      <c r="AQ546" s="23" t="s">
        <v>54</v>
      </c>
      <c r="AR546" s="35">
        <v>0</v>
      </c>
      <c r="AS546" s="35">
        <v>0</v>
      </c>
      <c r="AT546" s="35">
        <v>4</v>
      </c>
      <c r="AU546" s="31" t="str">
        <f t="shared" si="11"/>
        <v>库存为4</v>
      </c>
      <c r="AV546" s="36" t="str">
        <f>IFERROR($A$2+AU546,"上周无销量")</f>
        <v>上周无销量</v>
      </c>
    </row>
    <row r="547" spans="1:48">
      <c r="A547" s="21" t="s">
        <v>1162</v>
      </c>
      <c r="B547" t="s">
        <v>1163</v>
      </c>
      <c r="C547" t="s">
        <v>1159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4</v>
      </c>
      <c r="J547" s="33">
        <v>0</v>
      </c>
      <c r="K547" s="33">
        <v>0</v>
      </c>
      <c r="L547" s="33">
        <v>0</v>
      </c>
      <c r="M547">
        <v>4</v>
      </c>
      <c r="N547">
        <v>0</v>
      </c>
      <c r="O547">
        <v>4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1</v>
      </c>
      <c r="AK547">
        <v>1</v>
      </c>
      <c r="AL547">
        <v>0</v>
      </c>
      <c r="AM547">
        <v>1</v>
      </c>
      <c r="AN547" s="23">
        <v>0</v>
      </c>
      <c r="AO547" s="23">
        <v>0</v>
      </c>
      <c r="AP547" s="23" t="s">
        <v>54</v>
      </c>
      <c r="AQ547" s="23">
        <v>0</v>
      </c>
      <c r="AR547" s="35">
        <v>0</v>
      </c>
      <c r="AS547" s="35">
        <v>0</v>
      </c>
      <c r="AT547" s="35">
        <v>4</v>
      </c>
      <c r="AU547" s="31" t="str">
        <f t="shared" si="11"/>
        <v>库存为4</v>
      </c>
      <c r="AV547" s="36" t="str">
        <f>IFERROR($A$2+AU547,"上周无销量")</f>
        <v>上周无销量</v>
      </c>
    </row>
    <row r="548" spans="1:48">
      <c r="A548" s="21" t="s">
        <v>1164</v>
      </c>
      <c r="B548" t="s">
        <v>1165</v>
      </c>
      <c r="C548" t="s">
        <v>1159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4</v>
      </c>
      <c r="J548" s="33">
        <v>0</v>
      </c>
      <c r="K548" s="33">
        <v>0</v>
      </c>
      <c r="L548" s="33">
        <v>0</v>
      </c>
      <c r="M548">
        <v>4</v>
      </c>
      <c r="N548">
        <v>0</v>
      </c>
      <c r="O548">
        <v>4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2</v>
      </c>
      <c r="AK548">
        <v>1</v>
      </c>
      <c r="AL548">
        <v>0</v>
      </c>
      <c r="AM548">
        <v>0</v>
      </c>
      <c r="AN548" s="23">
        <v>0</v>
      </c>
      <c r="AO548" s="23">
        <v>0</v>
      </c>
      <c r="AP548" s="23" t="s">
        <v>54</v>
      </c>
      <c r="AQ548" s="23" t="s">
        <v>54</v>
      </c>
      <c r="AR548" s="35">
        <v>0</v>
      </c>
      <c r="AS548" s="35">
        <v>0</v>
      </c>
      <c r="AT548" s="35">
        <v>4</v>
      </c>
      <c r="AU548" s="31" t="str">
        <f t="shared" si="11"/>
        <v>库存为4</v>
      </c>
      <c r="AV548" s="36" t="str">
        <f>IFERROR($A$2+AU548,"上周无销量")</f>
        <v>上周无销量</v>
      </c>
    </row>
    <row r="549" spans="1:48">
      <c r="A549" s="21" t="s">
        <v>1166</v>
      </c>
      <c r="B549" t="s">
        <v>1167</v>
      </c>
      <c r="C549" t="s">
        <v>1159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4</v>
      </c>
      <c r="J549" s="33">
        <v>0</v>
      </c>
      <c r="K549" s="33">
        <v>0</v>
      </c>
      <c r="L549" s="33">
        <v>0</v>
      </c>
      <c r="M549">
        <v>4</v>
      </c>
      <c r="N549">
        <v>0</v>
      </c>
      <c r="O549">
        <v>4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</v>
      </c>
      <c r="AK549">
        <v>0</v>
      </c>
      <c r="AL549">
        <v>0</v>
      </c>
      <c r="AM549">
        <v>0</v>
      </c>
      <c r="AN549" s="23">
        <v>0</v>
      </c>
      <c r="AO549" s="23" t="s">
        <v>54</v>
      </c>
      <c r="AP549" s="23" t="s">
        <v>54</v>
      </c>
      <c r="AQ549" s="23" t="s">
        <v>54</v>
      </c>
      <c r="AR549" s="35">
        <v>0</v>
      </c>
      <c r="AS549" s="35">
        <v>0</v>
      </c>
      <c r="AT549" s="35">
        <v>4</v>
      </c>
      <c r="AU549" s="31" t="str">
        <f t="shared" si="11"/>
        <v>库存为4</v>
      </c>
      <c r="AV549" s="36" t="str">
        <f>IFERROR($A$2+AU549,"上周无销量")</f>
        <v>上周无销量</v>
      </c>
    </row>
    <row r="550" spans="1:48">
      <c r="A550" s="21" t="s">
        <v>1168</v>
      </c>
      <c r="B550" t="s">
        <v>1169</v>
      </c>
      <c r="C550" t="s">
        <v>1159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4</v>
      </c>
      <c r="J550" s="33">
        <v>0</v>
      </c>
      <c r="K550" s="33">
        <v>0</v>
      </c>
      <c r="L550" s="33">
        <v>0</v>
      </c>
      <c r="M550">
        <v>4</v>
      </c>
      <c r="N550">
        <v>0</v>
      </c>
      <c r="O550">
        <v>4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1</v>
      </c>
      <c r="AK550">
        <v>0</v>
      </c>
      <c r="AL550">
        <v>1</v>
      </c>
      <c r="AM550">
        <v>1</v>
      </c>
      <c r="AN550" s="23">
        <v>0</v>
      </c>
      <c r="AO550" s="23" t="s">
        <v>54</v>
      </c>
      <c r="AP550" s="23">
        <v>0</v>
      </c>
      <c r="AQ550" s="23">
        <v>0</v>
      </c>
      <c r="AR550" s="35">
        <v>0</v>
      </c>
      <c r="AS550" s="35">
        <v>0</v>
      </c>
      <c r="AT550" s="35">
        <v>4</v>
      </c>
      <c r="AU550" s="31" t="str">
        <f t="shared" si="11"/>
        <v>库存为4</v>
      </c>
      <c r="AV550" s="36" t="str">
        <f>IFERROR($A$2+AU550,"上周无销量")</f>
        <v>上周无销量</v>
      </c>
    </row>
    <row r="551" spans="1:48">
      <c r="A551" s="21" t="s">
        <v>1170</v>
      </c>
      <c r="B551" t="s">
        <v>1171</v>
      </c>
      <c r="C551" t="s">
        <v>1159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4</v>
      </c>
      <c r="J551" s="33">
        <v>0</v>
      </c>
      <c r="K551" s="33">
        <v>0</v>
      </c>
      <c r="L551" s="33">
        <v>0</v>
      </c>
      <c r="M551">
        <v>4</v>
      </c>
      <c r="N551">
        <v>0</v>
      </c>
      <c r="O551">
        <v>4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2</v>
      </c>
      <c r="AK551">
        <v>0</v>
      </c>
      <c r="AL551">
        <v>3</v>
      </c>
      <c r="AM551">
        <v>0</v>
      </c>
      <c r="AN551" s="23">
        <v>0</v>
      </c>
      <c r="AO551" s="23" t="s">
        <v>54</v>
      </c>
      <c r="AP551" s="23">
        <v>0</v>
      </c>
      <c r="AQ551" s="23" t="s">
        <v>54</v>
      </c>
      <c r="AR551" s="35">
        <v>0</v>
      </c>
      <c r="AS551" s="35">
        <v>0</v>
      </c>
      <c r="AT551" s="35">
        <v>4</v>
      </c>
      <c r="AU551" s="31" t="str">
        <f t="shared" si="11"/>
        <v>库存为4</v>
      </c>
      <c r="AV551" s="36" t="str">
        <f>IFERROR($A$2+AU551,"上周无销量")</f>
        <v>上周无销量</v>
      </c>
    </row>
    <row r="552" spans="1:48">
      <c r="A552" s="21" t="s">
        <v>1172</v>
      </c>
      <c r="B552" t="s">
        <v>1173</v>
      </c>
      <c r="C552" t="s">
        <v>1159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4</v>
      </c>
      <c r="J552" s="33">
        <v>0</v>
      </c>
      <c r="K552" s="33">
        <v>0</v>
      </c>
      <c r="L552" s="33">
        <v>0</v>
      </c>
      <c r="M552">
        <v>4</v>
      </c>
      <c r="N552">
        <v>0</v>
      </c>
      <c r="O552">
        <v>4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2</v>
      </c>
      <c r="AK552">
        <v>3</v>
      </c>
      <c r="AL552">
        <v>1</v>
      </c>
      <c r="AM552">
        <v>0</v>
      </c>
      <c r="AN552" s="23">
        <v>0</v>
      </c>
      <c r="AO552" s="23">
        <v>0</v>
      </c>
      <c r="AP552" s="23">
        <v>0</v>
      </c>
      <c r="AQ552" s="23" t="s">
        <v>54</v>
      </c>
      <c r="AR552" s="35">
        <v>0</v>
      </c>
      <c r="AS552" s="35">
        <v>0</v>
      </c>
      <c r="AT552" s="35">
        <v>4</v>
      </c>
      <c r="AU552" s="31" t="str">
        <f t="shared" si="11"/>
        <v>库存为4</v>
      </c>
      <c r="AV552" s="36" t="str">
        <f>IFERROR($A$2+AU552,"上周无销量")</f>
        <v>上周无销量</v>
      </c>
    </row>
    <row r="553" spans="1:48">
      <c r="A553" s="21" t="s">
        <v>1174</v>
      </c>
      <c r="B553" t="s">
        <v>1175</v>
      </c>
      <c r="C553" t="s">
        <v>1159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4</v>
      </c>
      <c r="J553" s="33">
        <v>0</v>
      </c>
      <c r="K553" s="33">
        <v>0</v>
      </c>
      <c r="L553" s="33">
        <v>0</v>
      </c>
      <c r="M553">
        <v>4</v>
      </c>
      <c r="N553">
        <v>0</v>
      </c>
      <c r="O553">
        <v>4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2</v>
      </c>
      <c r="AK553">
        <v>0</v>
      </c>
      <c r="AL553">
        <v>1</v>
      </c>
      <c r="AM553">
        <v>1</v>
      </c>
      <c r="AN553" s="23">
        <v>0</v>
      </c>
      <c r="AO553" s="23" t="s">
        <v>54</v>
      </c>
      <c r="AP553" s="23">
        <v>0</v>
      </c>
      <c r="AQ553" s="23">
        <v>0</v>
      </c>
      <c r="AR553" s="35">
        <v>0</v>
      </c>
      <c r="AS553" s="35">
        <v>0</v>
      </c>
      <c r="AT553" s="35">
        <v>4</v>
      </c>
      <c r="AU553" s="31" t="str">
        <f t="shared" si="11"/>
        <v>库存为4</v>
      </c>
      <c r="AV553" s="36" t="str">
        <f>IFERROR($A$2+AU553,"上周无销量")</f>
        <v>上周无销量</v>
      </c>
    </row>
    <row r="554" spans="1:48">
      <c r="A554" s="21" t="s">
        <v>1176</v>
      </c>
      <c r="B554" t="s">
        <v>1177</v>
      </c>
      <c r="C554" t="s">
        <v>1159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4</v>
      </c>
      <c r="J554" s="33">
        <v>0</v>
      </c>
      <c r="K554" s="33">
        <v>0</v>
      </c>
      <c r="L554" s="33">
        <v>0</v>
      </c>
      <c r="M554">
        <v>4</v>
      </c>
      <c r="N554">
        <v>0</v>
      </c>
      <c r="O554">
        <v>4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3</v>
      </c>
      <c r="AK554">
        <v>0</v>
      </c>
      <c r="AL554">
        <v>0</v>
      </c>
      <c r="AM554">
        <v>2</v>
      </c>
      <c r="AN554" s="23">
        <v>0</v>
      </c>
      <c r="AO554" s="23" t="s">
        <v>54</v>
      </c>
      <c r="AP554" s="23" t="s">
        <v>54</v>
      </c>
      <c r="AQ554" s="23">
        <v>0</v>
      </c>
      <c r="AR554" s="35">
        <v>0</v>
      </c>
      <c r="AS554" s="35">
        <v>0</v>
      </c>
      <c r="AT554" s="35">
        <v>4</v>
      </c>
      <c r="AU554" s="31" t="str">
        <f t="shared" si="11"/>
        <v>库存为4</v>
      </c>
      <c r="AV554" s="36" t="str">
        <f>IFERROR($A$2+AU554,"上周无销量")</f>
        <v>上周无销量</v>
      </c>
    </row>
    <row r="555" spans="1:48">
      <c r="A555" s="21" t="s">
        <v>1178</v>
      </c>
      <c r="B555" t="s">
        <v>1179</v>
      </c>
      <c r="C555" t="s">
        <v>1159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4</v>
      </c>
      <c r="J555" s="33">
        <v>0</v>
      </c>
      <c r="K555" s="33">
        <v>0</v>
      </c>
      <c r="L555" s="33">
        <v>0</v>
      </c>
      <c r="M555">
        <v>4</v>
      </c>
      <c r="N555">
        <v>0</v>
      </c>
      <c r="O555">
        <v>4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1</v>
      </c>
      <c r="AM555">
        <v>1</v>
      </c>
      <c r="AN555" s="23" t="s">
        <v>54</v>
      </c>
      <c r="AO555" s="23" t="s">
        <v>54</v>
      </c>
      <c r="AP555" s="23">
        <v>0</v>
      </c>
      <c r="AQ555" s="23">
        <v>0</v>
      </c>
      <c r="AR555" s="35">
        <v>0</v>
      </c>
      <c r="AS555" s="35">
        <v>0</v>
      </c>
      <c r="AT555" s="35">
        <v>4</v>
      </c>
      <c r="AU555" s="31" t="str">
        <f t="shared" si="11"/>
        <v>库存为4</v>
      </c>
      <c r="AV555" s="36" t="str">
        <f>IFERROR($A$2+AU555,"上周无销量")</f>
        <v>上周无销量</v>
      </c>
    </row>
    <row r="556" spans="1:48">
      <c r="A556" s="21" t="s">
        <v>1180</v>
      </c>
      <c r="B556" t="s">
        <v>1181</v>
      </c>
      <c r="C556" t="s">
        <v>1159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1</v>
      </c>
      <c r="AK556">
        <v>1</v>
      </c>
      <c r="AL556">
        <v>0</v>
      </c>
      <c r="AM556">
        <v>0</v>
      </c>
      <c r="AN556" s="23">
        <v>0</v>
      </c>
      <c r="AO556" s="23">
        <v>0</v>
      </c>
      <c r="AP556" s="23" t="s">
        <v>54</v>
      </c>
      <c r="AQ556" s="23" t="s">
        <v>54</v>
      </c>
      <c r="AR556" s="35">
        <v>0</v>
      </c>
      <c r="AS556" s="35">
        <v>0</v>
      </c>
      <c r="AT556" s="35">
        <v>4</v>
      </c>
      <c r="AU556" s="31" t="str">
        <f t="shared" si="11"/>
        <v>库存为4</v>
      </c>
      <c r="AV556" s="36" t="str">
        <f>IFERROR($A$2+AU556,"上周无销量")</f>
        <v>上周无销量</v>
      </c>
    </row>
    <row r="557" spans="1:48">
      <c r="A557" s="21" t="s">
        <v>1182</v>
      </c>
      <c r="B557" t="s">
        <v>1183</v>
      </c>
      <c r="C557" t="s">
        <v>1159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4</v>
      </c>
      <c r="J557" s="33">
        <v>0</v>
      </c>
      <c r="K557" s="33">
        <v>0</v>
      </c>
      <c r="L557" s="33">
        <v>0</v>
      </c>
      <c r="M557">
        <v>4</v>
      </c>
      <c r="N557">
        <v>0</v>
      </c>
      <c r="O557">
        <v>4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1</v>
      </c>
      <c r="AK557">
        <v>0</v>
      </c>
      <c r="AL557">
        <v>0</v>
      </c>
      <c r="AM557">
        <v>3</v>
      </c>
      <c r="AN557" s="23">
        <v>0</v>
      </c>
      <c r="AO557" s="23" t="s">
        <v>54</v>
      </c>
      <c r="AP557" s="23" t="s">
        <v>54</v>
      </c>
      <c r="AQ557" s="23">
        <v>0</v>
      </c>
      <c r="AR557" s="35">
        <v>0</v>
      </c>
      <c r="AS557" s="35">
        <v>0</v>
      </c>
      <c r="AT557" s="35">
        <v>4</v>
      </c>
      <c r="AU557" s="31" t="str">
        <f t="shared" si="11"/>
        <v>库存为4</v>
      </c>
      <c r="AV557" s="36" t="str">
        <f>IFERROR($A$2+AU557,"上周无销量")</f>
        <v>上周无销量</v>
      </c>
    </row>
    <row r="558" spans="1:48">
      <c r="A558" s="21" t="s">
        <v>1184</v>
      </c>
      <c r="B558" t="s">
        <v>1185</v>
      </c>
      <c r="C558" t="s">
        <v>1159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1</v>
      </c>
      <c r="AK558">
        <v>1</v>
      </c>
      <c r="AL558">
        <v>1</v>
      </c>
      <c r="AM558">
        <v>1</v>
      </c>
      <c r="AN558" s="23">
        <v>0</v>
      </c>
      <c r="AO558" s="23">
        <v>0</v>
      </c>
      <c r="AP558" s="23">
        <v>0</v>
      </c>
      <c r="AQ558" s="23">
        <v>0</v>
      </c>
      <c r="AR558" s="35">
        <v>0</v>
      </c>
      <c r="AS558" s="35">
        <v>0</v>
      </c>
      <c r="AT558" s="35">
        <v>4</v>
      </c>
      <c r="AU558" s="31" t="str">
        <f t="shared" si="11"/>
        <v>库存为4</v>
      </c>
      <c r="AV558" s="36" t="str">
        <f>IFERROR($A$2+AU558,"上周无销量")</f>
        <v>上周无销量</v>
      </c>
    </row>
    <row r="559" spans="1:48">
      <c r="A559" s="21" t="s">
        <v>1186</v>
      </c>
      <c r="B559" t="s">
        <v>1187</v>
      </c>
      <c r="C559" t="s">
        <v>1159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1</v>
      </c>
      <c r="AK559">
        <v>2</v>
      </c>
      <c r="AL559">
        <v>0</v>
      </c>
      <c r="AM559">
        <v>0</v>
      </c>
      <c r="AN559" s="23">
        <v>0</v>
      </c>
      <c r="AO559" s="23">
        <v>0</v>
      </c>
      <c r="AP559" s="23" t="s">
        <v>54</v>
      </c>
      <c r="AQ559" s="23" t="s">
        <v>54</v>
      </c>
      <c r="AR559" s="35">
        <v>0</v>
      </c>
      <c r="AS559" s="35">
        <v>0</v>
      </c>
      <c r="AT559" s="35">
        <v>4</v>
      </c>
      <c r="AU559" s="31" t="str">
        <f t="shared" si="11"/>
        <v>库存为4</v>
      </c>
      <c r="AV559" s="36" t="str">
        <f>IFERROR($A$2+AU559,"上周无销量")</f>
        <v>上周无销量</v>
      </c>
    </row>
    <row r="560" spans="1:48">
      <c r="A560" s="21" t="s">
        <v>1188</v>
      </c>
      <c r="B560" t="s">
        <v>1189</v>
      </c>
      <c r="C560" t="s">
        <v>1159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4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</v>
      </c>
      <c r="AK560">
        <v>4</v>
      </c>
      <c r="AL560">
        <v>1</v>
      </c>
      <c r="AM560">
        <v>0</v>
      </c>
      <c r="AN560" s="23">
        <v>0</v>
      </c>
      <c r="AO560" s="23">
        <v>0</v>
      </c>
      <c r="AP560" s="23">
        <v>0</v>
      </c>
      <c r="AQ560" s="23" t="s">
        <v>54</v>
      </c>
      <c r="AR560" s="35">
        <v>0</v>
      </c>
      <c r="AS560" s="35">
        <v>0</v>
      </c>
      <c r="AT560" s="35">
        <v>4</v>
      </c>
      <c r="AU560" s="31" t="str">
        <f t="shared" si="11"/>
        <v>库存为4</v>
      </c>
      <c r="AV560" s="36" t="str">
        <f>IFERROR($A$2+AU560,"上周无销量")</f>
        <v>上周无销量</v>
      </c>
    </row>
    <row r="561" spans="1:48">
      <c r="A561" s="21" t="s">
        <v>1190</v>
      </c>
      <c r="B561" t="s">
        <v>1191</v>
      </c>
      <c r="C561" t="s">
        <v>1159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4</v>
      </c>
      <c r="J561" s="33">
        <v>0</v>
      </c>
      <c r="K561" s="33">
        <v>0</v>
      </c>
      <c r="L561" s="33">
        <v>0</v>
      </c>
      <c r="M561">
        <v>4</v>
      </c>
      <c r="N561">
        <v>0</v>
      </c>
      <c r="O561">
        <v>4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2</v>
      </c>
      <c r="AK561">
        <v>2</v>
      </c>
      <c r="AL561">
        <v>0</v>
      </c>
      <c r="AM561">
        <v>1</v>
      </c>
      <c r="AN561" s="23">
        <v>0</v>
      </c>
      <c r="AO561" s="23">
        <v>0</v>
      </c>
      <c r="AP561" s="23" t="s">
        <v>54</v>
      </c>
      <c r="AQ561" s="23">
        <v>0</v>
      </c>
      <c r="AR561" s="35">
        <v>0</v>
      </c>
      <c r="AS561" s="35">
        <v>0</v>
      </c>
      <c r="AT561" s="35">
        <v>4</v>
      </c>
      <c r="AU561" s="31" t="str">
        <f t="shared" si="11"/>
        <v>库存为4</v>
      </c>
      <c r="AV561" s="36" t="str">
        <f>IFERROR($A$2+AU561,"上周无销量")</f>
        <v>上周无销量</v>
      </c>
    </row>
    <row r="562" spans="1:48">
      <c r="A562" s="21" t="s">
        <v>1192</v>
      </c>
      <c r="B562" t="s">
        <v>1193</v>
      </c>
      <c r="C562" t="s">
        <v>1159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4</v>
      </c>
      <c r="J562" s="33">
        <v>0</v>
      </c>
      <c r="K562" s="33">
        <v>0</v>
      </c>
      <c r="L562" s="33">
        <v>0</v>
      </c>
      <c r="M562">
        <v>4</v>
      </c>
      <c r="N562">
        <v>0</v>
      </c>
      <c r="O562">
        <v>4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1</v>
      </c>
      <c r="AK562">
        <v>2</v>
      </c>
      <c r="AL562">
        <v>2</v>
      </c>
      <c r="AM562">
        <v>2</v>
      </c>
      <c r="AN562" s="23">
        <v>0</v>
      </c>
      <c r="AO562" s="23">
        <v>0</v>
      </c>
      <c r="AP562" s="23">
        <v>0</v>
      </c>
      <c r="AQ562" s="23">
        <v>0</v>
      </c>
      <c r="AR562" s="35">
        <v>0</v>
      </c>
      <c r="AS562" s="35">
        <v>0</v>
      </c>
      <c r="AT562" s="35">
        <v>4</v>
      </c>
      <c r="AU562" s="31" t="str">
        <f t="shared" si="11"/>
        <v>库存为4</v>
      </c>
      <c r="AV562" s="36" t="str">
        <f>IFERROR($A$2+AU562,"上周无销量")</f>
        <v>上周无销量</v>
      </c>
    </row>
    <row r="563" spans="1:48">
      <c r="A563" s="21" t="s">
        <v>1194</v>
      </c>
      <c r="B563" t="s">
        <v>1195</v>
      </c>
      <c r="C563" t="s">
        <v>1159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4</v>
      </c>
      <c r="J563" s="33">
        <v>0</v>
      </c>
      <c r="K563" s="33">
        <v>0</v>
      </c>
      <c r="L563" s="33">
        <v>0</v>
      </c>
      <c r="M563">
        <v>4</v>
      </c>
      <c r="N563">
        <v>0</v>
      </c>
      <c r="O563">
        <v>4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2</v>
      </c>
      <c r="AK563">
        <v>2</v>
      </c>
      <c r="AL563">
        <v>0</v>
      </c>
      <c r="AM563">
        <v>3</v>
      </c>
      <c r="AN563" s="23">
        <v>0</v>
      </c>
      <c r="AO563" s="23">
        <v>0</v>
      </c>
      <c r="AP563" s="23" t="s">
        <v>54</v>
      </c>
      <c r="AQ563" s="23">
        <v>0</v>
      </c>
      <c r="AR563" s="35">
        <v>0</v>
      </c>
      <c r="AS563" s="35">
        <v>0</v>
      </c>
      <c r="AT563" s="35">
        <v>4</v>
      </c>
      <c r="AU563" s="31" t="str">
        <f t="shared" si="11"/>
        <v>库存为4</v>
      </c>
      <c r="AV563" s="36" t="str">
        <f>IFERROR($A$2+AU563,"上周无销量")</f>
        <v>上周无销量</v>
      </c>
    </row>
    <row r="564" spans="1:48">
      <c r="A564" s="21" t="s">
        <v>1196</v>
      </c>
      <c r="B564" t="s">
        <v>1197</v>
      </c>
      <c r="C564" t="s">
        <v>1159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1</v>
      </c>
      <c r="AK564">
        <v>2</v>
      </c>
      <c r="AL564">
        <v>0</v>
      </c>
      <c r="AM564">
        <v>0</v>
      </c>
      <c r="AN564" s="23">
        <v>0</v>
      </c>
      <c r="AO564" s="23">
        <v>0</v>
      </c>
      <c r="AP564" s="23" t="s">
        <v>54</v>
      </c>
      <c r="AQ564" s="23" t="s">
        <v>54</v>
      </c>
      <c r="AR564" s="35">
        <v>0</v>
      </c>
      <c r="AS564" s="35">
        <v>0</v>
      </c>
      <c r="AT564" s="35">
        <v>4</v>
      </c>
      <c r="AU564" s="31" t="str">
        <f t="shared" si="11"/>
        <v>库存为4</v>
      </c>
      <c r="AV564" s="36" t="str">
        <f>IFERROR($A$2+AU564,"上周无销量")</f>
        <v>上周无销量</v>
      </c>
    </row>
    <row r="565" spans="1:48">
      <c r="A565" s="21" t="s">
        <v>1198</v>
      </c>
      <c r="B565" t="s">
        <v>1199</v>
      </c>
      <c r="C565" t="s">
        <v>1159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2</v>
      </c>
      <c r="J565" s="33">
        <v>0</v>
      </c>
      <c r="K565" s="33">
        <v>0</v>
      </c>
      <c r="L565" s="33">
        <v>0</v>
      </c>
      <c r="M565">
        <v>2</v>
      </c>
      <c r="N565">
        <v>0</v>
      </c>
      <c r="O565">
        <v>2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2</v>
      </c>
      <c r="AM565">
        <v>2</v>
      </c>
      <c r="AN565" s="23" t="s">
        <v>54</v>
      </c>
      <c r="AO565" s="23" t="s">
        <v>54</v>
      </c>
      <c r="AP565" s="23">
        <v>0</v>
      </c>
      <c r="AQ565" s="23">
        <v>0</v>
      </c>
      <c r="AR565" s="35">
        <v>0</v>
      </c>
      <c r="AS565" s="35">
        <v>0</v>
      </c>
      <c r="AT565" s="35">
        <v>2</v>
      </c>
      <c r="AU565" s="31" t="str">
        <f t="shared" si="11"/>
        <v>库存为2</v>
      </c>
      <c r="AV565" s="36" t="str">
        <f>IFERROR($A$2+AU565,"上周无销量")</f>
        <v>上周无销量</v>
      </c>
    </row>
    <row r="566" spans="1:48">
      <c r="A566" s="21" t="s">
        <v>1200</v>
      </c>
      <c r="B566" t="s">
        <v>1201</v>
      </c>
      <c r="C566" t="s">
        <v>1159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2</v>
      </c>
      <c r="J566" s="33">
        <v>0</v>
      </c>
      <c r="K566" s="33">
        <v>0</v>
      </c>
      <c r="L566" s="33">
        <v>0</v>
      </c>
      <c r="M566">
        <v>2</v>
      </c>
      <c r="N566">
        <v>0</v>
      </c>
      <c r="O566">
        <v>2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1</v>
      </c>
      <c r="AK566">
        <v>0</v>
      </c>
      <c r="AL566">
        <v>0</v>
      </c>
      <c r="AM566">
        <v>3</v>
      </c>
      <c r="AN566" s="23">
        <v>0</v>
      </c>
      <c r="AO566" s="23" t="s">
        <v>54</v>
      </c>
      <c r="AP566" s="23" t="s">
        <v>54</v>
      </c>
      <c r="AQ566" s="23">
        <v>0</v>
      </c>
      <c r="AR566" s="35">
        <v>0</v>
      </c>
      <c r="AS566" s="35">
        <v>0</v>
      </c>
      <c r="AT566" s="35">
        <v>2</v>
      </c>
      <c r="AU566" s="31" t="str">
        <f t="shared" si="11"/>
        <v>库存为2</v>
      </c>
      <c r="AV566" s="36" t="str">
        <f>IFERROR($A$2+AU566,"上周无销量")</f>
        <v>上周无销量</v>
      </c>
    </row>
    <row r="567" spans="1:48">
      <c r="A567" s="21" t="s">
        <v>1202</v>
      </c>
      <c r="B567" t="s">
        <v>1203</v>
      </c>
      <c r="C567" t="s">
        <v>1159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3</v>
      </c>
      <c r="J567" s="33">
        <v>0</v>
      </c>
      <c r="K567" s="33">
        <v>0</v>
      </c>
      <c r="L567" s="33">
        <v>0</v>
      </c>
      <c r="M567">
        <v>3</v>
      </c>
      <c r="N567">
        <v>0</v>
      </c>
      <c r="O567">
        <v>3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2</v>
      </c>
      <c r="AK567">
        <v>0</v>
      </c>
      <c r="AL567">
        <v>2</v>
      </c>
      <c r="AM567">
        <v>2</v>
      </c>
      <c r="AN567" s="23">
        <v>0</v>
      </c>
      <c r="AO567" s="23" t="s">
        <v>54</v>
      </c>
      <c r="AP567" s="23">
        <v>0</v>
      </c>
      <c r="AQ567" s="23">
        <v>0</v>
      </c>
      <c r="AR567" s="35">
        <v>0</v>
      </c>
      <c r="AS567" s="35">
        <v>0</v>
      </c>
      <c r="AT567" s="35">
        <v>3</v>
      </c>
      <c r="AU567" s="31" t="str">
        <f t="shared" si="11"/>
        <v>库存为3</v>
      </c>
      <c r="AV567" s="36" t="str">
        <f>IFERROR($A$2+AU567,"上周无销量")</f>
        <v>上周无销量</v>
      </c>
    </row>
    <row r="568" spans="1:48">
      <c r="A568" s="21" t="s">
        <v>1204</v>
      </c>
      <c r="B568" t="s">
        <v>1205</v>
      </c>
      <c r="C568" t="s">
        <v>1159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1</v>
      </c>
      <c r="J568" s="33">
        <v>0</v>
      </c>
      <c r="K568" s="33">
        <v>0</v>
      </c>
      <c r="L568" s="33">
        <v>0</v>
      </c>
      <c r="M568">
        <v>1</v>
      </c>
      <c r="N568">
        <v>0</v>
      </c>
      <c r="O568">
        <v>1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3</v>
      </c>
      <c r="AK568">
        <v>1</v>
      </c>
      <c r="AL568">
        <v>0</v>
      </c>
      <c r="AM568">
        <v>0</v>
      </c>
      <c r="AN568" s="23">
        <v>0</v>
      </c>
      <c r="AO568" s="23">
        <v>0</v>
      </c>
      <c r="AP568" s="23" t="s">
        <v>54</v>
      </c>
      <c r="AQ568" s="23" t="s">
        <v>54</v>
      </c>
      <c r="AR568" s="35">
        <v>0</v>
      </c>
      <c r="AS568" s="35">
        <v>0</v>
      </c>
      <c r="AT568" s="35">
        <v>1</v>
      </c>
      <c r="AU568" s="31" t="str">
        <f t="shared" si="11"/>
        <v>库存为1</v>
      </c>
      <c r="AV568" s="36" t="str">
        <f>IFERROR($A$2+AU568,"上周无销量")</f>
        <v>上周无销量</v>
      </c>
    </row>
    <row r="569" spans="1:48">
      <c r="A569" s="21" t="s">
        <v>1206</v>
      </c>
      <c r="B569" t="s">
        <v>1207</v>
      </c>
      <c r="C569" t="s">
        <v>1159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1</v>
      </c>
      <c r="AL569">
        <v>0</v>
      </c>
      <c r="AM569">
        <v>1</v>
      </c>
      <c r="AN569" s="23" t="s">
        <v>54</v>
      </c>
      <c r="AO569" s="23">
        <v>0</v>
      </c>
      <c r="AP569" s="23" t="s">
        <v>54</v>
      </c>
      <c r="AQ569" s="23">
        <v>0</v>
      </c>
      <c r="AR569" s="35">
        <v>0</v>
      </c>
      <c r="AS569" s="35">
        <v>0</v>
      </c>
      <c r="AT569" s="35">
        <v>4</v>
      </c>
      <c r="AU569" s="31" t="str">
        <f t="shared" si="11"/>
        <v>库存为4</v>
      </c>
      <c r="AV569" s="36" t="str">
        <f>IFERROR($A$2+AU569,"上周无销量")</f>
        <v>上周无销量</v>
      </c>
    </row>
    <row r="570" spans="1:48">
      <c r="A570" s="21" t="s">
        <v>1208</v>
      </c>
      <c r="B570" t="s">
        <v>1209</v>
      </c>
      <c r="C570" t="s">
        <v>1159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1</v>
      </c>
      <c r="AK570">
        <v>0</v>
      </c>
      <c r="AL570">
        <v>0</v>
      </c>
      <c r="AM570">
        <v>2</v>
      </c>
      <c r="AN570" s="23">
        <v>0</v>
      </c>
      <c r="AO570" s="23" t="s">
        <v>54</v>
      </c>
      <c r="AP570" s="23" t="s">
        <v>54</v>
      </c>
      <c r="AQ570" s="23">
        <v>0</v>
      </c>
      <c r="AR570" s="35">
        <v>0</v>
      </c>
      <c r="AS570" s="35">
        <v>0</v>
      </c>
      <c r="AT570" s="35">
        <v>4</v>
      </c>
      <c r="AU570" s="31" t="str">
        <f t="shared" si="11"/>
        <v>库存为4</v>
      </c>
      <c r="AV570" s="36" t="str">
        <f>IFERROR($A$2+AU570,"上周无销量")</f>
        <v>上周无销量</v>
      </c>
    </row>
    <row r="571" spans="1:48">
      <c r="A571" s="21" t="s">
        <v>1210</v>
      </c>
      <c r="B571" t="s">
        <v>1211</v>
      </c>
      <c r="C571" t="s">
        <v>1159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1</v>
      </c>
      <c r="AK571">
        <v>1</v>
      </c>
      <c r="AL571">
        <v>1</v>
      </c>
      <c r="AM571">
        <v>0</v>
      </c>
      <c r="AN571" s="23">
        <v>0</v>
      </c>
      <c r="AO571" s="23">
        <v>0</v>
      </c>
      <c r="AP571" s="23">
        <v>0</v>
      </c>
      <c r="AQ571" s="23" t="s">
        <v>54</v>
      </c>
      <c r="AR571" s="35">
        <v>0</v>
      </c>
      <c r="AS571" s="35">
        <v>0</v>
      </c>
      <c r="AT571" s="35">
        <v>4</v>
      </c>
      <c r="AU571" s="31" t="str">
        <f t="shared" si="11"/>
        <v>库存为4</v>
      </c>
      <c r="AV571" s="36" t="str">
        <f>IFERROR($A$2+AU571,"上周无销量")</f>
        <v>上周无销量</v>
      </c>
    </row>
    <row r="572" spans="1:48">
      <c r="A572" s="21" t="s">
        <v>1212</v>
      </c>
      <c r="B572" t="s">
        <v>1213</v>
      </c>
      <c r="C572" t="s">
        <v>1159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3</v>
      </c>
      <c r="J572" s="33">
        <v>0</v>
      </c>
      <c r="K572" s="33">
        <v>0</v>
      </c>
      <c r="L572" s="33">
        <v>0</v>
      </c>
      <c r="M572">
        <v>3</v>
      </c>
      <c r="N572">
        <v>0</v>
      </c>
      <c r="O572">
        <v>3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2</v>
      </c>
      <c r="AK572">
        <v>1</v>
      </c>
      <c r="AL572">
        <v>2</v>
      </c>
      <c r="AM572">
        <v>2</v>
      </c>
      <c r="AN572" s="23">
        <v>0</v>
      </c>
      <c r="AO572" s="23">
        <v>0</v>
      </c>
      <c r="AP572" s="23">
        <v>0</v>
      </c>
      <c r="AQ572" s="23">
        <v>0</v>
      </c>
      <c r="AR572" s="35">
        <v>0</v>
      </c>
      <c r="AS572" s="35">
        <v>0</v>
      </c>
      <c r="AT572" s="35">
        <v>3</v>
      </c>
      <c r="AU572" s="31" t="str">
        <f t="shared" si="11"/>
        <v>库存为3</v>
      </c>
      <c r="AV572" s="36" t="str">
        <f>IFERROR($A$2+AU572,"上周无销量")</f>
        <v>上周无销量</v>
      </c>
    </row>
    <row r="573" spans="1:48">
      <c r="A573" s="21" t="s">
        <v>1214</v>
      </c>
      <c r="B573" t="s">
        <v>1215</v>
      </c>
      <c r="C573" t="s">
        <v>1159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4</v>
      </c>
      <c r="J573" s="33">
        <v>0</v>
      </c>
      <c r="K573" s="33">
        <v>0</v>
      </c>
      <c r="L573" s="33">
        <v>0</v>
      </c>
      <c r="M573">
        <v>4</v>
      </c>
      <c r="N573">
        <v>0</v>
      </c>
      <c r="O573">
        <v>4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1</v>
      </c>
      <c r="AL573">
        <v>0</v>
      </c>
      <c r="AM573">
        <v>0</v>
      </c>
      <c r="AN573" s="23" t="s">
        <v>54</v>
      </c>
      <c r="AO573" s="23">
        <v>0</v>
      </c>
      <c r="AP573" s="23" t="s">
        <v>54</v>
      </c>
      <c r="AQ573" s="23" t="s">
        <v>54</v>
      </c>
      <c r="AR573" s="35">
        <v>0</v>
      </c>
      <c r="AS573" s="35">
        <v>0</v>
      </c>
      <c r="AT573" s="35">
        <v>4</v>
      </c>
      <c r="AU573" s="31" t="str">
        <f t="shared" si="11"/>
        <v>库存为4</v>
      </c>
      <c r="AV573" s="36" t="str">
        <f>IFERROR($A$2+AU573,"上周无销量")</f>
        <v>上周无销量</v>
      </c>
    </row>
    <row r="574" spans="1:48">
      <c r="A574" s="21" t="s">
        <v>1216</v>
      </c>
      <c r="B574" t="s">
        <v>1217</v>
      </c>
      <c r="C574" t="s">
        <v>1159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4</v>
      </c>
      <c r="J574" s="33">
        <v>0</v>
      </c>
      <c r="K574" s="33">
        <v>0</v>
      </c>
      <c r="L574" s="33">
        <v>0</v>
      </c>
      <c r="M574">
        <v>4</v>
      </c>
      <c r="N574">
        <v>0</v>
      </c>
      <c r="O574">
        <v>4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2</v>
      </c>
      <c r="AK574">
        <v>2</v>
      </c>
      <c r="AL574">
        <v>0</v>
      </c>
      <c r="AM574">
        <v>1</v>
      </c>
      <c r="AN574" s="23">
        <v>0</v>
      </c>
      <c r="AO574" s="23">
        <v>0</v>
      </c>
      <c r="AP574" s="23" t="s">
        <v>54</v>
      </c>
      <c r="AQ574" s="23">
        <v>0</v>
      </c>
      <c r="AR574" s="35">
        <v>0</v>
      </c>
      <c r="AS574" s="35">
        <v>0</v>
      </c>
      <c r="AT574" s="35">
        <v>4</v>
      </c>
      <c r="AU574" s="31" t="str">
        <f t="shared" si="11"/>
        <v>库存为4</v>
      </c>
      <c r="AV574" s="36" t="str">
        <f>IFERROR($A$2+AU574,"上周无销量")</f>
        <v>上周无销量</v>
      </c>
    </row>
    <row r="575" spans="1:48">
      <c r="A575" s="21" t="s">
        <v>1218</v>
      </c>
      <c r="B575" t="s">
        <v>1219</v>
      </c>
      <c r="C575" t="s">
        <v>1159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4</v>
      </c>
      <c r="J575" s="33">
        <v>0</v>
      </c>
      <c r="K575" s="33">
        <v>0</v>
      </c>
      <c r="L575" s="33">
        <v>0</v>
      </c>
      <c r="M575">
        <v>4</v>
      </c>
      <c r="N575">
        <v>0</v>
      </c>
      <c r="O575">
        <v>4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2</v>
      </c>
      <c r="AK575">
        <v>1</v>
      </c>
      <c r="AL575">
        <v>0</v>
      </c>
      <c r="AM575">
        <v>1</v>
      </c>
      <c r="AN575" s="23">
        <v>0</v>
      </c>
      <c r="AO575" s="23">
        <v>0</v>
      </c>
      <c r="AP575" s="23" t="s">
        <v>54</v>
      </c>
      <c r="AQ575" s="23">
        <v>0</v>
      </c>
      <c r="AR575" s="35">
        <v>0</v>
      </c>
      <c r="AS575" s="35">
        <v>0</v>
      </c>
      <c r="AT575" s="35">
        <v>4</v>
      </c>
      <c r="AU575" s="31" t="str">
        <f t="shared" si="11"/>
        <v>库存为4</v>
      </c>
      <c r="AV575" s="36" t="str">
        <f>IFERROR($A$2+AU575,"上周无销量")</f>
        <v>上周无销量</v>
      </c>
    </row>
    <row r="576" spans="1:48">
      <c r="A576" s="21" t="s">
        <v>1220</v>
      </c>
      <c r="B576" t="s">
        <v>1221</v>
      </c>
      <c r="C576" t="s">
        <v>1159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4</v>
      </c>
      <c r="J576" s="33">
        <v>0</v>
      </c>
      <c r="K576" s="33">
        <v>0</v>
      </c>
      <c r="L576" s="33">
        <v>0</v>
      </c>
      <c r="M576">
        <v>4</v>
      </c>
      <c r="N576">
        <v>0</v>
      </c>
      <c r="O576">
        <v>4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1</v>
      </c>
      <c r="AL576">
        <v>1</v>
      </c>
      <c r="AM576">
        <v>0</v>
      </c>
      <c r="AN576" s="23" t="s">
        <v>54</v>
      </c>
      <c r="AO576" s="23">
        <v>0</v>
      </c>
      <c r="AP576" s="23">
        <v>0</v>
      </c>
      <c r="AQ576" s="23" t="s">
        <v>54</v>
      </c>
      <c r="AR576" s="35">
        <v>0</v>
      </c>
      <c r="AS576" s="35">
        <v>0</v>
      </c>
      <c r="AT576" s="35">
        <v>4</v>
      </c>
      <c r="AU576" s="31" t="str">
        <f t="shared" si="11"/>
        <v>库存为4</v>
      </c>
      <c r="AV576" s="36" t="str">
        <f>IFERROR($A$2+AU576,"上周无销量")</f>
        <v>上周无销量</v>
      </c>
    </row>
    <row r="577" spans="1:48">
      <c r="A577" s="21" t="s">
        <v>1222</v>
      </c>
      <c r="B577" t="s">
        <v>1223</v>
      </c>
      <c r="C577" t="s">
        <v>1159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1</v>
      </c>
      <c r="AK577">
        <v>2</v>
      </c>
      <c r="AL577">
        <v>2</v>
      </c>
      <c r="AM577">
        <v>1</v>
      </c>
      <c r="AN577" s="23">
        <v>0</v>
      </c>
      <c r="AO577" s="23">
        <v>0</v>
      </c>
      <c r="AP577" s="23">
        <v>0</v>
      </c>
      <c r="AQ577" s="23">
        <v>0</v>
      </c>
      <c r="AR577" s="35">
        <v>0</v>
      </c>
      <c r="AS577" s="35">
        <v>0</v>
      </c>
      <c r="AT577" s="35">
        <v>4</v>
      </c>
      <c r="AU577" s="31" t="str">
        <f t="shared" si="11"/>
        <v>库存为4</v>
      </c>
      <c r="AV577" s="36" t="str">
        <f>IFERROR($A$2+AU577,"上周无销量")</f>
        <v>上周无销量</v>
      </c>
    </row>
    <row r="578" spans="1:48">
      <c r="A578" s="21" t="s">
        <v>1224</v>
      </c>
      <c r="B578" t="s">
        <v>1225</v>
      </c>
      <c r="C578" t="s">
        <v>1159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4</v>
      </c>
      <c r="AU578" s="31" t="str">
        <f t="shared" si="11"/>
        <v>库存为4</v>
      </c>
      <c r="AV578" s="36" t="str">
        <f>IFERROR($A$2+AU578,"上周无销量")</f>
        <v>上周无销量</v>
      </c>
    </row>
    <row r="579" spans="1:48">
      <c r="A579" s="21" t="s">
        <v>1226</v>
      </c>
      <c r="B579" t="s">
        <v>1227</v>
      </c>
      <c r="C579" t="s">
        <v>1159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4</v>
      </c>
      <c r="J579" s="33">
        <v>0</v>
      </c>
      <c r="K579" s="33">
        <v>0</v>
      </c>
      <c r="L579" s="33">
        <v>0</v>
      </c>
      <c r="M579">
        <v>4</v>
      </c>
      <c r="N579">
        <v>0</v>
      </c>
      <c r="O579">
        <v>4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3</v>
      </c>
      <c r="AL579">
        <v>3</v>
      </c>
      <c r="AM579">
        <v>1</v>
      </c>
      <c r="AN579" s="23" t="s">
        <v>54</v>
      </c>
      <c r="AO579" s="23">
        <v>0</v>
      </c>
      <c r="AP579" s="23">
        <v>0</v>
      </c>
      <c r="AQ579" s="23">
        <v>0</v>
      </c>
      <c r="AR579" s="35">
        <v>0</v>
      </c>
      <c r="AS579" s="35">
        <v>0</v>
      </c>
      <c r="AT579" s="35">
        <v>4</v>
      </c>
      <c r="AU579" s="31" t="str">
        <f t="shared" si="11"/>
        <v>库存为4</v>
      </c>
      <c r="AV579" s="36" t="str">
        <f>IFERROR($A$2+AU579,"上周无销量")</f>
        <v>上周无销量</v>
      </c>
    </row>
    <row r="580" spans="1:48">
      <c r="A580" s="21" t="s">
        <v>1228</v>
      </c>
      <c r="B580" t="s">
        <v>1229</v>
      </c>
      <c r="C580" t="s">
        <v>1159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3</v>
      </c>
      <c r="J580" s="33">
        <v>0</v>
      </c>
      <c r="K580" s="33">
        <v>0</v>
      </c>
      <c r="L580" s="33">
        <v>0</v>
      </c>
      <c r="M580">
        <v>3</v>
      </c>
      <c r="N580">
        <v>0</v>
      </c>
      <c r="O580">
        <v>3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4</v>
      </c>
      <c r="AL580">
        <v>1</v>
      </c>
      <c r="AM580">
        <v>0</v>
      </c>
      <c r="AN580" s="23" t="s">
        <v>54</v>
      </c>
      <c r="AO580" s="23">
        <v>0</v>
      </c>
      <c r="AP580" s="23">
        <v>0</v>
      </c>
      <c r="AQ580" s="23" t="s">
        <v>54</v>
      </c>
      <c r="AR580" s="35">
        <v>0</v>
      </c>
      <c r="AS580" s="35">
        <v>0</v>
      </c>
      <c r="AT580" s="35">
        <v>3</v>
      </c>
      <c r="AU580" s="31" t="str">
        <f t="shared" si="11"/>
        <v>库存为3</v>
      </c>
      <c r="AV580" s="36" t="str">
        <f>IFERROR($A$2+AU580,"上周无销量")</f>
        <v>上周无销量</v>
      </c>
    </row>
    <row r="581" spans="1:48">
      <c r="A581" s="21" t="s">
        <v>1230</v>
      </c>
      <c r="B581" t="s">
        <v>1231</v>
      </c>
      <c r="C581" t="s">
        <v>1232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2</v>
      </c>
      <c r="J581" s="33">
        <v>0</v>
      </c>
      <c r="K581" s="33">
        <v>0</v>
      </c>
      <c r="L581" s="33">
        <v>0</v>
      </c>
      <c r="M581">
        <v>2</v>
      </c>
      <c r="N581">
        <v>0</v>
      </c>
      <c r="O581">
        <v>2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3</v>
      </c>
      <c r="AK581">
        <v>4</v>
      </c>
      <c r="AL581">
        <v>1</v>
      </c>
      <c r="AM581">
        <v>1</v>
      </c>
      <c r="AN581" s="23">
        <v>0</v>
      </c>
      <c r="AO581" s="23">
        <v>0</v>
      </c>
      <c r="AP581" s="23">
        <v>0</v>
      </c>
      <c r="AQ581" s="23">
        <v>0</v>
      </c>
      <c r="AR581" s="35">
        <v>0</v>
      </c>
      <c r="AS581" s="35">
        <v>0</v>
      </c>
      <c r="AT581" s="35">
        <v>2</v>
      </c>
      <c r="AU581" s="31" t="str">
        <f t="shared" ref="AU581:AU584" si="12">IF(AR581="","库存为"&amp;M581,IF(AS581=0,"库存为"&amp;M581,INT(M581/AR581)))</f>
        <v>库存为2</v>
      </c>
      <c r="AV581" s="36" t="str">
        <f>IFERROR($A$2+AU581,"上周无销量")</f>
        <v>上周无销量</v>
      </c>
    </row>
    <row r="582" spans="1:48">
      <c r="A582" s="21" t="s">
        <v>1233</v>
      </c>
      <c r="B582" t="s">
        <v>1234</v>
      </c>
      <c r="C582" t="s">
        <v>1232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10</v>
      </c>
      <c r="J582" s="33">
        <v>0</v>
      </c>
      <c r="K582" s="33">
        <v>0</v>
      </c>
      <c r="L582" s="33">
        <v>0</v>
      </c>
      <c r="M582">
        <v>10</v>
      </c>
      <c r="N582">
        <v>0</v>
      </c>
      <c r="O582">
        <v>10</v>
      </c>
      <c r="P582">
        <v>79</v>
      </c>
      <c r="Q582">
        <v>12063</v>
      </c>
      <c r="R582">
        <v>0</v>
      </c>
      <c r="S582">
        <v>0</v>
      </c>
      <c r="T582">
        <v>2</v>
      </c>
      <c r="U582">
        <v>13</v>
      </c>
      <c r="V582">
        <v>0</v>
      </c>
      <c r="W582">
        <v>0</v>
      </c>
      <c r="X582" s="23">
        <v>0.0253164556962025</v>
      </c>
      <c r="Y582" s="23">
        <v>0.00107767553676532</v>
      </c>
      <c r="Z582" s="23" t="s">
        <v>54</v>
      </c>
      <c r="AA582" s="23" t="s">
        <v>54</v>
      </c>
      <c r="AB582">
        <v>0.17</v>
      </c>
      <c r="AC582">
        <v>7.95</v>
      </c>
      <c r="AD582">
        <v>0</v>
      </c>
      <c r="AE582">
        <v>0</v>
      </c>
      <c r="AF582" s="23">
        <v>0</v>
      </c>
      <c r="AG582" s="23">
        <v>0</v>
      </c>
      <c r="AH582" s="23" t="s">
        <v>54</v>
      </c>
      <c r="AI582" s="23" t="s">
        <v>54</v>
      </c>
      <c r="AJ582">
        <v>2</v>
      </c>
      <c r="AK582">
        <v>9</v>
      </c>
      <c r="AL582">
        <v>1</v>
      </c>
      <c r="AM582">
        <v>0</v>
      </c>
      <c r="AN582" s="23">
        <v>0</v>
      </c>
      <c r="AO582" s="23">
        <v>0</v>
      </c>
      <c r="AP582" s="23">
        <v>0</v>
      </c>
      <c r="AQ582" s="23" t="s">
        <v>54</v>
      </c>
      <c r="AR582" s="35">
        <v>0</v>
      </c>
      <c r="AS582" s="35">
        <v>0</v>
      </c>
      <c r="AT582" s="35">
        <v>10</v>
      </c>
      <c r="AU582" s="31" t="str">
        <f t="shared" si="12"/>
        <v>库存为10</v>
      </c>
      <c r="AV582" s="36" t="str">
        <f>IFERROR($A$2+AU582,"上周无销量")</f>
        <v>上周无销量</v>
      </c>
    </row>
    <row r="583" spans="1:48">
      <c r="A583" s="21" t="s">
        <v>1235</v>
      </c>
      <c r="B583" t="s">
        <v>1236</v>
      </c>
      <c r="C583" t="s">
        <v>1232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1237</v>
      </c>
      <c r="B584" t="s">
        <v>1238</v>
      </c>
      <c r="C584" t="s">
        <v>1232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7</v>
      </c>
      <c r="J584" s="33">
        <v>0</v>
      </c>
      <c r="K584" s="33">
        <v>0</v>
      </c>
      <c r="L584" s="33">
        <v>0</v>
      </c>
      <c r="M584">
        <v>7</v>
      </c>
      <c r="N584">
        <v>0</v>
      </c>
      <c r="O584">
        <v>7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2</v>
      </c>
      <c r="AK584">
        <v>6</v>
      </c>
      <c r="AL584">
        <v>3</v>
      </c>
      <c r="AM584">
        <v>3</v>
      </c>
      <c r="AN584" s="23">
        <v>0</v>
      </c>
      <c r="AO584" s="23">
        <v>0</v>
      </c>
      <c r="AP584" s="23">
        <v>0</v>
      </c>
      <c r="AQ584" s="23">
        <v>0</v>
      </c>
      <c r="AR584" s="35">
        <v>0</v>
      </c>
      <c r="AS584" s="35">
        <v>0</v>
      </c>
      <c r="AT584" s="35">
        <v>7</v>
      </c>
      <c r="AU584" s="31" t="str">
        <f t="shared" si="12"/>
        <v>库存为7</v>
      </c>
      <c r="AV584" s="36" t="str">
        <f>IFERROR($A$2+AU584,"上周无销量")</f>
        <v>上周无销量</v>
      </c>
    </row>
    <row r="585" spans="1:48">
      <c r="A585" s="21"/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  <c r="AV585" s="36"/>
    </row>
    <row r="586" spans="1:48">
      <c r="A586" s="21"/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  <c r="AV586" s="36"/>
    </row>
    <row r="587" spans="1:48">
      <c r="A587" s="21"/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  <c r="AV587" s="36"/>
    </row>
    <row r="588" spans="1:48">
      <c r="A588" s="21"/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  <c r="AV588" s="36"/>
    </row>
    <row r="589" spans="1:48">
      <c r="A589" s="21"/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  <c r="AV589" s="36"/>
    </row>
    <row r="590" spans="1:48">
      <c r="A590" s="21"/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  <c r="AV590" s="36"/>
    </row>
    <row r="591" spans="1:48">
      <c r="A591" s="21"/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  <c r="AV591" s="36"/>
    </row>
    <row r="592" spans="1:48">
      <c r="A592" s="21"/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  <c r="AV592" s="36"/>
    </row>
    <row r="593" spans="1:48">
      <c r="A593" s="21"/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  <c r="AV593" s="36"/>
    </row>
    <row r="594" spans="1:48">
      <c r="A594" s="21"/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  <c r="AV594" s="36"/>
    </row>
    <row r="595" spans="1:48">
      <c r="A595" s="21"/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  <c r="AV595" s="36"/>
    </row>
    <row r="596" spans="1:48">
      <c r="A596" s="21"/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  <c r="AV596" s="36"/>
    </row>
    <row r="597" spans="1:48">
      <c r="A597" s="21"/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  <c r="AV597" s="36"/>
    </row>
    <row r="598" spans="1:48">
      <c r="A598" s="21"/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  <c r="AV598" s="36"/>
    </row>
    <row r="599" spans="1:48">
      <c r="A599" s="21"/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  <c r="AV599" s="36"/>
    </row>
    <row r="600" spans="1:48">
      <c r="A600" s="21"/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  <c r="AV600" s="36"/>
    </row>
    <row r="601" spans="1:48">
      <c r="A601" s="21"/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  <c r="AV601" s="36"/>
    </row>
    <row r="602" spans="1:48">
      <c r="A602" s="21"/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  <c r="AV602" s="36"/>
    </row>
    <row r="603" spans="1:48">
      <c r="A603" s="21"/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  <c r="AV603" s="36"/>
    </row>
    <row r="604" spans="1:48">
      <c r="A604" s="21"/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  <c r="AV604" s="36"/>
    </row>
    <row r="605" spans="1:48">
      <c r="A605" s="21"/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  <c r="AV605" s="36"/>
    </row>
    <row r="606" spans="1:48">
      <c r="A606" s="21"/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  <c r="AV606" s="36"/>
    </row>
    <row r="607" spans="1:48">
      <c r="A607" s="21"/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  <c r="AV607" s="36"/>
    </row>
    <row r="608" spans="1:48">
      <c r="A608" s="21"/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  <c r="AV608" s="36"/>
    </row>
    <row r="609" spans="1:48">
      <c r="A609" s="21"/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  <c r="AV609" s="36"/>
    </row>
    <row r="610" spans="1:48">
      <c r="A610" s="21"/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  <c r="AV610" s="36"/>
    </row>
    <row r="611" spans="1:48">
      <c r="A611" s="21"/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  <c r="AV611" s="36"/>
    </row>
    <row r="612" spans="1:48">
      <c r="A612" s="21"/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  <c r="AV612" s="36"/>
    </row>
    <row r="613" spans="1:48">
      <c r="A613" s="21"/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  <c r="AV613" s="36"/>
    </row>
    <row r="614" spans="1:48">
      <c r="A614" s="21"/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  <c r="AV614" s="36"/>
    </row>
    <row r="615" spans="1:48">
      <c r="A615" s="21"/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  <c r="AV615" s="36"/>
    </row>
    <row r="616" spans="1:48">
      <c r="A616" s="21"/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  <c r="AV616" s="36"/>
    </row>
    <row r="617" spans="1:48">
      <c r="A617" s="21"/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  <c r="AV617" s="36"/>
    </row>
    <row r="618" spans="1:48">
      <c r="A618" s="21"/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  <c r="AV618" s="36"/>
    </row>
    <row r="619" spans="1:48">
      <c r="A619" s="21"/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  <c r="AV619" s="36"/>
    </row>
    <row r="620" spans="1:48">
      <c r="A620" s="21"/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  <c r="AV620" s="36"/>
    </row>
    <row r="621" spans="1:48">
      <c r="A621" s="21"/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  <c r="AV621" s="36"/>
    </row>
    <row r="622" spans="1:48">
      <c r="A622" s="21"/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  <c r="AV622" s="36"/>
    </row>
    <row r="623" spans="1:48">
      <c r="A623" s="21"/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  <c r="AV623" s="36"/>
    </row>
    <row r="624" spans="1:48">
      <c r="A624" s="21"/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  <c r="AV624" s="36"/>
    </row>
    <row r="625" spans="1:48">
      <c r="A625" s="21"/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  <c r="AV625" s="36"/>
    </row>
    <row r="626" spans="1:48">
      <c r="A626" s="21"/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  <c r="AV626" s="36"/>
    </row>
    <row r="627" spans="1:48">
      <c r="A627" s="21"/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  <c r="AV627" s="36"/>
    </row>
    <row r="628" spans="1:48">
      <c r="A628" s="21"/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  <c r="AV628" s="36"/>
    </row>
    <row r="629" spans="1:48">
      <c r="A629" s="21"/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  <c r="AV629" s="36"/>
    </row>
    <row r="630" spans="1:48">
      <c r="A630" s="21"/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  <c r="AV630" s="36"/>
    </row>
    <row r="631" spans="1:48">
      <c r="A631" s="21"/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  <c r="AV631" s="36"/>
    </row>
    <row r="632" spans="1:48">
      <c r="A632" s="21"/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  <c r="AV632" s="36"/>
    </row>
    <row r="633" spans="1:48">
      <c r="A633" s="21"/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  <c r="AV633" s="36"/>
    </row>
    <row r="634" spans="1:48">
      <c r="A634" s="21"/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  <c r="AV634" s="36"/>
    </row>
    <row r="635" spans="1:48">
      <c r="A635" s="21"/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  <c r="AV635" s="36"/>
    </row>
    <row r="636" spans="1:48">
      <c r="A636" s="21"/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  <c r="AV636" s="36"/>
    </row>
    <row r="637" spans="1:48">
      <c r="A637" s="21"/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  <c r="AV637" s="36"/>
    </row>
    <row r="638" spans="1:48">
      <c r="A638" s="21"/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  <c r="AV638" s="36"/>
    </row>
    <row r="639" spans="1:48">
      <c r="A639" s="21"/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  <c r="AV639" s="36"/>
    </row>
    <row r="640" spans="1:48">
      <c r="A640" s="21"/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  <c r="AV640" s="36"/>
    </row>
    <row r="641" spans="1:48">
      <c r="A641" s="21"/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  <c r="AV641" s="36"/>
    </row>
    <row r="642" spans="1:48">
      <c r="A642" s="21"/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  <c r="AV642" s="36"/>
    </row>
    <row r="643" spans="1:48">
      <c r="A643" s="21"/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  <c r="AV643" s="36"/>
    </row>
    <row r="644" spans="1:48">
      <c r="A644" s="21"/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  <c r="AV644" s="36"/>
    </row>
    <row r="645" spans="1:48">
      <c r="A645" s="21"/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  <c r="AV645" s="36"/>
    </row>
    <row r="646" spans="1:48">
      <c r="A646" s="21"/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  <c r="AV646" s="36"/>
    </row>
    <row r="647" spans="1:48">
      <c r="A647" s="21"/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  <c r="AV647" s="36"/>
    </row>
    <row r="648" spans="1:48">
      <c r="A648" s="21"/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  <c r="AV648" s="36"/>
    </row>
    <row r="649" spans="1:48">
      <c r="A649" s="21"/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  <c r="AV649" s="36"/>
    </row>
    <row r="650" spans="1:48">
      <c r="A650" s="21"/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  <c r="AV650" s="36"/>
    </row>
    <row r="651" spans="1:48">
      <c r="A651" s="21"/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  <c r="AV651" s="36"/>
    </row>
    <row r="652" spans="1:48">
      <c r="A652" s="21"/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  <c r="AV652" s="36"/>
    </row>
    <row r="653" spans="1:48">
      <c r="A653" s="21"/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  <c r="AV653" s="36"/>
    </row>
    <row r="654" spans="1:48">
      <c r="A654" s="21"/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  <c r="AV654" s="36"/>
    </row>
    <row r="655" spans="1:48">
      <c r="A655" s="21"/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  <c r="AV655" s="36"/>
    </row>
    <row r="656" spans="1:48">
      <c r="A656" s="21"/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  <c r="AV656" s="36"/>
    </row>
    <row r="657" spans="1:48">
      <c r="A657" s="21"/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  <c r="AV657" s="36"/>
    </row>
    <row r="658" spans="1:48">
      <c r="A658" s="21"/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  <c r="AV658" s="36"/>
    </row>
    <row r="659" spans="1:48">
      <c r="A659" s="21"/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  <c r="AV659" s="36"/>
    </row>
    <row r="660" spans="1:48">
      <c r="A660" s="21"/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  <c r="AV660" s="36"/>
    </row>
    <row r="661" spans="1:48">
      <c r="A661" s="21"/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  <c r="AV661" s="36"/>
    </row>
    <row r="662" spans="1:48">
      <c r="A662" s="21"/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  <c r="AV662" s="36"/>
    </row>
    <row r="663" spans="1:48">
      <c r="A663" s="21"/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  <c r="AV663" s="36"/>
    </row>
    <row r="664" spans="1:48">
      <c r="A664" s="21"/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  <c r="AV664" s="36"/>
    </row>
    <row r="665" spans="1:48">
      <c r="A665" s="21"/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  <c r="AV665" s="36"/>
    </row>
    <row r="666" spans="1:48">
      <c r="A666" s="21"/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  <c r="AV666" s="36"/>
    </row>
    <row r="667" spans="1:48">
      <c r="A667" s="21"/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  <c r="AV667" s="36"/>
    </row>
    <row r="668" spans="1:48">
      <c r="A668" s="21"/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  <c r="AV668" s="36"/>
    </row>
    <row r="669" spans="1:48">
      <c r="A669" s="21"/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  <c r="AV669" s="36"/>
    </row>
    <row r="670" spans="1:48">
      <c r="A670" s="21"/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  <c r="AV670" s="36"/>
    </row>
    <row r="671" spans="1:48">
      <c r="A671" s="21"/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  <c r="AV671" s="36"/>
    </row>
    <row r="672" spans="1:48">
      <c r="A672" s="21"/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  <c r="AV672" s="36"/>
    </row>
    <row r="673" spans="1:48">
      <c r="A673" s="21"/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  <c r="AV673" s="36"/>
    </row>
    <row r="674" spans="1:48">
      <c r="A674" s="21"/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  <c r="AV674" s="36"/>
    </row>
    <row r="675" spans="1:48">
      <c r="A675" s="21"/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  <c r="AV675" s="36"/>
    </row>
    <row r="676" spans="1:48">
      <c r="A676" s="21"/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  <c r="AV676" s="36"/>
    </row>
    <row r="677" spans="1:48">
      <c r="A677" s="21"/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  <c r="AV677" s="36"/>
    </row>
    <row r="678" spans="1:48">
      <c r="A678" s="21"/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  <c r="AV678" s="36"/>
    </row>
    <row r="679" spans="1:48">
      <c r="A679" s="21"/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  <c r="AV679" s="36"/>
    </row>
    <row r="680" spans="1:48">
      <c r="A680" s="21"/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  <c r="AV680" s="36"/>
    </row>
    <row r="681" spans="1:48">
      <c r="A681" s="21"/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  <c r="AV681" s="36"/>
    </row>
    <row r="682" spans="1:48">
      <c r="A682" s="21"/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  <c r="AV682" s="36"/>
    </row>
    <row r="683" spans="1:48">
      <c r="A683" s="21"/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  <c r="AV683" s="36"/>
    </row>
    <row r="684" spans="1:48">
      <c r="A684" s="21"/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  <c r="AV684" s="36"/>
    </row>
    <row r="685" spans="1:48">
      <c r="A685" s="21"/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  <c r="AV685" s="36"/>
    </row>
    <row r="686" spans="1:48">
      <c r="A686" s="21"/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  <c r="AV686" s="36"/>
    </row>
    <row r="687" spans="1:48">
      <c r="A687" s="21"/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  <c r="AV687" s="36"/>
    </row>
    <row r="688" spans="1:48">
      <c r="A688" s="21"/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  <c r="AV688" s="36"/>
    </row>
    <row r="689" spans="1:48">
      <c r="A689" s="21"/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  <c r="AV689" s="36"/>
    </row>
    <row r="690" spans="1:48">
      <c r="A690" s="21"/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  <c r="AV690" s="36"/>
    </row>
    <row r="691" spans="1:48">
      <c r="A691" s="21"/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  <c r="AV691" s="36"/>
    </row>
    <row r="692" spans="1:48">
      <c r="A692" s="21"/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  <c r="AV692" s="36"/>
    </row>
    <row r="693" spans="1:48">
      <c r="A693" s="21"/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  <c r="AV693" s="36"/>
    </row>
    <row r="694" spans="1:48">
      <c r="A694" s="21"/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  <c r="AV694" s="36"/>
    </row>
    <row r="695" spans="1:48">
      <c r="A695" s="21"/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  <c r="AV695" s="36"/>
    </row>
    <row r="696" spans="1:48">
      <c r="A696" s="21"/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  <c r="AV696" s="36"/>
    </row>
    <row r="697" spans="1:48">
      <c r="A697" s="21"/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  <c r="AV697" s="36"/>
    </row>
    <row r="698" spans="1:48">
      <c r="A698" s="21"/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  <c r="AV698" s="36"/>
    </row>
    <row r="699" spans="1:48">
      <c r="A699" s="21"/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  <c r="AV699" s="36"/>
    </row>
    <row r="700" spans="1:48">
      <c r="A700" s="21"/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  <c r="AV700" s="36"/>
    </row>
    <row r="701" spans="1:48">
      <c r="A701" s="21"/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  <c r="AV701" s="36"/>
    </row>
    <row r="702" spans="1:48">
      <c r="A702" s="21"/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  <c r="AV702" s="36"/>
    </row>
    <row r="703" spans="1:48">
      <c r="A703" s="21"/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  <c r="AV703" s="36"/>
    </row>
    <row r="704" spans="1:48">
      <c r="A704" s="21"/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  <c r="AV704" s="36"/>
    </row>
    <row r="705" spans="1:48">
      <c r="A705" s="21"/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  <c r="AV705" s="36"/>
    </row>
    <row r="706" spans="1:48">
      <c r="A706" s="21"/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  <c r="AV706" s="36"/>
    </row>
    <row r="707" spans="1:48">
      <c r="A707" s="21"/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  <c r="AV707" s="36"/>
    </row>
    <row r="708" spans="1:48">
      <c r="A708" s="21"/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  <c r="AV708" s="36"/>
    </row>
    <row r="709" spans="1:48">
      <c r="A709" s="21"/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  <c r="AV709" s="36"/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8416" operator="lessThan">
      <formula>20</formula>
    </cfRule>
    <cfRule type="cellIs" dxfId="1" priority="28415" operator="greaterThan">
      <formula>120</formula>
    </cfRule>
    <cfRule type="containsText" dxfId="2" priority="28414" operator="between" text="库存为">
      <formula>NOT(ISERROR(SEARCH("库存为",AU2)))</formula>
    </cfRule>
  </conditionalFormatting>
  <conditionalFormatting sqref="AU6">
    <cfRule type="cellIs" dxfId="0" priority="1737" operator="lessThan">
      <formula>20</formula>
    </cfRule>
    <cfRule type="cellIs" dxfId="1" priority="1158" operator="greaterThan">
      <formula>120</formula>
    </cfRule>
    <cfRule type="containsText" dxfId="2" priority="579" operator="between" text="库存为">
      <formula>NOT(ISERROR(SEARCH("库存为",AU6)))</formula>
    </cfRule>
  </conditionalFormatting>
  <conditionalFormatting sqref="AU7">
    <cfRule type="cellIs" dxfId="0" priority="1736" operator="lessThan">
      <formula>20</formula>
    </cfRule>
    <cfRule type="cellIs" dxfId="1" priority="1157" operator="greaterThan">
      <formula>120</formula>
    </cfRule>
    <cfRule type="containsText" dxfId="2" priority="578" operator="between" text="库存为">
      <formula>NOT(ISERROR(SEARCH("库存为",AU7)))</formula>
    </cfRule>
  </conditionalFormatting>
  <conditionalFormatting sqref="AU8">
    <cfRule type="cellIs" dxfId="0" priority="1735" operator="lessThan">
      <formula>20</formula>
    </cfRule>
    <cfRule type="cellIs" dxfId="1" priority="1156" operator="greaterThan">
      <formula>120</formula>
    </cfRule>
    <cfRule type="containsText" dxfId="2" priority="577" operator="between" text="库存为">
      <formula>NOT(ISERROR(SEARCH("库存为",AU8)))</formula>
    </cfRule>
  </conditionalFormatting>
  <conditionalFormatting sqref="AU9">
    <cfRule type="cellIs" dxfId="0" priority="1734" operator="lessThan">
      <formula>20</formula>
    </cfRule>
    <cfRule type="cellIs" dxfId="1" priority="1155" operator="greaterThan">
      <formula>120</formula>
    </cfRule>
    <cfRule type="containsText" dxfId="2" priority="576" operator="between" text="库存为">
      <formula>NOT(ISERROR(SEARCH("库存为",AU9)))</formula>
    </cfRule>
  </conditionalFormatting>
  <conditionalFormatting sqref="AU10">
    <cfRule type="cellIs" dxfId="0" priority="1733" operator="lessThan">
      <formula>20</formula>
    </cfRule>
    <cfRule type="cellIs" dxfId="1" priority="1154" operator="greaterThan">
      <formula>120</formula>
    </cfRule>
    <cfRule type="containsText" dxfId="2" priority="575" operator="between" text="库存为">
      <formula>NOT(ISERROR(SEARCH("库存为",AU10)))</formula>
    </cfRule>
  </conditionalFormatting>
  <conditionalFormatting sqref="AU11">
    <cfRule type="cellIs" dxfId="0" priority="1732" operator="lessThan">
      <formula>20</formula>
    </cfRule>
    <cfRule type="cellIs" dxfId="1" priority="1153" operator="greaterThan">
      <formula>120</formula>
    </cfRule>
    <cfRule type="containsText" dxfId="2" priority="574" operator="between" text="库存为">
      <formula>NOT(ISERROR(SEARCH("库存为",AU11)))</formula>
    </cfRule>
  </conditionalFormatting>
  <conditionalFormatting sqref="AU12">
    <cfRule type="cellIs" dxfId="0" priority="1731" operator="lessThan">
      <formula>20</formula>
    </cfRule>
    <cfRule type="cellIs" dxfId="1" priority="1152" operator="greaterThan">
      <formula>120</formula>
    </cfRule>
    <cfRule type="containsText" dxfId="2" priority="573" operator="between" text="库存为">
      <formula>NOT(ISERROR(SEARCH("库存为",AU12)))</formula>
    </cfRule>
  </conditionalFormatting>
  <conditionalFormatting sqref="AU13">
    <cfRule type="cellIs" dxfId="0" priority="1730" operator="lessThan">
      <formula>20</formula>
    </cfRule>
    <cfRule type="cellIs" dxfId="1" priority="1151" operator="greaterThan">
      <formula>120</formula>
    </cfRule>
    <cfRule type="containsText" dxfId="2" priority="572" operator="between" text="库存为">
      <formula>NOT(ISERROR(SEARCH("库存为",AU13)))</formula>
    </cfRule>
  </conditionalFormatting>
  <conditionalFormatting sqref="AU14">
    <cfRule type="cellIs" dxfId="0" priority="1729" operator="lessThan">
      <formula>20</formula>
    </cfRule>
    <cfRule type="cellIs" dxfId="1" priority="1150" operator="greaterThan">
      <formula>120</formula>
    </cfRule>
    <cfRule type="containsText" dxfId="2" priority="571" operator="between" text="库存为">
      <formula>NOT(ISERROR(SEARCH("库存为",AU14)))</formula>
    </cfRule>
  </conditionalFormatting>
  <conditionalFormatting sqref="AU15">
    <cfRule type="cellIs" dxfId="0" priority="1728" operator="lessThan">
      <formula>20</formula>
    </cfRule>
    <cfRule type="cellIs" dxfId="1" priority="1149" operator="greaterThan">
      <formula>120</formula>
    </cfRule>
    <cfRule type="containsText" dxfId="2" priority="570" operator="between" text="库存为">
      <formula>NOT(ISERROR(SEARCH("库存为",AU15)))</formula>
    </cfRule>
  </conditionalFormatting>
  <conditionalFormatting sqref="AU16">
    <cfRule type="cellIs" dxfId="0" priority="1727" operator="lessThan">
      <formula>20</formula>
    </cfRule>
    <cfRule type="cellIs" dxfId="1" priority="1148" operator="greaterThan">
      <formula>120</formula>
    </cfRule>
    <cfRule type="containsText" dxfId="2" priority="569" operator="between" text="库存为">
      <formula>NOT(ISERROR(SEARCH("库存为",AU16)))</formula>
    </cfRule>
  </conditionalFormatting>
  <conditionalFormatting sqref="AU17">
    <cfRule type="cellIs" dxfId="0" priority="1726" operator="lessThan">
      <formula>20</formula>
    </cfRule>
    <cfRule type="cellIs" dxfId="1" priority="1147" operator="greaterThan">
      <formula>120</formula>
    </cfRule>
    <cfRule type="containsText" dxfId="2" priority="568" operator="between" text="库存为">
      <formula>NOT(ISERROR(SEARCH("库存为",AU17)))</formula>
    </cfRule>
  </conditionalFormatting>
  <conditionalFormatting sqref="AU18">
    <cfRule type="cellIs" dxfId="0" priority="1725" operator="lessThan">
      <formula>20</formula>
    </cfRule>
    <cfRule type="cellIs" dxfId="1" priority="1146" operator="greaterThan">
      <formula>120</formula>
    </cfRule>
    <cfRule type="containsText" dxfId="2" priority="567" operator="between" text="库存为">
      <formula>NOT(ISERROR(SEARCH("库存为",AU18)))</formula>
    </cfRule>
  </conditionalFormatting>
  <conditionalFormatting sqref="AU19">
    <cfRule type="cellIs" dxfId="0" priority="1724" operator="lessThan">
      <formula>20</formula>
    </cfRule>
    <cfRule type="cellIs" dxfId="1" priority="1145" operator="greaterThan">
      <formula>120</formula>
    </cfRule>
    <cfRule type="containsText" dxfId="2" priority="566" operator="between" text="库存为">
      <formula>NOT(ISERROR(SEARCH("库存为",AU19)))</formula>
    </cfRule>
  </conditionalFormatting>
  <conditionalFormatting sqref="AU20">
    <cfRule type="cellIs" dxfId="0" priority="1723" operator="lessThan">
      <formula>20</formula>
    </cfRule>
    <cfRule type="cellIs" dxfId="1" priority="1144" operator="greaterThan">
      <formula>120</formula>
    </cfRule>
    <cfRule type="containsText" dxfId="2" priority="565" operator="between" text="库存为">
      <formula>NOT(ISERROR(SEARCH("库存为",AU20)))</formula>
    </cfRule>
  </conditionalFormatting>
  <conditionalFormatting sqref="AU21">
    <cfRule type="cellIs" dxfId="0" priority="1722" operator="lessThan">
      <formula>20</formula>
    </cfRule>
    <cfRule type="cellIs" dxfId="1" priority="1143" operator="greaterThan">
      <formula>120</formula>
    </cfRule>
    <cfRule type="containsText" dxfId="2" priority="564" operator="between" text="库存为">
      <formula>NOT(ISERROR(SEARCH("库存为",AU21)))</formula>
    </cfRule>
  </conditionalFormatting>
  <conditionalFormatting sqref="AU22">
    <cfRule type="cellIs" dxfId="0" priority="1721" operator="lessThan">
      <formula>20</formula>
    </cfRule>
    <cfRule type="cellIs" dxfId="1" priority="1142" operator="greaterThan">
      <formula>120</formula>
    </cfRule>
    <cfRule type="containsText" dxfId="2" priority="563" operator="between" text="库存为">
      <formula>NOT(ISERROR(SEARCH("库存为",AU22)))</formula>
    </cfRule>
  </conditionalFormatting>
  <conditionalFormatting sqref="AU23">
    <cfRule type="cellIs" dxfId="0" priority="1720" operator="lessThan">
      <formula>20</formula>
    </cfRule>
    <cfRule type="cellIs" dxfId="1" priority="1141" operator="greaterThan">
      <formula>120</formula>
    </cfRule>
    <cfRule type="containsText" dxfId="2" priority="562" operator="between" text="库存为">
      <formula>NOT(ISERROR(SEARCH("库存为",AU23)))</formula>
    </cfRule>
  </conditionalFormatting>
  <conditionalFormatting sqref="AU24">
    <cfRule type="cellIs" dxfId="0" priority="1719" operator="lessThan">
      <formula>20</formula>
    </cfRule>
    <cfRule type="cellIs" dxfId="1" priority="1140" operator="greaterThan">
      <formula>120</formula>
    </cfRule>
    <cfRule type="containsText" dxfId="2" priority="561" operator="between" text="库存为">
      <formula>NOT(ISERROR(SEARCH("库存为",AU24)))</formula>
    </cfRule>
  </conditionalFormatting>
  <conditionalFormatting sqref="AU25">
    <cfRule type="cellIs" dxfId="0" priority="1718" operator="lessThan">
      <formula>20</formula>
    </cfRule>
    <cfRule type="cellIs" dxfId="1" priority="1139" operator="greaterThan">
      <formula>120</formula>
    </cfRule>
    <cfRule type="containsText" dxfId="2" priority="560" operator="between" text="库存为">
      <formula>NOT(ISERROR(SEARCH("库存为",AU25)))</formula>
    </cfRule>
  </conditionalFormatting>
  <conditionalFormatting sqref="AU26">
    <cfRule type="cellIs" dxfId="0" priority="1717" operator="lessThan">
      <formula>20</formula>
    </cfRule>
    <cfRule type="cellIs" dxfId="1" priority="1138" operator="greaterThan">
      <formula>120</formula>
    </cfRule>
    <cfRule type="containsText" dxfId="2" priority="559" operator="between" text="库存为">
      <formula>NOT(ISERROR(SEARCH("库存为",AU26)))</formula>
    </cfRule>
  </conditionalFormatting>
  <conditionalFormatting sqref="AU27">
    <cfRule type="cellIs" dxfId="0" priority="1716" operator="lessThan">
      <formula>20</formula>
    </cfRule>
    <cfRule type="cellIs" dxfId="1" priority="1137" operator="greaterThan">
      <formula>120</formula>
    </cfRule>
    <cfRule type="containsText" dxfId="2" priority="558" operator="between" text="库存为">
      <formula>NOT(ISERROR(SEARCH("库存为",AU27)))</formula>
    </cfRule>
  </conditionalFormatting>
  <conditionalFormatting sqref="AU28">
    <cfRule type="cellIs" dxfId="0" priority="1715" operator="lessThan">
      <formula>20</formula>
    </cfRule>
    <cfRule type="cellIs" dxfId="1" priority="1136" operator="greaterThan">
      <formula>120</formula>
    </cfRule>
    <cfRule type="containsText" dxfId="2" priority="557" operator="between" text="库存为">
      <formula>NOT(ISERROR(SEARCH("库存为",AU28)))</formula>
    </cfRule>
  </conditionalFormatting>
  <conditionalFormatting sqref="AU29">
    <cfRule type="cellIs" dxfId="0" priority="1714" operator="lessThan">
      <formula>20</formula>
    </cfRule>
    <cfRule type="cellIs" dxfId="1" priority="1135" operator="greaterThan">
      <formula>120</formula>
    </cfRule>
    <cfRule type="containsText" dxfId="2" priority="556" operator="between" text="库存为">
      <formula>NOT(ISERROR(SEARCH("库存为",AU29)))</formula>
    </cfRule>
  </conditionalFormatting>
  <conditionalFormatting sqref="AU30">
    <cfRule type="cellIs" dxfId="0" priority="1713" operator="lessThan">
      <formula>20</formula>
    </cfRule>
    <cfRule type="cellIs" dxfId="1" priority="1134" operator="greaterThan">
      <formula>120</formula>
    </cfRule>
    <cfRule type="containsText" dxfId="2" priority="555" operator="between" text="库存为">
      <formula>NOT(ISERROR(SEARCH("库存为",AU30)))</formula>
    </cfRule>
  </conditionalFormatting>
  <conditionalFormatting sqref="AU31">
    <cfRule type="cellIs" dxfId="0" priority="1712" operator="lessThan">
      <formula>20</formula>
    </cfRule>
    <cfRule type="cellIs" dxfId="1" priority="1133" operator="greaterThan">
      <formula>120</formula>
    </cfRule>
    <cfRule type="containsText" dxfId="2" priority="554" operator="between" text="库存为">
      <formula>NOT(ISERROR(SEARCH("库存为",AU31)))</formula>
    </cfRule>
  </conditionalFormatting>
  <conditionalFormatting sqref="AU32">
    <cfRule type="cellIs" dxfId="0" priority="1711" operator="lessThan">
      <formula>20</formula>
    </cfRule>
    <cfRule type="cellIs" dxfId="1" priority="1132" operator="greaterThan">
      <formula>120</formula>
    </cfRule>
    <cfRule type="containsText" dxfId="2" priority="553" operator="between" text="库存为">
      <formula>NOT(ISERROR(SEARCH("库存为",AU32)))</formula>
    </cfRule>
  </conditionalFormatting>
  <conditionalFormatting sqref="AU33">
    <cfRule type="cellIs" dxfId="0" priority="1710" operator="lessThan">
      <formula>20</formula>
    </cfRule>
    <cfRule type="cellIs" dxfId="1" priority="1131" operator="greaterThan">
      <formula>120</formula>
    </cfRule>
    <cfRule type="containsText" dxfId="2" priority="552" operator="between" text="库存为">
      <formula>NOT(ISERROR(SEARCH("库存为",AU33)))</formula>
    </cfRule>
  </conditionalFormatting>
  <conditionalFormatting sqref="AU34">
    <cfRule type="cellIs" dxfId="0" priority="1709" operator="lessThan">
      <formula>20</formula>
    </cfRule>
    <cfRule type="cellIs" dxfId="1" priority="1130" operator="greaterThan">
      <formula>120</formula>
    </cfRule>
    <cfRule type="containsText" dxfId="2" priority="551" operator="between" text="库存为">
      <formula>NOT(ISERROR(SEARCH("库存为",AU34)))</formula>
    </cfRule>
  </conditionalFormatting>
  <conditionalFormatting sqref="AU35">
    <cfRule type="cellIs" dxfId="0" priority="1708" operator="lessThan">
      <formula>20</formula>
    </cfRule>
    <cfRule type="cellIs" dxfId="1" priority="1129" operator="greaterThan">
      <formula>120</formula>
    </cfRule>
    <cfRule type="containsText" dxfId="2" priority="550" operator="between" text="库存为">
      <formula>NOT(ISERROR(SEARCH("库存为",AU35)))</formula>
    </cfRule>
  </conditionalFormatting>
  <conditionalFormatting sqref="AU36">
    <cfRule type="cellIs" dxfId="0" priority="1707" operator="lessThan">
      <formula>20</formula>
    </cfRule>
    <cfRule type="cellIs" dxfId="1" priority="1128" operator="greaterThan">
      <formula>120</formula>
    </cfRule>
    <cfRule type="containsText" dxfId="2" priority="549" operator="between" text="库存为">
      <formula>NOT(ISERROR(SEARCH("库存为",AU36)))</formula>
    </cfRule>
  </conditionalFormatting>
  <conditionalFormatting sqref="AU37">
    <cfRule type="cellIs" dxfId="0" priority="1706" operator="lessThan">
      <formula>20</formula>
    </cfRule>
    <cfRule type="cellIs" dxfId="1" priority="1127" operator="greaterThan">
      <formula>120</formula>
    </cfRule>
    <cfRule type="containsText" dxfId="2" priority="548" operator="between" text="库存为">
      <formula>NOT(ISERROR(SEARCH("库存为",AU37)))</formula>
    </cfRule>
  </conditionalFormatting>
  <conditionalFormatting sqref="AU38">
    <cfRule type="cellIs" dxfId="0" priority="1705" operator="lessThan">
      <formula>20</formula>
    </cfRule>
    <cfRule type="cellIs" dxfId="1" priority="1126" operator="greaterThan">
      <formula>120</formula>
    </cfRule>
    <cfRule type="containsText" dxfId="2" priority="547" operator="between" text="库存为">
      <formula>NOT(ISERROR(SEARCH("库存为",AU38)))</formula>
    </cfRule>
  </conditionalFormatting>
  <conditionalFormatting sqref="AU39">
    <cfRule type="cellIs" dxfId="0" priority="1704" operator="lessThan">
      <formula>20</formula>
    </cfRule>
    <cfRule type="cellIs" dxfId="1" priority="1125" operator="greaterThan">
      <formula>120</formula>
    </cfRule>
    <cfRule type="containsText" dxfId="2" priority="546" operator="between" text="库存为">
      <formula>NOT(ISERROR(SEARCH("库存为",AU39)))</formula>
    </cfRule>
  </conditionalFormatting>
  <conditionalFormatting sqref="AU40">
    <cfRule type="cellIs" dxfId="0" priority="1703" operator="lessThan">
      <formula>20</formula>
    </cfRule>
    <cfRule type="cellIs" dxfId="1" priority="1124" operator="greaterThan">
      <formula>120</formula>
    </cfRule>
    <cfRule type="containsText" dxfId="2" priority="545" operator="between" text="库存为">
      <formula>NOT(ISERROR(SEARCH("库存为",AU40)))</formula>
    </cfRule>
  </conditionalFormatting>
  <conditionalFormatting sqref="AU41">
    <cfRule type="cellIs" dxfId="0" priority="1702" operator="lessThan">
      <formula>20</formula>
    </cfRule>
    <cfRule type="cellIs" dxfId="1" priority="1123" operator="greaterThan">
      <formula>120</formula>
    </cfRule>
    <cfRule type="containsText" dxfId="2" priority="544" operator="between" text="库存为">
      <formula>NOT(ISERROR(SEARCH("库存为",AU41)))</formula>
    </cfRule>
  </conditionalFormatting>
  <conditionalFormatting sqref="AU42">
    <cfRule type="cellIs" dxfId="0" priority="1701" operator="lessThan">
      <formula>20</formula>
    </cfRule>
    <cfRule type="cellIs" dxfId="1" priority="1122" operator="greaterThan">
      <formula>120</formula>
    </cfRule>
    <cfRule type="containsText" dxfId="2" priority="543" operator="between" text="库存为">
      <formula>NOT(ISERROR(SEARCH("库存为",AU42)))</formula>
    </cfRule>
  </conditionalFormatting>
  <conditionalFormatting sqref="AU43">
    <cfRule type="cellIs" dxfId="0" priority="1700" operator="lessThan">
      <formula>20</formula>
    </cfRule>
    <cfRule type="cellIs" dxfId="1" priority="1121" operator="greaterThan">
      <formula>120</formula>
    </cfRule>
    <cfRule type="containsText" dxfId="2" priority="542" operator="between" text="库存为">
      <formula>NOT(ISERROR(SEARCH("库存为",AU43)))</formula>
    </cfRule>
  </conditionalFormatting>
  <conditionalFormatting sqref="AU44">
    <cfRule type="cellIs" dxfId="0" priority="1699" operator="lessThan">
      <formula>20</formula>
    </cfRule>
    <cfRule type="cellIs" dxfId="1" priority="1120" operator="greaterThan">
      <formula>120</formula>
    </cfRule>
    <cfRule type="containsText" dxfId="2" priority="541" operator="between" text="库存为">
      <formula>NOT(ISERROR(SEARCH("库存为",AU44)))</formula>
    </cfRule>
  </conditionalFormatting>
  <conditionalFormatting sqref="AU45">
    <cfRule type="cellIs" dxfId="0" priority="1698" operator="lessThan">
      <formula>20</formula>
    </cfRule>
    <cfRule type="cellIs" dxfId="1" priority="1119" operator="greaterThan">
      <formula>120</formula>
    </cfRule>
    <cfRule type="containsText" dxfId="2" priority="540" operator="between" text="库存为">
      <formula>NOT(ISERROR(SEARCH("库存为",AU45)))</formula>
    </cfRule>
  </conditionalFormatting>
  <conditionalFormatting sqref="AU46">
    <cfRule type="cellIs" dxfId="0" priority="1697" operator="lessThan">
      <formula>20</formula>
    </cfRule>
    <cfRule type="cellIs" dxfId="1" priority="1118" operator="greaterThan">
      <formula>120</formula>
    </cfRule>
    <cfRule type="containsText" dxfId="2" priority="539" operator="between" text="库存为">
      <formula>NOT(ISERROR(SEARCH("库存为",AU46)))</formula>
    </cfRule>
  </conditionalFormatting>
  <conditionalFormatting sqref="AU47">
    <cfRule type="cellIs" dxfId="0" priority="1696" operator="lessThan">
      <formula>20</formula>
    </cfRule>
    <cfRule type="cellIs" dxfId="1" priority="1117" operator="greaterThan">
      <formula>120</formula>
    </cfRule>
    <cfRule type="containsText" dxfId="2" priority="538" operator="between" text="库存为">
      <formula>NOT(ISERROR(SEARCH("库存为",AU47)))</formula>
    </cfRule>
  </conditionalFormatting>
  <conditionalFormatting sqref="AU48">
    <cfRule type="cellIs" dxfId="0" priority="1695" operator="lessThan">
      <formula>20</formula>
    </cfRule>
    <cfRule type="cellIs" dxfId="1" priority="1116" operator="greaterThan">
      <formula>120</formula>
    </cfRule>
    <cfRule type="containsText" dxfId="2" priority="537" operator="between" text="库存为">
      <formula>NOT(ISERROR(SEARCH("库存为",AU48)))</formula>
    </cfRule>
  </conditionalFormatting>
  <conditionalFormatting sqref="AU49">
    <cfRule type="cellIs" dxfId="0" priority="1694" operator="lessThan">
      <formula>20</formula>
    </cfRule>
    <cfRule type="cellIs" dxfId="1" priority="1115" operator="greaterThan">
      <formula>120</formula>
    </cfRule>
    <cfRule type="containsText" dxfId="2" priority="536" operator="between" text="库存为">
      <formula>NOT(ISERROR(SEARCH("库存为",AU49)))</formula>
    </cfRule>
  </conditionalFormatting>
  <conditionalFormatting sqref="AU50">
    <cfRule type="cellIs" dxfId="0" priority="1693" operator="lessThan">
      <formula>20</formula>
    </cfRule>
    <cfRule type="cellIs" dxfId="1" priority="1114" operator="greaterThan">
      <formula>120</formula>
    </cfRule>
    <cfRule type="containsText" dxfId="2" priority="535" operator="between" text="库存为">
      <formula>NOT(ISERROR(SEARCH("库存为",AU50)))</formula>
    </cfRule>
  </conditionalFormatting>
  <conditionalFormatting sqref="AU51">
    <cfRule type="cellIs" dxfId="0" priority="1692" operator="lessThan">
      <formula>20</formula>
    </cfRule>
    <cfRule type="cellIs" dxfId="1" priority="1113" operator="greaterThan">
      <formula>120</formula>
    </cfRule>
    <cfRule type="containsText" dxfId="2" priority="534" operator="between" text="库存为">
      <formula>NOT(ISERROR(SEARCH("库存为",AU51)))</formula>
    </cfRule>
  </conditionalFormatting>
  <conditionalFormatting sqref="AU52">
    <cfRule type="cellIs" dxfId="0" priority="1691" operator="lessThan">
      <formula>20</formula>
    </cfRule>
    <cfRule type="cellIs" dxfId="1" priority="1112" operator="greaterThan">
      <formula>120</formula>
    </cfRule>
    <cfRule type="containsText" dxfId="2" priority="533" operator="between" text="库存为">
      <formula>NOT(ISERROR(SEARCH("库存为",AU52)))</formula>
    </cfRule>
  </conditionalFormatting>
  <conditionalFormatting sqref="AU53">
    <cfRule type="cellIs" dxfId="0" priority="1690" operator="lessThan">
      <formula>20</formula>
    </cfRule>
    <cfRule type="cellIs" dxfId="1" priority="1111" operator="greaterThan">
      <formula>120</formula>
    </cfRule>
    <cfRule type="containsText" dxfId="2" priority="532" operator="between" text="库存为">
      <formula>NOT(ISERROR(SEARCH("库存为",AU53)))</formula>
    </cfRule>
  </conditionalFormatting>
  <conditionalFormatting sqref="AU54">
    <cfRule type="cellIs" dxfId="0" priority="1689" operator="lessThan">
      <formula>20</formula>
    </cfRule>
    <cfRule type="cellIs" dxfId="1" priority="1110" operator="greaterThan">
      <formula>120</formula>
    </cfRule>
    <cfRule type="containsText" dxfId="2" priority="531" operator="between" text="库存为">
      <formula>NOT(ISERROR(SEARCH("库存为",AU54)))</formula>
    </cfRule>
  </conditionalFormatting>
  <conditionalFormatting sqref="AU55">
    <cfRule type="cellIs" dxfId="0" priority="1688" operator="lessThan">
      <formula>20</formula>
    </cfRule>
    <cfRule type="cellIs" dxfId="1" priority="1109" operator="greaterThan">
      <formula>120</formula>
    </cfRule>
    <cfRule type="containsText" dxfId="2" priority="530" operator="between" text="库存为">
      <formula>NOT(ISERROR(SEARCH("库存为",AU55)))</formula>
    </cfRule>
  </conditionalFormatting>
  <conditionalFormatting sqref="AU56">
    <cfRule type="cellIs" dxfId="0" priority="1687" operator="lessThan">
      <formula>20</formula>
    </cfRule>
    <cfRule type="cellIs" dxfId="1" priority="1108" operator="greaterThan">
      <formula>120</formula>
    </cfRule>
    <cfRule type="containsText" dxfId="2" priority="529" operator="between" text="库存为">
      <formula>NOT(ISERROR(SEARCH("库存为",AU56)))</formula>
    </cfRule>
  </conditionalFormatting>
  <conditionalFormatting sqref="AU57">
    <cfRule type="cellIs" dxfId="0" priority="1686" operator="lessThan">
      <formula>20</formula>
    </cfRule>
    <cfRule type="cellIs" dxfId="1" priority="1107" operator="greaterThan">
      <formula>120</formula>
    </cfRule>
    <cfRule type="containsText" dxfId="2" priority="528" operator="between" text="库存为">
      <formula>NOT(ISERROR(SEARCH("库存为",AU57)))</formula>
    </cfRule>
  </conditionalFormatting>
  <conditionalFormatting sqref="AU58">
    <cfRule type="cellIs" dxfId="0" priority="1685" operator="lessThan">
      <formula>20</formula>
    </cfRule>
    <cfRule type="cellIs" dxfId="1" priority="1106" operator="greaterThan">
      <formula>120</formula>
    </cfRule>
    <cfRule type="containsText" dxfId="2" priority="527" operator="between" text="库存为">
      <formula>NOT(ISERROR(SEARCH("库存为",AU58)))</formula>
    </cfRule>
  </conditionalFormatting>
  <conditionalFormatting sqref="AU59">
    <cfRule type="cellIs" dxfId="0" priority="1684" operator="lessThan">
      <formula>20</formula>
    </cfRule>
    <cfRule type="cellIs" dxfId="1" priority="1105" operator="greaterThan">
      <formula>120</formula>
    </cfRule>
    <cfRule type="containsText" dxfId="2" priority="526" operator="between" text="库存为">
      <formula>NOT(ISERROR(SEARCH("库存为",AU59)))</formula>
    </cfRule>
  </conditionalFormatting>
  <conditionalFormatting sqref="AU60">
    <cfRule type="cellIs" dxfId="0" priority="1683" operator="lessThan">
      <formula>20</formula>
    </cfRule>
    <cfRule type="cellIs" dxfId="1" priority="1104" operator="greaterThan">
      <formula>120</formula>
    </cfRule>
    <cfRule type="containsText" dxfId="2" priority="525" operator="between" text="库存为">
      <formula>NOT(ISERROR(SEARCH("库存为",AU60)))</formula>
    </cfRule>
  </conditionalFormatting>
  <conditionalFormatting sqref="AU61">
    <cfRule type="cellIs" dxfId="0" priority="1682" operator="lessThan">
      <formula>20</formula>
    </cfRule>
    <cfRule type="cellIs" dxfId="1" priority="1103" operator="greaterThan">
      <formula>120</formula>
    </cfRule>
    <cfRule type="containsText" dxfId="2" priority="524" operator="between" text="库存为">
      <formula>NOT(ISERROR(SEARCH("库存为",AU61)))</formula>
    </cfRule>
  </conditionalFormatting>
  <conditionalFormatting sqref="AU62">
    <cfRule type="cellIs" dxfId="0" priority="1681" operator="lessThan">
      <formula>20</formula>
    </cfRule>
    <cfRule type="cellIs" dxfId="1" priority="1102" operator="greaterThan">
      <formula>120</formula>
    </cfRule>
    <cfRule type="containsText" dxfId="2" priority="523" operator="between" text="库存为">
      <formula>NOT(ISERROR(SEARCH("库存为",AU62)))</formula>
    </cfRule>
  </conditionalFormatting>
  <conditionalFormatting sqref="AU63">
    <cfRule type="cellIs" dxfId="0" priority="1680" operator="lessThan">
      <formula>20</formula>
    </cfRule>
    <cfRule type="cellIs" dxfId="1" priority="1101" operator="greaterThan">
      <formula>120</formula>
    </cfRule>
    <cfRule type="containsText" dxfId="2" priority="522" operator="between" text="库存为">
      <formula>NOT(ISERROR(SEARCH("库存为",AU63)))</formula>
    </cfRule>
  </conditionalFormatting>
  <conditionalFormatting sqref="AU64">
    <cfRule type="cellIs" dxfId="0" priority="1679" operator="lessThan">
      <formula>20</formula>
    </cfRule>
    <cfRule type="cellIs" dxfId="1" priority="1100" operator="greaterThan">
      <formula>120</formula>
    </cfRule>
    <cfRule type="containsText" dxfId="2" priority="521" operator="between" text="库存为">
      <formula>NOT(ISERROR(SEARCH("库存为",AU64)))</formula>
    </cfRule>
  </conditionalFormatting>
  <conditionalFormatting sqref="AU65">
    <cfRule type="cellIs" dxfId="0" priority="1678" operator="lessThan">
      <formula>20</formula>
    </cfRule>
    <cfRule type="cellIs" dxfId="1" priority="1099" operator="greaterThan">
      <formula>120</formula>
    </cfRule>
    <cfRule type="containsText" dxfId="2" priority="520" operator="between" text="库存为">
      <formula>NOT(ISERROR(SEARCH("库存为",AU65)))</formula>
    </cfRule>
  </conditionalFormatting>
  <conditionalFormatting sqref="AU66">
    <cfRule type="cellIs" dxfId="0" priority="1677" operator="lessThan">
      <formula>20</formula>
    </cfRule>
    <cfRule type="cellIs" dxfId="1" priority="1098" operator="greaterThan">
      <formula>120</formula>
    </cfRule>
    <cfRule type="containsText" dxfId="2" priority="519" operator="between" text="库存为">
      <formula>NOT(ISERROR(SEARCH("库存为",AU66)))</formula>
    </cfRule>
  </conditionalFormatting>
  <conditionalFormatting sqref="AU67">
    <cfRule type="cellIs" dxfId="0" priority="1676" operator="lessThan">
      <formula>20</formula>
    </cfRule>
    <cfRule type="cellIs" dxfId="1" priority="1097" operator="greaterThan">
      <formula>120</formula>
    </cfRule>
    <cfRule type="containsText" dxfId="2" priority="518" operator="between" text="库存为">
      <formula>NOT(ISERROR(SEARCH("库存为",AU67)))</formula>
    </cfRule>
  </conditionalFormatting>
  <conditionalFormatting sqref="AU68">
    <cfRule type="cellIs" dxfId="0" priority="1675" operator="lessThan">
      <formula>20</formula>
    </cfRule>
    <cfRule type="cellIs" dxfId="1" priority="1096" operator="greaterThan">
      <formula>120</formula>
    </cfRule>
    <cfRule type="containsText" dxfId="2" priority="517" operator="between" text="库存为">
      <formula>NOT(ISERROR(SEARCH("库存为",AU68)))</formula>
    </cfRule>
  </conditionalFormatting>
  <conditionalFormatting sqref="AU69">
    <cfRule type="cellIs" dxfId="0" priority="1674" operator="lessThan">
      <formula>20</formula>
    </cfRule>
    <cfRule type="cellIs" dxfId="1" priority="1095" operator="greaterThan">
      <formula>120</formula>
    </cfRule>
    <cfRule type="containsText" dxfId="2" priority="516" operator="between" text="库存为">
      <formula>NOT(ISERROR(SEARCH("库存为",AU69)))</formula>
    </cfRule>
  </conditionalFormatting>
  <conditionalFormatting sqref="AU70">
    <cfRule type="cellIs" dxfId="0" priority="1673" operator="lessThan">
      <formula>20</formula>
    </cfRule>
    <cfRule type="cellIs" dxfId="1" priority="1094" operator="greaterThan">
      <formula>120</formula>
    </cfRule>
    <cfRule type="containsText" dxfId="2" priority="515" operator="between" text="库存为">
      <formula>NOT(ISERROR(SEARCH("库存为",AU70)))</formula>
    </cfRule>
  </conditionalFormatting>
  <conditionalFormatting sqref="AU71">
    <cfRule type="cellIs" dxfId="0" priority="1672" operator="lessThan">
      <formula>20</formula>
    </cfRule>
    <cfRule type="cellIs" dxfId="1" priority="1093" operator="greaterThan">
      <formula>120</formula>
    </cfRule>
    <cfRule type="containsText" dxfId="2" priority="514" operator="between" text="库存为">
      <formula>NOT(ISERROR(SEARCH("库存为",AU71)))</formula>
    </cfRule>
  </conditionalFormatting>
  <conditionalFormatting sqref="AU72">
    <cfRule type="cellIs" dxfId="0" priority="1671" operator="lessThan">
      <formula>20</formula>
    </cfRule>
    <cfRule type="cellIs" dxfId="1" priority="1092" operator="greaterThan">
      <formula>120</formula>
    </cfRule>
    <cfRule type="containsText" dxfId="2" priority="513" operator="between" text="库存为">
      <formula>NOT(ISERROR(SEARCH("库存为",AU72)))</formula>
    </cfRule>
  </conditionalFormatting>
  <conditionalFormatting sqref="AU73">
    <cfRule type="cellIs" dxfId="0" priority="1670" operator="lessThan">
      <formula>20</formula>
    </cfRule>
    <cfRule type="cellIs" dxfId="1" priority="1091" operator="greaterThan">
      <formula>120</formula>
    </cfRule>
    <cfRule type="containsText" dxfId="2" priority="512" operator="between" text="库存为">
      <formula>NOT(ISERROR(SEARCH("库存为",AU73)))</formula>
    </cfRule>
  </conditionalFormatting>
  <conditionalFormatting sqref="AU74">
    <cfRule type="cellIs" dxfId="0" priority="1669" operator="lessThan">
      <formula>20</formula>
    </cfRule>
    <cfRule type="cellIs" dxfId="1" priority="1090" operator="greaterThan">
      <formula>120</formula>
    </cfRule>
    <cfRule type="containsText" dxfId="2" priority="511" operator="between" text="库存为">
      <formula>NOT(ISERROR(SEARCH("库存为",AU74)))</formula>
    </cfRule>
  </conditionalFormatting>
  <conditionalFormatting sqref="AU75">
    <cfRule type="cellIs" dxfId="0" priority="1668" operator="lessThan">
      <formula>20</formula>
    </cfRule>
    <cfRule type="cellIs" dxfId="1" priority="1089" operator="greaterThan">
      <formula>120</formula>
    </cfRule>
    <cfRule type="containsText" dxfId="2" priority="510" operator="between" text="库存为">
      <formula>NOT(ISERROR(SEARCH("库存为",AU75)))</formula>
    </cfRule>
  </conditionalFormatting>
  <conditionalFormatting sqref="AU76">
    <cfRule type="cellIs" dxfId="0" priority="1667" operator="lessThan">
      <formula>20</formula>
    </cfRule>
    <cfRule type="cellIs" dxfId="1" priority="1088" operator="greaterThan">
      <formula>120</formula>
    </cfRule>
    <cfRule type="containsText" dxfId="2" priority="509" operator="between" text="库存为">
      <formula>NOT(ISERROR(SEARCH("库存为",AU76)))</formula>
    </cfRule>
  </conditionalFormatting>
  <conditionalFormatting sqref="AU77">
    <cfRule type="cellIs" dxfId="0" priority="1666" operator="lessThan">
      <formula>20</formula>
    </cfRule>
    <cfRule type="cellIs" dxfId="1" priority="1087" operator="greaterThan">
      <formula>120</formula>
    </cfRule>
    <cfRule type="containsText" dxfId="2" priority="508" operator="between" text="库存为">
      <formula>NOT(ISERROR(SEARCH("库存为",AU77)))</formula>
    </cfRule>
  </conditionalFormatting>
  <conditionalFormatting sqref="AU78">
    <cfRule type="cellIs" dxfId="0" priority="1665" operator="lessThan">
      <formula>20</formula>
    </cfRule>
    <cfRule type="cellIs" dxfId="1" priority="1086" operator="greaterThan">
      <formula>120</formula>
    </cfRule>
    <cfRule type="containsText" dxfId="2" priority="507" operator="between" text="库存为">
      <formula>NOT(ISERROR(SEARCH("库存为",AU78)))</formula>
    </cfRule>
  </conditionalFormatting>
  <conditionalFormatting sqref="AU79">
    <cfRule type="cellIs" dxfId="0" priority="1664" operator="lessThan">
      <formula>20</formula>
    </cfRule>
    <cfRule type="cellIs" dxfId="1" priority="1085" operator="greaterThan">
      <formula>120</formula>
    </cfRule>
    <cfRule type="containsText" dxfId="2" priority="506" operator="between" text="库存为">
      <formula>NOT(ISERROR(SEARCH("库存为",AU79)))</formula>
    </cfRule>
  </conditionalFormatting>
  <conditionalFormatting sqref="AU80">
    <cfRule type="cellIs" dxfId="0" priority="1663" operator="lessThan">
      <formula>20</formula>
    </cfRule>
    <cfRule type="cellIs" dxfId="1" priority="1084" operator="greaterThan">
      <formula>120</formula>
    </cfRule>
    <cfRule type="containsText" dxfId="2" priority="505" operator="between" text="库存为">
      <formula>NOT(ISERROR(SEARCH("库存为",AU80)))</formula>
    </cfRule>
  </conditionalFormatting>
  <conditionalFormatting sqref="AU81">
    <cfRule type="cellIs" dxfId="0" priority="1662" operator="lessThan">
      <formula>20</formula>
    </cfRule>
    <cfRule type="cellIs" dxfId="1" priority="1083" operator="greaterThan">
      <formula>120</formula>
    </cfRule>
    <cfRule type="containsText" dxfId="2" priority="504" operator="between" text="库存为">
      <formula>NOT(ISERROR(SEARCH("库存为",AU81)))</formula>
    </cfRule>
  </conditionalFormatting>
  <conditionalFormatting sqref="AU82">
    <cfRule type="cellIs" dxfId="0" priority="1661" operator="lessThan">
      <formula>20</formula>
    </cfRule>
    <cfRule type="cellIs" dxfId="1" priority="1082" operator="greaterThan">
      <formula>120</formula>
    </cfRule>
    <cfRule type="containsText" dxfId="2" priority="503" operator="between" text="库存为">
      <formula>NOT(ISERROR(SEARCH("库存为",AU82)))</formula>
    </cfRule>
  </conditionalFormatting>
  <conditionalFormatting sqref="AU83">
    <cfRule type="cellIs" dxfId="0" priority="1660" operator="lessThan">
      <formula>20</formula>
    </cfRule>
    <cfRule type="cellIs" dxfId="1" priority="1081" operator="greaterThan">
      <formula>120</formula>
    </cfRule>
    <cfRule type="containsText" dxfId="2" priority="502" operator="between" text="库存为">
      <formula>NOT(ISERROR(SEARCH("库存为",AU83)))</formula>
    </cfRule>
  </conditionalFormatting>
  <conditionalFormatting sqref="AU84">
    <cfRule type="cellIs" dxfId="0" priority="1659" operator="lessThan">
      <formula>20</formula>
    </cfRule>
    <cfRule type="cellIs" dxfId="1" priority="1080" operator="greaterThan">
      <formula>120</formula>
    </cfRule>
    <cfRule type="containsText" dxfId="2" priority="501" operator="between" text="库存为">
      <formula>NOT(ISERROR(SEARCH("库存为",AU84)))</formula>
    </cfRule>
  </conditionalFormatting>
  <conditionalFormatting sqref="AU85">
    <cfRule type="cellIs" dxfId="0" priority="1658" operator="lessThan">
      <formula>20</formula>
    </cfRule>
    <cfRule type="cellIs" dxfId="1" priority="1079" operator="greaterThan">
      <formula>120</formula>
    </cfRule>
    <cfRule type="containsText" dxfId="2" priority="500" operator="between" text="库存为">
      <formula>NOT(ISERROR(SEARCH("库存为",AU85)))</formula>
    </cfRule>
  </conditionalFormatting>
  <conditionalFormatting sqref="AU86">
    <cfRule type="cellIs" dxfId="0" priority="1657" operator="lessThan">
      <formula>20</formula>
    </cfRule>
    <cfRule type="cellIs" dxfId="1" priority="1078" operator="greaterThan">
      <formula>120</formula>
    </cfRule>
    <cfRule type="containsText" dxfId="2" priority="499" operator="between" text="库存为">
      <formula>NOT(ISERROR(SEARCH("库存为",AU86)))</formula>
    </cfRule>
  </conditionalFormatting>
  <conditionalFormatting sqref="AU87">
    <cfRule type="cellIs" dxfId="0" priority="1656" operator="lessThan">
      <formula>20</formula>
    </cfRule>
    <cfRule type="cellIs" dxfId="1" priority="1077" operator="greaterThan">
      <formula>120</formula>
    </cfRule>
    <cfRule type="containsText" dxfId="2" priority="498" operator="between" text="库存为">
      <formula>NOT(ISERROR(SEARCH("库存为",AU87)))</formula>
    </cfRule>
  </conditionalFormatting>
  <conditionalFormatting sqref="AU88">
    <cfRule type="cellIs" dxfId="0" priority="1655" operator="lessThan">
      <formula>20</formula>
    </cfRule>
    <cfRule type="cellIs" dxfId="1" priority="1076" operator="greaterThan">
      <formula>120</formula>
    </cfRule>
    <cfRule type="containsText" dxfId="2" priority="497" operator="between" text="库存为">
      <formula>NOT(ISERROR(SEARCH("库存为",AU88)))</formula>
    </cfRule>
  </conditionalFormatting>
  <conditionalFormatting sqref="AU89">
    <cfRule type="cellIs" dxfId="0" priority="1654" operator="lessThan">
      <formula>20</formula>
    </cfRule>
    <cfRule type="cellIs" dxfId="1" priority="1075" operator="greaterThan">
      <formula>120</formula>
    </cfRule>
    <cfRule type="containsText" dxfId="2" priority="496" operator="between" text="库存为">
      <formula>NOT(ISERROR(SEARCH("库存为",AU89)))</formula>
    </cfRule>
  </conditionalFormatting>
  <conditionalFormatting sqref="AU90">
    <cfRule type="cellIs" dxfId="0" priority="1653" operator="lessThan">
      <formula>20</formula>
    </cfRule>
    <cfRule type="cellIs" dxfId="1" priority="1074" operator="greaterThan">
      <formula>120</formula>
    </cfRule>
    <cfRule type="containsText" dxfId="2" priority="495" operator="between" text="库存为">
      <formula>NOT(ISERROR(SEARCH("库存为",AU90)))</formula>
    </cfRule>
  </conditionalFormatting>
  <conditionalFormatting sqref="AU91">
    <cfRule type="cellIs" dxfId="0" priority="1652" operator="lessThan">
      <formula>20</formula>
    </cfRule>
    <cfRule type="cellIs" dxfId="1" priority="1073" operator="greaterThan">
      <formula>120</formula>
    </cfRule>
    <cfRule type="containsText" dxfId="2" priority="494" operator="between" text="库存为">
      <formula>NOT(ISERROR(SEARCH("库存为",AU91)))</formula>
    </cfRule>
  </conditionalFormatting>
  <conditionalFormatting sqref="AU92">
    <cfRule type="cellIs" dxfId="0" priority="1651" operator="lessThan">
      <formula>20</formula>
    </cfRule>
    <cfRule type="cellIs" dxfId="1" priority="1072" operator="greaterThan">
      <formula>120</formula>
    </cfRule>
    <cfRule type="containsText" dxfId="2" priority="493" operator="between" text="库存为">
      <formula>NOT(ISERROR(SEARCH("库存为",AU92)))</formula>
    </cfRule>
  </conditionalFormatting>
  <conditionalFormatting sqref="AU93">
    <cfRule type="cellIs" dxfId="0" priority="1650" operator="lessThan">
      <formula>20</formula>
    </cfRule>
    <cfRule type="cellIs" dxfId="1" priority="1071" operator="greaterThan">
      <formula>120</formula>
    </cfRule>
    <cfRule type="containsText" dxfId="2" priority="492" operator="between" text="库存为">
      <formula>NOT(ISERROR(SEARCH("库存为",AU93)))</formula>
    </cfRule>
  </conditionalFormatting>
  <conditionalFormatting sqref="AU94">
    <cfRule type="cellIs" dxfId="0" priority="1649" operator="lessThan">
      <formula>20</formula>
    </cfRule>
    <cfRule type="cellIs" dxfId="1" priority="1070" operator="greaterThan">
      <formula>120</formula>
    </cfRule>
    <cfRule type="containsText" dxfId="2" priority="491" operator="between" text="库存为">
      <formula>NOT(ISERROR(SEARCH("库存为",AU94)))</formula>
    </cfRule>
  </conditionalFormatting>
  <conditionalFormatting sqref="AU95">
    <cfRule type="cellIs" dxfId="0" priority="1648" operator="lessThan">
      <formula>20</formula>
    </cfRule>
    <cfRule type="cellIs" dxfId="1" priority="1069" operator="greaterThan">
      <formula>120</formula>
    </cfRule>
    <cfRule type="containsText" dxfId="2" priority="490" operator="between" text="库存为">
      <formula>NOT(ISERROR(SEARCH("库存为",AU95)))</formula>
    </cfRule>
  </conditionalFormatting>
  <conditionalFormatting sqref="AU96">
    <cfRule type="cellIs" dxfId="0" priority="1647" operator="lessThan">
      <formula>20</formula>
    </cfRule>
    <cfRule type="cellIs" dxfId="1" priority="1068" operator="greaterThan">
      <formula>120</formula>
    </cfRule>
    <cfRule type="containsText" dxfId="2" priority="489" operator="between" text="库存为">
      <formula>NOT(ISERROR(SEARCH("库存为",AU96)))</formula>
    </cfRule>
  </conditionalFormatting>
  <conditionalFormatting sqref="AU97">
    <cfRule type="cellIs" dxfId="0" priority="1646" operator="lessThan">
      <formula>20</formula>
    </cfRule>
    <cfRule type="cellIs" dxfId="1" priority="1067" operator="greaterThan">
      <formula>120</formula>
    </cfRule>
    <cfRule type="containsText" dxfId="2" priority="488" operator="between" text="库存为">
      <formula>NOT(ISERROR(SEARCH("库存为",AU97)))</formula>
    </cfRule>
  </conditionalFormatting>
  <conditionalFormatting sqref="AU98">
    <cfRule type="cellIs" dxfId="0" priority="1645" operator="lessThan">
      <formula>20</formula>
    </cfRule>
    <cfRule type="cellIs" dxfId="1" priority="1066" operator="greaterThan">
      <formula>120</formula>
    </cfRule>
    <cfRule type="containsText" dxfId="2" priority="487" operator="between" text="库存为">
      <formula>NOT(ISERROR(SEARCH("库存为",AU98)))</formula>
    </cfRule>
  </conditionalFormatting>
  <conditionalFormatting sqref="AU99">
    <cfRule type="cellIs" dxfId="0" priority="1644" operator="lessThan">
      <formula>20</formula>
    </cfRule>
    <cfRule type="cellIs" dxfId="1" priority="1065" operator="greaterThan">
      <formula>120</formula>
    </cfRule>
    <cfRule type="containsText" dxfId="2" priority="486" operator="between" text="库存为">
      <formula>NOT(ISERROR(SEARCH("库存为",AU99)))</formula>
    </cfRule>
  </conditionalFormatting>
  <conditionalFormatting sqref="AU100">
    <cfRule type="cellIs" dxfId="0" priority="1643" operator="lessThan">
      <formula>20</formula>
    </cfRule>
    <cfRule type="cellIs" dxfId="1" priority="1064" operator="greaterThan">
      <formula>120</formula>
    </cfRule>
    <cfRule type="containsText" dxfId="2" priority="485" operator="between" text="库存为">
      <formula>NOT(ISERROR(SEARCH("库存为",AU100)))</formula>
    </cfRule>
  </conditionalFormatting>
  <conditionalFormatting sqref="AU101">
    <cfRule type="cellIs" dxfId="0" priority="1642" operator="lessThan">
      <formula>20</formula>
    </cfRule>
    <cfRule type="cellIs" dxfId="1" priority="1063" operator="greaterThan">
      <formula>120</formula>
    </cfRule>
    <cfRule type="containsText" dxfId="2" priority="484" operator="between" text="库存为">
      <formula>NOT(ISERROR(SEARCH("库存为",AU101)))</formula>
    </cfRule>
  </conditionalFormatting>
  <conditionalFormatting sqref="AU102">
    <cfRule type="cellIs" dxfId="0" priority="1641" operator="lessThan">
      <formula>20</formula>
    </cfRule>
    <cfRule type="cellIs" dxfId="1" priority="1062" operator="greaterThan">
      <formula>120</formula>
    </cfRule>
    <cfRule type="containsText" dxfId="2" priority="483" operator="between" text="库存为">
      <formula>NOT(ISERROR(SEARCH("库存为",AU102)))</formula>
    </cfRule>
  </conditionalFormatting>
  <conditionalFormatting sqref="AU103">
    <cfRule type="cellIs" dxfId="0" priority="1640" operator="lessThan">
      <formula>20</formula>
    </cfRule>
    <cfRule type="cellIs" dxfId="1" priority="1061" operator="greaterThan">
      <formula>120</formula>
    </cfRule>
    <cfRule type="containsText" dxfId="2" priority="482" operator="between" text="库存为">
      <formula>NOT(ISERROR(SEARCH("库存为",AU103)))</formula>
    </cfRule>
  </conditionalFormatting>
  <conditionalFormatting sqref="AU104">
    <cfRule type="cellIs" dxfId="0" priority="1639" operator="lessThan">
      <formula>20</formula>
    </cfRule>
    <cfRule type="cellIs" dxfId="1" priority="1060" operator="greaterThan">
      <formula>120</formula>
    </cfRule>
    <cfRule type="containsText" dxfId="2" priority="481" operator="between" text="库存为">
      <formula>NOT(ISERROR(SEARCH("库存为",AU104)))</formula>
    </cfRule>
  </conditionalFormatting>
  <conditionalFormatting sqref="AU105">
    <cfRule type="cellIs" dxfId="0" priority="1638" operator="lessThan">
      <formula>20</formula>
    </cfRule>
    <cfRule type="cellIs" dxfId="1" priority="1059" operator="greaterThan">
      <formula>120</formula>
    </cfRule>
    <cfRule type="containsText" dxfId="2" priority="480" operator="between" text="库存为">
      <formula>NOT(ISERROR(SEARCH("库存为",AU105)))</formula>
    </cfRule>
  </conditionalFormatting>
  <conditionalFormatting sqref="AU106">
    <cfRule type="cellIs" dxfId="0" priority="1637" operator="lessThan">
      <formula>20</formula>
    </cfRule>
    <cfRule type="cellIs" dxfId="1" priority="1058" operator="greaterThan">
      <formula>120</formula>
    </cfRule>
    <cfRule type="containsText" dxfId="2" priority="479" operator="between" text="库存为">
      <formula>NOT(ISERROR(SEARCH("库存为",AU106)))</formula>
    </cfRule>
  </conditionalFormatting>
  <conditionalFormatting sqref="AU107">
    <cfRule type="cellIs" dxfId="0" priority="1636" operator="lessThan">
      <formula>20</formula>
    </cfRule>
    <cfRule type="cellIs" dxfId="1" priority="1057" operator="greaterThan">
      <formula>120</formula>
    </cfRule>
    <cfRule type="containsText" dxfId="2" priority="478" operator="between" text="库存为">
      <formula>NOT(ISERROR(SEARCH("库存为",AU107)))</formula>
    </cfRule>
  </conditionalFormatting>
  <conditionalFormatting sqref="AU108">
    <cfRule type="cellIs" dxfId="0" priority="1635" operator="lessThan">
      <formula>20</formula>
    </cfRule>
    <cfRule type="cellIs" dxfId="1" priority="1056" operator="greaterThan">
      <formula>120</formula>
    </cfRule>
    <cfRule type="containsText" dxfId="2" priority="477" operator="between" text="库存为">
      <formula>NOT(ISERROR(SEARCH("库存为",AU108)))</formula>
    </cfRule>
  </conditionalFormatting>
  <conditionalFormatting sqref="AU109">
    <cfRule type="cellIs" dxfId="0" priority="1634" operator="lessThan">
      <formula>20</formula>
    </cfRule>
    <cfRule type="cellIs" dxfId="1" priority="1055" operator="greaterThan">
      <formula>120</formula>
    </cfRule>
    <cfRule type="containsText" dxfId="2" priority="476" operator="between" text="库存为">
      <formula>NOT(ISERROR(SEARCH("库存为",AU109)))</formula>
    </cfRule>
  </conditionalFormatting>
  <conditionalFormatting sqref="AU110">
    <cfRule type="cellIs" dxfId="0" priority="1633" operator="lessThan">
      <formula>20</formula>
    </cfRule>
    <cfRule type="cellIs" dxfId="1" priority="1054" operator="greaterThan">
      <formula>120</formula>
    </cfRule>
    <cfRule type="containsText" dxfId="2" priority="475" operator="between" text="库存为">
      <formula>NOT(ISERROR(SEARCH("库存为",AU110)))</formula>
    </cfRule>
  </conditionalFormatting>
  <conditionalFormatting sqref="AU111">
    <cfRule type="cellIs" dxfId="0" priority="1632" operator="lessThan">
      <formula>20</formula>
    </cfRule>
    <cfRule type="cellIs" dxfId="1" priority="1053" operator="greaterThan">
      <formula>120</formula>
    </cfRule>
    <cfRule type="containsText" dxfId="2" priority="474" operator="between" text="库存为">
      <formula>NOT(ISERROR(SEARCH("库存为",AU111)))</formula>
    </cfRule>
  </conditionalFormatting>
  <conditionalFormatting sqref="AU112">
    <cfRule type="cellIs" dxfId="0" priority="1631" operator="lessThan">
      <formula>20</formula>
    </cfRule>
    <cfRule type="cellIs" dxfId="1" priority="1052" operator="greaterThan">
      <formula>120</formula>
    </cfRule>
    <cfRule type="containsText" dxfId="2" priority="473" operator="between" text="库存为">
      <formula>NOT(ISERROR(SEARCH("库存为",AU112)))</formula>
    </cfRule>
  </conditionalFormatting>
  <conditionalFormatting sqref="AU113">
    <cfRule type="cellIs" dxfId="0" priority="1630" operator="lessThan">
      <formula>20</formula>
    </cfRule>
    <cfRule type="cellIs" dxfId="1" priority="1051" operator="greaterThan">
      <formula>120</formula>
    </cfRule>
    <cfRule type="containsText" dxfId="2" priority="472" operator="between" text="库存为">
      <formula>NOT(ISERROR(SEARCH("库存为",AU113)))</formula>
    </cfRule>
  </conditionalFormatting>
  <conditionalFormatting sqref="AU114">
    <cfRule type="cellIs" dxfId="0" priority="1629" operator="lessThan">
      <formula>20</formula>
    </cfRule>
    <cfRule type="cellIs" dxfId="1" priority="1050" operator="greaterThan">
      <formula>120</formula>
    </cfRule>
    <cfRule type="containsText" dxfId="2" priority="471" operator="between" text="库存为">
      <formula>NOT(ISERROR(SEARCH("库存为",AU114)))</formula>
    </cfRule>
  </conditionalFormatting>
  <conditionalFormatting sqref="AU115">
    <cfRule type="cellIs" dxfId="0" priority="1628" operator="lessThan">
      <formula>20</formula>
    </cfRule>
    <cfRule type="cellIs" dxfId="1" priority="1049" operator="greaterThan">
      <formula>120</formula>
    </cfRule>
    <cfRule type="containsText" dxfId="2" priority="470" operator="between" text="库存为">
      <formula>NOT(ISERROR(SEARCH("库存为",AU115)))</formula>
    </cfRule>
  </conditionalFormatting>
  <conditionalFormatting sqref="AU116">
    <cfRule type="cellIs" dxfId="0" priority="1627" operator="lessThan">
      <formula>20</formula>
    </cfRule>
    <cfRule type="cellIs" dxfId="1" priority="1048" operator="greaterThan">
      <formula>120</formula>
    </cfRule>
    <cfRule type="containsText" dxfId="2" priority="469" operator="between" text="库存为">
      <formula>NOT(ISERROR(SEARCH("库存为",AU116)))</formula>
    </cfRule>
  </conditionalFormatting>
  <conditionalFormatting sqref="AU117">
    <cfRule type="cellIs" dxfId="0" priority="1626" operator="lessThan">
      <formula>20</formula>
    </cfRule>
    <cfRule type="cellIs" dxfId="1" priority="1047" operator="greaterThan">
      <formula>120</formula>
    </cfRule>
    <cfRule type="containsText" dxfId="2" priority="468" operator="between" text="库存为">
      <formula>NOT(ISERROR(SEARCH("库存为",AU117)))</formula>
    </cfRule>
  </conditionalFormatting>
  <conditionalFormatting sqref="AU118">
    <cfRule type="cellIs" dxfId="0" priority="1625" operator="lessThan">
      <formula>20</formula>
    </cfRule>
    <cfRule type="cellIs" dxfId="1" priority="1046" operator="greaterThan">
      <formula>120</formula>
    </cfRule>
    <cfRule type="containsText" dxfId="2" priority="467" operator="between" text="库存为">
      <formula>NOT(ISERROR(SEARCH("库存为",AU118)))</formula>
    </cfRule>
  </conditionalFormatting>
  <conditionalFormatting sqref="AU119">
    <cfRule type="cellIs" dxfId="0" priority="1624" operator="lessThan">
      <formula>20</formula>
    </cfRule>
    <cfRule type="cellIs" dxfId="1" priority="1045" operator="greaterThan">
      <formula>120</formula>
    </cfRule>
    <cfRule type="containsText" dxfId="2" priority="466" operator="between" text="库存为">
      <formula>NOT(ISERROR(SEARCH("库存为",AU119)))</formula>
    </cfRule>
  </conditionalFormatting>
  <conditionalFormatting sqref="AU120">
    <cfRule type="cellIs" dxfId="0" priority="1623" operator="lessThan">
      <formula>20</formula>
    </cfRule>
    <cfRule type="cellIs" dxfId="1" priority="1044" operator="greaterThan">
      <formula>120</formula>
    </cfRule>
    <cfRule type="containsText" dxfId="2" priority="465" operator="between" text="库存为">
      <formula>NOT(ISERROR(SEARCH("库存为",AU120)))</formula>
    </cfRule>
  </conditionalFormatting>
  <conditionalFormatting sqref="AU121">
    <cfRule type="cellIs" dxfId="0" priority="1622" operator="lessThan">
      <formula>20</formula>
    </cfRule>
    <cfRule type="cellIs" dxfId="1" priority="1043" operator="greaterThan">
      <formula>120</formula>
    </cfRule>
    <cfRule type="containsText" dxfId="2" priority="464" operator="between" text="库存为">
      <formula>NOT(ISERROR(SEARCH("库存为",AU121)))</formula>
    </cfRule>
  </conditionalFormatting>
  <conditionalFormatting sqref="AU122">
    <cfRule type="cellIs" dxfId="0" priority="1621" operator="lessThan">
      <formula>20</formula>
    </cfRule>
    <cfRule type="cellIs" dxfId="1" priority="1042" operator="greaterThan">
      <formula>120</formula>
    </cfRule>
    <cfRule type="containsText" dxfId="2" priority="463" operator="between" text="库存为">
      <formula>NOT(ISERROR(SEARCH("库存为",AU122)))</formula>
    </cfRule>
  </conditionalFormatting>
  <conditionalFormatting sqref="AU123">
    <cfRule type="cellIs" dxfId="0" priority="1620" operator="lessThan">
      <formula>20</formula>
    </cfRule>
    <cfRule type="cellIs" dxfId="1" priority="1041" operator="greaterThan">
      <formula>120</formula>
    </cfRule>
    <cfRule type="containsText" dxfId="2" priority="462" operator="between" text="库存为">
      <formula>NOT(ISERROR(SEARCH("库存为",AU123)))</formula>
    </cfRule>
  </conditionalFormatting>
  <conditionalFormatting sqref="AU124">
    <cfRule type="cellIs" dxfId="0" priority="1619" operator="lessThan">
      <formula>20</formula>
    </cfRule>
    <cfRule type="cellIs" dxfId="1" priority="1040" operator="greaterThan">
      <formula>120</formula>
    </cfRule>
    <cfRule type="containsText" dxfId="2" priority="461" operator="between" text="库存为">
      <formula>NOT(ISERROR(SEARCH("库存为",AU124)))</formula>
    </cfRule>
  </conditionalFormatting>
  <conditionalFormatting sqref="AU125">
    <cfRule type="cellIs" dxfId="0" priority="1618" operator="lessThan">
      <formula>20</formula>
    </cfRule>
    <cfRule type="cellIs" dxfId="1" priority="1039" operator="greaterThan">
      <formula>120</formula>
    </cfRule>
    <cfRule type="containsText" dxfId="2" priority="460" operator="between" text="库存为">
      <formula>NOT(ISERROR(SEARCH("库存为",AU125)))</formula>
    </cfRule>
  </conditionalFormatting>
  <conditionalFormatting sqref="AU126">
    <cfRule type="cellIs" dxfId="0" priority="1617" operator="lessThan">
      <formula>20</formula>
    </cfRule>
    <cfRule type="cellIs" dxfId="1" priority="1038" operator="greaterThan">
      <formula>120</formula>
    </cfRule>
    <cfRule type="containsText" dxfId="2" priority="459" operator="between" text="库存为">
      <formula>NOT(ISERROR(SEARCH("库存为",AU126)))</formula>
    </cfRule>
  </conditionalFormatting>
  <conditionalFormatting sqref="AU127">
    <cfRule type="cellIs" dxfId="0" priority="1616" operator="lessThan">
      <formula>20</formula>
    </cfRule>
    <cfRule type="cellIs" dxfId="1" priority="1037" operator="greaterThan">
      <formula>120</formula>
    </cfRule>
    <cfRule type="containsText" dxfId="2" priority="458" operator="between" text="库存为">
      <formula>NOT(ISERROR(SEARCH("库存为",AU127)))</formula>
    </cfRule>
  </conditionalFormatting>
  <conditionalFormatting sqref="AU128">
    <cfRule type="cellIs" dxfId="0" priority="1615" operator="lessThan">
      <formula>20</formula>
    </cfRule>
    <cfRule type="cellIs" dxfId="1" priority="1036" operator="greaterThan">
      <formula>120</formula>
    </cfRule>
    <cfRule type="containsText" dxfId="2" priority="457" operator="between" text="库存为">
      <formula>NOT(ISERROR(SEARCH("库存为",AU128)))</formula>
    </cfRule>
  </conditionalFormatting>
  <conditionalFormatting sqref="AU129">
    <cfRule type="cellIs" dxfId="0" priority="1614" operator="lessThan">
      <formula>20</formula>
    </cfRule>
    <cfRule type="cellIs" dxfId="1" priority="1035" operator="greaterThan">
      <formula>120</formula>
    </cfRule>
    <cfRule type="containsText" dxfId="2" priority="456" operator="between" text="库存为">
      <formula>NOT(ISERROR(SEARCH("库存为",AU129)))</formula>
    </cfRule>
  </conditionalFormatting>
  <conditionalFormatting sqref="AU130">
    <cfRule type="cellIs" dxfId="0" priority="1613" operator="lessThan">
      <formula>20</formula>
    </cfRule>
    <cfRule type="cellIs" dxfId="1" priority="1034" operator="greaterThan">
      <formula>120</formula>
    </cfRule>
    <cfRule type="containsText" dxfId="2" priority="455" operator="between" text="库存为">
      <formula>NOT(ISERROR(SEARCH("库存为",AU130)))</formula>
    </cfRule>
  </conditionalFormatting>
  <conditionalFormatting sqref="AU131">
    <cfRule type="cellIs" dxfId="0" priority="1612" operator="lessThan">
      <formula>20</formula>
    </cfRule>
    <cfRule type="cellIs" dxfId="1" priority="1033" operator="greaterThan">
      <formula>120</formula>
    </cfRule>
    <cfRule type="containsText" dxfId="2" priority="454" operator="between" text="库存为">
      <formula>NOT(ISERROR(SEARCH("库存为",AU131)))</formula>
    </cfRule>
  </conditionalFormatting>
  <conditionalFormatting sqref="AU132">
    <cfRule type="cellIs" dxfId="0" priority="1611" operator="lessThan">
      <formula>20</formula>
    </cfRule>
    <cfRule type="cellIs" dxfId="1" priority="1032" operator="greaterThan">
      <formula>120</formula>
    </cfRule>
    <cfRule type="containsText" dxfId="2" priority="453" operator="between" text="库存为">
      <formula>NOT(ISERROR(SEARCH("库存为",AU132)))</formula>
    </cfRule>
  </conditionalFormatting>
  <conditionalFormatting sqref="AU133">
    <cfRule type="cellIs" dxfId="0" priority="1610" operator="lessThan">
      <formula>20</formula>
    </cfRule>
    <cfRule type="cellIs" dxfId="1" priority="1031" operator="greaterThan">
      <formula>120</formula>
    </cfRule>
    <cfRule type="containsText" dxfId="2" priority="452" operator="between" text="库存为">
      <formula>NOT(ISERROR(SEARCH("库存为",AU133)))</formula>
    </cfRule>
  </conditionalFormatting>
  <conditionalFormatting sqref="AU134">
    <cfRule type="cellIs" dxfId="0" priority="1609" operator="lessThan">
      <formula>20</formula>
    </cfRule>
    <cfRule type="cellIs" dxfId="1" priority="1030" operator="greaterThan">
      <formula>120</formula>
    </cfRule>
    <cfRule type="containsText" dxfId="2" priority="451" operator="between" text="库存为">
      <formula>NOT(ISERROR(SEARCH("库存为",AU134)))</formula>
    </cfRule>
  </conditionalFormatting>
  <conditionalFormatting sqref="AU135">
    <cfRule type="cellIs" dxfId="0" priority="1608" operator="lessThan">
      <formula>20</formula>
    </cfRule>
    <cfRule type="cellIs" dxfId="1" priority="1029" operator="greaterThan">
      <formula>120</formula>
    </cfRule>
    <cfRule type="containsText" dxfId="2" priority="450" operator="between" text="库存为">
      <formula>NOT(ISERROR(SEARCH("库存为",AU135)))</formula>
    </cfRule>
  </conditionalFormatting>
  <conditionalFormatting sqref="AU136">
    <cfRule type="cellIs" dxfId="0" priority="1607" operator="lessThan">
      <formula>20</formula>
    </cfRule>
    <cfRule type="cellIs" dxfId="1" priority="1028" operator="greaterThan">
      <formula>120</formula>
    </cfRule>
    <cfRule type="containsText" dxfId="2" priority="449" operator="between" text="库存为">
      <formula>NOT(ISERROR(SEARCH("库存为",AU136)))</formula>
    </cfRule>
  </conditionalFormatting>
  <conditionalFormatting sqref="AU137">
    <cfRule type="cellIs" dxfId="0" priority="1606" operator="lessThan">
      <formula>20</formula>
    </cfRule>
    <cfRule type="cellIs" dxfId="1" priority="1027" operator="greaterThan">
      <formula>120</formula>
    </cfRule>
    <cfRule type="containsText" dxfId="2" priority="448" operator="between" text="库存为">
      <formula>NOT(ISERROR(SEARCH("库存为",AU137)))</formula>
    </cfRule>
  </conditionalFormatting>
  <conditionalFormatting sqref="AU138">
    <cfRule type="cellIs" dxfId="0" priority="1605" operator="lessThan">
      <formula>20</formula>
    </cfRule>
    <cfRule type="cellIs" dxfId="1" priority="1026" operator="greaterThan">
      <formula>120</formula>
    </cfRule>
    <cfRule type="containsText" dxfId="2" priority="447" operator="between" text="库存为">
      <formula>NOT(ISERROR(SEARCH("库存为",AU138)))</formula>
    </cfRule>
  </conditionalFormatting>
  <conditionalFormatting sqref="AU139">
    <cfRule type="cellIs" dxfId="0" priority="1604" operator="lessThan">
      <formula>20</formula>
    </cfRule>
    <cfRule type="cellIs" dxfId="1" priority="1025" operator="greaterThan">
      <formula>120</formula>
    </cfRule>
    <cfRule type="containsText" dxfId="2" priority="446" operator="between" text="库存为">
      <formula>NOT(ISERROR(SEARCH("库存为",AU139)))</formula>
    </cfRule>
  </conditionalFormatting>
  <conditionalFormatting sqref="AU140">
    <cfRule type="cellIs" dxfId="0" priority="1603" operator="lessThan">
      <formula>20</formula>
    </cfRule>
    <cfRule type="cellIs" dxfId="1" priority="1024" operator="greaterThan">
      <formula>120</formula>
    </cfRule>
    <cfRule type="containsText" dxfId="2" priority="445" operator="between" text="库存为">
      <formula>NOT(ISERROR(SEARCH("库存为",AU140)))</formula>
    </cfRule>
  </conditionalFormatting>
  <conditionalFormatting sqref="AU141">
    <cfRule type="cellIs" dxfId="0" priority="1602" operator="lessThan">
      <formula>20</formula>
    </cfRule>
    <cfRule type="cellIs" dxfId="1" priority="1023" operator="greaterThan">
      <formula>120</formula>
    </cfRule>
    <cfRule type="containsText" dxfId="2" priority="444" operator="between" text="库存为">
      <formula>NOT(ISERROR(SEARCH("库存为",AU141)))</formula>
    </cfRule>
  </conditionalFormatting>
  <conditionalFormatting sqref="AU142">
    <cfRule type="cellIs" dxfId="0" priority="1601" operator="lessThan">
      <formula>20</formula>
    </cfRule>
    <cfRule type="cellIs" dxfId="1" priority="1022" operator="greaterThan">
      <formula>120</formula>
    </cfRule>
    <cfRule type="containsText" dxfId="2" priority="443" operator="between" text="库存为">
      <formula>NOT(ISERROR(SEARCH("库存为",AU142)))</formula>
    </cfRule>
  </conditionalFormatting>
  <conditionalFormatting sqref="AU143">
    <cfRule type="cellIs" dxfId="0" priority="1600" operator="lessThan">
      <formula>20</formula>
    </cfRule>
    <cfRule type="cellIs" dxfId="1" priority="1021" operator="greaterThan">
      <formula>120</formula>
    </cfRule>
    <cfRule type="containsText" dxfId="2" priority="442" operator="between" text="库存为">
      <formula>NOT(ISERROR(SEARCH("库存为",AU143)))</formula>
    </cfRule>
  </conditionalFormatting>
  <conditionalFormatting sqref="AU144">
    <cfRule type="cellIs" dxfId="0" priority="1599" operator="lessThan">
      <formula>20</formula>
    </cfRule>
    <cfRule type="cellIs" dxfId="1" priority="1020" operator="greaterThan">
      <formula>120</formula>
    </cfRule>
    <cfRule type="containsText" dxfId="2" priority="441" operator="between" text="库存为">
      <formula>NOT(ISERROR(SEARCH("库存为",AU144)))</formula>
    </cfRule>
  </conditionalFormatting>
  <conditionalFormatting sqref="AU145">
    <cfRule type="cellIs" dxfId="0" priority="1598" operator="lessThan">
      <formula>20</formula>
    </cfRule>
    <cfRule type="cellIs" dxfId="1" priority="1019" operator="greaterThan">
      <formula>120</formula>
    </cfRule>
    <cfRule type="containsText" dxfId="2" priority="440" operator="between" text="库存为">
      <formula>NOT(ISERROR(SEARCH("库存为",AU145)))</formula>
    </cfRule>
  </conditionalFormatting>
  <conditionalFormatting sqref="AU146">
    <cfRule type="cellIs" dxfId="0" priority="1597" operator="lessThan">
      <formula>20</formula>
    </cfRule>
    <cfRule type="cellIs" dxfId="1" priority="1018" operator="greaterThan">
      <formula>120</formula>
    </cfRule>
    <cfRule type="containsText" dxfId="2" priority="439" operator="between" text="库存为">
      <formula>NOT(ISERROR(SEARCH("库存为",AU146)))</formula>
    </cfRule>
  </conditionalFormatting>
  <conditionalFormatting sqref="AU147">
    <cfRule type="cellIs" dxfId="0" priority="1596" operator="lessThan">
      <formula>20</formula>
    </cfRule>
    <cfRule type="cellIs" dxfId="1" priority="1017" operator="greaterThan">
      <formula>120</formula>
    </cfRule>
    <cfRule type="containsText" dxfId="2" priority="438" operator="between" text="库存为">
      <formula>NOT(ISERROR(SEARCH("库存为",AU147)))</formula>
    </cfRule>
  </conditionalFormatting>
  <conditionalFormatting sqref="AU148">
    <cfRule type="cellIs" dxfId="0" priority="1595" operator="lessThan">
      <formula>20</formula>
    </cfRule>
    <cfRule type="cellIs" dxfId="1" priority="1016" operator="greaterThan">
      <formula>120</formula>
    </cfRule>
    <cfRule type="containsText" dxfId="2" priority="437" operator="between" text="库存为">
      <formula>NOT(ISERROR(SEARCH("库存为",AU148)))</formula>
    </cfRule>
  </conditionalFormatting>
  <conditionalFormatting sqref="AU149">
    <cfRule type="cellIs" dxfId="0" priority="1594" operator="lessThan">
      <formula>20</formula>
    </cfRule>
    <cfRule type="cellIs" dxfId="1" priority="1015" operator="greaterThan">
      <formula>120</formula>
    </cfRule>
    <cfRule type="containsText" dxfId="2" priority="436" operator="between" text="库存为">
      <formula>NOT(ISERROR(SEARCH("库存为",AU149)))</formula>
    </cfRule>
  </conditionalFormatting>
  <conditionalFormatting sqref="AU150">
    <cfRule type="cellIs" dxfId="0" priority="1593" operator="lessThan">
      <formula>20</formula>
    </cfRule>
    <cfRule type="cellIs" dxfId="1" priority="1014" operator="greaterThan">
      <formula>120</formula>
    </cfRule>
    <cfRule type="containsText" dxfId="2" priority="435" operator="between" text="库存为">
      <formula>NOT(ISERROR(SEARCH("库存为",AU150)))</formula>
    </cfRule>
  </conditionalFormatting>
  <conditionalFormatting sqref="AU151">
    <cfRule type="cellIs" dxfId="0" priority="1592" operator="lessThan">
      <formula>20</formula>
    </cfRule>
    <cfRule type="cellIs" dxfId="1" priority="1013" operator="greaterThan">
      <formula>120</formula>
    </cfRule>
    <cfRule type="containsText" dxfId="2" priority="434" operator="between" text="库存为">
      <formula>NOT(ISERROR(SEARCH("库存为",AU151)))</formula>
    </cfRule>
  </conditionalFormatting>
  <conditionalFormatting sqref="AU152">
    <cfRule type="cellIs" dxfId="0" priority="1591" operator="lessThan">
      <formula>20</formula>
    </cfRule>
    <cfRule type="cellIs" dxfId="1" priority="1012" operator="greaterThan">
      <formula>120</formula>
    </cfRule>
    <cfRule type="containsText" dxfId="2" priority="433" operator="between" text="库存为">
      <formula>NOT(ISERROR(SEARCH("库存为",AU152)))</formula>
    </cfRule>
  </conditionalFormatting>
  <conditionalFormatting sqref="AU153">
    <cfRule type="cellIs" dxfId="0" priority="1590" operator="lessThan">
      <formula>20</formula>
    </cfRule>
    <cfRule type="cellIs" dxfId="1" priority="1011" operator="greaterThan">
      <formula>120</formula>
    </cfRule>
    <cfRule type="containsText" dxfId="2" priority="432" operator="between" text="库存为">
      <formula>NOT(ISERROR(SEARCH("库存为",AU153)))</formula>
    </cfRule>
  </conditionalFormatting>
  <conditionalFormatting sqref="AU154">
    <cfRule type="cellIs" dxfId="0" priority="1589" operator="lessThan">
      <formula>20</formula>
    </cfRule>
    <cfRule type="cellIs" dxfId="1" priority="1010" operator="greaterThan">
      <formula>120</formula>
    </cfRule>
    <cfRule type="containsText" dxfId="2" priority="431" operator="between" text="库存为">
      <formula>NOT(ISERROR(SEARCH("库存为",AU154)))</formula>
    </cfRule>
  </conditionalFormatting>
  <conditionalFormatting sqref="AU155">
    <cfRule type="cellIs" dxfId="0" priority="1588" operator="lessThan">
      <formula>20</formula>
    </cfRule>
    <cfRule type="cellIs" dxfId="1" priority="1009" operator="greaterThan">
      <formula>120</formula>
    </cfRule>
    <cfRule type="containsText" dxfId="2" priority="430" operator="between" text="库存为">
      <formula>NOT(ISERROR(SEARCH("库存为",AU155)))</formula>
    </cfRule>
  </conditionalFormatting>
  <conditionalFormatting sqref="AU156">
    <cfRule type="cellIs" dxfId="0" priority="1587" operator="lessThan">
      <formula>20</formula>
    </cfRule>
    <cfRule type="cellIs" dxfId="1" priority="1008" operator="greaterThan">
      <formula>120</formula>
    </cfRule>
    <cfRule type="containsText" dxfId="2" priority="429" operator="between" text="库存为">
      <formula>NOT(ISERROR(SEARCH("库存为",AU156)))</formula>
    </cfRule>
  </conditionalFormatting>
  <conditionalFormatting sqref="AU157">
    <cfRule type="cellIs" dxfId="0" priority="1586" operator="lessThan">
      <formula>20</formula>
    </cfRule>
    <cfRule type="cellIs" dxfId="1" priority="1007" operator="greaterThan">
      <formula>120</formula>
    </cfRule>
    <cfRule type="containsText" dxfId="2" priority="428" operator="between" text="库存为">
      <formula>NOT(ISERROR(SEARCH("库存为",AU157)))</formula>
    </cfRule>
  </conditionalFormatting>
  <conditionalFormatting sqref="AU158">
    <cfRule type="cellIs" dxfId="0" priority="1585" operator="lessThan">
      <formula>20</formula>
    </cfRule>
    <cfRule type="cellIs" dxfId="1" priority="1006" operator="greaterThan">
      <formula>120</formula>
    </cfRule>
    <cfRule type="containsText" dxfId="2" priority="427" operator="between" text="库存为">
      <formula>NOT(ISERROR(SEARCH("库存为",AU158)))</formula>
    </cfRule>
  </conditionalFormatting>
  <conditionalFormatting sqref="AU159">
    <cfRule type="cellIs" dxfId="0" priority="1584" operator="lessThan">
      <formula>20</formula>
    </cfRule>
    <cfRule type="cellIs" dxfId="1" priority="1005" operator="greaterThan">
      <formula>120</formula>
    </cfRule>
    <cfRule type="containsText" dxfId="2" priority="426" operator="between" text="库存为">
      <formula>NOT(ISERROR(SEARCH("库存为",AU159)))</formula>
    </cfRule>
  </conditionalFormatting>
  <conditionalFormatting sqref="AU160">
    <cfRule type="cellIs" dxfId="0" priority="1583" operator="lessThan">
      <formula>20</formula>
    </cfRule>
    <cfRule type="cellIs" dxfId="1" priority="1004" operator="greaterThan">
      <formula>120</formula>
    </cfRule>
    <cfRule type="containsText" dxfId="2" priority="425" operator="between" text="库存为">
      <formula>NOT(ISERROR(SEARCH("库存为",AU160)))</formula>
    </cfRule>
  </conditionalFormatting>
  <conditionalFormatting sqref="AU161">
    <cfRule type="cellIs" dxfId="0" priority="1582" operator="lessThan">
      <formula>20</formula>
    </cfRule>
    <cfRule type="cellIs" dxfId="1" priority="1003" operator="greaterThan">
      <formula>120</formula>
    </cfRule>
    <cfRule type="containsText" dxfId="2" priority="424" operator="between" text="库存为">
      <formula>NOT(ISERROR(SEARCH("库存为",AU161)))</formula>
    </cfRule>
  </conditionalFormatting>
  <conditionalFormatting sqref="AU162">
    <cfRule type="cellIs" dxfId="0" priority="1581" operator="lessThan">
      <formula>20</formula>
    </cfRule>
    <cfRule type="cellIs" dxfId="1" priority="1002" operator="greaterThan">
      <formula>120</formula>
    </cfRule>
    <cfRule type="containsText" dxfId="2" priority="423" operator="between" text="库存为">
      <formula>NOT(ISERROR(SEARCH("库存为",AU162)))</formula>
    </cfRule>
  </conditionalFormatting>
  <conditionalFormatting sqref="AU163">
    <cfRule type="cellIs" dxfId="0" priority="1580" operator="lessThan">
      <formula>20</formula>
    </cfRule>
    <cfRule type="cellIs" dxfId="1" priority="1001" operator="greaterThan">
      <formula>120</formula>
    </cfRule>
    <cfRule type="containsText" dxfId="2" priority="422" operator="between" text="库存为">
      <formula>NOT(ISERROR(SEARCH("库存为",AU163)))</formula>
    </cfRule>
  </conditionalFormatting>
  <conditionalFormatting sqref="AU164">
    <cfRule type="cellIs" dxfId="0" priority="1579" operator="lessThan">
      <formula>20</formula>
    </cfRule>
    <cfRule type="cellIs" dxfId="1" priority="1000" operator="greaterThan">
      <formula>120</formula>
    </cfRule>
    <cfRule type="containsText" dxfId="2" priority="421" operator="between" text="库存为">
      <formula>NOT(ISERROR(SEARCH("库存为",AU164)))</formula>
    </cfRule>
  </conditionalFormatting>
  <conditionalFormatting sqref="AU165">
    <cfRule type="cellIs" dxfId="0" priority="1578" operator="lessThan">
      <formula>20</formula>
    </cfRule>
    <cfRule type="cellIs" dxfId="1" priority="999" operator="greaterThan">
      <formula>120</formula>
    </cfRule>
    <cfRule type="containsText" dxfId="2" priority="420" operator="between" text="库存为">
      <formula>NOT(ISERROR(SEARCH("库存为",AU165)))</formula>
    </cfRule>
  </conditionalFormatting>
  <conditionalFormatting sqref="AU166">
    <cfRule type="cellIs" dxfId="0" priority="1577" operator="lessThan">
      <formula>20</formula>
    </cfRule>
    <cfRule type="cellIs" dxfId="1" priority="998" operator="greaterThan">
      <formula>120</formula>
    </cfRule>
    <cfRule type="containsText" dxfId="2" priority="419" operator="between" text="库存为">
      <formula>NOT(ISERROR(SEARCH("库存为",AU166)))</formula>
    </cfRule>
  </conditionalFormatting>
  <conditionalFormatting sqref="AU167">
    <cfRule type="cellIs" dxfId="0" priority="1576" operator="lessThan">
      <formula>20</formula>
    </cfRule>
    <cfRule type="cellIs" dxfId="1" priority="997" operator="greaterThan">
      <formula>120</formula>
    </cfRule>
    <cfRule type="containsText" dxfId="2" priority="418" operator="between" text="库存为">
      <formula>NOT(ISERROR(SEARCH("库存为",AU167)))</formula>
    </cfRule>
  </conditionalFormatting>
  <conditionalFormatting sqref="AU168">
    <cfRule type="cellIs" dxfId="0" priority="1575" operator="lessThan">
      <formula>20</formula>
    </cfRule>
    <cfRule type="cellIs" dxfId="1" priority="996" operator="greaterThan">
      <formula>120</formula>
    </cfRule>
    <cfRule type="containsText" dxfId="2" priority="417" operator="between" text="库存为">
      <formula>NOT(ISERROR(SEARCH("库存为",AU168)))</formula>
    </cfRule>
  </conditionalFormatting>
  <conditionalFormatting sqref="AU169">
    <cfRule type="cellIs" dxfId="0" priority="1574" operator="lessThan">
      <formula>20</formula>
    </cfRule>
    <cfRule type="cellIs" dxfId="1" priority="995" operator="greaterThan">
      <formula>120</formula>
    </cfRule>
    <cfRule type="containsText" dxfId="2" priority="416" operator="between" text="库存为">
      <formula>NOT(ISERROR(SEARCH("库存为",AU169)))</formula>
    </cfRule>
  </conditionalFormatting>
  <conditionalFormatting sqref="AU170">
    <cfRule type="cellIs" dxfId="0" priority="1573" operator="lessThan">
      <formula>20</formula>
    </cfRule>
    <cfRule type="cellIs" dxfId="1" priority="994" operator="greaterThan">
      <formula>120</formula>
    </cfRule>
    <cfRule type="containsText" dxfId="2" priority="415" operator="between" text="库存为">
      <formula>NOT(ISERROR(SEARCH("库存为",AU170)))</formula>
    </cfRule>
  </conditionalFormatting>
  <conditionalFormatting sqref="AU171">
    <cfRule type="cellIs" dxfId="0" priority="1572" operator="lessThan">
      <formula>20</formula>
    </cfRule>
    <cfRule type="cellIs" dxfId="1" priority="993" operator="greaterThan">
      <formula>120</formula>
    </cfRule>
    <cfRule type="containsText" dxfId="2" priority="414" operator="between" text="库存为">
      <formula>NOT(ISERROR(SEARCH("库存为",AU171)))</formula>
    </cfRule>
  </conditionalFormatting>
  <conditionalFormatting sqref="AU172">
    <cfRule type="cellIs" dxfId="0" priority="1571" operator="lessThan">
      <formula>20</formula>
    </cfRule>
    <cfRule type="cellIs" dxfId="1" priority="992" operator="greaterThan">
      <formula>120</formula>
    </cfRule>
    <cfRule type="containsText" dxfId="2" priority="413" operator="between" text="库存为">
      <formula>NOT(ISERROR(SEARCH("库存为",AU172)))</formula>
    </cfRule>
  </conditionalFormatting>
  <conditionalFormatting sqref="AU173">
    <cfRule type="cellIs" dxfId="0" priority="1570" operator="lessThan">
      <formula>20</formula>
    </cfRule>
    <cfRule type="cellIs" dxfId="1" priority="991" operator="greaterThan">
      <formula>120</formula>
    </cfRule>
    <cfRule type="containsText" dxfId="2" priority="412" operator="between" text="库存为">
      <formula>NOT(ISERROR(SEARCH("库存为",AU173)))</formula>
    </cfRule>
  </conditionalFormatting>
  <conditionalFormatting sqref="AU174">
    <cfRule type="cellIs" dxfId="0" priority="1569" operator="lessThan">
      <formula>20</formula>
    </cfRule>
    <cfRule type="cellIs" dxfId="1" priority="990" operator="greaterThan">
      <formula>120</formula>
    </cfRule>
    <cfRule type="containsText" dxfId="2" priority="411" operator="between" text="库存为">
      <formula>NOT(ISERROR(SEARCH("库存为",AU174)))</formula>
    </cfRule>
  </conditionalFormatting>
  <conditionalFormatting sqref="AU175">
    <cfRule type="cellIs" dxfId="0" priority="1568" operator="lessThan">
      <formula>20</formula>
    </cfRule>
    <cfRule type="cellIs" dxfId="1" priority="989" operator="greaterThan">
      <formula>120</formula>
    </cfRule>
    <cfRule type="containsText" dxfId="2" priority="410" operator="between" text="库存为">
      <formula>NOT(ISERROR(SEARCH("库存为",AU175)))</formula>
    </cfRule>
  </conditionalFormatting>
  <conditionalFormatting sqref="AU176">
    <cfRule type="cellIs" dxfId="0" priority="1567" operator="lessThan">
      <formula>20</formula>
    </cfRule>
    <cfRule type="cellIs" dxfId="1" priority="988" operator="greaterThan">
      <formula>120</formula>
    </cfRule>
    <cfRule type="containsText" dxfId="2" priority="409" operator="between" text="库存为">
      <formula>NOT(ISERROR(SEARCH("库存为",AU176)))</formula>
    </cfRule>
  </conditionalFormatting>
  <conditionalFormatting sqref="AU177">
    <cfRule type="cellIs" dxfId="0" priority="1566" operator="lessThan">
      <formula>20</formula>
    </cfRule>
    <cfRule type="cellIs" dxfId="1" priority="987" operator="greaterThan">
      <formula>120</formula>
    </cfRule>
    <cfRule type="containsText" dxfId="2" priority="408" operator="between" text="库存为">
      <formula>NOT(ISERROR(SEARCH("库存为",AU177)))</formula>
    </cfRule>
  </conditionalFormatting>
  <conditionalFormatting sqref="AU178">
    <cfRule type="cellIs" dxfId="0" priority="1565" operator="lessThan">
      <formula>20</formula>
    </cfRule>
    <cfRule type="cellIs" dxfId="1" priority="986" operator="greaterThan">
      <formula>120</formula>
    </cfRule>
    <cfRule type="containsText" dxfId="2" priority="407" operator="between" text="库存为">
      <formula>NOT(ISERROR(SEARCH("库存为",AU178)))</formula>
    </cfRule>
  </conditionalFormatting>
  <conditionalFormatting sqref="AU179">
    <cfRule type="cellIs" dxfId="0" priority="1564" operator="lessThan">
      <formula>20</formula>
    </cfRule>
    <cfRule type="cellIs" dxfId="1" priority="985" operator="greaterThan">
      <formula>120</formula>
    </cfRule>
    <cfRule type="containsText" dxfId="2" priority="406" operator="between" text="库存为">
      <formula>NOT(ISERROR(SEARCH("库存为",AU179)))</formula>
    </cfRule>
  </conditionalFormatting>
  <conditionalFormatting sqref="AU180">
    <cfRule type="cellIs" dxfId="0" priority="1563" operator="lessThan">
      <formula>20</formula>
    </cfRule>
    <cfRule type="cellIs" dxfId="1" priority="984" operator="greaterThan">
      <formula>120</formula>
    </cfRule>
    <cfRule type="containsText" dxfId="2" priority="405" operator="between" text="库存为">
      <formula>NOT(ISERROR(SEARCH("库存为",AU180)))</formula>
    </cfRule>
  </conditionalFormatting>
  <conditionalFormatting sqref="AU181">
    <cfRule type="cellIs" dxfId="0" priority="1562" operator="lessThan">
      <formula>20</formula>
    </cfRule>
    <cfRule type="cellIs" dxfId="1" priority="983" operator="greaterThan">
      <formula>120</formula>
    </cfRule>
    <cfRule type="containsText" dxfId="2" priority="404" operator="between" text="库存为">
      <formula>NOT(ISERROR(SEARCH("库存为",AU181)))</formula>
    </cfRule>
  </conditionalFormatting>
  <conditionalFormatting sqref="AU182">
    <cfRule type="cellIs" dxfId="0" priority="1561" operator="lessThan">
      <formula>20</formula>
    </cfRule>
    <cfRule type="cellIs" dxfId="1" priority="982" operator="greaterThan">
      <formula>120</formula>
    </cfRule>
    <cfRule type="containsText" dxfId="2" priority="403" operator="between" text="库存为">
      <formula>NOT(ISERROR(SEARCH("库存为",AU182)))</formula>
    </cfRule>
  </conditionalFormatting>
  <conditionalFormatting sqref="AU183">
    <cfRule type="cellIs" dxfId="0" priority="1560" operator="lessThan">
      <formula>20</formula>
    </cfRule>
    <cfRule type="cellIs" dxfId="1" priority="981" operator="greaterThan">
      <formula>120</formula>
    </cfRule>
    <cfRule type="containsText" dxfId="2" priority="402" operator="between" text="库存为">
      <formula>NOT(ISERROR(SEARCH("库存为",AU183)))</formula>
    </cfRule>
  </conditionalFormatting>
  <conditionalFormatting sqref="AU184">
    <cfRule type="cellIs" dxfId="0" priority="1559" operator="lessThan">
      <formula>20</formula>
    </cfRule>
    <cfRule type="cellIs" dxfId="1" priority="980" operator="greaterThan">
      <formula>120</formula>
    </cfRule>
    <cfRule type="containsText" dxfId="2" priority="401" operator="between" text="库存为">
      <formula>NOT(ISERROR(SEARCH("库存为",AU184)))</formula>
    </cfRule>
  </conditionalFormatting>
  <conditionalFormatting sqref="AU185">
    <cfRule type="cellIs" dxfId="0" priority="1558" operator="lessThan">
      <formula>20</formula>
    </cfRule>
    <cfRule type="cellIs" dxfId="1" priority="979" operator="greaterThan">
      <formula>120</formula>
    </cfRule>
    <cfRule type="containsText" dxfId="2" priority="400" operator="between" text="库存为">
      <formula>NOT(ISERROR(SEARCH("库存为",AU185)))</formula>
    </cfRule>
  </conditionalFormatting>
  <conditionalFormatting sqref="AU186">
    <cfRule type="cellIs" dxfId="0" priority="1557" operator="lessThan">
      <formula>20</formula>
    </cfRule>
    <cfRule type="cellIs" dxfId="1" priority="978" operator="greaterThan">
      <formula>120</formula>
    </cfRule>
    <cfRule type="containsText" dxfId="2" priority="399" operator="between" text="库存为">
      <formula>NOT(ISERROR(SEARCH("库存为",AU186)))</formula>
    </cfRule>
  </conditionalFormatting>
  <conditionalFormatting sqref="AU187">
    <cfRule type="cellIs" dxfId="0" priority="1556" operator="lessThan">
      <formula>20</formula>
    </cfRule>
    <cfRule type="cellIs" dxfId="1" priority="977" operator="greaterThan">
      <formula>120</formula>
    </cfRule>
    <cfRule type="containsText" dxfId="2" priority="398" operator="between" text="库存为">
      <formula>NOT(ISERROR(SEARCH("库存为",AU187)))</formula>
    </cfRule>
  </conditionalFormatting>
  <conditionalFormatting sqref="AU188">
    <cfRule type="cellIs" dxfId="0" priority="1555" operator="lessThan">
      <formula>20</formula>
    </cfRule>
    <cfRule type="cellIs" dxfId="1" priority="976" operator="greaterThan">
      <formula>120</formula>
    </cfRule>
    <cfRule type="containsText" dxfId="2" priority="397" operator="between" text="库存为">
      <formula>NOT(ISERROR(SEARCH("库存为",AU188)))</formula>
    </cfRule>
  </conditionalFormatting>
  <conditionalFormatting sqref="AU189">
    <cfRule type="cellIs" dxfId="0" priority="1554" operator="lessThan">
      <formula>20</formula>
    </cfRule>
    <cfRule type="cellIs" dxfId="1" priority="975" operator="greaterThan">
      <formula>120</formula>
    </cfRule>
    <cfRule type="containsText" dxfId="2" priority="396" operator="between" text="库存为">
      <formula>NOT(ISERROR(SEARCH("库存为",AU189)))</formula>
    </cfRule>
  </conditionalFormatting>
  <conditionalFormatting sqref="AU190">
    <cfRule type="cellIs" dxfId="0" priority="1553" operator="lessThan">
      <formula>20</formula>
    </cfRule>
    <cfRule type="cellIs" dxfId="1" priority="974" operator="greaterThan">
      <formula>120</formula>
    </cfRule>
    <cfRule type="containsText" dxfId="2" priority="395" operator="between" text="库存为">
      <formula>NOT(ISERROR(SEARCH("库存为",AU190)))</formula>
    </cfRule>
  </conditionalFormatting>
  <conditionalFormatting sqref="AU191">
    <cfRule type="cellIs" dxfId="0" priority="1552" operator="lessThan">
      <formula>20</formula>
    </cfRule>
    <cfRule type="cellIs" dxfId="1" priority="973" operator="greaterThan">
      <formula>120</formula>
    </cfRule>
    <cfRule type="containsText" dxfId="2" priority="394" operator="between" text="库存为">
      <formula>NOT(ISERROR(SEARCH("库存为",AU191)))</formula>
    </cfRule>
  </conditionalFormatting>
  <conditionalFormatting sqref="AU192">
    <cfRule type="cellIs" dxfId="0" priority="1551" operator="lessThan">
      <formula>20</formula>
    </cfRule>
    <cfRule type="cellIs" dxfId="1" priority="972" operator="greaterThan">
      <formula>120</formula>
    </cfRule>
    <cfRule type="containsText" dxfId="2" priority="393" operator="between" text="库存为">
      <formula>NOT(ISERROR(SEARCH("库存为",AU192)))</formula>
    </cfRule>
  </conditionalFormatting>
  <conditionalFormatting sqref="AU193">
    <cfRule type="cellIs" dxfId="0" priority="1550" operator="lessThan">
      <formula>20</formula>
    </cfRule>
    <cfRule type="cellIs" dxfId="1" priority="971" operator="greaterThan">
      <formula>120</formula>
    </cfRule>
    <cfRule type="containsText" dxfId="2" priority="392" operator="between" text="库存为">
      <formula>NOT(ISERROR(SEARCH("库存为",AU193)))</formula>
    </cfRule>
  </conditionalFormatting>
  <conditionalFormatting sqref="AU194">
    <cfRule type="cellIs" dxfId="0" priority="1549" operator="lessThan">
      <formula>20</formula>
    </cfRule>
    <cfRule type="cellIs" dxfId="1" priority="970" operator="greaterThan">
      <formula>120</formula>
    </cfRule>
    <cfRule type="containsText" dxfId="2" priority="391" operator="between" text="库存为">
      <formula>NOT(ISERROR(SEARCH("库存为",AU194)))</formula>
    </cfRule>
  </conditionalFormatting>
  <conditionalFormatting sqref="AU195">
    <cfRule type="cellIs" dxfId="0" priority="1548" operator="lessThan">
      <formula>20</formula>
    </cfRule>
    <cfRule type="cellIs" dxfId="1" priority="969" operator="greaterThan">
      <formula>120</formula>
    </cfRule>
    <cfRule type="containsText" dxfId="2" priority="390" operator="between" text="库存为">
      <formula>NOT(ISERROR(SEARCH("库存为",AU195)))</formula>
    </cfRule>
  </conditionalFormatting>
  <conditionalFormatting sqref="AU196">
    <cfRule type="cellIs" dxfId="0" priority="1547" operator="lessThan">
      <formula>20</formula>
    </cfRule>
    <cfRule type="cellIs" dxfId="1" priority="968" operator="greaterThan">
      <formula>120</formula>
    </cfRule>
    <cfRule type="containsText" dxfId="2" priority="389" operator="between" text="库存为">
      <formula>NOT(ISERROR(SEARCH("库存为",AU196)))</formula>
    </cfRule>
  </conditionalFormatting>
  <conditionalFormatting sqref="AU197">
    <cfRule type="cellIs" dxfId="0" priority="1546" operator="lessThan">
      <formula>20</formula>
    </cfRule>
    <cfRule type="cellIs" dxfId="1" priority="967" operator="greaterThan">
      <formula>120</formula>
    </cfRule>
    <cfRule type="containsText" dxfId="2" priority="388" operator="between" text="库存为">
      <formula>NOT(ISERROR(SEARCH("库存为",AU197)))</formula>
    </cfRule>
  </conditionalFormatting>
  <conditionalFormatting sqref="AU198">
    <cfRule type="cellIs" dxfId="0" priority="1545" operator="lessThan">
      <formula>20</formula>
    </cfRule>
    <cfRule type="cellIs" dxfId="1" priority="966" operator="greaterThan">
      <formula>120</formula>
    </cfRule>
    <cfRule type="containsText" dxfId="2" priority="387" operator="between" text="库存为">
      <formula>NOT(ISERROR(SEARCH("库存为",AU198)))</formula>
    </cfRule>
  </conditionalFormatting>
  <conditionalFormatting sqref="AU199">
    <cfRule type="cellIs" dxfId="0" priority="1544" operator="lessThan">
      <formula>20</formula>
    </cfRule>
    <cfRule type="cellIs" dxfId="1" priority="965" operator="greaterThan">
      <formula>120</formula>
    </cfRule>
    <cfRule type="containsText" dxfId="2" priority="386" operator="between" text="库存为">
      <formula>NOT(ISERROR(SEARCH("库存为",AU199)))</formula>
    </cfRule>
  </conditionalFormatting>
  <conditionalFormatting sqref="AU200">
    <cfRule type="cellIs" dxfId="0" priority="1543" operator="lessThan">
      <formula>20</formula>
    </cfRule>
    <cfRule type="cellIs" dxfId="1" priority="964" operator="greaterThan">
      <formula>120</formula>
    </cfRule>
    <cfRule type="containsText" dxfId="2" priority="385" operator="between" text="库存为">
      <formula>NOT(ISERROR(SEARCH("库存为",AU200)))</formula>
    </cfRule>
  </conditionalFormatting>
  <conditionalFormatting sqref="AU201">
    <cfRule type="cellIs" dxfId="0" priority="1542" operator="lessThan">
      <formula>20</formula>
    </cfRule>
    <cfRule type="cellIs" dxfId="1" priority="963" operator="greaterThan">
      <formula>120</formula>
    </cfRule>
    <cfRule type="containsText" dxfId="2" priority="384" operator="between" text="库存为">
      <formula>NOT(ISERROR(SEARCH("库存为",AU201)))</formula>
    </cfRule>
  </conditionalFormatting>
  <conditionalFormatting sqref="AU202">
    <cfRule type="cellIs" dxfId="0" priority="1541" operator="lessThan">
      <formula>20</formula>
    </cfRule>
    <cfRule type="cellIs" dxfId="1" priority="962" operator="greaterThan">
      <formula>120</formula>
    </cfRule>
    <cfRule type="containsText" dxfId="2" priority="383" operator="between" text="库存为">
      <formula>NOT(ISERROR(SEARCH("库存为",AU202)))</formula>
    </cfRule>
  </conditionalFormatting>
  <conditionalFormatting sqref="AU203">
    <cfRule type="cellIs" dxfId="0" priority="1540" operator="lessThan">
      <formula>20</formula>
    </cfRule>
    <cfRule type="cellIs" dxfId="1" priority="961" operator="greaterThan">
      <formula>120</formula>
    </cfRule>
    <cfRule type="containsText" dxfId="2" priority="382" operator="between" text="库存为">
      <formula>NOT(ISERROR(SEARCH("库存为",AU203)))</formula>
    </cfRule>
  </conditionalFormatting>
  <conditionalFormatting sqref="AU204">
    <cfRule type="cellIs" dxfId="0" priority="1539" operator="lessThan">
      <formula>20</formula>
    </cfRule>
    <cfRule type="cellIs" dxfId="1" priority="960" operator="greaterThan">
      <formula>120</formula>
    </cfRule>
    <cfRule type="containsText" dxfId="2" priority="381" operator="between" text="库存为">
      <formula>NOT(ISERROR(SEARCH("库存为",AU204)))</formula>
    </cfRule>
  </conditionalFormatting>
  <conditionalFormatting sqref="AU205">
    <cfRule type="cellIs" dxfId="0" priority="1538" operator="lessThan">
      <formula>20</formula>
    </cfRule>
    <cfRule type="cellIs" dxfId="1" priority="959" operator="greaterThan">
      <formula>120</formula>
    </cfRule>
    <cfRule type="containsText" dxfId="2" priority="380" operator="between" text="库存为">
      <formula>NOT(ISERROR(SEARCH("库存为",AU205)))</formula>
    </cfRule>
  </conditionalFormatting>
  <conditionalFormatting sqref="AU206">
    <cfRule type="cellIs" dxfId="0" priority="1537" operator="lessThan">
      <formula>20</formula>
    </cfRule>
    <cfRule type="cellIs" dxfId="1" priority="958" operator="greaterThan">
      <formula>120</formula>
    </cfRule>
    <cfRule type="containsText" dxfId="2" priority="379" operator="between" text="库存为">
      <formula>NOT(ISERROR(SEARCH("库存为",AU206)))</formula>
    </cfRule>
  </conditionalFormatting>
  <conditionalFormatting sqref="AU207">
    <cfRule type="cellIs" dxfId="0" priority="1536" operator="lessThan">
      <formula>20</formula>
    </cfRule>
    <cfRule type="cellIs" dxfId="1" priority="957" operator="greaterThan">
      <formula>120</formula>
    </cfRule>
    <cfRule type="containsText" dxfId="2" priority="378" operator="between" text="库存为">
      <formula>NOT(ISERROR(SEARCH("库存为",AU207)))</formula>
    </cfRule>
  </conditionalFormatting>
  <conditionalFormatting sqref="AU208">
    <cfRule type="cellIs" dxfId="0" priority="1535" operator="lessThan">
      <formula>20</formula>
    </cfRule>
    <cfRule type="cellIs" dxfId="1" priority="956" operator="greaterThan">
      <formula>120</formula>
    </cfRule>
    <cfRule type="containsText" dxfId="2" priority="377" operator="between" text="库存为">
      <formula>NOT(ISERROR(SEARCH("库存为",AU208)))</formula>
    </cfRule>
  </conditionalFormatting>
  <conditionalFormatting sqref="AU209">
    <cfRule type="cellIs" dxfId="0" priority="1534" operator="lessThan">
      <formula>20</formula>
    </cfRule>
    <cfRule type="cellIs" dxfId="1" priority="955" operator="greaterThan">
      <formula>120</formula>
    </cfRule>
    <cfRule type="containsText" dxfId="2" priority="376" operator="between" text="库存为">
      <formula>NOT(ISERROR(SEARCH("库存为",AU209)))</formula>
    </cfRule>
  </conditionalFormatting>
  <conditionalFormatting sqref="AU210">
    <cfRule type="cellIs" dxfId="0" priority="1533" operator="lessThan">
      <formula>20</formula>
    </cfRule>
    <cfRule type="cellIs" dxfId="1" priority="954" operator="greaterThan">
      <formula>120</formula>
    </cfRule>
    <cfRule type="containsText" dxfId="2" priority="375" operator="between" text="库存为">
      <formula>NOT(ISERROR(SEARCH("库存为",AU210)))</formula>
    </cfRule>
  </conditionalFormatting>
  <conditionalFormatting sqref="AU211">
    <cfRule type="cellIs" dxfId="0" priority="1532" operator="lessThan">
      <formula>20</formula>
    </cfRule>
    <cfRule type="cellIs" dxfId="1" priority="953" operator="greaterThan">
      <formula>120</formula>
    </cfRule>
    <cfRule type="containsText" dxfId="2" priority="374" operator="between" text="库存为">
      <formula>NOT(ISERROR(SEARCH("库存为",AU211)))</formula>
    </cfRule>
  </conditionalFormatting>
  <conditionalFormatting sqref="AU212">
    <cfRule type="cellIs" dxfId="0" priority="1531" operator="lessThan">
      <formula>20</formula>
    </cfRule>
    <cfRule type="cellIs" dxfId="1" priority="952" operator="greaterThan">
      <formula>120</formula>
    </cfRule>
    <cfRule type="containsText" dxfId="2" priority="373" operator="between" text="库存为">
      <formula>NOT(ISERROR(SEARCH("库存为",AU212)))</formula>
    </cfRule>
  </conditionalFormatting>
  <conditionalFormatting sqref="AU213">
    <cfRule type="cellIs" dxfId="0" priority="1530" operator="lessThan">
      <formula>20</formula>
    </cfRule>
    <cfRule type="cellIs" dxfId="1" priority="951" operator="greaterThan">
      <formula>120</formula>
    </cfRule>
    <cfRule type="containsText" dxfId="2" priority="372" operator="between" text="库存为">
      <formula>NOT(ISERROR(SEARCH("库存为",AU213)))</formula>
    </cfRule>
  </conditionalFormatting>
  <conditionalFormatting sqref="AU214">
    <cfRule type="cellIs" dxfId="0" priority="1529" operator="lessThan">
      <formula>20</formula>
    </cfRule>
    <cfRule type="cellIs" dxfId="1" priority="950" operator="greaterThan">
      <formula>120</formula>
    </cfRule>
    <cfRule type="containsText" dxfId="2" priority="371" operator="between" text="库存为">
      <formula>NOT(ISERROR(SEARCH("库存为",AU214)))</formula>
    </cfRule>
  </conditionalFormatting>
  <conditionalFormatting sqref="AU215">
    <cfRule type="cellIs" dxfId="0" priority="1528" operator="lessThan">
      <formula>20</formula>
    </cfRule>
    <cfRule type="cellIs" dxfId="1" priority="949" operator="greaterThan">
      <formula>120</formula>
    </cfRule>
    <cfRule type="containsText" dxfId="2" priority="370" operator="between" text="库存为">
      <formula>NOT(ISERROR(SEARCH("库存为",AU215)))</formula>
    </cfRule>
  </conditionalFormatting>
  <conditionalFormatting sqref="AU216">
    <cfRule type="cellIs" dxfId="0" priority="1527" operator="lessThan">
      <formula>20</formula>
    </cfRule>
    <cfRule type="cellIs" dxfId="1" priority="948" operator="greaterThan">
      <formula>120</formula>
    </cfRule>
    <cfRule type="containsText" dxfId="2" priority="369" operator="between" text="库存为">
      <formula>NOT(ISERROR(SEARCH("库存为",AU216)))</formula>
    </cfRule>
  </conditionalFormatting>
  <conditionalFormatting sqref="AU217">
    <cfRule type="cellIs" dxfId="0" priority="1526" operator="lessThan">
      <formula>20</formula>
    </cfRule>
    <cfRule type="cellIs" dxfId="1" priority="947" operator="greaterThan">
      <formula>120</formula>
    </cfRule>
    <cfRule type="containsText" dxfId="2" priority="368" operator="between" text="库存为">
      <formula>NOT(ISERROR(SEARCH("库存为",AU217)))</formula>
    </cfRule>
  </conditionalFormatting>
  <conditionalFormatting sqref="AU218">
    <cfRule type="cellIs" dxfId="0" priority="1525" operator="lessThan">
      <formula>20</formula>
    </cfRule>
    <cfRule type="cellIs" dxfId="1" priority="946" operator="greaterThan">
      <formula>120</formula>
    </cfRule>
    <cfRule type="containsText" dxfId="2" priority="367" operator="between" text="库存为">
      <formula>NOT(ISERROR(SEARCH("库存为",AU218)))</formula>
    </cfRule>
  </conditionalFormatting>
  <conditionalFormatting sqref="AU219">
    <cfRule type="cellIs" dxfId="0" priority="1524" operator="lessThan">
      <formula>20</formula>
    </cfRule>
    <cfRule type="cellIs" dxfId="1" priority="945" operator="greaterThan">
      <formula>120</formula>
    </cfRule>
    <cfRule type="containsText" dxfId="2" priority="366" operator="between" text="库存为">
      <formula>NOT(ISERROR(SEARCH("库存为",AU219)))</formula>
    </cfRule>
  </conditionalFormatting>
  <conditionalFormatting sqref="AU220">
    <cfRule type="cellIs" dxfId="0" priority="1523" operator="lessThan">
      <formula>20</formula>
    </cfRule>
    <cfRule type="cellIs" dxfId="1" priority="944" operator="greaterThan">
      <formula>120</formula>
    </cfRule>
    <cfRule type="containsText" dxfId="2" priority="365" operator="between" text="库存为">
      <formula>NOT(ISERROR(SEARCH("库存为",AU220)))</formula>
    </cfRule>
  </conditionalFormatting>
  <conditionalFormatting sqref="AU221">
    <cfRule type="cellIs" dxfId="0" priority="1522" operator="lessThan">
      <formula>20</formula>
    </cfRule>
    <cfRule type="cellIs" dxfId="1" priority="943" operator="greaterThan">
      <formula>120</formula>
    </cfRule>
    <cfRule type="containsText" dxfId="2" priority="364" operator="between" text="库存为">
      <formula>NOT(ISERROR(SEARCH("库存为",AU221)))</formula>
    </cfRule>
  </conditionalFormatting>
  <conditionalFormatting sqref="AU222">
    <cfRule type="cellIs" dxfId="0" priority="1521" operator="lessThan">
      <formula>20</formula>
    </cfRule>
    <cfRule type="cellIs" dxfId="1" priority="942" operator="greaterThan">
      <formula>120</formula>
    </cfRule>
    <cfRule type="containsText" dxfId="2" priority="363" operator="between" text="库存为">
      <formula>NOT(ISERROR(SEARCH("库存为",AU222)))</formula>
    </cfRule>
  </conditionalFormatting>
  <conditionalFormatting sqref="AU223">
    <cfRule type="cellIs" dxfId="0" priority="1520" operator="lessThan">
      <formula>20</formula>
    </cfRule>
    <cfRule type="cellIs" dxfId="1" priority="941" operator="greaterThan">
      <formula>120</formula>
    </cfRule>
    <cfRule type="containsText" dxfId="2" priority="362" operator="between" text="库存为">
      <formula>NOT(ISERROR(SEARCH("库存为",AU223)))</formula>
    </cfRule>
  </conditionalFormatting>
  <conditionalFormatting sqref="AU224">
    <cfRule type="cellIs" dxfId="0" priority="1519" operator="lessThan">
      <formula>20</formula>
    </cfRule>
    <cfRule type="cellIs" dxfId="1" priority="940" operator="greaterThan">
      <formula>120</formula>
    </cfRule>
    <cfRule type="containsText" dxfId="2" priority="361" operator="between" text="库存为">
      <formula>NOT(ISERROR(SEARCH("库存为",AU224)))</formula>
    </cfRule>
  </conditionalFormatting>
  <conditionalFormatting sqref="AU225">
    <cfRule type="cellIs" dxfId="0" priority="1518" operator="lessThan">
      <formula>20</formula>
    </cfRule>
    <cfRule type="cellIs" dxfId="1" priority="939" operator="greaterThan">
      <formula>120</formula>
    </cfRule>
    <cfRule type="containsText" dxfId="2" priority="360" operator="between" text="库存为">
      <formula>NOT(ISERROR(SEARCH("库存为",AU225)))</formula>
    </cfRule>
  </conditionalFormatting>
  <conditionalFormatting sqref="AU226">
    <cfRule type="cellIs" dxfId="0" priority="1517" operator="lessThan">
      <formula>20</formula>
    </cfRule>
    <cfRule type="cellIs" dxfId="1" priority="938" operator="greaterThan">
      <formula>120</formula>
    </cfRule>
    <cfRule type="containsText" dxfId="2" priority="359" operator="between" text="库存为">
      <formula>NOT(ISERROR(SEARCH("库存为",AU226)))</formula>
    </cfRule>
  </conditionalFormatting>
  <conditionalFormatting sqref="AU227">
    <cfRule type="cellIs" dxfId="0" priority="1516" operator="lessThan">
      <formula>20</formula>
    </cfRule>
    <cfRule type="cellIs" dxfId="1" priority="937" operator="greaterThan">
      <formula>120</formula>
    </cfRule>
    <cfRule type="containsText" dxfId="2" priority="358" operator="between" text="库存为">
      <formula>NOT(ISERROR(SEARCH("库存为",AU227)))</formula>
    </cfRule>
  </conditionalFormatting>
  <conditionalFormatting sqref="AU228">
    <cfRule type="cellIs" dxfId="0" priority="1515" operator="lessThan">
      <formula>20</formula>
    </cfRule>
    <cfRule type="cellIs" dxfId="1" priority="936" operator="greaterThan">
      <formula>120</formula>
    </cfRule>
    <cfRule type="containsText" dxfId="2" priority="357" operator="between" text="库存为">
      <formula>NOT(ISERROR(SEARCH("库存为",AU228)))</formula>
    </cfRule>
  </conditionalFormatting>
  <conditionalFormatting sqref="AU229">
    <cfRule type="cellIs" dxfId="0" priority="1514" operator="lessThan">
      <formula>20</formula>
    </cfRule>
    <cfRule type="cellIs" dxfId="1" priority="935" operator="greaterThan">
      <formula>120</formula>
    </cfRule>
    <cfRule type="containsText" dxfId="2" priority="356" operator="between" text="库存为">
      <formula>NOT(ISERROR(SEARCH("库存为",AU229)))</formula>
    </cfRule>
  </conditionalFormatting>
  <conditionalFormatting sqref="AU230">
    <cfRule type="cellIs" dxfId="0" priority="1513" operator="lessThan">
      <formula>20</formula>
    </cfRule>
    <cfRule type="cellIs" dxfId="1" priority="934" operator="greaterThan">
      <formula>120</formula>
    </cfRule>
    <cfRule type="containsText" dxfId="2" priority="355" operator="between" text="库存为">
      <formula>NOT(ISERROR(SEARCH("库存为",AU230)))</formula>
    </cfRule>
  </conditionalFormatting>
  <conditionalFormatting sqref="AU231">
    <cfRule type="cellIs" dxfId="0" priority="1512" operator="lessThan">
      <formula>20</formula>
    </cfRule>
    <cfRule type="cellIs" dxfId="1" priority="933" operator="greaterThan">
      <formula>120</formula>
    </cfRule>
    <cfRule type="containsText" dxfId="2" priority="354" operator="between" text="库存为">
      <formula>NOT(ISERROR(SEARCH("库存为",AU231)))</formula>
    </cfRule>
  </conditionalFormatting>
  <conditionalFormatting sqref="AU232">
    <cfRule type="cellIs" dxfId="0" priority="1511" operator="lessThan">
      <formula>20</formula>
    </cfRule>
    <cfRule type="cellIs" dxfId="1" priority="932" operator="greaterThan">
      <formula>120</formula>
    </cfRule>
    <cfRule type="containsText" dxfId="2" priority="353" operator="between" text="库存为">
      <formula>NOT(ISERROR(SEARCH("库存为",AU232)))</formula>
    </cfRule>
  </conditionalFormatting>
  <conditionalFormatting sqref="AU233">
    <cfRule type="cellIs" dxfId="0" priority="1510" operator="lessThan">
      <formula>20</formula>
    </cfRule>
    <cfRule type="cellIs" dxfId="1" priority="931" operator="greaterThan">
      <formula>120</formula>
    </cfRule>
    <cfRule type="containsText" dxfId="2" priority="352" operator="between" text="库存为">
      <formula>NOT(ISERROR(SEARCH("库存为",AU233)))</formula>
    </cfRule>
  </conditionalFormatting>
  <conditionalFormatting sqref="AU234">
    <cfRule type="cellIs" dxfId="0" priority="1509" operator="lessThan">
      <formula>20</formula>
    </cfRule>
    <cfRule type="cellIs" dxfId="1" priority="930" operator="greaterThan">
      <formula>120</formula>
    </cfRule>
    <cfRule type="containsText" dxfId="2" priority="351" operator="between" text="库存为">
      <formula>NOT(ISERROR(SEARCH("库存为",AU234)))</formula>
    </cfRule>
  </conditionalFormatting>
  <conditionalFormatting sqref="AU235">
    <cfRule type="cellIs" dxfId="0" priority="1508" operator="lessThan">
      <formula>20</formula>
    </cfRule>
    <cfRule type="cellIs" dxfId="1" priority="929" operator="greaterThan">
      <formula>120</formula>
    </cfRule>
    <cfRule type="containsText" dxfId="2" priority="350" operator="between" text="库存为">
      <formula>NOT(ISERROR(SEARCH("库存为",AU235)))</formula>
    </cfRule>
  </conditionalFormatting>
  <conditionalFormatting sqref="AU236">
    <cfRule type="cellIs" dxfId="0" priority="1507" operator="lessThan">
      <formula>20</formula>
    </cfRule>
    <cfRule type="cellIs" dxfId="1" priority="928" operator="greaterThan">
      <formula>120</formula>
    </cfRule>
    <cfRule type="containsText" dxfId="2" priority="349" operator="between" text="库存为">
      <formula>NOT(ISERROR(SEARCH("库存为",AU236)))</formula>
    </cfRule>
  </conditionalFormatting>
  <conditionalFormatting sqref="AU237">
    <cfRule type="cellIs" dxfId="0" priority="1506" operator="lessThan">
      <formula>20</formula>
    </cfRule>
    <cfRule type="cellIs" dxfId="1" priority="927" operator="greaterThan">
      <formula>120</formula>
    </cfRule>
    <cfRule type="containsText" dxfId="2" priority="348" operator="between" text="库存为">
      <formula>NOT(ISERROR(SEARCH("库存为",AU237)))</formula>
    </cfRule>
  </conditionalFormatting>
  <conditionalFormatting sqref="AU238">
    <cfRule type="cellIs" dxfId="0" priority="1505" operator="lessThan">
      <formula>20</formula>
    </cfRule>
    <cfRule type="cellIs" dxfId="1" priority="926" operator="greaterThan">
      <formula>120</formula>
    </cfRule>
    <cfRule type="containsText" dxfId="2" priority="347" operator="between" text="库存为">
      <formula>NOT(ISERROR(SEARCH("库存为",AU238)))</formula>
    </cfRule>
  </conditionalFormatting>
  <conditionalFormatting sqref="AU239">
    <cfRule type="cellIs" dxfId="0" priority="1504" operator="lessThan">
      <formula>20</formula>
    </cfRule>
    <cfRule type="cellIs" dxfId="1" priority="925" operator="greaterThan">
      <formula>120</formula>
    </cfRule>
    <cfRule type="containsText" dxfId="2" priority="346" operator="between" text="库存为">
      <formula>NOT(ISERROR(SEARCH("库存为",AU239)))</formula>
    </cfRule>
  </conditionalFormatting>
  <conditionalFormatting sqref="AU240">
    <cfRule type="cellIs" dxfId="0" priority="1503" operator="lessThan">
      <formula>20</formula>
    </cfRule>
    <cfRule type="cellIs" dxfId="1" priority="924" operator="greaterThan">
      <formula>120</formula>
    </cfRule>
    <cfRule type="containsText" dxfId="2" priority="345" operator="between" text="库存为">
      <formula>NOT(ISERROR(SEARCH("库存为",AU240)))</formula>
    </cfRule>
  </conditionalFormatting>
  <conditionalFormatting sqref="AU241">
    <cfRule type="cellIs" dxfId="0" priority="1502" operator="lessThan">
      <formula>20</formula>
    </cfRule>
    <cfRule type="cellIs" dxfId="1" priority="923" operator="greaterThan">
      <formula>120</formula>
    </cfRule>
    <cfRule type="containsText" dxfId="2" priority="344" operator="between" text="库存为">
      <formula>NOT(ISERROR(SEARCH("库存为",AU241)))</formula>
    </cfRule>
  </conditionalFormatting>
  <conditionalFormatting sqref="AU242">
    <cfRule type="cellIs" dxfId="0" priority="1501" operator="lessThan">
      <formula>20</formula>
    </cfRule>
    <cfRule type="cellIs" dxfId="1" priority="922" operator="greaterThan">
      <formula>120</formula>
    </cfRule>
    <cfRule type="containsText" dxfId="2" priority="343" operator="between" text="库存为">
      <formula>NOT(ISERROR(SEARCH("库存为",AU242)))</formula>
    </cfRule>
  </conditionalFormatting>
  <conditionalFormatting sqref="AU243">
    <cfRule type="cellIs" dxfId="0" priority="1500" operator="lessThan">
      <formula>20</formula>
    </cfRule>
    <cfRule type="cellIs" dxfId="1" priority="921" operator="greaterThan">
      <formula>120</formula>
    </cfRule>
    <cfRule type="containsText" dxfId="2" priority="342" operator="between" text="库存为">
      <formula>NOT(ISERROR(SEARCH("库存为",AU243)))</formula>
    </cfRule>
  </conditionalFormatting>
  <conditionalFormatting sqref="AU244">
    <cfRule type="cellIs" dxfId="0" priority="1499" operator="lessThan">
      <formula>20</formula>
    </cfRule>
    <cfRule type="cellIs" dxfId="1" priority="920" operator="greaterThan">
      <formula>120</formula>
    </cfRule>
    <cfRule type="containsText" dxfId="2" priority="341" operator="between" text="库存为">
      <formula>NOT(ISERROR(SEARCH("库存为",AU244)))</formula>
    </cfRule>
  </conditionalFormatting>
  <conditionalFormatting sqref="AU245">
    <cfRule type="cellIs" dxfId="0" priority="1498" operator="lessThan">
      <formula>20</formula>
    </cfRule>
    <cfRule type="cellIs" dxfId="1" priority="919" operator="greaterThan">
      <formula>120</formula>
    </cfRule>
    <cfRule type="containsText" dxfId="2" priority="340" operator="between" text="库存为">
      <formula>NOT(ISERROR(SEARCH("库存为",AU245)))</formula>
    </cfRule>
  </conditionalFormatting>
  <conditionalFormatting sqref="AU246">
    <cfRule type="cellIs" dxfId="0" priority="1497" operator="lessThan">
      <formula>20</formula>
    </cfRule>
    <cfRule type="cellIs" dxfId="1" priority="918" operator="greaterThan">
      <formula>120</formula>
    </cfRule>
    <cfRule type="containsText" dxfId="2" priority="339" operator="between" text="库存为">
      <formula>NOT(ISERROR(SEARCH("库存为",AU246)))</formula>
    </cfRule>
  </conditionalFormatting>
  <conditionalFormatting sqref="AU247">
    <cfRule type="cellIs" dxfId="0" priority="1496" operator="lessThan">
      <formula>20</formula>
    </cfRule>
    <cfRule type="cellIs" dxfId="1" priority="917" operator="greaterThan">
      <formula>120</formula>
    </cfRule>
    <cfRule type="containsText" dxfId="2" priority="338" operator="between" text="库存为">
      <formula>NOT(ISERROR(SEARCH("库存为",AU247)))</formula>
    </cfRule>
  </conditionalFormatting>
  <conditionalFormatting sqref="AU248">
    <cfRule type="cellIs" dxfId="0" priority="1495" operator="lessThan">
      <formula>20</formula>
    </cfRule>
    <cfRule type="cellIs" dxfId="1" priority="916" operator="greaterThan">
      <formula>120</formula>
    </cfRule>
    <cfRule type="containsText" dxfId="2" priority="337" operator="between" text="库存为">
      <formula>NOT(ISERROR(SEARCH("库存为",AU248)))</formula>
    </cfRule>
  </conditionalFormatting>
  <conditionalFormatting sqref="AU249">
    <cfRule type="cellIs" dxfId="0" priority="1494" operator="lessThan">
      <formula>20</formula>
    </cfRule>
    <cfRule type="cellIs" dxfId="1" priority="915" operator="greaterThan">
      <formula>120</formula>
    </cfRule>
    <cfRule type="containsText" dxfId="2" priority="336" operator="between" text="库存为">
      <formula>NOT(ISERROR(SEARCH("库存为",AU249)))</formula>
    </cfRule>
  </conditionalFormatting>
  <conditionalFormatting sqref="AU250">
    <cfRule type="cellIs" dxfId="0" priority="1493" operator="lessThan">
      <formula>20</formula>
    </cfRule>
    <cfRule type="cellIs" dxfId="1" priority="914" operator="greaterThan">
      <formula>120</formula>
    </cfRule>
    <cfRule type="containsText" dxfId="2" priority="335" operator="between" text="库存为">
      <formula>NOT(ISERROR(SEARCH("库存为",AU250)))</formula>
    </cfRule>
  </conditionalFormatting>
  <conditionalFormatting sqref="AU251">
    <cfRule type="cellIs" dxfId="0" priority="1492" operator="lessThan">
      <formula>20</formula>
    </cfRule>
    <cfRule type="cellIs" dxfId="1" priority="913" operator="greaterThan">
      <formula>120</formula>
    </cfRule>
    <cfRule type="containsText" dxfId="2" priority="334" operator="between" text="库存为">
      <formula>NOT(ISERROR(SEARCH("库存为",AU251)))</formula>
    </cfRule>
  </conditionalFormatting>
  <conditionalFormatting sqref="AU252">
    <cfRule type="cellIs" dxfId="0" priority="1491" operator="lessThan">
      <formula>20</formula>
    </cfRule>
    <cfRule type="cellIs" dxfId="1" priority="912" operator="greaterThan">
      <formula>120</formula>
    </cfRule>
    <cfRule type="containsText" dxfId="2" priority="333" operator="between" text="库存为">
      <formula>NOT(ISERROR(SEARCH("库存为",AU252)))</formula>
    </cfRule>
  </conditionalFormatting>
  <conditionalFormatting sqref="AU253">
    <cfRule type="cellIs" dxfId="0" priority="1490" operator="lessThan">
      <formula>20</formula>
    </cfRule>
    <cfRule type="cellIs" dxfId="1" priority="911" operator="greaterThan">
      <formula>120</formula>
    </cfRule>
    <cfRule type="containsText" dxfId="2" priority="332" operator="between" text="库存为">
      <formula>NOT(ISERROR(SEARCH("库存为",AU253)))</formula>
    </cfRule>
  </conditionalFormatting>
  <conditionalFormatting sqref="AU254">
    <cfRule type="cellIs" dxfId="0" priority="1489" operator="lessThan">
      <formula>20</formula>
    </cfRule>
    <cfRule type="cellIs" dxfId="1" priority="910" operator="greaterThan">
      <formula>120</formula>
    </cfRule>
    <cfRule type="containsText" dxfId="2" priority="331" operator="between" text="库存为">
      <formula>NOT(ISERROR(SEARCH("库存为",AU254)))</formula>
    </cfRule>
  </conditionalFormatting>
  <conditionalFormatting sqref="AU255">
    <cfRule type="cellIs" dxfId="0" priority="1488" operator="lessThan">
      <formula>20</formula>
    </cfRule>
    <cfRule type="cellIs" dxfId="1" priority="909" operator="greaterThan">
      <formula>120</formula>
    </cfRule>
    <cfRule type="containsText" dxfId="2" priority="330" operator="between" text="库存为">
      <formula>NOT(ISERROR(SEARCH("库存为",AU255)))</formula>
    </cfRule>
  </conditionalFormatting>
  <conditionalFormatting sqref="AU256">
    <cfRule type="cellIs" dxfId="0" priority="1487" operator="lessThan">
      <formula>20</formula>
    </cfRule>
    <cfRule type="cellIs" dxfId="1" priority="908" operator="greaterThan">
      <formula>120</formula>
    </cfRule>
    <cfRule type="containsText" dxfId="2" priority="329" operator="between" text="库存为">
      <formula>NOT(ISERROR(SEARCH("库存为",AU256)))</formula>
    </cfRule>
  </conditionalFormatting>
  <conditionalFormatting sqref="AU257">
    <cfRule type="cellIs" dxfId="0" priority="1486" operator="lessThan">
      <formula>20</formula>
    </cfRule>
    <cfRule type="cellIs" dxfId="1" priority="907" operator="greaterThan">
      <formula>120</formula>
    </cfRule>
    <cfRule type="containsText" dxfId="2" priority="328" operator="between" text="库存为">
      <formula>NOT(ISERROR(SEARCH("库存为",AU257)))</formula>
    </cfRule>
  </conditionalFormatting>
  <conditionalFormatting sqref="AU258">
    <cfRule type="cellIs" dxfId="0" priority="1485" operator="lessThan">
      <formula>20</formula>
    </cfRule>
    <cfRule type="cellIs" dxfId="1" priority="906" operator="greaterThan">
      <formula>120</formula>
    </cfRule>
    <cfRule type="containsText" dxfId="2" priority="327" operator="between" text="库存为">
      <formula>NOT(ISERROR(SEARCH("库存为",AU258)))</formula>
    </cfRule>
  </conditionalFormatting>
  <conditionalFormatting sqref="AU259">
    <cfRule type="cellIs" dxfId="0" priority="1484" operator="lessThan">
      <formula>20</formula>
    </cfRule>
    <cfRule type="cellIs" dxfId="1" priority="905" operator="greaterThan">
      <formula>120</formula>
    </cfRule>
    <cfRule type="containsText" dxfId="2" priority="326" operator="between" text="库存为">
      <formula>NOT(ISERROR(SEARCH("库存为",AU259)))</formula>
    </cfRule>
  </conditionalFormatting>
  <conditionalFormatting sqref="AU260">
    <cfRule type="cellIs" dxfId="0" priority="1483" operator="lessThan">
      <formula>20</formula>
    </cfRule>
    <cfRule type="cellIs" dxfId="1" priority="904" operator="greaterThan">
      <formula>120</formula>
    </cfRule>
    <cfRule type="containsText" dxfId="2" priority="325" operator="between" text="库存为">
      <formula>NOT(ISERROR(SEARCH("库存为",AU260)))</formula>
    </cfRule>
  </conditionalFormatting>
  <conditionalFormatting sqref="AU261">
    <cfRule type="cellIs" dxfId="0" priority="1482" operator="lessThan">
      <formula>20</formula>
    </cfRule>
    <cfRule type="cellIs" dxfId="1" priority="903" operator="greaterThan">
      <formula>120</formula>
    </cfRule>
    <cfRule type="containsText" dxfId="2" priority="324" operator="between" text="库存为">
      <formula>NOT(ISERROR(SEARCH("库存为",AU261)))</formula>
    </cfRule>
  </conditionalFormatting>
  <conditionalFormatting sqref="AU262">
    <cfRule type="cellIs" dxfId="0" priority="1481" operator="lessThan">
      <formula>20</formula>
    </cfRule>
    <cfRule type="cellIs" dxfId="1" priority="902" operator="greaterThan">
      <formula>120</formula>
    </cfRule>
    <cfRule type="containsText" dxfId="2" priority="323" operator="between" text="库存为">
      <formula>NOT(ISERROR(SEARCH("库存为",AU262)))</formula>
    </cfRule>
  </conditionalFormatting>
  <conditionalFormatting sqref="AU263">
    <cfRule type="cellIs" dxfId="0" priority="1480" operator="lessThan">
      <formula>20</formula>
    </cfRule>
    <cfRule type="cellIs" dxfId="1" priority="901" operator="greaterThan">
      <formula>120</formula>
    </cfRule>
    <cfRule type="containsText" dxfId="2" priority="322" operator="between" text="库存为">
      <formula>NOT(ISERROR(SEARCH("库存为",AU263)))</formula>
    </cfRule>
  </conditionalFormatting>
  <conditionalFormatting sqref="AU264">
    <cfRule type="cellIs" dxfId="0" priority="1479" operator="lessThan">
      <formula>20</formula>
    </cfRule>
    <cfRule type="cellIs" dxfId="1" priority="900" operator="greaterThan">
      <formula>120</formula>
    </cfRule>
    <cfRule type="containsText" dxfId="2" priority="321" operator="between" text="库存为">
      <formula>NOT(ISERROR(SEARCH("库存为",AU264)))</formula>
    </cfRule>
  </conditionalFormatting>
  <conditionalFormatting sqref="AU265">
    <cfRule type="cellIs" dxfId="0" priority="1478" operator="lessThan">
      <formula>20</formula>
    </cfRule>
    <cfRule type="cellIs" dxfId="1" priority="899" operator="greaterThan">
      <formula>120</formula>
    </cfRule>
    <cfRule type="containsText" dxfId="2" priority="320" operator="between" text="库存为">
      <formula>NOT(ISERROR(SEARCH("库存为",AU265)))</formula>
    </cfRule>
  </conditionalFormatting>
  <conditionalFormatting sqref="AU266">
    <cfRule type="cellIs" dxfId="0" priority="1477" operator="lessThan">
      <formula>20</formula>
    </cfRule>
    <cfRule type="cellIs" dxfId="1" priority="898" operator="greaterThan">
      <formula>120</formula>
    </cfRule>
    <cfRule type="containsText" dxfId="2" priority="319" operator="between" text="库存为">
      <formula>NOT(ISERROR(SEARCH("库存为",AU266)))</formula>
    </cfRule>
  </conditionalFormatting>
  <conditionalFormatting sqref="AU267">
    <cfRule type="cellIs" dxfId="0" priority="1476" operator="lessThan">
      <formula>20</formula>
    </cfRule>
    <cfRule type="cellIs" dxfId="1" priority="897" operator="greaterThan">
      <formula>120</formula>
    </cfRule>
    <cfRule type="containsText" dxfId="2" priority="318" operator="between" text="库存为">
      <formula>NOT(ISERROR(SEARCH("库存为",AU267)))</formula>
    </cfRule>
  </conditionalFormatting>
  <conditionalFormatting sqref="AU268">
    <cfRule type="cellIs" dxfId="0" priority="1475" operator="lessThan">
      <formula>20</formula>
    </cfRule>
    <cfRule type="cellIs" dxfId="1" priority="896" operator="greaterThan">
      <formula>120</formula>
    </cfRule>
    <cfRule type="containsText" dxfId="2" priority="317" operator="between" text="库存为">
      <formula>NOT(ISERROR(SEARCH("库存为",AU268)))</formula>
    </cfRule>
  </conditionalFormatting>
  <conditionalFormatting sqref="AU269">
    <cfRule type="cellIs" dxfId="0" priority="1474" operator="lessThan">
      <formula>20</formula>
    </cfRule>
    <cfRule type="cellIs" dxfId="1" priority="895" operator="greaterThan">
      <formula>120</formula>
    </cfRule>
    <cfRule type="containsText" dxfId="2" priority="316" operator="between" text="库存为">
      <formula>NOT(ISERROR(SEARCH("库存为",AU269)))</formula>
    </cfRule>
  </conditionalFormatting>
  <conditionalFormatting sqref="AU270">
    <cfRule type="cellIs" dxfId="0" priority="1473" operator="lessThan">
      <formula>20</formula>
    </cfRule>
    <cfRule type="cellIs" dxfId="1" priority="894" operator="greaterThan">
      <formula>120</formula>
    </cfRule>
    <cfRule type="containsText" dxfId="2" priority="315" operator="between" text="库存为">
      <formula>NOT(ISERROR(SEARCH("库存为",AU270)))</formula>
    </cfRule>
  </conditionalFormatting>
  <conditionalFormatting sqref="AU271">
    <cfRule type="cellIs" dxfId="0" priority="1472" operator="lessThan">
      <formula>20</formula>
    </cfRule>
    <cfRule type="cellIs" dxfId="1" priority="893" operator="greaterThan">
      <formula>120</formula>
    </cfRule>
    <cfRule type="containsText" dxfId="2" priority="314" operator="between" text="库存为">
      <formula>NOT(ISERROR(SEARCH("库存为",AU271)))</formula>
    </cfRule>
  </conditionalFormatting>
  <conditionalFormatting sqref="AU272">
    <cfRule type="cellIs" dxfId="0" priority="1471" operator="lessThan">
      <formula>20</formula>
    </cfRule>
    <cfRule type="cellIs" dxfId="1" priority="892" operator="greaterThan">
      <formula>120</formula>
    </cfRule>
    <cfRule type="containsText" dxfId="2" priority="313" operator="between" text="库存为">
      <formula>NOT(ISERROR(SEARCH("库存为",AU272)))</formula>
    </cfRule>
  </conditionalFormatting>
  <conditionalFormatting sqref="AU273">
    <cfRule type="cellIs" dxfId="0" priority="1470" operator="lessThan">
      <formula>20</formula>
    </cfRule>
    <cfRule type="cellIs" dxfId="1" priority="891" operator="greaterThan">
      <formula>120</formula>
    </cfRule>
    <cfRule type="containsText" dxfId="2" priority="312" operator="between" text="库存为">
      <formula>NOT(ISERROR(SEARCH("库存为",AU273)))</formula>
    </cfRule>
  </conditionalFormatting>
  <conditionalFormatting sqref="AU274">
    <cfRule type="cellIs" dxfId="0" priority="1469" operator="lessThan">
      <formula>20</formula>
    </cfRule>
    <cfRule type="cellIs" dxfId="1" priority="890" operator="greaterThan">
      <formula>120</formula>
    </cfRule>
    <cfRule type="containsText" dxfId="2" priority="311" operator="between" text="库存为">
      <formula>NOT(ISERROR(SEARCH("库存为",AU274)))</formula>
    </cfRule>
  </conditionalFormatting>
  <conditionalFormatting sqref="AU275">
    <cfRule type="cellIs" dxfId="0" priority="1468" operator="lessThan">
      <formula>20</formula>
    </cfRule>
    <cfRule type="cellIs" dxfId="1" priority="889" operator="greaterThan">
      <formula>120</formula>
    </cfRule>
    <cfRule type="containsText" dxfId="2" priority="310" operator="between" text="库存为">
      <formula>NOT(ISERROR(SEARCH("库存为",AU275)))</formula>
    </cfRule>
  </conditionalFormatting>
  <conditionalFormatting sqref="AU276">
    <cfRule type="cellIs" dxfId="0" priority="1467" operator="lessThan">
      <formula>20</formula>
    </cfRule>
    <cfRule type="cellIs" dxfId="1" priority="888" operator="greaterThan">
      <formula>120</formula>
    </cfRule>
    <cfRule type="containsText" dxfId="2" priority="309" operator="between" text="库存为">
      <formula>NOT(ISERROR(SEARCH("库存为",AU276)))</formula>
    </cfRule>
  </conditionalFormatting>
  <conditionalFormatting sqref="AU277">
    <cfRule type="cellIs" dxfId="0" priority="1466" operator="lessThan">
      <formula>20</formula>
    </cfRule>
    <cfRule type="cellIs" dxfId="1" priority="887" operator="greaterThan">
      <formula>120</formula>
    </cfRule>
    <cfRule type="containsText" dxfId="2" priority="308" operator="between" text="库存为">
      <formula>NOT(ISERROR(SEARCH("库存为",AU277)))</formula>
    </cfRule>
  </conditionalFormatting>
  <conditionalFormatting sqref="AU278">
    <cfRule type="cellIs" dxfId="0" priority="1465" operator="lessThan">
      <formula>20</formula>
    </cfRule>
    <cfRule type="cellIs" dxfId="1" priority="886" operator="greaterThan">
      <formula>120</formula>
    </cfRule>
    <cfRule type="containsText" dxfId="2" priority="307" operator="between" text="库存为">
      <formula>NOT(ISERROR(SEARCH("库存为",AU278)))</formula>
    </cfRule>
  </conditionalFormatting>
  <conditionalFormatting sqref="AU279">
    <cfRule type="cellIs" dxfId="0" priority="1464" operator="lessThan">
      <formula>20</formula>
    </cfRule>
    <cfRule type="cellIs" dxfId="1" priority="885" operator="greaterThan">
      <formula>120</formula>
    </cfRule>
    <cfRule type="containsText" dxfId="2" priority="306" operator="between" text="库存为">
      <formula>NOT(ISERROR(SEARCH("库存为",AU279)))</formula>
    </cfRule>
  </conditionalFormatting>
  <conditionalFormatting sqref="AU280">
    <cfRule type="cellIs" dxfId="0" priority="1463" operator="lessThan">
      <formula>20</formula>
    </cfRule>
    <cfRule type="cellIs" dxfId="1" priority="884" operator="greaterThan">
      <formula>120</formula>
    </cfRule>
    <cfRule type="containsText" dxfId="2" priority="305" operator="between" text="库存为">
      <formula>NOT(ISERROR(SEARCH("库存为",AU280)))</formula>
    </cfRule>
  </conditionalFormatting>
  <conditionalFormatting sqref="AU281">
    <cfRule type="cellIs" dxfId="0" priority="1462" operator="lessThan">
      <formula>20</formula>
    </cfRule>
    <cfRule type="cellIs" dxfId="1" priority="883" operator="greaterThan">
      <formula>120</formula>
    </cfRule>
    <cfRule type="containsText" dxfId="2" priority="304" operator="between" text="库存为">
      <formula>NOT(ISERROR(SEARCH("库存为",AU281)))</formula>
    </cfRule>
  </conditionalFormatting>
  <conditionalFormatting sqref="AU282">
    <cfRule type="cellIs" dxfId="0" priority="1461" operator="lessThan">
      <formula>20</formula>
    </cfRule>
    <cfRule type="cellIs" dxfId="1" priority="882" operator="greaterThan">
      <formula>120</formula>
    </cfRule>
    <cfRule type="containsText" dxfId="2" priority="303" operator="between" text="库存为">
      <formula>NOT(ISERROR(SEARCH("库存为",AU282)))</formula>
    </cfRule>
  </conditionalFormatting>
  <conditionalFormatting sqref="AU283">
    <cfRule type="cellIs" dxfId="0" priority="1460" operator="lessThan">
      <formula>20</formula>
    </cfRule>
    <cfRule type="cellIs" dxfId="1" priority="881" operator="greaterThan">
      <formula>120</formula>
    </cfRule>
    <cfRule type="containsText" dxfId="2" priority="302" operator="between" text="库存为">
      <formula>NOT(ISERROR(SEARCH("库存为",AU283)))</formula>
    </cfRule>
  </conditionalFormatting>
  <conditionalFormatting sqref="AU284">
    <cfRule type="cellIs" dxfId="0" priority="1459" operator="lessThan">
      <formula>20</formula>
    </cfRule>
    <cfRule type="cellIs" dxfId="1" priority="880" operator="greaterThan">
      <formula>120</formula>
    </cfRule>
    <cfRule type="containsText" dxfId="2" priority="301" operator="between" text="库存为">
      <formula>NOT(ISERROR(SEARCH("库存为",AU284)))</formula>
    </cfRule>
  </conditionalFormatting>
  <conditionalFormatting sqref="AU285">
    <cfRule type="cellIs" dxfId="0" priority="1458" operator="lessThan">
      <formula>20</formula>
    </cfRule>
    <cfRule type="cellIs" dxfId="1" priority="879" operator="greaterThan">
      <formula>120</formula>
    </cfRule>
    <cfRule type="containsText" dxfId="2" priority="300" operator="between" text="库存为">
      <formula>NOT(ISERROR(SEARCH("库存为",AU285)))</formula>
    </cfRule>
  </conditionalFormatting>
  <conditionalFormatting sqref="AU286">
    <cfRule type="cellIs" dxfId="0" priority="1457" operator="lessThan">
      <formula>20</formula>
    </cfRule>
    <cfRule type="cellIs" dxfId="1" priority="878" operator="greaterThan">
      <formula>120</formula>
    </cfRule>
    <cfRule type="containsText" dxfId="2" priority="299" operator="between" text="库存为">
      <formula>NOT(ISERROR(SEARCH("库存为",AU286)))</formula>
    </cfRule>
  </conditionalFormatting>
  <conditionalFormatting sqref="AU287">
    <cfRule type="cellIs" dxfId="0" priority="1456" operator="lessThan">
      <formula>20</formula>
    </cfRule>
    <cfRule type="cellIs" dxfId="1" priority="877" operator="greaterThan">
      <formula>120</formula>
    </cfRule>
    <cfRule type="containsText" dxfId="2" priority="298" operator="between" text="库存为">
      <formula>NOT(ISERROR(SEARCH("库存为",AU287)))</formula>
    </cfRule>
  </conditionalFormatting>
  <conditionalFormatting sqref="AU288">
    <cfRule type="cellIs" dxfId="0" priority="1455" operator="lessThan">
      <formula>20</formula>
    </cfRule>
    <cfRule type="cellIs" dxfId="1" priority="876" operator="greaterThan">
      <formula>120</formula>
    </cfRule>
    <cfRule type="containsText" dxfId="2" priority="297" operator="between" text="库存为">
      <formula>NOT(ISERROR(SEARCH("库存为",AU288)))</formula>
    </cfRule>
  </conditionalFormatting>
  <conditionalFormatting sqref="AU289">
    <cfRule type="cellIs" dxfId="0" priority="1454" operator="lessThan">
      <formula>20</formula>
    </cfRule>
    <cfRule type="cellIs" dxfId="1" priority="875" operator="greaterThan">
      <formula>120</formula>
    </cfRule>
    <cfRule type="containsText" dxfId="2" priority="296" operator="between" text="库存为">
      <formula>NOT(ISERROR(SEARCH("库存为",AU289)))</formula>
    </cfRule>
  </conditionalFormatting>
  <conditionalFormatting sqref="AU290">
    <cfRule type="cellIs" dxfId="0" priority="1453" operator="lessThan">
      <formula>20</formula>
    </cfRule>
    <cfRule type="cellIs" dxfId="1" priority="874" operator="greaterThan">
      <formula>120</formula>
    </cfRule>
    <cfRule type="containsText" dxfId="2" priority="295" operator="between" text="库存为">
      <formula>NOT(ISERROR(SEARCH("库存为",AU290)))</formula>
    </cfRule>
  </conditionalFormatting>
  <conditionalFormatting sqref="AU291">
    <cfRule type="cellIs" dxfId="0" priority="1452" operator="lessThan">
      <formula>20</formula>
    </cfRule>
    <cfRule type="cellIs" dxfId="1" priority="873" operator="greaterThan">
      <formula>120</formula>
    </cfRule>
    <cfRule type="containsText" dxfId="2" priority="294" operator="between" text="库存为">
      <formula>NOT(ISERROR(SEARCH("库存为",AU291)))</formula>
    </cfRule>
  </conditionalFormatting>
  <conditionalFormatting sqref="AU292">
    <cfRule type="cellIs" dxfId="0" priority="1451" operator="lessThan">
      <formula>20</formula>
    </cfRule>
    <cfRule type="cellIs" dxfId="1" priority="872" operator="greaterThan">
      <formula>120</formula>
    </cfRule>
    <cfRule type="containsText" dxfId="2" priority="293" operator="between" text="库存为">
      <formula>NOT(ISERROR(SEARCH("库存为",AU292)))</formula>
    </cfRule>
  </conditionalFormatting>
  <conditionalFormatting sqref="AU293">
    <cfRule type="cellIs" dxfId="0" priority="1450" operator="lessThan">
      <formula>20</formula>
    </cfRule>
    <cfRule type="cellIs" dxfId="1" priority="871" operator="greaterThan">
      <formula>120</formula>
    </cfRule>
    <cfRule type="containsText" dxfId="2" priority="292" operator="between" text="库存为">
      <formula>NOT(ISERROR(SEARCH("库存为",AU293)))</formula>
    </cfRule>
  </conditionalFormatting>
  <conditionalFormatting sqref="AU294">
    <cfRule type="cellIs" dxfId="0" priority="1449" operator="lessThan">
      <formula>20</formula>
    </cfRule>
    <cfRule type="cellIs" dxfId="1" priority="870" operator="greaterThan">
      <formula>120</formula>
    </cfRule>
    <cfRule type="containsText" dxfId="2" priority="291" operator="between" text="库存为">
      <formula>NOT(ISERROR(SEARCH("库存为",AU294)))</formula>
    </cfRule>
  </conditionalFormatting>
  <conditionalFormatting sqref="AU295">
    <cfRule type="cellIs" dxfId="0" priority="1448" operator="lessThan">
      <formula>20</formula>
    </cfRule>
    <cfRule type="cellIs" dxfId="1" priority="869" operator="greaterThan">
      <formula>120</formula>
    </cfRule>
    <cfRule type="containsText" dxfId="2" priority="290" operator="between" text="库存为">
      <formula>NOT(ISERROR(SEARCH("库存为",AU295)))</formula>
    </cfRule>
  </conditionalFormatting>
  <conditionalFormatting sqref="AU296">
    <cfRule type="cellIs" dxfId="0" priority="1447" operator="lessThan">
      <formula>20</formula>
    </cfRule>
    <cfRule type="cellIs" dxfId="1" priority="868" operator="greaterThan">
      <formula>120</formula>
    </cfRule>
    <cfRule type="containsText" dxfId="2" priority="289" operator="between" text="库存为">
      <formula>NOT(ISERROR(SEARCH("库存为",AU296)))</formula>
    </cfRule>
  </conditionalFormatting>
  <conditionalFormatting sqref="AU297">
    <cfRule type="cellIs" dxfId="0" priority="1446" operator="lessThan">
      <formula>20</formula>
    </cfRule>
    <cfRule type="cellIs" dxfId="1" priority="867" operator="greaterThan">
      <formula>120</formula>
    </cfRule>
    <cfRule type="containsText" dxfId="2" priority="288" operator="between" text="库存为">
      <formula>NOT(ISERROR(SEARCH("库存为",AU297)))</formula>
    </cfRule>
  </conditionalFormatting>
  <conditionalFormatting sqref="AU298">
    <cfRule type="cellIs" dxfId="0" priority="1445" operator="lessThan">
      <formula>20</formula>
    </cfRule>
    <cfRule type="cellIs" dxfId="1" priority="866" operator="greaterThan">
      <formula>120</formula>
    </cfRule>
    <cfRule type="containsText" dxfId="2" priority="287" operator="between" text="库存为">
      <formula>NOT(ISERROR(SEARCH("库存为",AU298)))</formula>
    </cfRule>
  </conditionalFormatting>
  <conditionalFormatting sqref="AU299">
    <cfRule type="cellIs" dxfId="0" priority="1444" operator="lessThan">
      <formula>20</formula>
    </cfRule>
    <cfRule type="cellIs" dxfId="1" priority="865" operator="greaterThan">
      <formula>120</formula>
    </cfRule>
    <cfRule type="containsText" dxfId="2" priority="286" operator="between" text="库存为">
      <formula>NOT(ISERROR(SEARCH("库存为",AU299)))</formula>
    </cfRule>
  </conditionalFormatting>
  <conditionalFormatting sqref="AU300">
    <cfRule type="cellIs" dxfId="0" priority="1443" operator="lessThan">
      <formula>20</formula>
    </cfRule>
    <cfRule type="cellIs" dxfId="1" priority="864" operator="greaterThan">
      <formula>120</formula>
    </cfRule>
    <cfRule type="containsText" dxfId="2" priority="285" operator="between" text="库存为">
      <formula>NOT(ISERROR(SEARCH("库存为",AU300)))</formula>
    </cfRule>
  </conditionalFormatting>
  <conditionalFormatting sqref="AU301">
    <cfRule type="cellIs" dxfId="0" priority="1442" operator="lessThan">
      <formula>20</formula>
    </cfRule>
    <cfRule type="cellIs" dxfId="1" priority="863" operator="greaterThan">
      <formula>120</formula>
    </cfRule>
    <cfRule type="containsText" dxfId="2" priority="284" operator="between" text="库存为">
      <formula>NOT(ISERROR(SEARCH("库存为",AU301)))</formula>
    </cfRule>
  </conditionalFormatting>
  <conditionalFormatting sqref="AU302">
    <cfRule type="cellIs" dxfId="0" priority="1441" operator="lessThan">
      <formula>20</formula>
    </cfRule>
    <cfRule type="cellIs" dxfId="1" priority="862" operator="greaterThan">
      <formula>120</formula>
    </cfRule>
    <cfRule type="containsText" dxfId="2" priority="283" operator="between" text="库存为">
      <formula>NOT(ISERROR(SEARCH("库存为",AU302)))</formula>
    </cfRule>
  </conditionalFormatting>
  <conditionalFormatting sqref="AU303">
    <cfRule type="cellIs" dxfId="0" priority="1440" operator="lessThan">
      <formula>20</formula>
    </cfRule>
    <cfRule type="cellIs" dxfId="1" priority="861" operator="greaterThan">
      <formula>120</formula>
    </cfRule>
    <cfRule type="containsText" dxfId="2" priority="282" operator="between" text="库存为">
      <formula>NOT(ISERROR(SEARCH("库存为",AU303)))</formula>
    </cfRule>
  </conditionalFormatting>
  <conditionalFormatting sqref="AU304">
    <cfRule type="cellIs" dxfId="0" priority="1439" operator="lessThan">
      <formula>20</formula>
    </cfRule>
    <cfRule type="cellIs" dxfId="1" priority="860" operator="greaterThan">
      <formula>120</formula>
    </cfRule>
    <cfRule type="containsText" dxfId="2" priority="281" operator="between" text="库存为">
      <formula>NOT(ISERROR(SEARCH("库存为",AU304)))</formula>
    </cfRule>
  </conditionalFormatting>
  <conditionalFormatting sqref="AU305">
    <cfRule type="cellIs" dxfId="0" priority="1438" operator="lessThan">
      <formula>20</formula>
    </cfRule>
    <cfRule type="cellIs" dxfId="1" priority="859" operator="greaterThan">
      <formula>120</formula>
    </cfRule>
    <cfRule type="containsText" dxfId="2" priority="280" operator="between" text="库存为">
      <formula>NOT(ISERROR(SEARCH("库存为",AU305)))</formula>
    </cfRule>
  </conditionalFormatting>
  <conditionalFormatting sqref="AU306">
    <cfRule type="cellIs" dxfId="0" priority="1437" operator="lessThan">
      <formula>20</formula>
    </cfRule>
    <cfRule type="cellIs" dxfId="1" priority="858" operator="greaterThan">
      <formula>120</formula>
    </cfRule>
    <cfRule type="containsText" dxfId="2" priority="279" operator="between" text="库存为">
      <formula>NOT(ISERROR(SEARCH("库存为",AU306)))</formula>
    </cfRule>
  </conditionalFormatting>
  <conditionalFormatting sqref="AU307">
    <cfRule type="cellIs" dxfId="0" priority="1436" operator="lessThan">
      <formula>20</formula>
    </cfRule>
    <cfRule type="cellIs" dxfId="1" priority="857" operator="greaterThan">
      <formula>120</formula>
    </cfRule>
    <cfRule type="containsText" dxfId="2" priority="278" operator="between" text="库存为">
      <formula>NOT(ISERROR(SEARCH("库存为",AU307)))</formula>
    </cfRule>
  </conditionalFormatting>
  <conditionalFormatting sqref="AU308">
    <cfRule type="cellIs" dxfId="0" priority="1435" operator="lessThan">
      <formula>20</formula>
    </cfRule>
    <cfRule type="cellIs" dxfId="1" priority="856" operator="greaterThan">
      <formula>120</formula>
    </cfRule>
    <cfRule type="containsText" dxfId="2" priority="277" operator="between" text="库存为">
      <formula>NOT(ISERROR(SEARCH("库存为",AU308)))</formula>
    </cfRule>
  </conditionalFormatting>
  <conditionalFormatting sqref="AU309">
    <cfRule type="cellIs" dxfId="0" priority="1434" operator="lessThan">
      <formula>20</formula>
    </cfRule>
    <cfRule type="cellIs" dxfId="1" priority="855" operator="greaterThan">
      <formula>120</formula>
    </cfRule>
    <cfRule type="containsText" dxfId="2" priority="276" operator="between" text="库存为">
      <formula>NOT(ISERROR(SEARCH("库存为",AU309)))</formula>
    </cfRule>
  </conditionalFormatting>
  <conditionalFormatting sqref="AU310">
    <cfRule type="cellIs" dxfId="0" priority="1433" operator="lessThan">
      <formula>20</formula>
    </cfRule>
    <cfRule type="cellIs" dxfId="1" priority="854" operator="greaterThan">
      <formula>120</formula>
    </cfRule>
    <cfRule type="containsText" dxfId="2" priority="275" operator="between" text="库存为">
      <formula>NOT(ISERROR(SEARCH("库存为",AU310)))</formula>
    </cfRule>
  </conditionalFormatting>
  <conditionalFormatting sqref="AU311">
    <cfRule type="cellIs" dxfId="0" priority="1432" operator="lessThan">
      <formula>20</formula>
    </cfRule>
    <cfRule type="cellIs" dxfId="1" priority="853" operator="greaterThan">
      <formula>120</formula>
    </cfRule>
    <cfRule type="containsText" dxfId="2" priority="274" operator="between" text="库存为">
      <formula>NOT(ISERROR(SEARCH("库存为",AU311)))</formula>
    </cfRule>
  </conditionalFormatting>
  <conditionalFormatting sqref="AU312">
    <cfRule type="cellIs" dxfId="0" priority="1431" operator="lessThan">
      <formula>20</formula>
    </cfRule>
    <cfRule type="cellIs" dxfId="1" priority="852" operator="greaterThan">
      <formula>120</formula>
    </cfRule>
    <cfRule type="containsText" dxfId="2" priority="273" operator="between" text="库存为">
      <formula>NOT(ISERROR(SEARCH("库存为",AU312)))</formula>
    </cfRule>
  </conditionalFormatting>
  <conditionalFormatting sqref="AU313">
    <cfRule type="cellIs" dxfId="0" priority="1430" operator="lessThan">
      <formula>20</formula>
    </cfRule>
    <cfRule type="cellIs" dxfId="1" priority="851" operator="greaterThan">
      <formula>120</formula>
    </cfRule>
    <cfRule type="containsText" dxfId="2" priority="272" operator="between" text="库存为">
      <formula>NOT(ISERROR(SEARCH("库存为",AU313)))</formula>
    </cfRule>
  </conditionalFormatting>
  <conditionalFormatting sqref="AU314">
    <cfRule type="cellIs" dxfId="0" priority="1429" operator="lessThan">
      <formula>20</formula>
    </cfRule>
    <cfRule type="cellIs" dxfId="1" priority="850" operator="greaterThan">
      <formula>120</formula>
    </cfRule>
    <cfRule type="containsText" dxfId="2" priority="271" operator="between" text="库存为">
      <formula>NOT(ISERROR(SEARCH("库存为",AU314)))</formula>
    </cfRule>
  </conditionalFormatting>
  <conditionalFormatting sqref="AU315">
    <cfRule type="cellIs" dxfId="0" priority="1428" operator="lessThan">
      <formula>20</formula>
    </cfRule>
    <cfRule type="cellIs" dxfId="1" priority="849" operator="greaterThan">
      <formula>120</formula>
    </cfRule>
    <cfRule type="containsText" dxfId="2" priority="270" operator="between" text="库存为">
      <formula>NOT(ISERROR(SEARCH("库存为",AU315)))</formula>
    </cfRule>
  </conditionalFormatting>
  <conditionalFormatting sqref="AU316">
    <cfRule type="cellIs" dxfId="0" priority="1427" operator="lessThan">
      <formula>20</formula>
    </cfRule>
    <cfRule type="cellIs" dxfId="1" priority="848" operator="greaterThan">
      <formula>120</formula>
    </cfRule>
    <cfRule type="containsText" dxfId="2" priority="269" operator="between" text="库存为">
      <formula>NOT(ISERROR(SEARCH("库存为",AU316)))</formula>
    </cfRule>
  </conditionalFormatting>
  <conditionalFormatting sqref="AU317">
    <cfRule type="cellIs" dxfId="0" priority="1426" operator="lessThan">
      <formula>20</formula>
    </cfRule>
    <cfRule type="cellIs" dxfId="1" priority="847" operator="greaterThan">
      <formula>120</formula>
    </cfRule>
    <cfRule type="containsText" dxfId="2" priority="268" operator="between" text="库存为">
      <formula>NOT(ISERROR(SEARCH("库存为",AU317)))</formula>
    </cfRule>
  </conditionalFormatting>
  <conditionalFormatting sqref="AU318">
    <cfRule type="cellIs" dxfId="0" priority="1425" operator="lessThan">
      <formula>20</formula>
    </cfRule>
    <cfRule type="cellIs" dxfId="1" priority="846" operator="greaterThan">
      <formula>120</formula>
    </cfRule>
    <cfRule type="containsText" dxfId="2" priority="267" operator="between" text="库存为">
      <formula>NOT(ISERROR(SEARCH("库存为",AU318)))</formula>
    </cfRule>
  </conditionalFormatting>
  <conditionalFormatting sqref="AU319">
    <cfRule type="cellIs" dxfId="0" priority="1424" operator="lessThan">
      <formula>20</formula>
    </cfRule>
    <cfRule type="cellIs" dxfId="1" priority="845" operator="greaterThan">
      <formula>120</formula>
    </cfRule>
    <cfRule type="containsText" dxfId="2" priority="266" operator="between" text="库存为">
      <formula>NOT(ISERROR(SEARCH("库存为",AU319)))</formula>
    </cfRule>
  </conditionalFormatting>
  <conditionalFormatting sqref="AU320">
    <cfRule type="cellIs" dxfId="0" priority="1423" operator="lessThan">
      <formula>20</formula>
    </cfRule>
    <cfRule type="cellIs" dxfId="1" priority="844" operator="greaterThan">
      <formula>120</formula>
    </cfRule>
    <cfRule type="containsText" dxfId="2" priority="265" operator="between" text="库存为">
      <formula>NOT(ISERROR(SEARCH("库存为",AU320)))</formula>
    </cfRule>
  </conditionalFormatting>
  <conditionalFormatting sqref="AU321">
    <cfRule type="cellIs" dxfId="0" priority="1422" operator="lessThan">
      <formula>20</formula>
    </cfRule>
    <cfRule type="cellIs" dxfId="1" priority="843" operator="greaterThan">
      <formula>120</formula>
    </cfRule>
    <cfRule type="containsText" dxfId="2" priority="264" operator="between" text="库存为">
      <formula>NOT(ISERROR(SEARCH("库存为",AU321)))</formula>
    </cfRule>
  </conditionalFormatting>
  <conditionalFormatting sqref="AU322">
    <cfRule type="cellIs" dxfId="0" priority="1421" operator="lessThan">
      <formula>20</formula>
    </cfRule>
    <cfRule type="cellIs" dxfId="1" priority="842" operator="greaterThan">
      <formula>120</formula>
    </cfRule>
    <cfRule type="containsText" dxfId="2" priority="263" operator="between" text="库存为">
      <formula>NOT(ISERROR(SEARCH("库存为",AU322)))</formula>
    </cfRule>
  </conditionalFormatting>
  <conditionalFormatting sqref="AU323">
    <cfRule type="cellIs" dxfId="0" priority="1420" operator="lessThan">
      <formula>20</formula>
    </cfRule>
    <cfRule type="cellIs" dxfId="1" priority="841" operator="greaterThan">
      <formula>120</formula>
    </cfRule>
    <cfRule type="containsText" dxfId="2" priority="262" operator="between" text="库存为">
      <formula>NOT(ISERROR(SEARCH("库存为",AU323)))</formula>
    </cfRule>
  </conditionalFormatting>
  <conditionalFormatting sqref="AU324">
    <cfRule type="cellIs" dxfId="0" priority="1419" operator="lessThan">
      <formula>20</formula>
    </cfRule>
    <cfRule type="cellIs" dxfId="1" priority="840" operator="greaterThan">
      <formula>120</formula>
    </cfRule>
    <cfRule type="containsText" dxfId="2" priority="261" operator="between" text="库存为">
      <formula>NOT(ISERROR(SEARCH("库存为",AU324)))</formula>
    </cfRule>
  </conditionalFormatting>
  <conditionalFormatting sqref="AU325">
    <cfRule type="cellIs" dxfId="0" priority="1418" operator="lessThan">
      <formula>20</formula>
    </cfRule>
    <cfRule type="cellIs" dxfId="1" priority="839" operator="greaterThan">
      <formula>120</formula>
    </cfRule>
    <cfRule type="containsText" dxfId="2" priority="260" operator="between" text="库存为">
      <formula>NOT(ISERROR(SEARCH("库存为",AU325)))</formula>
    </cfRule>
  </conditionalFormatting>
  <conditionalFormatting sqref="AU326">
    <cfRule type="cellIs" dxfId="0" priority="1417" operator="lessThan">
      <formula>20</formula>
    </cfRule>
    <cfRule type="cellIs" dxfId="1" priority="838" operator="greaterThan">
      <formula>120</formula>
    </cfRule>
    <cfRule type="containsText" dxfId="2" priority="259" operator="between" text="库存为">
      <formula>NOT(ISERROR(SEARCH("库存为",AU326)))</formula>
    </cfRule>
  </conditionalFormatting>
  <conditionalFormatting sqref="AU327">
    <cfRule type="cellIs" dxfId="0" priority="1416" operator="lessThan">
      <formula>20</formula>
    </cfRule>
    <cfRule type="cellIs" dxfId="1" priority="837" operator="greaterThan">
      <formula>120</formula>
    </cfRule>
    <cfRule type="containsText" dxfId="2" priority="258" operator="between" text="库存为">
      <formula>NOT(ISERROR(SEARCH("库存为",AU327)))</formula>
    </cfRule>
  </conditionalFormatting>
  <conditionalFormatting sqref="AU328">
    <cfRule type="cellIs" dxfId="0" priority="1415" operator="lessThan">
      <formula>20</formula>
    </cfRule>
    <cfRule type="cellIs" dxfId="1" priority="836" operator="greaterThan">
      <formula>120</formula>
    </cfRule>
    <cfRule type="containsText" dxfId="2" priority="257" operator="between" text="库存为">
      <formula>NOT(ISERROR(SEARCH("库存为",AU328)))</formula>
    </cfRule>
  </conditionalFormatting>
  <conditionalFormatting sqref="AU329">
    <cfRule type="cellIs" dxfId="0" priority="1414" operator="lessThan">
      <formula>20</formula>
    </cfRule>
    <cfRule type="cellIs" dxfId="1" priority="835" operator="greaterThan">
      <formula>120</formula>
    </cfRule>
    <cfRule type="containsText" dxfId="2" priority="256" operator="between" text="库存为">
      <formula>NOT(ISERROR(SEARCH("库存为",AU329)))</formula>
    </cfRule>
  </conditionalFormatting>
  <conditionalFormatting sqref="AU330">
    <cfRule type="cellIs" dxfId="0" priority="1413" operator="lessThan">
      <formula>20</formula>
    </cfRule>
    <cfRule type="cellIs" dxfId="1" priority="834" operator="greaterThan">
      <formula>120</formula>
    </cfRule>
    <cfRule type="containsText" dxfId="2" priority="255" operator="between" text="库存为">
      <formula>NOT(ISERROR(SEARCH("库存为",AU330)))</formula>
    </cfRule>
  </conditionalFormatting>
  <conditionalFormatting sqref="AU331">
    <cfRule type="cellIs" dxfId="0" priority="1412" operator="lessThan">
      <formula>20</formula>
    </cfRule>
    <cfRule type="cellIs" dxfId="1" priority="833" operator="greaterThan">
      <formula>120</formula>
    </cfRule>
    <cfRule type="containsText" dxfId="2" priority="254" operator="between" text="库存为">
      <formula>NOT(ISERROR(SEARCH("库存为",AU331)))</formula>
    </cfRule>
  </conditionalFormatting>
  <conditionalFormatting sqref="AU332">
    <cfRule type="cellIs" dxfId="0" priority="1411" operator="lessThan">
      <formula>20</formula>
    </cfRule>
    <cfRule type="cellIs" dxfId="1" priority="832" operator="greaterThan">
      <formula>120</formula>
    </cfRule>
    <cfRule type="containsText" dxfId="2" priority="253" operator="between" text="库存为">
      <formula>NOT(ISERROR(SEARCH("库存为",AU332)))</formula>
    </cfRule>
  </conditionalFormatting>
  <conditionalFormatting sqref="AU333">
    <cfRule type="cellIs" dxfId="0" priority="1410" operator="lessThan">
      <formula>20</formula>
    </cfRule>
    <cfRule type="cellIs" dxfId="1" priority="831" operator="greaterThan">
      <formula>120</formula>
    </cfRule>
    <cfRule type="containsText" dxfId="2" priority="252" operator="between" text="库存为">
      <formula>NOT(ISERROR(SEARCH("库存为",AU333)))</formula>
    </cfRule>
  </conditionalFormatting>
  <conditionalFormatting sqref="AU334">
    <cfRule type="cellIs" dxfId="0" priority="1409" operator="lessThan">
      <formula>20</formula>
    </cfRule>
    <cfRule type="cellIs" dxfId="1" priority="830" operator="greaterThan">
      <formula>120</formula>
    </cfRule>
    <cfRule type="containsText" dxfId="2" priority="251" operator="between" text="库存为">
      <formula>NOT(ISERROR(SEARCH("库存为",AU334)))</formula>
    </cfRule>
  </conditionalFormatting>
  <conditionalFormatting sqref="AU335">
    <cfRule type="cellIs" dxfId="0" priority="1408" operator="lessThan">
      <formula>20</formula>
    </cfRule>
    <cfRule type="cellIs" dxfId="1" priority="829" operator="greaterThan">
      <formula>120</formula>
    </cfRule>
    <cfRule type="containsText" dxfId="2" priority="250" operator="between" text="库存为">
      <formula>NOT(ISERROR(SEARCH("库存为",AU335)))</formula>
    </cfRule>
  </conditionalFormatting>
  <conditionalFormatting sqref="AU336">
    <cfRule type="cellIs" dxfId="0" priority="1407" operator="lessThan">
      <formula>20</formula>
    </cfRule>
    <cfRule type="cellIs" dxfId="1" priority="828" operator="greaterThan">
      <formula>120</formula>
    </cfRule>
    <cfRule type="containsText" dxfId="2" priority="249" operator="between" text="库存为">
      <formula>NOT(ISERROR(SEARCH("库存为",AU336)))</formula>
    </cfRule>
  </conditionalFormatting>
  <conditionalFormatting sqref="AU337">
    <cfRule type="cellIs" dxfId="0" priority="1406" operator="lessThan">
      <formula>20</formula>
    </cfRule>
    <cfRule type="cellIs" dxfId="1" priority="827" operator="greaterThan">
      <formula>120</formula>
    </cfRule>
    <cfRule type="containsText" dxfId="2" priority="248" operator="between" text="库存为">
      <formula>NOT(ISERROR(SEARCH("库存为",AU337)))</formula>
    </cfRule>
  </conditionalFormatting>
  <conditionalFormatting sqref="AU338">
    <cfRule type="cellIs" dxfId="0" priority="1405" operator="lessThan">
      <formula>20</formula>
    </cfRule>
    <cfRule type="cellIs" dxfId="1" priority="826" operator="greaterThan">
      <formula>120</formula>
    </cfRule>
    <cfRule type="containsText" dxfId="2" priority="247" operator="between" text="库存为">
      <formula>NOT(ISERROR(SEARCH("库存为",AU338)))</formula>
    </cfRule>
  </conditionalFormatting>
  <conditionalFormatting sqref="AU339">
    <cfRule type="cellIs" dxfId="0" priority="1404" operator="lessThan">
      <formula>20</formula>
    </cfRule>
    <cfRule type="cellIs" dxfId="1" priority="825" operator="greaterThan">
      <formula>120</formula>
    </cfRule>
    <cfRule type="containsText" dxfId="2" priority="246" operator="between" text="库存为">
      <formula>NOT(ISERROR(SEARCH("库存为",AU339)))</formula>
    </cfRule>
  </conditionalFormatting>
  <conditionalFormatting sqref="AU340">
    <cfRule type="cellIs" dxfId="0" priority="1403" operator="lessThan">
      <formula>20</formula>
    </cfRule>
    <cfRule type="cellIs" dxfId="1" priority="824" operator="greaterThan">
      <formula>120</formula>
    </cfRule>
    <cfRule type="containsText" dxfId="2" priority="245" operator="between" text="库存为">
      <formula>NOT(ISERROR(SEARCH("库存为",AU340)))</formula>
    </cfRule>
  </conditionalFormatting>
  <conditionalFormatting sqref="AU341">
    <cfRule type="cellIs" dxfId="0" priority="1402" operator="lessThan">
      <formula>20</formula>
    </cfRule>
    <cfRule type="cellIs" dxfId="1" priority="823" operator="greaterThan">
      <formula>120</formula>
    </cfRule>
    <cfRule type="containsText" dxfId="2" priority="244" operator="between" text="库存为">
      <formula>NOT(ISERROR(SEARCH("库存为",AU341)))</formula>
    </cfRule>
  </conditionalFormatting>
  <conditionalFormatting sqref="AU342">
    <cfRule type="cellIs" dxfId="0" priority="1401" operator="lessThan">
      <formula>20</formula>
    </cfRule>
    <cfRule type="cellIs" dxfId="1" priority="822" operator="greaterThan">
      <formula>120</formula>
    </cfRule>
    <cfRule type="containsText" dxfId="2" priority="243" operator="between" text="库存为">
      <formula>NOT(ISERROR(SEARCH("库存为",AU342)))</formula>
    </cfRule>
  </conditionalFormatting>
  <conditionalFormatting sqref="AU343">
    <cfRule type="cellIs" dxfId="0" priority="1400" operator="lessThan">
      <formula>20</formula>
    </cfRule>
    <cfRule type="cellIs" dxfId="1" priority="821" operator="greaterThan">
      <formula>120</formula>
    </cfRule>
    <cfRule type="containsText" dxfId="2" priority="242" operator="between" text="库存为">
      <formula>NOT(ISERROR(SEARCH("库存为",AU343)))</formula>
    </cfRule>
  </conditionalFormatting>
  <conditionalFormatting sqref="AU344">
    <cfRule type="cellIs" dxfId="0" priority="1399" operator="lessThan">
      <formula>20</formula>
    </cfRule>
    <cfRule type="cellIs" dxfId="1" priority="820" operator="greaterThan">
      <formula>120</formula>
    </cfRule>
    <cfRule type="containsText" dxfId="2" priority="241" operator="between" text="库存为">
      <formula>NOT(ISERROR(SEARCH("库存为",AU344)))</formula>
    </cfRule>
  </conditionalFormatting>
  <conditionalFormatting sqref="AU345">
    <cfRule type="cellIs" dxfId="0" priority="1398" operator="lessThan">
      <formula>20</formula>
    </cfRule>
    <cfRule type="cellIs" dxfId="1" priority="819" operator="greaterThan">
      <formula>120</formula>
    </cfRule>
    <cfRule type="containsText" dxfId="2" priority="240" operator="between" text="库存为">
      <formula>NOT(ISERROR(SEARCH("库存为",AU345)))</formula>
    </cfRule>
  </conditionalFormatting>
  <conditionalFormatting sqref="AU346">
    <cfRule type="cellIs" dxfId="0" priority="1397" operator="lessThan">
      <formula>20</formula>
    </cfRule>
    <cfRule type="cellIs" dxfId="1" priority="818" operator="greaterThan">
      <formula>120</formula>
    </cfRule>
    <cfRule type="containsText" dxfId="2" priority="239" operator="between" text="库存为">
      <formula>NOT(ISERROR(SEARCH("库存为",AU346)))</formula>
    </cfRule>
  </conditionalFormatting>
  <conditionalFormatting sqref="AU347">
    <cfRule type="cellIs" dxfId="0" priority="1396" operator="lessThan">
      <formula>20</formula>
    </cfRule>
    <cfRule type="cellIs" dxfId="1" priority="817" operator="greaterThan">
      <formula>120</formula>
    </cfRule>
    <cfRule type="containsText" dxfId="2" priority="238" operator="between" text="库存为">
      <formula>NOT(ISERROR(SEARCH("库存为",AU347)))</formula>
    </cfRule>
  </conditionalFormatting>
  <conditionalFormatting sqref="AU348">
    <cfRule type="cellIs" dxfId="0" priority="1395" operator="lessThan">
      <formula>20</formula>
    </cfRule>
    <cfRule type="cellIs" dxfId="1" priority="816" operator="greaterThan">
      <formula>120</formula>
    </cfRule>
    <cfRule type="containsText" dxfId="2" priority="237" operator="between" text="库存为">
      <formula>NOT(ISERROR(SEARCH("库存为",AU348)))</formula>
    </cfRule>
  </conditionalFormatting>
  <conditionalFormatting sqref="AU349">
    <cfRule type="cellIs" dxfId="0" priority="1394" operator="lessThan">
      <formula>20</formula>
    </cfRule>
    <cfRule type="cellIs" dxfId="1" priority="815" operator="greaterThan">
      <formula>120</formula>
    </cfRule>
    <cfRule type="containsText" dxfId="2" priority="236" operator="between" text="库存为">
      <formula>NOT(ISERROR(SEARCH("库存为",AU349)))</formula>
    </cfRule>
  </conditionalFormatting>
  <conditionalFormatting sqref="AU350">
    <cfRule type="cellIs" dxfId="0" priority="1393" operator="lessThan">
      <formula>20</formula>
    </cfRule>
    <cfRule type="cellIs" dxfId="1" priority="814" operator="greaterThan">
      <formula>120</formula>
    </cfRule>
    <cfRule type="containsText" dxfId="2" priority="235" operator="between" text="库存为">
      <formula>NOT(ISERROR(SEARCH("库存为",AU350)))</formula>
    </cfRule>
  </conditionalFormatting>
  <conditionalFormatting sqref="AU351">
    <cfRule type="cellIs" dxfId="0" priority="1392" operator="lessThan">
      <formula>20</formula>
    </cfRule>
    <cfRule type="cellIs" dxfId="1" priority="813" operator="greaterThan">
      <formula>120</formula>
    </cfRule>
    <cfRule type="containsText" dxfId="2" priority="234" operator="between" text="库存为">
      <formula>NOT(ISERROR(SEARCH("库存为",AU351)))</formula>
    </cfRule>
  </conditionalFormatting>
  <conditionalFormatting sqref="AU352">
    <cfRule type="cellIs" dxfId="0" priority="1391" operator="lessThan">
      <formula>20</formula>
    </cfRule>
    <cfRule type="cellIs" dxfId="1" priority="812" operator="greaterThan">
      <formula>120</formula>
    </cfRule>
    <cfRule type="containsText" dxfId="2" priority="233" operator="between" text="库存为">
      <formula>NOT(ISERROR(SEARCH("库存为",AU352)))</formula>
    </cfRule>
  </conditionalFormatting>
  <conditionalFormatting sqref="AU353">
    <cfRule type="cellIs" dxfId="0" priority="1390" operator="lessThan">
      <formula>20</formula>
    </cfRule>
    <cfRule type="cellIs" dxfId="1" priority="811" operator="greaterThan">
      <formula>120</formula>
    </cfRule>
    <cfRule type="containsText" dxfId="2" priority="232" operator="between" text="库存为">
      <formula>NOT(ISERROR(SEARCH("库存为",AU353)))</formula>
    </cfRule>
  </conditionalFormatting>
  <conditionalFormatting sqref="AU354">
    <cfRule type="cellIs" dxfId="0" priority="1389" operator="lessThan">
      <formula>20</formula>
    </cfRule>
    <cfRule type="cellIs" dxfId="1" priority="810" operator="greaterThan">
      <formula>120</formula>
    </cfRule>
    <cfRule type="containsText" dxfId="2" priority="231" operator="between" text="库存为">
      <formula>NOT(ISERROR(SEARCH("库存为",AU354)))</formula>
    </cfRule>
  </conditionalFormatting>
  <conditionalFormatting sqref="AU355">
    <cfRule type="cellIs" dxfId="0" priority="1388" operator="lessThan">
      <formula>20</formula>
    </cfRule>
    <cfRule type="cellIs" dxfId="1" priority="809" operator="greaterThan">
      <formula>120</formula>
    </cfRule>
    <cfRule type="containsText" dxfId="2" priority="230" operator="between" text="库存为">
      <formula>NOT(ISERROR(SEARCH("库存为",AU355)))</formula>
    </cfRule>
  </conditionalFormatting>
  <conditionalFormatting sqref="AU356">
    <cfRule type="cellIs" dxfId="0" priority="1387" operator="lessThan">
      <formula>20</formula>
    </cfRule>
    <cfRule type="cellIs" dxfId="1" priority="808" operator="greaterThan">
      <formula>120</formula>
    </cfRule>
    <cfRule type="containsText" dxfId="2" priority="229" operator="between" text="库存为">
      <formula>NOT(ISERROR(SEARCH("库存为",AU356)))</formula>
    </cfRule>
  </conditionalFormatting>
  <conditionalFormatting sqref="AU357">
    <cfRule type="cellIs" dxfId="0" priority="1386" operator="lessThan">
      <formula>20</formula>
    </cfRule>
    <cfRule type="cellIs" dxfId="1" priority="807" operator="greaterThan">
      <formula>120</formula>
    </cfRule>
    <cfRule type="containsText" dxfId="2" priority="228" operator="between" text="库存为">
      <formula>NOT(ISERROR(SEARCH("库存为",AU357)))</formula>
    </cfRule>
  </conditionalFormatting>
  <conditionalFormatting sqref="AU358">
    <cfRule type="cellIs" dxfId="0" priority="1385" operator="lessThan">
      <formula>20</formula>
    </cfRule>
    <cfRule type="cellIs" dxfId="1" priority="806" operator="greaterThan">
      <formula>120</formula>
    </cfRule>
    <cfRule type="containsText" dxfId="2" priority="227" operator="between" text="库存为">
      <formula>NOT(ISERROR(SEARCH("库存为",AU358)))</formula>
    </cfRule>
  </conditionalFormatting>
  <conditionalFormatting sqref="AU359">
    <cfRule type="cellIs" dxfId="0" priority="1384" operator="lessThan">
      <formula>20</formula>
    </cfRule>
    <cfRule type="cellIs" dxfId="1" priority="805" operator="greaterThan">
      <formula>120</formula>
    </cfRule>
    <cfRule type="containsText" dxfId="2" priority="226" operator="between" text="库存为">
      <formula>NOT(ISERROR(SEARCH("库存为",AU359)))</formula>
    </cfRule>
  </conditionalFormatting>
  <conditionalFormatting sqref="AU360">
    <cfRule type="cellIs" dxfId="0" priority="1383" operator="lessThan">
      <formula>20</formula>
    </cfRule>
    <cfRule type="cellIs" dxfId="1" priority="804" operator="greaterThan">
      <formula>120</formula>
    </cfRule>
    <cfRule type="containsText" dxfId="2" priority="225" operator="between" text="库存为">
      <formula>NOT(ISERROR(SEARCH("库存为",AU360)))</formula>
    </cfRule>
  </conditionalFormatting>
  <conditionalFormatting sqref="AU361">
    <cfRule type="cellIs" dxfId="0" priority="1382" operator="lessThan">
      <formula>20</formula>
    </cfRule>
    <cfRule type="cellIs" dxfId="1" priority="803" operator="greaterThan">
      <formula>120</formula>
    </cfRule>
    <cfRule type="containsText" dxfId="2" priority="224" operator="between" text="库存为">
      <formula>NOT(ISERROR(SEARCH("库存为",AU361)))</formula>
    </cfRule>
  </conditionalFormatting>
  <conditionalFormatting sqref="AU362">
    <cfRule type="cellIs" dxfId="0" priority="1381" operator="lessThan">
      <formula>20</formula>
    </cfRule>
    <cfRule type="cellIs" dxfId="1" priority="802" operator="greaterThan">
      <formula>120</formula>
    </cfRule>
    <cfRule type="containsText" dxfId="2" priority="223" operator="between" text="库存为">
      <formula>NOT(ISERROR(SEARCH("库存为",AU362)))</formula>
    </cfRule>
  </conditionalFormatting>
  <conditionalFormatting sqref="AU363">
    <cfRule type="cellIs" dxfId="0" priority="1380" operator="lessThan">
      <formula>20</formula>
    </cfRule>
    <cfRule type="cellIs" dxfId="1" priority="801" operator="greaterThan">
      <formula>120</formula>
    </cfRule>
    <cfRule type="containsText" dxfId="2" priority="222" operator="between" text="库存为">
      <formula>NOT(ISERROR(SEARCH("库存为",AU363)))</formula>
    </cfRule>
  </conditionalFormatting>
  <conditionalFormatting sqref="AU364">
    <cfRule type="cellIs" dxfId="0" priority="1379" operator="lessThan">
      <formula>20</formula>
    </cfRule>
    <cfRule type="cellIs" dxfId="1" priority="800" operator="greaterThan">
      <formula>120</formula>
    </cfRule>
    <cfRule type="containsText" dxfId="2" priority="221" operator="between" text="库存为">
      <formula>NOT(ISERROR(SEARCH("库存为",AU364)))</formula>
    </cfRule>
  </conditionalFormatting>
  <conditionalFormatting sqref="AU365">
    <cfRule type="cellIs" dxfId="0" priority="1378" operator="lessThan">
      <formula>20</formula>
    </cfRule>
    <cfRule type="cellIs" dxfId="1" priority="799" operator="greaterThan">
      <formula>120</formula>
    </cfRule>
    <cfRule type="containsText" dxfId="2" priority="220" operator="between" text="库存为">
      <formula>NOT(ISERROR(SEARCH("库存为",AU365)))</formula>
    </cfRule>
  </conditionalFormatting>
  <conditionalFormatting sqref="AU366">
    <cfRule type="cellIs" dxfId="0" priority="1377" operator="lessThan">
      <formula>20</formula>
    </cfRule>
    <cfRule type="cellIs" dxfId="1" priority="798" operator="greaterThan">
      <formula>120</formula>
    </cfRule>
    <cfRule type="containsText" dxfId="2" priority="219" operator="between" text="库存为">
      <formula>NOT(ISERROR(SEARCH("库存为",AU366)))</formula>
    </cfRule>
  </conditionalFormatting>
  <conditionalFormatting sqref="AU367">
    <cfRule type="cellIs" dxfId="0" priority="1376" operator="lessThan">
      <formula>20</formula>
    </cfRule>
    <cfRule type="cellIs" dxfId="1" priority="797" operator="greaterThan">
      <formula>120</formula>
    </cfRule>
    <cfRule type="containsText" dxfId="2" priority="218" operator="between" text="库存为">
      <formula>NOT(ISERROR(SEARCH("库存为",AU367)))</formula>
    </cfRule>
  </conditionalFormatting>
  <conditionalFormatting sqref="AU368">
    <cfRule type="cellIs" dxfId="0" priority="1375" operator="lessThan">
      <formula>20</formula>
    </cfRule>
    <cfRule type="cellIs" dxfId="1" priority="796" operator="greaterThan">
      <formula>120</formula>
    </cfRule>
    <cfRule type="containsText" dxfId="2" priority="217" operator="between" text="库存为">
      <formula>NOT(ISERROR(SEARCH("库存为",AU368)))</formula>
    </cfRule>
  </conditionalFormatting>
  <conditionalFormatting sqref="AU369">
    <cfRule type="cellIs" dxfId="0" priority="1374" operator="lessThan">
      <formula>20</formula>
    </cfRule>
    <cfRule type="cellIs" dxfId="1" priority="795" operator="greaterThan">
      <formula>120</formula>
    </cfRule>
    <cfRule type="containsText" dxfId="2" priority="216" operator="between" text="库存为">
      <formula>NOT(ISERROR(SEARCH("库存为",AU369)))</formula>
    </cfRule>
  </conditionalFormatting>
  <conditionalFormatting sqref="AU370">
    <cfRule type="cellIs" dxfId="0" priority="1373" operator="lessThan">
      <formula>20</formula>
    </cfRule>
    <cfRule type="cellIs" dxfId="1" priority="794" operator="greaterThan">
      <formula>120</formula>
    </cfRule>
    <cfRule type="containsText" dxfId="2" priority="215" operator="between" text="库存为">
      <formula>NOT(ISERROR(SEARCH("库存为",AU370)))</formula>
    </cfRule>
  </conditionalFormatting>
  <conditionalFormatting sqref="AU371">
    <cfRule type="cellIs" dxfId="0" priority="1372" operator="lessThan">
      <formula>20</formula>
    </cfRule>
    <cfRule type="cellIs" dxfId="1" priority="793" operator="greaterThan">
      <formula>120</formula>
    </cfRule>
    <cfRule type="containsText" dxfId="2" priority="214" operator="between" text="库存为">
      <formula>NOT(ISERROR(SEARCH("库存为",AU371)))</formula>
    </cfRule>
  </conditionalFormatting>
  <conditionalFormatting sqref="AU372">
    <cfRule type="cellIs" dxfId="0" priority="1371" operator="lessThan">
      <formula>20</formula>
    </cfRule>
    <cfRule type="cellIs" dxfId="1" priority="792" operator="greaterThan">
      <formula>120</formula>
    </cfRule>
    <cfRule type="containsText" dxfId="2" priority="213" operator="between" text="库存为">
      <formula>NOT(ISERROR(SEARCH("库存为",AU372)))</formula>
    </cfRule>
  </conditionalFormatting>
  <conditionalFormatting sqref="AU373">
    <cfRule type="cellIs" dxfId="0" priority="1370" operator="lessThan">
      <formula>20</formula>
    </cfRule>
    <cfRule type="cellIs" dxfId="1" priority="791" operator="greaterThan">
      <formula>120</formula>
    </cfRule>
    <cfRule type="containsText" dxfId="2" priority="212" operator="between" text="库存为">
      <formula>NOT(ISERROR(SEARCH("库存为",AU373)))</formula>
    </cfRule>
  </conditionalFormatting>
  <conditionalFormatting sqref="AU374">
    <cfRule type="cellIs" dxfId="0" priority="1369" operator="lessThan">
      <formula>20</formula>
    </cfRule>
    <cfRule type="cellIs" dxfId="1" priority="790" operator="greaterThan">
      <formula>120</formula>
    </cfRule>
    <cfRule type="containsText" dxfId="2" priority="211" operator="between" text="库存为">
      <formula>NOT(ISERROR(SEARCH("库存为",AU374)))</formula>
    </cfRule>
  </conditionalFormatting>
  <conditionalFormatting sqref="AU375">
    <cfRule type="cellIs" dxfId="0" priority="1368" operator="lessThan">
      <formula>20</formula>
    </cfRule>
    <cfRule type="cellIs" dxfId="1" priority="789" operator="greaterThan">
      <formula>120</formula>
    </cfRule>
    <cfRule type="containsText" dxfId="2" priority="210" operator="between" text="库存为">
      <formula>NOT(ISERROR(SEARCH("库存为",AU375)))</formula>
    </cfRule>
  </conditionalFormatting>
  <conditionalFormatting sqref="AU376">
    <cfRule type="cellIs" dxfId="0" priority="1367" operator="lessThan">
      <formula>20</formula>
    </cfRule>
    <cfRule type="cellIs" dxfId="1" priority="788" operator="greaterThan">
      <formula>120</formula>
    </cfRule>
    <cfRule type="containsText" dxfId="2" priority="209" operator="between" text="库存为">
      <formula>NOT(ISERROR(SEARCH("库存为",AU376)))</formula>
    </cfRule>
  </conditionalFormatting>
  <conditionalFormatting sqref="AU377">
    <cfRule type="cellIs" dxfId="0" priority="1366" operator="lessThan">
      <formula>20</formula>
    </cfRule>
    <cfRule type="cellIs" dxfId="1" priority="787" operator="greaterThan">
      <formula>120</formula>
    </cfRule>
    <cfRule type="containsText" dxfId="2" priority="208" operator="between" text="库存为">
      <formula>NOT(ISERROR(SEARCH("库存为",AU377)))</formula>
    </cfRule>
  </conditionalFormatting>
  <conditionalFormatting sqref="AU378">
    <cfRule type="cellIs" dxfId="0" priority="1365" operator="lessThan">
      <formula>20</formula>
    </cfRule>
    <cfRule type="cellIs" dxfId="1" priority="786" operator="greaterThan">
      <formula>120</formula>
    </cfRule>
    <cfRule type="containsText" dxfId="2" priority="207" operator="between" text="库存为">
      <formula>NOT(ISERROR(SEARCH("库存为",AU378)))</formula>
    </cfRule>
  </conditionalFormatting>
  <conditionalFormatting sqref="AU379">
    <cfRule type="cellIs" dxfId="0" priority="1364" operator="lessThan">
      <formula>20</formula>
    </cfRule>
    <cfRule type="cellIs" dxfId="1" priority="785" operator="greaterThan">
      <formula>120</formula>
    </cfRule>
    <cfRule type="containsText" dxfId="2" priority="206" operator="between" text="库存为">
      <formula>NOT(ISERROR(SEARCH("库存为",AU379)))</formula>
    </cfRule>
  </conditionalFormatting>
  <conditionalFormatting sqref="AU380">
    <cfRule type="cellIs" dxfId="0" priority="1363" operator="lessThan">
      <formula>20</formula>
    </cfRule>
    <cfRule type="cellIs" dxfId="1" priority="784" operator="greaterThan">
      <formula>120</formula>
    </cfRule>
    <cfRule type="containsText" dxfId="2" priority="205" operator="between" text="库存为">
      <formula>NOT(ISERROR(SEARCH("库存为",AU380)))</formula>
    </cfRule>
  </conditionalFormatting>
  <conditionalFormatting sqref="AU381">
    <cfRule type="cellIs" dxfId="0" priority="1362" operator="lessThan">
      <formula>20</formula>
    </cfRule>
    <cfRule type="cellIs" dxfId="1" priority="783" operator="greaterThan">
      <formula>120</formula>
    </cfRule>
    <cfRule type="containsText" dxfId="2" priority="204" operator="between" text="库存为">
      <formula>NOT(ISERROR(SEARCH("库存为",AU381)))</formula>
    </cfRule>
  </conditionalFormatting>
  <conditionalFormatting sqref="AU382">
    <cfRule type="cellIs" dxfId="0" priority="1361" operator="lessThan">
      <formula>20</formula>
    </cfRule>
    <cfRule type="cellIs" dxfId="1" priority="782" operator="greaterThan">
      <formula>120</formula>
    </cfRule>
    <cfRule type="containsText" dxfId="2" priority="203" operator="between" text="库存为">
      <formula>NOT(ISERROR(SEARCH("库存为",AU382)))</formula>
    </cfRule>
  </conditionalFormatting>
  <conditionalFormatting sqref="AU383">
    <cfRule type="cellIs" dxfId="0" priority="1360" operator="lessThan">
      <formula>20</formula>
    </cfRule>
    <cfRule type="cellIs" dxfId="1" priority="781" operator="greaterThan">
      <formula>120</formula>
    </cfRule>
    <cfRule type="containsText" dxfId="2" priority="202" operator="between" text="库存为">
      <formula>NOT(ISERROR(SEARCH("库存为",AU383)))</formula>
    </cfRule>
  </conditionalFormatting>
  <conditionalFormatting sqref="AU384">
    <cfRule type="cellIs" dxfId="0" priority="1359" operator="lessThan">
      <formula>20</formula>
    </cfRule>
    <cfRule type="cellIs" dxfId="1" priority="780" operator="greaterThan">
      <formula>120</formula>
    </cfRule>
    <cfRule type="containsText" dxfId="2" priority="201" operator="between" text="库存为">
      <formula>NOT(ISERROR(SEARCH("库存为",AU384)))</formula>
    </cfRule>
  </conditionalFormatting>
  <conditionalFormatting sqref="AU385">
    <cfRule type="cellIs" dxfId="0" priority="1358" operator="lessThan">
      <formula>20</formula>
    </cfRule>
    <cfRule type="cellIs" dxfId="1" priority="779" operator="greaterThan">
      <formula>120</formula>
    </cfRule>
    <cfRule type="containsText" dxfId="2" priority="200" operator="between" text="库存为">
      <formula>NOT(ISERROR(SEARCH("库存为",AU385)))</formula>
    </cfRule>
  </conditionalFormatting>
  <conditionalFormatting sqref="AU386">
    <cfRule type="cellIs" dxfId="0" priority="1357" operator="lessThan">
      <formula>20</formula>
    </cfRule>
    <cfRule type="cellIs" dxfId="1" priority="778" operator="greaterThan">
      <formula>120</formula>
    </cfRule>
    <cfRule type="containsText" dxfId="2" priority="199" operator="between" text="库存为">
      <formula>NOT(ISERROR(SEARCH("库存为",AU386)))</formula>
    </cfRule>
  </conditionalFormatting>
  <conditionalFormatting sqref="AU387">
    <cfRule type="cellIs" dxfId="0" priority="1356" operator="lessThan">
      <formula>20</formula>
    </cfRule>
    <cfRule type="cellIs" dxfId="1" priority="777" operator="greaterThan">
      <formula>120</formula>
    </cfRule>
    <cfRule type="containsText" dxfId="2" priority="198" operator="between" text="库存为">
      <formula>NOT(ISERROR(SEARCH("库存为",AU387)))</formula>
    </cfRule>
  </conditionalFormatting>
  <conditionalFormatting sqref="AU388">
    <cfRule type="cellIs" dxfId="0" priority="1355" operator="lessThan">
      <formula>20</formula>
    </cfRule>
    <cfRule type="cellIs" dxfId="1" priority="776" operator="greaterThan">
      <formula>120</formula>
    </cfRule>
    <cfRule type="containsText" dxfId="2" priority="197" operator="between" text="库存为">
      <formula>NOT(ISERROR(SEARCH("库存为",AU388)))</formula>
    </cfRule>
  </conditionalFormatting>
  <conditionalFormatting sqref="AU389">
    <cfRule type="cellIs" dxfId="0" priority="1354" operator="lessThan">
      <formula>20</formula>
    </cfRule>
    <cfRule type="cellIs" dxfId="1" priority="775" operator="greaterThan">
      <formula>120</formula>
    </cfRule>
    <cfRule type="containsText" dxfId="2" priority="196" operator="between" text="库存为">
      <formula>NOT(ISERROR(SEARCH("库存为",AU389)))</formula>
    </cfRule>
  </conditionalFormatting>
  <conditionalFormatting sqref="AU390">
    <cfRule type="cellIs" dxfId="0" priority="1353" operator="lessThan">
      <formula>20</formula>
    </cfRule>
    <cfRule type="cellIs" dxfId="1" priority="774" operator="greaterThan">
      <formula>120</formula>
    </cfRule>
    <cfRule type="containsText" dxfId="2" priority="195" operator="between" text="库存为">
      <formula>NOT(ISERROR(SEARCH("库存为",AU390)))</formula>
    </cfRule>
  </conditionalFormatting>
  <conditionalFormatting sqref="AU391">
    <cfRule type="cellIs" dxfId="0" priority="1352" operator="lessThan">
      <formula>20</formula>
    </cfRule>
    <cfRule type="cellIs" dxfId="1" priority="773" operator="greaterThan">
      <formula>120</formula>
    </cfRule>
    <cfRule type="containsText" dxfId="2" priority="194" operator="between" text="库存为">
      <formula>NOT(ISERROR(SEARCH("库存为",AU391)))</formula>
    </cfRule>
  </conditionalFormatting>
  <conditionalFormatting sqref="AU392">
    <cfRule type="cellIs" dxfId="0" priority="1351" operator="lessThan">
      <formula>20</formula>
    </cfRule>
    <cfRule type="cellIs" dxfId="1" priority="772" operator="greaterThan">
      <formula>120</formula>
    </cfRule>
    <cfRule type="containsText" dxfId="2" priority="193" operator="between" text="库存为">
      <formula>NOT(ISERROR(SEARCH("库存为",AU392)))</formula>
    </cfRule>
  </conditionalFormatting>
  <conditionalFormatting sqref="AU393">
    <cfRule type="cellIs" dxfId="0" priority="1350" operator="lessThan">
      <formula>20</formula>
    </cfRule>
    <cfRule type="cellIs" dxfId="1" priority="771" operator="greaterThan">
      <formula>120</formula>
    </cfRule>
    <cfRule type="containsText" dxfId="2" priority="192" operator="between" text="库存为">
      <formula>NOT(ISERROR(SEARCH("库存为",AU393)))</formula>
    </cfRule>
  </conditionalFormatting>
  <conditionalFormatting sqref="AU394">
    <cfRule type="cellIs" dxfId="0" priority="1349" operator="lessThan">
      <formula>20</formula>
    </cfRule>
    <cfRule type="cellIs" dxfId="1" priority="770" operator="greaterThan">
      <formula>120</formula>
    </cfRule>
    <cfRule type="containsText" dxfId="2" priority="191" operator="between" text="库存为">
      <formula>NOT(ISERROR(SEARCH("库存为",AU394)))</formula>
    </cfRule>
  </conditionalFormatting>
  <conditionalFormatting sqref="AU395">
    <cfRule type="cellIs" dxfId="0" priority="1348" operator="lessThan">
      <formula>20</formula>
    </cfRule>
    <cfRule type="cellIs" dxfId="1" priority="769" operator="greaterThan">
      <formula>120</formula>
    </cfRule>
    <cfRule type="containsText" dxfId="2" priority="190" operator="between" text="库存为">
      <formula>NOT(ISERROR(SEARCH("库存为",AU395)))</formula>
    </cfRule>
  </conditionalFormatting>
  <conditionalFormatting sqref="AU396">
    <cfRule type="cellIs" dxfId="0" priority="1347" operator="lessThan">
      <formula>20</formula>
    </cfRule>
    <cfRule type="cellIs" dxfId="1" priority="768" operator="greaterThan">
      <formula>120</formula>
    </cfRule>
    <cfRule type="containsText" dxfId="2" priority="189" operator="between" text="库存为">
      <formula>NOT(ISERROR(SEARCH("库存为",AU396)))</formula>
    </cfRule>
  </conditionalFormatting>
  <conditionalFormatting sqref="AU397">
    <cfRule type="cellIs" dxfId="0" priority="1346" operator="lessThan">
      <formula>20</formula>
    </cfRule>
    <cfRule type="cellIs" dxfId="1" priority="767" operator="greaterThan">
      <formula>120</formula>
    </cfRule>
    <cfRule type="containsText" dxfId="2" priority="188" operator="between" text="库存为">
      <formula>NOT(ISERROR(SEARCH("库存为",AU397)))</formula>
    </cfRule>
  </conditionalFormatting>
  <conditionalFormatting sqref="AU398">
    <cfRule type="cellIs" dxfId="0" priority="1345" operator="lessThan">
      <formula>20</formula>
    </cfRule>
    <cfRule type="cellIs" dxfId="1" priority="766" operator="greaterThan">
      <formula>120</formula>
    </cfRule>
    <cfRule type="containsText" dxfId="2" priority="187" operator="between" text="库存为">
      <formula>NOT(ISERROR(SEARCH("库存为",AU398)))</formula>
    </cfRule>
  </conditionalFormatting>
  <conditionalFormatting sqref="AU399">
    <cfRule type="cellIs" dxfId="0" priority="1344" operator="lessThan">
      <formula>20</formula>
    </cfRule>
    <cfRule type="cellIs" dxfId="1" priority="765" operator="greaterThan">
      <formula>120</formula>
    </cfRule>
    <cfRule type="containsText" dxfId="2" priority="186" operator="between" text="库存为">
      <formula>NOT(ISERROR(SEARCH("库存为",AU399)))</formula>
    </cfRule>
  </conditionalFormatting>
  <conditionalFormatting sqref="AU400">
    <cfRule type="cellIs" dxfId="0" priority="1343" operator="lessThan">
      <formula>20</formula>
    </cfRule>
    <cfRule type="cellIs" dxfId="1" priority="764" operator="greaterThan">
      <formula>120</formula>
    </cfRule>
    <cfRule type="containsText" dxfId="2" priority="185" operator="between" text="库存为">
      <formula>NOT(ISERROR(SEARCH("库存为",AU400)))</formula>
    </cfRule>
  </conditionalFormatting>
  <conditionalFormatting sqref="AU401">
    <cfRule type="cellIs" dxfId="0" priority="1342" operator="lessThan">
      <formula>20</formula>
    </cfRule>
    <cfRule type="cellIs" dxfId="1" priority="763" operator="greaterThan">
      <formula>120</formula>
    </cfRule>
    <cfRule type="containsText" dxfId="2" priority="184" operator="between" text="库存为">
      <formula>NOT(ISERROR(SEARCH("库存为",AU401)))</formula>
    </cfRule>
  </conditionalFormatting>
  <conditionalFormatting sqref="AU402">
    <cfRule type="cellIs" dxfId="0" priority="1341" operator="lessThan">
      <formula>20</formula>
    </cfRule>
    <cfRule type="cellIs" dxfId="1" priority="762" operator="greaterThan">
      <formula>120</formula>
    </cfRule>
    <cfRule type="containsText" dxfId="2" priority="183" operator="between" text="库存为">
      <formula>NOT(ISERROR(SEARCH("库存为",AU402)))</formula>
    </cfRule>
  </conditionalFormatting>
  <conditionalFormatting sqref="AU403">
    <cfRule type="cellIs" dxfId="0" priority="1340" operator="lessThan">
      <formula>20</formula>
    </cfRule>
    <cfRule type="cellIs" dxfId="1" priority="761" operator="greaterThan">
      <formula>120</formula>
    </cfRule>
    <cfRule type="containsText" dxfId="2" priority="182" operator="between" text="库存为">
      <formula>NOT(ISERROR(SEARCH("库存为",AU403)))</formula>
    </cfRule>
  </conditionalFormatting>
  <conditionalFormatting sqref="AU404">
    <cfRule type="cellIs" dxfId="0" priority="1339" operator="lessThan">
      <formula>20</formula>
    </cfRule>
    <cfRule type="cellIs" dxfId="1" priority="760" operator="greaterThan">
      <formula>120</formula>
    </cfRule>
    <cfRule type="containsText" dxfId="2" priority="181" operator="between" text="库存为">
      <formula>NOT(ISERROR(SEARCH("库存为",AU404)))</formula>
    </cfRule>
  </conditionalFormatting>
  <conditionalFormatting sqref="AU405">
    <cfRule type="cellIs" dxfId="0" priority="1338" operator="lessThan">
      <formula>20</formula>
    </cfRule>
    <cfRule type="cellIs" dxfId="1" priority="759" operator="greaterThan">
      <formula>120</formula>
    </cfRule>
    <cfRule type="containsText" dxfId="2" priority="180" operator="between" text="库存为">
      <formula>NOT(ISERROR(SEARCH("库存为",AU405)))</formula>
    </cfRule>
  </conditionalFormatting>
  <conditionalFormatting sqref="AU406">
    <cfRule type="cellIs" dxfId="0" priority="1337" operator="lessThan">
      <formula>20</formula>
    </cfRule>
    <cfRule type="cellIs" dxfId="1" priority="758" operator="greaterThan">
      <formula>120</formula>
    </cfRule>
    <cfRule type="containsText" dxfId="2" priority="179" operator="between" text="库存为">
      <formula>NOT(ISERROR(SEARCH("库存为",AU406)))</formula>
    </cfRule>
  </conditionalFormatting>
  <conditionalFormatting sqref="AU407">
    <cfRule type="cellIs" dxfId="0" priority="1336" operator="lessThan">
      <formula>20</formula>
    </cfRule>
    <cfRule type="cellIs" dxfId="1" priority="757" operator="greaterThan">
      <formula>120</formula>
    </cfRule>
    <cfRule type="containsText" dxfId="2" priority="178" operator="between" text="库存为">
      <formula>NOT(ISERROR(SEARCH("库存为",AU407)))</formula>
    </cfRule>
  </conditionalFormatting>
  <conditionalFormatting sqref="AU408">
    <cfRule type="cellIs" dxfId="0" priority="1335" operator="lessThan">
      <formula>20</formula>
    </cfRule>
    <cfRule type="cellIs" dxfId="1" priority="756" operator="greaterThan">
      <formula>120</formula>
    </cfRule>
    <cfRule type="containsText" dxfId="2" priority="177" operator="between" text="库存为">
      <formula>NOT(ISERROR(SEARCH("库存为",AU408)))</formula>
    </cfRule>
  </conditionalFormatting>
  <conditionalFormatting sqref="AU409">
    <cfRule type="cellIs" dxfId="0" priority="1334" operator="lessThan">
      <formula>20</formula>
    </cfRule>
    <cfRule type="cellIs" dxfId="1" priority="755" operator="greaterThan">
      <formula>120</formula>
    </cfRule>
    <cfRule type="containsText" dxfId="2" priority="176" operator="between" text="库存为">
      <formula>NOT(ISERROR(SEARCH("库存为",AU409)))</formula>
    </cfRule>
  </conditionalFormatting>
  <conditionalFormatting sqref="AU410">
    <cfRule type="cellIs" dxfId="0" priority="1333" operator="lessThan">
      <formula>20</formula>
    </cfRule>
    <cfRule type="cellIs" dxfId="1" priority="754" operator="greaterThan">
      <formula>120</formula>
    </cfRule>
    <cfRule type="containsText" dxfId="2" priority="175" operator="between" text="库存为">
      <formula>NOT(ISERROR(SEARCH("库存为",AU410)))</formula>
    </cfRule>
  </conditionalFormatting>
  <conditionalFormatting sqref="AU411">
    <cfRule type="cellIs" dxfId="0" priority="1332" operator="lessThan">
      <formula>20</formula>
    </cfRule>
    <cfRule type="cellIs" dxfId="1" priority="753" operator="greaterThan">
      <formula>120</formula>
    </cfRule>
    <cfRule type="containsText" dxfId="2" priority="174" operator="between" text="库存为">
      <formula>NOT(ISERROR(SEARCH("库存为",AU411)))</formula>
    </cfRule>
  </conditionalFormatting>
  <conditionalFormatting sqref="AU412">
    <cfRule type="cellIs" dxfId="0" priority="1331" operator="lessThan">
      <formula>20</formula>
    </cfRule>
    <cfRule type="cellIs" dxfId="1" priority="752" operator="greaterThan">
      <formula>120</formula>
    </cfRule>
    <cfRule type="containsText" dxfId="2" priority="173" operator="between" text="库存为">
      <formula>NOT(ISERROR(SEARCH("库存为",AU412)))</formula>
    </cfRule>
  </conditionalFormatting>
  <conditionalFormatting sqref="AU413">
    <cfRule type="cellIs" dxfId="0" priority="1330" operator="lessThan">
      <formula>20</formula>
    </cfRule>
    <cfRule type="cellIs" dxfId="1" priority="751" operator="greaterThan">
      <formula>120</formula>
    </cfRule>
    <cfRule type="containsText" dxfId="2" priority="172" operator="between" text="库存为">
      <formula>NOT(ISERROR(SEARCH("库存为",AU413)))</formula>
    </cfRule>
  </conditionalFormatting>
  <conditionalFormatting sqref="AU414">
    <cfRule type="cellIs" dxfId="0" priority="1329" operator="lessThan">
      <formula>20</formula>
    </cfRule>
    <cfRule type="cellIs" dxfId="1" priority="750" operator="greaterThan">
      <formula>120</formula>
    </cfRule>
    <cfRule type="containsText" dxfId="2" priority="171" operator="between" text="库存为">
      <formula>NOT(ISERROR(SEARCH("库存为",AU414)))</formula>
    </cfRule>
  </conditionalFormatting>
  <conditionalFormatting sqref="AU415">
    <cfRule type="cellIs" dxfId="0" priority="1328" operator="lessThan">
      <formula>20</formula>
    </cfRule>
    <cfRule type="cellIs" dxfId="1" priority="749" operator="greaterThan">
      <formula>120</formula>
    </cfRule>
    <cfRule type="containsText" dxfId="2" priority="170" operator="between" text="库存为">
      <formula>NOT(ISERROR(SEARCH("库存为",AU415)))</formula>
    </cfRule>
  </conditionalFormatting>
  <conditionalFormatting sqref="AU416">
    <cfRule type="cellIs" dxfId="0" priority="1327" operator="lessThan">
      <formula>20</formula>
    </cfRule>
    <cfRule type="cellIs" dxfId="1" priority="748" operator="greaterThan">
      <formula>120</formula>
    </cfRule>
    <cfRule type="containsText" dxfId="2" priority="169" operator="between" text="库存为">
      <formula>NOT(ISERROR(SEARCH("库存为",AU416)))</formula>
    </cfRule>
  </conditionalFormatting>
  <conditionalFormatting sqref="AU417">
    <cfRule type="cellIs" dxfId="0" priority="1326" operator="lessThan">
      <formula>20</formula>
    </cfRule>
    <cfRule type="cellIs" dxfId="1" priority="747" operator="greaterThan">
      <formula>120</formula>
    </cfRule>
    <cfRule type="containsText" dxfId="2" priority="168" operator="between" text="库存为">
      <formula>NOT(ISERROR(SEARCH("库存为",AU417)))</formula>
    </cfRule>
  </conditionalFormatting>
  <conditionalFormatting sqref="AU418">
    <cfRule type="cellIs" dxfId="0" priority="1325" operator="lessThan">
      <formula>20</formula>
    </cfRule>
    <cfRule type="cellIs" dxfId="1" priority="746" operator="greaterThan">
      <formula>120</formula>
    </cfRule>
    <cfRule type="containsText" dxfId="2" priority="167" operator="between" text="库存为">
      <formula>NOT(ISERROR(SEARCH("库存为",AU418)))</formula>
    </cfRule>
  </conditionalFormatting>
  <conditionalFormatting sqref="AU419">
    <cfRule type="cellIs" dxfId="0" priority="1324" operator="lessThan">
      <formula>20</formula>
    </cfRule>
    <cfRule type="cellIs" dxfId="1" priority="745" operator="greaterThan">
      <formula>120</formula>
    </cfRule>
    <cfRule type="containsText" dxfId="2" priority="166" operator="between" text="库存为">
      <formula>NOT(ISERROR(SEARCH("库存为",AU419)))</formula>
    </cfRule>
  </conditionalFormatting>
  <conditionalFormatting sqref="AU420">
    <cfRule type="cellIs" dxfId="0" priority="1323" operator="lessThan">
      <formula>20</formula>
    </cfRule>
    <cfRule type="cellIs" dxfId="1" priority="744" operator="greaterThan">
      <formula>120</formula>
    </cfRule>
    <cfRule type="containsText" dxfId="2" priority="165" operator="between" text="库存为">
      <formula>NOT(ISERROR(SEARCH("库存为",AU420)))</formula>
    </cfRule>
  </conditionalFormatting>
  <conditionalFormatting sqref="AU421">
    <cfRule type="cellIs" dxfId="0" priority="1322" operator="lessThan">
      <formula>20</formula>
    </cfRule>
    <cfRule type="cellIs" dxfId="1" priority="743" operator="greaterThan">
      <formula>120</formula>
    </cfRule>
    <cfRule type="containsText" dxfId="2" priority="164" operator="between" text="库存为">
      <formula>NOT(ISERROR(SEARCH("库存为",AU421)))</formula>
    </cfRule>
  </conditionalFormatting>
  <conditionalFormatting sqref="AU422">
    <cfRule type="cellIs" dxfId="0" priority="1321" operator="lessThan">
      <formula>20</formula>
    </cfRule>
    <cfRule type="cellIs" dxfId="1" priority="742" operator="greaterThan">
      <formula>120</formula>
    </cfRule>
    <cfRule type="containsText" dxfId="2" priority="163" operator="between" text="库存为">
      <formula>NOT(ISERROR(SEARCH("库存为",AU422)))</formula>
    </cfRule>
  </conditionalFormatting>
  <conditionalFormatting sqref="AU423">
    <cfRule type="cellIs" dxfId="0" priority="1320" operator="lessThan">
      <formula>20</formula>
    </cfRule>
    <cfRule type="cellIs" dxfId="1" priority="741" operator="greaterThan">
      <formula>120</formula>
    </cfRule>
    <cfRule type="containsText" dxfId="2" priority="162" operator="between" text="库存为">
      <formula>NOT(ISERROR(SEARCH("库存为",AU423)))</formula>
    </cfRule>
  </conditionalFormatting>
  <conditionalFormatting sqref="AU424">
    <cfRule type="cellIs" dxfId="0" priority="1319" operator="lessThan">
      <formula>20</formula>
    </cfRule>
    <cfRule type="cellIs" dxfId="1" priority="740" operator="greaterThan">
      <formula>120</formula>
    </cfRule>
    <cfRule type="containsText" dxfId="2" priority="161" operator="between" text="库存为">
      <formula>NOT(ISERROR(SEARCH("库存为",AU424)))</formula>
    </cfRule>
  </conditionalFormatting>
  <conditionalFormatting sqref="AU425">
    <cfRule type="cellIs" dxfId="0" priority="1318" operator="lessThan">
      <formula>20</formula>
    </cfRule>
    <cfRule type="cellIs" dxfId="1" priority="739" operator="greaterThan">
      <formula>120</formula>
    </cfRule>
    <cfRule type="containsText" dxfId="2" priority="160" operator="between" text="库存为">
      <formula>NOT(ISERROR(SEARCH("库存为",AU425)))</formula>
    </cfRule>
  </conditionalFormatting>
  <conditionalFormatting sqref="AU426">
    <cfRule type="cellIs" dxfId="0" priority="1317" operator="lessThan">
      <formula>20</formula>
    </cfRule>
    <cfRule type="cellIs" dxfId="1" priority="738" operator="greaterThan">
      <formula>120</formula>
    </cfRule>
    <cfRule type="containsText" dxfId="2" priority="159" operator="between" text="库存为">
      <formula>NOT(ISERROR(SEARCH("库存为",AU426)))</formula>
    </cfRule>
  </conditionalFormatting>
  <conditionalFormatting sqref="AU427">
    <cfRule type="cellIs" dxfId="0" priority="1316" operator="lessThan">
      <formula>20</formula>
    </cfRule>
    <cfRule type="cellIs" dxfId="1" priority="737" operator="greaterThan">
      <formula>120</formula>
    </cfRule>
    <cfRule type="containsText" dxfId="2" priority="158" operator="between" text="库存为">
      <formula>NOT(ISERROR(SEARCH("库存为",AU427)))</formula>
    </cfRule>
  </conditionalFormatting>
  <conditionalFormatting sqref="AU428">
    <cfRule type="cellIs" dxfId="0" priority="1315" operator="lessThan">
      <formula>20</formula>
    </cfRule>
    <cfRule type="cellIs" dxfId="1" priority="736" operator="greaterThan">
      <formula>120</formula>
    </cfRule>
    <cfRule type="containsText" dxfId="2" priority="157" operator="between" text="库存为">
      <formula>NOT(ISERROR(SEARCH("库存为",AU428)))</formula>
    </cfRule>
  </conditionalFormatting>
  <conditionalFormatting sqref="AU429">
    <cfRule type="cellIs" dxfId="0" priority="1314" operator="lessThan">
      <formula>20</formula>
    </cfRule>
    <cfRule type="cellIs" dxfId="1" priority="735" operator="greaterThan">
      <formula>120</formula>
    </cfRule>
    <cfRule type="containsText" dxfId="2" priority="156" operator="between" text="库存为">
      <formula>NOT(ISERROR(SEARCH("库存为",AU429)))</formula>
    </cfRule>
  </conditionalFormatting>
  <conditionalFormatting sqref="AU430">
    <cfRule type="cellIs" dxfId="0" priority="1313" operator="lessThan">
      <formula>20</formula>
    </cfRule>
    <cfRule type="cellIs" dxfId="1" priority="734" operator="greaterThan">
      <formula>120</formula>
    </cfRule>
    <cfRule type="containsText" dxfId="2" priority="155" operator="between" text="库存为">
      <formula>NOT(ISERROR(SEARCH("库存为",AU430)))</formula>
    </cfRule>
  </conditionalFormatting>
  <conditionalFormatting sqref="AU431">
    <cfRule type="cellIs" dxfId="0" priority="1312" operator="lessThan">
      <formula>20</formula>
    </cfRule>
    <cfRule type="cellIs" dxfId="1" priority="733" operator="greaterThan">
      <formula>120</formula>
    </cfRule>
    <cfRule type="containsText" dxfId="2" priority="154" operator="between" text="库存为">
      <formula>NOT(ISERROR(SEARCH("库存为",AU431)))</formula>
    </cfRule>
  </conditionalFormatting>
  <conditionalFormatting sqref="AU432">
    <cfRule type="cellIs" dxfId="0" priority="1311" operator="lessThan">
      <formula>20</formula>
    </cfRule>
    <cfRule type="cellIs" dxfId="1" priority="732" operator="greaterThan">
      <formula>120</formula>
    </cfRule>
    <cfRule type="containsText" dxfId="2" priority="153" operator="between" text="库存为">
      <formula>NOT(ISERROR(SEARCH("库存为",AU432)))</formula>
    </cfRule>
  </conditionalFormatting>
  <conditionalFormatting sqref="AU433">
    <cfRule type="cellIs" dxfId="0" priority="1310" operator="lessThan">
      <formula>20</formula>
    </cfRule>
    <cfRule type="cellIs" dxfId="1" priority="731" operator="greaterThan">
      <formula>120</formula>
    </cfRule>
    <cfRule type="containsText" dxfId="2" priority="152" operator="between" text="库存为">
      <formula>NOT(ISERROR(SEARCH("库存为",AU433)))</formula>
    </cfRule>
  </conditionalFormatting>
  <conditionalFormatting sqref="AU434">
    <cfRule type="cellIs" dxfId="0" priority="1309" operator="lessThan">
      <formula>20</formula>
    </cfRule>
    <cfRule type="cellIs" dxfId="1" priority="730" operator="greaterThan">
      <formula>120</formula>
    </cfRule>
    <cfRule type="containsText" dxfId="2" priority="151" operator="between" text="库存为">
      <formula>NOT(ISERROR(SEARCH("库存为",AU434)))</formula>
    </cfRule>
  </conditionalFormatting>
  <conditionalFormatting sqref="AU435">
    <cfRule type="cellIs" dxfId="0" priority="1308" operator="lessThan">
      <formula>20</formula>
    </cfRule>
    <cfRule type="cellIs" dxfId="1" priority="729" operator="greaterThan">
      <formula>120</formula>
    </cfRule>
    <cfRule type="containsText" dxfId="2" priority="150" operator="between" text="库存为">
      <formula>NOT(ISERROR(SEARCH("库存为",AU435)))</formula>
    </cfRule>
  </conditionalFormatting>
  <conditionalFormatting sqref="AU436">
    <cfRule type="cellIs" dxfId="0" priority="1307" operator="lessThan">
      <formula>20</formula>
    </cfRule>
    <cfRule type="cellIs" dxfId="1" priority="728" operator="greaterThan">
      <formula>120</formula>
    </cfRule>
    <cfRule type="containsText" dxfId="2" priority="149" operator="between" text="库存为">
      <formula>NOT(ISERROR(SEARCH("库存为",AU436)))</formula>
    </cfRule>
  </conditionalFormatting>
  <conditionalFormatting sqref="AU437">
    <cfRule type="cellIs" dxfId="0" priority="1306" operator="lessThan">
      <formula>20</formula>
    </cfRule>
    <cfRule type="cellIs" dxfId="1" priority="727" operator="greaterThan">
      <formula>120</formula>
    </cfRule>
    <cfRule type="containsText" dxfId="2" priority="148" operator="between" text="库存为">
      <formula>NOT(ISERROR(SEARCH("库存为",AU437)))</formula>
    </cfRule>
  </conditionalFormatting>
  <conditionalFormatting sqref="AU438">
    <cfRule type="cellIs" dxfId="0" priority="1305" operator="lessThan">
      <formula>20</formula>
    </cfRule>
    <cfRule type="cellIs" dxfId="1" priority="726" operator="greaterThan">
      <formula>120</formula>
    </cfRule>
    <cfRule type="containsText" dxfId="2" priority="147" operator="between" text="库存为">
      <formula>NOT(ISERROR(SEARCH("库存为",AU438)))</formula>
    </cfRule>
  </conditionalFormatting>
  <conditionalFormatting sqref="AU439">
    <cfRule type="cellIs" dxfId="0" priority="1304" operator="lessThan">
      <formula>20</formula>
    </cfRule>
    <cfRule type="cellIs" dxfId="1" priority="725" operator="greaterThan">
      <formula>120</formula>
    </cfRule>
    <cfRule type="containsText" dxfId="2" priority="146" operator="between" text="库存为">
      <formula>NOT(ISERROR(SEARCH("库存为",AU439)))</formula>
    </cfRule>
  </conditionalFormatting>
  <conditionalFormatting sqref="AU440">
    <cfRule type="cellIs" dxfId="0" priority="1303" operator="lessThan">
      <formula>20</formula>
    </cfRule>
    <cfRule type="cellIs" dxfId="1" priority="724" operator="greaterThan">
      <formula>120</formula>
    </cfRule>
    <cfRule type="containsText" dxfId="2" priority="145" operator="between" text="库存为">
      <formula>NOT(ISERROR(SEARCH("库存为",AU440)))</formula>
    </cfRule>
  </conditionalFormatting>
  <conditionalFormatting sqref="AU441">
    <cfRule type="cellIs" dxfId="0" priority="1302" operator="lessThan">
      <formula>20</formula>
    </cfRule>
    <cfRule type="cellIs" dxfId="1" priority="723" operator="greaterThan">
      <formula>120</formula>
    </cfRule>
    <cfRule type="containsText" dxfId="2" priority="144" operator="between" text="库存为">
      <formula>NOT(ISERROR(SEARCH("库存为",AU441)))</formula>
    </cfRule>
  </conditionalFormatting>
  <conditionalFormatting sqref="AU442">
    <cfRule type="cellIs" dxfId="0" priority="1301" operator="lessThan">
      <formula>20</formula>
    </cfRule>
    <cfRule type="cellIs" dxfId="1" priority="722" operator="greaterThan">
      <formula>120</formula>
    </cfRule>
    <cfRule type="containsText" dxfId="2" priority="143" operator="between" text="库存为">
      <formula>NOT(ISERROR(SEARCH("库存为",AU442)))</formula>
    </cfRule>
  </conditionalFormatting>
  <conditionalFormatting sqref="AU443">
    <cfRule type="cellIs" dxfId="0" priority="1300" operator="lessThan">
      <formula>20</formula>
    </cfRule>
    <cfRule type="cellIs" dxfId="1" priority="721" operator="greaterThan">
      <formula>120</formula>
    </cfRule>
    <cfRule type="containsText" dxfId="2" priority="142" operator="between" text="库存为">
      <formula>NOT(ISERROR(SEARCH("库存为",AU443)))</formula>
    </cfRule>
  </conditionalFormatting>
  <conditionalFormatting sqref="AU444">
    <cfRule type="cellIs" dxfId="0" priority="1299" operator="lessThan">
      <formula>20</formula>
    </cfRule>
    <cfRule type="cellIs" dxfId="1" priority="720" operator="greaterThan">
      <formula>120</formula>
    </cfRule>
    <cfRule type="containsText" dxfId="2" priority="141" operator="between" text="库存为">
      <formula>NOT(ISERROR(SEARCH("库存为",AU444)))</formula>
    </cfRule>
  </conditionalFormatting>
  <conditionalFormatting sqref="AU445">
    <cfRule type="cellIs" dxfId="0" priority="1298" operator="lessThan">
      <formula>20</formula>
    </cfRule>
    <cfRule type="cellIs" dxfId="1" priority="719" operator="greaterThan">
      <formula>120</formula>
    </cfRule>
    <cfRule type="containsText" dxfId="2" priority="140" operator="between" text="库存为">
      <formula>NOT(ISERROR(SEARCH("库存为",AU445)))</formula>
    </cfRule>
  </conditionalFormatting>
  <conditionalFormatting sqref="AU446">
    <cfRule type="cellIs" dxfId="0" priority="1297" operator="lessThan">
      <formula>20</formula>
    </cfRule>
    <cfRule type="cellIs" dxfId="1" priority="718" operator="greaterThan">
      <formula>120</formula>
    </cfRule>
    <cfRule type="containsText" dxfId="2" priority="139" operator="between" text="库存为">
      <formula>NOT(ISERROR(SEARCH("库存为",AU446)))</formula>
    </cfRule>
  </conditionalFormatting>
  <conditionalFormatting sqref="AU447">
    <cfRule type="cellIs" dxfId="0" priority="1296" operator="lessThan">
      <formula>20</formula>
    </cfRule>
    <cfRule type="cellIs" dxfId="1" priority="717" operator="greaterThan">
      <formula>120</formula>
    </cfRule>
    <cfRule type="containsText" dxfId="2" priority="138" operator="between" text="库存为">
      <formula>NOT(ISERROR(SEARCH("库存为",AU447)))</formula>
    </cfRule>
  </conditionalFormatting>
  <conditionalFormatting sqref="AU448">
    <cfRule type="cellIs" dxfId="0" priority="1295" operator="lessThan">
      <formula>20</formula>
    </cfRule>
    <cfRule type="cellIs" dxfId="1" priority="716" operator="greaterThan">
      <formula>120</formula>
    </cfRule>
    <cfRule type="containsText" dxfId="2" priority="137" operator="between" text="库存为">
      <formula>NOT(ISERROR(SEARCH("库存为",AU448)))</formula>
    </cfRule>
  </conditionalFormatting>
  <conditionalFormatting sqref="AU449">
    <cfRule type="cellIs" dxfId="0" priority="1294" operator="lessThan">
      <formula>20</formula>
    </cfRule>
    <cfRule type="cellIs" dxfId="1" priority="715" operator="greaterThan">
      <formula>120</formula>
    </cfRule>
    <cfRule type="containsText" dxfId="2" priority="136" operator="between" text="库存为">
      <formula>NOT(ISERROR(SEARCH("库存为",AU449)))</formula>
    </cfRule>
  </conditionalFormatting>
  <conditionalFormatting sqref="AU450">
    <cfRule type="cellIs" dxfId="0" priority="1293" operator="lessThan">
      <formula>20</formula>
    </cfRule>
    <cfRule type="cellIs" dxfId="1" priority="714" operator="greaterThan">
      <formula>120</formula>
    </cfRule>
    <cfRule type="containsText" dxfId="2" priority="135" operator="between" text="库存为">
      <formula>NOT(ISERROR(SEARCH("库存为",AU450)))</formula>
    </cfRule>
  </conditionalFormatting>
  <conditionalFormatting sqref="AU451">
    <cfRule type="cellIs" dxfId="0" priority="1292" operator="lessThan">
      <formula>20</formula>
    </cfRule>
    <cfRule type="cellIs" dxfId="1" priority="713" operator="greaterThan">
      <formula>120</formula>
    </cfRule>
    <cfRule type="containsText" dxfId="2" priority="134" operator="between" text="库存为">
      <formula>NOT(ISERROR(SEARCH("库存为",AU451)))</formula>
    </cfRule>
  </conditionalFormatting>
  <conditionalFormatting sqref="AU452">
    <cfRule type="cellIs" dxfId="0" priority="1291" operator="lessThan">
      <formula>20</formula>
    </cfRule>
    <cfRule type="cellIs" dxfId="1" priority="712" operator="greaterThan">
      <formula>120</formula>
    </cfRule>
    <cfRule type="containsText" dxfId="2" priority="133" operator="between" text="库存为">
      <formula>NOT(ISERROR(SEARCH("库存为",AU452)))</formula>
    </cfRule>
  </conditionalFormatting>
  <conditionalFormatting sqref="AU453">
    <cfRule type="cellIs" dxfId="0" priority="1290" operator="lessThan">
      <formula>20</formula>
    </cfRule>
    <cfRule type="cellIs" dxfId="1" priority="711" operator="greaterThan">
      <formula>120</formula>
    </cfRule>
    <cfRule type="containsText" dxfId="2" priority="132" operator="between" text="库存为">
      <formula>NOT(ISERROR(SEARCH("库存为",AU453)))</formula>
    </cfRule>
  </conditionalFormatting>
  <conditionalFormatting sqref="AU454">
    <cfRule type="cellIs" dxfId="0" priority="1289" operator="lessThan">
      <formula>20</formula>
    </cfRule>
    <cfRule type="cellIs" dxfId="1" priority="710" operator="greaterThan">
      <formula>120</formula>
    </cfRule>
    <cfRule type="containsText" dxfId="2" priority="131" operator="between" text="库存为">
      <formula>NOT(ISERROR(SEARCH("库存为",AU454)))</formula>
    </cfRule>
  </conditionalFormatting>
  <conditionalFormatting sqref="AU455">
    <cfRule type="cellIs" dxfId="0" priority="1288" operator="lessThan">
      <formula>20</formula>
    </cfRule>
    <cfRule type="cellIs" dxfId="1" priority="709" operator="greaterThan">
      <formula>120</formula>
    </cfRule>
    <cfRule type="containsText" dxfId="2" priority="130" operator="between" text="库存为">
      <formula>NOT(ISERROR(SEARCH("库存为",AU455)))</formula>
    </cfRule>
  </conditionalFormatting>
  <conditionalFormatting sqref="AU456">
    <cfRule type="cellIs" dxfId="0" priority="1287" operator="lessThan">
      <formula>20</formula>
    </cfRule>
    <cfRule type="cellIs" dxfId="1" priority="708" operator="greaterThan">
      <formula>120</formula>
    </cfRule>
    <cfRule type="containsText" dxfId="2" priority="129" operator="between" text="库存为">
      <formula>NOT(ISERROR(SEARCH("库存为",AU456)))</formula>
    </cfRule>
  </conditionalFormatting>
  <conditionalFormatting sqref="AU457">
    <cfRule type="cellIs" dxfId="0" priority="1286" operator="lessThan">
      <formula>20</formula>
    </cfRule>
    <cfRule type="cellIs" dxfId="1" priority="707" operator="greaterThan">
      <formula>120</formula>
    </cfRule>
    <cfRule type="containsText" dxfId="2" priority="128" operator="between" text="库存为">
      <formula>NOT(ISERROR(SEARCH("库存为",AU457)))</formula>
    </cfRule>
  </conditionalFormatting>
  <conditionalFormatting sqref="AU458">
    <cfRule type="cellIs" dxfId="0" priority="1285" operator="lessThan">
      <formula>20</formula>
    </cfRule>
    <cfRule type="cellIs" dxfId="1" priority="706" operator="greaterThan">
      <formula>120</formula>
    </cfRule>
    <cfRule type="containsText" dxfId="2" priority="127" operator="between" text="库存为">
      <formula>NOT(ISERROR(SEARCH("库存为",AU458)))</formula>
    </cfRule>
  </conditionalFormatting>
  <conditionalFormatting sqref="AU459">
    <cfRule type="cellIs" dxfId="0" priority="1284" operator="lessThan">
      <formula>20</formula>
    </cfRule>
    <cfRule type="cellIs" dxfId="1" priority="705" operator="greaterThan">
      <formula>120</formula>
    </cfRule>
    <cfRule type="containsText" dxfId="2" priority="126" operator="between" text="库存为">
      <formula>NOT(ISERROR(SEARCH("库存为",AU459)))</formula>
    </cfRule>
  </conditionalFormatting>
  <conditionalFormatting sqref="AU460">
    <cfRule type="cellIs" dxfId="0" priority="1283" operator="lessThan">
      <formula>20</formula>
    </cfRule>
    <cfRule type="cellIs" dxfId="1" priority="704" operator="greaterThan">
      <formula>120</formula>
    </cfRule>
    <cfRule type="containsText" dxfId="2" priority="125" operator="between" text="库存为">
      <formula>NOT(ISERROR(SEARCH("库存为",AU460)))</formula>
    </cfRule>
  </conditionalFormatting>
  <conditionalFormatting sqref="AU461">
    <cfRule type="cellIs" dxfId="0" priority="1282" operator="lessThan">
      <formula>20</formula>
    </cfRule>
    <cfRule type="cellIs" dxfId="1" priority="703" operator="greaterThan">
      <formula>120</formula>
    </cfRule>
    <cfRule type="containsText" dxfId="2" priority="124" operator="between" text="库存为">
      <formula>NOT(ISERROR(SEARCH("库存为",AU461)))</formula>
    </cfRule>
  </conditionalFormatting>
  <conditionalFormatting sqref="AU462">
    <cfRule type="cellIs" dxfId="0" priority="1281" operator="lessThan">
      <formula>20</formula>
    </cfRule>
    <cfRule type="cellIs" dxfId="1" priority="702" operator="greaterThan">
      <formula>120</formula>
    </cfRule>
    <cfRule type="containsText" dxfId="2" priority="123" operator="between" text="库存为">
      <formula>NOT(ISERROR(SEARCH("库存为",AU462)))</formula>
    </cfRule>
  </conditionalFormatting>
  <conditionalFormatting sqref="AU463">
    <cfRule type="cellIs" dxfId="0" priority="1280" operator="lessThan">
      <formula>20</formula>
    </cfRule>
    <cfRule type="cellIs" dxfId="1" priority="701" operator="greaterThan">
      <formula>120</formula>
    </cfRule>
    <cfRule type="containsText" dxfId="2" priority="122" operator="between" text="库存为">
      <formula>NOT(ISERROR(SEARCH("库存为",AU463)))</formula>
    </cfRule>
  </conditionalFormatting>
  <conditionalFormatting sqref="AU464">
    <cfRule type="cellIs" dxfId="0" priority="1279" operator="lessThan">
      <formula>20</formula>
    </cfRule>
    <cfRule type="cellIs" dxfId="1" priority="700" operator="greaterThan">
      <formula>120</formula>
    </cfRule>
    <cfRule type="containsText" dxfId="2" priority="121" operator="between" text="库存为">
      <formula>NOT(ISERROR(SEARCH("库存为",AU464)))</formula>
    </cfRule>
  </conditionalFormatting>
  <conditionalFormatting sqref="AU465">
    <cfRule type="cellIs" dxfId="0" priority="1278" operator="lessThan">
      <formula>20</formula>
    </cfRule>
    <cfRule type="cellIs" dxfId="1" priority="699" operator="greaterThan">
      <formula>120</formula>
    </cfRule>
    <cfRule type="containsText" dxfId="2" priority="120" operator="between" text="库存为">
      <formula>NOT(ISERROR(SEARCH("库存为",AU465)))</formula>
    </cfRule>
  </conditionalFormatting>
  <conditionalFormatting sqref="AU466">
    <cfRule type="cellIs" dxfId="0" priority="1277" operator="lessThan">
      <formula>20</formula>
    </cfRule>
    <cfRule type="cellIs" dxfId="1" priority="698" operator="greaterThan">
      <formula>120</formula>
    </cfRule>
    <cfRule type="containsText" dxfId="2" priority="119" operator="between" text="库存为">
      <formula>NOT(ISERROR(SEARCH("库存为",AU466)))</formula>
    </cfRule>
  </conditionalFormatting>
  <conditionalFormatting sqref="AU467">
    <cfRule type="cellIs" dxfId="0" priority="1276" operator="lessThan">
      <formula>20</formula>
    </cfRule>
    <cfRule type="cellIs" dxfId="1" priority="697" operator="greaterThan">
      <formula>120</formula>
    </cfRule>
    <cfRule type="containsText" dxfId="2" priority="118" operator="between" text="库存为">
      <formula>NOT(ISERROR(SEARCH("库存为",AU467)))</formula>
    </cfRule>
  </conditionalFormatting>
  <conditionalFormatting sqref="AU468">
    <cfRule type="cellIs" dxfId="0" priority="1275" operator="lessThan">
      <formula>20</formula>
    </cfRule>
    <cfRule type="cellIs" dxfId="1" priority="696" operator="greaterThan">
      <formula>120</formula>
    </cfRule>
    <cfRule type="containsText" dxfId="2" priority="117" operator="between" text="库存为">
      <formula>NOT(ISERROR(SEARCH("库存为",AU468)))</formula>
    </cfRule>
  </conditionalFormatting>
  <conditionalFormatting sqref="AU469">
    <cfRule type="cellIs" dxfId="0" priority="1274" operator="lessThan">
      <formula>20</formula>
    </cfRule>
    <cfRule type="cellIs" dxfId="1" priority="695" operator="greaterThan">
      <formula>120</formula>
    </cfRule>
    <cfRule type="containsText" dxfId="2" priority="116" operator="between" text="库存为">
      <formula>NOT(ISERROR(SEARCH("库存为",AU469)))</formula>
    </cfRule>
  </conditionalFormatting>
  <conditionalFormatting sqref="AU470">
    <cfRule type="cellIs" dxfId="0" priority="1273" operator="lessThan">
      <formula>20</formula>
    </cfRule>
    <cfRule type="cellIs" dxfId="1" priority="694" operator="greaterThan">
      <formula>120</formula>
    </cfRule>
    <cfRule type="containsText" dxfId="2" priority="115" operator="between" text="库存为">
      <formula>NOT(ISERROR(SEARCH("库存为",AU470)))</formula>
    </cfRule>
  </conditionalFormatting>
  <conditionalFormatting sqref="AU471">
    <cfRule type="cellIs" dxfId="0" priority="1272" operator="lessThan">
      <formula>20</formula>
    </cfRule>
    <cfRule type="cellIs" dxfId="1" priority="693" operator="greaterThan">
      <formula>120</formula>
    </cfRule>
    <cfRule type="containsText" dxfId="2" priority="114" operator="between" text="库存为">
      <formula>NOT(ISERROR(SEARCH("库存为",AU471)))</formula>
    </cfRule>
  </conditionalFormatting>
  <conditionalFormatting sqref="AU472">
    <cfRule type="cellIs" dxfId="0" priority="1271" operator="lessThan">
      <formula>20</formula>
    </cfRule>
    <cfRule type="cellIs" dxfId="1" priority="692" operator="greaterThan">
      <formula>120</formula>
    </cfRule>
    <cfRule type="containsText" dxfId="2" priority="113" operator="between" text="库存为">
      <formula>NOT(ISERROR(SEARCH("库存为",AU472)))</formula>
    </cfRule>
  </conditionalFormatting>
  <conditionalFormatting sqref="AU473">
    <cfRule type="cellIs" dxfId="0" priority="1270" operator="lessThan">
      <formula>20</formula>
    </cfRule>
    <cfRule type="cellIs" dxfId="1" priority="691" operator="greaterThan">
      <formula>120</formula>
    </cfRule>
    <cfRule type="containsText" dxfId="2" priority="112" operator="between" text="库存为">
      <formula>NOT(ISERROR(SEARCH("库存为",AU473)))</formula>
    </cfRule>
  </conditionalFormatting>
  <conditionalFormatting sqref="AU474">
    <cfRule type="cellIs" dxfId="0" priority="1269" operator="lessThan">
      <formula>20</formula>
    </cfRule>
    <cfRule type="cellIs" dxfId="1" priority="690" operator="greaterThan">
      <formula>120</formula>
    </cfRule>
    <cfRule type="containsText" dxfId="2" priority="111" operator="between" text="库存为">
      <formula>NOT(ISERROR(SEARCH("库存为",AU474)))</formula>
    </cfRule>
  </conditionalFormatting>
  <conditionalFormatting sqref="AU475">
    <cfRule type="cellIs" dxfId="0" priority="1268" operator="lessThan">
      <formula>20</formula>
    </cfRule>
    <cfRule type="cellIs" dxfId="1" priority="689" operator="greaterThan">
      <formula>120</formula>
    </cfRule>
    <cfRule type="containsText" dxfId="2" priority="110" operator="between" text="库存为">
      <formula>NOT(ISERROR(SEARCH("库存为",AU475)))</formula>
    </cfRule>
  </conditionalFormatting>
  <conditionalFormatting sqref="AU476">
    <cfRule type="cellIs" dxfId="0" priority="1267" operator="lessThan">
      <formula>20</formula>
    </cfRule>
    <cfRule type="cellIs" dxfId="1" priority="688" operator="greaterThan">
      <formula>120</formula>
    </cfRule>
    <cfRule type="containsText" dxfId="2" priority="109" operator="between" text="库存为">
      <formula>NOT(ISERROR(SEARCH("库存为",AU476)))</formula>
    </cfRule>
  </conditionalFormatting>
  <conditionalFormatting sqref="AU477">
    <cfRule type="cellIs" dxfId="0" priority="1266" operator="lessThan">
      <formula>20</formula>
    </cfRule>
    <cfRule type="cellIs" dxfId="1" priority="687" operator="greaterThan">
      <formula>120</formula>
    </cfRule>
    <cfRule type="containsText" dxfId="2" priority="108" operator="between" text="库存为">
      <formula>NOT(ISERROR(SEARCH("库存为",AU477)))</formula>
    </cfRule>
  </conditionalFormatting>
  <conditionalFormatting sqref="AU478">
    <cfRule type="cellIs" dxfId="0" priority="1265" operator="lessThan">
      <formula>20</formula>
    </cfRule>
    <cfRule type="cellIs" dxfId="1" priority="686" operator="greaterThan">
      <formula>120</formula>
    </cfRule>
    <cfRule type="containsText" dxfId="2" priority="107" operator="between" text="库存为">
      <formula>NOT(ISERROR(SEARCH("库存为",AU478)))</formula>
    </cfRule>
  </conditionalFormatting>
  <conditionalFormatting sqref="AU479">
    <cfRule type="cellIs" dxfId="0" priority="1264" operator="lessThan">
      <formula>20</formula>
    </cfRule>
    <cfRule type="cellIs" dxfId="1" priority="685" operator="greaterThan">
      <formula>120</formula>
    </cfRule>
    <cfRule type="containsText" dxfId="2" priority="106" operator="between" text="库存为">
      <formula>NOT(ISERROR(SEARCH("库存为",AU479)))</formula>
    </cfRule>
  </conditionalFormatting>
  <conditionalFormatting sqref="AU480">
    <cfRule type="cellIs" dxfId="0" priority="1263" operator="lessThan">
      <formula>20</formula>
    </cfRule>
    <cfRule type="cellIs" dxfId="1" priority="684" operator="greaterThan">
      <formula>120</formula>
    </cfRule>
    <cfRule type="containsText" dxfId="2" priority="105" operator="between" text="库存为">
      <formula>NOT(ISERROR(SEARCH("库存为",AU480)))</formula>
    </cfRule>
  </conditionalFormatting>
  <conditionalFormatting sqref="AU481">
    <cfRule type="cellIs" dxfId="0" priority="1262" operator="lessThan">
      <formula>20</formula>
    </cfRule>
    <cfRule type="cellIs" dxfId="1" priority="683" operator="greaterThan">
      <formula>120</formula>
    </cfRule>
    <cfRule type="containsText" dxfId="2" priority="104" operator="between" text="库存为">
      <formula>NOT(ISERROR(SEARCH("库存为",AU481)))</formula>
    </cfRule>
  </conditionalFormatting>
  <conditionalFormatting sqref="AU482">
    <cfRule type="cellIs" dxfId="0" priority="1261" operator="lessThan">
      <formula>20</formula>
    </cfRule>
    <cfRule type="cellIs" dxfId="1" priority="682" operator="greaterThan">
      <formula>120</formula>
    </cfRule>
    <cfRule type="containsText" dxfId="2" priority="103" operator="between" text="库存为">
      <formula>NOT(ISERROR(SEARCH("库存为",AU482)))</formula>
    </cfRule>
  </conditionalFormatting>
  <conditionalFormatting sqref="AU483">
    <cfRule type="cellIs" dxfId="0" priority="1260" operator="lessThan">
      <formula>20</formula>
    </cfRule>
    <cfRule type="cellIs" dxfId="1" priority="681" operator="greaterThan">
      <formula>120</formula>
    </cfRule>
    <cfRule type="containsText" dxfId="2" priority="102" operator="between" text="库存为">
      <formula>NOT(ISERROR(SEARCH("库存为",AU483)))</formula>
    </cfRule>
  </conditionalFormatting>
  <conditionalFormatting sqref="AU484">
    <cfRule type="cellIs" dxfId="0" priority="1259" operator="lessThan">
      <formula>20</formula>
    </cfRule>
    <cfRule type="cellIs" dxfId="1" priority="680" operator="greaterThan">
      <formula>120</formula>
    </cfRule>
    <cfRule type="containsText" dxfId="2" priority="101" operator="between" text="库存为">
      <formula>NOT(ISERROR(SEARCH("库存为",AU484)))</formula>
    </cfRule>
  </conditionalFormatting>
  <conditionalFormatting sqref="AU485">
    <cfRule type="cellIs" dxfId="0" priority="1258" operator="lessThan">
      <formula>20</formula>
    </cfRule>
    <cfRule type="cellIs" dxfId="1" priority="679" operator="greaterThan">
      <formula>120</formula>
    </cfRule>
    <cfRule type="containsText" dxfId="2" priority="100" operator="between" text="库存为">
      <formula>NOT(ISERROR(SEARCH("库存为",AU485)))</formula>
    </cfRule>
  </conditionalFormatting>
  <conditionalFormatting sqref="AU486">
    <cfRule type="cellIs" dxfId="0" priority="1257" operator="lessThan">
      <formula>20</formula>
    </cfRule>
    <cfRule type="cellIs" dxfId="1" priority="678" operator="greaterThan">
      <formula>120</formula>
    </cfRule>
    <cfRule type="containsText" dxfId="2" priority="99" operator="between" text="库存为">
      <formula>NOT(ISERROR(SEARCH("库存为",AU486)))</formula>
    </cfRule>
  </conditionalFormatting>
  <conditionalFormatting sqref="AU487">
    <cfRule type="cellIs" dxfId="0" priority="1256" operator="lessThan">
      <formula>20</formula>
    </cfRule>
    <cfRule type="cellIs" dxfId="1" priority="677" operator="greaterThan">
      <formula>120</formula>
    </cfRule>
    <cfRule type="containsText" dxfId="2" priority="98" operator="between" text="库存为">
      <formula>NOT(ISERROR(SEARCH("库存为",AU487)))</formula>
    </cfRule>
  </conditionalFormatting>
  <conditionalFormatting sqref="AU488">
    <cfRule type="cellIs" dxfId="0" priority="1255" operator="lessThan">
      <formula>20</formula>
    </cfRule>
    <cfRule type="cellIs" dxfId="1" priority="676" operator="greaterThan">
      <formula>120</formula>
    </cfRule>
    <cfRule type="containsText" dxfId="2" priority="97" operator="between" text="库存为">
      <formula>NOT(ISERROR(SEARCH("库存为",AU488)))</formula>
    </cfRule>
  </conditionalFormatting>
  <conditionalFormatting sqref="AU489">
    <cfRule type="cellIs" dxfId="0" priority="1254" operator="lessThan">
      <formula>20</formula>
    </cfRule>
    <cfRule type="cellIs" dxfId="1" priority="675" operator="greaterThan">
      <formula>120</formula>
    </cfRule>
    <cfRule type="containsText" dxfId="2" priority="96" operator="between" text="库存为">
      <formula>NOT(ISERROR(SEARCH("库存为",AU489)))</formula>
    </cfRule>
  </conditionalFormatting>
  <conditionalFormatting sqref="AU490">
    <cfRule type="cellIs" dxfId="0" priority="1253" operator="lessThan">
      <formula>20</formula>
    </cfRule>
    <cfRule type="cellIs" dxfId="1" priority="674" operator="greaterThan">
      <formula>120</formula>
    </cfRule>
    <cfRule type="containsText" dxfId="2" priority="95" operator="between" text="库存为">
      <formula>NOT(ISERROR(SEARCH("库存为",AU490)))</formula>
    </cfRule>
  </conditionalFormatting>
  <conditionalFormatting sqref="AU491">
    <cfRule type="cellIs" dxfId="0" priority="1252" operator="lessThan">
      <formula>20</formula>
    </cfRule>
    <cfRule type="cellIs" dxfId="1" priority="673" operator="greaterThan">
      <formula>120</formula>
    </cfRule>
    <cfRule type="containsText" dxfId="2" priority="94" operator="between" text="库存为">
      <formula>NOT(ISERROR(SEARCH("库存为",AU491)))</formula>
    </cfRule>
  </conditionalFormatting>
  <conditionalFormatting sqref="AU492">
    <cfRule type="cellIs" dxfId="0" priority="1251" operator="lessThan">
      <formula>20</formula>
    </cfRule>
    <cfRule type="cellIs" dxfId="1" priority="672" operator="greaterThan">
      <formula>120</formula>
    </cfRule>
    <cfRule type="containsText" dxfId="2" priority="93" operator="between" text="库存为">
      <formula>NOT(ISERROR(SEARCH("库存为",AU492)))</formula>
    </cfRule>
  </conditionalFormatting>
  <conditionalFormatting sqref="AU493">
    <cfRule type="cellIs" dxfId="0" priority="1250" operator="lessThan">
      <formula>20</formula>
    </cfRule>
    <cfRule type="cellIs" dxfId="1" priority="671" operator="greaterThan">
      <formula>120</formula>
    </cfRule>
    <cfRule type="containsText" dxfId="2" priority="92" operator="between" text="库存为">
      <formula>NOT(ISERROR(SEARCH("库存为",AU493)))</formula>
    </cfRule>
  </conditionalFormatting>
  <conditionalFormatting sqref="AU494">
    <cfRule type="cellIs" dxfId="0" priority="1249" operator="lessThan">
      <formula>20</formula>
    </cfRule>
    <cfRule type="cellIs" dxfId="1" priority="670" operator="greaterThan">
      <formula>120</formula>
    </cfRule>
    <cfRule type="containsText" dxfId="2" priority="91" operator="between" text="库存为">
      <formula>NOT(ISERROR(SEARCH("库存为",AU494)))</formula>
    </cfRule>
  </conditionalFormatting>
  <conditionalFormatting sqref="AU495">
    <cfRule type="cellIs" dxfId="0" priority="1248" operator="lessThan">
      <formula>20</formula>
    </cfRule>
    <cfRule type="cellIs" dxfId="1" priority="669" operator="greaterThan">
      <formula>120</formula>
    </cfRule>
    <cfRule type="containsText" dxfId="2" priority="90" operator="between" text="库存为">
      <formula>NOT(ISERROR(SEARCH("库存为",AU495)))</formula>
    </cfRule>
  </conditionalFormatting>
  <conditionalFormatting sqref="AU496">
    <cfRule type="cellIs" dxfId="0" priority="1247" operator="lessThan">
      <formula>20</formula>
    </cfRule>
    <cfRule type="cellIs" dxfId="1" priority="668" operator="greaterThan">
      <formula>120</formula>
    </cfRule>
    <cfRule type="containsText" dxfId="2" priority="89" operator="between" text="库存为">
      <formula>NOT(ISERROR(SEARCH("库存为",AU496)))</formula>
    </cfRule>
  </conditionalFormatting>
  <conditionalFormatting sqref="AU497">
    <cfRule type="cellIs" dxfId="0" priority="1246" operator="lessThan">
      <formula>20</formula>
    </cfRule>
    <cfRule type="cellIs" dxfId="1" priority="667" operator="greaterThan">
      <formula>120</formula>
    </cfRule>
    <cfRule type="containsText" dxfId="2" priority="88" operator="between" text="库存为">
      <formula>NOT(ISERROR(SEARCH("库存为",AU497)))</formula>
    </cfRule>
  </conditionalFormatting>
  <conditionalFormatting sqref="AU498">
    <cfRule type="cellIs" dxfId="0" priority="1245" operator="lessThan">
      <formula>20</formula>
    </cfRule>
    <cfRule type="cellIs" dxfId="1" priority="666" operator="greaterThan">
      <formula>120</formula>
    </cfRule>
    <cfRule type="containsText" dxfId="2" priority="87" operator="between" text="库存为">
      <formula>NOT(ISERROR(SEARCH("库存为",AU498)))</formula>
    </cfRule>
  </conditionalFormatting>
  <conditionalFormatting sqref="AU499">
    <cfRule type="cellIs" dxfId="0" priority="1244" operator="lessThan">
      <formula>20</formula>
    </cfRule>
    <cfRule type="cellIs" dxfId="1" priority="665" operator="greaterThan">
      <formula>120</formula>
    </cfRule>
    <cfRule type="containsText" dxfId="2" priority="86" operator="between" text="库存为">
      <formula>NOT(ISERROR(SEARCH("库存为",AU499)))</formula>
    </cfRule>
  </conditionalFormatting>
  <conditionalFormatting sqref="AU500">
    <cfRule type="cellIs" dxfId="0" priority="1243" operator="lessThan">
      <formula>20</formula>
    </cfRule>
    <cfRule type="cellIs" dxfId="1" priority="664" operator="greaterThan">
      <formula>120</formula>
    </cfRule>
    <cfRule type="containsText" dxfId="2" priority="85" operator="between" text="库存为">
      <formula>NOT(ISERROR(SEARCH("库存为",AU500)))</formula>
    </cfRule>
  </conditionalFormatting>
  <conditionalFormatting sqref="AU501">
    <cfRule type="cellIs" dxfId="0" priority="1242" operator="lessThan">
      <formula>20</formula>
    </cfRule>
    <cfRule type="cellIs" dxfId="1" priority="663" operator="greaterThan">
      <formula>120</formula>
    </cfRule>
    <cfRule type="containsText" dxfId="2" priority="84" operator="between" text="库存为">
      <formula>NOT(ISERROR(SEARCH("库存为",AU501)))</formula>
    </cfRule>
  </conditionalFormatting>
  <conditionalFormatting sqref="AU502">
    <cfRule type="cellIs" dxfId="0" priority="1241" operator="lessThan">
      <formula>20</formula>
    </cfRule>
    <cfRule type="cellIs" dxfId="1" priority="662" operator="greaterThan">
      <formula>120</formula>
    </cfRule>
    <cfRule type="containsText" dxfId="2" priority="83" operator="between" text="库存为">
      <formula>NOT(ISERROR(SEARCH("库存为",AU502)))</formula>
    </cfRule>
  </conditionalFormatting>
  <conditionalFormatting sqref="AU503">
    <cfRule type="cellIs" dxfId="0" priority="1240" operator="lessThan">
      <formula>20</formula>
    </cfRule>
    <cfRule type="cellIs" dxfId="1" priority="661" operator="greaterThan">
      <formula>120</formula>
    </cfRule>
    <cfRule type="containsText" dxfId="2" priority="82" operator="between" text="库存为">
      <formula>NOT(ISERROR(SEARCH("库存为",AU503)))</formula>
    </cfRule>
  </conditionalFormatting>
  <conditionalFormatting sqref="AU504">
    <cfRule type="cellIs" dxfId="0" priority="1239" operator="lessThan">
      <formula>20</formula>
    </cfRule>
    <cfRule type="cellIs" dxfId="1" priority="660" operator="greaterThan">
      <formula>120</formula>
    </cfRule>
    <cfRule type="containsText" dxfId="2" priority="81" operator="between" text="库存为">
      <formula>NOT(ISERROR(SEARCH("库存为",AU504)))</formula>
    </cfRule>
  </conditionalFormatting>
  <conditionalFormatting sqref="AU505">
    <cfRule type="cellIs" dxfId="0" priority="1238" operator="lessThan">
      <formula>20</formula>
    </cfRule>
    <cfRule type="cellIs" dxfId="1" priority="659" operator="greaterThan">
      <formula>120</formula>
    </cfRule>
    <cfRule type="containsText" dxfId="2" priority="80" operator="between" text="库存为">
      <formula>NOT(ISERROR(SEARCH("库存为",AU505)))</formula>
    </cfRule>
  </conditionalFormatting>
  <conditionalFormatting sqref="AU506">
    <cfRule type="cellIs" dxfId="0" priority="1237" operator="lessThan">
      <formula>20</formula>
    </cfRule>
    <cfRule type="cellIs" dxfId="1" priority="658" operator="greaterThan">
      <formula>120</formula>
    </cfRule>
    <cfRule type="containsText" dxfId="2" priority="79" operator="between" text="库存为">
      <formula>NOT(ISERROR(SEARCH("库存为",AU506)))</formula>
    </cfRule>
  </conditionalFormatting>
  <conditionalFormatting sqref="AU507">
    <cfRule type="cellIs" dxfId="0" priority="1236" operator="lessThan">
      <formula>20</formula>
    </cfRule>
    <cfRule type="cellIs" dxfId="1" priority="657" operator="greaterThan">
      <formula>120</formula>
    </cfRule>
    <cfRule type="containsText" dxfId="2" priority="78" operator="between" text="库存为">
      <formula>NOT(ISERROR(SEARCH("库存为",AU507)))</formula>
    </cfRule>
  </conditionalFormatting>
  <conditionalFormatting sqref="AU508">
    <cfRule type="cellIs" dxfId="0" priority="1235" operator="lessThan">
      <formula>20</formula>
    </cfRule>
    <cfRule type="cellIs" dxfId="1" priority="656" operator="greaterThan">
      <formula>120</formula>
    </cfRule>
    <cfRule type="containsText" dxfId="2" priority="77" operator="between" text="库存为">
      <formula>NOT(ISERROR(SEARCH("库存为",AU508)))</formula>
    </cfRule>
  </conditionalFormatting>
  <conditionalFormatting sqref="AU509">
    <cfRule type="cellIs" dxfId="0" priority="1234" operator="lessThan">
      <formula>20</formula>
    </cfRule>
    <cfRule type="cellIs" dxfId="1" priority="655" operator="greaterThan">
      <formula>120</formula>
    </cfRule>
    <cfRule type="containsText" dxfId="2" priority="76" operator="between" text="库存为">
      <formula>NOT(ISERROR(SEARCH("库存为",AU509)))</formula>
    </cfRule>
  </conditionalFormatting>
  <conditionalFormatting sqref="AU510">
    <cfRule type="cellIs" dxfId="0" priority="1233" operator="lessThan">
      <formula>20</formula>
    </cfRule>
    <cfRule type="cellIs" dxfId="1" priority="654" operator="greaterThan">
      <formula>120</formula>
    </cfRule>
    <cfRule type="containsText" dxfId="2" priority="75" operator="between" text="库存为">
      <formula>NOT(ISERROR(SEARCH("库存为",AU510)))</formula>
    </cfRule>
  </conditionalFormatting>
  <conditionalFormatting sqref="AU511">
    <cfRule type="cellIs" dxfId="0" priority="1232" operator="lessThan">
      <formula>20</formula>
    </cfRule>
    <cfRule type="cellIs" dxfId="1" priority="653" operator="greaterThan">
      <formula>120</formula>
    </cfRule>
    <cfRule type="containsText" dxfId="2" priority="74" operator="between" text="库存为">
      <formula>NOT(ISERROR(SEARCH("库存为",AU511)))</formula>
    </cfRule>
  </conditionalFormatting>
  <conditionalFormatting sqref="AU512">
    <cfRule type="cellIs" dxfId="0" priority="1231" operator="lessThan">
      <formula>20</formula>
    </cfRule>
    <cfRule type="cellIs" dxfId="1" priority="652" operator="greaterThan">
      <formula>120</formula>
    </cfRule>
    <cfRule type="containsText" dxfId="2" priority="73" operator="between" text="库存为">
      <formula>NOT(ISERROR(SEARCH("库存为",AU512)))</formula>
    </cfRule>
  </conditionalFormatting>
  <conditionalFormatting sqref="AU513">
    <cfRule type="cellIs" dxfId="0" priority="1230" operator="lessThan">
      <formula>20</formula>
    </cfRule>
    <cfRule type="cellIs" dxfId="1" priority="651" operator="greaterThan">
      <formula>120</formula>
    </cfRule>
    <cfRule type="containsText" dxfId="2" priority="72" operator="between" text="库存为">
      <formula>NOT(ISERROR(SEARCH("库存为",AU513)))</formula>
    </cfRule>
  </conditionalFormatting>
  <conditionalFormatting sqref="AU514">
    <cfRule type="cellIs" dxfId="0" priority="1229" operator="lessThan">
      <formula>20</formula>
    </cfRule>
    <cfRule type="cellIs" dxfId="1" priority="650" operator="greaterThan">
      <formula>120</formula>
    </cfRule>
    <cfRule type="containsText" dxfId="2" priority="71" operator="between" text="库存为">
      <formula>NOT(ISERROR(SEARCH("库存为",AU514)))</formula>
    </cfRule>
  </conditionalFormatting>
  <conditionalFormatting sqref="AU515">
    <cfRule type="cellIs" dxfId="0" priority="1228" operator="lessThan">
      <formula>20</formula>
    </cfRule>
    <cfRule type="cellIs" dxfId="1" priority="649" operator="greaterThan">
      <formula>120</formula>
    </cfRule>
    <cfRule type="containsText" dxfId="2" priority="70" operator="between" text="库存为">
      <formula>NOT(ISERROR(SEARCH("库存为",AU515)))</formula>
    </cfRule>
  </conditionalFormatting>
  <conditionalFormatting sqref="AU516">
    <cfRule type="cellIs" dxfId="0" priority="1227" operator="lessThan">
      <formula>20</formula>
    </cfRule>
    <cfRule type="cellIs" dxfId="1" priority="648" operator="greaterThan">
      <formula>120</formula>
    </cfRule>
    <cfRule type="containsText" dxfId="2" priority="69" operator="between" text="库存为">
      <formula>NOT(ISERROR(SEARCH("库存为",AU516)))</formula>
    </cfRule>
  </conditionalFormatting>
  <conditionalFormatting sqref="AU517">
    <cfRule type="cellIs" dxfId="0" priority="1226" operator="lessThan">
      <formula>20</formula>
    </cfRule>
    <cfRule type="cellIs" dxfId="1" priority="647" operator="greaterThan">
      <formula>120</formula>
    </cfRule>
    <cfRule type="containsText" dxfId="2" priority="68" operator="between" text="库存为">
      <formula>NOT(ISERROR(SEARCH("库存为",AU517)))</formula>
    </cfRule>
  </conditionalFormatting>
  <conditionalFormatting sqref="AU518">
    <cfRule type="cellIs" dxfId="0" priority="1225" operator="lessThan">
      <formula>20</formula>
    </cfRule>
    <cfRule type="cellIs" dxfId="1" priority="646" operator="greaterThan">
      <formula>120</formula>
    </cfRule>
    <cfRule type="containsText" dxfId="2" priority="67" operator="between" text="库存为">
      <formula>NOT(ISERROR(SEARCH("库存为",AU518)))</formula>
    </cfRule>
  </conditionalFormatting>
  <conditionalFormatting sqref="AU519">
    <cfRule type="cellIs" dxfId="0" priority="1224" operator="lessThan">
      <formula>20</formula>
    </cfRule>
    <cfRule type="cellIs" dxfId="1" priority="645" operator="greaterThan">
      <formula>120</formula>
    </cfRule>
    <cfRule type="containsText" dxfId="2" priority="66" operator="between" text="库存为">
      <formula>NOT(ISERROR(SEARCH("库存为",AU519)))</formula>
    </cfRule>
  </conditionalFormatting>
  <conditionalFormatting sqref="AU520">
    <cfRule type="cellIs" dxfId="0" priority="1223" operator="lessThan">
      <formula>20</formula>
    </cfRule>
    <cfRule type="cellIs" dxfId="1" priority="644" operator="greaterThan">
      <formula>120</formula>
    </cfRule>
    <cfRule type="containsText" dxfId="2" priority="65" operator="between" text="库存为">
      <formula>NOT(ISERROR(SEARCH("库存为",AU520)))</formula>
    </cfRule>
  </conditionalFormatting>
  <conditionalFormatting sqref="AU521">
    <cfRule type="cellIs" dxfId="0" priority="1222" operator="lessThan">
      <formula>20</formula>
    </cfRule>
    <cfRule type="cellIs" dxfId="1" priority="643" operator="greaterThan">
      <formula>120</formula>
    </cfRule>
    <cfRule type="containsText" dxfId="2" priority="64" operator="between" text="库存为">
      <formula>NOT(ISERROR(SEARCH("库存为",AU521)))</formula>
    </cfRule>
  </conditionalFormatting>
  <conditionalFormatting sqref="AU522">
    <cfRule type="cellIs" dxfId="0" priority="1221" operator="lessThan">
      <formula>20</formula>
    </cfRule>
    <cfRule type="cellIs" dxfId="1" priority="642" operator="greaterThan">
      <formula>120</formula>
    </cfRule>
    <cfRule type="containsText" dxfId="2" priority="63" operator="between" text="库存为">
      <formula>NOT(ISERROR(SEARCH("库存为",AU522)))</formula>
    </cfRule>
  </conditionalFormatting>
  <conditionalFormatting sqref="AU523">
    <cfRule type="cellIs" dxfId="0" priority="1220" operator="lessThan">
      <formula>20</formula>
    </cfRule>
    <cfRule type="cellIs" dxfId="1" priority="641" operator="greaterThan">
      <formula>120</formula>
    </cfRule>
    <cfRule type="containsText" dxfId="2" priority="62" operator="between" text="库存为">
      <formula>NOT(ISERROR(SEARCH("库存为",AU523)))</formula>
    </cfRule>
  </conditionalFormatting>
  <conditionalFormatting sqref="AU524">
    <cfRule type="cellIs" dxfId="0" priority="1219" operator="lessThan">
      <formula>20</formula>
    </cfRule>
    <cfRule type="cellIs" dxfId="1" priority="640" operator="greaterThan">
      <formula>120</formula>
    </cfRule>
    <cfRule type="containsText" dxfId="2" priority="61" operator="between" text="库存为">
      <formula>NOT(ISERROR(SEARCH("库存为",AU524)))</formula>
    </cfRule>
  </conditionalFormatting>
  <conditionalFormatting sqref="AU525">
    <cfRule type="cellIs" dxfId="0" priority="1218" operator="lessThan">
      <formula>20</formula>
    </cfRule>
    <cfRule type="cellIs" dxfId="1" priority="639" operator="greaterThan">
      <formula>120</formula>
    </cfRule>
    <cfRule type="containsText" dxfId="2" priority="60" operator="between" text="库存为">
      <formula>NOT(ISERROR(SEARCH("库存为",AU525)))</formula>
    </cfRule>
  </conditionalFormatting>
  <conditionalFormatting sqref="AU526">
    <cfRule type="cellIs" dxfId="0" priority="1217" operator="lessThan">
      <formula>20</formula>
    </cfRule>
    <cfRule type="cellIs" dxfId="1" priority="638" operator="greaterThan">
      <formula>120</formula>
    </cfRule>
    <cfRule type="containsText" dxfId="2" priority="59" operator="between" text="库存为">
      <formula>NOT(ISERROR(SEARCH("库存为",AU526)))</formula>
    </cfRule>
  </conditionalFormatting>
  <conditionalFormatting sqref="AU527">
    <cfRule type="cellIs" dxfId="0" priority="1216" operator="lessThan">
      <formula>20</formula>
    </cfRule>
    <cfRule type="cellIs" dxfId="1" priority="637" operator="greaterThan">
      <formula>120</formula>
    </cfRule>
    <cfRule type="containsText" dxfId="2" priority="58" operator="between" text="库存为">
      <formula>NOT(ISERROR(SEARCH("库存为",AU527)))</formula>
    </cfRule>
  </conditionalFormatting>
  <conditionalFormatting sqref="AU528">
    <cfRule type="cellIs" dxfId="0" priority="1215" operator="lessThan">
      <formula>20</formula>
    </cfRule>
    <cfRule type="cellIs" dxfId="1" priority="636" operator="greaterThan">
      <formula>120</formula>
    </cfRule>
    <cfRule type="containsText" dxfId="2" priority="57" operator="between" text="库存为">
      <formula>NOT(ISERROR(SEARCH("库存为",AU528)))</formula>
    </cfRule>
  </conditionalFormatting>
  <conditionalFormatting sqref="AU529">
    <cfRule type="cellIs" dxfId="0" priority="1214" operator="lessThan">
      <formula>20</formula>
    </cfRule>
    <cfRule type="cellIs" dxfId="1" priority="635" operator="greaterThan">
      <formula>120</formula>
    </cfRule>
    <cfRule type="containsText" dxfId="2" priority="56" operator="between" text="库存为">
      <formula>NOT(ISERROR(SEARCH("库存为",AU529)))</formula>
    </cfRule>
  </conditionalFormatting>
  <conditionalFormatting sqref="AU530">
    <cfRule type="cellIs" dxfId="0" priority="1213" operator="lessThan">
      <formula>20</formula>
    </cfRule>
    <cfRule type="cellIs" dxfId="1" priority="634" operator="greaterThan">
      <formula>120</formula>
    </cfRule>
    <cfRule type="containsText" dxfId="2" priority="55" operator="between" text="库存为">
      <formula>NOT(ISERROR(SEARCH("库存为",AU530)))</formula>
    </cfRule>
  </conditionalFormatting>
  <conditionalFormatting sqref="AU531">
    <cfRule type="cellIs" dxfId="0" priority="1212" operator="lessThan">
      <formula>20</formula>
    </cfRule>
    <cfRule type="cellIs" dxfId="1" priority="633" operator="greaterThan">
      <formula>120</formula>
    </cfRule>
    <cfRule type="containsText" dxfId="2" priority="54" operator="between" text="库存为">
      <formula>NOT(ISERROR(SEARCH("库存为",AU531)))</formula>
    </cfRule>
  </conditionalFormatting>
  <conditionalFormatting sqref="AU532">
    <cfRule type="cellIs" dxfId="0" priority="1211" operator="lessThan">
      <formula>20</formula>
    </cfRule>
    <cfRule type="cellIs" dxfId="1" priority="632" operator="greaterThan">
      <formula>120</formula>
    </cfRule>
    <cfRule type="containsText" dxfId="2" priority="53" operator="between" text="库存为">
      <formula>NOT(ISERROR(SEARCH("库存为",AU532)))</formula>
    </cfRule>
  </conditionalFormatting>
  <conditionalFormatting sqref="AU533">
    <cfRule type="cellIs" dxfId="0" priority="1210" operator="lessThan">
      <formula>20</formula>
    </cfRule>
    <cfRule type="cellIs" dxfId="1" priority="631" operator="greaterThan">
      <formula>120</formula>
    </cfRule>
    <cfRule type="containsText" dxfId="2" priority="52" operator="between" text="库存为">
      <formula>NOT(ISERROR(SEARCH("库存为",AU533)))</formula>
    </cfRule>
  </conditionalFormatting>
  <conditionalFormatting sqref="AU534">
    <cfRule type="cellIs" dxfId="0" priority="1209" operator="lessThan">
      <formula>20</formula>
    </cfRule>
    <cfRule type="cellIs" dxfId="1" priority="630" operator="greaterThan">
      <formula>120</formula>
    </cfRule>
    <cfRule type="containsText" dxfId="2" priority="51" operator="between" text="库存为">
      <formula>NOT(ISERROR(SEARCH("库存为",AU534)))</formula>
    </cfRule>
  </conditionalFormatting>
  <conditionalFormatting sqref="AU535">
    <cfRule type="cellIs" dxfId="0" priority="1208" operator="lessThan">
      <formula>20</formula>
    </cfRule>
    <cfRule type="cellIs" dxfId="1" priority="629" operator="greaterThan">
      <formula>120</formula>
    </cfRule>
    <cfRule type="containsText" dxfId="2" priority="50" operator="between" text="库存为">
      <formula>NOT(ISERROR(SEARCH("库存为",AU535)))</formula>
    </cfRule>
  </conditionalFormatting>
  <conditionalFormatting sqref="AU536">
    <cfRule type="cellIs" dxfId="0" priority="1207" operator="lessThan">
      <formula>20</formula>
    </cfRule>
    <cfRule type="cellIs" dxfId="1" priority="628" operator="greaterThan">
      <formula>120</formula>
    </cfRule>
    <cfRule type="containsText" dxfId="2" priority="49" operator="between" text="库存为">
      <formula>NOT(ISERROR(SEARCH("库存为",AU536)))</formula>
    </cfRule>
  </conditionalFormatting>
  <conditionalFormatting sqref="AU537">
    <cfRule type="cellIs" dxfId="0" priority="1206" operator="lessThan">
      <formula>20</formula>
    </cfRule>
    <cfRule type="cellIs" dxfId="1" priority="627" operator="greaterThan">
      <formula>120</formula>
    </cfRule>
    <cfRule type="containsText" dxfId="2" priority="48" operator="between" text="库存为">
      <formula>NOT(ISERROR(SEARCH("库存为",AU537)))</formula>
    </cfRule>
  </conditionalFormatting>
  <conditionalFormatting sqref="AU538">
    <cfRule type="cellIs" dxfId="0" priority="1205" operator="lessThan">
      <formula>20</formula>
    </cfRule>
    <cfRule type="cellIs" dxfId="1" priority="626" operator="greaterThan">
      <formula>120</formula>
    </cfRule>
    <cfRule type="containsText" dxfId="2" priority="47" operator="between" text="库存为">
      <formula>NOT(ISERROR(SEARCH("库存为",AU538)))</formula>
    </cfRule>
  </conditionalFormatting>
  <conditionalFormatting sqref="AU539">
    <cfRule type="cellIs" dxfId="0" priority="1204" operator="lessThan">
      <formula>20</formula>
    </cfRule>
    <cfRule type="cellIs" dxfId="1" priority="625" operator="greaterThan">
      <formula>120</formula>
    </cfRule>
    <cfRule type="containsText" dxfId="2" priority="46" operator="between" text="库存为">
      <formula>NOT(ISERROR(SEARCH("库存为",AU539)))</formula>
    </cfRule>
  </conditionalFormatting>
  <conditionalFormatting sqref="AU540">
    <cfRule type="cellIs" dxfId="0" priority="1203" operator="lessThan">
      <formula>20</formula>
    </cfRule>
    <cfRule type="cellIs" dxfId="1" priority="624" operator="greaterThan">
      <formula>120</formula>
    </cfRule>
    <cfRule type="containsText" dxfId="2" priority="45" operator="between" text="库存为">
      <formula>NOT(ISERROR(SEARCH("库存为",AU540)))</formula>
    </cfRule>
  </conditionalFormatting>
  <conditionalFormatting sqref="AU541">
    <cfRule type="cellIs" dxfId="0" priority="1202" operator="lessThan">
      <formula>20</formula>
    </cfRule>
    <cfRule type="cellIs" dxfId="1" priority="623" operator="greaterThan">
      <formula>120</formula>
    </cfRule>
    <cfRule type="containsText" dxfId="2" priority="44" operator="between" text="库存为">
      <formula>NOT(ISERROR(SEARCH("库存为",AU541)))</formula>
    </cfRule>
  </conditionalFormatting>
  <conditionalFormatting sqref="AU542">
    <cfRule type="cellIs" dxfId="0" priority="1201" operator="lessThan">
      <formula>20</formula>
    </cfRule>
    <cfRule type="cellIs" dxfId="1" priority="622" operator="greaterThan">
      <formula>120</formula>
    </cfRule>
    <cfRule type="containsText" dxfId="2" priority="43" operator="between" text="库存为">
      <formula>NOT(ISERROR(SEARCH("库存为",AU542)))</formula>
    </cfRule>
  </conditionalFormatting>
  <conditionalFormatting sqref="AU543">
    <cfRule type="cellIs" dxfId="0" priority="1200" operator="lessThan">
      <formula>20</formula>
    </cfRule>
    <cfRule type="cellIs" dxfId="1" priority="621" operator="greaterThan">
      <formula>120</formula>
    </cfRule>
    <cfRule type="containsText" dxfId="2" priority="42" operator="between" text="库存为">
      <formula>NOT(ISERROR(SEARCH("库存为",AU543)))</formula>
    </cfRule>
  </conditionalFormatting>
  <conditionalFormatting sqref="AU544">
    <cfRule type="cellIs" dxfId="0" priority="1199" operator="lessThan">
      <formula>20</formula>
    </cfRule>
    <cfRule type="cellIs" dxfId="1" priority="620" operator="greaterThan">
      <formula>120</formula>
    </cfRule>
    <cfRule type="containsText" dxfId="2" priority="41" operator="between" text="库存为">
      <formula>NOT(ISERROR(SEARCH("库存为",AU544)))</formula>
    </cfRule>
  </conditionalFormatting>
  <conditionalFormatting sqref="AU545">
    <cfRule type="cellIs" dxfId="0" priority="1198" operator="lessThan">
      <formula>20</formula>
    </cfRule>
    <cfRule type="cellIs" dxfId="1" priority="619" operator="greaterThan">
      <formula>120</formula>
    </cfRule>
    <cfRule type="containsText" dxfId="2" priority="40" operator="between" text="库存为">
      <formula>NOT(ISERROR(SEARCH("库存为",AU545)))</formula>
    </cfRule>
  </conditionalFormatting>
  <conditionalFormatting sqref="AU546">
    <cfRule type="cellIs" dxfId="0" priority="1197" operator="lessThan">
      <formula>20</formula>
    </cfRule>
    <cfRule type="cellIs" dxfId="1" priority="618" operator="greaterThan">
      <formula>120</formula>
    </cfRule>
    <cfRule type="containsText" dxfId="2" priority="39" operator="between" text="库存为">
      <formula>NOT(ISERROR(SEARCH("库存为",AU546)))</formula>
    </cfRule>
  </conditionalFormatting>
  <conditionalFormatting sqref="AU547">
    <cfRule type="cellIs" dxfId="0" priority="1196" operator="lessThan">
      <formula>20</formula>
    </cfRule>
    <cfRule type="cellIs" dxfId="1" priority="617" operator="greaterThan">
      <formula>120</formula>
    </cfRule>
    <cfRule type="containsText" dxfId="2" priority="38" operator="between" text="库存为">
      <formula>NOT(ISERROR(SEARCH("库存为",AU547)))</formula>
    </cfRule>
  </conditionalFormatting>
  <conditionalFormatting sqref="AU548">
    <cfRule type="cellIs" dxfId="0" priority="1195" operator="lessThan">
      <formula>20</formula>
    </cfRule>
    <cfRule type="cellIs" dxfId="1" priority="616" operator="greaterThan">
      <formula>120</formula>
    </cfRule>
    <cfRule type="containsText" dxfId="2" priority="37" operator="between" text="库存为">
      <formula>NOT(ISERROR(SEARCH("库存为",AU548)))</formula>
    </cfRule>
  </conditionalFormatting>
  <conditionalFormatting sqref="AU549">
    <cfRule type="cellIs" dxfId="0" priority="1194" operator="lessThan">
      <formula>20</formula>
    </cfRule>
    <cfRule type="cellIs" dxfId="1" priority="615" operator="greaterThan">
      <formula>120</formula>
    </cfRule>
    <cfRule type="containsText" dxfId="2" priority="36" operator="between" text="库存为">
      <formula>NOT(ISERROR(SEARCH("库存为",AU549)))</formula>
    </cfRule>
  </conditionalFormatting>
  <conditionalFormatting sqref="AU550">
    <cfRule type="cellIs" dxfId="0" priority="1193" operator="lessThan">
      <formula>20</formula>
    </cfRule>
    <cfRule type="cellIs" dxfId="1" priority="614" operator="greaterThan">
      <formula>120</formula>
    </cfRule>
    <cfRule type="containsText" dxfId="2" priority="35" operator="between" text="库存为">
      <formula>NOT(ISERROR(SEARCH("库存为",AU550)))</formula>
    </cfRule>
  </conditionalFormatting>
  <conditionalFormatting sqref="AU551">
    <cfRule type="cellIs" dxfId="0" priority="1192" operator="lessThan">
      <formula>20</formula>
    </cfRule>
    <cfRule type="cellIs" dxfId="1" priority="613" operator="greaterThan">
      <formula>120</formula>
    </cfRule>
    <cfRule type="containsText" dxfId="2" priority="34" operator="between" text="库存为">
      <formula>NOT(ISERROR(SEARCH("库存为",AU551)))</formula>
    </cfRule>
  </conditionalFormatting>
  <conditionalFormatting sqref="AU552">
    <cfRule type="cellIs" dxfId="0" priority="1191" operator="lessThan">
      <formula>20</formula>
    </cfRule>
    <cfRule type="cellIs" dxfId="1" priority="612" operator="greaterThan">
      <formula>120</formula>
    </cfRule>
    <cfRule type="containsText" dxfId="2" priority="33" operator="between" text="库存为">
      <formula>NOT(ISERROR(SEARCH("库存为",AU552)))</formula>
    </cfRule>
  </conditionalFormatting>
  <conditionalFormatting sqref="AU553">
    <cfRule type="cellIs" dxfId="0" priority="1190" operator="lessThan">
      <formula>20</formula>
    </cfRule>
    <cfRule type="cellIs" dxfId="1" priority="611" operator="greaterThan">
      <formula>120</formula>
    </cfRule>
    <cfRule type="containsText" dxfId="2" priority="32" operator="between" text="库存为">
      <formula>NOT(ISERROR(SEARCH("库存为",AU553)))</formula>
    </cfRule>
  </conditionalFormatting>
  <conditionalFormatting sqref="AU554">
    <cfRule type="cellIs" dxfId="0" priority="1189" operator="lessThan">
      <formula>20</formula>
    </cfRule>
    <cfRule type="cellIs" dxfId="1" priority="610" operator="greaterThan">
      <formula>120</formula>
    </cfRule>
    <cfRule type="containsText" dxfId="2" priority="31" operator="between" text="库存为">
      <formula>NOT(ISERROR(SEARCH("库存为",AU554)))</formula>
    </cfRule>
  </conditionalFormatting>
  <conditionalFormatting sqref="AU555">
    <cfRule type="cellIs" dxfId="0" priority="1188" operator="lessThan">
      <formula>20</formula>
    </cfRule>
    <cfRule type="cellIs" dxfId="1" priority="609" operator="greaterThan">
      <formula>120</formula>
    </cfRule>
    <cfRule type="containsText" dxfId="2" priority="30" operator="between" text="库存为">
      <formula>NOT(ISERROR(SEARCH("库存为",AU555)))</formula>
    </cfRule>
  </conditionalFormatting>
  <conditionalFormatting sqref="AU556">
    <cfRule type="cellIs" dxfId="0" priority="1187" operator="lessThan">
      <formula>20</formula>
    </cfRule>
    <cfRule type="cellIs" dxfId="1" priority="608" operator="greaterThan">
      <formula>120</formula>
    </cfRule>
    <cfRule type="containsText" dxfId="2" priority="29" operator="between" text="库存为">
      <formula>NOT(ISERROR(SEARCH("库存为",AU556)))</formula>
    </cfRule>
  </conditionalFormatting>
  <conditionalFormatting sqref="AU557">
    <cfRule type="cellIs" dxfId="0" priority="1186" operator="lessThan">
      <formula>20</formula>
    </cfRule>
    <cfRule type="cellIs" dxfId="1" priority="607" operator="greaterThan">
      <formula>120</formula>
    </cfRule>
    <cfRule type="containsText" dxfId="2" priority="28" operator="between" text="库存为">
      <formula>NOT(ISERROR(SEARCH("库存为",AU557)))</formula>
    </cfRule>
  </conditionalFormatting>
  <conditionalFormatting sqref="AU558">
    <cfRule type="cellIs" dxfId="0" priority="1185" operator="lessThan">
      <formula>20</formula>
    </cfRule>
    <cfRule type="cellIs" dxfId="1" priority="606" operator="greaterThan">
      <formula>120</formula>
    </cfRule>
    <cfRule type="containsText" dxfId="2" priority="27" operator="between" text="库存为">
      <formula>NOT(ISERROR(SEARCH("库存为",AU558)))</formula>
    </cfRule>
  </conditionalFormatting>
  <conditionalFormatting sqref="AU559">
    <cfRule type="cellIs" dxfId="0" priority="1184" operator="lessThan">
      <formula>20</formula>
    </cfRule>
    <cfRule type="cellIs" dxfId="1" priority="605" operator="greaterThan">
      <formula>120</formula>
    </cfRule>
    <cfRule type="containsText" dxfId="2" priority="26" operator="between" text="库存为">
      <formula>NOT(ISERROR(SEARCH("库存为",AU559)))</formula>
    </cfRule>
  </conditionalFormatting>
  <conditionalFormatting sqref="AU560">
    <cfRule type="cellIs" dxfId="0" priority="1183" operator="lessThan">
      <formula>20</formula>
    </cfRule>
    <cfRule type="cellIs" dxfId="1" priority="604" operator="greaterThan">
      <formula>120</formula>
    </cfRule>
    <cfRule type="containsText" dxfId="2" priority="25" operator="between" text="库存为">
      <formula>NOT(ISERROR(SEARCH("库存为",AU560)))</formula>
    </cfRule>
  </conditionalFormatting>
  <conditionalFormatting sqref="AU561">
    <cfRule type="cellIs" dxfId="0" priority="1182" operator="lessThan">
      <formula>20</formula>
    </cfRule>
    <cfRule type="cellIs" dxfId="1" priority="603" operator="greaterThan">
      <formula>120</formula>
    </cfRule>
    <cfRule type="containsText" dxfId="2" priority="24" operator="between" text="库存为">
      <formula>NOT(ISERROR(SEARCH("库存为",AU561)))</formula>
    </cfRule>
  </conditionalFormatting>
  <conditionalFormatting sqref="AU562">
    <cfRule type="cellIs" dxfId="0" priority="1181" operator="lessThan">
      <formula>20</formula>
    </cfRule>
    <cfRule type="cellIs" dxfId="1" priority="602" operator="greaterThan">
      <formula>120</formula>
    </cfRule>
    <cfRule type="containsText" dxfId="2" priority="23" operator="between" text="库存为">
      <formula>NOT(ISERROR(SEARCH("库存为",AU562)))</formula>
    </cfRule>
  </conditionalFormatting>
  <conditionalFormatting sqref="AU563">
    <cfRule type="cellIs" dxfId="0" priority="1180" operator="lessThan">
      <formula>20</formula>
    </cfRule>
    <cfRule type="cellIs" dxfId="1" priority="601" operator="greaterThan">
      <formula>120</formula>
    </cfRule>
    <cfRule type="containsText" dxfId="2" priority="22" operator="between" text="库存为">
      <formula>NOT(ISERROR(SEARCH("库存为",AU563)))</formula>
    </cfRule>
  </conditionalFormatting>
  <conditionalFormatting sqref="AU564">
    <cfRule type="cellIs" dxfId="0" priority="1179" operator="lessThan">
      <formula>20</formula>
    </cfRule>
    <cfRule type="cellIs" dxfId="1" priority="600" operator="greaterThan">
      <formula>120</formula>
    </cfRule>
    <cfRule type="containsText" dxfId="2" priority="21" operator="between" text="库存为">
      <formula>NOT(ISERROR(SEARCH("库存为",AU564)))</formula>
    </cfRule>
  </conditionalFormatting>
  <conditionalFormatting sqref="AU565">
    <cfRule type="cellIs" dxfId="0" priority="1178" operator="lessThan">
      <formula>20</formula>
    </cfRule>
    <cfRule type="cellIs" dxfId="1" priority="599" operator="greaterThan">
      <formula>120</formula>
    </cfRule>
    <cfRule type="containsText" dxfId="2" priority="20" operator="between" text="库存为">
      <formula>NOT(ISERROR(SEARCH("库存为",AU565)))</formula>
    </cfRule>
  </conditionalFormatting>
  <conditionalFormatting sqref="AU566">
    <cfRule type="cellIs" dxfId="0" priority="1177" operator="lessThan">
      <formula>20</formula>
    </cfRule>
    <cfRule type="cellIs" dxfId="1" priority="598" operator="greaterThan">
      <formula>120</formula>
    </cfRule>
    <cfRule type="containsText" dxfId="2" priority="19" operator="between" text="库存为">
      <formula>NOT(ISERROR(SEARCH("库存为",AU566)))</formula>
    </cfRule>
  </conditionalFormatting>
  <conditionalFormatting sqref="AU567">
    <cfRule type="cellIs" dxfId="0" priority="1176" operator="lessThan">
      <formula>20</formula>
    </cfRule>
    <cfRule type="cellIs" dxfId="1" priority="597" operator="greaterThan">
      <formula>120</formula>
    </cfRule>
    <cfRule type="containsText" dxfId="2" priority="18" operator="between" text="库存为">
      <formula>NOT(ISERROR(SEARCH("库存为",AU567)))</formula>
    </cfRule>
  </conditionalFormatting>
  <conditionalFormatting sqref="AU568">
    <cfRule type="cellIs" dxfId="0" priority="1175" operator="lessThan">
      <formula>20</formula>
    </cfRule>
    <cfRule type="cellIs" dxfId="1" priority="596" operator="greaterThan">
      <formula>120</formula>
    </cfRule>
    <cfRule type="containsText" dxfId="2" priority="17" operator="between" text="库存为">
      <formula>NOT(ISERROR(SEARCH("库存为",AU568)))</formula>
    </cfRule>
  </conditionalFormatting>
  <conditionalFormatting sqref="AU569">
    <cfRule type="cellIs" dxfId="0" priority="1174" operator="lessThan">
      <formula>20</formula>
    </cfRule>
    <cfRule type="cellIs" dxfId="1" priority="595" operator="greaterThan">
      <formula>120</formula>
    </cfRule>
    <cfRule type="containsText" dxfId="2" priority="16" operator="between" text="库存为">
      <formula>NOT(ISERROR(SEARCH("库存为",AU569)))</formula>
    </cfRule>
  </conditionalFormatting>
  <conditionalFormatting sqref="AU570">
    <cfRule type="cellIs" dxfId="0" priority="1173" operator="lessThan">
      <formula>20</formula>
    </cfRule>
    <cfRule type="cellIs" dxfId="1" priority="594" operator="greaterThan">
      <formula>120</formula>
    </cfRule>
    <cfRule type="containsText" dxfId="2" priority="15" operator="between" text="库存为">
      <formula>NOT(ISERROR(SEARCH("库存为",AU570)))</formula>
    </cfRule>
  </conditionalFormatting>
  <conditionalFormatting sqref="AU571">
    <cfRule type="cellIs" dxfId="0" priority="1172" operator="lessThan">
      <formula>20</formula>
    </cfRule>
    <cfRule type="cellIs" dxfId="1" priority="593" operator="greaterThan">
      <formula>120</formula>
    </cfRule>
    <cfRule type="containsText" dxfId="2" priority="14" operator="between" text="库存为">
      <formula>NOT(ISERROR(SEARCH("库存为",AU571)))</formula>
    </cfRule>
  </conditionalFormatting>
  <conditionalFormatting sqref="AU572">
    <cfRule type="cellIs" dxfId="0" priority="1171" operator="lessThan">
      <formula>20</formula>
    </cfRule>
    <cfRule type="cellIs" dxfId="1" priority="592" operator="greaterThan">
      <formula>120</formula>
    </cfRule>
    <cfRule type="containsText" dxfId="2" priority="13" operator="between" text="库存为">
      <formula>NOT(ISERROR(SEARCH("库存为",AU572)))</formula>
    </cfRule>
  </conditionalFormatting>
  <conditionalFormatting sqref="AU573">
    <cfRule type="cellIs" dxfId="0" priority="1170" operator="lessThan">
      <formula>20</formula>
    </cfRule>
    <cfRule type="cellIs" dxfId="1" priority="591" operator="greaterThan">
      <formula>120</formula>
    </cfRule>
    <cfRule type="containsText" dxfId="2" priority="12" operator="between" text="库存为">
      <formula>NOT(ISERROR(SEARCH("库存为",AU573)))</formula>
    </cfRule>
  </conditionalFormatting>
  <conditionalFormatting sqref="AU574">
    <cfRule type="cellIs" dxfId="0" priority="1169" operator="lessThan">
      <formula>20</formula>
    </cfRule>
    <cfRule type="cellIs" dxfId="1" priority="590" operator="greaterThan">
      <formula>120</formula>
    </cfRule>
    <cfRule type="containsText" dxfId="2" priority="11" operator="between" text="库存为">
      <formula>NOT(ISERROR(SEARCH("库存为",AU574)))</formula>
    </cfRule>
  </conditionalFormatting>
  <conditionalFormatting sqref="AU575">
    <cfRule type="cellIs" dxfId="0" priority="1168" operator="lessThan">
      <formula>20</formula>
    </cfRule>
    <cfRule type="cellIs" dxfId="1" priority="589" operator="greaterThan">
      <formula>120</formula>
    </cfRule>
    <cfRule type="containsText" dxfId="2" priority="10" operator="between" text="库存为">
      <formula>NOT(ISERROR(SEARCH("库存为",AU575)))</formula>
    </cfRule>
  </conditionalFormatting>
  <conditionalFormatting sqref="AU576">
    <cfRule type="cellIs" dxfId="0" priority="1167" operator="lessThan">
      <formula>20</formula>
    </cfRule>
    <cfRule type="cellIs" dxfId="1" priority="588" operator="greaterThan">
      <formula>120</formula>
    </cfRule>
    <cfRule type="containsText" dxfId="2" priority="9" operator="between" text="库存为">
      <formula>NOT(ISERROR(SEARCH("库存为",AU576)))</formula>
    </cfRule>
  </conditionalFormatting>
  <conditionalFormatting sqref="AU577">
    <cfRule type="cellIs" dxfId="0" priority="1166" operator="lessThan">
      <formula>20</formula>
    </cfRule>
    <cfRule type="cellIs" dxfId="1" priority="587" operator="greaterThan">
      <formula>120</formula>
    </cfRule>
    <cfRule type="containsText" dxfId="2" priority="8" operator="between" text="库存为">
      <formula>NOT(ISERROR(SEARCH("库存为",AU577)))</formula>
    </cfRule>
  </conditionalFormatting>
  <conditionalFormatting sqref="AU578">
    <cfRule type="cellIs" dxfId="0" priority="1165" operator="lessThan">
      <formula>20</formula>
    </cfRule>
    <cfRule type="cellIs" dxfId="1" priority="586" operator="greaterThan">
      <formula>120</formula>
    </cfRule>
    <cfRule type="containsText" dxfId="2" priority="7" operator="between" text="库存为">
      <formula>NOT(ISERROR(SEARCH("库存为",AU578)))</formula>
    </cfRule>
  </conditionalFormatting>
  <conditionalFormatting sqref="AU579">
    <cfRule type="cellIs" dxfId="0" priority="1164" operator="lessThan">
      <formula>20</formula>
    </cfRule>
    <cfRule type="cellIs" dxfId="1" priority="585" operator="greaterThan">
      <formula>120</formula>
    </cfRule>
    <cfRule type="containsText" dxfId="2" priority="6" operator="between" text="库存为">
      <formula>NOT(ISERROR(SEARCH("库存为",AU579)))</formula>
    </cfRule>
  </conditionalFormatting>
  <conditionalFormatting sqref="AU580">
    <cfRule type="cellIs" dxfId="0" priority="1163" operator="lessThan">
      <formula>20</formula>
    </cfRule>
    <cfRule type="cellIs" dxfId="1" priority="584" operator="greaterThan">
      <formula>120</formula>
    </cfRule>
    <cfRule type="containsText" dxfId="2" priority="5" operator="between" text="库存为">
      <formula>NOT(ISERROR(SEARCH("库存为",AU580)))</formula>
    </cfRule>
  </conditionalFormatting>
  <conditionalFormatting sqref="AU581">
    <cfRule type="cellIs" dxfId="0" priority="1162" operator="lessThan">
      <formula>20</formula>
    </cfRule>
    <cfRule type="cellIs" dxfId="1" priority="583" operator="greaterThan">
      <formula>120</formula>
    </cfRule>
    <cfRule type="containsText" dxfId="2" priority="4" operator="between" text="库存为">
      <formula>NOT(ISERROR(SEARCH("库存为",AU581)))</formula>
    </cfRule>
  </conditionalFormatting>
  <conditionalFormatting sqref="AU582">
    <cfRule type="cellIs" dxfId="0" priority="1161" operator="lessThan">
      <formula>20</formula>
    </cfRule>
    <cfRule type="cellIs" dxfId="1" priority="582" operator="greaterThan">
      <formula>120</formula>
    </cfRule>
    <cfRule type="containsText" dxfId="2" priority="3" operator="between" text="库存为">
      <formula>NOT(ISERROR(SEARCH("库存为",AU582)))</formula>
    </cfRule>
  </conditionalFormatting>
  <conditionalFormatting sqref="AU583">
    <cfRule type="cellIs" dxfId="0" priority="1160" operator="lessThan">
      <formula>20</formula>
    </cfRule>
    <cfRule type="cellIs" dxfId="1" priority="581" operator="greaterThan">
      <formula>120</formula>
    </cfRule>
    <cfRule type="containsText" dxfId="2" priority="2" operator="between" text="库存为">
      <formula>NOT(ISERROR(SEARCH("库存为",AU583)))</formula>
    </cfRule>
  </conditionalFormatting>
  <conditionalFormatting sqref="AU584">
    <cfRule type="cellIs" dxfId="0" priority="1159" operator="lessThan">
      <formula>20</formula>
    </cfRule>
    <cfRule type="cellIs" dxfId="1" priority="580" operator="greaterThan">
      <formula>120</formula>
    </cfRule>
    <cfRule type="containsText" dxfId="2" priority="1" operator="between" text="库存为">
      <formula>NOT(ISERROR(SEARCH("库存为",AU584)))</formula>
    </cfRule>
  </conditionalFormatting>
  <conditionalFormatting sqref="AU585">
    <cfRule type="cellIs" dxfId="0" priority="2919" operator="lessThan">
      <formula>20</formula>
    </cfRule>
    <cfRule type="cellIs" dxfId="1" priority="2332" operator="greaterThan">
      <formula>120</formula>
    </cfRule>
    <cfRule type="containsText" dxfId="2" priority="1745" operator="between" text="库存为">
      <formula>NOT(ISERROR(SEARCH("库存为",AU585)))</formula>
    </cfRule>
  </conditionalFormatting>
  <conditionalFormatting sqref="AU586">
    <cfRule type="cellIs" dxfId="0" priority="2918" operator="lessThan">
      <formula>20</formula>
    </cfRule>
    <cfRule type="cellIs" dxfId="1" priority="2331" operator="greaterThan">
      <formula>120</formula>
    </cfRule>
    <cfRule type="containsText" dxfId="2" priority="1744" operator="between" text="库存为">
      <formula>NOT(ISERROR(SEARCH("库存为",AU586)))</formula>
    </cfRule>
  </conditionalFormatting>
  <conditionalFormatting sqref="AU587">
    <cfRule type="cellIs" dxfId="0" priority="2917" operator="lessThan">
      <formula>20</formula>
    </cfRule>
    <cfRule type="cellIs" dxfId="1" priority="2330" operator="greaterThan">
      <formula>120</formula>
    </cfRule>
    <cfRule type="containsText" dxfId="2" priority="1743" operator="between" text="库存为">
      <formula>NOT(ISERROR(SEARCH("库存为",AU587)))</formula>
    </cfRule>
  </conditionalFormatting>
  <conditionalFormatting sqref="AU588">
    <cfRule type="cellIs" dxfId="0" priority="2916" operator="lessThan">
      <formula>20</formula>
    </cfRule>
    <cfRule type="cellIs" dxfId="1" priority="2329" operator="greaterThan">
      <formula>120</formula>
    </cfRule>
    <cfRule type="containsText" dxfId="2" priority="1742" operator="between" text="库存为">
      <formula>NOT(ISERROR(SEARCH("库存为",AU588)))</formula>
    </cfRule>
  </conditionalFormatting>
  <conditionalFormatting sqref="AU589">
    <cfRule type="cellIs" dxfId="0" priority="2915" operator="lessThan">
      <formula>20</formula>
    </cfRule>
    <cfRule type="cellIs" dxfId="1" priority="2328" operator="greaterThan">
      <formula>120</formula>
    </cfRule>
    <cfRule type="containsText" dxfId="2" priority="1741" operator="between" text="库存为">
      <formula>NOT(ISERROR(SEARCH("库存为",AU589)))</formula>
    </cfRule>
  </conditionalFormatting>
  <conditionalFormatting sqref="AU590">
    <cfRule type="cellIs" dxfId="0" priority="2914" operator="lessThan">
      <formula>20</formula>
    </cfRule>
    <cfRule type="cellIs" dxfId="1" priority="2327" operator="greaterThan">
      <formula>120</formula>
    </cfRule>
    <cfRule type="containsText" dxfId="2" priority="1740" operator="between" text="库存为">
      <formula>NOT(ISERROR(SEARCH("库存为",AU590)))</formula>
    </cfRule>
  </conditionalFormatting>
  <conditionalFormatting sqref="AU591">
    <cfRule type="cellIs" dxfId="0" priority="2913" operator="lessThan">
      <formula>20</formula>
    </cfRule>
    <cfRule type="cellIs" dxfId="1" priority="2326" operator="greaterThan">
      <formula>120</formula>
    </cfRule>
    <cfRule type="containsText" dxfId="2" priority="1739" operator="between" text="库存为">
      <formula>NOT(ISERROR(SEARCH("库存为",AU591)))</formula>
    </cfRule>
  </conditionalFormatting>
  <conditionalFormatting sqref="AU592">
    <cfRule type="cellIs" dxfId="0" priority="2912" operator="lessThan">
      <formula>20</formula>
    </cfRule>
    <cfRule type="cellIs" dxfId="1" priority="2325" operator="greaterThan">
      <formula>120</formula>
    </cfRule>
    <cfRule type="containsText" dxfId="2" priority="1738" operator="between" text="库存为">
      <formula>NOT(ISERROR(SEARCH("库存为",AU592)))</formula>
    </cfRule>
  </conditionalFormatting>
  <conditionalFormatting sqref="AU593">
    <cfRule type="cellIs" dxfId="0" priority="7354" operator="lessThan">
      <formula>20</formula>
    </cfRule>
    <cfRule type="cellIs" dxfId="1" priority="6460" operator="greaterThan">
      <formula>120</formula>
    </cfRule>
    <cfRule type="containsText" dxfId="2" priority="5566" operator="between" text="库存为">
      <formula>NOT(ISERROR(SEARCH("库存为",AU593)))</formula>
    </cfRule>
  </conditionalFormatting>
  <conditionalFormatting sqref="AU594">
    <cfRule type="cellIs" dxfId="0" priority="7353" operator="lessThan">
      <formula>20</formula>
    </cfRule>
    <cfRule type="cellIs" dxfId="1" priority="6459" operator="greaterThan">
      <formula>120</formula>
    </cfRule>
    <cfRule type="containsText" dxfId="2" priority="5565" operator="between" text="库存为">
      <formula>NOT(ISERROR(SEARCH("库存为",AU594)))</formula>
    </cfRule>
  </conditionalFormatting>
  <conditionalFormatting sqref="AU595">
    <cfRule type="cellIs" dxfId="0" priority="7352" operator="lessThan">
      <formula>20</formula>
    </cfRule>
    <cfRule type="cellIs" dxfId="1" priority="6458" operator="greaterThan">
      <formula>120</formula>
    </cfRule>
    <cfRule type="containsText" dxfId="2" priority="5564" operator="between" text="库存为">
      <formula>NOT(ISERROR(SEARCH("库存为",AU595)))</formula>
    </cfRule>
  </conditionalFormatting>
  <conditionalFormatting sqref="AU596">
    <cfRule type="cellIs" dxfId="0" priority="7351" operator="lessThan">
      <formula>20</formula>
    </cfRule>
    <cfRule type="cellIs" dxfId="1" priority="6457" operator="greaterThan">
      <formula>120</formula>
    </cfRule>
    <cfRule type="containsText" dxfId="2" priority="5563" operator="between" text="库存为">
      <formula>NOT(ISERROR(SEARCH("库存为",AU596)))</formula>
    </cfRule>
  </conditionalFormatting>
  <conditionalFormatting sqref="AU597">
    <cfRule type="cellIs" dxfId="0" priority="7350" operator="lessThan">
      <formula>20</formula>
    </cfRule>
    <cfRule type="cellIs" dxfId="1" priority="6456" operator="greaterThan">
      <formula>120</formula>
    </cfRule>
    <cfRule type="containsText" dxfId="2" priority="5562" operator="between" text="库存为">
      <formula>NOT(ISERROR(SEARCH("库存为",AU597)))</formula>
    </cfRule>
  </conditionalFormatting>
  <conditionalFormatting sqref="AU598">
    <cfRule type="cellIs" dxfId="0" priority="7349" operator="lessThan">
      <formula>20</formula>
    </cfRule>
    <cfRule type="cellIs" dxfId="1" priority="6455" operator="greaterThan">
      <formula>120</formula>
    </cfRule>
    <cfRule type="containsText" dxfId="2" priority="5561" operator="between" text="库存为">
      <formula>NOT(ISERROR(SEARCH("库存为",AU598)))</formula>
    </cfRule>
  </conditionalFormatting>
  <conditionalFormatting sqref="AU599">
    <cfRule type="cellIs" dxfId="0" priority="7348" operator="lessThan">
      <formula>20</formula>
    </cfRule>
    <cfRule type="cellIs" dxfId="1" priority="6454" operator="greaterThan">
      <formula>120</formula>
    </cfRule>
    <cfRule type="containsText" dxfId="2" priority="5560" operator="between" text="库存为">
      <formula>NOT(ISERROR(SEARCH("库存为",AU599)))</formula>
    </cfRule>
  </conditionalFormatting>
  <conditionalFormatting sqref="AU600">
    <cfRule type="cellIs" dxfId="0" priority="7347" operator="lessThan">
      <formula>20</formula>
    </cfRule>
    <cfRule type="cellIs" dxfId="1" priority="6453" operator="greaterThan">
      <formula>120</formula>
    </cfRule>
    <cfRule type="containsText" dxfId="2" priority="5559" operator="between" text="库存为">
      <formula>NOT(ISERROR(SEARCH("库存为",AU600)))</formula>
    </cfRule>
  </conditionalFormatting>
  <conditionalFormatting sqref="AU601">
    <cfRule type="cellIs" dxfId="0" priority="7346" operator="lessThan">
      <formula>20</formula>
    </cfRule>
    <cfRule type="cellIs" dxfId="1" priority="6452" operator="greaterThan">
      <formula>120</formula>
    </cfRule>
    <cfRule type="containsText" dxfId="2" priority="5558" operator="between" text="库存为">
      <formula>NOT(ISERROR(SEARCH("库存为",AU601)))</formula>
    </cfRule>
  </conditionalFormatting>
  <conditionalFormatting sqref="AU602">
    <cfRule type="cellIs" dxfId="0" priority="7345" operator="lessThan">
      <formula>20</formula>
    </cfRule>
    <cfRule type="cellIs" dxfId="1" priority="6451" operator="greaterThan">
      <formula>120</formula>
    </cfRule>
    <cfRule type="containsText" dxfId="2" priority="5557" operator="between" text="库存为">
      <formula>NOT(ISERROR(SEARCH("库存为",AU602)))</formula>
    </cfRule>
  </conditionalFormatting>
  <conditionalFormatting sqref="AU603">
    <cfRule type="cellIs" dxfId="0" priority="7344" operator="lessThan">
      <formula>20</formula>
    </cfRule>
    <cfRule type="cellIs" dxfId="1" priority="6450" operator="greaterThan">
      <formula>120</formula>
    </cfRule>
    <cfRule type="containsText" dxfId="2" priority="5556" operator="between" text="库存为">
      <formula>NOT(ISERROR(SEARCH("库存为",AU603)))</formula>
    </cfRule>
  </conditionalFormatting>
  <conditionalFormatting sqref="AU604">
    <cfRule type="cellIs" dxfId="0" priority="7343" operator="lessThan">
      <formula>20</formula>
    </cfRule>
    <cfRule type="cellIs" dxfId="1" priority="6449" operator="greaterThan">
      <formula>120</formula>
    </cfRule>
    <cfRule type="containsText" dxfId="2" priority="5555" operator="between" text="库存为">
      <formula>NOT(ISERROR(SEARCH("库存为",AU604)))</formula>
    </cfRule>
  </conditionalFormatting>
  <conditionalFormatting sqref="AU605">
    <cfRule type="cellIs" dxfId="0" priority="7342" operator="lessThan">
      <formula>20</formula>
    </cfRule>
    <cfRule type="cellIs" dxfId="1" priority="6448" operator="greaterThan">
      <formula>120</formula>
    </cfRule>
    <cfRule type="containsText" dxfId="2" priority="5554" operator="between" text="库存为">
      <formula>NOT(ISERROR(SEARCH("库存为",AU605)))</formula>
    </cfRule>
  </conditionalFormatting>
  <conditionalFormatting sqref="AU606">
    <cfRule type="cellIs" dxfId="0" priority="7341" operator="lessThan">
      <formula>20</formula>
    </cfRule>
    <cfRule type="cellIs" dxfId="1" priority="6447" operator="greaterThan">
      <formula>120</formula>
    </cfRule>
    <cfRule type="containsText" dxfId="2" priority="5553" operator="between" text="库存为">
      <formula>NOT(ISERROR(SEARCH("库存为",AU606)))</formula>
    </cfRule>
  </conditionalFormatting>
  <conditionalFormatting sqref="AU607">
    <cfRule type="cellIs" dxfId="0" priority="7340" operator="lessThan">
      <formula>20</formula>
    </cfRule>
    <cfRule type="cellIs" dxfId="1" priority="6446" operator="greaterThan">
      <formula>120</formula>
    </cfRule>
    <cfRule type="containsText" dxfId="2" priority="5552" operator="between" text="库存为">
      <formula>NOT(ISERROR(SEARCH("库存为",AU607)))</formula>
    </cfRule>
  </conditionalFormatting>
  <conditionalFormatting sqref="AU608">
    <cfRule type="cellIs" dxfId="0" priority="7339" operator="lessThan">
      <formula>20</formula>
    </cfRule>
    <cfRule type="cellIs" dxfId="1" priority="6445" operator="greaterThan">
      <formula>120</formula>
    </cfRule>
    <cfRule type="containsText" dxfId="2" priority="5551" operator="between" text="库存为">
      <formula>NOT(ISERROR(SEARCH("库存为",AU608)))</formula>
    </cfRule>
  </conditionalFormatting>
  <conditionalFormatting sqref="AU609">
    <cfRule type="cellIs" dxfId="0" priority="7338" operator="lessThan">
      <formula>20</formula>
    </cfRule>
    <cfRule type="cellIs" dxfId="1" priority="6444" operator="greaterThan">
      <formula>120</formula>
    </cfRule>
    <cfRule type="containsText" dxfId="2" priority="5550" operator="between" text="库存为">
      <formula>NOT(ISERROR(SEARCH("库存为",AU609)))</formula>
    </cfRule>
  </conditionalFormatting>
  <conditionalFormatting sqref="AU610">
    <cfRule type="cellIs" dxfId="0" priority="7337" operator="lessThan">
      <formula>20</formula>
    </cfRule>
    <cfRule type="cellIs" dxfId="1" priority="6443" operator="greaterThan">
      <formula>120</formula>
    </cfRule>
    <cfRule type="containsText" dxfId="2" priority="5549" operator="between" text="库存为">
      <formula>NOT(ISERROR(SEARCH("库存为",AU610)))</formula>
    </cfRule>
  </conditionalFormatting>
  <conditionalFormatting sqref="AU611">
    <cfRule type="cellIs" dxfId="0" priority="7336" operator="lessThan">
      <formula>20</formula>
    </cfRule>
    <cfRule type="cellIs" dxfId="1" priority="6442" operator="greaterThan">
      <formula>120</formula>
    </cfRule>
    <cfRule type="containsText" dxfId="2" priority="5548" operator="between" text="库存为">
      <formula>NOT(ISERROR(SEARCH("库存为",AU611)))</formula>
    </cfRule>
  </conditionalFormatting>
  <conditionalFormatting sqref="AU612">
    <cfRule type="cellIs" dxfId="0" priority="7335" operator="lessThan">
      <formula>20</formula>
    </cfRule>
    <cfRule type="cellIs" dxfId="1" priority="6441" operator="greaterThan">
      <formula>120</formula>
    </cfRule>
    <cfRule type="containsText" dxfId="2" priority="5547" operator="between" text="库存为">
      <formula>NOT(ISERROR(SEARCH("库存为",AU612)))</formula>
    </cfRule>
  </conditionalFormatting>
  <conditionalFormatting sqref="AU613">
    <cfRule type="cellIs" dxfId="0" priority="7334" operator="lessThan">
      <formula>20</formula>
    </cfRule>
    <cfRule type="cellIs" dxfId="1" priority="6440" operator="greaterThan">
      <formula>120</formula>
    </cfRule>
    <cfRule type="containsText" dxfId="2" priority="5546" operator="between" text="库存为">
      <formula>NOT(ISERROR(SEARCH("库存为",AU613)))</formula>
    </cfRule>
  </conditionalFormatting>
  <conditionalFormatting sqref="AU614">
    <cfRule type="cellIs" dxfId="0" priority="7333" operator="lessThan">
      <formula>20</formula>
    </cfRule>
    <cfRule type="cellIs" dxfId="1" priority="6439" operator="greaterThan">
      <formula>120</formula>
    </cfRule>
    <cfRule type="containsText" dxfId="2" priority="5545" operator="between" text="库存为">
      <formula>NOT(ISERROR(SEARCH("库存为",AU614)))</formula>
    </cfRule>
  </conditionalFormatting>
  <conditionalFormatting sqref="AU615">
    <cfRule type="cellIs" dxfId="0" priority="7332" operator="lessThan">
      <formula>20</formula>
    </cfRule>
    <cfRule type="cellIs" dxfId="1" priority="6438" operator="greaterThan">
      <formula>120</formula>
    </cfRule>
    <cfRule type="containsText" dxfId="2" priority="5544" operator="between" text="库存为">
      <formula>NOT(ISERROR(SEARCH("库存为",AU615)))</formula>
    </cfRule>
  </conditionalFormatting>
  <conditionalFormatting sqref="AU616">
    <cfRule type="cellIs" dxfId="0" priority="7331" operator="lessThan">
      <formula>20</formula>
    </cfRule>
    <cfRule type="cellIs" dxfId="1" priority="6437" operator="greaterThan">
      <formula>120</formula>
    </cfRule>
    <cfRule type="containsText" dxfId="2" priority="5543" operator="between" text="库存为">
      <formula>NOT(ISERROR(SEARCH("库存为",AU616)))</formula>
    </cfRule>
  </conditionalFormatting>
  <conditionalFormatting sqref="AU617">
    <cfRule type="cellIs" dxfId="0" priority="7330" operator="lessThan">
      <formula>20</formula>
    </cfRule>
    <cfRule type="cellIs" dxfId="1" priority="6436" operator="greaterThan">
      <formula>120</formula>
    </cfRule>
    <cfRule type="containsText" dxfId="2" priority="5542" operator="between" text="库存为">
      <formula>NOT(ISERROR(SEARCH("库存为",AU617)))</formula>
    </cfRule>
  </conditionalFormatting>
  <conditionalFormatting sqref="AU618">
    <cfRule type="cellIs" dxfId="0" priority="7329" operator="lessThan">
      <formula>20</formula>
    </cfRule>
    <cfRule type="cellIs" dxfId="1" priority="6435" operator="greaterThan">
      <formula>120</formula>
    </cfRule>
    <cfRule type="containsText" dxfId="2" priority="5541" operator="between" text="库存为">
      <formula>NOT(ISERROR(SEARCH("库存为",AU618)))</formula>
    </cfRule>
  </conditionalFormatting>
  <conditionalFormatting sqref="AU619">
    <cfRule type="cellIs" dxfId="0" priority="7328" operator="lessThan">
      <formula>20</formula>
    </cfRule>
    <cfRule type="cellIs" dxfId="1" priority="6434" operator="greaterThan">
      <formula>120</formula>
    </cfRule>
    <cfRule type="containsText" dxfId="2" priority="5540" operator="between" text="库存为">
      <formula>NOT(ISERROR(SEARCH("库存为",AU619)))</formula>
    </cfRule>
  </conditionalFormatting>
  <conditionalFormatting sqref="AU620">
    <cfRule type="cellIs" dxfId="0" priority="7327" operator="lessThan">
      <formula>20</formula>
    </cfRule>
    <cfRule type="cellIs" dxfId="1" priority="6433" operator="greaterThan">
      <formula>120</formula>
    </cfRule>
    <cfRule type="containsText" dxfId="2" priority="5539" operator="between" text="库存为">
      <formula>NOT(ISERROR(SEARCH("库存为",AU620)))</formula>
    </cfRule>
  </conditionalFormatting>
  <conditionalFormatting sqref="AU621">
    <cfRule type="cellIs" dxfId="0" priority="7326" operator="lessThan">
      <formula>20</formula>
    </cfRule>
    <cfRule type="cellIs" dxfId="1" priority="6432" operator="greaterThan">
      <formula>120</formula>
    </cfRule>
    <cfRule type="containsText" dxfId="2" priority="5538" operator="between" text="库存为">
      <formula>NOT(ISERROR(SEARCH("库存为",AU621)))</formula>
    </cfRule>
  </conditionalFormatting>
  <conditionalFormatting sqref="AU622">
    <cfRule type="cellIs" dxfId="0" priority="7325" operator="lessThan">
      <formula>20</formula>
    </cfRule>
    <cfRule type="cellIs" dxfId="1" priority="6431" operator="greaterThan">
      <formula>120</formula>
    </cfRule>
    <cfRule type="containsText" dxfId="2" priority="5537" operator="between" text="库存为">
      <formula>NOT(ISERROR(SEARCH("库存为",AU622)))</formula>
    </cfRule>
  </conditionalFormatting>
  <conditionalFormatting sqref="AU623">
    <cfRule type="cellIs" dxfId="0" priority="7324" operator="lessThan">
      <formula>20</formula>
    </cfRule>
    <cfRule type="cellIs" dxfId="1" priority="6430" operator="greaterThan">
      <formula>120</formula>
    </cfRule>
    <cfRule type="containsText" dxfId="2" priority="5536" operator="between" text="库存为">
      <formula>NOT(ISERROR(SEARCH("库存为",AU623)))</formula>
    </cfRule>
  </conditionalFormatting>
  <conditionalFormatting sqref="AU624">
    <cfRule type="cellIs" dxfId="0" priority="7323" operator="lessThan">
      <formula>20</formula>
    </cfRule>
    <cfRule type="cellIs" dxfId="1" priority="6429" operator="greaterThan">
      <formula>120</formula>
    </cfRule>
    <cfRule type="containsText" dxfId="2" priority="5535" operator="between" text="库存为">
      <formula>NOT(ISERROR(SEARCH("库存为",AU624)))</formula>
    </cfRule>
  </conditionalFormatting>
  <conditionalFormatting sqref="AU625">
    <cfRule type="cellIs" dxfId="0" priority="7322" operator="lessThan">
      <formula>20</formula>
    </cfRule>
    <cfRule type="cellIs" dxfId="1" priority="6428" operator="greaterThan">
      <formula>120</formula>
    </cfRule>
    <cfRule type="containsText" dxfId="2" priority="5534" operator="between" text="库存为">
      <formula>NOT(ISERROR(SEARCH("库存为",AU625)))</formula>
    </cfRule>
  </conditionalFormatting>
  <conditionalFormatting sqref="AU626">
    <cfRule type="cellIs" dxfId="0" priority="7321" operator="lessThan">
      <formula>20</formula>
    </cfRule>
    <cfRule type="cellIs" dxfId="1" priority="6427" operator="greaterThan">
      <formula>120</formula>
    </cfRule>
    <cfRule type="containsText" dxfId="2" priority="5533" operator="between" text="库存为">
      <formula>NOT(ISERROR(SEARCH("库存为",AU626)))</formula>
    </cfRule>
  </conditionalFormatting>
  <conditionalFormatting sqref="AU627">
    <cfRule type="cellIs" dxfId="0" priority="7320" operator="lessThan">
      <formula>20</formula>
    </cfRule>
    <cfRule type="cellIs" dxfId="1" priority="6426" operator="greaterThan">
      <formula>120</formula>
    </cfRule>
    <cfRule type="containsText" dxfId="2" priority="5532" operator="between" text="库存为">
      <formula>NOT(ISERROR(SEARCH("库存为",AU627)))</formula>
    </cfRule>
  </conditionalFormatting>
  <conditionalFormatting sqref="AU628">
    <cfRule type="cellIs" dxfId="0" priority="7319" operator="lessThan">
      <formula>20</formula>
    </cfRule>
    <cfRule type="cellIs" dxfId="1" priority="6425" operator="greaterThan">
      <formula>120</formula>
    </cfRule>
    <cfRule type="containsText" dxfId="2" priority="5531" operator="between" text="库存为">
      <formula>NOT(ISERROR(SEARCH("库存为",AU628)))</formula>
    </cfRule>
  </conditionalFormatting>
  <conditionalFormatting sqref="AU629">
    <cfRule type="cellIs" dxfId="0" priority="7318" operator="lessThan">
      <formula>20</formula>
    </cfRule>
    <cfRule type="cellIs" dxfId="1" priority="6424" operator="greaterThan">
      <formula>120</formula>
    </cfRule>
    <cfRule type="containsText" dxfId="2" priority="5530" operator="between" text="库存为">
      <formula>NOT(ISERROR(SEARCH("库存为",AU629)))</formula>
    </cfRule>
  </conditionalFormatting>
  <conditionalFormatting sqref="AU630">
    <cfRule type="cellIs" dxfId="0" priority="7317" operator="lessThan">
      <formula>20</formula>
    </cfRule>
    <cfRule type="cellIs" dxfId="1" priority="6423" operator="greaterThan">
      <formula>120</formula>
    </cfRule>
    <cfRule type="containsText" dxfId="2" priority="5529" operator="between" text="库存为">
      <formula>NOT(ISERROR(SEARCH("库存为",AU630)))</formula>
    </cfRule>
  </conditionalFormatting>
  <conditionalFormatting sqref="AU631">
    <cfRule type="cellIs" dxfId="0" priority="7316" operator="lessThan">
      <formula>20</formula>
    </cfRule>
    <cfRule type="cellIs" dxfId="1" priority="6422" operator="greaterThan">
      <formula>120</formula>
    </cfRule>
    <cfRule type="containsText" dxfId="2" priority="5528" operator="between" text="库存为">
      <formula>NOT(ISERROR(SEARCH("库存为",AU631)))</formula>
    </cfRule>
  </conditionalFormatting>
  <conditionalFormatting sqref="AU632">
    <cfRule type="cellIs" dxfId="0" priority="7315" operator="lessThan">
      <formula>20</formula>
    </cfRule>
    <cfRule type="cellIs" dxfId="1" priority="6421" operator="greaterThan">
      <formula>120</formula>
    </cfRule>
    <cfRule type="containsText" dxfId="2" priority="5527" operator="between" text="库存为">
      <formula>NOT(ISERROR(SEARCH("库存为",AU632)))</formula>
    </cfRule>
  </conditionalFormatting>
  <conditionalFormatting sqref="AU633">
    <cfRule type="cellIs" dxfId="0" priority="7314" operator="lessThan">
      <formula>20</formula>
    </cfRule>
    <cfRule type="cellIs" dxfId="1" priority="6420" operator="greaterThan">
      <formula>120</formula>
    </cfRule>
    <cfRule type="containsText" dxfId="2" priority="5526" operator="between" text="库存为">
      <formula>NOT(ISERROR(SEARCH("库存为",AU633)))</formula>
    </cfRule>
  </conditionalFormatting>
  <conditionalFormatting sqref="AU634">
    <cfRule type="cellIs" dxfId="0" priority="7313" operator="lessThan">
      <formula>20</formula>
    </cfRule>
    <cfRule type="cellIs" dxfId="1" priority="6419" operator="greaterThan">
      <formula>120</formula>
    </cfRule>
    <cfRule type="containsText" dxfId="2" priority="5525" operator="between" text="库存为">
      <formula>NOT(ISERROR(SEARCH("库存为",AU634)))</formula>
    </cfRule>
  </conditionalFormatting>
  <conditionalFormatting sqref="AU635">
    <cfRule type="cellIs" dxfId="0" priority="7312" operator="lessThan">
      <formula>20</formula>
    </cfRule>
    <cfRule type="cellIs" dxfId="1" priority="6418" operator="greaterThan">
      <formula>120</formula>
    </cfRule>
    <cfRule type="containsText" dxfId="2" priority="5524" operator="between" text="库存为">
      <formula>NOT(ISERROR(SEARCH("库存为",AU635)))</formula>
    </cfRule>
  </conditionalFormatting>
  <conditionalFormatting sqref="AU636">
    <cfRule type="cellIs" dxfId="0" priority="7311" operator="lessThan">
      <formula>20</formula>
    </cfRule>
    <cfRule type="cellIs" dxfId="1" priority="6417" operator="greaterThan">
      <formula>120</formula>
    </cfRule>
    <cfRule type="containsText" dxfId="2" priority="5523" operator="between" text="库存为">
      <formula>NOT(ISERROR(SEARCH("库存为",AU636)))</formula>
    </cfRule>
  </conditionalFormatting>
  <conditionalFormatting sqref="AU637">
    <cfRule type="cellIs" dxfId="0" priority="7310" operator="lessThan">
      <formula>20</formula>
    </cfRule>
    <cfRule type="cellIs" dxfId="1" priority="6416" operator="greaterThan">
      <formula>120</formula>
    </cfRule>
    <cfRule type="containsText" dxfId="2" priority="5522" operator="between" text="库存为">
      <formula>NOT(ISERROR(SEARCH("库存为",AU637)))</formula>
    </cfRule>
  </conditionalFormatting>
  <conditionalFormatting sqref="AU638">
    <cfRule type="cellIs" dxfId="0" priority="7309" operator="lessThan">
      <formula>20</formula>
    </cfRule>
    <cfRule type="cellIs" dxfId="1" priority="6415" operator="greaterThan">
      <formula>120</formula>
    </cfRule>
    <cfRule type="containsText" dxfId="2" priority="5521" operator="between" text="库存为">
      <formula>NOT(ISERROR(SEARCH("库存为",AU638)))</formula>
    </cfRule>
  </conditionalFormatting>
  <conditionalFormatting sqref="AU639">
    <cfRule type="cellIs" dxfId="0" priority="7308" operator="lessThan">
      <formula>20</formula>
    </cfRule>
    <cfRule type="cellIs" dxfId="1" priority="6414" operator="greaterThan">
      <formula>120</formula>
    </cfRule>
    <cfRule type="containsText" dxfId="2" priority="5520" operator="between" text="库存为">
      <formula>NOT(ISERROR(SEARCH("库存为",AU639)))</formula>
    </cfRule>
  </conditionalFormatting>
  <conditionalFormatting sqref="AU640">
    <cfRule type="cellIs" dxfId="0" priority="7307" operator="lessThan">
      <formula>20</formula>
    </cfRule>
    <cfRule type="cellIs" dxfId="1" priority="6413" operator="greaterThan">
      <formula>120</formula>
    </cfRule>
    <cfRule type="containsText" dxfId="2" priority="5519" operator="between" text="库存为">
      <formula>NOT(ISERROR(SEARCH("库存为",AU640)))</formula>
    </cfRule>
  </conditionalFormatting>
  <conditionalFormatting sqref="AU641">
    <cfRule type="cellIs" dxfId="0" priority="7306" operator="lessThan">
      <formula>20</formula>
    </cfRule>
    <cfRule type="cellIs" dxfId="1" priority="6412" operator="greaterThan">
      <formula>120</formula>
    </cfRule>
    <cfRule type="containsText" dxfId="2" priority="5518" operator="between" text="库存为">
      <formula>NOT(ISERROR(SEARCH("库存为",AU641)))</formula>
    </cfRule>
  </conditionalFormatting>
  <conditionalFormatting sqref="AU642">
    <cfRule type="cellIs" dxfId="0" priority="7305" operator="lessThan">
      <formula>20</formula>
    </cfRule>
    <cfRule type="cellIs" dxfId="1" priority="6411" operator="greaterThan">
      <formula>120</formula>
    </cfRule>
    <cfRule type="containsText" dxfId="2" priority="5517" operator="between" text="库存为">
      <formula>NOT(ISERROR(SEARCH("库存为",AU642)))</formula>
    </cfRule>
  </conditionalFormatting>
  <conditionalFormatting sqref="AU643">
    <cfRule type="cellIs" dxfId="0" priority="7304" operator="lessThan">
      <formula>20</formula>
    </cfRule>
    <cfRule type="cellIs" dxfId="1" priority="6410" operator="greaterThan">
      <formula>120</formula>
    </cfRule>
    <cfRule type="containsText" dxfId="2" priority="5516" operator="between" text="库存为">
      <formula>NOT(ISERROR(SEARCH("库存为",AU643)))</formula>
    </cfRule>
  </conditionalFormatting>
  <conditionalFormatting sqref="AU644">
    <cfRule type="cellIs" dxfId="0" priority="7303" operator="lessThan">
      <formula>20</formula>
    </cfRule>
    <cfRule type="cellIs" dxfId="1" priority="6409" operator="greaterThan">
      <formula>120</formula>
    </cfRule>
    <cfRule type="containsText" dxfId="2" priority="5515" operator="between" text="库存为">
      <formula>NOT(ISERROR(SEARCH("库存为",AU644)))</formula>
    </cfRule>
  </conditionalFormatting>
  <conditionalFormatting sqref="AU645">
    <cfRule type="cellIs" dxfId="0" priority="7302" operator="lessThan">
      <formula>20</formula>
    </cfRule>
    <cfRule type="cellIs" dxfId="1" priority="6408" operator="greaterThan">
      <formula>120</formula>
    </cfRule>
    <cfRule type="containsText" dxfId="2" priority="5514" operator="between" text="库存为">
      <formula>NOT(ISERROR(SEARCH("库存为",AU645)))</formula>
    </cfRule>
  </conditionalFormatting>
  <conditionalFormatting sqref="AU646">
    <cfRule type="cellIs" dxfId="0" priority="7301" operator="lessThan">
      <formula>20</formula>
    </cfRule>
    <cfRule type="cellIs" dxfId="1" priority="6407" operator="greaterThan">
      <formula>120</formula>
    </cfRule>
    <cfRule type="containsText" dxfId="2" priority="5513" operator="between" text="库存为">
      <formula>NOT(ISERROR(SEARCH("库存为",AU646)))</formula>
    </cfRule>
  </conditionalFormatting>
  <conditionalFormatting sqref="AU647">
    <cfRule type="cellIs" dxfId="0" priority="7300" operator="lessThan">
      <formula>20</formula>
    </cfRule>
    <cfRule type="cellIs" dxfId="1" priority="6406" operator="greaterThan">
      <formula>120</formula>
    </cfRule>
    <cfRule type="containsText" dxfId="2" priority="5512" operator="between" text="库存为">
      <formula>NOT(ISERROR(SEARCH("库存为",AU647)))</formula>
    </cfRule>
  </conditionalFormatting>
  <conditionalFormatting sqref="AU648">
    <cfRule type="cellIs" dxfId="0" priority="7299" operator="lessThan">
      <formula>20</formula>
    </cfRule>
    <cfRule type="cellIs" dxfId="1" priority="6405" operator="greaterThan">
      <formula>120</formula>
    </cfRule>
    <cfRule type="containsText" dxfId="2" priority="5511" operator="between" text="库存为">
      <formula>NOT(ISERROR(SEARCH("库存为",AU648)))</formula>
    </cfRule>
  </conditionalFormatting>
  <conditionalFormatting sqref="AU649">
    <cfRule type="cellIs" dxfId="0" priority="7298" operator="lessThan">
      <formula>20</formula>
    </cfRule>
    <cfRule type="cellIs" dxfId="1" priority="6404" operator="greaterThan">
      <formula>120</formula>
    </cfRule>
    <cfRule type="containsText" dxfId="2" priority="5510" operator="between" text="库存为">
      <formula>NOT(ISERROR(SEARCH("库存为",AU649)))</formula>
    </cfRule>
  </conditionalFormatting>
  <conditionalFormatting sqref="AU650">
    <cfRule type="cellIs" dxfId="0" priority="7297" operator="lessThan">
      <formula>20</formula>
    </cfRule>
    <cfRule type="cellIs" dxfId="1" priority="6403" operator="greaterThan">
      <formula>120</formula>
    </cfRule>
    <cfRule type="containsText" dxfId="2" priority="5509" operator="between" text="库存为">
      <formula>NOT(ISERROR(SEARCH("库存为",AU650)))</formula>
    </cfRule>
  </conditionalFormatting>
  <conditionalFormatting sqref="AU651">
    <cfRule type="cellIs" dxfId="0" priority="7296" operator="lessThan">
      <formula>20</formula>
    </cfRule>
    <cfRule type="cellIs" dxfId="1" priority="6402" operator="greaterThan">
      <formula>120</formula>
    </cfRule>
    <cfRule type="containsText" dxfId="2" priority="5508" operator="between" text="库存为">
      <formula>NOT(ISERROR(SEARCH("库存为",AU651)))</formula>
    </cfRule>
  </conditionalFormatting>
  <conditionalFormatting sqref="AU652">
    <cfRule type="cellIs" dxfId="0" priority="7295" operator="lessThan">
      <formula>20</formula>
    </cfRule>
    <cfRule type="cellIs" dxfId="1" priority="6401" operator="greaterThan">
      <formula>120</formula>
    </cfRule>
    <cfRule type="containsText" dxfId="2" priority="5507" operator="between" text="库存为">
      <formula>NOT(ISERROR(SEARCH("库存为",AU652)))</formula>
    </cfRule>
  </conditionalFormatting>
  <conditionalFormatting sqref="AU653">
    <cfRule type="cellIs" dxfId="0" priority="7294" operator="lessThan">
      <formula>20</formula>
    </cfRule>
    <cfRule type="cellIs" dxfId="1" priority="6400" operator="greaterThan">
      <formula>120</formula>
    </cfRule>
    <cfRule type="containsText" dxfId="2" priority="5506" operator="between" text="库存为">
      <formula>NOT(ISERROR(SEARCH("库存为",AU653)))</formula>
    </cfRule>
  </conditionalFormatting>
  <conditionalFormatting sqref="AU654">
    <cfRule type="cellIs" dxfId="0" priority="7293" operator="lessThan">
      <formula>20</formula>
    </cfRule>
    <cfRule type="cellIs" dxfId="1" priority="6399" operator="greaterThan">
      <formula>120</formula>
    </cfRule>
    <cfRule type="containsText" dxfId="2" priority="5505" operator="between" text="库存为">
      <formula>NOT(ISERROR(SEARCH("库存为",AU654)))</formula>
    </cfRule>
  </conditionalFormatting>
  <conditionalFormatting sqref="AU655">
    <cfRule type="cellIs" dxfId="0" priority="7292" operator="lessThan">
      <formula>20</formula>
    </cfRule>
    <cfRule type="cellIs" dxfId="1" priority="6398" operator="greaterThan">
      <formula>120</formula>
    </cfRule>
    <cfRule type="containsText" dxfId="2" priority="5504" operator="between" text="库存为">
      <formula>NOT(ISERROR(SEARCH("库存为",AU655)))</formula>
    </cfRule>
  </conditionalFormatting>
  <conditionalFormatting sqref="AU656">
    <cfRule type="cellIs" dxfId="0" priority="7291" operator="lessThan">
      <formula>20</formula>
    </cfRule>
    <cfRule type="cellIs" dxfId="1" priority="6397" operator="greaterThan">
      <formula>120</formula>
    </cfRule>
    <cfRule type="containsText" dxfId="2" priority="5503" operator="between" text="库存为">
      <formula>NOT(ISERROR(SEARCH("库存为",AU656)))</formula>
    </cfRule>
  </conditionalFormatting>
  <conditionalFormatting sqref="AU657">
    <cfRule type="cellIs" dxfId="0" priority="7290" operator="lessThan">
      <formula>20</formula>
    </cfRule>
    <cfRule type="cellIs" dxfId="1" priority="6396" operator="greaterThan">
      <formula>120</formula>
    </cfRule>
    <cfRule type="containsText" dxfId="2" priority="5502" operator="between" text="库存为">
      <formula>NOT(ISERROR(SEARCH("库存为",AU657)))</formula>
    </cfRule>
  </conditionalFormatting>
  <conditionalFormatting sqref="AU658">
    <cfRule type="cellIs" dxfId="0" priority="7289" operator="lessThan">
      <formula>20</formula>
    </cfRule>
    <cfRule type="cellIs" dxfId="1" priority="6395" operator="greaterThan">
      <formula>120</formula>
    </cfRule>
    <cfRule type="containsText" dxfId="2" priority="5501" operator="between" text="库存为">
      <formula>NOT(ISERROR(SEARCH("库存为",AU658)))</formula>
    </cfRule>
  </conditionalFormatting>
  <conditionalFormatting sqref="AU659">
    <cfRule type="cellIs" dxfId="0" priority="7288" operator="lessThan">
      <formula>20</formula>
    </cfRule>
    <cfRule type="cellIs" dxfId="1" priority="6394" operator="greaterThan">
      <formula>120</formula>
    </cfRule>
    <cfRule type="containsText" dxfId="2" priority="5500" operator="between" text="库存为">
      <formula>NOT(ISERROR(SEARCH("库存为",AU659)))</formula>
    </cfRule>
  </conditionalFormatting>
  <conditionalFormatting sqref="AU660">
    <cfRule type="cellIs" dxfId="0" priority="7287" operator="lessThan">
      <formula>20</formula>
    </cfRule>
    <cfRule type="cellIs" dxfId="1" priority="6393" operator="greaterThan">
      <formula>120</formula>
    </cfRule>
    <cfRule type="containsText" dxfId="2" priority="5499" operator="between" text="库存为">
      <formula>NOT(ISERROR(SEARCH("库存为",AU660)))</formula>
    </cfRule>
  </conditionalFormatting>
  <conditionalFormatting sqref="AU661">
    <cfRule type="cellIs" dxfId="0" priority="7286" operator="lessThan">
      <formula>20</formula>
    </cfRule>
    <cfRule type="cellIs" dxfId="1" priority="6392" operator="greaterThan">
      <formula>120</formula>
    </cfRule>
    <cfRule type="containsText" dxfId="2" priority="5498" operator="between" text="库存为">
      <formula>NOT(ISERROR(SEARCH("库存为",AU661)))</formula>
    </cfRule>
  </conditionalFormatting>
  <conditionalFormatting sqref="AU662">
    <cfRule type="cellIs" dxfId="0" priority="7285" operator="lessThan">
      <formula>20</formula>
    </cfRule>
    <cfRule type="cellIs" dxfId="1" priority="6391" operator="greaterThan">
      <formula>120</formula>
    </cfRule>
    <cfRule type="containsText" dxfId="2" priority="5497" operator="between" text="库存为">
      <formula>NOT(ISERROR(SEARCH("库存为",AU662)))</formula>
    </cfRule>
  </conditionalFormatting>
  <conditionalFormatting sqref="AU663">
    <cfRule type="cellIs" dxfId="0" priority="7284" operator="lessThan">
      <formula>20</formula>
    </cfRule>
    <cfRule type="cellIs" dxfId="1" priority="6390" operator="greaterThan">
      <formula>120</formula>
    </cfRule>
    <cfRule type="containsText" dxfId="2" priority="5496" operator="between" text="库存为">
      <formula>NOT(ISERROR(SEARCH("库存为",AU663)))</formula>
    </cfRule>
  </conditionalFormatting>
  <conditionalFormatting sqref="AU664">
    <cfRule type="cellIs" dxfId="0" priority="7283" operator="lessThan">
      <formula>20</formula>
    </cfRule>
    <cfRule type="cellIs" dxfId="1" priority="6389" operator="greaterThan">
      <formula>120</formula>
    </cfRule>
    <cfRule type="containsText" dxfId="2" priority="5495" operator="between" text="库存为">
      <formula>NOT(ISERROR(SEARCH("库存为",AU664)))</formula>
    </cfRule>
  </conditionalFormatting>
  <conditionalFormatting sqref="AU665">
    <cfRule type="cellIs" dxfId="0" priority="7282" operator="lessThan">
      <formula>20</formula>
    </cfRule>
    <cfRule type="cellIs" dxfId="1" priority="6388" operator="greaterThan">
      <formula>120</formula>
    </cfRule>
    <cfRule type="containsText" dxfId="2" priority="5494" operator="between" text="库存为">
      <formula>NOT(ISERROR(SEARCH("库存为",AU665)))</formula>
    </cfRule>
  </conditionalFormatting>
  <conditionalFormatting sqref="AU666">
    <cfRule type="cellIs" dxfId="0" priority="7281" operator="lessThan">
      <formula>20</formula>
    </cfRule>
    <cfRule type="cellIs" dxfId="1" priority="6387" operator="greaterThan">
      <formula>120</formula>
    </cfRule>
    <cfRule type="containsText" dxfId="2" priority="5493" operator="between" text="库存为">
      <formula>NOT(ISERROR(SEARCH("库存为",AU666)))</formula>
    </cfRule>
  </conditionalFormatting>
  <conditionalFormatting sqref="AU667">
    <cfRule type="cellIs" dxfId="0" priority="7280" operator="lessThan">
      <formula>20</formula>
    </cfRule>
    <cfRule type="cellIs" dxfId="1" priority="6386" operator="greaterThan">
      <formula>120</formula>
    </cfRule>
    <cfRule type="containsText" dxfId="2" priority="5492" operator="between" text="库存为">
      <formula>NOT(ISERROR(SEARCH("库存为",AU667)))</formula>
    </cfRule>
  </conditionalFormatting>
  <conditionalFormatting sqref="AU668">
    <cfRule type="cellIs" dxfId="0" priority="7279" operator="lessThan">
      <formula>20</formula>
    </cfRule>
    <cfRule type="cellIs" dxfId="1" priority="6385" operator="greaterThan">
      <formula>120</formula>
    </cfRule>
    <cfRule type="containsText" dxfId="2" priority="5491" operator="between" text="库存为">
      <formula>NOT(ISERROR(SEARCH("库存为",AU668)))</formula>
    </cfRule>
  </conditionalFormatting>
  <conditionalFormatting sqref="AU669">
    <cfRule type="cellIs" dxfId="0" priority="7278" operator="lessThan">
      <formula>20</formula>
    </cfRule>
    <cfRule type="cellIs" dxfId="1" priority="6384" operator="greaterThan">
      <formula>120</formula>
    </cfRule>
    <cfRule type="containsText" dxfId="2" priority="5490" operator="between" text="库存为">
      <formula>NOT(ISERROR(SEARCH("库存为",AU669)))</formula>
    </cfRule>
  </conditionalFormatting>
  <conditionalFormatting sqref="AU670">
    <cfRule type="cellIs" dxfId="0" priority="7277" operator="lessThan">
      <formula>20</formula>
    </cfRule>
    <cfRule type="cellIs" dxfId="1" priority="6383" operator="greaterThan">
      <formula>120</formula>
    </cfRule>
    <cfRule type="containsText" dxfId="2" priority="5489" operator="between" text="库存为">
      <formula>NOT(ISERROR(SEARCH("库存为",AU670)))</formula>
    </cfRule>
  </conditionalFormatting>
  <conditionalFormatting sqref="AU671">
    <cfRule type="cellIs" dxfId="0" priority="7276" operator="lessThan">
      <formula>20</formula>
    </cfRule>
    <cfRule type="cellIs" dxfId="1" priority="6382" operator="greaterThan">
      <formula>120</formula>
    </cfRule>
    <cfRule type="containsText" dxfId="2" priority="5488" operator="between" text="库存为">
      <formula>NOT(ISERROR(SEARCH("库存为",AU671)))</formula>
    </cfRule>
  </conditionalFormatting>
  <conditionalFormatting sqref="AU672">
    <cfRule type="cellIs" dxfId="0" priority="7275" operator="lessThan">
      <formula>20</formula>
    </cfRule>
    <cfRule type="cellIs" dxfId="1" priority="6381" operator="greaterThan">
      <formula>120</formula>
    </cfRule>
    <cfRule type="containsText" dxfId="2" priority="5487" operator="between" text="库存为">
      <formula>NOT(ISERROR(SEARCH("库存为",AU672)))</formula>
    </cfRule>
  </conditionalFormatting>
  <conditionalFormatting sqref="AU673">
    <cfRule type="cellIs" dxfId="0" priority="7274" operator="lessThan">
      <formula>20</formula>
    </cfRule>
    <cfRule type="cellIs" dxfId="1" priority="6380" operator="greaterThan">
      <formula>120</formula>
    </cfRule>
    <cfRule type="containsText" dxfId="2" priority="5486" operator="between" text="库存为">
      <formula>NOT(ISERROR(SEARCH("库存为",AU673)))</formula>
    </cfRule>
  </conditionalFormatting>
  <conditionalFormatting sqref="AU674">
    <cfRule type="cellIs" dxfId="0" priority="7273" operator="lessThan">
      <formula>20</formula>
    </cfRule>
    <cfRule type="cellIs" dxfId="1" priority="6379" operator="greaterThan">
      <formula>120</formula>
    </cfRule>
    <cfRule type="containsText" dxfId="2" priority="5485" operator="between" text="库存为">
      <formula>NOT(ISERROR(SEARCH("库存为",AU674)))</formula>
    </cfRule>
  </conditionalFormatting>
  <conditionalFormatting sqref="AU675">
    <cfRule type="cellIs" dxfId="0" priority="7272" operator="lessThan">
      <formula>20</formula>
    </cfRule>
    <cfRule type="cellIs" dxfId="1" priority="6378" operator="greaterThan">
      <formula>120</formula>
    </cfRule>
    <cfRule type="containsText" dxfId="2" priority="5484" operator="between" text="库存为">
      <formula>NOT(ISERROR(SEARCH("库存为",AU675)))</formula>
    </cfRule>
  </conditionalFormatting>
  <conditionalFormatting sqref="AU676">
    <cfRule type="cellIs" dxfId="0" priority="7271" operator="lessThan">
      <formula>20</formula>
    </cfRule>
    <cfRule type="cellIs" dxfId="1" priority="6377" operator="greaterThan">
      <formula>120</formula>
    </cfRule>
    <cfRule type="containsText" dxfId="2" priority="5483" operator="between" text="库存为">
      <formula>NOT(ISERROR(SEARCH("库存为",AU676)))</formula>
    </cfRule>
  </conditionalFormatting>
  <conditionalFormatting sqref="AU677">
    <cfRule type="cellIs" dxfId="0" priority="7270" operator="lessThan">
      <formula>20</formula>
    </cfRule>
    <cfRule type="cellIs" dxfId="1" priority="6376" operator="greaterThan">
      <formula>120</formula>
    </cfRule>
    <cfRule type="containsText" dxfId="2" priority="5482" operator="between" text="库存为">
      <formula>NOT(ISERROR(SEARCH("库存为",AU677)))</formula>
    </cfRule>
  </conditionalFormatting>
  <conditionalFormatting sqref="AU678">
    <cfRule type="cellIs" dxfId="0" priority="7269" operator="lessThan">
      <formula>20</formula>
    </cfRule>
    <cfRule type="cellIs" dxfId="1" priority="6375" operator="greaterThan">
      <formula>120</formula>
    </cfRule>
    <cfRule type="containsText" dxfId="2" priority="5481" operator="between" text="库存为">
      <formula>NOT(ISERROR(SEARCH("库存为",AU678)))</formula>
    </cfRule>
  </conditionalFormatting>
  <conditionalFormatting sqref="AU679">
    <cfRule type="cellIs" dxfId="0" priority="7268" operator="lessThan">
      <formula>20</formula>
    </cfRule>
    <cfRule type="cellIs" dxfId="1" priority="6374" operator="greaterThan">
      <formula>120</formula>
    </cfRule>
    <cfRule type="containsText" dxfId="2" priority="5480" operator="between" text="库存为">
      <formula>NOT(ISERROR(SEARCH("库存为",AU679)))</formula>
    </cfRule>
  </conditionalFormatting>
  <conditionalFormatting sqref="AU680">
    <cfRule type="cellIs" dxfId="0" priority="7267" operator="lessThan">
      <formula>20</formula>
    </cfRule>
    <cfRule type="cellIs" dxfId="1" priority="6373" operator="greaterThan">
      <formula>120</formula>
    </cfRule>
    <cfRule type="containsText" dxfId="2" priority="5479" operator="between" text="库存为">
      <formula>NOT(ISERROR(SEARCH("库存为",AU680)))</formula>
    </cfRule>
  </conditionalFormatting>
  <conditionalFormatting sqref="AU681">
    <cfRule type="cellIs" dxfId="0" priority="7266" operator="lessThan">
      <formula>20</formula>
    </cfRule>
    <cfRule type="cellIs" dxfId="1" priority="6372" operator="greaterThan">
      <formula>120</formula>
    </cfRule>
    <cfRule type="containsText" dxfId="2" priority="5478" operator="between" text="库存为">
      <formula>NOT(ISERROR(SEARCH("库存为",AU681)))</formula>
    </cfRule>
  </conditionalFormatting>
  <conditionalFormatting sqref="AU682">
    <cfRule type="cellIs" dxfId="0" priority="7265" operator="lessThan">
      <formula>20</formula>
    </cfRule>
    <cfRule type="cellIs" dxfId="1" priority="6371" operator="greaterThan">
      <formula>120</formula>
    </cfRule>
    <cfRule type="containsText" dxfId="2" priority="5477" operator="between" text="库存为">
      <formula>NOT(ISERROR(SEARCH("库存为",AU682)))</formula>
    </cfRule>
  </conditionalFormatting>
  <conditionalFormatting sqref="AU683">
    <cfRule type="cellIs" dxfId="0" priority="7264" operator="lessThan">
      <formula>20</formula>
    </cfRule>
    <cfRule type="cellIs" dxfId="1" priority="6370" operator="greaterThan">
      <formula>120</formula>
    </cfRule>
    <cfRule type="containsText" dxfId="2" priority="5476" operator="between" text="库存为">
      <formula>NOT(ISERROR(SEARCH("库存为",AU683)))</formula>
    </cfRule>
  </conditionalFormatting>
  <conditionalFormatting sqref="AU684">
    <cfRule type="cellIs" dxfId="0" priority="7263" operator="lessThan">
      <formula>20</formula>
    </cfRule>
    <cfRule type="cellIs" dxfId="1" priority="6369" operator="greaterThan">
      <formula>120</formula>
    </cfRule>
    <cfRule type="containsText" dxfId="2" priority="5475" operator="between" text="库存为">
      <formula>NOT(ISERROR(SEARCH("库存为",AU684)))</formula>
    </cfRule>
  </conditionalFormatting>
  <conditionalFormatting sqref="AU685">
    <cfRule type="cellIs" dxfId="0" priority="7262" operator="lessThan">
      <formula>20</formula>
    </cfRule>
    <cfRule type="cellIs" dxfId="1" priority="6368" operator="greaterThan">
      <formula>120</formula>
    </cfRule>
    <cfRule type="containsText" dxfId="2" priority="5474" operator="between" text="库存为">
      <formula>NOT(ISERROR(SEARCH("库存为",AU685)))</formula>
    </cfRule>
  </conditionalFormatting>
  <conditionalFormatting sqref="AU686">
    <cfRule type="cellIs" dxfId="0" priority="7261" operator="lessThan">
      <formula>20</formula>
    </cfRule>
    <cfRule type="cellIs" dxfId="1" priority="6367" operator="greaterThan">
      <formula>120</formula>
    </cfRule>
    <cfRule type="containsText" dxfId="2" priority="5473" operator="between" text="库存为">
      <formula>NOT(ISERROR(SEARCH("库存为",AU686)))</formula>
    </cfRule>
  </conditionalFormatting>
  <conditionalFormatting sqref="AU687">
    <cfRule type="cellIs" dxfId="0" priority="7260" operator="lessThan">
      <formula>20</formula>
    </cfRule>
    <cfRule type="cellIs" dxfId="1" priority="6366" operator="greaterThan">
      <formula>120</formula>
    </cfRule>
    <cfRule type="containsText" dxfId="2" priority="5472" operator="between" text="库存为">
      <formula>NOT(ISERROR(SEARCH("库存为",AU687)))</formula>
    </cfRule>
  </conditionalFormatting>
  <conditionalFormatting sqref="AU688">
    <cfRule type="cellIs" dxfId="0" priority="7259" operator="lessThan">
      <formula>20</formula>
    </cfRule>
    <cfRule type="cellIs" dxfId="1" priority="6365" operator="greaterThan">
      <formula>120</formula>
    </cfRule>
    <cfRule type="containsText" dxfId="2" priority="5471" operator="between" text="库存为">
      <formula>NOT(ISERROR(SEARCH("库存为",AU688)))</formula>
    </cfRule>
  </conditionalFormatting>
  <conditionalFormatting sqref="AU689">
    <cfRule type="cellIs" dxfId="0" priority="7258" operator="lessThan">
      <formula>20</formula>
    </cfRule>
    <cfRule type="cellIs" dxfId="1" priority="6364" operator="greaterThan">
      <formula>120</formula>
    </cfRule>
    <cfRule type="containsText" dxfId="2" priority="5470" operator="between" text="库存为">
      <formula>NOT(ISERROR(SEARCH("库存为",AU689)))</formula>
    </cfRule>
  </conditionalFormatting>
  <conditionalFormatting sqref="AU690">
    <cfRule type="cellIs" dxfId="0" priority="7257" operator="lessThan">
      <formula>20</formula>
    </cfRule>
    <cfRule type="cellIs" dxfId="1" priority="6363" operator="greaterThan">
      <formula>120</formula>
    </cfRule>
    <cfRule type="containsText" dxfId="2" priority="5469" operator="between" text="库存为">
      <formula>NOT(ISERROR(SEARCH("库存为",AU690)))</formula>
    </cfRule>
  </conditionalFormatting>
  <conditionalFormatting sqref="AU691">
    <cfRule type="cellIs" dxfId="0" priority="7256" operator="lessThan">
      <formula>20</formula>
    </cfRule>
    <cfRule type="cellIs" dxfId="1" priority="6362" operator="greaterThan">
      <formula>120</formula>
    </cfRule>
    <cfRule type="containsText" dxfId="2" priority="5468" operator="between" text="库存为">
      <formula>NOT(ISERROR(SEARCH("库存为",AU691)))</formula>
    </cfRule>
  </conditionalFormatting>
  <conditionalFormatting sqref="AU692">
    <cfRule type="cellIs" dxfId="0" priority="7255" operator="lessThan">
      <formula>20</formula>
    </cfRule>
    <cfRule type="cellIs" dxfId="1" priority="6361" operator="greaterThan">
      <formula>120</formula>
    </cfRule>
    <cfRule type="containsText" dxfId="2" priority="5467" operator="between" text="库存为">
      <formula>NOT(ISERROR(SEARCH("库存为",AU692)))</formula>
    </cfRule>
  </conditionalFormatting>
  <conditionalFormatting sqref="AU693">
    <cfRule type="cellIs" dxfId="0" priority="7254" operator="lessThan">
      <formula>20</formula>
    </cfRule>
    <cfRule type="cellIs" dxfId="1" priority="6360" operator="greaterThan">
      <formula>120</formula>
    </cfRule>
    <cfRule type="containsText" dxfId="2" priority="5466" operator="between" text="库存为">
      <formula>NOT(ISERROR(SEARCH("库存为",AU693)))</formula>
    </cfRule>
  </conditionalFormatting>
  <conditionalFormatting sqref="AU694">
    <cfRule type="cellIs" dxfId="0" priority="7253" operator="lessThan">
      <formula>20</formula>
    </cfRule>
    <cfRule type="cellIs" dxfId="1" priority="6359" operator="greaterThan">
      <formula>120</formula>
    </cfRule>
    <cfRule type="containsText" dxfId="2" priority="5465" operator="between" text="库存为">
      <formula>NOT(ISERROR(SEARCH("库存为",AU694)))</formula>
    </cfRule>
  </conditionalFormatting>
  <conditionalFormatting sqref="AU695">
    <cfRule type="cellIs" dxfId="0" priority="7252" operator="lessThan">
      <formula>20</formula>
    </cfRule>
    <cfRule type="cellIs" dxfId="1" priority="6358" operator="greaterThan">
      <formula>120</formula>
    </cfRule>
    <cfRule type="containsText" dxfId="2" priority="5464" operator="between" text="库存为">
      <formula>NOT(ISERROR(SEARCH("库存为",AU695)))</formula>
    </cfRule>
  </conditionalFormatting>
  <conditionalFormatting sqref="AU696">
    <cfRule type="cellIs" dxfId="0" priority="7251" operator="lessThan">
      <formula>20</formula>
    </cfRule>
    <cfRule type="cellIs" dxfId="1" priority="6357" operator="greaterThan">
      <formula>120</formula>
    </cfRule>
    <cfRule type="containsText" dxfId="2" priority="5463" operator="between" text="库存为">
      <formula>NOT(ISERROR(SEARCH("库存为",AU696)))</formula>
    </cfRule>
  </conditionalFormatting>
  <conditionalFormatting sqref="AU697">
    <cfRule type="cellIs" dxfId="0" priority="7250" operator="lessThan">
      <formula>20</formula>
    </cfRule>
    <cfRule type="cellIs" dxfId="1" priority="6356" operator="greaterThan">
      <formula>120</formula>
    </cfRule>
    <cfRule type="containsText" dxfId="2" priority="5462" operator="between" text="库存为">
      <formula>NOT(ISERROR(SEARCH("库存为",AU697)))</formula>
    </cfRule>
  </conditionalFormatting>
  <conditionalFormatting sqref="AU698">
    <cfRule type="cellIs" dxfId="0" priority="7249" operator="lessThan">
      <formula>20</formula>
    </cfRule>
    <cfRule type="cellIs" dxfId="1" priority="6355" operator="greaterThan">
      <formula>120</formula>
    </cfRule>
    <cfRule type="containsText" dxfId="2" priority="5461" operator="between" text="库存为">
      <formula>NOT(ISERROR(SEARCH("库存为",AU698)))</formula>
    </cfRule>
  </conditionalFormatting>
  <conditionalFormatting sqref="AU699">
    <cfRule type="cellIs" dxfId="0" priority="7248" operator="lessThan">
      <formula>20</formula>
    </cfRule>
    <cfRule type="cellIs" dxfId="1" priority="6354" operator="greaterThan">
      <formula>120</formula>
    </cfRule>
    <cfRule type="containsText" dxfId="2" priority="5460" operator="between" text="库存为">
      <formula>NOT(ISERROR(SEARCH("库存为",AU699)))</formula>
    </cfRule>
  </conditionalFormatting>
  <conditionalFormatting sqref="AU700">
    <cfRule type="cellIs" dxfId="0" priority="7247" operator="lessThan">
      <formula>20</formula>
    </cfRule>
    <cfRule type="cellIs" dxfId="1" priority="6353" operator="greaterThan">
      <formula>120</formula>
    </cfRule>
    <cfRule type="containsText" dxfId="2" priority="5459" operator="between" text="库存为">
      <formula>NOT(ISERROR(SEARCH("库存为",AU700)))</formula>
    </cfRule>
  </conditionalFormatting>
  <conditionalFormatting sqref="AU701">
    <cfRule type="cellIs" dxfId="0" priority="7246" operator="lessThan">
      <formula>20</formula>
    </cfRule>
    <cfRule type="cellIs" dxfId="1" priority="6352" operator="greaterThan">
      <formula>120</formula>
    </cfRule>
    <cfRule type="containsText" dxfId="2" priority="5458" operator="between" text="库存为">
      <formula>NOT(ISERROR(SEARCH("库存为",AU701)))</formula>
    </cfRule>
  </conditionalFormatting>
  <conditionalFormatting sqref="AU702">
    <cfRule type="cellIs" dxfId="0" priority="7245" operator="lessThan">
      <formula>20</formula>
    </cfRule>
    <cfRule type="cellIs" dxfId="1" priority="6351" operator="greaterThan">
      <formula>120</formula>
    </cfRule>
    <cfRule type="containsText" dxfId="2" priority="5457" operator="between" text="库存为">
      <formula>NOT(ISERROR(SEARCH("库存为",AU702)))</formula>
    </cfRule>
  </conditionalFormatting>
  <conditionalFormatting sqref="AU703">
    <cfRule type="cellIs" dxfId="0" priority="7244" operator="lessThan">
      <formula>20</formula>
    </cfRule>
    <cfRule type="cellIs" dxfId="1" priority="6350" operator="greaterThan">
      <formula>120</formula>
    </cfRule>
    <cfRule type="containsText" dxfId="2" priority="5456" operator="between" text="库存为">
      <formula>NOT(ISERROR(SEARCH("库存为",AU703)))</formula>
    </cfRule>
  </conditionalFormatting>
  <conditionalFormatting sqref="AU704">
    <cfRule type="cellIs" dxfId="0" priority="7243" operator="lessThan">
      <formula>20</formula>
    </cfRule>
    <cfRule type="cellIs" dxfId="1" priority="6349" operator="greaterThan">
      <formula>120</formula>
    </cfRule>
    <cfRule type="containsText" dxfId="2" priority="5455" operator="between" text="库存为">
      <formula>NOT(ISERROR(SEARCH("库存为",AU704)))</formula>
    </cfRule>
  </conditionalFormatting>
  <conditionalFormatting sqref="AU705">
    <cfRule type="cellIs" dxfId="0" priority="7242" operator="lessThan">
      <formula>20</formula>
    </cfRule>
    <cfRule type="cellIs" dxfId="1" priority="6348" operator="greaterThan">
      <formula>120</formula>
    </cfRule>
    <cfRule type="containsText" dxfId="2" priority="5454" operator="between" text="库存为">
      <formula>NOT(ISERROR(SEARCH("库存为",AU705)))</formula>
    </cfRule>
  </conditionalFormatting>
  <conditionalFormatting sqref="AU706">
    <cfRule type="cellIs" dxfId="0" priority="7241" operator="lessThan">
      <formula>20</formula>
    </cfRule>
    <cfRule type="cellIs" dxfId="1" priority="6347" operator="greaterThan">
      <formula>120</formula>
    </cfRule>
    <cfRule type="containsText" dxfId="2" priority="5453" operator="between" text="库存为">
      <formula>NOT(ISERROR(SEARCH("库存为",AU706)))</formula>
    </cfRule>
  </conditionalFormatting>
  <conditionalFormatting sqref="AU707">
    <cfRule type="cellIs" dxfId="0" priority="7240" operator="lessThan">
      <formula>20</formula>
    </cfRule>
    <cfRule type="cellIs" dxfId="1" priority="6346" operator="greaterThan">
      <formula>120</formula>
    </cfRule>
    <cfRule type="containsText" dxfId="2" priority="5452" operator="between" text="库存为">
      <formula>NOT(ISERROR(SEARCH("库存为",AU707)))</formula>
    </cfRule>
  </conditionalFormatting>
  <conditionalFormatting sqref="AU708">
    <cfRule type="cellIs" dxfId="0" priority="7239" operator="lessThan">
      <formula>20</formula>
    </cfRule>
    <cfRule type="cellIs" dxfId="1" priority="6345" operator="greaterThan">
      <formula>120</formula>
    </cfRule>
    <cfRule type="containsText" dxfId="2" priority="5451" operator="between" text="库存为">
      <formula>NOT(ISERROR(SEARCH("库存为",AU708)))</formula>
    </cfRule>
  </conditionalFormatting>
  <conditionalFormatting sqref="AU709">
    <cfRule type="cellIs" dxfId="0" priority="7238" operator="lessThan">
      <formula>20</formula>
    </cfRule>
    <cfRule type="cellIs" dxfId="1" priority="6344" operator="greaterThan">
      <formula>120</formula>
    </cfRule>
    <cfRule type="containsText" dxfId="2" priority="5450" operator="between" text="库存为">
      <formula>NOT(ISERROR(SEARCH("库存为",AU709)))</formula>
    </cfRule>
  </conditionalFormatting>
  <conditionalFormatting sqref="AU710">
    <cfRule type="cellIs" dxfId="0" priority="7237" operator="lessThan">
      <formula>20</formula>
    </cfRule>
    <cfRule type="cellIs" dxfId="1" priority="6343" operator="greaterThan">
      <formula>120</formula>
    </cfRule>
    <cfRule type="containsText" dxfId="2" priority="5449" operator="between" text="库存为">
      <formula>NOT(ISERROR(SEARCH("库存为",AU710)))</formula>
    </cfRule>
  </conditionalFormatting>
  <conditionalFormatting sqref="AU711">
    <cfRule type="cellIs" dxfId="0" priority="7236" operator="lessThan">
      <formula>20</formula>
    </cfRule>
    <cfRule type="cellIs" dxfId="1" priority="6342" operator="greaterThan">
      <formula>120</formula>
    </cfRule>
    <cfRule type="containsText" dxfId="2" priority="5448" operator="between" text="库存为">
      <formula>NOT(ISERROR(SEARCH("库存为",AU711)))</formula>
    </cfRule>
  </conditionalFormatting>
  <conditionalFormatting sqref="AU712">
    <cfRule type="cellIs" dxfId="0" priority="7235" operator="lessThan">
      <formula>20</formula>
    </cfRule>
    <cfRule type="cellIs" dxfId="1" priority="6341" operator="greaterThan">
      <formula>120</formula>
    </cfRule>
    <cfRule type="containsText" dxfId="2" priority="5447" operator="between" text="库存为">
      <formula>NOT(ISERROR(SEARCH("库存为",AU712)))</formula>
    </cfRule>
  </conditionalFormatting>
  <conditionalFormatting sqref="AU713">
    <cfRule type="cellIs" dxfId="0" priority="7234" operator="lessThan">
      <formula>20</formula>
    </cfRule>
    <cfRule type="cellIs" dxfId="1" priority="6340" operator="greaterThan">
      <formula>120</formula>
    </cfRule>
    <cfRule type="containsText" dxfId="2" priority="5446" operator="between" text="库存为">
      <formula>NOT(ISERROR(SEARCH("库存为",AU713)))</formula>
    </cfRule>
  </conditionalFormatting>
  <conditionalFormatting sqref="AU714">
    <cfRule type="cellIs" dxfId="0" priority="7233" operator="lessThan">
      <formula>20</formula>
    </cfRule>
    <cfRule type="cellIs" dxfId="1" priority="6339" operator="greaterThan">
      <formula>120</formula>
    </cfRule>
    <cfRule type="containsText" dxfId="2" priority="5445" operator="between" text="库存为">
      <formula>NOT(ISERROR(SEARCH("库存为",AU714)))</formula>
    </cfRule>
  </conditionalFormatting>
  <conditionalFormatting sqref="AU715">
    <cfRule type="cellIs" dxfId="0" priority="7232" operator="lessThan">
      <formula>20</formula>
    </cfRule>
    <cfRule type="cellIs" dxfId="1" priority="6338" operator="greaterThan">
      <formula>120</formula>
    </cfRule>
    <cfRule type="containsText" dxfId="2" priority="5444" operator="between" text="库存为">
      <formula>NOT(ISERROR(SEARCH("库存为",AU715)))</formula>
    </cfRule>
  </conditionalFormatting>
  <conditionalFormatting sqref="AU716">
    <cfRule type="cellIs" dxfId="0" priority="7231" operator="lessThan">
      <formula>20</formula>
    </cfRule>
    <cfRule type="cellIs" dxfId="1" priority="6337" operator="greaterThan">
      <formula>120</formula>
    </cfRule>
    <cfRule type="containsText" dxfId="2" priority="5443" operator="between" text="库存为">
      <formula>NOT(ISERROR(SEARCH("库存为",AU716)))</formula>
    </cfRule>
  </conditionalFormatting>
  <conditionalFormatting sqref="AU717">
    <cfRule type="cellIs" dxfId="0" priority="7230" operator="lessThan">
      <formula>20</formula>
    </cfRule>
    <cfRule type="cellIs" dxfId="1" priority="6336" operator="greaterThan">
      <formula>120</formula>
    </cfRule>
    <cfRule type="containsText" dxfId="2" priority="5442" operator="between" text="库存为">
      <formula>NOT(ISERROR(SEARCH("库存为",AU717)))</formula>
    </cfRule>
  </conditionalFormatting>
  <conditionalFormatting sqref="AU718">
    <cfRule type="cellIs" dxfId="0" priority="7229" operator="lessThan">
      <formula>20</formula>
    </cfRule>
    <cfRule type="cellIs" dxfId="1" priority="6335" operator="greaterThan">
      <formula>120</formula>
    </cfRule>
    <cfRule type="containsText" dxfId="2" priority="5441" operator="between" text="库存为">
      <formula>NOT(ISERROR(SEARCH("库存为",AU718)))</formula>
    </cfRule>
  </conditionalFormatting>
  <conditionalFormatting sqref="AU719">
    <cfRule type="cellIs" dxfId="0" priority="7228" operator="lessThan">
      <formula>20</formula>
    </cfRule>
    <cfRule type="cellIs" dxfId="1" priority="6334" operator="greaterThan">
      <formula>120</formula>
    </cfRule>
    <cfRule type="containsText" dxfId="2" priority="5440" operator="between" text="库存为">
      <formula>NOT(ISERROR(SEARCH("库存为",AU719)))</formula>
    </cfRule>
  </conditionalFormatting>
  <conditionalFormatting sqref="AU720">
    <cfRule type="cellIs" dxfId="0" priority="7227" operator="lessThan">
      <formula>20</formula>
    </cfRule>
    <cfRule type="cellIs" dxfId="1" priority="6333" operator="greaterThan">
      <formula>120</formula>
    </cfRule>
    <cfRule type="containsText" dxfId="2" priority="5439" operator="between" text="库存为">
      <formula>NOT(ISERROR(SEARCH("库存为",AU720)))</formula>
    </cfRule>
  </conditionalFormatting>
  <conditionalFormatting sqref="AU721">
    <cfRule type="cellIs" dxfId="0" priority="7226" operator="lessThan">
      <formula>20</formula>
    </cfRule>
    <cfRule type="cellIs" dxfId="1" priority="6332" operator="greaterThan">
      <formula>120</formula>
    </cfRule>
    <cfRule type="containsText" dxfId="2" priority="5438" operator="between" text="库存为">
      <formula>NOT(ISERROR(SEARCH("库存为",AU721)))</formula>
    </cfRule>
  </conditionalFormatting>
  <conditionalFormatting sqref="AU722">
    <cfRule type="cellIs" dxfId="0" priority="7225" operator="lessThan">
      <formula>20</formula>
    </cfRule>
    <cfRule type="cellIs" dxfId="1" priority="6331" operator="greaterThan">
      <formula>120</formula>
    </cfRule>
    <cfRule type="containsText" dxfId="2" priority="5437" operator="between" text="库存为">
      <formula>NOT(ISERROR(SEARCH("库存为",AU722)))</formula>
    </cfRule>
  </conditionalFormatting>
  <conditionalFormatting sqref="AU723">
    <cfRule type="cellIs" dxfId="0" priority="7224" operator="lessThan">
      <formula>20</formula>
    </cfRule>
    <cfRule type="cellIs" dxfId="1" priority="6330" operator="greaterThan">
      <formula>120</formula>
    </cfRule>
    <cfRule type="containsText" dxfId="2" priority="5436" operator="between" text="库存为">
      <formula>NOT(ISERROR(SEARCH("库存为",AU723)))</formula>
    </cfRule>
  </conditionalFormatting>
  <conditionalFormatting sqref="AU724">
    <cfRule type="cellIs" dxfId="0" priority="7223" operator="lessThan">
      <formula>20</formula>
    </cfRule>
    <cfRule type="cellIs" dxfId="1" priority="6329" operator="greaterThan">
      <formula>120</formula>
    </cfRule>
    <cfRule type="containsText" dxfId="2" priority="5435" operator="between" text="库存为">
      <formula>NOT(ISERROR(SEARCH("库存为",AU724)))</formula>
    </cfRule>
  </conditionalFormatting>
  <conditionalFormatting sqref="AU725">
    <cfRule type="cellIs" dxfId="0" priority="7222" operator="lessThan">
      <formula>20</formula>
    </cfRule>
    <cfRule type="cellIs" dxfId="1" priority="6328" operator="greaterThan">
      <formula>120</formula>
    </cfRule>
    <cfRule type="containsText" dxfId="2" priority="5434" operator="between" text="库存为">
      <formula>NOT(ISERROR(SEARCH("库存为",AU725)))</formula>
    </cfRule>
  </conditionalFormatting>
  <conditionalFormatting sqref="AU726">
    <cfRule type="cellIs" dxfId="0" priority="7221" operator="lessThan">
      <formula>20</formula>
    </cfRule>
    <cfRule type="cellIs" dxfId="1" priority="6327" operator="greaterThan">
      <formula>120</formula>
    </cfRule>
    <cfRule type="containsText" dxfId="2" priority="5433" operator="between" text="库存为">
      <formula>NOT(ISERROR(SEARCH("库存为",AU726)))</formula>
    </cfRule>
  </conditionalFormatting>
  <conditionalFormatting sqref="AU727">
    <cfRule type="cellIs" dxfId="0" priority="7220" operator="lessThan">
      <formula>20</formula>
    </cfRule>
    <cfRule type="cellIs" dxfId="1" priority="6326" operator="greaterThan">
      <formula>120</formula>
    </cfRule>
    <cfRule type="containsText" dxfId="2" priority="5432" operator="between" text="库存为">
      <formula>NOT(ISERROR(SEARCH("库存为",AU727)))</formula>
    </cfRule>
  </conditionalFormatting>
  <conditionalFormatting sqref="AU728">
    <cfRule type="cellIs" dxfId="0" priority="7219" operator="lessThan">
      <formula>20</formula>
    </cfRule>
    <cfRule type="cellIs" dxfId="1" priority="6325" operator="greaterThan">
      <formula>120</formula>
    </cfRule>
    <cfRule type="containsText" dxfId="2" priority="5431" operator="between" text="库存为">
      <formula>NOT(ISERROR(SEARCH("库存为",AU728)))</formula>
    </cfRule>
  </conditionalFormatting>
  <conditionalFormatting sqref="AU729">
    <cfRule type="cellIs" dxfId="0" priority="7218" operator="lessThan">
      <formula>20</formula>
    </cfRule>
    <cfRule type="cellIs" dxfId="1" priority="6324" operator="greaterThan">
      <formula>120</formula>
    </cfRule>
    <cfRule type="containsText" dxfId="2" priority="5430" operator="between" text="库存为">
      <formula>NOT(ISERROR(SEARCH("库存为",AU729)))</formula>
    </cfRule>
  </conditionalFormatting>
  <conditionalFormatting sqref="AU730">
    <cfRule type="cellIs" dxfId="0" priority="7217" operator="lessThan">
      <formula>20</formula>
    </cfRule>
    <cfRule type="cellIs" dxfId="1" priority="6323" operator="greaterThan">
      <formula>120</formula>
    </cfRule>
    <cfRule type="containsText" dxfId="2" priority="5429" operator="between" text="库存为">
      <formula>NOT(ISERROR(SEARCH("库存为",AU730)))</formula>
    </cfRule>
  </conditionalFormatting>
  <conditionalFormatting sqref="AU731">
    <cfRule type="cellIs" dxfId="0" priority="7216" operator="lessThan">
      <formula>20</formula>
    </cfRule>
    <cfRule type="cellIs" dxfId="1" priority="6322" operator="greaterThan">
      <formula>120</formula>
    </cfRule>
    <cfRule type="containsText" dxfId="2" priority="5428" operator="between" text="库存为">
      <formula>NOT(ISERROR(SEARCH("库存为",AU731)))</formula>
    </cfRule>
  </conditionalFormatting>
  <conditionalFormatting sqref="AU732">
    <cfRule type="cellIs" dxfId="0" priority="7215" operator="lessThan">
      <formula>20</formula>
    </cfRule>
    <cfRule type="cellIs" dxfId="1" priority="6321" operator="greaterThan">
      <formula>120</formula>
    </cfRule>
    <cfRule type="containsText" dxfId="2" priority="5427" operator="between" text="库存为">
      <formula>NOT(ISERROR(SEARCH("库存为",AU732)))</formula>
    </cfRule>
  </conditionalFormatting>
  <conditionalFormatting sqref="AU733">
    <cfRule type="cellIs" dxfId="0" priority="7214" operator="lessThan">
      <formula>20</formula>
    </cfRule>
    <cfRule type="cellIs" dxfId="1" priority="6320" operator="greaterThan">
      <formula>120</formula>
    </cfRule>
    <cfRule type="containsText" dxfId="2" priority="5426" operator="between" text="库存为">
      <formula>NOT(ISERROR(SEARCH("库存为",AU733)))</formula>
    </cfRule>
  </conditionalFormatting>
  <conditionalFormatting sqref="AU734">
    <cfRule type="cellIs" dxfId="0" priority="7213" operator="lessThan">
      <formula>20</formula>
    </cfRule>
    <cfRule type="cellIs" dxfId="1" priority="6319" operator="greaterThan">
      <formula>120</formula>
    </cfRule>
    <cfRule type="containsText" dxfId="2" priority="5425" operator="between" text="库存为">
      <formula>NOT(ISERROR(SEARCH("库存为",AU734)))</formula>
    </cfRule>
  </conditionalFormatting>
  <conditionalFormatting sqref="AU735">
    <cfRule type="cellIs" dxfId="0" priority="7212" operator="lessThan">
      <formula>20</formula>
    </cfRule>
    <cfRule type="cellIs" dxfId="1" priority="6318" operator="greaterThan">
      <formula>120</formula>
    </cfRule>
    <cfRule type="containsText" dxfId="2" priority="5424" operator="between" text="库存为">
      <formula>NOT(ISERROR(SEARCH("库存为",AU735)))</formula>
    </cfRule>
  </conditionalFormatting>
  <conditionalFormatting sqref="AU736">
    <cfRule type="cellIs" dxfId="0" priority="7211" operator="lessThan">
      <formula>20</formula>
    </cfRule>
    <cfRule type="cellIs" dxfId="1" priority="6317" operator="greaterThan">
      <formula>120</formula>
    </cfRule>
    <cfRule type="containsText" dxfId="2" priority="5423" operator="between" text="库存为">
      <formula>NOT(ISERROR(SEARCH("库存为",AU736)))</formula>
    </cfRule>
  </conditionalFormatting>
  <conditionalFormatting sqref="AU737">
    <cfRule type="cellIs" dxfId="0" priority="7210" operator="lessThan">
      <formula>20</formula>
    </cfRule>
    <cfRule type="cellIs" dxfId="1" priority="6316" operator="greaterThan">
      <formula>120</formula>
    </cfRule>
    <cfRule type="containsText" dxfId="2" priority="5422" operator="between" text="库存为">
      <formula>NOT(ISERROR(SEARCH("库存为",AU737)))</formula>
    </cfRule>
  </conditionalFormatting>
  <conditionalFormatting sqref="AU738">
    <cfRule type="cellIs" dxfId="0" priority="7209" operator="lessThan">
      <formula>20</formula>
    </cfRule>
    <cfRule type="cellIs" dxfId="1" priority="6315" operator="greaterThan">
      <formula>120</formula>
    </cfRule>
    <cfRule type="containsText" dxfId="2" priority="5421" operator="between" text="库存为">
      <formula>NOT(ISERROR(SEARCH("库存为",AU738)))</formula>
    </cfRule>
  </conditionalFormatting>
  <conditionalFormatting sqref="AU739">
    <cfRule type="cellIs" dxfId="0" priority="7208" operator="lessThan">
      <formula>20</formula>
    </cfRule>
    <cfRule type="cellIs" dxfId="1" priority="6314" operator="greaterThan">
      <formula>120</formula>
    </cfRule>
    <cfRule type="containsText" dxfId="2" priority="5420" operator="between" text="库存为">
      <formula>NOT(ISERROR(SEARCH("库存为",AU739)))</formula>
    </cfRule>
  </conditionalFormatting>
  <conditionalFormatting sqref="AU740">
    <cfRule type="cellIs" dxfId="0" priority="7207" operator="lessThan">
      <formula>20</formula>
    </cfRule>
    <cfRule type="cellIs" dxfId="1" priority="6313" operator="greaterThan">
      <formula>120</formula>
    </cfRule>
    <cfRule type="containsText" dxfId="2" priority="5419" operator="between" text="库存为">
      <formula>NOT(ISERROR(SEARCH("库存为",AU740)))</formula>
    </cfRule>
  </conditionalFormatting>
  <conditionalFormatting sqref="AU741">
    <cfRule type="cellIs" dxfId="0" priority="7206" operator="lessThan">
      <formula>20</formula>
    </cfRule>
    <cfRule type="cellIs" dxfId="1" priority="6312" operator="greaterThan">
      <formula>120</formula>
    </cfRule>
    <cfRule type="containsText" dxfId="2" priority="5418" operator="between" text="库存为">
      <formula>NOT(ISERROR(SEARCH("库存为",AU741)))</formula>
    </cfRule>
  </conditionalFormatting>
  <conditionalFormatting sqref="AU742">
    <cfRule type="cellIs" dxfId="0" priority="7205" operator="lessThan">
      <formula>20</formula>
    </cfRule>
    <cfRule type="cellIs" dxfId="1" priority="6311" operator="greaterThan">
      <formula>120</formula>
    </cfRule>
    <cfRule type="containsText" dxfId="2" priority="5417" operator="between" text="库存为">
      <formula>NOT(ISERROR(SEARCH("库存为",AU742)))</formula>
    </cfRule>
  </conditionalFormatting>
  <conditionalFormatting sqref="AU743">
    <cfRule type="cellIs" dxfId="0" priority="7204" operator="lessThan">
      <formula>20</formula>
    </cfRule>
    <cfRule type="cellIs" dxfId="1" priority="6310" operator="greaterThan">
      <formula>120</formula>
    </cfRule>
    <cfRule type="containsText" dxfId="2" priority="5416" operator="between" text="库存为">
      <formula>NOT(ISERROR(SEARCH("库存为",AU743)))</formula>
    </cfRule>
  </conditionalFormatting>
  <conditionalFormatting sqref="AU744">
    <cfRule type="cellIs" dxfId="0" priority="7203" operator="lessThan">
      <formula>20</formula>
    </cfRule>
    <cfRule type="cellIs" dxfId="1" priority="6309" operator="greaterThan">
      <formula>120</formula>
    </cfRule>
    <cfRule type="containsText" dxfId="2" priority="5415" operator="between" text="库存为">
      <formula>NOT(ISERROR(SEARCH("库存为",AU744)))</formula>
    </cfRule>
  </conditionalFormatting>
  <conditionalFormatting sqref="AU745">
    <cfRule type="cellIs" dxfId="0" priority="7202" operator="lessThan">
      <formula>20</formula>
    </cfRule>
    <cfRule type="cellIs" dxfId="1" priority="6308" operator="greaterThan">
      <formula>120</formula>
    </cfRule>
    <cfRule type="containsText" dxfId="2" priority="5414" operator="between" text="库存为">
      <formula>NOT(ISERROR(SEARCH("库存为",AU745)))</formula>
    </cfRule>
  </conditionalFormatting>
  <conditionalFormatting sqref="AU746">
    <cfRule type="cellIs" dxfId="0" priority="7201" operator="lessThan">
      <formula>20</formula>
    </cfRule>
    <cfRule type="cellIs" dxfId="1" priority="6307" operator="greaterThan">
      <formula>120</formula>
    </cfRule>
    <cfRule type="containsText" dxfId="2" priority="5413" operator="between" text="库存为">
      <formula>NOT(ISERROR(SEARCH("库存为",AU746)))</formula>
    </cfRule>
  </conditionalFormatting>
  <conditionalFormatting sqref="AU747">
    <cfRule type="cellIs" dxfId="0" priority="7200" operator="lessThan">
      <formula>20</formula>
    </cfRule>
    <cfRule type="cellIs" dxfId="1" priority="6306" operator="greaterThan">
      <formula>120</formula>
    </cfRule>
    <cfRule type="containsText" dxfId="2" priority="5412" operator="between" text="库存为">
      <formula>NOT(ISERROR(SEARCH("库存为",AU747)))</formula>
    </cfRule>
  </conditionalFormatting>
  <conditionalFormatting sqref="AU748">
    <cfRule type="cellIs" dxfId="0" priority="7199" operator="lessThan">
      <formula>20</formula>
    </cfRule>
    <cfRule type="cellIs" dxfId="1" priority="6305" operator="greaterThan">
      <formula>120</formula>
    </cfRule>
    <cfRule type="containsText" dxfId="2" priority="5411" operator="between" text="库存为">
      <formula>NOT(ISERROR(SEARCH("库存为",AU748)))</formula>
    </cfRule>
  </conditionalFormatting>
  <conditionalFormatting sqref="AU749">
    <cfRule type="cellIs" dxfId="0" priority="7198" operator="lessThan">
      <formula>20</formula>
    </cfRule>
    <cfRule type="cellIs" dxfId="1" priority="6304" operator="greaterThan">
      <formula>120</formula>
    </cfRule>
    <cfRule type="containsText" dxfId="2" priority="5410" operator="between" text="库存为">
      <formula>NOT(ISERROR(SEARCH("库存为",AU749)))</formula>
    </cfRule>
  </conditionalFormatting>
  <conditionalFormatting sqref="AU750">
    <cfRule type="cellIs" dxfId="0" priority="7197" operator="lessThan">
      <formula>20</formula>
    </cfRule>
    <cfRule type="cellIs" dxfId="1" priority="6303" operator="greaterThan">
      <formula>120</formula>
    </cfRule>
    <cfRule type="containsText" dxfId="2" priority="5409" operator="between" text="库存为">
      <formula>NOT(ISERROR(SEARCH("库存为",AU750)))</formula>
    </cfRule>
  </conditionalFormatting>
  <conditionalFormatting sqref="AU751">
    <cfRule type="cellIs" dxfId="0" priority="7196" operator="lessThan">
      <formula>20</formula>
    </cfRule>
    <cfRule type="cellIs" dxfId="1" priority="6302" operator="greaterThan">
      <formula>120</formula>
    </cfRule>
    <cfRule type="containsText" dxfId="2" priority="5408" operator="between" text="库存为">
      <formula>NOT(ISERROR(SEARCH("库存为",AU751)))</formula>
    </cfRule>
  </conditionalFormatting>
  <conditionalFormatting sqref="AU752">
    <cfRule type="cellIs" dxfId="0" priority="7195" operator="lessThan">
      <formula>20</formula>
    </cfRule>
    <cfRule type="cellIs" dxfId="1" priority="6301" operator="greaterThan">
      <formula>120</formula>
    </cfRule>
    <cfRule type="containsText" dxfId="2" priority="5407" operator="between" text="库存为">
      <formula>NOT(ISERROR(SEARCH("库存为",AU752)))</formula>
    </cfRule>
  </conditionalFormatting>
  <conditionalFormatting sqref="AU753">
    <cfRule type="cellIs" dxfId="0" priority="7194" operator="lessThan">
      <formula>20</formula>
    </cfRule>
    <cfRule type="cellIs" dxfId="1" priority="6300" operator="greaterThan">
      <formula>120</formula>
    </cfRule>
    <cfRule type="containsText" dxfId="2" priority="5406" operator="between" text="库存为">
      <formula>NOT(ISERROR(SEARCH("库存为",AU753)))</formula>
    </cfRule>
  </conditionalFormatting>
  <conditionalFormatting sqref="AU754">
    <cfRule type="cellIs" dxfId="0" priority="7193" operator="lessThan">
      <formula>20</formula>
    </cfRule>
    <cfRule type="cellIs" dxfId="1" priority="6299" operator="greaterThan">
      <formula>120</formula>
    </cfRule>
    <cfRule type="containsText" dxfId="2" priority="5405" operator="between" text="库存为">
      <formula>NOT(ISERROR(SEARCH("库存为",AU754)))</formula>
    </cfRule>
  </conditionalFormatting>
  <conditionalFormatting sqref="AU755">
    <cfRule type="cellIs" dxfId="0" priority="7192" operator="lessThan">
      <formula>20</formula>
    </cfRule>
    <cfRule type="cellIs" dxfId="1" priority="6298" operator="greaterThan">
      <formula>120</formula>
    </cfRule>
    <cfRule type="containsText" dxfId="2" priority="5404" operator="between" text="库存为">
      <formula>NOT(ISERROR(SEARCH("库存为",AU755)))</formula>
    </cfRule>
  </conditionalFormatting>
  <conditionalFormatting sqref="AU756">
    <cfRule type="cellIs" dxfId="0" priority="7191" operator="lessThan">
      <formula>20</formula>
    </cfRule>
    <cfRule type="cellIs" dxfId="1" priority="6297" operator="greaterThan">
      <formula>120</formula>
    </cfRule>
    <cfRule type="containsText" dxfId="2" priority="5403" operator="between" text="库存为">
      <formula>NOT(ISERROR(SEARCH("库存为",AU756)))</formula>
    </cfRule>
  </conditionalFormatting>
  <conditionalFormatting sqref="AU757">
    <cfRule type="cellIs" dxfId="0" priority="7190" operator="lessThan">
      <formula>20</formula>
    </cfRule>
    <cfRule type="cellIs" dxfId="1" priority="6296" operator="greaterThan">
      <formula>120</formula>
    </cfRule>
    <cfRule type="containsText" dxfId="2" priority="5402" operator="between" text="库存为">
      <formula>NOT(ISERROR(SEARCH("库存为",AU757)))</formula>
    </cfRule>
  </conditionalFormatting>
  <conditionalFormatting sqref="AU758">
    <cfRule type="cellIs" dxfId="0" priority="7189" operator="lessThan">
      <formula>20</formula>
    </cfRule>
    <cfRule type="cellIs" dxfId="1" priority="6295" operator="greaterThan">
      <formula>120</formula>
    </cfRule>
    <cfRule type="containsText" dxfId="2" priority="5401" operator="between" text="库存为">
      <formula>NOT(ISERROR(SEARCH("库存为",AU758)))</formula>
    </cfRule>
  </conditionalFormatting>
  <conditionalFormatting sqref="AU759">
    <cfRule type="cellIs" dxfId="0" priority="7188" operator="lessThan">
      <formula>20</formula>
    </cfRule>
    <cfRule type="cellIs" dxfId="1" priority="6294" operator="greaterThan">
      <formula>120</formula>
    </cfRule>
    <cfRule type="containsText" dxfId="2" priority="5400" operator="between" text="库存为">
      <formula>NOT(ISERROR(SEARCH("库存为",AU759)))</formula>
    </cfRule>
  </conditionalFormatting>
  <conditionalFormatting sqref="AU760">
    <cfRule type="cellIs" dxfId="0" priority="7187" operator="lessThan">
      <formula>20</formula>
    </cfRule>
    <cfRule type="cellIs" dxfId="1" priority="6293" operator="greaterThan">
      <formula>120</formula>
    </cfRule>
    <cfRule type="containsText" dxfId="2" priority="5399" operator="between" text="库存为">
      <formula>NOT(ISERROR(SEARCH("库存为",AU760)))</formula>
    </cfRule>
  </conditionalFormatting>
  <conditionalFormatting sqref="AU761">
    <cfRule type="cellIs" dxfId="0" priority="7186" operator="lessThan">
      <formula>20</formula>
    </cfRule>
    <cfRule type="cellIs" dxfId="1" priority="6292" operator="greaterThan">
      <formula>120</formula>
    </cfRule>
    <cfRule type="containsText" dxfId="2" priority="5398" operator="between" text="库存为">
      <formula>NOT(ISERROR(SEARCH("库存为",AU761)))</formula>
    </cfRule>
  </conditionalFormatting>
  <conditionalFormatting sqref="AU762">
    <cfRule type="cellIs" dxfId="0" priority="7185" operator="lessThan">
      <formula>20</formula>
    </cfRule>
    <cfRule type="cellIs" dxfId="1" priority="6291" operator="greaterThan">
      <formula>120</formula>
    </cfRule>
    <cfRule type="containsText" dxfId="2" priority="5397" operator="between" text="库存为">
      <formula>NOT(ISERROR(SEARCH("库存为",AU762)))</formula>
    </cfRule>
  </conditionalFormatting>
  <conditionalFormatting sqref="AU763">
    <cfRule type="cellIs" dxfId="0" priority="7184" operator="lessThan">
      <formula>20</formula>
    </cfRule>
    <cfRule type="cellIs" dxfId="1" priority="6290" operator="greaterThan">
      <formula>120</formula>
    </cfRule>
    <cfRule type="containsText" dxfId="2" priority="5396" operator="between" text="库存为">
      <formula>NOT(ISERROR(SEARCH("库存为",AU763)))</formula>
    </cfRule>
  </conditionalFormatting>
  <conditionalFormatting sqref="AU764">
    <cfRule type="cellIs" dxfId="0" priority="7183" operator="lessThan">
      <formula>20</formula>
    </cfRule>
    <cfRule type="cellIs" dxfId="1" priority="6289" operator="greaterThan">
      <formula>120</formula>
    </cfRule>
    <cfRule type="containsText" dxfId="2" priority="5395" operator="between" text="库存为">
      <formula>NOT(ISERROR(SEARCH("库存为",AU764)))</formula>
    </cfRule>
  </conditionalFormatting>
  <conditionalFormatting sqref="AU765">
    <cfRule type="cellIs" dxfId="0" priority="7182" operator="lessThan">
      <formula>20</formula>
    </cfRule>
    <cfRule type="cellIs" dxfId="1" priority="6288" operator="greaterThan">
      <formula>120</formula>
    </cfRule>
    <cfRule type="containsText" dxfId="2" priority="5394" operator="between" text="库存为">
      <formula>NOT(ISERROR(SEARCH("库存为",AU765)))</formula>
    </cfRule>
  </conditionalFormatting>
  <conditionalFormatting sqref="AU766">
    <cfRule type="cellIs" dxfId="0" priority="7181" operator="lessThan">
      <formula>20</formula>
    </cfRule>
    <cfRule type="cellIs" dxfId="1" priority="6287" operator="greaterThan">
      <formula>120</formula>
    </cfRule>
    <cfRule type="containsText" dxfId="2" priority="5393" operator="between" text="库存为">
      <formula>NOT(ISERROR(SEARCH("库存为",AU766)))</formula>
    </cfRule>
  </conditionalFormatting>
  <conditionalFormatting sqref="AU767">
    <cfRule type="cellIs" dxfId="0" priority="7180" operator="lessThan">
      <formula>20</formula>
    </cfRule>
    <cfRule type="cellIs" dxfId="1" priority="6286" operator="greaterThan">
      <formula>120</formula>
    </cfRule>
    <cfRule type="containsText" dxfId="2" priority="5392" operator="between" text="库存为">
      <formula>NOT(ISERROR(SEARCH("库存为",AU767)))</formula>
    </cfRule>
  </conditionalFormatting>
  <conditionalFormatting sqref="AU768">
    <cfRule type="cellIs" dxfId="0" priority="7179" operator="lessThan">
      <formula>20</formula>
    </cfRule>
    <cfRule type="cellIs" dxfId="1" priority="6285" operator="greaterThan">
      <formula>120</formula>
    </cfRule>
    <cfRule type="containsText" dxfId="2" priority="5391" operator="between" text="库存为">
      <formula>NOT(ISERROR(SEARCH("库存为",AU768)))</formula>
    </cfRule>
  </conditionalFormatting>
  <conditionalFormatting sqref="AU769">
    <cfRule type="cellIs" dxfId="0" priority="7178" operator="lessThan">
      <formula>20</formula>
    </cfRule>
    <cfRule type="cellIs" dxfId="1" priority="6284" operator="greaterThan">
      <formula>120</formula>
    </cfRule>
    <cfRule type="containsText" dxfId="2" priority="5390" operator="between" text="库存为">
      <formula>NOT(ISERROR(SEARCH("库存为",AU769)))</formula>
    </cfRule>
  </conditionalFormatting>
  <conditionalFormatting sqref="AU770">
    <cfRule type="cellIs" dxfId="0" priority="7177" operator="lessThan">
      <formula>20</formula>
    </cfRule>
    <cfRule type="cellIs" dxfId="1" priority="6283" operator="greaterThan">
      <formula>120</formula>
    </cfRule>
    <cfRule type="containsText" dxfId="2" priority="5389" operator="between" text="库存为">
      <formula>NOT(ISERROR(SEARCH("库存为",AU770)))</formula>
    </cfRule>
  </conditionalFormatting>
  <conditionalFormatting sqref="AU771">
    <cfRule type="cellIs" dxfId="0" priority="7176" operator="lessThan">
      <formula>20</formula>
    </cfRule>
    <cfRule type="cellIs" dxfId="1" priority="6282" operator="greaterThan">
      <formula>120</formula>
    </cfRule>
    <cfRule type="containsText" dxfId="2" priority="5388" operator="between" text="库存为">
      <formula>NOT(ISERROR(SEARCH("库存为",AU771)))</formula>
    </cfRule>
  </conditionalFormatting>
  <conditionalFormatting sqref="AU772">
    <cfRule type="cellIs" dxfId="0" priority="7175" operator="lessThan">
      <formula>20</formula>
    </cfRule>
    <cfRule type="cellIs" dxfId="1" priority="6281" operator="greaterThan">
      <formula>120</formula>
    </cfRule>
    <cfRule type="containsText" dxfId="2" priority="5387" operator="between" text="库存为">
      <formula>NOT(ISERROR(SEARCH("库存为",AU772)))</formula>
    </cfRule>
  </conditionalFormatting>
  <conditionalFormatting sqref="AU773">
    <cfRule type="cellIs" dxfId="0" priority="7174" operator="lessThan">
      <formula>20</formula>
    </cfRule>
    <cfRule type="cellIs" dxfId="1" priority="6280" operator="greaterThan">
      <formula>120</formula>
    </cfRule>
    <cfRule type="containsText" dxfId="2" priority="5386" operator="between" text="库存为">
      <formula>NOT(ISERROR(SEARCH("库存为",AU773)))</formula>
    </cfRule>
  </conditionalFormatting>
  <conditionalFormatting sqref="AU774">
    <cfRule type="cellIs" dxfId="0" priority="7173" operator="lessThan">
      <formula>20</formula>
    </cfRule>
    <cfRule type="cellIs" dxfId="1" priority="6279" operator="greaterThan">
      <formula>120</formula>
    </cfRule>
    <cfRule type="containsText" dxfId="2" priority="5385" operator="between" text="库存为">
      <formula>NOT(ISERROR(SEARCH("库存为",AU774)))</formula>
    </cfRule>
  </conditionalFormatting>
  <conditionalFormatting sqref="AU775">
    <cfRule type="cellIs" dxfId="0" priority="7172" operator="lessThan">
      <formula>20</formula>
    </cfRule>
    <cfRule type="cellIs" dxfId="1" priority="6278" operator="greaterThan">
      <formula>120</formula>
    </cfRule>
    <cfRule type="containsText" dxfId="2" priority="5384" operator="between" text="库存为">
      <formula>NOT(ISERROR(SEARCH("库存为",AU775)))</formula>
    </cfRule>
  </conditionalFormatting>
  <conditionalFormatting sqref="AU776">
    <cfRule type="cellIs" dxfId="0" priority="7171" operator="lessThan">
      <formula>20</formula>
    </cfRule>
    <cfRule type="cellIs" dxfId="1" priority="6277" operator="greaterThan">
      <formula>120</formula>
    </cfRule>
    <cfRule type="containsText" dxfId="2" priority="5383" operator="between" text="库存为">
      <formula>NOT(ISERROR(SEARCH("库存为",AU776)))</formula>
    </cfRule>
  </conditionalFormatting>
  <conditionalFormatting sqref="AU777">
    <cfRule type="cellIs" dxfId="0" priority="7170" operator="lessThan">
      <formula>20</formula>
    </cfRule>
    <cfRule type="cellIs" dxfId="1" priority="6276" operator="greaterThan">
      <formula>120</formula>
    </cfRule>
    <cfRule type="containsText" dxfId="2" priority="5382" operator="between" text="库存为">
      <formula>NOT(ISERROR(SEARCH("库存为",AU777)))</formula>
    </cfRule>
  </conditionalFormatting>
  <conditionalFormatting sqref="AU778">
    <cfRule type="cellIs" dxfId="0" priority="7169" operator="lessThan">
      <formula>20</formula>
    </cfRule>
    <cfRule type="cellIs" dxfId="1" priority="6275" operator="greaterThan">
      <formula>120</formula>
    </cfRule>
    <cfRule type="containsText" dxfId="2" priority="5381" operator="between" text="库存为">
      <formula>NOT(ISERROR(SEARCH("库存为",AU778)))</formula>
    </cfRule>
  </conditionalFormatting>
  <conditionalFormatting sqref="AU779">
    <cfRule type="cellIs" dxfId="0" priority="7168" operator="lessThan">
      <formula>20</formula>
    </cfRule>
    <cfRule type="cellIs" dxfId="1" priority="6274" operator="greaterThan">
      <formula>120</formula>
    </cfRule>
    <cfRule type="containsText" dxfId="2" priority="5380" operator="between" text="库存为">
      <formula>NOT(ISERROR(SEARCH("库存为",AU779)))</formula>
    </cfRule>
  </conditionalFormatting>
  <conditionalFormatting sqref="AU780">
    <cfRule type="cellIs" dxfId="0" priority="7167" operator="lessThan">
      <formula>20</formula>
    </cfRule>
    <cfRule type="cellIs" dxfId="1" priority="6273" operator="greaterThan">
      <formula>120</formula>
    </cfRule>
    <cfRule type="containsText" dxfId="2" priority="5379" operator="between" text="库存为">
      <formula>NOT(ISERROR(SEARCH("库存为",AU780)))</formula>
    </cfRule>
  </conditionalFormatting>
  <conditionalFormatting sqref="AU781">
    <cfRule type="cellIs" dxfId="0" priority="7166" operator="lessThan">
      <formula>20</formula>
    </cfRule>
    <cfRule type="cellIs" dxfId="1" priority="6272" operator="greaterThan">
      <formula>120</formula>
    </cfRule>
    <cfRule type="containsText" dxfId="2" priority="5378" operator="between" text="库存为">
      <formula>NOT(ISERROR(SEARCH("库存为",AU781)))</formula>
    </cfRule>
  </conditionalFormatting>
  <conditionalFormatting sqref="AU782">
    <cfRule type="cellIs" dxfId="0" priority="7165" operator="lessThan">
      <formula>20</formula>
    </cfRule>
    <cfRule type="cellIs" dxfId="1" priority="6271" operator="greaterThan">
      <formula>120</formula>
    </cfRule>
    <cfRule type="containsText" dxfId="2" priority="5377" operator="between" text="库存为">
      <formula>NOT(ISERROR(SEARCH("库存为",AU782)))</formula>
    </cfRule>
  </conditionalFormatting>
  <conditionalFormatting sqref="AU783">
    <cfRule type="cellIs" dxfId="0" priority="7164" operator="lessThan">
      <formula>20</formula>
    </cfRule>
    <cfRule type="cellIs" dxfId="1" priority="6270" operator="greaterThan">
      <formula>120</formula>
    </cfRule>
    <cfRule type="containsText" dxfId="2" priority="5376" operator="between" text="库存为">
      <formula>NOT(ISERROR(SEARCH("库存为",AU783)))</formula>
    </cfRule>
  </conditionalFormatting>
  <conditionalFormatting sqref="AU784">
    <cfRule type="cellIs" dxfId="0" priority="7163" operator="lessThan">
      <formula>20</formula>
    </cfRule>
    <cfRule type="cellIs" dxfId="1" priority="6269" operator="greaterThan">
      <formula>120</formula>
    </cfRule>
    <cfRule type="containsText" dxfId="2" priority="5375" operator="between" text="库存为">
      <formula>NOT(ISERROR(SEARCH("库存为",AU784)))</formula>
    </cfRule>
  </conditionalFormatting>
  <conditionalFormatting sqref="AU785">
    <cfRule type="cellIs" dxfId="0" priority="7162" operator="lessThan">
      <formula>20</formula>
    </cfRule>
    <cfRule type="cellIs" dxfId="1" priority="6268" operator="greaterThan">
      <formula>120</formula>
    </cfRule>
    <cfRule type="containsText" dxfId="2" priority="5374" operator="between" text="库存为">
      <formula>NOT(ISERROR(SEARCH("库存为",AU785)))</formula>
    </cfRule>
  </conditionalFormatting>
  <conditionalFormatting sqref="AU786">
    <cfRule type="cellIs" dxfId="0" priority="7161" operator="lessThan">
      <formula>20</formula>
    </cfRule>
    <cfRule type="cellIs" dxfId="1" priority="6267" operator="greaterThan">
      <formula>120</formula>
    </cfRule>
    <cfRule type="containsText" dxfId="2" priority="5373" operator="between" text="库存为">
      <formula>NOT(ISERROR(SEARCH("库存为",AU786)))</formula>
    </cfRule>
  </conditionalFormatting>
  <conditionalFormatting sqref="AU787">
    <cfRule type="cellIs" dxfId="0" priority="7160" operator="lessThan">
      <formula>20</formula>
    </cfRule>
    <cfRule type="cellIs" dxfId="1" priority="6266" operator="greaterThan">
      <formula>120</formula>
    </cfRule>
    <cfRule type="containsText" dxfId="2" priority="5372" operator="between" text="库存为">
      <formula>NOT(ISERROR(SEARCH("库存为",AU787)))</formula>
    </cfRule>
  </conditionalFormatting>
  <conditionalFormatting sqref="AU788">
    <cfRule type="cellIs" dxfId="0" priority="7159" operator="lessThan">
      <formula>20</formula>
    </cfRule>
    <cfRule type="cellIs" dxfId="1" priority="6265" operator="greaterThan">
      <formula>120</formula>
    </cfRule>
    <cfRule type="containsText" dxfId="2" priority="5371" operator="between" text="库存为">
      <formula>NOT(ISERROR(SEARCH("库存为",AU788)))</formula>
    </cfRule>
  </conditionalFormatting>
  <conditionalFormatting sqref="AU789">
    <cfRule type="cellIs" dxfId="0" priority="7158" operator="lessThan">
      <formula>20</formula>
    </cfRule>
    <cfRule type="cellIs" dxfId="1" priority="6264" operator="greaterThan">
      <formula>120</formula>
    </cfRule>
    <cfRule type="containsText" dxfId="2" priority="5370" operator="between" text="库存为">
      <formula>NOT(ISERROR(SEARCH("库存为",AU789)))</formula>
    </cfRule>
  </conditionalFormatting>
  <conditionalFormatting sqref="AU790">
    <cfRule type="cellIs" dxfId="0" priority="7157" operator="lessThan">
      <formula>20</formula>
    </cfRule>
    <cfRule type="cellIs" dxfId="1" priority="6263" operator="greaterThan">
      <formula>120</formula>
    </cfRule>
    <cfRule type="containsText" dxfId="2" priority="5369" operator="between" text="库存为">
      <formula>NOT(ISERROR(SEARCH("库存为",AU790)))</formula>
    </cfRule>
  </conditionalFormatting>
  <conditionalFormatting sqref="AU791">
    <cfRule type="cellIs" dxfId="0" priority="7156" operator="lessThan">
      <formula>20</formula>
    </cfRule>
    <cfRule type="cellIs" dxfId="1" priority="6262" operator="greaterThan">
      <formula>120</formula>
    </cfRule>
    <cfRule type="containsText" dxfId="2" priority="5368" operator="between" text="库存为">
      <formula>NOT(ISERROR(SEARCH("库存为",AU791)))</formula>
    </cfRule>
  </conditionalFormatting>
  <conditionalFormatting sqref="AU792">
    <cfRule type="cellIs" dxfId="0" priority="7155" operator="lessThan">
      <formula>20</formula>
    </cfRule>
    <cfRule type="cellIs" dxfId="1" priority="6261" operator="greaterThan">
      <formula>120</formula>
    </cfRule>
    <cfRule type="containsText" dxfId="2" priority="5367" operator="between" text="库存为">
      <formula>NOT(ISERROR(SEARCH("库存为",AU792)))</formula>
    </cfRule>
  </conditionalFormatting>
  <conditionalFormatting sqref="AU793">
    <cfRule type="cellIs" dxfId="0" priority="7154" operator="lessThan">
      <formula>20</formula>
    </cfRule>
    <cfRule type="cellIs" dxfId="1" priority="6260" operator="greaterThan">
      <formula>120</formula>
    </cfRule>
    <cfRule type="containsText" dxfId="2" priority="5366" operator="between" text="库存为">
      <formula>NOT(ISERROR(SEARCH("库存为",AU793)))</formula>
    </cfRule>
  </conditionalFormatting>
  <conditionalFormatting sqref="AU794">
    <cfRule type="cellIs" dxfId="0" priority="7153" operator="lessThan">
      <formula>20</formula>
    </cfRule>
    <cfRule type="cellIs" dxfId="1" priority="6259" operator="greaterThan">
      <formula>120</formula>
    </cfRule>
    <cfRule type="containsText" dxfId="2" priority="5365" operator="between" text="库存为">
      <formula>NOT(ISERROR(SEARCH("库存为",AU794)))</formula>
    </cfRule>
  </conditionalFormatting>
  <conditionalFormatting sqref="AU795">
    <cfRule type="cellIs" dxfId="0" priority="7152" operator="lessThan">
      <formula>20</formula>
    </cfRule>
    <cfRule type="cellIs" dxfId="1" priority="6258" operator="greaterThan">
      <formula>120</formula>
    </cfRule>
    <cfRule type="containsText" dxfId="2" priority="5364" operator="between" text="库存为">
      <formula>NOT(ISERROR(SEARCH("库存为",AU795)))</formula>
    </cfRule>
  </conditionalFormatting>
  <conditionalFormatting sqref="AU796">
    <cfRule type="cellIs" dxfId="0" priority="7151" operator="lessThan">
      <formula>20</formula>
    </cfRule>
    <cfRule type="cellIs" dxfId="1" priority="6257" operator="greaterThan">
      <formula>120</formula>
    </cfRule>
    <cfRule type="containsText" dxfId="2" priority="5363" operator="between" text="库存为">
      <formula>NOT(ISERROR(SEARCH("库存为",AU796)))</formula>
    </cfRule>
  </conditionalFormatting>
  <conditionalFormatting sqref="AU797">
    <cfRule type="cellIs" dxfId="0" priority="7150" operator="lessThan">
      <formula>20</formula>
    </cfRule>
    <cfRule type="cellIs" dxfId="1" priority="6256" operator="greaterThan">
      <formula>120</formula>
    </cfRule>
    <cfRule type="containsText" dxfId="2" priority="5362" operator="between" text="库存为">
      <formula>NOT(ISERROR(SEARCH("库存为",AU797)))</formula>
    </cfRule>
  </conditionalFormatting>
  <conditionalFormatting sqref="AU798">
    <cfRule type="cellIs" dxfId="0" priority="7149" operator="lessThan">
      <formula>20</formula>
    </cfRule>
    <cfRule type="cellIs" dxfId="1" priority="6255" operator="greaterThan">
      <formula>120</formula>
    </cfRule>
    <cfRule type="containsText" dxfId="2" priority="5361" operator="between" text="库存为">
      <formula>NOT(ISERROR(SEARCH("库存为",AU798)))</formula>
    </cfRule>
  </conditionalFormatting>
  <conditionalFormatting sqref="AU799">
    <cfRule type="cellIs" dxfId="0" priority="7148" operator="lessThan">
      <formula>20</formula>
    </cfRule>
    <cfRule type="cellIs" dxfId="1" priority="6254" operator="greaterThan">
      <formula>120</formula>
    </cfRule>
    <cfRule type="containsText" dxfId="2" priority="5360" operator="between" text="库存为">
      <formula>NOT(ISERROR(SEARCH("库存为",AU799)))</formula>
    </cfRule>
  </conditionalFormatting>
  <conditionalFormatting sqref="AU800">
    <cfRule type="cellIs" dxfId="0" priority="7147" operator="lessThan">
      <formula>20</formula>
    </cfRule>
    <cfRule type="cellIs" dxfId="1" priority="6253" operator="greaterThan">
      <formula>120</formula>
    </cfRule>
    <cfRule type="containsText" dxfId="2" priority="5359" operator="between" text="库存为">
      <formula>NOT(ISERROR(SEARCH("库存为",AU800)))</formula>
    </cfRule>
  </conditionalFormatting>
  <conditionalFormatting sqref="AU801">
    <cfRule type="cellIs" dxfId="0" priority="7146" operator="lessThan">
      <formula>20</formula>
    </cfRule>
    <cfRule type="cellIs" dxfId="1" priority="6252" operator="greaterThan">
      <formula>120</formula>
    </cfRule>
    <cfRule type="containsText" dxfId="2" priority="5358" operator="between" text="库存为">
      <formula>NOT(ISERROR(SEARCH("库存为",AU801)))</formula>
    </cfRule>
  </conditionalFormatting>
  <conditionalFormatting sqref="AU802">
    <cfRule type="cellIs" dxfId="0" priority="7145" operator="lessThan">
      <formula>20</formula>
    </cfRule>
    <cfRule type="cellIs" dxfId="1" priority="6251" operator="greaterThan">
      <formula>120</formula>
    </cfRule>
    <cfRule type="containsText" dxfId="2" priority="5357" operator="between" text="库存为">
      <formula>NOT(ISERROR(SEARCH("库存为",AU802)))</formula>
    </cfRule>
  </conditionalFormatting>
  <conditionalFormatting sqref="AU803">
    <cfRule type="cellIs" dxfId="0" priority="7144" operator="lessThan">
      <formula>20</formula>
    </cfRule>
    <cfRule type="cellIs" dxfId="1" priority="6250" operator="greaterThan">
      <formula>120</formula>
    </cfRule>
    <cfRule type="containsText" dxfId="2" priority="5356" operator="between" text="库存为">
      <formula>NOT(ISERROR(SEARCH("库存为",AU803)))</formula>
    </cfRule>
  </conditionalFormatting>
  <conditionalFormatting sqref="AU804">
    <cfRule type="cellIs" dxfId="0" priority="7143" operator="lessThan">
      <formula>20</formula>
    </cfRule>
    <cfRule type="cellIs" dxfId="1" priority="6249" operator="greaterThan">
      <formula>120</formula>
    </cfRule>
    <cfRule type="containsText" dxfId="2" priority="5355" operator="between" text="库存为">
      <formula>NOT(ISERROR(SEARCH("库存为",AU804)))</formula>
    </cfRule>
  </conditionalFormatting>
  <conditionalFormatting sqref="AU805">
    <cfRule type="cellIs" dxfId="0" priority="7142" operator="lessThan">
      <formula>20</formula>
    </cfRule>
    <cfRule type="cellIs" dxfId="1" priority="6248" operator="greaterThan">
      <formula>120</formula>
    </cfRule>
    <cfRule type="containsText" dxfId="2" priority="5354" operator="between" text="库存为">
      <formula>NOT(ISERROR(SEARCH("库存为",AU805)))</formula>
    </cfRule>
  </conditionalFormatting>
  <conditionalFormatting sqref="AU806">
    <cfRule type="cellIs" dxfId="0" priority="7141" operator="lessThan">
      <formula>20</formula>
    </cfRule>
    <cfRule type="cellIs" dxfId="1" priority="6247" operator="greaterThan">
      <formula>120</formula>
    </cfRule>
    <cfRule type="containsText" dxfId="2" priority="5353" operator="between" text="库存为">
      <formula>NOT(ISERROR(SEARCH("库存为",AU806)))</formula>
    </cfRule>
  </conditionalFormatting>
  <conditionalFormatting sqref="AU807">
    <cfRule type="cellIs" dxfId="0" priority="7140" operator="lessThan">
      <formula>20</formula>
    </cfRule>
    <cfRule type="cellIs" dxfId="1" priority="6246" operator="greaterThan">
      <formula>120</formula>
    </cfRule>
    <cfRule type="containsText" dxfId="2" priority="5352" operator="between" text="库存为">
      <formula>NOT(ISERROR(SEARCH("库存为",AU807)))</formula>
    </cfRule>
  </conditionalFormatting>
  <conditionalFormatting sqref="AU808">
    <cfRule type="cellIs" dxfId="0" priority="7139" operator="lessThan">
      <formula>20</formula>
    </cfRule>
    <cfRule type="cellIs" dxfId="1" priority="6245" operator="greaterThan">
      <formula>120</formula>
    </cfRule>
    <cfRule type="containsText" dxfId="2" priority="5351" operator="between" text="库存为">
      <formula>NOT(ISERROR(SEARCH("库存为",AU808)))</formula>
    </cfRule>
  </conditionalFormatting>
  <conditionalFormatting sqref="AU809">
    <cfRule type="cellIs" dxfId="0" priority="7138" operator="lessThan">
      <formula>20</formula>
    </cfRule>
    <cfRule type="cellIs" dxfId="1" priority="6244" operator="greaterThan">
      <formula>120</formula>
    </cfRule>
    <cfRule type="containsText" dxfId="2" priority="5350" operator="between" text="库存为">
      <formula>NOT(ISERROR(SEARCH("库存为",AU809)))</formula>
    </cfRule>
  </conditionalFormatting>
  <conditionalFormatting sqref="AU810">
    <cfRule type="cellIs" dxfId="0" priority="7137" operator="lessThan">
      <formula>20</formula>
    </cfRule>
    <cfRule type="cellIs" dxfId="1" priority="6243" operator="greaterThan">
      <formula>120</formula>
    </cfRule>
    <cfRule type="containsText" dxfId="2" priority="5349" operator="between" text="库存为">
      <formula>NOT(ISERROR(SEARCH("库存为",AU810)))</formula>
    </cfRule>
  </conditionalFormatting>
  <conditionalFormatting sqref="AU811">
    <cfRule type="cellIs" dxfId="0" priority="7136" operator="lessThan">
      <formula>20</formula>
    </cfRule>
    <cfRule type="cellIs" dxfId="1" priority="6242" operator="greaterThan">
      <formula>120</formula>
    </cfRule>
    <cfRule type="containsText" dxfId="2" priority="5348" operator="between" text="库存为">
      <formula>NOT(ISERROR(SEARCH("库存为",AU811)))</formula>
    </cfRule>
  </conditionalFormatting>
  <conditionalFormatting sqref="AU812">
    <cfRule type="cellIs" dxfId="0" priority="7135" operator="lessThan">
      <formula>20</formula>
    </cfRule>
    <cfRule type="cellIs" dxfId="1" priority="6241" operator="greaterThan">
      <formula>120</formula>
    </cfRule>
    <cfRule type="containsText" dxfId="2" priority="5347" operator="between" text="库存为">
      <formula>NOT(ISERROR(SEARCH("库存为",AU812)))</formula>
    </cfRule>
  </conditionalFormatting>
  <conditionalFormatting sqref="AU813">
    <cfRule type="cellIs" dxfId="0" priority="7134" operator="lessThan">
      <formula>20</formula>
    </cfRule>
    <cfRule type="cellIs" dxfId="1" priority="6240" operator="greaterThan">
      <formula>120</formula>
    </cfRule>
    <cfRule type="containsText" dxfId="2" priority="5346" operator="between" text="库存为">
      <formula>NOT(ISERROR(SEARCH("库存为",AU813)))</formula>
    </cfRule>
  </conditionalFormatting>
  <conditionalFormatting sqref="AU814">
    <cfRule type="cellIs" dxfId="0" priority="7133" operator="lessThan">
      <formula>20</formula>
    </cfRule>
    <cfRule type="cellIs" dxfId="1" priority="6239" operator="greaterThan">
      <formula>120</formula>
    </cfRule>
    <cfRule type="containsText" dxfId="2" priority="5345" operator="between" text="库存为">
      <formula>NOT(ISERROR(SEARCH("库存为",AU814)))</formula>
    </cfRule>
  </conditionalFormatting>
  <conditionalFormatting sqref="AU815">
    <cfRule type="cellIs" dxfId="0" priority="7132" operator="lessThan">
      <formula>20</formula>
    </cfRule>
    <cfRule type="cellIs" dxfId="1" priority="6238" operator="greaterThan">
      <formula>120</formula>
    </cfRule>
    <cfRule type="containsText" dxfId="2" priority="5344" operator="between" text="库存为">
      <formula>NOT(ISERROR(SEARCH("库存为",AU815)))</formula>
    </cfRule>
  </conditionalFormatting>
  <conditionalFormatting sqref="AU816">
    <cfRule type="cellIs" dxfId="0" priority="7131" operator="lessThan">
      <formula>20</formula>
    </cfRule>
    <cfRule type="cellIs" dxfId="1" priority="6237" operator="greaterThan">
      <formula>120</formula>
    </cfRule>
    <cfRule type="containsText" dxfId="2" priority="5343" operator="between" text="库存为">
      <formula>NOT(ISERROR(SEARCH("库存为",AU816)))</formula>
    </cfRule>
  </conditionalFormatting>
  <conditionalFormatting sqref="AU817">
    <cfRule type="cellIs" dxfId="0" priority="7130" operator="lessThan">
      <formula>20</formula>
    </cfRule>
    <cfRule type="cellIs" dxfId="1" priority="6236" operator="greaterThan">
      <formula>120</formula>
    </cfRule>
    <cfRule type="containsText" dxfId="2" priority="5342" operator="between" text="库存为">
      <formula>NOT(ISERROR(SEARCH("库存为",AU817)))</formula>
    </cfRule>
  </conditionalFormatting>
  <conditionalFormatting sqref="AU818">
    <cfRule type="cellIs" dxfId="0" priority="7129" operator="lessThan">
      <formula>20</formula>
    </cfRule>
    <cfRule type="cellIs" dxfId="1" priority="6235" operator="greaterThan">
      <formula>120</formula>
    </cfRule>
    <cfRule type="containsText" dxfId="2" priority="5341" operator="between" text="库存为">
      <formula>NOT(ISERROR(SEARCH("库存为",AU818)))</formula>
    </cfRule>
  </conditionalFormatting>
  <conditionalFormatting sqref="AU819">
    <cfRule type="cellIs" dxfId="0" priority="7128" operator="lessThan">
      <formula>20</formula>
    </cfRule>
    <cfRule type="cellIs" dxfId="1" priority="6234" operator="greaterThan">
      <formula>120</formula>
    </cfRule>
    <cfRule type="containsText" dxfId="2" priority="5340" operator="between" text="库存为">
      <formula>NOT(ISERROR(SEARCH("库存为",AU819)))</formula>
    </cfRule>
  </conditionalFormatting>
  <conditionalFormatting sqref="AU820">
    <cfRule type="cellIs" dxfId="0" priority="7127" operator="lessThan">
      <formula>20</formula>
    </cfRule>
    <cfRule type="cellIs" dxfId="1" priority="6233" operator="greaterThan">
      <formula>120</formula>
    </cfRule>
    <cfRule type="containsText" dxfId="2" priority="5339" operator="between" text="库存为">
      <formula>NOT(ISERROR(SEARCH("库存为",AU820)))</formula>
    </cfRule>
  </conditionalFormatting>
  <conditionalFormatting sqref="AU821">
    <cfRule type="cellIs" dxfId="0" priority="7126" operator="lessThan">
      <formula>20</formula>
    </cfRule>
    <cfRule type="cellIs" dxfId="1" priority="6232" operator="greaterThan">
      <formula>120</formula>
    </cfRule>
    <cfRule type="containsText" dxfId="2" priority="5338" operator="between" text="库存为">
      <formula>NOT(ISERROR(SEARCH("库存为",AU821)))</formula>
    </cfRule>
  </conditionalFormatting>
  <conditionalFormatting sqref="AU822">
    <cfRule type="cellIs" dxfId="0" priority="7125" operator="lessThan">
      <formula>20</formula>
    </cfRule>
    <cfRule type="cellIs" dxfId="1" priority="6231" operator="greaterThan">
      <formula>120</formula>
    </cfRule>
    <cfRule type="containsText" dxfId="2" priority="5337" operator="between" text="库存为">
      <formula>NOT(ISERROR(SEARCH("库存为",AU822)))</formula>
    </cfRule>
  </conditionalFormatting>
  <conditionalFormatting sqref="AU823">
    <cfRule type="cellIs" dxfId="0" priority="7124" operator="lessThan">
      <formula>20</formula>
    </cfRule>
    <cfRule type="cellIs" dxfId="1" priority="6230" operator="greaterThan">
      <formula>120</formula>
    </cfRule>
    <cfRule type="containsText" dxfId="2" priority="5336" operator="between" text="库存为">
      <formula>NOT(ISERROR(SEARCH("库存为",AU823)))</formula>
    </cfRule>
  </conditionalFormatting>
  <conditionalFormatting sqref="AU824">
    <cfRule type="cellIs" dxfId="0" priority="7123" operator="lessThan">
      <formula>20</formula>
    </cfRule>
    <cfRule type="cellIs" dxfId="1" priority="6229" operator="greaterThan">
      <formula>120</formula>
    </cfRule>
    <cfRule type="containsText" dxfId="2" priority="5335" operator="between" text="库存为">
      <formula>NOT(ISERROR(SEARCH("库存为",AU824)))</formula>
    </cfRule>
  </conditionalFormatting>
  <conditionalFormatting sqref="AU825">
    <cfRule type="cellIs" dxfId="0" priority="7122" operator="lessThan">
      <formula>20</formula>
    </cfRule>
    <cfRule type="cellIs" dxfId="1" priority="6228" operator="greaterThan">
      <formula>120</formula>
    </cfRule>
    <cfRule type="containsText" dxfId="2" priority="5334" operator="between" text="库存为">
      <formula>NOT(ISERROR(SEARCH("库存为",AU825)))</formula>
    </cfRule>
  </conditionalFormatting>
  <conditionalFormatting sqref="AU826">
    <cfRule type="cellIs" dxfId="0" priority="7121" operator="lessThan">
      <formula>20</formula>
    </cfRule>
    <cfRule type="cellIs" dxfId="1" priority="6227" operator="greaterThan">
      <formula>120</formula>
    </cfRule>
    <cfRule type="containsText" dxfId="2" priority="5333" operator="between" text="库存为">
      <formula>NOT(ISERROR(SEARCH("库存为",AU826)))</formula>
    </cfRule>
  </conditionalFormatting>
  <conditionalFormatting sqref="AU827">
    <cfRule type="cellIs" dxfId="0" priority="7120" operator="lessThan">
      <formula>20</formula>
    </cfRule>
    <cfRule type="cellIs" dxfId="1" priority="6226" operator="greaterThan">
      <formula>120</formula>
    </cfRule>
    <cfRule type="containsText" dxfId="2" priority="5332" operator="between" text="库存为">
      <formula>NOT(ISERROR(SEARCH("库存为",AU827)))</formula>
    </cfRule>
  </conditionalFormatting>
  <conditionalFormatting sqref="AU828">
    <cfRule type="cellIs" dxfId="0" priority="7119" operator="lessThan">
      <formula>20</formula>
    </cfRule>
    <cfRule type="cellIs" dxfId="1" priority="6225" operator="greaterThan">
      <formula>120</formula>
    </cfRule>
    <cfRule type="containsText" dxfId="2" priority="5331" operator="between" text="库存为">
      <formula>NOT(ISERROR(SEARCH("库存为",AU828)))</formula>
    </cfRule>
  </conditionalFormatting>
  <conditionalFormatting sqref="AU829">
    <cfRule type="cellIs" dxfId="0" priority="7118" operator="lessThan">
      <formula>20</formula>
    </cfRule>
    <cfRule type="cellIs" dxfId="1" priority="6224" operator="greaterThan">
      <formula>120</formula>
    </cfRule>
    <cfRule type="containsText" dxfId="2" priority="5330" operator="between" text="库存为">
      <formula>NOT(ISERROR(SEARCH("库存为",AU829)))</formula>
    </cfRule>
  </conditionalFormatting>
  <conditionalFormatting sqref="AU830">
    <cfRule type="cellIs" dxfId="0" priority="7117" operator="lessThan">
      <formula>20</formula>
    </cfRule>
    <cfRule type="cellIs" dxfId="1" priority="6223" operator="greaterThan">
      <formula>120</formula>
    </cfRule>
    <cfRule type="containsText" dxfId="2" priority="5329" operator="between" text="库存为">
      <formula>NOT(ISERROR(SEARCH("库存为",AU830)))</formula>
    </cfRule>
  </conditionalFormatting>
  <conditionalFormatting sqref="AU831">
    <cfRule type="cellIs" dxfId="0" priority="7116" operator="lessThan">
      <formula>20</formula>
    </cfRule>
    <cfRule type="cellIs" dxfId="1" priority="6222" operator="greaterThan">
      <formula>120</formula>
    </cfRule>
    <cfRule type="containsText" dxfId="2" priority="5328" operator="between" text="库存为">
      <formula>NOT(ISERROR(SEARCH("库存为",AU831)))</formula>
    </cfRule>
  </conditionalFormatting>
  <conditionalFormatting sqref="AU832">
    <cfRule type="cellIs" dxfId="0" priority="7115" operator="lessThan">
      <formula>20</formula>
    </cfRule>
    <cfRule type="cellIs" dxfId="1" priority="6221" operator="greaterThan">
      <formula>120</formula>
    </cfRule>
    <cfRule type="containsText" dxfId="2" priority="5327" operator="between" text="库存为">
      <formula>NOT(ISERROR(SEARCH("库存为",AU832)))</formula>
    </cfRule>
  </conditionalFormatting>
  <conditionalFormatting sqref="AU833">
    <cfRule type="cellIs" dxfId="0" priority="7114" operator="lessThan">
      <formula>20</formula>
    </cfRule>
    <cfRule type="cellIs" dxfId="1" priority="6220" operator="greaterThan">
      <formula>120</formula>
    </cfRule>
    <cfRule type="containsText" dxfId="2" priority="5326" operator="between" text="库存为">
      <formula>NOT(ISERROR(SEARCH("库存为",AU833)))</formula>
    </cfRule>
  </conditionalFormatting>
  <conditionalFormatting sqref="AU834">
    <cfRule type="cellIs" dxfId="0" priority="7113" operator="lessThan">
      <formula>20</formula>
    </cfRule>
    <cfRule type="cellIs" dxfId="1" priority="6219" operator="greaterThan">
      <formula>120</formula>
    </cfRule>
    <cfRule type="containsText" dxfId="2" priority="5325" operator="between" text="库存为">
      <formula>NOT(ISERROR(SEARCH("库存为",AU834)))</formula>
    </cfRule>
  </conditionalFormatting>
  <conditionalFormatting sqref="AU835">
    <cfRule type="cellIs" dxfId="0" priority="7112" operator="lessThan">
      <formula>20</formula>
    </cfRule>
    <cfRule type="cellIs" dxfId="1" priority="6218" operator="greaterThan">
      <formula>120</formula>
    </cfRule>
    <cfRule type="containsText" dxfId="2" priority="5324" operator="between" text="库存为">
      <formula>NOT(ISERROR(SEARCH("库存为",AU835)))</formula>
    </cfRule>
  </conditionalFormatting>
  <conditionalFormatting sqref="AU836">
    <cfRule type="cellIs" dxfId="0" priority="7111" operator="lessThan">
      <formula>20</formula>
    </cfRule>
    <cfRule type="cellIs" dxfId="1" priority="6217" operator="greaterThan">
      <formula>120</formula>
    </cfRule>
    <cfRule type="containsText" dxfId="2" priority="5323" operator="between" text="库存为">
      <formula>NOT(ISERROR(SEARCH("库存为",AU836)))</formula>
    </cfRule>
  </conditionalFormatting>
  <conditionalFormatting sqref="AU837">
    <cfRule type="cellIs" dxfId="0" priority="7110" operator="lessThan">
      <formula>20</formula>
    </cfRule>
    <cfRule type="cellIs" dxfId="1" priority="6216" operator="greaterThan">
      <formula>120</formula>
    </cfRule>
    <cfRule type="containsText" dxfId="2" priority="5322" operator="between" text="库存为">
      <formula>NOT(ISERROR(SEARCH("库存为",AU837)))</formula>
    </cfRule>
  </conditionalFormatting>
  <conditionalFormatting sqref="AU838">
    <cfRule type="cellIs" dxfId="0" priority="7109" operator="lessThan">
      <formula>20</formula>
    </cfRule>
    <cfRule type="cellIs" dxfId="1" priority="6215" operator="greaterThan">
      <formula>120</formula>
    </cfRule>
    <cfRule type="containsText" dxfId="2" priority="5321" operator="between" text="库存为">
      <formula>NOT(ISERROR(SEARCH("库存为",AU838)))</formula>
    </cfRule>
  </conditionalFormatting>
  <conditionalFormatting sqref="AU839">
    <cfRule type="cellIs" dxfId="0" priority="7108" operator="lessThan">
      <formula>20</formula>
    </cfRule>
    <cfRule type="cellIs" dxfId="1" priority="6214" operator="greaterThan">
      <formula>120</formula>
    </cfRule>
    <cfRule type="containsText" dxfId="2" priority="5320" operator="between" text="库存为">
      <formula>NOT(ISERROR(SEARCH("库存为",AU839)))</formula>
    </cfRule>
  </conditionalFormatting>
  <conditionalFormatting sqref="AU840">
    <cfRule type="cellIs" dxfId="0" priority="7107" operator="lessThan">
      <formula>20</formula>
    </cfRule>
    <cfRule type="cellIs" dxfId="1" priority="6213" operator="greaterThan">
      <formula>120</formula>
    </cfRule>
    <cfRule type="containsText" dxfId="2" priority="5319" operator="between" text="库存为">
      <formula>NOT(ISERROR(SEARCH("库存为",AU840)))</formula>
    </cfRule>
  </conditionalFormatting>
  <conditionalFormatting sqref="AU841">
    <cfRule type="cellIs" dxfId="0" priority="7106" operator="lessThan">
      <formula>20</formula>
    </cfRule>
    <cfRule type="cellIs" dxfId="1" priority="6212" operator="greaterThan">
      <formula>120</formula>
    </cfRule>
    <cfRule type="containsText" dxfId="2" priority="5318" operator="between" text="库存为">
      <formula>NOT(ISERROR(SEARCH("库存为",AU841)))</formula>
    </cfRule>
  </conditionalFormatting>
  <conditionalFormatting sqref="AU842">
    <cfRule type="cellIs" dxfId="0" priority="7105" operator="lessThan">
      <formula>20</formula>
    </cfRule>
    <cfRule type="cellIs" dxfId="1" priority="6211" operator="greaterThan">
      <formula>120</formula>
    </cfRule>
    <cfRule type="containsText" dxfId="2" priority="5317" operator="between" text="库存为">
      <formula>NOT(ISERROR(SEARCH("库存为",AU842)))</formula>
    </cfRule>
  </conditionalFormatting>
  <conditionalFormatting sqref="AU843">
    <cfRule type="cellIs" dxfId="0" priority="7104" operator="lessThan">
      <formula>20</formula>
    </cfRule>
    <cfRule type="cellIs" dxfId="1" priority="6210" operator="greaterThan">
      <formula>120</formula>
    </cfRule>
    <cfRule type="containsText" dxfId="2" priority="5316" operator="between" text="库存为">
      <formula>NOT(ISERROR(SEARCH("库存为",AU843)))</formula>
    </cfRule>
  </conditionalFormatting>
  <conditionalFormatting sqref="AU844">
    <cfRule type="cellIs" dxfId="0" priority="7103" operator="lessThan">
      <formula>20</formula>
    </cfRule>
    <cfRule type="cellIs" dxfId="1" priority="6209" operator="greaterThan">
      <formula>120</formula>
    </cfRule>
    <cfRule type="containsText" dxfId="2" priority="5315" operator="between" text="库存为">
      <formula>NOT(ISERROR(SEARCH("库存为",AU844)))</formula>
    </cfRule>
  </conditionalFormatting>
  <conditionalFormatting sqref="AU845">
    <cfRule type="cellIs" dxfId="0" priority="7102" operator="lessThan">
      <formula>20</formula>
    </cfRule>
    <cfRule type="cellIs" dxfId="1" priority="6208" operator="greaterThan">
      <formula>120</formula>
    </cfRule>
    <cfRule type="containsText" dxfId="2" priority="5314" operator="between" text="库存为">
      <formula>NOT(ISERROR(SEARCH("库存为",AU845)))</formula>
    </cfRule>
  </conditionalFormatting>
  <conditionalFormatting sqref="AU846">
    <cfRule type="cellIs" dxfId="0" priority="7101" operator="lessThan">
      <formula>20</formula>
    </cfRule>
    <cfRule type="cellIs" dxfId="1" priority="6207" operator="greaterThan">
      <formula>120</formula>
    </cfRule>
    <cfRule type="containsText" dxfId="2" priority="5313" operator="between" text="库存为">
      <formula>NOT(ISERROR(SEARCH("库存为",AU846)))</formula>
    </cfRule>
  </conditionalFormatting>
  <conditionalFormatting sqref="AU847">
    <cfRule type="cellIs" dxfId="0" priority="7100" operator="lessThan">
      <formula>20</formula>
    </cfRule>
    <cfRule type="cellIs" dxfId="1" priority="6206" operator="greaterThan">
      <formula>120</formula>
    </cfRule>
    <cfRule type="containsText" dxfId="2" priority="5312" operator="between" text="库存为">
      <formula>NOT(ISERROR(SEARCH("库存为",AU847)))</formula>
    </cfRule>
  </conditionalFormatting>
  <conditionalFormatting sqref="AU848">
    <cfRule type="cellIs" dxfId="0" priority="7099" operator="lessThan">
      <formula>20</formula>
    </cfRule>
    <cfRule type="cellIs" dxfId="1" priority="6205" operator="greaterThan">
      <formula>120</formula>
    </cfRule>
    <cfRule type="containsText" dxfId="2" priority="5311" operator="between" text="库存为">
      <formula>NOT(ISERROR(SEARCH("库存为",AU848)))</formula>
    </cfRule>
  </conditionalFormatting>
  <conditionalFormatting sqref="AU849">
    <cfRule type="cellIs" dxfId="0" priority="7098" operator="lessThan">
      <formula>20</formula>
    </cfRule>
    <cfRule type="cellIs" dxfId="1" priority="6204" operator="greaterThan">
      <formula>120</formula>
    </cfRule>
    <cfRule type="containsText" dxfId="2" priority="5310" operator="between" text="库存为">
      <formula>NOT(ISERROR(SEARCH("库存为",AU849)))</formula>
    </cfRule>
  </conditionalFormatting>
  <conditionalFormatting sqref="AU850">
    <cfRule type="cellIs" dxfId="0" priority="7097" operator="lessThan">
      <formula>20</formula>
    </cfRule>
    <cfRule type="cellIs" dxfId="1" priority="6203" operator="greaterThan">
      <formula>120</formula>
    </cfRule>
    <cfRule type="containsText" dxfId="2" priority="5309" operator="between" text="库存为">
      <formula>NOT(ISERROR(SEARCH("库存为",AU850)))</formula>
    </cfRule>
  </conditionalFormatting>
  <conditionalFormatting sqref="AU851">
    <cfRule type="cellIs" dxfId="0" priority="7096" operator="lessThan">
      <formula>20</formula>
    </cfRule>
    <cfRule type="cellIs" dxfId="1" priority="6202" operator="greaterThan">
      <formula>120</formula>
    </cfRule>
    <cfRule type="containsText" dxfId="2" priority="5308" operator="between" text="库存为">
      <formula>NOT(ISERROR(SEARCH("库存为",AU851)))</formula>
    </cfRule>
  </conditionalFormatting>
  <conditionalFormatting sqref="AU852">
    <cfRule type="cellIs" dxfId="0" priority="7095" operator="lessThan">
      <formula>20</formula>
    </cfRule>
    <cfRule type="cellIs" dxfId="1" priority="6201" operator="greaterThan">
      <formula>120</formula>
    </cfRule>
    <cfRule type="containsText" dxfId="2" priority="5307" operator="between" text="库存为">
      <formula>NOT(ISERROR(SEARCH("库存为",AU852)))</formula>
    </cfRule>
  </conditionalFormatting>
  <conditionalFormatting sqref="AU853">
    <cfRule type="cellIs" dxfId="0" priority="7094" operator="lessThan">
      <formula>20</formula>
    </cfRule>
    <cfRule type="cellIs" dxfId="1" priority="6200" operator="greaterThan">
      <formula>120</formula>
    </cfRule>
    <cfRule type="containsText" dxfId="2" priority="5306" operator="between" text="库存为">
      <formula>NOT(ISERROR(SEARCH("库存为",AU853)))</formula>
    </cfRule>
  </conditionalFormatting>
  <conditionalFormatting sqref="AU854">
    <cfRule type="cellIs" dxfId="0" priority="7093" operator="lessThan">
      <formula>20</formula>
    </cfRule>
    <cfRule type="cellIs" dxfId="1" priority="6199" operator="greaterThan">
      <formula>120</formula>
    </cfRule>
    <cfRule type="containsText" dxfId="2" priority="5305" operator="between" text="库存为">
      <formula>NOT(ISERROR(SEARCH("库存为",AU854)))</formula>
    </cfRule>
  </conditionalFormatting>
  <conditionalFormatting sqref="AU855">
    <cfRule type="cellIs" dxfId="0" priority="7092" operator="lessThan">
      <formula>20</formula>
    </cfRule>
    <cfRule type="cellIs" dxfId="1" priority="6198" operator="greaterThan">
      <formula>120</formula>
    </cfRule>
    <cfRule type="containsText" dxfId="2" priority="5304" operator="between" text="库存为">
      <formula>NOT(ISERROR(SEARCH("库存为",AU855)))</formula>
    </cfRule>
  </conditionalFormatting>
  <conditionalFormatting sqref="AU856">
    <cfRule type="cellIs" dxfId="0" priority="7091" operator="lessThan">
      <formula>20</formula>
    </cfRule>
    <cfRule type="cellIs" dxfId="1" priority="6197" operator="greaterThan">
      <formula>120</formula>
    </cfRule>
    <cfRule type="containsText" dxfId="2" priority="5303" operator="between" text="库存为">
      <formula>NOT(ISERROR(SEARCH("库存为",AU856)))</formula>
    </cfRule>
  </conditionalFormatting>
  <conditionalFormatting sqref="AU857">
    <cfRule type="cellIs" dxfId="0" priority="7090" operator="lessThan">
      <formula>20</formula>
    </cfRule>
    <cfRule type="cellIs" dxfId="1" priority="6196" operator="greaterThan">
      <formula>120</formula>
    </cfRule>
    <cfRule type="containsText" dxfId="2" priority="5302" operator="between" text="库存为">
      <formula>NOT(ISERROR(SEARCH("库存为",AU857)))</formula>
    </cfRule>
  </conditionalFormatting>
  <conditionalFormatting sqref="AU858">
    <cfRule type="cellIs" dxfId="0" priority="7089" operator="lessThan">
      <formula>20</formula>
    </cfRule>
    <cfRule type="cellIs" dxfId="1" priority="6195" operator="greaterThan">
      <formula>120</formula>
    </cfRule>
    <cfRule type="containsText" dxfId="2" priority="5301" operator="between" text="库存为">
      <formula>NOT(ISERROR(SEARCH("库存为",AU858)))</formula>
    </cfRule>
  </conditionalFormatting>
  <conditionalFormatting sqref="AU859">
    <cfRule type="cellIs" dxfId="0" priority="7088" operator="lessThan">
      <formula>20</formula>
    </cfRule>
    <cfRule type="cellIs" dxfId="1" priority="6194" operator="greaterThan">
      <formula>120</formula>
    </cfRule>
    <cfRule type="containsText" dxfId="2" priority="5300" operator="between" text="库存为">
      <formula>NOT(ISERROR(SEARCH("库存为",AU859)))</formula>
    </cfRule>
  </conditionalFormatting>
  <conditionalFormatting sqref="AU860">
    <cfRule type="cellIs" dxfId="0" priority="7087" operator="lessThan">
      <formula>20</formula>
    </cfRule>
    <cfRule type="cellIs" dxfId="1" priority="6193" operator="greaterThan">
      <formula>120</formula>
    </cfRule>
    <cfRule type="containsText" dxfId="2" priority="5299" operator="between" text="库存为">
      <formula>NOT(ISERROR(SEARCH("库存为",AU860)))</formula>
    </cfRule>
  </conditionalFormatting>
  <conditionalFormatting sqref="AU861">
    <cfRule type="cellIs" dxfId="0" priority="7086" operator="lessThan">
      <formula>20</formula>
    </cfRule>
    <cfRule type="cellIs" dxfId="1" priority="6192" operator="greaterThan">
      <formula>120</formula>
    </cfRule>
    <cfRule type="containsText" dxfId="2" priority="5298" operator="between" text="库存为">
      <formula>NOT(ISERROR(SEARCH("库存为",AU861)))</formula>
    </cfRule>
  </conditionalFormatting>
  <conditionalFormatting sqref="AU862">
    <cfRule type="cellIs" dxfId="0" priority="7085" operator="lessThan">
      <formula>20</formula>
    </cfRule>
    <cfRule type="cellIs" dxfId="1" priority="6191" operator="greaterThan">
      <formula>120</formula>
    </cfRule>
    <cfRule type="containsText" dxfId="2" priority="5297" operator="between" text="库存为">
      <formula>NOT(ISERROR(SEARCH("库存为",AU862)))</formula>
    </cfRule>
  </conditionalFormatting>
  <conditionalFormatting sqref="AU863">
    <cfRule type="cellIs" dxfId="0" priority="7084" operator="lessThan">
      <formula>20</formula>
    </cfRule>
    <cfRule type="cellIs" dxfId="1" priority="6190" operator="greaterThan">
      <formula>120</formula>
    </cfRule>
    <cfRule type="containsText" dxfId="2" priority="5296" operator="between" text="库存为">
      <formula>NOT(ISERROR(SEARCH("库存为",AU863)))</formula>
    </cfRule>
  </conditionalFormatting>
  <conditionalFormatting sqref="AU864">
    <cfRule type="cellIs" dxfId="0" priority="7083" operator="lessThan">
      <formula>20</formula>
    </cfRule>
    <cfRule type="cellIs" dxfId="1" priority="6189" operator="greaterThan">
      <formula>120</formula>
    </cfRule>
    <cfRule type="containsText" dxfId="2" priority="5295" operator="between" text="库存为">
      <formula>NOT(ISERROR(SEARCH("库存为",AU864)))</formula>
    </cfRule>
  </conditionalFormatting>
  <conditionalFormatting sqref="AU865">
    <cfRule type="cellIs" dxfId="0" priority="7082" operator="lessThan">
      <formula>20</formula>
    </cfRule>
    <cfRule type="cellIs" dxfId="1" priority="6188" operator="greaterThan">
      <formula>120</formula>
    </cfRule>
    <cfRule type="containsText" dxfId="2" priority="5294" operator="between" text="库存为">
      <formula>NOT(ISERROR(SEARCH("库存为",AU865)))</formula>
    </cfRule>
  </conditionalFormatting>
  <conditionalFormatting sqref="AU866">
    <cfRule type="cellIs" dxfId="0" priority="7081" operator="lessThan">
      <formula>20</formula>
    </cfRule>
    <cfRule type="cellIs" dxfId="1" priority="6187" operator="greaterThan">
      <formula>120</formula>
    </cfRule>
    <cfRule type="containsText" dxfId="2" priority="5293" operator="between" text="库存为">
      <formula>NOT(ISERROR(SEARCH("库存为",AU866)))</formula>
    </cfRule>
  </conditionalFormatting>
  <conditionalFormatting sqref="AU867">
    <cfRule type="cellIs" dxfId="0" priority="7080" operator="lessThan">
      <formula>20</formula>
    </cfRule>
    <cfRule type="cellIs" dxfId="1" priority="6186" operator="greaterThan">
      <formula>120</formula>
    </cfRule>
    <cfRule type="containsText" dxfId="2" priority="5292" operator="between" text="库存为">
      <formula>NOT(ISERROR(SEARCH("库存为",AU867)))</formula>
    </cfRule>
  </conditionalFormatting>
  <conditionalFormatting sqref="AU868">
    <cfRule type="cellIs" dxfId="0" priority="7079" operator="lessThan">
      <formula>20</formula>
    </cfRule>
    <cfRule type="cellIs" dxfId="1" priority="6185" operator="greaterThan">
      <formula>120</formula>
    </cfRule>
    <cfRule type="containsText" dxfId="2" priority="5291" operator="between" text="库存为">
      <formula>NOT(ISERROR(SEARCH("库存为",AU868)))</formula>
    </cfRule>
  </conditionalFormatting>
  <conditionalFormatting sqref="AU869">
    <cfRule type="cellIs" dxfId="0" priority="7078" operator="lessThan">
      <formula>20</formula>
    </cfRule>
    <cfRule type="cellIs" dxfId="1" priority="6184" operator="greaterThan">
      <formula>120</formula>
    </cfRule>
    <cfRule type="containsText" dxfId="2" priority="5290" operator="between" text="库存为">
      <formula>NOT(ISERROR(SEARCH("库存为",AU869)))</formula>
    </cfRule>
  </conditionalFormatting>
  <conditionalFormatting sqref="AU870">
    <cfRule type="cellIs" dxfId="0" priority="7077" operator="lessThan">
      <formula>20</formula>
    </cfRule>
    <cfRule type="cellIs" dxfId="1" priority="6183" operator="greaterThan">
      <formula>120</formula>
    </cfRule>
    <cfRule type="containsText" dxfId="2" priority="5289" operator="between" text="库存为">
      <formula>NOT(ISERROR(SEARCH("库存为",AU870)))</formula>
    </cfRule>
  </conditionalFormatting>
  <conditionalFormatting sqref="AU871">
    <cfRule type="cellIs" dxfId="0" priority="7076" operator="lessThan">
      <formula>20</formula>
    </cfRule>
    <cfRule type="cellIs" dxfId="1" priority="6182" operator="greaterThan">
      <formula>120</formula>
    </cfRule>
    <cfRule type="containsText" dxfId="2" priority="5288" operator="between" text="库存为">
      <formula>NOT(ISERROR(SEARCH("库存为",AU871)))</formula>
    </cfRule>
  </conditionalFormatting>
  <conditionalFormatting sqref="AU872">
    <cfRule type="cellIs" dxfId="0" priority="7075" operator="lessThan">
      <formula>20</formula>
    </cfRule>
    <cfRule type="cellIs" dxfId="1" priority="6181" operator="greaterThan">
      <formula>120</formula>
    </cfRule>
    <cfRule type="containsText" dxfId="2" priority="5287" operator="between" text="库存为">
      <formula>NOT(ISERROR(SEARCH("库存为",AU872)))</formula>
    </cfRule>
  </conditionalFormatting>
  <conditionalFormatting sqref="AU873">
    <cfRule type="cellIs" dxfId="0" priority="7074" operator="lessThan">
      <formula>20</formula>
    </cfRule>
    <cfRule type="cellIs" dxfId="1" priority="6180" operator="greaterThan">
      <formula>120</formula>
    </cfRule>
    <cfRule type="containsText" dxfId="2" priority="5286" operator="between" text="库存为">
      <formula>NOT(ISERROR(SEARCH("库存为",AU873)))</formula>
    </cfRule>
  </conditionalFormatting>
  <conditionalFormatting sqref="AU874">
    <cfRule type="cellIs" dxfId="0" priority="7073" operator="lessThan">
      <formula>20</formula>
    </cfRule>
    <cfRule type="cellIs" dxfId="1" priority="6179" operator="greaterThan">
      <formula>120</formula>
    </cfRule>
    <cfRule type="containsText" dxfId="2" priority="5285" operator="between" text="库存为">
      <formula>NOT(ISERROR(SEARCH("库存为",AU874)))</formula>
    </cfRule>
  </conditionalFormatting>
  <conditionalFormatting sqref="AU875">
    <cfRule type="cellIs" dxfId="0" priority="7072" operator="lessThan">
      <formula>20</formula>
    </cfRule>
    <cfRule type="cellIs" dxfId="1" priority="6178" operator="greaterThan">
      <formula>120</formula>
    </cfRule>
    <cfRule type="containsText" dxfId="2" priority="5284" operator="between" text="库存为">
      <formula>NOT(ISERROR(SEARCH("库存为",AU875)))</formula>
    </cfRule>
  </conditionalFormatting>
  <conditionalFormatting sqref="AU876">
    <cfRule type="cellIs" dxfId="0" priority="7071" operator="lessThan">
      <formula>20</formula>
    </cfRule>
    <cfRule type="cellIs" dxfId="1" priority="6177" operator="greaterThan">
      <formula>120</formula>
    </cfRule>
    <cfRule type="containsText" dxfId="2" priority="5283" operator="between" text="库存为">
      <formula>NOT(ISERROR(SEARCH("库存为",AU876)))</formula>
    </cfRule>
  </conditionalFormatting>
  <conditionalFormatting sqref="AU877">
    <cfRule type="cellIs" dxfId="0" priority="7070" operator="lessThan">
      <formula>20</formula>
    </cfRule>
    <cfRule type="cellIs" dxfId="1" priority="6176" operator="greaterThan">
      <formula>120</formula>
    </cfRule>
    <cfRule type="containsText" dxfId="2" priority="5282" operator="between" text="库存为">
      <formula>NOT(ISERROR(SEARCH("库存为",AU877)))</formula>
    </cfRule>
  </conditionalFormatting>
  <conditionalFormatting sqref="AU878">
    <cfRule type="cellIs" dxfId="0" priority="7069" operator="lessThan">
      <formula>20</formula>
    </cfRule>
    <cfRule type="cellIs" dxfId="1" priority="6175" operator="greaterThan">
      <formula>120</formula>
    </cfRule>
    <cfRule type="containsText" dxfId="2" priority="5281" operator="between" text="库存为">
      <formula>NOT(ISERROR(SEARCH("库存为",AU878)))</formula>
    </cfRule>
  </conditionalFormatting>
  <conditionalFormatting sqref="AU879">
    <cfRule type="cellIs" dxfId="0" priority="7068" operator="lessThan">
      <formula>20</formula>
    </cfRule>
    <cfRule type="cellIs" dxfId="1" priority="6174" operator="greaterThan">
      <formula>120</formula>
    </cfRule>
    <cfRule type="containsText" dxfId="2" priority="5280" operator="between" text="库存为">
      <formula>NOT(ISERROR(SEARCH("库存为",AU879)))</formula>
    </cfRule>
  </conditionalFormatting>
  <conditionalFormatting sqref="AU880">
    <cfRule type="cellIs" dxfId="0" priority="7067" operator="lessThan">
      <formula>20</formula>
    </cfRule>
    <cfRule type="cellIs" dxfId="1" priority="6173" operator="greaterThan">
      <formula>120</formula>
    </cfRule>
    <cfRule type="containsText" dxfId="2" priority="5279" operator="between" text="库存为">
      <formula>NOT(ISERROR(SEARCH("库存为",AU880)))</formula>
    </cfRule>
  </conditionalFormatting>
  <conditionalFormatting sqref="AU881">
    <cfRule type="cellIs" dxfId="0" priority="7066" operator="lessThan">
      <formula>20</formula>
    </cfRule>
    <cfRule type="cellIs" dxfId="1" priority="6172" operator="greaterThan">
      <formula>120</formula>
    </cfRule>
    <cfRule type="containsText" dxfId="2" priority="5278" operator="between" text="库存为">
      <formula>NOT(ISERROR(SEARCH("库存为",AU881)))</formula>
    </cfRule>
  </conditionalFormatting>
  <conditionalFormatting sqref="AU882">
    <cfRule type="cellIs" dxfId="0" priority="7065" operator="lessThan">
      <formula>20</formula>
    </cfRule>
    <cfRule type="cellIs" dxfId="1" priority="6171" operator="greaterThan">
      <formula>120</formula>
    </cfRule>
    <cfRule type="containsText" dxfId="2" priority="5277" operator="between" text="库存为">
      <formula>NOT(ISERROR(SEARCH("库存为",AU882)))</formula>
    </cfRule>
  </conditionalFormatting>
  <conditionalFormatting sqref="AU883">
    <cfRule type="cellIs" dxfId="0" priority="7064" operator="lessThan">
      <formula>20</formula>
    </cfRule>
    <cfRule type="cellIs" dxfId="1" priority="6170" operator="greaterThan">
      <formula>120</formula>
    </cfRule>
    <cfRule type="containsText" dxfId="2" priority="5276" operator="between" text="库存为">
      <formula>NOT(ISERROR(SEARCH("库存为",AU883)))</formula>
    </cfRule>
  </conditionalFormatting>
  <conditionalFormatting sqref="AU884">
    <cfRule type="cellIs" dxfId="0" priority="7063" operator="lessThan">
      <formula>20</formula>
    </cfRule>
    <cfRule type="cellIs" dxfId="1" priority="6169" operator="greaterThan">
      <formula>120</formula>
    </cfRule>
    <cfRule type="containsText" dxfId="2" priority="5275" operator="between" text="库存为">
      <formula>NOT(ISERROR(SEARCH("库存为",AU884)))</formula>
    </cfRule>
  </conditionalFormatting>
  <conditionalFormatting sqref="AU885">
    <cfRule type="cellIs" dxfId="0" priority="7062" operator="lessThan">
      <formula>20</formula>
    </cfRule>
    <cfRule type="cellIs" dxfId="1" priority="6168" operator="greaterThan">
      <formula>120</formula>
    </cfRule>
    <cfRule type="containsText" dxfId="2" priority="5274" operator="between" text="库存为">
      <formula>NOT(ISERROR(SEARCH("库存为",AU885)))</formula>
    </cfRule>
  </conditionalFormatting>
  <conditionalFormatting sqref="AU886">
    <cfRule type="cellIs" dxfId="0" priority="7061" operator="lessThan">
      <formula>20</formula>
    </cfRule>
    <cfRule type="cellIs" dxfId="1" priority="6167" operator="greaterThan">
      <formula>120</formula>
    </cfRule>
    <cfRule type="containsText" dxfId="2" priority="5273" operator="between" text="库存为">
      <formula>NOT(ISERROR(SEARCH("库存为",AU886)))</formula>
    </cfRule>
  </conditionalFormatting>
  <conditionalFormatting sqref="AU887">
    <cfRule type="cellIs" dxfId="0" priority="7060" operator="lessThan">
      <formula>20</formula>
    </cfRule>
    <cfRule type="cellIs" dxfId="1" priority="6166" operator="greaterThan">
      <formula>120</formula>
    </cfRule>
    <cfRule type="containsText" dxfId="2" priority="5272" operator="between" text="库存为">
      <formula>NOT(ISERROR(SEARCH("库存为",AU887)))</formula>
    </cfRule>
  </conditionalFormatting>
  <conditionalFormatting sqref="AU888">
    <cfRule type="cellIs" dxfId="0" priority="7059" operator="lessThan">
      <formula>20</formula>
    </cfRule>
    <cfRule type="cellIs" dxfId="1" priority="6165" operator="greaterThan">
      <formula>120</formula>
    </cfRule>
    <cfRule type="containsText" dxfId="2" priority="5271" operator="between" text="库存为">
      <formula>NOT(ISERROR(SEARCH("库存为",AU888)))</formula>
    </cfRule>
  </conditionalFormatting>
  <conditionalFormatting sqref="AU889">
    <cfRule type="cellIs" dxfId="0" priority="7058" operator="lessThan">
      <formula>20</formula>
    </cfRule>
    <cfRule type="cellIs" dxfId="1" priority="6164" operator="greaterThan">
      <formula>120</formula>
    </cfRule>
    <cfRule type="containsText" dxfId="2" priority="5270" operator="between" text="库存为">
      <formula>NOT(ISERROR(SEARCH("库存为",AU889)))</formula>
    </cfRule>
  </conditionalFormatting>
  <conditionalFormatting sqref="AU890">
    <cfRule type="cellIs" dxfId="0" priority="7057" operator="lessThan">
      <formula>20</formula>
    </cfRule>
    <cfRule type="cellIs" dxfId="1" priority="6163" operator="greaterThan">
      <formula>120</formula>
    </cfRule>
    <cfRule type="containsText" dxfId="2" priority="5269" operator="between" text="库存为">
      <formula>NOT(ISERROR(SEARCH("库存为",AU890)))</formula>
    </cfRule>
  </conditionalFormatting>
  <conditionalFormatting sqref="AU891">
    <cfRule type="cellIs" dxfId="0" priority="7056" operator="lessThan">
      <formula>20</formula>
    </cfRule>
    <cfRule type="cellIs" dxfId="1" priority="6162" operator="greaterThan">
      <formula>120</formula>
    </cfRule>
    <cfRule type="containsText" dxfId="2" priority="5268" operator="between" text="库存为">
      <formula>NOT(ISERROR(SEARCH("库存为",AU891)))</formula>
    </cfRule>
  </conditionalFormatting>
  <conditionalFormatting sqref="AU892">
    <cfRule type="cellIs" dxfId="0" priority="7055" operator="lessThan">
      <formula>20</formula>
    </cfRule>
    <cfRule type="cellIs" dxfId="1" priority="6161" operator="greaterThan">
      <formula>120</formula>
    </cfRule>
    <cfRule type="containsText" dxfId="2" priority="5267" operator="between" text="库存为">
      <formula>NOT(ISERROR(SEARCH("库存为",AU892)))</formula>
    </cfRule>
  </conditionalFormatting>
  <conditionalFormatting sqref="AU893">
    <cfRule type="cellIs" dxfId="0" priority="7054" operator="lessThan">
      <formula>20</formula>
    </cfRule>
    <cfRule type="cellIs" dxfId="1" priority="6160" operator="greaterThan">
      <formula>120</formula>
    </cfRule>
    <cfRule type="containsText" dxfId="2" priority="5266" operator="between" text="库存为">
      <formula>NOT(ISERROR(SEARCH("库存为",AU893)))</formula>
    </cfRule>
  </conditionalFormatting>
  <conditionalFormatting sqref="AU894">
    <cfRule type="cellIs" dxfId="0" priority="7053" operator="lessThan">
      <formula>20</formula>
    </cfRule>
    <cfRule type="cellIs" dxfId="1" priority="6159" operator="greaterThan">
      <formula>120</formula>
    </cfRule>
    <cfRule type="containsText" dxfId="2" priority="5265" operator="between" text="库存为">
      <formula>NOT(ISERROR(SEARCH("库存为",AU894)))</formula>
    </cfRule>
  </conditionalFormatting>
  <conditionalFormatting sqref="AU895">
    <cfRule type="cellIs" dxfId="0" priority="7052" operator="lessThan">
      <formula>20</formula>
    </cfRule>
    <cfRule type="cellIs" dxfId="1" priority="6158" operator="greaterThan">
      <formula>120</formula>
    </cfRule>
    <cfRule type="containsText" dxfId="2" priority="5264" operator="between" text="库存为">
      <formula>NOT(ISERROR(SEARCH("库存为",AU895)))</formula>
    </cfRule>
  </conditionalFormatting>
  <conditionalFormatting sqref="AU896">
    <cfRule type="cellIs" dxfId="0" priority="7051" operator="lessThan">
      <formula>20</formula>
    </cfRule>
    <cfRule type="cellIs" dxfId="1" priority="6157" operator="greaterThan">
      <formula>120</formula>
    </cfRule>
    <cfRule type="containsText" dxfId="2" priority="5263" operator="between" text="库存为">
      <formula>NOT(ISERROR(SEARCH("库存为",AU896)))</formula>
    </cfRule>
  </conditionalFormatting>
  <conditionalFormatting sqref="AU897">
    <cfRule type="cellIs" dxfId="0" priority="7050" operator="lessThan">
      <formula>20</formula>
    </cfRule>
    <cfRule type="cellIs" dxfId="1" priority="6156" operator="greaterThan">
      <formula>120</formula>
    </cfRule>
    <cfRule type="containsText" dxfId="2" priority="5262" operator="between" text="库存为">
      <formula>NOT(ISERROR(SEARCH("库存为",AU897)))</formula>
    </cfRule>
  </conditionalFormatting>
  <conditionalFormatting sqref="AU898">
    <cfRule type="cellIs" dxfId="0" priority="7049" operator="lessThan">
      <formula>20</formula>
    </cfRule>
    <cfRule type="cellIs" dxfId="1" priority="6155" operator="greaterThan">
      <formula>120</formula>
    </cfRule>
    <cfRule type="containsText" dxfId="2" priority="5261" operator="between" text="库存为">
      <formula>NOT(ISERROR(SEARCH("库存为",AU898)))</formula>
    </cfRule>
  </conditionalFormatting>
  <conditionalFormatting sqref="AU899">
    <cfRule type="cellIs" dxfId="0" priority="7048" operator="lessThan">
      <formula>20</formula>
    </cfRule>
    <cfRule type="cellIs" dxfId="1" priority="6154" operator="greaterThan">
      <formula>120</formula>
    </cfRule>
    <cfRule type="containsText" dxfId="2" priority="5260" operator="between" text="库存为">
      <formula>NOT(ISERROR(SEARCH("库存为",AU899)))</formula>
    </cfRule>
  </conditionalFormatting>
  <conditionalFormatting sqref="AU900:AU3229">
    <cfRule type="containsText" dxfId="2" priority="28423" operator="between" text="库存为">
      <formula>NOT(ISERROR(SEARCH("库存为",AU900)))</formula>
    </cfRule>
    <cfRule type="cellIs" dxfId="1" priority="28424" operator="greaterThan">
      <formula>120</formula>
    </cfRule>
    <cfRule type="cellIs" dxfId="0" priority="2842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5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1239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1240</v>
      </c>
      <c r="AI1" s="11"/>
      <c r="AJ1" s="11"/>
      <c r="AK1" s="11"/>
      <c r="AL1" s="11" t="s">
        <v>1241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8" si="2">IF(AND(Z2&gt;0,B2=0),"无销量广告费为"&amp;Z2,IFERROR(Z2/(B2*$F2),""))</f>
        <v/>
      </c>
      <c r="AE2" s="23" t="str">
        <f t="shared" ref="AE2:AE58" si="3">IF(AND(AA2&gt;0,C2=0),"无销量广告费为"&amp;AA2,IFERROR(AA2/(C2*$F2),""))</f>
        <v/>
      </c>
      <c r="AF2" s="23" t="str">
        <f t="shared" ref="AF2:AF58" si="4">IF(AND(AB2&gt;0,D2=0),"无销量广告费为"&amp;AB2,IFERROR(AB2/(D2*$F2),""))</f>
        <v/>
      </c>
      <c r="AG2" s="23" t="str">
        <f t="shared" ref="AG2:AG5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8" si="6">IFERROR(B2/AH2,"")</f>
        <v/>
      </c>
      <c r="AM2" s="23" t="str">
        <f t="shared" ref="AM2:AM58" si="7">IFERROR(C2/AI2,"")</f>
        <v/>
      </c>
      <c r="AN2" s="23" t="str">
        <f t="shared" ref="AN2:AN58" si="8">IFERROR(D2/AJ2,"")</f>
        <v/>
      </c>
      <c r="AO2" s="23" t="str">
        <f t="shared" ref="AO2:AO58" si="9">IFERROR(E2/AK2,"")</f>
        <v/>
      </c>
      <c r="AP2" s="7">
        <f t="shared" ref="AP2:AP58" si="10">B2/7</f>
        <v>0</v>
      </c>
      <c r="AQ2" s="7">
        <f t="shared" ref="AQ2:AQ58" si="11">AP2*60</f>
        <v>0</v>
      </c>
      <c r="AR2" s="7">
        <f t="shared" ref="AR2:AR58" si="12">K2-AQ2</f>
        <v>0</v>
      </c>
      <c r="AS2" t="str">
        <f t="shared" ref="AS2:AS58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1242</v>
      </c>
      <c r="C4" s="5" t="s">
        <v>1243</v>
      </c>
      <c r="D4" s="5" t="s">
        <v>1244</v>
      </c>
      <c r="E4" s="5" t="s">
        <v>1245</v>
      </c>
      <c r="F4" s="6" t="s">
        <v>20</v>
      </c>
      <c r="G4" t="s">
        <v>21</v>
      </c>
      <c r="H4" t="s">
        <v>22</v>
      </c>
      <c r="I4" t="s">
        <v>1246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287</v>
      </c>
      <c r="C5" s="17">
        <f t="shared" si="14"/>
        <v>311</v>
      </c>
      <c r="D5" s="17">
        <f t="shared" si="14"/>
        <v>379</v>
      </c>
      <c r="E5" s="17">
        <f t="shared" si="14"/>
        <v>346</v>
      </c>
      <c r="F5" s="18"/>
      <c r="G5" s="4">
        <f t="shared" si="14"/>
        <v>3097</v>
      </c>
      <c r="H5" s="4">
        <f t="shared" si="14"/>
        <v>2604</v>
      </c>
      <c r="I5" s="4">
        <f t="shared" si="14"/>
        <v>34</v>
      </c>
      <c r="J5" s="4">
        <f t="shared" si="14"/>
        <v>27</v>
      </c>
      <c r="K5" s="4">
        <f t="shared" si="14"/>
        <v>5762</v>
      </c>
      <c r="L5" s="4">
        <f t="shared" si="14"/>
        <v>27</v>
      </c>
      <c r="M5" s="4">
        <f t="shared" si="14"/>
        <v>1268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537.12</v>
      </c>
      <c r="AA5" s="4">
        <f>SUM(AA6:AA9999)</f>
        <v>476.68</v>
      </c>
      <c r="AB5" s="4">
        <f>SUM(AB6:AB9999)</f>
        <v>542.23</v>
      </c>
      <c r="AC5" s="4">
        <f>SUM(AC6:AC9999)</f>
        <v>636.33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2</v>
      </c>
      <c r="C6" s="5">
        <f>SUMIF('库存（子SKU）'!$C:$C,$A6,'库存（子SKU）'!E:E)</f>
        <v>2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>
        <v>8.99</v>
      </c>
      <c r="G6">
        <f>SUMIF('库存（子SKU）'!$C:$C,$A6,'库存（子SKU）'!I:I)</f>
        <v>26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26</v>
      </c>
      <c r="L6">
        <f>SUMIF('库存（子SKU）'!$C:$C,$A6,'库存（子SKU）'!N:N)</f>
        <v>0</v>
      </c>
      <c r="M6">
        <f>SUMIF('库存（子SKU）'!$C:$C,$A6,'库存（子SKU）'!O:O)</f>
        <v>26</v>
      </c>
      <c r="N6">
        <f>SUMIF('库存（子SKU）'!$C:$C,$A6,'库存（子SKU）'!P:P)</f>
        <v>444</v>
      </c>
      <c r="O6">
        <f>SUMIF('库存（子SKU）'!$C:$C,$A6,'库存（子SKU）'!Q:Q)</f>
        <v>600</v>
      </c>
      <c r="P6">
        <f>SUMIF('库存（子SKU）'!$C:$C,$A6,'库存（子SKU）'!R:R)</f>
        <v>751</v>
      </c>
      <c r="Q6">
        <f>SUMIF('库存（子SKU）'!$C:$C,$A6,'库存（子SKU）'!S:S)</f>
        <v>216</v>
      </c>
      <c r="R6">
        <f>SUMIF('库存（子SKU）'!$C:$C,$A6,'库存（子SKU）'!T:T)</f>
        <v>2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58" si="15">IFERROR(R6/N6,"")</f>
        <v>0.0045045045045045</v>
      </c>
      <c r="W6" s="23">
        <f t="shared" ref="W6:W58" si="16">IFERROR(S6/O6,"")</f>
        <v>0.00166666666666667</v>
      </c>
      <c r="X6" s="23">
        <f t="shared" ref="X6:X58" si="17">IFERROR(T6/P6,"")</f>
        <v>0.00133155792276964</v>
      </c>
      <c r="Y6" s="23">
        <f t="shared" ref="Y6:Y58" si="18">IFERROR(U6/Q6,"")</f>
        <v>0.00462962962962963</v>
      </c>
      <c r="Z6">
        <f>SUMIF('库存（子SKU）'!$C:$C,$A6,'库存（子SKU）'!AB:AB)</f>
        <v>0.48</v>
      </c>
      <c r="AA6">
        <f>SUMIF('库存（子SKU）'!$C:$C,$A6,'库存（子SKU）'!AC:AC)</f>
        <v>0.29</v>
      </c>
      <c r="AB6">
        <f>SUMIF('库存（子SKU）'!$C:$C,$A6,'库存（子SKU）'!AD:AD)</f>
        <v>0.48</v>
      </c>
      <c r="AC6">
        <f>SUMIF('库存（子SKU）'!$C:$C,$A6,'库存（子SKU）'!AE:AE)</f>
        <v>0.17</v>
      </c>
      <c r="AD6" s="23">
        <f t="shared" si="2"/>
        <v>0.0266963292547275</v>
      </c>
      <c r="AE6" s="23">
        <f t="shared" si="3"/>
        <v>0.0161290322580645</v>
      </c>
      <c r="AF6" s="23" t="str">
        <f t="shared" si="4"/>
        <v>无销量广告费为0.48</v>
      </c>
      <c r="AG6" s="23" t="str">
        <f t="shared" si="5"/>
        <v>无销量广告费为0.17</v>
      </c>
      <c r="AH6">
        <f>SUMIF('库存（子SKU）'!$C:$C,$A6,'库存（子SKU）'!AJ:AJ)</f>
        <v>17</v>
      </c>
      <c r="AI6">
        <f>SUMIF('库存（子SKU）'!$C:$C,$A6,'库存（子SKU）'!AK:AK)</f>
        <v>14</v>
      </c>
      <c r="AJ6">
        <f>SUMIF('库存（子SKU）'!$C:$C,$A6,'库存（子SKU）'!AL:AL)</f>
        <v>7</v>
      </c>
      <c r="AK6">
        <f>SUMIF('库存（子SKU）'!$C:$C,$A6,'库存（子SKU）'!AM:AM)</f>
        <v>11</v>
      </c>
      <c r="AL6" s="23">
        <f t="shared" si="6"/>
        <v>0.117647058823529</v>
      </c>
      <c r="AM6" s="23">
        <f t="shared" si="7"/>
        <v>0.142857142857143</v>
      </c>
      <c r="AN6" s="23">
        <f t="shared" si="8"/>
        <v>0</v>
      </c>
      <c r="AO6" s="23">
        <f t="shared" si="9"/>
        <v>0</v>
      </c>
      <c r="AP6" s="7">
        <f t="shared" si="10"/>
        <v>0.285714285714286</v>
      </c>
      <c r="AQ6" s="7">
        <f t="shared" si="11"/>
        <v>17.1428571428571</v>
      </c>
      <c r="AR6" s="7">
        <f t="shared" si="12"/>
        <v>8.85714285714286</v>
      </c>
      <c r="AS6">
        <f t="shared" si="13"/>
        <v>91</v>
      </c>
      <c r="AT6" s="2">
        <f>IFERROR($A$2+AS6,"上周无销量")</f>
        <v>43353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2</v>
      </c>
      <c r="AI7">
        <f>SUMIF('库存（子SKU）'!$C:$C,$A7,'库存（子SKU）'!AK:AK)</f>
        <v>7</v>
      </c>
      <c r="AJ7">
        <f>SUMIF('库存（子SKU）'!$C:$C,$A7,'库存（子SKU）'!AL:AL)</f>
        <v>3</v>
      </c>
      <c r="AK7">
        <f>SUMIF('库存（子SKU）'!$C:$C,$A7,'库存（子SKU）'!AM:AM)</f>
        <v>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3</v>
      </c>
      <c r="C8" s="5">
        <f>SUMIF('库存（子SKU）'!$C:$C,$A8,'库存（子SKU）'!E:E)</f>
        <v>2</v>
      </c>
      <c r="D8" s="5">
        <f>SUMIF('库存（子SKU）'!$C:$C,$A8,'库存（子SKU）'!F:F)</f>
        <v>2</v>
      </c>
      <c r="E8" s="5">
        <f>SUMIF('库存（子SKU）'!$C:$C,$A8,'库存（子SKU）'!G:G)</f>
        <v>0</v>
      </c>
      <c r="F8" s="6">
        <v>33.4185714285714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1</v>
      </c>
      <c r="M8">
        <f>SUMIF('库存（子SKU）'!$C:$C,$A8,'库存（子SKU）'!O:O)</f>
        <v>0</v>
      </c>
      <c r="N8">
        <f>SUMIF('库存（子SKU）'!$C:$C,$A8,'库存（子SKU）'!P:P)</f>
        <v>13795</v>
      </c>
      <c r="O8">
        <f>SUMIF('库存（子SKU）'!$C:$C,$A8,'库存（子SKU）'!Q:Q)</f>
        <v>4367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48</v>
      </c>
      <c r="S8">
        <f>SUMIF('库存（子SKU）'!$C:$C,$A8,'库存（子SKU）'!U:U)</f>
        <v>12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>
        <f t="shared" si="15"/>
        <v>0.0034795215657847</v>
      </c>
      <c r="W8" s="23">
        <f t="shared" si="16"/>
        <v>0.00274788184108083</v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21.08</v>
      </c>
      <c r="AA8">
        <f>SUMIF('库存（子SKU）'!$C:$C,$A8,'库存（子SKU）'!AC:AC)</f>
        <v>5.61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0.210262329186794</v>
      </c>
      <c r="AE8" s="23">
        <f t="shared" si="3"/>
        <v>0.0839353652802121</v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27</v>
      </c>
      <c r="AI8">
        <f>SUMIF('库存（子SKU）'!$C:$C,$A8,'库存（子SKU）'!AK:AK)</f>
        <v>42</v>
      </c>
      <c r="AJ8">
        <f>SUMIF('库存（子SKU）'!$C:$C,$A8,'库存（子SKU）'!AL:AL)</f>
        <v>24</v>
      </c>
      <c r="AK8">
        <f>SUMIF('库存（子SKU）'!$C:$C,$A8,'库存（子SKU）'!AM:AM)</f>
        <v>11</v>
      </c>
      <c r="AL8" s="23">
        <f t="shared" si="6"/>
        <v>0.111111111111111</v>
      </c>
      <c r="AM8" s="23">
        <f t="shared" si="7"/>
        <v>0.0476190476190476</v>
      </c>
      <c r="AN8" s="23">
        <f t="shared" si="8"/>
        <v>0.0833333333333333</v>
      </c>
      <c r="AO8" s="23">
        <f t="shared" si="9"/>
        <v>0</v>
      </c>
      <c r="AP8" s="7">
        <f t="shared" si="10"/>
        <v>0.428571428571429</v>
      </c>
      <c r="AQ8" s="7">
        <f t="shared" si="11"/>
        <v>25.7142857142857</v>
      </c>
      <c r="AR8" s="7">
        <f t="shared" si="12"/>
        <v>-20.7142857142857</v>
      </c>
      <c r="AS8">
        <f t="shared" si="13"/>
        <v>11</v>
      </c>
      <c r="AT8" s="2">
        <f>IFERROR($A$2+AS8,"上周无销量")</f>
        <v>43273</v>
      </c>
    </row>
    <row r="9" spans="1:46">
      <c r="A9" t="s">
        <v>91</v>
      </c>
      <c r="B9" s="5">
        <f>SUMIF('库存（子SKU）'!$C:$C,$A9,'库存（子SKU）'!D:D)</f>
        <v>5</v>
      </c>
      <c r="C9" s="5">
        <f>SUMIF('库存（子SKU）'!$C:$C,$A9,'库存（子SKU）'!E:E)</f>
        <v>8</v>
      </c>
      <c r="D9" s="5">
        <f>SUMIF('库存（子SKU）'!$C:$C,$A9,'库存（子SKU）'!F:F)</f>
        <v>1</v>
      </c>
      <c r="E9" s="5">
        <f>SUMIF('库存（子SKU）'!$C:$C,$A9,'库存（子SKU）'!G:G)</f>
        <v>2</v>
      </c>
      <c r="F9" s="6">
        <v>29.99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2</v>
      </c>
      <c r="M9">
        <f>SUMIF('库存（子SKU）'!$C:$C,$A9,'库存（子SKU）'!O:O)</f>
        <v>0</v>
      </c>
      <c r="N9">
        <f>SUMIF('库存（子SKU）'!$C:$C,$A9,'库存（子SKU）'!P:P)</f>
        <v>5055</v>
      </c>
      <c r="O9">
        <f>SUMIF('库存（子SKU）'!$C:$C,$A9,'库存（子SKU）'!Q:Q)</f>
        <v>29825</v>
      </c>
      <c r="P9">
        <f>SUMIF('库存（子SKU）'!$C:$C,$A9,'库存（子SKU）'!R:R)</f>
        <v>32643</v>
      </c>
      <c r="Q9">
        <f>SUMIF('库存（子SKU）'!$C:$C,$A9,'库存（子SKU）'!S:S)</f>
        <v>17110</v>
      </c>
      <c r="R9">
        <f>SUMIF('库存（子SKU）'!$C:$C,$A9,'库存（子SKU）'!T:T)</f>
        <v>17</v>
      </c>
      <c r="S9">
        <f>SUMIF('库存（子SKU）'!$C:$C,$A9,'库存（子SKU）'!U:U)</f>
        <v>63</v>
      </c>
      <c r="T9">
        <f>SUMIF('库存（子SKU）'!$C:$C,$A9,'库存（子SKU）'!V:V)</f>
        <v>79</v>
      </c>
      <c r="U9">
        <f>SUMIF('库存（子SKU）'!$C:$C,$A9,'库存（子SKU）'!W:W)</f>
        <v>52</v>
      </c>
      <c r="V9" s="23">
        <f t="shared" si="15"/>
        <v>0.00336300692383778</v>
      </c>
      <c r="W9" s="23">
        <f t="shared" si="16"/>
        <v>0.00211232187761945</v>
      </c>
      <c r="X9" s="23">
        <f t="shared" si="17"/>
        <v>0.00242012069969059</v>
      </c>
      <c r="Y9" s="23">
        <f t="shared" si="18"/>
        <v>0.00303915838690824</v>
      </c>
      <c r="Z9">
        <f>SUMIF('库存（子SKU）'!$C:$C,$A9,'库存（子SKU）'!AB:AB)</f>
        <v>7.38</v>
      </c>
      <c r="AA9">
        <f>SUMIF('库存（子SKU）'!$C:$C,$A9,'库存（子SKU）'!AC:AC)</f>
        <v>31.19</v>
      </c>
      <c r="AB9">
        <f>SUMIF('库存（子SKU）'!$C:$C,$A9,'库存（子SKU）'!AD:AD)</f>
        <v>39.04</v>
      </c>
      <c r="AC9">
        <f>SUMIF('库存（子SKU）'!$C:$C,$A9,'库存（子SKU）'!AE:AE)</f>
        <v>27.58</v>
      </c>
      <c r="AD9" s="23">
        <f t="shared" si="2"/>
        <v>0.0492164054684895</v>
      </c>
      <c r="AE9" s="23">
        <f t="shared" si="3"/>
        <v>0.130001667222407</v>
      </c>
      <c r="AF9" s="23">
        <f t="shared" si="4"/>
        <v>1.30176725575192</v>
      </c>
      <c r="AG9" s="23">
        <f t="shared" si="5"/>
        <v>0.459819939979993</v>
      </c>
      <c r="AH9">
        <f>SUMIF('库存（子SKU）'!$C:$C,$A9,'库存（子SKU）'!AJ:AJ)</f>
        <v>35</v>
      </c>
      <c r="AI9">
        <f>SUMIF('库存（子SKU）'!$C:$C,$A9,'库存（子SKU）'!AK:AK)</f>
        <v>115</v>
      </c>
      <c r="AJ9">
        <f>SUMIF('库存（子SKU）'!$C:$C,$A9,'库存（子SKU）'!AL:AL)</f>
        <v>77</v>
      </c>
      <c r="AK9">
        <f>SUMIF('库存（子SKU）'!$C:$C,$A9,'库存（子SKU）'!AM:AM)</f>
        <v>61</v>
      </c>
      <c r="AL9" s="23">
        <f t="shared" si="6"/>
        <v>0.142857142857143</v>
      </c>
      <c r="AM9" s="23">
        <f t="shared" si="7"/>
        <v>0.0695652173913043</v>
      </c>
      <c r="AN9" s="23">
        <f t="shared" si="8"/>
        <v>0.012987012987013</v>
      </c>
      <c r="AO9" s="23">
        <f t="shared" si="9"/>
        <v>0.0327868852459016</v>
      </c>
      <c r="AP9" s="7">
        <f t="shared" si="10"/>
        <v>0.714285714285714</v>
      </c>
      <c r="AQ9" s="7">
        <f t="shared" si="11"/>
        <v>42.8571428571429</v>
      </c>
      <c r="AR9" s="7">
        <f t="shared" si="12"/>
        <v>-42.8571428571429</v>
      </c>
      <c r="AS9">
        <f t="shared" si="13"/>
        <v>0</v>
      </c>
      <c r="AT9" s="2">
        <f>IFERROR($A$2+AS9,"上周无销量")</f>
        <v>43262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20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20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4858</v>
      </c>
      <c r="O10">
        <f>SUMIF('库存（子SKU）'!$C:$C,$A10,'库存（子SKU）'!Q:Q)</f>
        <v>1277</v>
      </c>
      <c r="P10">
        <f>SUMIF('库存（子SKU）'!$C:$C,$A10,'库存（子SKU）'!R:R)</f>
        <v>9960</v>
      </c>
      <c r="Q10">
        <f>SUMIF('库存（子SKU）'!$C:$C,$A10,'库存（子SKU）'!S:S)</f>
        <v>21294</v>
      </c>
      <c r="R10">
        <f>SUMIF('库存（子SKU）'!$C:$C,$A10,'库存（子SKU）'!T:T)</f>
        <v>15</v>
      </c>
      <c r="S10">
        <f>SUMIF('库存（子SKU）'!$C:$C,$A10,'库存（子SKU）'!U:U)</f>
        <v>0</v>
      </c>
      <c r="T10">
        <f>SUMIF('库存（子SKU）'!$C:$C,$A10,'库存（子SKU）'!V:V)</f>
        <v>19</v>
      </c>
      <c r="U10">
        <f>SUMIF('库存（子SKU）'!$C:$C,$A10,'库存（子SKU）'!W:W)</f>
        <v>48</v>
      </c>
      <c r="V10" s="23">
        <f t="shared" si="15"/>
        <v>0.00308769040757513</v>
      </c>
      <c r="W10" s="23">
        <f t="shared" si="16"/>
        <v>0</v>
      </c>
      <c r="X10" s="23">
        <f t="shared" si="17"/>
        <v>0.00190763052208835</v>
      </c>
      <c r="Y10" s="23">
        <f t="shared" si="18"/>
        <v>0.00225415610030995</v>
      </c>
      <c r="Z10">
        <f>SUMIF('库存（子SKU）'!$C:$C,$A10,'库存（子SKU）'!AB:AB)</f>
        <v>15.28</v>
      </c>
      <c r="AA10">
        <f>SUMIF('库存（子SKU）'!$C:$C,$A10,'库存（子SKU）'!AC:AC)</f>
        <v>0</v>
      </c>
      <c r="AB10">
        <f>SUMIF('库存（子SKU）'!$C:$C,$A10,'库存（子SKU）'!AD:AD)</f>
        <v>8.82</v>
      </c>
      <c r="AC10">
        <f>SUMIF('库存（子SKU）'!$C:$C,$A10,'库存（子SKU）'!AE:AE)</f>
        <v>22.13</v>
      </c>
      <c r="AD10" s="23" t="str">
        <f t="shared" si="2"/>
        <v>无销量广告费为15.28</v>
      </c>
      <c r="AE10" s="23" t="str">
        <f t="shared" si="3"/>
        <v/>
      </c>
      <c r="AF10" s="23" t="str">
        <f t="shared" si="4"/>
        <v>无销量广告费为8.82</v>
      </c>
      <c r="AG10" s="23" t="str">
        <f t="shared" si="5"/>
        <v>无销量广告费为22.13</v>
      </c>
      <c r="AH10">
        <f>SUMIF('库存（子SKU）'!$C:$C,$A10,'库存（子SKU）'!AJ:AJ)</f>
        <v>2</v>
      </c>
      <c r="AI10">
        <f>SUMIF('库存（子SKU）'!$C:$C,$A10,'库存（子SKU）'!AK:AK)</f>
        <v>2</v>
      </c>
      <c r="AJ10">
        <f>SUMIF('库存（子SKU）'!$C:$C,$A10,'库存（子SKU）'!AL:AL)</f>
        <v>3</v>
      </c>
      <c r="AK10">
        <f>SUMIF('库存（子SKU）'!$C:$C,$A10,'库存（子SKU）'!AM:AM)</f>
        <v>25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20</v>
      </c>
      <c r="AS10" t="str">
        <f t="shared" si="13"/>
        <v>库存为20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0</v>
      </c>
      <c r="F14" s="6">
        <v>20.99</v>
      </c>
      <c r="G14">
        <f>SUMIF('库存（子SKU）'!$C:$C,$A14,'库存（子SKU）'!I:I)</f>
        <v>13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13</v>
      </c>
      <c r="L14">
        <f>SUMIF('库存（子SKU）'!$C:$C,$A14,'库存（子SKU）'!N:N)</f>
        <v>0</v>
      </c>
      <c r="M14">
        <f>SUMIF('库存（子SKU）'!$C:$C,$A14,'库存（子SKU）'!O:O)</f>
        <v>14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3</v>
      </c>
      <c r="AJ14">
        <f>SUMIF('库存（子SKU）'!$C:$C,$A14,'库存（子SKU）'!AL:AL)</f>
        <v>7</v>
      </c>
      <c r="AK14">
        <f>SUMIF('库存（子SKU）'!$C:$C,$A14,'库存（子SKU）'!AM:AM)</f>
        <v>2</v>
      </c>
      <c r="AL14" s="23">
        <f t="shared" si="6"/>
        <v>0</v>
      </c>
      <c r="AM14" s="23">
        <f t="shared" si="7"/>
        <v>0</v>
      </c>
      <c r="AN14" s="23">
        <f t="shared" si="8"/>
        <v>0.142857142857143</v>
      </c>
      <c r="AO14" s="23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13</v>
      </c>
      <c r="AS14" t="str">
        <f t="shared" si="13"/>
        <v>库存为13</v>
      </c>
      <c r="AT14" s="2" t="str">
        <f>IFERROR($A$2+AS14,"上周无销量")</f>
        <v>上周无销量</v>
      </c>
    </row>
    <row r="15" spans="1:46">
      <c r="A15" t="s">
        <v>257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1</v>
      </c>
      <c r="E15" s="5">
        <f>SUMIF('库存（子SKU）'!$C:$C,$A15,'库存（子SKU）'!G:G)</f>
        <v>0</v>
      </c>
      <c r="F15" s="6">
        <v>25.99</v>
      </c>
      <c r="G15">
        <f>SUMIF('库存（子SKU）'!$C:$C,$A15,'库存（子SKU）'!I:I)</f>
        <v>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1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10</v>
      </c>
      <c r="AI15">
        <f>SUMIF('库存（子SKU）'!$C:$C,$A15,'库存（子SKU）'!AK:AK)</f>
        <v>2</v>
      </c>
      <c r="AJ15">
        <f>SUMIF('库存（子SKU）'!$C:$C,$A15,'库存（子SKU）'!AL:AL)</f>
        <v>3</v>
      </c>
      <c r="AK15">
        <f>SUMIF('库存（子SKU）'!$C:$C,$A15,'库存（子SKU）'!AM:AM)</f>
        <v>2</v>
      </c>
      <c r="AL15" s="23">
        <f t="shared" si="6"/>
        <v>0.1</v>
      </c>
      <c r="AM15" s="23">
        <f t="shared" si="7"/>
        <v>0</v>
      </c>
      <c r="AN15" s="23">
        <f t="shared" si="8"/>
        <v>0.333333333333333</v>
      </c>
      <c r="AO15" s="23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-7.57142857142857</v>
      </c>
      <c r="AS15">
        <f t="shared" si="13"/>
        <v>7</v>
      </c>
      <c r="AT15" s="2">
        <f>IFERROR($A$2+AS15,"上周无销量")</f>
        <v>43269</v>
      </c>
    </row>
    <row r="16" spans="1:46">
      <c r="A16" t="s">
        <v>262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2</v>
      </c>
      <c r="E16" s="5">
        <f>SUMIF('库存（子SKU）'!$C:$C,$A16,'库存（子SKU）'!G:G)</f>
        <v>0</v>
      </c>
      <c r="F16" s="6"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81</v>
      </c>
      <c r="P16">
        <f>SUMIF('库存（子SKU）'!$C:$C,$A16,'库存（子SKU）'!R:R)</f>
        <v>533</v>
      </c>
      <c r="Q16">
        <f>SUMIF('库存（子SKU）'!$C:$C,$A16,'库存（子SKU）'!S:S)</f>
        <v>536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1</v>
      </c>
      <c r="U16">
        <f>SUMIF('库存（子SKU）'!$C:$C,$A16,'库存（子SKU）'!W:W)</f>
        <v>2</v>
      </c>
      <c r="V16" s="23" t="str">
        <f t="shared" si="15"/>
        <v/>
      </c>
      <c r="W16" s="23">
        <f t="shared" si="16"/>
        <v>0</v>
      </c>
      <c r="X16" s="23">
        <f t="shared" si="17"/>
        <v>0.00187617260787992</v>
      </c>
      <c r="Y16" s="23">
        <f t="shared" si="18"/>
        <v>0.00373134328358209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0.31</v>
      </c>
      <c r="AC16">
        <f>SUMIF('库存（子SKU）'!$C:$C,$A16,'库存（子SKU）'!AE:AE)</f>
        <v>0.57</v>
      </c>
      <c r="AD16" s="23" t="str">
        <f t="shared" si="2"/>
        <v/>
      </c>
      <c r="AE16" s="23" t="str">
        <f t="shared" si="3"/>
        <v/>
      </c>
      <c r="AF16" s="23">
        <f t="shared" si="4"/>
        <v>0.00596383224317045</v>
      </c>
      <c r="AG16" s="23" t="str">
        <f t="shared" si="5"/>
        <v>无销量广告费为0.57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6</v>
      </c>
      <c r="AK16">
        <f>SUMIF('库存（子SKU）'!$C:$C,$A16,'库存（子SKU）'!AM:AM)</f>
        <v>3</v>
      </c>
      <c r="AL16" s="23" t="str">
        <f t="shared" si="6"/>
        <v/>
      </c>
      <c r="AM16" s="23" t="str">
        <f t="shared" si="7"/>
        <v/>
      </c>
      <c r="AN16" s="23">
        <f t="shared" si="8"/>
        <v>0.333333333333333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IFERROR($A$2+AS16,"上周无销量")</f>
        <v>上周无销量</v>
      </c>
    </row>
    <row r="17" spans="1:46">
      <c r="A17" t="s">
        <v>265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</v>
      </c>
      <c r="L17">
        <f>SUMIF('库存（子SKU）'!$C:$C,$A17,'库存（子SKU）'!N:N)</f>
        <v>0</v>
      </c>
      <c r="M17">
        <f>SUMIF('库存（子SKU）'!$C:$C,$A17,'库存（子SKU）'!O:O)</f>
        <v>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</v>
      </c>
      <c r="AI17">
        <f>SUMIF('库存（子SKU）'!$C:$C,$A17,'库存（子SKU）'!AK:AK)</f>
        <v>3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</v>
      </c>
      <c r="AN17" s="23" t="str">
        <f t="shared" si="8"/>
        <v/>
      </c>
      <c r="AO17" s="23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2</v>
      </c>
      <c r="AS17" t="str">
        <f t="shared" si="13"/>
        <v>库存为2</v>
      </c>
      <c r="AT17" s="2" t="str">
        <f>IFERROR($A$2+AS17,"上周无销量")</f>
        <v>上周无销量</v>
      </c>
    </row>
    <row r="18" spans="1:46">
      <c r="A18" t="s">
        <v>269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9</v>
      </c>
      <c r="L18">
        <f>SUMIF('库存（子SKU）'!$C:$C,$A18,'库存（子SKU）'!N:N)</f>
        <v>0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1</v>
      </c>
      <c r="AI18">
        <f>SUMIF('库存（子SKU）'!$C:$C,$A18,'库存（子SKU）'!AK:AK)</f>
        <v>3</v>
      </c>
      <c r="AJ18">
        <f>SUMIF('库存（子SKU）'!$C:$C,$A18,'库存（子SKU）'!AL:AL)</f>
        <v>0</v>
      </c>
      <c r="AK18">
        <f>SUMIF('库存（子SKU）'!$C:$C,$A18,'库存（子SKU）'!AM:AM)</f>
        <v>2</v>
      </c>
      <c r="AL18" s="23">
        <f t="shared" si="6"/>
        <v>0</v>
      </c>
      <c r="AM18" s="23">
        <f t="shared" si="7"/>
        <v>0</v>
      </c>
      <c r="AN18" s="23" t="str">
        <f t="shared" si="8"/>
        <v/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9</v>
      </c>
      <c r="AS18" t="str">
        <f t="shared" si="13"/>
        <v>库存为9</v>
      </c>
      <c r="AT18" s="2" t="str">
        <f>IFERROR($A$2+AS18,"上周无销量")</f>
        <v>上周无销量</v>
      </c>
    </row>
    <row r="19" spans="1:46">
      <c r="A19" t="s">
        <v>276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301</v>
      </c>
      <c r="B20" s="5">
        <f>SUMIF('库存（子SKU）'!$C:$C,$A20,'库存（子SKU）'!D:D)</f>
        <v>2</v>
      </c>
      <c r="C20" s="5">
        <f>SUMIF('库存（子SKU）'!$C:$C,$A20,'库存（子SKU）'!E:E)</f>
        <v>2</v>
      </c>
      <c r="D20" s="5">
        <f>SUMIF('库存（子SKU）'!$C:$C,$A20,'库存（子SKU）'!F:F)</f>
        <v>2</v>
      </c>
      <c r="E20" s="5">
        <f>SUMIF('库存（子SKU）'!$C:$C,$A20,'库存（子SKU）'!G:G)</f>
        <v>3</v>
      </c>
      <c r="F20" s="6">
        <v>11.2022222222222</v>
      </c>
      <c r="G20">
        <f>SUMIF('库存（子SKU）'!$C:$C,$A20,'库存（子SKU）'!I:I)</f>
        <v>36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36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169</v>
      </c>
      <c r="O20">
        <f>SUMIF('库存（子SKU）'!$C:$C,$A20,'库存（子SKU）'!Q:Q)</f>
        <v>200</v>
      </c>
      <c r="P20">
        <f>SUMIF('库存（子SKU）'!$C:$C,$A20,'库存（子SKU）'!R:R)</f>
        <v>324</v>
      </c>
      <c r="Q20">
        <f>SUMIF('库存（子SKU）'!$C:$C,$A20,'库存（子SKU）'!S:S)</f>
        <v>0</v>
      </c>
      <c r="R20">
        <f>SUMIF('库存（子SKU）'!$C:$C,$A20,'库存（子SKU）'!T:T)</f>
        <v>2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>
        <f t="shared" si="15"/>
        <v>0.0118343195266272</v>
      </c>
      <c r="W20" s="23">
        <f t="shared" si="16"/>
        <v>0</v>
      </c>
      <c r="X20" s="23">
        <f t="shared" si="17"/>
        <v>0</v>
      </c>
      <c r="Y20" s="23" t="str">
        <f t="shared" si="18"/>
        <v/>
      </c>
      <c r="Z20">
        <f>SUMIF('库存（子SKU）'!$C:$C,$A20,'库存（子SKU）'!AB:AB)</f>
        <v>0.69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0.0307974608212657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42</v>
      </c>
      <c r="AI20">
        <f>SUMIF('库存（子SKU）'!$C:$C,$A20,'库存（子SKU）'!AK:AK)</f>
        <v>25</v>
      </c>
      <c r="AJ20">
        <f>SUMIF('库存（子SKU）'!$C:$C,$A20,'库存（子SKU）'!AL:AL)</f>
        <v>32</v>
      </c>
      <c r="AK20">
        <f>SUMIF('库存（子SKU）'!$C:$C,$A20,'库存（子SKU）'!AM:AM)</f>
        <v>13</v>
      </c>
      <c r="AL20" s="23">
        <f t="shared" si="6"/>
        <v>0.0476190476190476</v>
      </c>
      <c r="AM20" s="23">
        <f t="shared" si="7"/>
        <v>0.08</v>
      </c>
      <c r="AN20" s="23">
        <f t="shared" si="8"/>
        <v>0.0625</v>
      </c>
      <c r="AO20" s="23">
        <f t="shared" si="9"/>
        <v>0.230769230769231</v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18.8571428571429</v>
      </c>
      <c r="AS20">
        <f t="shared" si="13"/>
        <v>126</v>
      </c>
      <c r="AT20" s="2">
        <f>IFERROR($A$2+AS20,"上周无销量")</f>
        <v>43388</v>
      </c>
    </row>
    <row r="21" spans="1:46">
      <c r="A21" t="s">
        <v>312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1</v>
      </c>
      <c r="F21" s="6">
        <v>36.99</v>
      </c>
      <c r="G21">
        <f>SUMIF('库存（子SKU）'!$C:$C,$A21,'库存（子SKU）'!I:I)</f>
        <v>13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13</v>
      </c>
      <c r="L21">
        <f>SUMIF('库存（子SKU）'!$C:$C,$A21,'库存（子SKU）'!N:N)</f>
        <v>0</v>
      </c>
      <c r="M21">
        <f>SUMIF('库存（子SKU）'!$C:$C,$A21,'库存（子SKU）'!O:O)</f>
        <v>13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9</v>
      </c>
      <c r="AI21">
        <f>SUMIF('库存（子SKU）'!$C:$C,$A21,'库存（子SKU）'!AK:AK)</f>
        <v>12</v>
      </c>
      <c r="AJ21">
        <f>SUMIF('库存（子SKU）'!$C:$C,$A21,'库存（子SKU）'!AL:AL)</f>
        <v>12</v>
      </c>
      <c r="AK21">
        <f>SUMIF('库存（子SKU）'!$C:$C,$A21,'库存（子SKU）'!AM:AM)</f>
        <v>10</v>
      </c>
      <c r="AL21" s="23">
        <f t="shared" si="6"/>
        <v>0</v>
      </c>
      <c r="AM21" s="23">
        <f t="shared" si="7"/>
        <v>0</v>
      </c>
      <c r="AN21" s="23">
        <f t="shared" si="8"/>
        <v>0.0833333333333333</v>
      </c>
      <c r="AO21" s="23">
        <f t="shared" si="9"/>
        <v>0.1</v>
      </c>
      <c r="AP21" s="7">
        <f t="shared" si="10"/>
        <v>0</v>
      </c>
      <c r="AQ21" s="7">
        <f t="shared" si="11"/>
        <v>0</v>
      </c>
      <c r="AR21" s="7">
        <f t="shared" si="12"/>
        <v>13</v>
      </c>
      <c r="AS21" t="str">
        <f t="shared" si="13"/>
        <v>库存为13</v>
      </c>
      <c r="AT21" s="2" t="str">
        <f>IFERROR($A$2+AS21,"上周无销量")</f>
        <v>上周无销量</v>
      </c>
    </row>
    <row r="22" spans="1:46">
      <c r="A22" t="s">
        <v>316</v>
      </c>
      <c r="B22" s="5">
        <f>SUMIF('库存（子SKU）'!$C:$C,$A22,'库存（子SKU）'!D:D)</f>
        <v>2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12</v>
      </c>
      <c r="G22">
        <f>SUMIF('库存（子SKU）'!$C:$C,$A22,'库存（子SKU）'!I:I)</f>
        <v>70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70</v>
      </c>
      <c r="L22">
        <f>SUMIF('库存（子SKU）'!$C:$C,$A22,'库存（子SKU）'!N:N)</f>
        <v>0</v>
      </c>
      <c r="M22">
        <f>SUMIF('库存（子SKU）'!$C:$C,$A22,'库存（子SKU）'!O:O)</f>
        <v>68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48</v>
      </c>
      <c r="AI22">
        <f>SUMIF('库存（子SKU）'!$C:$C,$A22,'库存（子SKU）'!AK:AK)</f>
        <v>44</v>
      </c>
      <c r="AJ22">
        <f>SUMIF('库存（子SKU）'!$C:$C,$A22,'库存（子SKU）'!AL:AL)</f>
        <v>16</v>
      </c>
      <c r="AK22">
        <f>SUMIF('库存（子SKU）'!$C:$C,$A22,'库存（子SKU）'!AM:AM)</f>
        <v>14</v>
      </c>
      <c r="AL22" s="23">
        <f t="shared" si="6"/>
        <v>0.0416666666666667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52.8571428571429</v>
      </c>
      <c r="AS22">
        <f t="shared" si="13"/>
        <v>245</v>
      </c>
      <c r="AT22" s="2">
        <f>IFERROR($A$2+AS22,"上周无销量")</f>
        <v>43507</v>
      </c>
    </row>
    <row r="23" spans="1:46">
      <c r="A23" t="s">
        <v>375</v>
      </c>
      <c r="B23" s="5">
        <f>SUMIF('库存（子SKU）'!$C:$C,$A23,'库存（子SKU）'!D:D)</f>
        <v>2</v>
      </c>
      <c r="C23" s="5">
        <f>SUMIF('库存（子SKU）'!$C:$C,$A23,'库存（子SKU）'!E:E)</f>
        <v>4</v>
      </c>
      <c r="D23" s="5">
        <f>SUMIF('库存（子SKU）'!$C:$C,$A23,'库存（子SKU）'!F:F)</f>
        <v>2</v>
      </c>
      <c r="E23" s="5">
        <f>SUMIF('库存（子SKU）'!$C:$C,$A23,'库存（子SKU）'!G:G)</f>
        <v>3</v>
      </c>
      <c r="F23" s="6">
        <v>17.9290909090909</v>
      </c>
      <c r="G23">
        <f>SUMIF('库存（子SKU）'!$C:$C,$A23,'库存（子SKU）'!I:I)</f>
        <v>59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59</v>
      </c>
      <c r="L23">
        <f>SUMIF('库存（子SKU）'!$C:$C,$A23,'库存（子SKU）'!N:N)</f>
        <v>2</v>
      </c>
      <c r="M23">
        <f>SUMIF('库存（子SKU）'!$C:$C,$A23,'库存（子SKU）'!O:O)</f>
        <v>3</v>
      </c>
      <c r="N23">
        <f>SUMIF('库存（子SKU）'!$C:$C,$A23,'库存（子SKU）'!P:P)</f>
        <v>25756</v>
      </c>
      <c r="O23">
        <f>SUMIF('库存（子SKU）'!$C:$C,$A23,'库存（子SKU）'!Q:Q)</f>
        <v>2677</v>
      </c>
      <c r="P23">
        <f>SUMIF('库存（子SKU）'!$C:$C,$A23,'库存（子SKU）'!R:R)</f>
        <v>492</v>
      </c>
      <c r="Q23">
        <f>SUMIF('库存（子SKU）'!$C:$C,$A23,'库存（子SKU）'!S:S)</f>
        <v>1001</v>
      </c>
      <c r="R23">
        <f>SUMIF('库存（子SKU）'!$C:$C,$A23,'库存（子SKU）'!T:T)</f>
        <v>22</v>
      </c>
      <c r="S23">
        <f>SUMIF('库存（子SKU）'!$C:$C,$A23,'库存（子SKU）'!U:U)</f>
        <v>11</v>
      </c>
      <c r="T23">
        <f>SUMIF('库存（子SKU）'!$C:$C,$A23,'库存（子SKU）'!V:V)</f>
        <v>1</v>
      </c>
      <c r="U23">
        <f>SUMIF('库存（子SKU）'!$C:$C,$A23,'库存（子SKU）'!W:W)</f>
        <v>8</v>
      </c>
      <c r="V23" s="23">
        <f t="shared" si="15"/>
        <v>0.00085416990215872</v>
      </c>
      <c r="W23" s="23">
        <f t="shared" si="16"/>
        <v>0.00410907732536421</v>
      </c>
      <c r="X23" s="23">
        <f t="shared" si="17"/>
        <v>0.00203252032520325</v>
      </c>
      <c r="Y23" s="23">
        <f t="shared" si="18"/>
        <v>0.00799200799200799</v>
      </c>
      <c r="Z23">
        <f>SUMIF('库存（子SKU）'!$C:$C,$A23,'库存（子SKU）'!AB:AB)</f>
        <v>16.07</v>
      </c>
      <c r="AA23">
        <f>SUMIF('库存（子SKU）'!$C:$C,$A23,'库存（子SKU）'!AC:AC)</f>
        <v>7.3</v>
      </c>
      <c r="AB23">
        <f>SUMIF('库存（子SKU）'!$C:$C,$A23,'库存（子SKU）'!AD:AD)</f>
        <v>0.58</v>
      </c>
      <c r="AC23">
        <f>SUMIF('库存（子SKU）'!$C:$C,$A23,'库存（子SKU）'!AE:AE)</f>
        <v>4.86</v>
      </c>
      <c r="AD23" s="23">
        <f t="shared" si="2"/>
        <v>0.448154345401075</v>
      </c>
      <c r="AE23" s="23">
        <f t="shared" si="3"/>
        <v>0.101789879322584</v>
      </c>
      <c r="AF23" s="23">
        <f t="shared" si="4"/>
        <v>0.0161748301389312</v>
      </c>
      <c r="AG23" s="23">
        <f t="shared" si="5"/>
        <v>0.0903559476726499</v>
      </c>
      <c r="AH23">
        <f>SUMIF('库存（子SKU）'!$C:$C,$A23,'库存（子SKU）'!AJ:AJ)</f>
        <v>42</v>
      </c>
      <c r="AI23">
        <f>SUMIF('库存（子SKU）'!$C:$C,$A23,'库存（子SKU）'!AK:AK)</f>
        <v>23</v>
      </c>
      <c r="AJ23">
        <f>SUMIF('库存（子SKU）'!$C:$C,$A23,'库存（子SKU）'!AL:AL)</f>
        <v>14</v>
      </c>
      <c r="AK23">
        <f>SUMIF('库存（子SKU）'!$C:$C,$A23,'库存（子SKU）'!AM:AM)</f>
        <v>22</v>
      </c>
      <c r="AL23" s="23">
        <f t="shared" si="6"/>
        <v>0.0476190476190476</v>
      </c>
      <c r="AM23" s="23">
        <f t="shared" si="7"/>
        <v>0.173913043478261</v>
      </c>
      <c r="AN23" s="23">
        <f t="shared" si="8"/>
        <v>0.142857142857143</v>
      </c>
      <c r="AO23" s="23">
        <f t="shared" si="9"/>
        <v>0.136363636363636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41.8571428571429</v>
      </c>
      <c r="AS23">
        <f t="shared" si="13"/>
        <v>206</v>
      </c>
      <c r="AT23" s="2">
        <f>IFERROR($A$2+AS23,"上周无销量")</f>
        <v>43468</v>
      </c>
    </row>
    <row r="24" spans="1:46">
      <c r="A24" t="s">
        <v>388</v>
      </c>
      <c r="B24" s="5">
        <f>SUMIF('库存（子SKU）'!$C:$C,$A24,'库存（子SKU）'!D:D)</f>
        <v>6</v>
      </c>
      <c r="C24" s="5">
        <f>SUMIF('库存（子SKU）'!$C:$C,$A24,'库存（子SKU）'!E:E)</f>
        <v>5</v>
      </c>
      <c r="D24" s="5">
        <f>SUMIF('库存（子SKU）'!$C:$C,$A24,'库存（子SKU）'!F:F)</f>
        <v>3</v>
      </c>
      <c r="E24" s="5">
        <f>SUMIF('库存（子SKU）'!$C:$C,$A24,'库存（子SKU）'!G:G)</f>
        <v>3</v>
      </c>
      <c r="F24" s="6">
        <v>12</v>
      </c>
      <c r="G24">
        <f>SUMIF('库存（子SKU）'!$C:$C,$A24,'库存（子SKU）'!I:I)</f>
        <v>85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85</v>
      </c>
      <c r="L24">
        <f>SUMIF('库存（子SKU）'!$C:$C,$A24,'库存（子SKU）'!N:N)</f>
        <v>0</v>
      </c>
      <c r="M24">
        <f>SUMIF('库存（子SKU）'!$C:$C,$A24,'库存（子SKU）'!O:O)</f>
        <v>79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>
        <f t="shared" si="3"/>
        <v>0</v>
      </c>
      <c r="AF24" s="23">
        <f t="shared" si="4"/>
        <v>0</v>
      </c>
      <c r="AG24" s="23">
        <f t="shared" si="5"/>
        <v>0</v>
      </c>
      <c r="AH24">
        <f>SUMIF('库存（子SKU）'!$C:$C,$A24,'库存（子SKU）'!AJ:AJ)</f>
        <v>17</v>
      </c>
      <c r="AI24">
        <f>SUMIF('库存（子SKU）'!$C:$C,$A24,'库存（子SKU）'!AK:AK)</f>
        <v>59</v>
      </c>
      <c r="AJ24">
        <f>SUMIF('库存（子SKU）'!$C:$C,$A24,'库存（子SKU）'!AL:AL)</f>
        <v>25</v>
      </c>
      <c r="AK24">
        <f>SUMIF('库存（子SKU）'!$C:$C,$A24,'库存（子SKU）'!AM:AM)</f>
        <v>19</v>
      </c>
      <c r="AL24" s="23">
        <f t="shared" si="6"/>
        <v>0.352941176470588</v>
      </c>
      <c r="AM24" s="23">
        <f t="shared" si="7"/>
        <v>0.0847457627118644</v>
      </c>
      <c r="AN24" s="23">
        <f t="shared" si="8"/>
        <v>0.12</v>
      </c>
      <c r="AO24" s="23">
        <f t="shared" si="9"/>
        <v>0.157894736842105</v>
      </c>
      <c r="AP24" s="7">
        <f t="shared" si="10"/>
        <v>0.857142857142857</v>
      </c>
      <c r="AQ24" s="7">
        <f t="shared" si="11"/>
        <v>51.4285714285714</v>
      </c>
      <c r="AR24" s="7">
        <f t="shared" si="12"/>
        <v>33.5714285714286</v>
      </c>
      <c r="AS24">
        <f t="shared" si="13"/>
        <v>99</v>
      </c>
      <c r="AT24" s="2">
        <f>IFERROR($A$2+AS24,"上周无销量")</f>
        <v>43361</v>
      </c>
    </row>
    <row r="25" spans="1:46">
      <c r="A25" t="s">
        <v>439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11.99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266</v>
      </c>
      <c r="O25">
        <f>SUMIF('库存（子SKU）'!$C:$C,$A25,'库存（子SKU）'!Q:Q)</f>
        <v>504</v>
      </c>
      <c r="P25">
        <f>SUMIF('库存（子SKU）'!$C:$C,$A25,'库存（子SKU）'!R:R)</f>
        <v>1054</v>
      </c>
      <c r="Q25">
        <f>SUMIF('库存（子SKU）'!$C:$C,$A25,'库存（子SKU）'!S:S)</f>
        <v>1009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2</v>
      </c>
      <c r="U25">
        <f>SUMIF('库存（子SKU）'!$C:$C,$A25,'库存（子SKU）'!W:W)</f>
        <v>0</v>
      </c>
      <c r="V25" s="23">
        <f t="shared" si="15"/>
        <v>0</v>
      </c>
      <c r="W25" s="23">
        <f t="shared" si="16"/>
        <v>0</v>
      </c>
      <c r="X25" s="23">
        <f t="shared" si="17"/>
        <v>0.00189753320683112</v>
      </c>
      <c r="Y25" s="23">
        <f t="shared" si="18"/>
        <v>0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0.85</v>
      </c>
      <c r="AC25">
        <f>SUMIF('库存（子SKU）'!$C:$C,$A25,'库存（子SKU）'!AE:AE)</f>
        <v>0</v>
      </c>
      <c r="AD25" s="23" t="str">
        <f t="shared" si="2"/>
        <v/>
      </c>
      <c r="AE25" s="23">
        <f t="shared" si="3"/>
        <v>0</v>
      </c>
      <c r="AF25" s="23" t="str">
        <f t="shared" si="4"/>
        <v>无销量广告费为0.85</v>
      </c>
      <c r="AG25" s="23" t="str">
        <f t="shared" si="5"/>
        <v/>
      </c>
      <c r="AH25">
        <f>SUMIF('库存（子SKU）'!$C:$C,$A25,'库存（子SKU）'!AJ:AJ)</f>
        <v>21</v>
      </c>
      <c r="AI25">
        <f>SUMIF('库存（子SKU）'!$C:$C,$A25,'库存（子SKU）'!AK:AK)</f>
        <v>9</v>
      </c>
      <c r="AJ25">
        <f>SUMIF('库存（子SKU）'!$C:$C,$A25,'库存（子SKU）'!AL:AL)</f>
        <v>5</v>
      </c>
      <c r="AK25">
        <f>SUMIF('库存（子SKU）'!$C:$C,$A25,'库存（子SKU）'!AM:AM)</f>
        <v>16</v>
      </c>
      <c r="AL25" s="23">
        <f t="shared" si="6"/>
        <v>0</v>
      </c>
      <c r="AM25" s="23">
        <f t="shared" si="7"/>
        <v>0.111111111111111</v>
      </c>
      <c r="AN25" s="23">
        <f t="shared" si="8"/>
        <v>0</v>
      </c>
      <c r="AO25" s="23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IFERROR($A$2+AS25,"上周无销量")</f>
        <v>上周无销量</v>
      </c>
    </row>
    <row r="26" spans="1:46">
      <c r="A26" t="s">
        <v>452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IFERROR($A$2+AS26,"上周无销量")</f>
        <v>上周无销量</v>
      </c>
    </row>
    <row r="27" spans="1:46">
      <c r="A27" t="s">
        <v>501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IFERROR($A$2+AS27,"上周无销量")</f>
        <v>上周无销量</v>
      </c>
    </row>
    <row r="28" spans="1:46">
      <c r="A28" t="s">
        <v>512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523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544</v>
      </c>
      <c r="B30" s="5">
        <f>SUMIF('库存（子SKU）'!$C:$C,$A30,'库存（子SKU）'!D:D)</f>
        <v>1</v>
      </c>
      <c r="C30" s="5">
        <f>SUMIF('库存（子SKU）'!$C:$C,$A30,'库存（子SKU）'!E:E)</f>
        <v>2</v>
      </c>
      <c r="D30" s="5">
        <f>SUMIF('库存（子SKU）'!$C:$C,$A30,'库存（子SKU）'!F:F)</f>
        <v>1</v>
      </c>
      <c r="E30" s="5">
        <f>SUMIF('库存（子SKU）'!$C:$C,$A30,'库存（子SKU）'!G:G)</f>
        <v>5</v>
      </c>
      <c r="F30" s="6">
        <v>10.98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5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16</v>
      </c>
      <c r="AI30">
        <f>SUMIF('库存（子SKU）'!$C:$C,$A30,'库存（子SKU）'!AK:AK)</f>
        <v>26</v>
      </c>
      <c r="AJ30">
        <f>SUMIF('库存（子SKU）'!$C:$C,$A30,'库存（子SKU）'!AL:AL)</f>
        <v>55</v>
      </c>
      <c r="AK30">
        <f>SUMIF('库存（子SKU）'!$C:$C,$A30,'库存（子SKU）'!AM:AM)</f>
        <v>28</v>
      </c>
      <c r="AL30" s="23">
        <f t="shared" si="6"/>
        <v>0.0625</v>
      </c>
      <c r="AM30" s="23">
        <f t="shared" si="7"/>
        <v>0.0769230769230769</v>
      </c>
      <c r="AN30" s="23">
        <f t="shared" si="8"/>
        <v>0.0181818181818182</v>
      </c>
      <c r="AO30" s="23">
        <f t="shared" si="9"/>
        <v>0.178571428571429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-8.57142857142857</v>
      </c>
      <c r="AS30">
        <f t="shared" si="13"/>
        <v>0</v>
      </c>
      <c r="AT30" s="2">
        <f>IFERROR($A$2+AS30,"上周无销量")</f>
        <v>43262</v>
      </c>
    </row>
    <row r="31" spans="1:46">
      <c r="A31" t="s">
        <v>567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598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24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24</v>
      </c>
      <c r="L32">
        <f>SUMIF('库存（子SKU）'!$C:$C,$A32,'库存（子SKU）'!N:N)</f>
        <v>0</v>
      </c>
      <c r="M32">
        <f>SUMIF('库存（子SKU）'!$C:$C,$A32,'库存（子SKU）'!O:O)</f>
        <v>23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9130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17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>
        <f t="shared" si="18"/>
        <v>0.00186199342825849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7.8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>无销量广告费为7.8</v>
      </c>
      <c r="AH32">
        <f>SUMIF('库存（子SKU）'!$C:$C,$A32,'库存（子SKU）'!AJ:AJ)</f>
        <v>21</v>
      </c>
      <c r="AI32">
        <f>SUMIF('库存（子SKU）'!$C:$C,$A32,'库存（子SKU）'!AK:AK)</f>
        <v>14</v>
      </c>
      <c r="AJ32">
        <f>SUMIF('库存（子SKU）'!$C:$C,$A32,'库存（子SKU）'!AL:AL)</f>
        <v>12</v>
      </c>
      <c r="AK32">
        <f>SUMIF('库存（子SKU）'!$C:$C,$A32,'库存（子SKU）'!AM:AM)</f>
        <v>6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24</v>
      </c>
      <c r="AS32" t="str">
        <f t="shared" si="13"/>
        <v>库存为24</v>
      </c>
      <c r="AT32" s="2" t="str">
        <f>IFERROR($A$2+AS32,"上周无销量")</f>
        <v>上周无销量</v>
      </c>
    </row>
    <row r="33" spans="1:46">
      <c r="A33" t="s">
        <v>613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7</v>
      </c>
      <c r="E33" s="5">
        <f>SUMIF('库存（子SKU）'!$C:$C,$A33,'库存（子SKU）'!G:G)</f>
        <v>5</v>
      </c>
      <c r="F33" s="6">
        <v>20</v>
      </c>
      <c r="G33">
        <f>SUMIF('库存（子SKU）'!$C:$C,$A33,'库存（子SKU）'!I:I)</f>
        <v>121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121</v>
      </c>
      <c r="L33">
        <f>SUMIF('库存（子SKU）'!$C:$C,$A33,'库存（子SKU）'!N:N)</f>
        <v>0</v>
      </c>
      <c r="M33">
        <f>SUMIF('库存（子SKU）'!$C:$C,$A33,'库存（子SKU）'!O:O)</f>
        <v>117</v>
      </c>
      <c r="N33">
        <f>SUMIF('库存（子SKU）'!$C:$C,$A33,'库存（子SKU）'!P:P)</f>
        <v>524</v>
      </c>
      <c r="O33">
        <f>SUMIF('库存（子SKU）'!$C:$C,$A33,'库存（子SKU）'!Q:Q)</f>
        <v>2099</v>
      </c>
      <c r="P33">
        <f>SUMIF('库存（子SKU）'!$C:$C,$A33,'库存（子SKU）'!R:R)</f>
        <v>73522</v>
      </c>
      <c r="Q33">
        <f>SUMIF('库存（子SKU）'!$C:$C,$A33,'库存（子SKU）'!S:S)</f>
        <v>21784</v>
      </c>
      <c r="R33">
        <f>SUMIF('库存（子SKU）'!$C:$C,$A33,'库存（子SKU）'!T:T)</f>
        <v>1</v>
      </c>
      <c r="S33">
        <f>SUMIF('库存（子SKU）'!$C:$C,$A33,'库存（子SKU）'!U:U)</f>
        <v>2</v>
      </c>
      <c r="T33">
        <f>SUMIF('库存（子SKU）'!$C:$C,$A33,'库存（子SKU）'!V:V)</f>
        <v>128</v>
      </c>
      <c r="U33">
        <f>SUMIF('库存（子SKU）'!$C:$C,$A33,'库存（子SKU）'!W:W)</f>
        <v>90</v>
      </c>
      <c r="V33" s="23">
        <f t="shared" si="15"/>
        <v>0.00190839694656489</v>
      </c>
      <c r="W33" s="23">
        <f t="shared" si="16"/>
        <v>0.000952834683182468</v>
      </c>
      <c r="X33" s="23">
        <f t="shared" si="17"/>
        <v>0.00174097549032943</v>
      </c>
      <c r="Y33" s="23">
        <f t="shared" si="18"/>
        <v>0.00413147264047007</v>
      </c>
      <c r="Z33">
        <f>SUMIF('库存（子SKU）'!$C:$C,$A33,'库存（子SKU）'!AB:AB)</f>
        <v>0.5</v>
      </c>
      <c r="AA33">
        <f>SUMIF('库存（子SKU）'!$C:$C,$A33,'库存（子SKU）'!AC:AC)</f>
        <v>0.27</v>
      </c>
      <c r="AB33">
        <f>SUMIF('库存（子SKU）'!$C:$C,$A33,'库存（子SKU）'!AD:AD)</f>
        <v>63.53</v>
      </c>
      <c r="AC33">
        <f>SUMIF('库存（子SKU）'!$C:$C,$A33,'库存（子SKU）'!AE:AE)</f>
        <v>46.39</v>
      </c>
      <c r="AD33" s="23" t="str">
        <f t="shared" si="2"/>
        <v>无销量广告费为0.5</v>
      </c>
      <c r="AE33" s="23">
        <f t="shared" si="3"/>
        <v>0.0135</v>
      </c>
      <c r="AF33" s="23">
        <f t="shared" si="4"/>
        <v>0.453785714285714</v>
      </c>
      <c r="AG33" s="23">
        <f t="shared" si="5"/>
        <v>0.4639</v>
      </c>
      <c r="AH33">
        <f>SUMIF('库存（子SKU）'!$C:$C,$A33,'库存（子SKU）'!AJ:AJ)</f>
        <v>66</v>
      </c>
      <c r="AI33">
        <f>SUMIF('库存（子SKU）'!$C:$C,$A33,'库存（子SKU）'!AK:AK)</f>
        <v>31</v>
      </c>
      <c r="AJ33">
        <f>SUMIF('库存（子SKU）'!$C:$C,$A33,'库存（子SKU）'!AL:AL)</f>
        <v>114</v>
      </c>
      <c r="AK33">
        <f>SUMIF('库存（子SKU）'!$C:$C,$A33,'库存（子SKU）'!AM:AM)</f>
        <v>47</v>
      </c>
      <c r="AL33" s="23">
        <f t="shared" si="6"/>
        <v>0</v>
      </c>
      <c r="AM33" s="23">
        <f t="shared" si="7"/>
        <v>0.032258064516129</v>
      </c>
      <c r="AN33" s="23">
        <f t="shared" si="8"/>
        <v>0.0614035087719298</v>
      </c>
      <c r="AO33" s="23">
        <f t="shared" si="9"/>
        <v>0.106382978723404</v>
      </c>
      <c r="AP33" s="7">
        <f t="shared" si="10"/>
        <v>0</v>
      </c>
      <c r="AQ33" s="7">
        <f t="shared" si="11"/>
        <v>0</v>
      </c>
      <c r="AR33" s="7">
        <f t="shared" si="12"/>
        <v>121</v>
      </c>
      <c r="AS33" t="str">
        <f t="shared" si="13"/>
        <v>库存为121</v>
      </c>
      <c r="AT33" s="2" t="str">
        <f>IFERROR($A$2+AS33,"上周无销量")</f>
        <v>上周无销量</v>
      </c>
    </row>
    <row r="34" spans="1:46">
      <c r="A34" t="s">
        <v>656</v>
      </c>
      <c r="B34" s="5">
        <f>SUMIF('库存（子SKU）'!$C:$C,$A34,'库存（子SKU）'!D:D)</f>
        <v>1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>
        <v>17.5</v>
      </c>
      <c r="G34">
        <f>SUMIF('库存（子SKU）'!$C:$C,$A34,'库存（子SKU）'!I:I)</f>
        <v>57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57</v>
      </c>
      <c r="L34">
        <f>SUMIF('库存（子SKU）'!$C:$C,$A34,'库存（子SKU）'!N:N)</f>
        <v>0</v>
      </c>
      <c r="M34">
        <f>SUMIF('库存（子SKU）'!$C:$C,$A34,'库存（子SKU）'!O:O)</f>
        <v>56</v>
      </c>
      <c r="N34">
        <f>SUMIF('库存（子SKU）'!$C:$C,$A34,'库存（子SKU）'!P:P)</f>
        <v>1085</v>
      </c>
      <c r="O34">
        <f>SUMIF('库存（子SKU）'!$C:$C,$A34,'库存（子SKU）'!Q:Q)</f>
        <v>33569</v>
      </c>
      <c r="P34">
        <f>SUMIF('库存（子SKU）'!$C:$C,$A34,'库存（子SKU）'!R:R)</f>
        <v>1267</v>
      </c>
      <c r="Q34">
        <f>SUMIF('库存（子SKU）'!$C:$C,$A34,'库存（子SKU）'!S:S)</f>
        <v>3493</v>
      </c>
      <c r="R34">
        <f>SUMIF('库存（子SKU）'!$C:$C,$A34,'库存（子SKU）'!T:T)</f>
        <v>3</v>
      </c>
      <c r="S34">
        <f>SUMIF('库存（子SKU）'!$C:$C,$A34,'库存（子SKU）'!U:U)</f>
        <v>42</v>
      </c>
      <c r="T34">
        <f>SUMIF('库存（子SKU）'!$C:$C,$A34,'库存（子SKU）'!V:V)</f>
        <v>3</v>
      </c>
      <c r="U34">
        <f>SUMIF('库存（子SKU）'!$C:$C,$A34,'库存（子SKU）'!W:W)</f>
        <v>10</v>
      </c>
      <c r="V34" s="23">
        <f t="shared" si="15"/>
        <v>0.00276497695852535</v>
      </c>
      <c r="W34" s="23">
        <f t="shared" si="16"/>
        <v>0.00125115433882451</v>
      </c>
      <c r="X34" s="23">
        <f t="shared" si="17"/>
        <v>0.00236779794790845</v>
      </c>
      <c r="Y34" s="23">
        <f t="shared" si="18"/>
        <v>0.00286286859433152</v>
      </c>
      <c r="Z34">
        <f>SUMIF('库存（子SKU）'!$C:$C,$A34,'库存（子SKU）'!AB:AB)</f>
        <v>0.82</v>
      </c>
      <c r="AA34">
        <f>SUMIF('库存（子SKU）'!$C:$C,$A34,'库存（子SKU）'!AC:AC)</f>
        <v>23.37</v>
      </c>
      <c r="AB34">
        <f>SUMIF('库存（子SKU）'!$C:$C,$A34,'库存（子SKU）'!AD:AD)</f>
        <v>1.16</v>
      </c>
      <c r="AC34">
        <f>SUMIF('库存（子SKU）'!$C:$C,$A34,'库存（子SKU）'!AE:AE)</f>
        <v>4.34</v>
      </c>
      <c r="AD34" s="23">
        <f t="shared" si="2"/>
        <v>0.0468571428571429</v>
      </c>
      <c r="AE34" s="23">
        <f t="shared" si="3"/>
        <v>1.33542857142857</v>
      </c>
      <c r="AF34" s="23" t="str">
        <f t="shared" si="4"/>
        <v>无销量广告费为1.16</v>
      </c>
      <c r="AG34" s="23" t="str">
        <f t="shared" si="5"/>
        <v>无销量广告费为4.34</v>
      </c>
      <c r="AH34">
        <f>SUMIF('库存（子SKU）'!$C:$C,$A34,'库存（子SKU）'!AJ:AJ)</f>
        <v>49</v>
      </c>
      <c r="AI34">
        <f>SUMIF('库存（子SKU）'!$C:$C,$A34,'库存（子SKU）'!AK:AK)</f>
        <v>60</v>
      </c>
      <c r="AJ34">
        <f>SUMIF('库存（子SKU）'!$C:$C,$A34,'库存（子SKU）'!AL:AL)</f>
        <v>11</v>
      </c>
      <c r="AK34">
        <f>SUMIF('库存（子SKU）'!$C:$C,$A34,'库存（子SKU）'!AM:AM)</f>
        <v>5</v>
      </c>
      <c r="AL34" s="23">
        <f t="shared" si="6"/>
        <v>0.0204081632653061</v>
      </c>
      <c r="AM34" s="23">
        <f t="shared" si="7"/>
        <v>0.0166666666666667</v>
      </c>
      <c r="AN34" s="23">
        <f t="shared" si="8"/>
        <v>0</v>
      </c>
      <c r="AO34" s="23">
        <f t="shared" si="9"/>
        <v>0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48.4285714285714</v>
      </c>
      <c r="AS34">
        <f t="shared" si="13"/>
        <v>399</v>
      </c>
      <c r="AT34" s="2">
        <f>IFERROR($A$2+AS34,"上周无销量")</f>
        <v>43661</v>
      </c>
    </row>
    <row r="35" spans="1:46">
      <c r="A35" t="s">
        <v>691</v>
      </c>
      <c r="B35" s="5">
        <f>SUMIF('库存（子SKU）'!$C:$C,$A35,'库存（子SKU）'!D:D)</f>
        <v>0</v>
      </c>
      <c r="C35" s="5">
        <f>SUMIF('库存（子SKU）'!$C:$C,$A35,'库存（子SKU）'!E:E)</f>
        <v>1</v>
      </c>
      <c r="D35" s="5">
        <f>SUMIF('库存（子SKU）'!$C:$C,$A35,'库存（子SKU）'!F:F)</f>
        <v>2</v>
      </c>
      <c r="E35" s="5">
        <f>SUMIF('库存（子SKU）'!$C:$C,$A35,'库存（子SKU）'!G:G)</f>
        <v>1</v>
      </c>
      <c r="F35" s="6">
        <v>15</v>
      </c>
      <c r="G35">
        <f>SUMIF('库存（子SKU）'!$C:$C,$A35,'库存（子SKU）'!I:I)</f>
        <v>20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19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4077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14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>
        <f t="shared" si="18"/>
        <v>0.00343389747363257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8.15</v>
      </c>
      <c r="AD35" s="23" t="str">
        <f t="shared" si="2"/>
        <v/>
      </c>
      <c r="AE35" s="23">
        <f t="shared" si="3"/>
        <v>0</v>
      </c>
      <c r="AF35" s="23">
        <f t="shared" si="4"/>
        <v>0</v>
      </c>
      <c r="AG35" s="23">
        <f t="shared" si="5"/>
        <v>0.543333333333333</v>
      </c>
      <c r="AH35">
        <f>SUMIF('库存（子SKU）'!$C:$C,$A35,'库存（子SKU）'!AJ:AJ)</f>
        <v>25</v>
      </c>
      <c r="AI35">
        <f>SUMIF('库存（子SKU）'!$C:$C,$A35,'库存（子SKU）'!AK:AK)</f>
        <v>30</v>
      </c>
      <c r="AJ35">
        <f>SUMIF('库存（子SKU）'!$C:$C,$A35,'库存（子SKU）'!AL:AL)</f>
        <v>5</v>
      </c>
      <c r="AK35">
        <f>SUMIF('库存（子SKU）'!$C:$C,$A35,'库存（子SKU）'!AM:AM)</f>
        <v>12</v>
      </c>
      <c r="AL35" s="23">
        <f t="shared" si="6"/>
        <v>0</v>
      </c>
      <c r="AM35" s="23">
        <f t="shared" si="7"/>
        <v>0.0333333333333333</v>
      </c>
      <c r="AN35" s="23">
        <f t="shared" si="8"/>
        <v>0.4</v>
      </c>
      <c r="AO35" s="23">
        <f t="shared" si="9"/>
        <v>0.0833333333333333</v>
      </c>
      <c r="AP35" s="7">
        <f t="shared" si="10"/>
        <v>0</v>
      </c>
      <c r="AQ35" s="7">
        <f t="shared" si="11"/>
        <v>0</v>
      </c>
      <c r="AR35" s="7">
        <f t="shared" si="12"/>
        <v>20</v>
      </c>
      <c r="AS35" t="str">
        <f t="shared" si="13"/>
        <v>库存为20</v>
      </c>
      <c r="AT35" s="2" t="str">
        <f>IFERROR($A$2+AS35,"上周无销量")</f>
        <v>上周无销量</v>
      </c>
    </row>
    <row r="36" spans="1:46">
      <c r="A36" t="s">
        <v>708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711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IFERROR($A$2+AS37,"上周无销量")</f>
        <v>上周无销量</v>
      </c>
    </row>
    <row r="38" spans="1:46">
      <c r="A38" t="s">
        <v>714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718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0</v>
      </c>
      <c r="F39" s="6">
        <v>18.76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2</v>
      </c>
      <c r="AK39">
        <f>SUMIF('库存（子SKU）'!$C:$C,$A39,'库存（子SKU）'!AM:AM)</f>
        <v>1</v>
      </c>
      <c r="AL39" s="23" t="str">
        <f t="shared" si="6"/>
        <v/>
      </c>
      <c r="AM39" s="23" t="str">
        <f t="shared" si="7"/>
        <v/>
      </c>
      <c r="AN39" s="23">
        <f t="shared" si="8"/>
        <v>0.5</v>
      </c>
      <c r="AO39" s="23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IFERROR($A$2+AS39,"上周无销量")</f>
        <v>上周无销量</v>
      </c>
    </row>
    <row r="40" spans="1:46">
      <c r="A40" t="s">
        <v>723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4</v>
      </c>
      <c r="AI40">
        <f>SUMIF('库存（子SKU）'!$C:$C,$A40,'库存（子SKU）'!AK:AK)</f>
        <v>6</v>
      </c>
      <c r="AJ40">
        <f>SUMIF('库存（子SKU）'!$C:$C,$A40,'库存（子SKU）'!AL:AL)</f>
        <v>3</v>
      </c>
      <c r="AK40">
        <f>SUMIF('库存（子SKU）'!$C:$C,$A40,'库存（子SKU）'!AM:AM)</f>
        <v>0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1</v>
      </c>
      <c r="AS40" t="str">
        <f t="shared" si="13"/>
        <v>库存为1</v>
      </c>
      <c r="AT40" s="2" t="str">
        <f>IFERROR($A$2+AS40,"上周无销量")</f>
        <v>上周无销量</v>
      </c>
    </row>
    <row r="41" spans="1:46">
      <c r="A41" t="s">
        <v>730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17</v>
      </c>
      <c r="L41">
        <f>SUMIF('库存（子SKU）'!$C:$C,$A41,'库存（子SKU）'!N:N)</f>
        <v>0</v>
      </c>
      <c r="M41">
        <f>SUMIF('库存（子SKU）'!$C:$C,$A41,'库存（子SKU）'!O:O)</f>
        <v>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13</v>
      </c>
      <c r="AJ41">
        <f>SUMIF('库存（子SKU）'!$C:$C,$A41,'库存（子SKU）'!AL:AL)</f>
        <v>10</v>
      </c>
      <c r="AK41">
        <f>SUMIF('库存（子SKU）'!$C:$C,$A41,'库存（子SKU）'!AM:AM)</f>
        <v>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17</v>
      </c>
      <c r="AS41" t="str">
        <f t="shared" si="13"/>
        <v>库存为17</v>
      </c>
      <c r="AT41" s="2" t="str">
        <f>IFERROR($A$2+AS41,"上周无销量")</f>
        <v>上周无销量</v>
      </c>
    </row>
    <row r="42" spans="1:46">
      <c r="A42" t="s">
        <v>745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1</v>
      </c>
      <c r="E42" s="5">
        <f>SUMIF('库存（子SKU）'!$C:$C,$A42,'库存（子SKU）'!G:G)</f>
        <v>1</v>
      </c>
      <c r="F42" s="6">
        <v>15.6466666666667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27</v>
      </c>
      <c r="L42">
        <f>SUMIF('库存（子SKU）'!$C:$C,$A42,'库存（子SKU）'!N:N)</f>
        <v>0</v>
      </c>
      <c r="M42">
        <f>SUMIF('库存（子SKU）'!$C:$C,$A42,'库存（子SKU）'!O:O)</f>
        <v>26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>
        <f t="shared" si="3"/>
        <v>0</v>
      </c>
      <c r="AF42" s="23">
        <f t="shared" si="4"/>
        <v>0</v>
      </c>
      <c r="AG42" s="23">
        <f t="shared" si="5"/>
        <v>0</v>
      </c>
      <c r="AH42">
        <f>SUMIF('库存（子SKU）'!$C:$C,$A42,'库存（子SKU）'!AJ:AJ)</f>
        <v>14</v>
      </c>
      <c r="AI42">
        <f>SUMIF('库存（子SKU）'!$C:$C,$A42,'库存（子SKU）'!AK:AK)</f>
        <v>19</v>
      </c>
      <c r="AJ42">
        <f>SUMIF('库存（子SKU）'!$C:$C,$A42,'库存（子SKU）'!AL:AL)</f>
        <v>21</v>
      </c>
      <c r="AK42">
        <f>SUMIF('库存（子SKU）'!$C:$C,$A42,'库存（子SKU）'!AM:AM)</f>
        <v>21</v>
      </c>
      <c r="AL42" s="23">
        <f t="shared" si="6"/>
        <v>0</v>
      </c>
      <c r="AM42" s="23">
        <f t="shared" si="7"/>
        <v>0.0526315789473684</v>
      </c>
      <c r="AN42" s="23">
        <f t="shared" si="8"/>
        <v>0.0476190476190476</v>
      </c>
      <c r="AO42" s="23">
        <f t="shared" si="9"/>
        <v>0.0476190476190476</v>
      </c>
      <c r="AP42" s="7">
        <f t="shared" si="10"/>
        <v>0</v>
      </c>
      <c r="AQ42" s="7">
        <f t="shared" si="11"/>
        <v>0</v>
      </c>
      <c r="AR42" s="7">
        <f t="shared" si="12"/>
        <v>27</v>
      </c>
      <c r="AS42" t="str">
        <f t="shared" si="13"/>
        <v>库存为27</v>
      </c>
      <c r="AT42" s="2" t="str">
        <f>IFERROR($A$2+AS42,"上周无销量")</f>
        <v>上周无销量</v>
      </c>
    </row>
    <row r="43" spans="1:46">
      <c r="A43" t="s">
        <v>764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769</v>
      </c>
      <c r="B44" s="5">
        <f>SUMIF('库存（子SKU）'!$C:$C,$A44,'库存（子SKU）'!D:D)</f>
        <v>2</v>
      </c>
      <c r="C44" s="5">
        <f>SUMIF('库存（子SKU）'!$C:$C,$A44,'库存（子SKU）'!E:E)</f>
        <v>2</v>
      </c>
      <c r="D44" s="5">
        <f>SUMIF('库存（子SKU）'!$C:$C,$A44,'库存（子SKU）'!F:F)</f>
        <v>2</v>
      </c>
      <c r="E44" s="5">
        <f>SUMIF('库存（子SKU）'!$C:$C,$A44,'库存（子SKU）'!G:G)</f>
        <v>1</v>
      </c>
      <c r="F44" s="6">
        <v>10</v>
      </c>
      <c r="G44">
        <f>SUMIF('库存（子SKU）'!$C:$C,$A44,'库存（子SKU）'!I:I)</f>
        <v>1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</v>
      </c>
      <c r="L44">
        <f>SUMIF('库存（子SKU）'!$C:$C,$A44,'库存（子SKU）'!N:N)</f>
        <v>0</v>
      </c>
      <c r="M44">
        <f>SUMIF('库存（子SKU）'!$C:$C,$A44,'库存（子SKU）'!O:O)</f>
        <v>2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24</v>
      </c>
      <c r="AI44">
        <f>SUMIF('库存（子SKU）'!$C:$C,$A44,'库存（子SKU）'!AK:AK)</f>
        <v>27</v>
      </c>
      <c r="AJ44">
        <f>SUMIF('库存（子SKU）'!$C:$C,$A44,'库存（子SKU）'!AL:AL)</f>
        <v>14</v>
      </c>
      <c r="AK44">
        <f>SUMIF('库存（子SKU）'!$C:$C,$A44,'库存（子SKU）'!AM:AM)</f>
        <v>17</v>
      </c>
      <c r="AL44" s="23">
        <f t="shared" si="6"/>
        <v>0.0833333333333333</v>
      </c>
      <c r="AM44" s="23">
        <f t="shared" si="7"/>
        <v>0.0740740740740741</v>
      </c>
      <c r="AN44" s="23">
        <f t="shared" si="8"/>
        <v>0.142857142857143</v>
      </c>
      <c r="AO44" s="23">
        <f t="shared" si="9"/>
        <v>0.0588235294117647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-16.1428571428571</v>
      </c>
      <c r="AS44">
        <f t="shared" si="13"/>
        <v>3</v>
      </c>
      <c r="AT44" s="2">
        <f>IFERROR($A$2+AS44,"上周无销量")</f>
        <v>43265</v>
      </c>
    </row>
    <row r="45" spans="1:46">
      <c r="A45" t="s">
        <v>774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779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1</v>
      </c>
      <c r="F46" s="6">
        <v>24.82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>
        <f t="shared" si="5"/>
        <v>0</v>
      </c>
      <c r="AH46">
        <f>SUMIF('库存（子SKU）'!$C:$C,$A46,'库存（子SKU）'!AJ:AJ)</f>
        <v>14</v>
      </c>
      <c r="AI46">
        <f>SUMIF('库存（子SKU）'!$C:$C,$A46,'库存（子SKU）'!AK:AK)</f>
        <v>2</v>
      </c>
      <c r="AJ46">
        <f>SUMIF('库存（子SKU）'!$C:$C,$A46,'库存（子SKU）'!AL:AL)</f>
        <v>5</v>
      </c>
      <c r="AK46">
        <f>SUMIF('库存（子SKU）'!$C:$C,$A46,'库存（子SKU）'!AM:AM)</f>
        <v>9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0.111111111111111</v>
      </c>
      <c r="AP46" s="7">
        <f t="shared" si="10"/>
        <v>0</v>
      </c>
      <c r="AQ46" s="7">
        <f t="shared" si="11"/>
        <v>0</v>
      </c>
      <c r="AR46" s="7">
        <f t="shared" si="12"/>
        <v>4</v>
      </c>
      <c r="AS46" t="str">
        <f t="shared" si="13"/>
        <v>库存为4</v>
      </c>
      <c r="AT46" s="2" t="str">
        <f>IFERROR($A$2+AS46,"上周无销量")</f>
        <v>上周无销量</v>
      </c>
    </row>
    <row r="47" spans="1:46">
      <c r="A47" t="s">
        <v>786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5</v>
      </c>
      <c r="AI47">
        <f>SUMIF('库存（子SKU）'!$C:$C,$A47,'库存（子SKU）'!AK:AK)</f>
        <v>8</v>
      </c>
      <c r="AJ47">
        <f>SUMIF('库存（子SKU）'!$C:$C,$A47,'库存（子SKU）'!AL:AL)</f>
        <v>3</v>
      </c>
      <c r="AK47">
        <f>SUMIF('库存（子SKU）'!$C:$C,$A47,'库存（子SKU）'!AM:AM)</f>
        <v>1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5</v>
      </c>
      <c r="AS47" t="str">
        <f t="shared" si="13"/>
        <v>库存为5</v>
      </c>
      <c r="AT47" s="2" t="str">
        <f>IFERROR($A$2+AS47,"上周无销量")</f>
        <v>上周无销量</v>
      </c>
    </row>
    <row r="48" spans="1:46">
      <c r="A48" t="s">
        <v>807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810</v>
      </c>
      <c r="B49" s="5">
        <f>SUMIF('库存（子SKU）'!$C:$C,$A49,'库存（子SKU）'!D:D)</f>
        <v>0</v>
      </c>
      <c r="C49" s="5">
        <f>SUMIF('库存（子SKU）'!$C:$C,$A49,'库存（子SKU）'!E:E)</f>
        <v>1</v>
      </c>
      <c r="D49" s="5">
        <f>SUMIF('库存（子SKU）'!$C:$C,$A49,'库存（子SKU）'!F:F)</f>
        <v>9</v>
      </c>
      <c r="E49" s="5">
        <f>SUMIF('库存（子SKU）'!$C:$C,$A49,'库存（子SKU）'!G:G)</f>
        <v>6</v>
      </c>
      <c r="F49" s="6">
        <v>16.5425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2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>
        <f t="shared" si="3"/>
        <v>0</v>
      </c>
      <c r="AF49" s="23">
        <f t="shared" si="4"/>
        <v>0</v>
      </c>
      <c r="AG49" s="23">
        <f t="shared" si="5"/>
        <v>0</v>
      </c>
      <c r="AH49">
        <f>SUMIF('库存（子SKU）'!$C:$C,$A49,'库存（子SKU）'!AJ:AJ)</f>
        <v>16</v>
      </c>
      <c r="AI49">
        <f>SUMIF('库存（子SKU）'!$C:$C,$A49,'库存（子SKU）'!AK:AK)</f>
        <v>19</v>
      </c>
      <c r="AJ49">
        <f>SUMIF('库存（子SKU）'!$C:$C,$A49,'库存（子SKU）'!AL:AL)</f>
        <v>90</v>
      </c>
      <c r="AK49">
        <f>SUMIF('库存（子SKU）'!$C:$C,$A49,'库存（子SKU）'!AM:AM)</f>
        <v>100</v>
      </c>
      <c r="AL49" s="23">
        <f t="shared" si="6"/>
        <v>0</v>
      </c>
      <c r="AM49" s="23">
        <f t="shared" si="7"/>
        <v>0.0526315789473684</v>
      </c>
      <c r="AN49" s="23">
        <f t="shared" si="8"/>
        <v>0.1</v>
      </c>
      <c r="AO49" s="23">
        <f t="shared" si="9"/>
        <v>0.06</v>
      </c>
      <c r="AP49" s="7">
        <f t="shared" si="10"/>
        <v>0</v>
      </c>
      <c r="AQ49" s="7">
        <f t="shared" si="11"/>
        <v>0</v>
      </c>
      <c r="AR49" s="7">
        <f t="shared" si="12"/>
        <v>1</v>
      </c>
      <c r="AS49" t="str">
        <f t="shared" si="13"/>
        <v>库存为1</v>
      </c>
      <c r="AT49" s="2" t="str">
        <f>IFERROR($A$2+AS49,"上周无销量")</f>
        <v>上周无销量</v>
      </c>
    </row>
    <row r="50" spans="1:46">
      <c r="A50" t="s">
        <v>859</v>
      </c>
      <c r="B50" s="5">
        <f>SUMIF('库存（子SKU）'!$C:$C,$A50,'库存（子SKU）'!D:D)</f>
        <v>1</v>
      </c>
      <c r="C50" s="5">
        <f>SUMIF('库存（子SKU）'!$C:$C,$A50,'库存（子SKU）'!E:E)</f>
        <v>2</v>
      </c>
      <c r="D50" s="5">
        <f>SUMIF('库存（子SKU）'!$C:$C,$A50,'库存（子SKU）'!F:F)</f>
        <v>1</v>
      </c>
      <c r="E50" s="5">
        <f>SUMIF('库存（子SKU）'!$C:$C,$A50,'库存（子SKU）'!G:G)</f>
        <v>0</v>
      </c>
      <c r="F50" s="6">
        <v>15.98</v>
      </c>
      <c r="G50">
        <f>SUMIF('库存（子SKU）'!$C:$C,$A50,'库存（子SKU）'!I:I)</f>
        <v>18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18</v>
      </c>
      <c r="L50">
        <f>SUMIF('库存（子SKU）'!$C:$C,$A50,'库存（子SKU）'!N:N)</f>
        <v>0</v>
      </c>
      <c r="M50">
        <f>SUMIF('库存（子SKU）'!$C:$C,$A50,'库存（子SKU）'!O:O)</f>
        <v>17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20</v>
      </c>
      <c r="AI50">
        <f>SUMIF('库存（子SKU）'!$C:$C,$A50,'库存（子SKU）'!AK:AK)</f>
        <v>23</v>
      </c>
      <c r="AJ50">
        <f>SUMIF('库存（子SKU）'!$C:$C,$A50,'库存（子SKU）'!AL:AL)</f>
        <v>32</v>
      </c>
      <c r="AK50">
        <f>SUMIF('库存（子SKU）'!$C:$C,$A50,'库存（子SKU）'!AM:AM)</f>
        <v>26</v>
      </c>
      <c r="AL50" s="23">
        <f t="shared" si="6"/>
        <v>0.05</v>
      </c>
      <c r="AM50" s="23">
        <f t="shared" si="7"/>
        <v>0.0869565217391304</v>
      </c>
      <c r="AN50" s="23">
        <f t="shared" si="8"/>
        <v>0.03125</v>
      </c>
      <c r="AO50" s="23">
        <f t="shared" si="9"/>
        <v>0</v>
      </c>
      <c r="AP50" s="7">
        <f t="shared" si="10"/>
        <v>0.142857142857143</v>
      </c>
      <c r="AQ50" s="7">
        <f t="shared" si="11"/>
        <v>8.57142857142857</v>
      </c>
      <c r="AR50" s="7">
        <f t="shared" si="12"/>
        <v>9.42857142857143</v>
      </c>
      <c r="AS50">
        <f t="shared" si="13"/>
        <v>126</v>
      </c>
      <c r="AT50" s="2">
        <f>IFERROR($A$2+AS50,"上周无销量")</f>
        <v>43388</v>
      </c>
    </row>
    <row r="51" spans="1:46">
      <c r="A51" t="s">
        <v>878</v>
      </c>
      <c r="B51" s="5">
        <f>SUMIF('库存（子SKU）'!$C:$C,$A51,'库存（子SKU）'!D:D)</f>
        <v>2</v>
      </c>
      <c r="C51" s="5">
        <f>SUMIF('库存（子SKU）'!$C:$C,$A51,'库存（子SKU）'!E:E)</f>
        <v>1</v>
      </c>
      <c r="D51" s="5">
        <f>SUMIF('库存（子SKU）'!$C:$C,$A51,'库存（子SKU）'!F:F)</f>
        <v>13</v>
      </c>
      <c r="E51" s="5">
        <f>SUMIF('库存（子SKU）'!$C:$C,$A51,'库存（子SKU）'!G:G)</f>
        <v>9</v>
      </c>
      <c r="F51" s="6">
        <v>14.3016</v>
      </c>
      <c r="G51">
        <f>SUMIF('库存（子SKU）'!$C:$C,$A51,'库存（子SKU）'!I:I)</f>
        <v>468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468</v>
      </c>
      <c r="L51">
        <f>SUMIF('库存（子SKU）'!$C:$C,$A51,'库存（子SKU）'!N:N)</f>
        <v>0</v>
      </c>
      <c r="M51">
        <f>SUMIF('库存（子SKU）'!$C:$C,$A51,'库存（子SKU）'!O:O)</f>
        <v>456</v>
      </c>
      <c r="N51">
        <f>SUMIF('库存（子SKU）'!$C:$C,$A51,'库存（子SKU）'!P:P)</f>
        <v>1079</v>
      </c>
      <c r="O51">
        <f>SUMIF('库存（子SKU）'!$C:$C,$A51,'库存（子SKU）'!Q:Q)</f>
        <v>2884</v>
      </c>
      <c r="P51">
        <f>SUMIF('库存（子SKU）'!$C:$C,$A51,'库存（子SKU）'!R:R)</f>
        <v>5603</v>
      </c>
      <c r="Q51">
        <f>SUMIF('库存（子SKU）'!$C:$C,$A51,'库存（子SKU）'!S:S)</f>
        <v>6806</v>
      </c>
      <c r="R51">
        <f>SUMIF('库存（子SKU）'!$C:$C,$A51,'库存（子SKU）'!T:T)</f>
        <v>2</v>
      </c>
      <c r="S51">
        <f>SUMIF('库存（子SKU）'!$C:$C,$A51,'库存（子SKU）'!U:U)</f>
        <v>22</v>
      </c>
      <c r="T51">
        <f>SUMIF('库存（子SKU）'!$C:$C,$A51,'库存（子SKU）'!V:V)</f>
        <v>49</v>
      </c>
      <c r="U51">
        <f>SUMIF('库存（子SKU）'!$C:$C,$A51,'库存（子SKU）'!W:W)</f>
        <v>54</v>
      </c>
      <c r="V51" s="23">
        <f t="shared" si="15"/>
        <v>0.00185356811862836</v>
      </c>
      <c r="W51" s="23">
        <f t="shared" si="16"/>
        <v>0.00762829403606103</v>
      </c>
      <c r="X51" s="23">
        <f t="shared" si="17"/>
        <v>0.00874531500981617</v>
      </c>
      <c r="Y51" s="23">
        <f t="shared" si="18"/>
        <v>0.00793417572729944</v>
      </c>
      <c r="Z51">
        <f>SUMIF('库存（子SKU）'!$C:$C,$A51,'库存（子SKU）'!AB:AB)</f>
        <v>0.61</v>
      </c>
      <c r="AA51">
        <f>SUMIF('库存（子SKU）'!$C:$C,$A51,'库存（子SKU）'!AC:AC)</f>
        <v>14.7</v>
      </c>
      <c r="AB51">
        <f>SUMIF('库存（子SKU）'!$C:$C,$A51,'库存（子SKU）'!AD:AD)</f>
        <v>31.29</v>
      </c>
      <c r="AC51">
        <f>SUMIF('库存（子SKU）'!$C:$C,$A51,'库存（子SKU）'!AE:AE)</f>
        <v>32</v>
      </c>
      <c r="AD51" s="23">
        <f t="shared" si="2"/>
        <v>0.02132628517089</v>
      </c>
      <c r="AE51" s="23">
        <f t="shared" si="3"/>
        <v>1.02785702299043</v>
      </c>
      <c r="AF51" s="23">
        <f t="shared" si="4"/>
        <v>0.168297468599533</v>
      </c>
      <c r="AG51" s="23">
        <f t="shared" si="5"/>
        <v>0.248612431864655</v>
      </c>
      <c r="AH51">
        <f>SUMIF('库存（子SKU）'!$C:$C,$A51,'库存（子SKU）'!AJ:AJ)</f>
        <v>68</v>
      </c>
      <c r="AI51">
        <f>SUMIF('库存（子SKU）'!$C:$C,$A51,'库存（子SKU）'!AK:AK)</f>
        <v>150</v>
      </c>
      <c r="AJ51">
        <f>SUMIF('库存（子SKU）'!$C:$C,$A51,'库存（子SKU）'!AL:AL)</f>
        <v>82</v>
      </c>
      <c r="AK51">
        <f>SUMIF('库存（子SKU）'!$C:$C,$A51,'库存（子SKU）'!AM:AM)</f>
        <v>71</v>
      </c>
      <c r="AL51" s="23">
        <f t="shared" si="6"/>
        <v>0.0294117647058824</v>
      </c>
      <c r="AM51" s="23">
        <f t="shared" si="7"/>
        <v>0.00666666666666667</v>
      </c>
      <c r="AN51" s="23">
        <f t="shared" si="8"/>
        <v>0.158536585365854</v>
      </c>
      <c r="AO51" s="23">
        <f t="shared" si="9"/>
        <v>0.126760563380282</v>
      </c>
      <c r="AP51" s="7">
        <f t="shared" si="10"/>
        <v>0.285714285714286</v>
      </c>
      <c r="AQ51" s="7">
        <f t="shared" si="11"/>
        <v>17.1428571428571</v>
      </c>
      <c r="AR51" s="7">
        <f t="shared" si="12"/>
        <v>450.857142857143</v>
      </c>
      <c r="AS51">
        <f t="shared" si="13"/>
        <v>1638</v>
      </c>
      <c r="AT51" s="2">
        <f>IFERROR($A$2+AS51,"上周无销量")</f>
        <v>44900</v>
      </c>
    </row>
    <row r="52" spans="1:46">
      <c r="A52" t="s">
        <v>965</v>
      </c>
      <c r="B52" s="5">
        <f>SUMIF('库存（子SKU）'!$C:$C,$A52,'库存（子SKU）'!D:D)</f>
        <v>11</v>
      </c>
      <c r="C52" s="5">
        <f>SUMIF('库存（子SKU）'!$C:$C,$A52,'库存（子SKU）'!E:E)</f>
        <v>14</v>
      </c>
      <c r="D52" s="5">
        <f>SUMIF('库存（子SKU）'!$C:$C,$A52,'库存（子SKU）'!F:F)</f>
        <v>5</v>
      </c>
      <c r="E52" s="5">
        <f>SUMIF('库存（子SKU）'!$C:$C,$A52,'库存（子SKU）'!G:G)</f>
        <v>8</v>
      </c>
      <c r="F52" s="6">
        <v>12.2026315789474</v>
      </c>
      <c r="G52">
        <f>SUMIF('库存（子SKU）'!$C:$C,$A52,'库存（子SKU）'!I:I)</f>
        <v>101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103</v>
      </c>
      <c r="L52">
        <f>SUMIF('库存（子SKU）'!$C:$C,$A52,'库存（子SKU）'!N:N)</f>
        <v>0</v>
      </c>
      <c r="M52">
        <f>SUMIF('库存（子SKU）'!$C:$C,$A52,'库存（子SKU）'!O:O)</f>
        <v>103</v>
      </c>
      <c r="N52">
        <f>SUMIF('库存（子SKU）'!$C:$C,$A52,'库存（子SKU）'!P:P)</f>
        <v>394</v>
      </c>
      <c r="O52">
        <f>SUMIF('库存（子SKU）'!$C:$C,$A52,'库存（子SKU）'!Q:Q)</f>
        <v>1116</v>
      </c>
      <c r="P52">
        <f>SUMIF('库存（子SKU）'!$C:$C,$A52,'库存（子SKU）'!R:R)</f>
        <v>534</v>
      </c>
      <c r="Q52">
        <f>SUMIF('库存（子SKU）'!$C:$C,$A52,'库存（子SKU）'!S:S)</f>
        <v>710</v>
      </c>
      <c r="R52">
        <f>SUMIF('库存（子SKU）'!$C:$C,$A52,'库存（子SKU）'!T:T)</f>
        <v>7</v>
      </c>
      <c r="S52">
        <f>SUMIF('库存（子SKU）'!$C:$C,$A52,'库存（子SKU）'!U:U)</f>
        <v>23</v>
      </c>
      <c r="T52">
        <f>SUMIF('库存（子SKU）'!$C:$C,$A52,'库存（子SKU）'!V:V)</f>
        <v>27</v>
      </c>
      <c r="U52">
        <f>SUMIF('库存（子SKU）'!$C:$C,$A52,'库存（子SKU）'!W:W)</f>
        <v>24</v>
      </c>
      <c r="V52" s="23">
        <f t="shared" si="15"/>
        <v>0.0177664974619289</v>
      </c>
      <c r="W52" s="23">
        <f t="shared" si="16"/>
        <v>0.0206093189964158</v>
      </c>
      <c r="X52" s="23">
        <f t="shared" si="17"/>
        <v>0.050561797752809</v>
      </c>
      <c r="Y52" s="23">
        <f t="shared" si="18"/>
        <v>0.0338028169014084</v>
      </c>
      <c r="Z52">
        <f>SUMIF('库存（子SKU）'!$C:$C,$A52,'库存（子SKU）'!AB:AB)</f>
        <v>4.58</v>
      </c>
      <c r="AA52">
        <f>SUMIF('库存（子SKU）'!$C:$C,$A52,'库存（子SKU）'!AC:AC)</f>
        <v>14.64</v>
      </c>
      <c r="AB52">
        <f>SUMIF('库存（子SKU）'!$C:$C,$A52,'库存（子SKU）'!AD:AD)</f>
        <v>14.9</v>
      </c>
      <c r="AC52">
        <f>SUMIF('库存（子SKU）'!$C:$C,$A52,'库存（子SKU）'!AE:AE)</f>
        <v>16</v>
      </c>
      <c r="AD52" s="23">
        <f t="shared" si="2"/>
        <v>0.0341208069480659</v>
      </c>
      <c r="AE52" s="23">
        <f t="shared" si="3"/>
        <v>0.0856958008564649</v>
      </c>
      <c r="AF52" s="23">
        <f t="shared" si="4"/>
        <v>0.244209618287685</v>
      </c>
      <c r="AG52" s="23">
        <f t="shared" si="5"/>
        <v>0.163899072676299</v>
      </c>
      <c r="AH52">
        <f>SUMIF('库存（子SKU）'!$C:$C,$A52,'库存（子SKU）'!AJ:AJ)</f>
        <v>71</v>
      </c>
      <c r="AI52">
        <f>SUMIF('库存（子SKU）'!$C:$C,$A52,'库存（子SKU）'!AK:AK)</f>
        <v>110</v>
      </c>
      <c r="AJ52">
        <f>SUMIF('库存（子SKU）'!$C:$C,$A52,'库存（子SKU）'!AL:AL)</f>
        <v>91</v>
      </c>
      <c r="AK52">
        <f>SUMIF('库存（子SKU）'!$C:$C,$A52,'库存（子SKU）'!AM:AM)</f>
        <v>45</v>
      </c>
      <c r="AL52" s="23">
        <f t="shared" si="6"/>
        <v>0.154929577464789</v>
      </c>
      <c r="AM52" s="23">
        <f t="shared" si="7"/>
        <v>0.127272727272727</v>
      </c>
      <c r="AN52" s="23">
        <f t="shared" si="8"/>
        <v>0.0549450549450549</v>
      </c>
      <c r="AO52" s="23">
        <f t="shared" si="9"/>
        <v>0.177777777777778</v>
      </c>
      <c r="AP52" s="7">
        <f t="shared" si="10"/>
        <v>1.57142857142857</v>
      </c>
      <c r="AQ52" s="7">
        <f t="shared" si="11"/>
        <v>94.2857142857143</v>
      </c>
      <c r="AR52" s="7">
        <f t="shared" si="12"/>
        <v>8.71428571428572</v>
      </c>
      <c r="AS52">
        <f t="shared" si="13"/>
        <v>65</v>
      </c>
      <c r="AT52" s="2">
        <f>IFERROR($A$2+AS52,"上周无销量")</f>
        <v>43327</v>
      </c>
    </row>
    <row r="53" spans="1:46">
      <c r="A53" t="s">
        <v>1036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54</v>
      </c>
      <c r="G53">
        <f>SUMIF('库存（子SKU）'!$C:$C,$A53,'库存（子SKU）'!I:I)</f>
        <v>5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</v>
      </c>
      <c r="L53">
        <f>SUMIF('库存（子SKU）'!$C:$C,$A53,'库存（子SKU）'!N:N)</f>
        <v>0</v>
      </c>
      <c r="M53">
        <f>SUMIF('库存（子SKU）'!$C:$C,$A53,'库存（子SKU）'!O:O)</f>
        <v>5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2</v>
      </c>
      <c r="AI53">
        <f>SUMIF('库存（子SKU）'!$C:$C,$A53,'库存（子SKU）'!AK:AK)</f>
        <v>4</v>
      </c>
      <c r="AJ53">
        <f>SUMIF('库存（子SKU）'!$C:$C,$A53,'库存（子SKU）'!AL:AL)</f>
        <v>0</v>
      </c>
      <c r="AK53">
        <f>SUMIF('库存（子SKU）'!$C:$C,$A53,'库存（子SKU）'!AM:AM)</f>
        <v>1</v>
      </c>
      <c r="AL53" s="23">
        <f t="shared" si="6"/>
        <v>0</v>
      </c>
      <c r="AM53" s="23">
        <f t="shared" si="7"/>
        <v>0</v>
      </c>
      <c r="AN53" s="23" t="str">
        <f t="shared" si="8"/>
        <v/>
      </c>
      <c r="AO53" s="23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5</v>
      </c>
      <c r="AS53" t="str">
        <f t="shared" si="13"/>
        <v>库存为5</v>
      </c>
      <c r="AT53" s="2" t="str">
        <f>IFERROR($A$2+AS53,"上周无销量")</f>
        <v>上周无销量</v>
      </c>
    </row>
    <row r="54" spans="1:46">
      <c r="A54" t="s">
        <v>1040</v>
      </c>
      <c r="B54" s="5">
        <f>SUMIF('库存（子SKU）'!$C:$C,$A54,'库存（子SKU）'!D:D)</f>
        <v>240</v>
      </c>
      <c r="C54" s="5">
        <f>SUMIF('库存（子SKU）'!$C:$C,$A54,'库存（子SKU）'!E:E)</f>
        <v>249</v>
      </c>
      <c r="D54" s="5">
        <f>SUMIF('库存（子SKU）'!$C:$C,$A54,'库存（子SKU）'!F:F)</f>
        <v>316</v>
      </c>
      <c r="E54" s="5">
        <f>SUMIF('库存（子SKU）'!$C:$C,$A54,'库存（子SKU）'!G:G)</f>
        <v>287</v>
      </c>
      <c r="F54" s="6">
        <v>17.5333974358974</v>
      </c>
      <c r="G54">
        <f>SUMIF('库存（子SKU）'!$C:$C,$A54,'库存（子SKU）'!I:I)</f>
        <v>1592</v>
      </c>
      <c r="H54">
        <f>SUMIF('库存（子SKU）'!$C:$C,$A54,'库存（子SKU）'!J:J)</f>
        <v>2604</v>
      </c>
      <c r="I54">
        <f>SUMIF('库存（子SKU）'!$C:$C,$A54,'库存（子SKU）'!K:K)</f>
        <v>34</v>
      </c>
      <c r="J54">
        <f>SUMIF('库存（子SKU）'!$C:$C,$A54,'库存（子SKU）'!L:L)</f>
        <v>25</v>
      </c>
      <c r="K54">
        <f t="shared" si="0"/>
        <v>4255</v>
      </c>
      <c r="L54">
        <f>SUMIF('库存（子SKU）'!$C:$C,$A54,'库存（子SKU）'!N:N)</f>
        <v>15</v>
      </c>
      <c r="M54">
        <f>SUMIF('库存（子SKU）'!$C:$C,$A54,'库存（子SKU）'!O:O)</f>
        <v>0</v>
      </c>
      <c r="N54">
        <f>SUMIF('库存（子SKU）'!$C:$C,$A54,'库存（子SKU）'!P:P)</f>
        <v>96489</v>
      </c>
      <c r="O54">
        <f>SUMIF('库存（子SKU）'!$C:$C,$A54,'库存（子SKU）'!Q:Q)</f>
        <v>56206</v>
      </c>
      <c r="P54">
        <f>SUMIF('库存（子SKU）'!$C:$C,$A54,'库存（子SKU）'!R:R)</f>
        <v>60281</v>
      </c>
      <c r="Q54">
        <f>SUMIF('库存（子SKU）'!$C:$C,$A54,'库存（子SKU）'!S:S)</f>
        <v>69866</v>
      </c>
      <c r="R54">
        <f>SUMIF('库存（子SKU）'!$C:$C,$A54,'库存（子SKU）'!T:T)</f>
        <v>631</v>
      </c>
      <c r="S54">
        <f>SUMIF('库存（子SKU）'!$C:$C,$A54,'库存（子SKU）'!U:U)</f>
        <v>454</v>
      </c>
      <c r="T54">
        <f>SUMIF('库存（子SKU）'!$C:$C,$A54,'库存（子SKU）'!V:V)</f>
        <v>539</v>
      </c>
      <c r="U54">
        <f>SUMIF('库存（子SKU）'!$C:$C,$A54,'库存（子SKU）'!W:W)</f>
        <v>613</v>
      </c>
      <c r="V54" s="23">
        <f t="shared" si="15"/>
        <v>0.00653960555089181</v>
      </c>
      <c r="W54" s="23">
        <f t="shared" si="16"/>
        <v>0.00807742945592997</v>
      </c>
      <c r="X54" s="23">
        <f t="shared" si="17"/>
        <v>0.00894145750734062</v>
      </c>
      <c r="Y54" s="23">
        <f t="shared" si="18"/>
        <v>0.00877393868262102</v>
      </c>
      <c r="Z54">
        <f>SUMIF('库存（子SKU）'!$C:$C,$A54,'库存（子SKU）'!AB:AB)</f>
        <v>457.3</v>
      </c>
      <c r="AA54">
        <f>SUMIF('库存（子SKU）'!$C:$C,$A54,'库存（子SKU）'!AC:AC)</f>
        <v>358.99</v>
      </c>
      <c r="AB54">
        <f>SUMIF('库存（子SKU）'!$C:$C,$A54,'库存（子SKU）'!AD:AD)</f>
        <v>373.89</v>
      </c>
      <c r="AC54">
        <f>SUMIF('库存（子SKU）'!$C:$C,$A54,'库存（子SKU）'!AE:AE)</f>
        <v>441.13</v>
      </c>
      <c r="AD54" s="23">
        <f t="shared" si="2"/>
        <v>0.108673557057776</v>
      </c>
      <c r="AE54" s="23">
        <f t="shared" si="3"/>
        <v>0.0822274697702779</v>
      </c>
      <c r="AF54" s="23">
        <f t="shared" si="4"/>
        <v>0.0674824264297575</v>
      </c>
      <c r="AG54" s="23">
        <f t="shared" si="5"/>
        <v>0.0876634624376473</v>
      </c>
      <c r="AH54">
        <f>SUMIF('库存（子SKU）'!$C:$C,$A54,'库存（子SKU）'!AJ:AJ)</f>
        <v>3069</v>
      </c>
      <c r="AI54">
        <f>SUMIF('库存（子SKU）'!$C:$C,$A54,'库存（子SKU）'!AK:AK)</f>
        <v>2883</v>
      </c>
      <c r="AJ54">
        <f>SUMIF('库存（子SKU）'!$C:$C,$A54,'库存（子SKU）'!AL:AL)</f>
        <v>3185</v>
      </c>
      <c r="AK54">
        <f>SUMIF('库存（子SKU）'!$C:$C,$A54,'库存（子SKU）'!AM:AM)</f>
        <v>2744</v>
      </c>
      <c r="AL54" s="23">
        <f t="shared" si="6"/>
        <v>0.0782013685239492</v>
      </c>
      <c r="AM54" s="23">
        <f t="shared" si="7"/>
        <v>0.0863683662851197</v>
      </c>
      <c r="AN54" s="23">
        <f t="shared" si="8"/>
        <v>0.0992150706436421</v>
      </c>
      <c r="AO54" s="23">
        <f t="shared" si="9"/>
        <v>0.104591836734694</v>
      </c>
      <c r="AP54" s="7">
        <f t="shared" si="10"/>
        <v>34.2857142857143</v>
      </c>
      <c r="AQ54" s="7">
        <f t="shared" si="11"/>
        <v>2057.14285714286</v>
      </c>
      <c r="AR54" s="7">
        <f t="shared" si="12"/>
        <v>2197.85714285714</v>
      </c>
      <c r="AS54">
        <f t="shared" si="13"/>
        <v>124</v>
      </c>
      <c r="AT54" s="2">
        <f>IFERROR($A$2+AS54,"上周无销量")</f>
        <v>43386</v>
      </c>
    </row>
    <row r="55" spans="1:46">
      <c r="A55" t="s">
        <v>1119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IFERROR($A$2+AS55,"上周无销量")</f>
        <v>上周无销量</v>
      </c>
    </row>
    <row r="56" spans="1:46">
      <c r="A56" t="s">
        <v>1126</v>
      </c>
      <c r="B56" s="5">
        <f>SUMIF('库存（子SKU）'!$C:$C,$A56,'库存（子SKU）'!D:D)</f>
        <v>6</v>
      </c>
      <c r="C56" s="5">
        <f>SUMIF('库存（子SKU）'!$C:$C,$A56,'库存（子SKU）'!E:E)</f>
        <v>12</v>
      </c>
      <c r="D56" s="5">
        <f>SUMIF('库存（子SKU）'!$C:$C,$A56,'库存（子SKU）'!F:F)</f>
        <v>6</v>
      </c>
      <c r="E56" s="5">
        <f>SUMIF('库存（子SKU）'!$C:$C,$A56,'库存（子SKU）'!G:G)</f>
        <v>10</v>
      </c>
      <c r="F56" s="6">
        <v>9.9</v>
      </c>
      <c r="G56">
        <f>SUMIF('库存（子SKU）'!$C:$C,$A56,'库存（子SKU）'!I:I)</f>
        <v>110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110</v>
      </c>
      <c r="L56">
        <f>SUMIF('库存（子SKU）'!$C:$C,$A56,'库存（子SKU）'!N:N)</f>
        <v>0</v>
      </c>
      <c r="M56">
        <f>SUMIF('库存（子SKU）'!$C:$C,$A56,'库存（子SKU）'!O:O)</f>
        <v>18</v>
      </c>
      <c r="N56">
        <f>SUMIF('库存（子SKU）'!$C:$C,$A56,'库存（子SKU）'!P:P)</f>
        <v>4628</v>
      </c>
      <c r="O56">
        <f>SUMIF('库存（子SKU）'!$C:$C,$A56,'库存（子SKU）'!Q:Q)</f>
        <v>2090</v>
      </c>
      <c r="P56">
        <f>SUMIF('库存（子SKU）'!$C:$C,$A56,'库存（子SKU）'!R:R)</f>
        <v>1661</v>
      </c>
      <c r="Q56">
        <f>SUMIF('库存（子SKU）'!$C:$C,$A56,'库存（子SKU）'!S:S)</f>
        <v>19165</v>
      </c>
      <c r="R56">
        <f>SUMIF('库存（子SKU）'!$C:$C,$A56,'库存（子SKU）'!T:T)</f>
        <v>25</v>
      </c>
      <c r="S56">
        <f>SUMIF('库存（子SKU）'!$C:$C,$A56,'库存（子SKU）'!U:U)</f>
        <v>23</v>
      </c>
      <c r="T56">
        <f>SUMIF('库存（子SKU）'!$C:$C,$A56,'库存（子SKU）'!V:V)</f>
        <v>15</v>
      </c>
      <c r="U56">
        <f>SUMIF('库存（子SKU）'!$C:$C,$A56,'库存（子SKU）'!W:W)</f>
        <v>45</v>
      </c>
      <c r="V56" s="23">
        <f t="shared" si="15"/>
        <v>0.0054019014693172</v>
      </c>
      <c r="W56" s="23">
        <f t="shared" si="16"/>
        <v>0.0110047846889952</v>
      </c>
      <c r="X56" s="23">
        <f t="shared" si="17"/>
        <v>0.00903070439494281</v>
      </c>
      <c r="Y56" s="23">
        <f t="shared" si="18"/>
        <v>0.00234803026350117</v>
      </c>
      <c r="Z56">
        <f>SUMIF('库存（子SKU）'!$C:$C,$A56,'库存（子SKU）'!AB:AB)</f>
        <v>12.16</v>
      </c>
      <c r="AA56">
        <f>SUMIF('库存（子SKU）'!$C:$C,$A56,'库存（子SKU）'!AC:AC)</f>
        <v>12.37</v>
      </c>
      <c r="AB56">
        <f>SUMIF('库存（子SKU）'!$C:$C,$A56,'库存（子SKU）'!AD:AD)</f>
        <v>7.38</v>
      </c>
      <c r="AC56">
        <f>SUMIF('库存（子SKU）'!$C:$C,$A56,'库存（子SKU）'!AE:AE)</f>
        <v>25.21</v>
      </c>
      <c r="AD56" s="23">
        <f t="shared" si="2"/>
        <v>0.204713804713805</v>
      </c>
      <c r="AE56" s="23">
        <f t="shared" si="3"/>
        <v>0.104124579124579</v>
      </c>
      <c r="AF56" s="23">
        <f t="shared" si="4"/>
        <v>0.124242424242424</v>
      </c>
      <c r="AG56" s="23">
        <f t="shared" si="5"/>
        <v>0.254646464646465</v>
      </c>
      <c r="AH56">
        <f>SUMIF('库存（子SKU）'!$C:$C,$A56,'库存（子SKU）'!AJ:AJ)</f>
        <v>115</v>
      </c>
      <c r="AI56">
        <f>SUMIF('库存（子SKU）'!$C:$C,$A56,'库存（子SKU）'!AK:AK)</f>
        <v>99</v>
      </c>
      <c r="AJ56">
        <f>SUMIF('库存（子SKU）'!$C:$C,$A56,'库存（子SKU）'!AL:AL)</f>
        <v>50</v>
      </c>
      <c r="AK56">
        <f>SUMIF('库存（子SKU）'!$C:$C,$A56,'库存（子SKU）'!AM:AM)</f>
        <v>80</v>
      </c>
      <c r="AL56" s="23">
        <f t="shared" si="6"/>
        <v>0.0521739130434783</v>
      </c>
      <c r="AM56" s="23">
        <f t="shared" si="7"/>
        <v>0.121212121212121</v>
      </c>
      <c r="AN56" s="23">
        <f t="shared" si="8"/>
        <v>0.12</v>
      </c>
      <c r="AO56" s="23">
        <f t="shared" si="9"/>
        <v>0.125</v>
      </c>
      <c r="AP56" s="7">
        <f t="shared" si="10"/>
        <v>0.857142857142857</v>
      </c>
      <c r="AQ56" s="7">
        <f t="shared" si="11"/>
        <v>51.4285714285714</v>
      </c>
      <c r="AR56" s="7">
        <f t="shared" si="12"/>
        <v>58.5714285714286</v>
      </c>
      <c r="AS56">
        <f t="shared" si="13"/>
        <v>128</v>
      </c>
      <c r="AT56" s="2">
        <f>IFERROR($A$2+AS56,"上周无销量")</f>
        <v>43390</v>
      </c>
    </row>
    <row r="57" spans="1:46">
      <c r="A57" t="s">
        <v>1159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54</v>
      </c>
      <c r="G57">
        <f>SUMIF('库存（子SKU）'!$C:$C,$A57,'库存（子SKU）'!I:I)</f>
        <v>134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134</v>
      </c>
      <c r="L57">
        <f>SUMIF('库存（子SKU）'!$C:$C,$A57,'库存（子SKU）'!N:N)</f>
        <v>0</v>
      </c>
      <c r="M57">
        <f>SUMIF('库存（子SKU）'!$C:$C,$A57,'库存（子SKU）'!O:O)</f>
        <v>134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41</v>
      </c>
      <c r="AI57">
        <f>SUMIF('库存（子SKU）'!$C:$C,$A57,'库存（子SKU）'!AK:AK)</f>
        <v>42</v>
      </c>
      <c r="AJ57">
        <f>SUMIF('库存（子SKU）'!$C:$C,$A57,'库存（子SKU）'!AL:AL)</f>
        <v>26</v>
      </c>
      <c r="AK57">
        <f>SUMIF('库存（子SKU）'!$C:$C,$A57,'库存（子SKU）'!AM:AM)</f>
        <v>33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134</v>
      </c>
      <c r="AS57" t="str">
        <f t="shared" si="13"/>
        <v>库存为134</v>
      </c>
      <c r="AT57" s="2" t="str">
        <f>IFERROR($A$2+AS57,"上周无销量")</f>
        <v>上周无销量</v>
      </c>
    </row>
    <row r="58" spans="1:46">
      <c r="A58" t="s">
        <v>1232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19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19</v>
      </c>
      <c r="L58">
        <f>SUMIF('库存（子SKU）'!$C:$C,$A58,'库存（子SKU）'!N:N)</f>
        <v>0</v>
      </c>
      <c r="M58">
        <f>SUMIF('库存（子SKU）'!$C:$C,$A58,'库存（子SKU）'!O:O)</f>
        <v>19</v>
      </c>
      <c r="N58">
        <f>SUMIF('库存（子SKU）'!$C:$C,$A58,'库存（子SKU）'!P:P)</f>
        <v>79</v>
      </c>
      <c r="O58">
        <f>SUMIF('库存（子SKU）'!$C:$C,$A58,'库存（子SKU）'!Q:Q)</f>
        <v>12063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2</v>
      </c>
      <c r="S58">
        <f>SUMIF('库存（子SKU）'!$C:$C,$A58,'库存（子SKU）'!U:U)</f>
        <v>13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>
        <f t="shared" si="15"/>
        <v>0.0253164556962025</v>
      </c>
      <c r="W58" s="23">
        <f t="shared" si="16"/>
        <v>0.00107767553676532</v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0.17</v>
      </c>
      <c r="AA58">
        <f>SUMIF('库存（子SKU）'!$C:$C,$A58,'库存（子SKU）'!AC:AC)</f>
        <v>7.95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>无销量广告费为0.17</v>
      </c>
      <c r="AE58" s="23" t="str">
        <f t="shared" si="3"/>
        <v>无销量广告费为7.95</v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7</v>
      </c>
      <c r="AI58">
        <f>SUMIF('库存（子SKU）'!$C:$C,$A58,'库存（子SKU）'!AK:AK)</f>
        <v>19</v>
      </c>
      <c r="AJ58">
        <f>SUMIF('库存（子SKU）'!$C:$C,$A58,'库存（子SKU）'!AL:AL)</f>
        <v>5</v>
      </c>
      <c r="AK58">
        <f>SUMIF('库存（子SKU）'!$C:$C,$A58,'库存（子SKU）'!AM:AM)</f>
        <v>4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19</v>
      </c>
      <c r="AS58" t="str">
        <f t="shared" si="13"/>
        <v>库存为19</v>
      </c>
      <c r="AT58" s="2" t="str">
        <f>IFERROR($A$2+AS58,"上周无销量")</f>
        <v>上周无销量</v>
      </c>
    </row>
    <row r="59" spans="1:46">
      <c r="A59"/>
      <c r="V59" s="23"/>
      <c r="W59" s="23"/>
      <c r="X59" s="23"/>
      <c r="Y59" s="23"/>
      <c r="AD59" s="23"/>
      <c r="AE59" s="23"/>
      <c r="AF59" s="23"/>
      <c r="AG59" s="23"/>
      <c r="AL59" s="23"/>
      <c r="AM59" s="23"/>
      <c r="AN59" s="23"/>
      <c r="AO59" s="23"/>
      <c r="AP59" s="7"/>
      <c r="AT59" s="2"/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638" operator="lessThan">
      <formula>20</formula>
    </cfRule>
    <cfRule type="cellIs" dxfId="1" priority="1637" operator="greaterThan">
      <formula>120</formula>
    </cfRule>
    <cfRule type="containsText" dxfId="3" priority="1636" operator="between" text="库存">
      <formula>NOT(ISERROR(SEARCH("库存",AS2)))</formula>
    </cfRule>
  </conditionalFormatting>
  <conditionalFormatting sqref="AS6">
    <cfRule type="cellIs" dxfId="0" priority="159" operator="lessThan">
      <formula>20</formula>
    </cfRule>
    <cfRule type="cellIs" dxfId="1" priority="106" operator="greaterThan">
      <formula>120</formula>
    </cfRule>
    <cfRule type="containsText" dxfId="3" priority="53" operator="between" text="库存">
      <formula>NOT(ISERROR(SEARCH("库存",AS6)))</formula>
    </cfRule>
  </conditionalFormatting>
  <conditionalFormatting sqref="AS7">
    <cfRule type="cellIs" dxfId="0" priority="158" operator="lessThan">
      <formula>20</formula>
    </cfRule>
    <cfRule type="cellIs" dxfId="1" priority="105" operator="greaterThan">
      <formula>120</formula>
    </cfRule>
    <cfRule type="containsText" dxfId="3" priority="52" operator="between" text="库存">
      <formula>NOT(ISERROR(SEARCH("库存",AS7)))</formula>
    </cfRule>
  </conditionalFormatting>
  <conditionalFormatting sqref="AS8">
    <cfRule type="cellIs" dxfId="0" priority="157" operator="lessThan">
      <formula>20</formula>
    </cfRule>
    <cfRule type="cellIs" dxfId="1" priority="104" operator="greaterThan">
      <formula>120</formula>
    </cfRule>
    <cfRule type="containsText" dxfId="3" priority="51" operator="between" text="库存">
      <formula>NOT(ISERROR(SEARCH("库存",AS8)))</formula>
    </cfRule>
  </conditionalFormatting>
  <conditionalFormatting sqref="AS9">
    <cfRule type="cellIs" dxfId="0" priority="156" operator="lessThan">
      <formula>20</formula>
    </cfRule>
    <cfRule type="cellIs" dxfId="1" priority="103" operator="greaterThan">
      <formula>120</formula>
    </cfRule>
    <cfRule type="containsText" dxfId="3" priority="50" operator="between" text="库存">
      <formula>NOT(ISERROR(SEARCH("库存",AS9)))</formula>
    </cfRule>
  </conditionalFormatting>
  <conditionalFormatting sqref="AS10">
    <cfRule type="cellIs" dxfId="0" priority="155" operator="lessThan">
      <formula>20</formula>
    </cfRule>
    <cfRule type="cellIs" dxfId="1" priority="102" operator="greaterThan">
      <formula>120</formula>
    </cfRule>
    <cfRule type="containsText" dxfId="3" priority="49" operator="between" text="库存">
      <formula>NOT(ISERROR(SEARCH("库存",AS10)))</formula>
    </cfRule>
  </conditionalFormatting>
  <conditionalFormatting sqref="AS11">
    <cfRule type="cellIs" dxfId="0" priority="154" operator="lessThan">
      <formula>20</formula>
    </cfRule>
    <cfRule type="cellIs" dxfId="1" priority="101" operator="greaterThan">
      <formula>120</formula>
    </cfRule>
    <cfRule type="containsText" dxfId="3" priority="48" operator="between" text="库存">
      <formula>NOT(ISERROR(SEARCH("库存",AS11)))</formula>
    </cfRule>
  </conditionalFormatting>
  <conditionalFormatting sqref="AS12">
    <cfRule type="cellIs" dxfId="0" priority="153" operator="lessThan">
      <formula>20</formula>
    </cfRule>
    <cfRule type="cellIs" dxfId="1" priority="100" operator="greaterThan">
      <formula>120</formula>
    </cfRule>
    <cfRule type="containsText" dxfId="3" priority="47" operator="between" text="库存">
      <formula>NOT(ISERROR(SEARCH("库存",AS12)))</formula>
    </cfRule>
  </conditionalFormatting>
  <conditionalFormatting sqref="AS13">
    <cfRule type="cellIs" dxfId="0" priority="152" operator="lessThan">
      <formula>20</formula>
    </cfRule>
    <cfRule type="cellIs" dxfId="1" priority="99" operator="greaterThan">
      <formula>120</formula>
    </cfRule>
    <cfRule type="containsText" dxfId="3" priority="46" operator="between" text="库存">
      <formula>NOT(ISERROR(SEARCH("库存",AS13)))</formula>
    </cfRule>
  </conditionalFormatting>
  <conditionalFormatting sqref="AS14">
    <cfRule type="cellIs" dxfId="0" priority="151" operator="lessThan">
      <formula>20</formula>
    </cfRule>
    <cfRule type="cellIs" dxfId="1" priority="98" operator="greaterThan">
      <formula>120</formula>
    </cfRule>
    <cfRule type="containsText" dxfId="3" priority="45" operator="between" text="库存">
      <formula>NOT(ISERROR(SEARCH("库存",AS14)))</formula>
    </cfRule>
  </conditionalFormatting>
  <conditionalFormatting sqref="AS15">
    <cfRule type="cellIs" dxfId="0" priority="150" operator="lessThan">
      <formula>20</formula>
    </cfRule>
    <cfRule type="cellIs" dxfId="1" priority="97" operator="greaterThan">
      <formula>120</formula>
    </cfRule>
    <cfRule type="containsText" dxfId="3" priority="44" operator="between" text="库存">
      <formula>NOT(ISERROR(SEARCH("库存",AS15)))</formula>
    </cfRule>
  </conditionalFormatting>
  <conditionalFormatting sqref="AS16">
    <cfRule type="cellIs" dxfId="0" priority="149" operator="lessThan">
      <formula>20</formula>
    </cfRule>
    <cfRule type="cellIs" dxfId="1" priority="96" operator="greaterThan">
      <formula>120</formula>
    </cfRule>
    <cfRule type="containsText" dxfId="3" priority="43" operator="between" text="库存">
      <formula>NOT(ISERROR(SEARCH("库存",AS16)))</formula>
    </cfRule>
  </conditionalFormatting>
  <conditionalFormatting sqref="AS17">
    <cfRule type="cellIs" dxfId="0" priority="148" operator="lessThan">
      <formula>20</formula>
    </cfRule>
    <cfRule type="cellIs" dxfId="1" priority="95" operator="greaterThan">
      <formula>120</formula>
    </cfRule>
    <cfRule type="containsText" dxfId="3" priority="42" operator="between" text="库存">
      <formula>NOT(ISERROR(SEARCH("库存",AS17)))</formula>
    </cfRule>
  </conditionalFormatting>
  <conditionalFormatting sqref="AS18">
    <cfRule type="cellIs" dxfId="0" priority="147" operator="lessThan">
      <formula>20</formula>
    </cfRule>
    <cfRule type="cellIs" dxfId="1" priority="94" operator="greaterThan">
      <formula>120</formula>
    </cfRule>
    <cfRule type="containsText" dxfId="3" priority="41" operator="between" text="库存">
      <formula>NOT(ISERROR(SEARCH("库存",AS18)))</formula>
    </cfRule>
  </conditionalFormatting>
  <conditionalFormatting sqref="AS19">
    <cfRule type="cellIs" dxfId="0" priority="146" operator="lessThan">
      <formula>20</formula>
    </cfRule>
    <cfRule type="cellIs" dxfId="1" priority="93" operator="greaterThan">
      <formula>120</formula>
    </cfRule>
    <cfRule type="containsText" dxfId="3" priority="40" operator="between" text="库存">
      <formula>NOT(ISERROR(SEARCH("库存",AS19)))</formula>
    </cfRule>
  </conditionalFormatting>
  <conditionalFormatting sqref="AS20">
    <cfRule type="cellIs" dxfId="0" priority="145" operator="lessThan">
      <formula>20</formula>
    </cfRule>
    <cfRule type="cellIs" dxfId="1" priority="92" operator="greaterThan">
      <formula>120</formula>
    </cfRule>
    <cfRule type="containsText" dxfId="3" priority="39" operator="between" text="库存">
      <formula>NOT(ISERROR(SEARCH("库存",AS20)))</formula>
    </cfRule>
  </conditionalFormatting>
  <conditionalFormatting sqref="AS21">
    <cfRule type="cellIs" dxfId="0" priority="144" operator="lessThan">
      <formula>20</formula>
    </cfRule>
    <cfRule type="cellIs" dxfId="1" priority="91" operator="greaterThan">
      <formula>120</formula>
    </cfRule>
    <cfRule type="containsText" dxfId="3" priority="38" operator="between" text="库存">
      <formula>NOT(ISERROR(SEARCH("库存",AS21)))</formula>
    </cfRule>
  </conditionalFormatting>
  <conditionalFormatting sqref="AS22">
    <cfRule type="cellIs" dxfId="0" priority="143" operator="lessThan">
      <formula>20</formula>
    </cfRule>
    <cfRule type="cellIs" dxfId="1" priority="90" operator="greaterThan">
      <formula>120</formula>
    </cfRule>
    <cfRule type="containsText" dxfId="3" priority="37" operator="between" text="库存">
      <formula>NOT(ISERROR(SEARCH("库存",AS22)))</formula>
    </cfRule>
  </conditionalFormatting>
  <conditionalFormatting sqref="AS23">
    <cfRule type="cellIs" dxfId="0" priority="142" operator="lessThan">
      <formula>20</formula>
    </cfRule>
    <cfRule type="cellIs" dxfId="1" priority="89" operator="greaterThan">
      <formula>120</formula>
    </cfRule>
    <cfRule type="containsText" dxfId="3" priority="36" operator="between" text="库存">
      <formula>NOT(ISERROR(SEARCH("库存",AS23)))</formula>
    </cfRule>
  </conditionalFormatting>
  <conditionalFormatting sqref="AS24">
    <cfRule type="cellIs" dxfId="0" priority="141" operator="lessThan">
      <formula>20</formula>
    </cfRule>
    <cfRule type="cellIs" dxfId="1" priority="88" operator="greaterThan">
      <formula>120</formula>
    </cfRule>
    <cfRule type="containsText" dxfId="3" priority="35" operator="between" text="库存">
      <formula>NOT(ISERROR(SEARCH("库存",AS24)))</formula>
    </cfRule>
  </conditionalFormatting>
  <conditionalFormatting sqref="AS25">
    <cfRule type="cellIs" dxfId="0" priority="140" operator="lessThan">
      <formula>20</formula>
    </cfRule>
    <cfRule type="cellIs" dxfId="1" priority="87" operator="greaterThan">
      <formula>120</formula>
    </cfRule>
    <cfRule type="containsText" dxfId="3" priority="34" operator="between" text="库存">
      <formula>NOT(ISERROR(SEARCH("库存",AS25)))</formula>
    </cfRule>
  </conditionalFormatting>
  <conditionalFormatting sqref="AS26">
    <cfRule type="cellIs" dxfId="0" priority="139" operator="lessThan">
      <formula>20</formula>
    </cfRule>
    <cfRule type="cellIs" dxfId="1" priority="86" operator="greaterThan">
      <formula>120</formula>
    </cfRule>
    <cfRule type="containsText" dxfId="3" priority="33" operator="between" text="库存">
      <formula>NOT(ISERROR(SEARCH("库存",AS26)))</formula>
    </cfRule>
  </conditionalFormatting>
  <conditionalFormatting sqref="AS27">
    <cfRule type="cellIs" dxfId="0" priority="138" operator="lessThan">
      <formula>20</formula>
    </cfRule>
    <cfRule type="cellIs" dxfId="1" priority="85" operator="greaterThan">
      <formula>120</formula>
    </cfRule>
    <cfRule type="containsText" dxfId="3" priority="32" operator="between" text="库存">
      <formula>NOT(ISERROR(SEARCH("库存",AS27)))</formula>
    </cfRule>
  </conditionalFormatting>
  <conditionalFormatting sqref="AS28">
    <cfRule type="cellIs" dxfId="0" priority="137" operator="lessThan">
      <formula>20</formula>
    </cfRule>
    <cfRule type="cellIs" dxfId="1" priority="84" operator="greaterThan">
      <formula>120</formula>
    </cfRule>
    <cfRule type="containsText" dxfId="3" priority="31" operator="between" text="库存">
      <formula>NOT(ISERROR(SEARCH("库存",AS28)))</formula>
    </cfRule>
  </conditionalFormatting>
  <conditionalFormatting sqref="AS29">
    <cfRule type="cellIs" dxfId="0" priority="136" operator="lessThan">
      <formula>20</formula>
    </cfRule>
    <cfRule type="cellIs" dxfId="1" priority="83" operator="greaterThan">
      <formula>120</formula>
    </cfRule>
    <cfRule type="containsText" dxfId="3" priority="30" operator="between" text="库存">
      <formula>NOT(ISERROR(SEARCH("库存",AS29)))</formula>
    </cfRule>
  </conditionalFormatting>
  <conditionalFormatting sqref="AS30">
    <cfRule type="cellIs" dxfId="0" priority="135" operator="lessThan">
      <formula>20</formula>
    </cfRule>
    <cfRule type="cellIs" dxfId="1" priority="82" operator="greaterThan">
      <formula>120</formula>
    </cfRule>
    <cfRule type="containsText" dxfId="3" priority="29" operator="between" text="库存">
      <formula>NOT(ISERROR(SEARCH("库存",AS30)))</formula>
    </cfRule>
  </conditionalFormatting>
  <conditionalFormatting sqref="AS31">
    <cfRule type="cellIs" dxfId="0" priority="134" operator="lessThan">
      <formula>20</formula>
    </cfRule>
    <cfRule type="cellIs" dxfId="1" priority="81" operator="greaterThan">
      <formula>120</formula>
    </cfRule>
    <cfRule type="containsText" dxfId="3" priority="28" operator="between" text="库存">
      <formula>NOT(ISERROR(SEARCH("库存",AS31)))</formula>
    </cfRule>
  </conditionalFormatting>
  <conditionalFormatting sqref="AS32">
    <cfRule type="cellIs" dxfId="0" priority="133" operator="lessThan">
      <formula>20</formula>
    </cfRule>
    <cfRule type="cellIs" dxfId="1" priority="80" operator="greaterThan">
      <formula>120</formula>
    </cfRule>
    <cfRule type="containsText" dxfId="3" priority="27" operator="between" text="库存">
      <formula>NOT(ISERROR(SEARCH("库存",AS32)))</formula>
    </cfRule>
  </conditionalFormatting>
  <conditionalFormatting sqref="AS33">
    <cfRule type="cellIs" dxfId="0" priority="132" operator="lessThan">
      <formula>20</formula>
    </cfRule>
    <cfRule type="cellIs" dxfId="1" priority="79" operator="greaterThan">
      <formula>120</formula>
    </cfRule>
    <cfRule type="containsText" dxfId="3" priority="26" operator="between" text="库存">
      <formula>NOT(ISERROR(SEARCH("库存",AS33)))</formula>
    </cfRule>
  </conditionalFormatting>
  <conditionalFormatting sqref="AS34">
    <cfRule type="cellIs" dxfId="0" priority="131" operator="lessThan">
      <formula>20</formula>
    </cfRule>
    <cfRule type="cellIs" dxfId="1" priority="78" operator="greaterThan">
      <formula>120</formula>
    </cfRule>
    <cfRule type="containsText" dxfId="3" priority="25" operator="between" text="库存">
      <formula>NOT(ISERROR(SEARCH("库存",AS34)))</formula>
    </cfRule>
  </conditionalFormatting>
  <conditionalFormatting sqref="AS35">
    <cfRule type="cellIs" dxfId="0" priority="130" operator="lessThan">
      <formula>20</formula>
    </cfRule>
    <cfRule type="cellIs" dxfId="1" priority="77" operator="greaterThan">
      <formula>120</formula>
    </cfRule>
    <cfRule type="containsText" dxfId="3" priority="24" operator="between" text="库存">
      <formula>NOT(ISERROR(SEARCH("库存",AS35)))</formula>
    </cfRule>
  </conditionalFormatting>
  <conditionalFormatting sqref="AS36">
    <cfRule type="cellIs" dxfId="0" priority="129" operator="lessThan">
      <formula>20</formula>
    </cfRule>
    <cfRule type="cellIs" dxfId="1" priority="76" operator="greaterThan">
      <formula>120</formula>
    </cfRule>
    <cfRule type="containsText" dxfId="3" priority="23" operator="between" text="库存">
      <formula>NOT(ISERROR(SEARCH("库存",AS36)))</formula>
    </cfRule>
  </conditionalFormatting>
  <conditionalFormatting sqref="AS37">
    <cfRule type="cellIs" dxfId="0" priority="128" operator="lessThan">
      <formula>20</formula>
    </cfRule>
    <cfRule type="cellIs" dxfId="1" priority="75" operator="greaterThan">
      <formula>120</formula>
    </cfRule>
    <cfRule type="containsText" dxfId="3" priority="22" operator="between" text="库存">
      <formula>NOT(ISERROR(SEARCH("库存",AS37)))</formula>
    </cfRule>
  </conditionalFormatting>
  <conditionalFormatting sqref="AS38">
    <cfRule type="cellIs" dxfId="0" priority="127" operator="lessThan">
      <formula>20</formula>
    </cfRule>
    <cfRule type="cellIs" dxfId="1" priority="74" operator="greaterThan">
      <formula>120</formula>
    </cfRule>
    <cfRule type="containsText" dxfId="3" priority="21" operator="between" text="库存">
      <formula>NOT(ISERROR(SEARCH("库存",AS38)))</formula>
    </cfRule>
  </conditionalFormatting>
  <conditionalFormatting sqref="AS39">
    <cfRule type="cellIs" dxfId="0" priority="126" operator="lessThan">
      <formula>20</formula>
    </cfRule>
    <cfRule type="cellIs" dxfId="1" priority="73" operator="greaterThan">
      <formula>120</formula>
    </cfRule>
    <cfRule type="containsText" dxfId="3" priority="20" operator="between" text="库存">
      <formula>NOT(ISERROR(SEARCH("库存",AS39)))</formula>
    </cfRule>
  </conditionalFormatting>
  <conditionalFormatting sqref="AS40">
    <cfRule type="cellIs" dxfId="0" priority="125" operator="lessThan">
      <formula>20</formula>
    </cfRule>
    <cfRule type="cellIs" dxfId="1" priority="72" operator="greaterThan">
      <formula>120</formula>
    </cfRule>
    <cfRule type="containsText" dxfId="3" priority="19" operator="between" text="库存">
      <formula>NOT(ISERROR(SEARCH("库存",AS40)))</formula>
    </cfRule>
  </conditionalFormatting>
  <conditionalFormatting sqref="AS41">
    <cfRule type="cellIs" dxfId="0" priority="124" operator="lessThan">
      <formula>20</formula>
    </cfRule>
    <cfRule type="cellIs" dxfId="1" priority="71" operator="greaterThan">
      <formula>120</formula>
    </cfRule>
    <cfRule type="containsText" dxfId="3" priority="18" operator="between" text="库存">
      <formula>NOT(ISERROR(SEARCH("库存",AS41)))</formula>
    </cfRule>
  </conditionalFormatting>
  <conditionalFormatting sqref="AS42">
    <cfRule type="cellIs" dxfId="0" priority="123" operator="lessThan">
      <formula>20</formula>
    </cfRule>
    <cfRule type="cellIs" dxfId="1" priority="70" operator="greaterThan">
      <formula>120</formula>
    </cfRule>
    <cfRule type="containsText" dxfId="3" priority="17" operator="between" text="库存">
      <formula>NOT(ISERROR(SEARCH("库存",AS42)))</formula>
    </cfRule>
  </conditionalFormatting>
  <conditionalFormatting sqref="AS43">
    <cfRule type="cellIs" dxfId="0" priority="122" operator="lessThan">
      <formula>20</formula>
    </cfRule>
    <cfRule type="cellIs" dxfId="1" priority="69" operator="greaterThan">
      <formula>120</formula>
    </cfRule>
    <cfRule type="containsText" dxfId="3" priority="16" operator="between" text="库存">
      <formula>NOT(ISERROR(SEARCH("库存",AS43)))</formula>
    </cfRule>
  </conditionalFormatting>
  <conditionalFormatting sqref="AS44">
    <cfRule type="cellIs" dxfId="0" priority="121" operator="lessThan">
      <formula>20</formula>
    </cfRule>
    <cfRule type="cellIs" dxfId="1" priority="68" operator="greaterThan">
      <formula>120</formula>
    </cfRule>
    <cfRule type="containsText" dxfId="3" priority="15" operator="between" text="库存">
      <formula>NOT(ISERROR(SEARCH("库存",AS44)))</formula>
    </cfRule>
  </conditionalFormatting>
  <conditionalFormatting sqref="AS45">
    <cfRule type="cellIs" dxfId="0" priority="120" operator="lessThan">
      <formula>20</formula>
    </cfRule>
    <cfRule type="cellIs" dxfId="1" priority="67" operator="greaterThan">
      <formula>120</formula>
    </cfRule>
    <cfRule type="containsText" dxfId="3" priority="14" operator="between" text="库存">
      <formula>NOT(ISERROR(SEARCH("库存",AS45)))</formula>
    </cfRule>
  </conditionalFormatting>
  <conditionalFormatting sqref="AS46">
    <cfRule type="cellIs" dxfId="0" priority="119" operator="lessThan">
      <formula>20</formula>
    </cfRule>
    <cfRule type="cellIs" dxfId="1" priority="66" operator="greaterThan">
      <formula>120</formula>
    </cfRule>
    <cfRule type="containsText" dxfId="3" priority="13" operator="between" text="库存">
      <formula>NOT(ISERROR(SEARCH("库存",AS46)))</formula>
    </cfRule>
  </conditionalFormatting>
  <conditionalFormatting sqref="AS47">
    <cfRule type="cellIs" dxfId="0" priority="118" operator="lessThan">
      <formula>20</formula>
    </cfRule>
    <cfRule type="cellIs" dxfId="1" priority="65" operator="greaterThan">
      <formula>120</formula>
    </cfRule>
    <cfRule type="containsText" dxfId="3" priority="12" operator="between" text="库存">
      <formula>NOT(ISERROR(SEARCH("库存",AS47)))</formula>
    </cfRule>
  </conditionalFormatting>
  <conditionalFormatting sqref="AS48">
    <cfRule type="cellIs" dxfId="0" priority="117" operator="lessThan">
      <formula>20</formula>
    </cfRule>
    <cfRule type="cellIs" dxfId="1" priority="64" operator="greaterThan">
      <formula>120</formula>
    </cfRule>
    <cfRule type="containsText" dxfId="3" priority="11" operator="between" text="库存">
      <formula>NOT(ISERROR(SEARCH("库存",AS48)))</formula>
    </cfRule>
  </conditionalFormatting>
  <conditionalFormatting sqref="AS49">
    <cfRule type="cellIs" dxfId="0" priority="116" operator="lessThan">
      <formula>20</formula>
    </cfRule>
    <cfRule type="cellIs" dxfId="1" priority="63" operator="greaterThan">
      <formula>120</formula>
    </cfRule>
    <cfRule type="containsText" dxfId="3" priority="10" operator="between" text="库存">
      <formula>NOT(ISERROR(SEARCH("库存",AS49)))</formula>
    </cfRule>
  </conditionalFormatting>
  <conditionalFormatting sqref="AS50">
    <cfRule type="cellIs" dxfId="0" priority="115" operator="lessThan">
      <formula>20</formula>
    </cfRule>
    <cfRule type="cellIs" dxfId="1" priority="62" operator="greaterThan">
      <formula>120</formula>
    </cfRule>
    <cfRule type="containsText" dxfId="3" priority="9" operator="between" text="库存">
      <formula>NOT(ISERROR(SEARCH("库存",AS50)))</formula>
    </cfRule>
  </conditionalFormatting>
  <conditionalFormatting sqref="AS51">
    <cfRule type="cellIs" dxfId="0" priority="114" operator="lessThan">
      <formula>20</formula>
    </cfRule>
    <cfRule type="cellIs" dxfId="1" priority="61" operator="greaterThan">
      <formula>120</formula>
    </cfRule>
    <cfRule type="containsText" dxfId="3" priority="8" operator="between" text="库存">
      <formula>NOT(ISERROR(SEARCH("库存",AS51)))</formula>
    </cfRule>
  </conditionalFormatting>
  <conditionalFormatting sqref="AS52">
    <cfRule type="cellIs" dxfId="0" priority="113" operator="lessThan">
      <formula>20</formula>
    </cfRule>
    <cfRule type="cellIs" dxfId="1" priority="60" operator="greaterThan">
      <formula>120</formula>
    </cfRule>
    <cfRule type="containsText" dxfId="3" priority="7" operator="between" text="库存">
      <formula>NOT(ISERROR(SEARCH("库存",AS52)))</formula>
    </cfRule>
  </conditionalFormatting>
  <conditionalFormatting sqref="AS53">
    <cfRule type="cellIs" dxfId="0" priority="112" operator="lessThan">
      <formula>20</formula>
    </cfRule>
    <cfRule type="cellIs" dxfId="1" priority="59" operator="greaterThan">
      <formula>120</formula>
    </cfRule>
    <cfRule type="containsText" dxfId="3" priority="6" operator="between" text="库存">
      <formula>NOT(ISERROR(SEARCH("库存",AS53)))</formula>
    </cfRule>
  </conditionalFormatting>
  <conditionalFormatting sqref="AS54">
    <cfRule type="cellIs" dxfId="0" priority="111" operator="lessThan">
      <formula>20</formula>
    </cfRule>
    <cfRule type="cellIs" dxfId="1" priority="58" operator="greaterThan">
      <formula>120</formula>
    </cfRule>
    <cfRule type="containsText" dxfId="3" priority="5" operator="between" text="库存">
      <formula>NOT(ISERROR(SEARCH("库存",AS54)))</formula>
    </cfRule>
  </conditionalFormatting>
  <conditionalFormatting sqref="AS55">
    <cfRule type="cellIs" dxfId="0" priority="110" operator="lessThan">
      <formula>20</formula>
    </cfRule>
    <cfRule type="cellIs" dxfId="1" priority="57" operator="greaterThan">
      <formula>120</formula>
    </cfRule>
    <cfRule type="containsText" dxfId="3" priority="4" operator="between" text="库存">
      <formula>NOT(ISERROR(SEARCH("库存",AS55)))</formula>
    </cfRule>
  </conditionalFormatting>
  <conditionalFormatting sqref="AS56">
    <cfRule type="cellIs" dxfId="0" priority="109" operator="lessThan">
      <formula>20</formula>
    </cfRule>
    <cfRule type="cellIs" dxfId="1" priority="56" operator="greaterThan">
      <formula>120</formula>
    </cfRule>
    <cfRule type="containsText" dxfId="3" priority="3" operator="between" text="库存">
      <formula>NOT(ISERROR(SEARCH("库存",AS56)))</formula>
    </cfRule>
  </conditionalFormatting>
  <conditionalFormatting sqref="AS57">
    <cfRule type="cellIs" dxfId="0" priority="108" operator="lessThan">
      <formula>20</formula>
    </cfRule>
    <cfRule type="cellIs" dxfId="1" priority="55" operator="greaterThan">
      <formula>120</formula>
    </cfRule>
    <cfRule type="containsText" dxfId="3" priority="2" operator="between" text="库存">
      <formula>NOT(ISERROR(SEARCH("库存",AS57)))</formula>
    </cfRule>
  </conditionalFormatting>
  <conditionalFormatting sqref="AS58">
    <cfRule type="cellIs" dxfId="0" priority="107" operator="lessThan">
      <formula>20</formula>
    </cfRule>
    <cfRule type="cellIs" dxfId="1" priority="54" operator="greaterThan">
      <formula>120</formula>
    </cfRule>
    <cfRule type="containsText" dxfId="3" priority="1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214" operator="greaterThan">
      <formula>120</formula>
    </cfRule>
    <cfRule type="containsText" dxfId="3" priority="160" operator="between" text="库存">
      <formula>NOT(ISERROR(SEARCH("库存",AS59)))</formula>
    </cfRule>
  </conditionalFormatting>
  <conditionalFormatting sqref="AS60">
    <cfRule type="cellIs" dxfId="0" priority="756" operator="lessThan">
      <formula>20</formula>
    </cfRule>
    <cfRule type="cellIs" dxfId="1" priority="701" operator="greaterThan">
      <formula>120</formula>
    </cfRule>
    <cfRule type="containsText" dxfId="3" priority="646" operator="between" text="库存">
      <formula>NOT(ISERROR(SEARCH("库存",AS60)))</formula>
    </cfRule>
  </conditionalFormatting>
  <conditionalFormatting sqref="AS1 AS3:AS5 AS61:AS1048576">
    <cfRule type="cellIs" dxfId="0" priority="1641" operator="lessThan">
      <formula>20</formula>
    </cfRule>
    <cfRule type="cellIs" dxfId="1" priority="1640" operator="greaterThan">
      <formula>120</formula>
    </cfRule>
    <cfRule type="containsText" dxfId="3" priority="163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11" sqref="G1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1247</v>
      </c>
      <c r="B1" s="1">
        <f>B12</f>
        <v>43262</v>
      </c>
    </row>
    <row r="2" spans="1:2">
      <c r="A2" t="s">
        <v>1248</v>
      </c>
      <c r="B2" s="1">
        <v>43289</v>
      </c>
    </row>
    <row r="4" spans="1:2">
      <c r="A4" t="s">
        <v>1249</v>
      </c>
      <c r="B4" s="2">
        <f>B2+1</f>
        <v>43290</v>
      </c>
    </row>
    <row r="5" spans="1:2">
      <c r="A5" t="s">
        <v>1250</v>
      </c>
      <c r="B5" s="3">
        <f>B2</f>
        <v>43289</v>
      </c>
    </row>
    <row r="6" spans="1:2">
      <c r="A6" t="s">
        <v>1251</v>
      </c>
      <c r="B6" s="2">
        <f>B5-6</f>
        <v>43283</v>
      </c>
    </row>
    <row r="7" spans="1:2">
      <c r="A7" t="s">
        <v>1252</v>
      </c>
      <c r="B7" s="2">
        <f>B5-7</f>
        <v>43282</v>
      </c>
    </row>
    <row r="8" spans="1:2">
      <c r="A8" t="s">
        <v>1253</v>
      </c>
      <c r="B8" s="2">
        <f>B5-13</f>
        <v>43276</v>
      </c>
    </row>
    <row r="9" spans="1:2">
      <c r="A9" t="s">
        <v>1254</v>
      </c>
      <c r="B9" s="2">
        <f>B5-14</f>
        <v>43275</v>
      </c>
    </row>
    <row r="10" spans="1:2">
      <c r="A10" t="s">
        <v>1255</v>
      </c>
      <c r="B10" s="2">
        <f>B5-20</f>
        <v>43269</v>
      </c>
    </row>
    <row r="11" spans="1:2">
      <c r="A11" t="s">
        <v>1256</v>
      </c>
      <c r="B11" s="2">
        <f>B5-21</f>
        <v>43268</v>
      </c>
    </row>
    <row r="12" spans="1:2">
      <c r="A12" t="s">
        <v>1257</v>
      </c>
      <c r="B12" s="2">
        <f>B5-27</f>
        <v>43262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